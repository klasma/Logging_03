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Anmälningar" sheetId="1" state="visible" r:id="rId1"/>
  </sheets>
  <definedNames/>
  <calcPr calcId="124519" fullCalcOnLoad="1"/>
</workbook>
</file>

<file path=xl/styles.xml><?xml version="1.0" encoding="utf-8"?>
<styleSheet xmlns="http://schemas.openxmlformats.org/spreadsheetml/2006/main">
  <numFmts count="2">
    <numFmt numFmtId="164" formatCode="yyyy-mm-dd"/>
    <numFmt numFmtId="165" formatCode="YYYY-MM-DD"/>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3">
    <xf numFmtId="0" fontId="0" fillId="0" borderId="0" pivotButton="0" quotePrefix="0" xfId="0"/>
    <xf numFmtId="165" fontId="0" fillId="0" borderId="0" pivotButton="0" quotePrefix="0" xfId="0"/>
    <xf numFmtId="0" fontId="0" fillId="0" borderId="0" applyAlignment="1" pivotButton="0" quotePrefix="0" xfId="0">
      <alignment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E3581"/>
  <sheetViews>
    <sheetView workbookViewId="0">
      <pane xSplit="1" ySplit="1" topLeftCell="B2" activePane="bottomRight" state="frozen"/>
      <selection pane="topRight"/>
      <selection pane="bottomLeft"/>
      <selection pane="bottomRight" activeCell="A1" sqref="A1"/>
    </sheetView>
  </sheetViews>
  <sheetFormatPr baseColWidth="8" defaultRowHeight="15"/>
  <sheetData>
    <row r="0" ht="15" customHeight="1"/>
    <row r="1" ht="15" customHeight="1">
      <c r="A1" t="inlineStr">
        <is>
          <t>Beteckning</t>
        </is>
      </c>
      <c r="B1" t="inlineStr">
        <is>
          <t>Typ</t>
        </is>
      </c>
      <c r="C1" t="inlineStr">
        <is>
          <t>Åtgärd</t>
        </is>
      </c>
      <c r="D1" t="inlineStr">
        <is>
          <t>Datum</t>
        </is>
      </c>
      <c r="E1" t="inlineStr">
        <is>
          <t>Förändrad</t>
        </is>
      </c>
      <c r="F1" t="inlineStr">
        <is>
          <t>Län</t>
        </is>
      </c>
      <c r="G1" t="inlineStr">
        <is>
          <t>Kommun</t>
        </is>
      </c>
      <c r="H1" t="inlineStr">
        <is>
          <t>Markägare</t>
        </is>
      </c>
      <c r="I1" t="inlineStr">
        <is>
          <t>Area (ha)</t>
        </is>
      </c>
      <c r="J1" t="inlineStr">
        <is>
          <t>Fridlysta</t>
        </is>
      </c>
      <c r="K1" t="inlineStr">
        <is>
          <t>Signalarter</t>
        </is>
      </c>
      <c r="L1" t="inlineStr">
        <is>
          <t>NT</t>
        </is>
      </c>
      <c r="M1" t="inlineStr">
        <is>
          <t>VU</t>
        </is>
      </c>
      <c r="N1" t="inlineStr">
        <is>
          <t>EN</t>
        </is>
      </c>
      <c r="O1" t="inlineStr">
        <is>
          <t>CR</t>
        </is>
      </c>
      <c r="P1" t="inlineStr">
        <is>
          <t>RE</t>
        </is>
      </c>
      <c r="Q1" t="inlineStr">
        <is>
          <t>Rödlistade</t>
        </is>
      </c>
      <c r="R1" t="inlineStr">
        <is>
          <t>Hotade</t>
        </is>
      </c>
      <c r="S1" t="inlineStr">
        <is>
          <t>Alla arter</t>
        </is>
      </c>
      <c r="T1" t="inlineStr">
        <is>
          <t>Fynd</t>
        </is>
      </c>
      <c r="U1" t="inlineStr">
        <is>
          <t>Nya fynd</t>
        </is>
      </c>
      <c r="V1" t="inlineStr">
        <is>
          <t>Artnamn</t>
        </is>
      </c>
      <c r="W1" t="inlineStr">
        <is>
          <t>Artfyndslänk</t>
        </is>
      </c>
      <c r="X1" t="inlineStr">
        <is>
          <t>Kartlänk</t>
        </is>
      </c>
      <c r="Y1" t="inlineStr">
        <is>
          <t>Geotifflänk</t>
        </is>
      </c>
      <c r="Z1" t="inlineStr">
        <is>
          <t>Knärotsbuffertlänk</t>
        </is>
      </c>
      <c r="AA1" t="inlineStr">
        <is>
          <t>Klagomålslänk</t>
        </is>
      </c>
      <c r="AB1" t="inlineStr">
        <is>
          <t>Klagomålsmaillänk</t>
        </is>
      </c>
      <c r="AC1" t="inlineStr">
        <is>
          <t>Tillsynsbegäranslänk</t>
        </is>
      </c>
      <c r="AD1" t="inlineStr">
        <is>
          <t>Tillsynsbegäransmaillänk</t>
        </is>
      </c>
      <c r="AE1" t="inlineStr">
        <is>
          <t>Fågeltillsynsbegäranslänk</t>
        </is>
      </c>
    </row>
    <row r="2" ht="15" customHeight="1">
      <c r="A2" t="inlineStr">
        <is>
          <t>S 667-2021</t>
        </is>
      </c>
      <c r="B2" t="inlineStr">
        <is>
          <t>samrådsanmälan</t>
        </is>
      </c>
      <c r="C2" t="n">
        <v/>
      </c>
      <c r="D2" s="1" t="n">
        <v>44284</v>
      </c>
      <c r="E2" s="1" t="n">
        <v>46309</v>
      </c>
      <c r="F2" t="inlineStr">
        <is>
          <t>UPPSALA LÄN</t>
        </is>
      </c>
      <c r="G2" t="inlineStr">
        <is>
          <t>UPPSALA</t>
        </is>
      </c>
      <c r="I2" t="n">
        <v>11</v>
      </c>
      <c r="J2" t="n">
        <v>6</v>
      </c>
      <c r="K2" t="n">
        <v>30</v>
      </c>
      <c r="L2" t="n">
        <v>30</v>
      </c>
      <c r="M2" t="n">
        <v>9</v>
      </c>
      <c r="N2" t="n">
        <v>7</v>
      </c>
      <c r="O2" t="n">
        <v>0</v>
      </c>
      <c r="P2" t="n">
        <v>0</v>
      </c>
      <c r="Q2" t="n">
        <v>46</v>
      </c>
      <c r="R2" t="n">
        <v>16</v>
      </c>
      <c r="S2" t="n">
        <v>81</v>
      </c>
      <c r="T2" t="n">
        <v>186</v>
      </c>
      <c r="U2" t="n">
        <v>118</v>
      </c>
      <c r="V2" s="2" t="inlineStr">
        <is>
          <t>Almlav
Almrostöra
Ask
Blekskaftad nållav
Prakttagging
Savlundlav
Skogsalm
Brunskaftad blekspik
Cinnoberbagge
Grålila vaxing
Gulvit blekspik
Lerskivling
Linddyna
Liten blekspik
Ulltickeporing
Violett fingersvamp
Almgömming
Bokspindling
Cinnoberspindling
Ekticka
Gammelekslav
Gul dropplav
Gulprickig vaxskivling
Hasselsplintborre
Hålskenknäppare
Jättekamskivling
Kandelabersvamp
Klasefibbla
Korkmusslingsmal
Ljus ängsfingersvamp
Lunglav
Oxtungssvamp
Parknål
Rodnande musseron
Rosenticka
Rödbrun blekspik
Rödhalsad vedsvampbagge
Rökfingersvamp
Scharlakansvaxing
Skinntagging
Skruvbusksvamp
Skuggorangelav
Skumticka
Spinnfingersvamp
Stjärnnästing
Ullticka
Avlång flatbagge
Blodvaxing
Brun nållav
Dofttråding
Fällmossa
Grov baronmossa
Guldkremla
Guldlockmossa
Gulnål
Gulpudrad spiklav
Hasselsopp
Hasselticka
Kruskantarell
Lindskål
Luktvaxing
Lönnlav
Papegojvaxing
Piskbaronmossa
Platt fjädermossa
Slemvaxing
Småvaxing
Sprödvaxing
Svart trolldruva
Tibast
Traslav
Trubbfjädermossa
Trädporella
Trådticka
Underviol
Vitskivlav
Blåsippa
Mindre flugsnappare
Skogsduva
Sävsparv
Gullviva</t>
        </is>
      </c>
      <c r="W2">
        <f>HYPERLINK("https://klasma.github.io/Logging_0380/artfynd/S 667-2021 artfynd.xlsx", "S 667-2021")</f>
        <v/>
      </c>
      <c r="X2">
        <f>HYPERLINK("https://klasma.github.io/Logging_0380/kartor/S 667-2021 karta.png", "S 667-2021")</f>
        <v/>
      </c>
      <c r="Y2">
        <f>HYPERLINK("https://klasma.github.io/Logging_0380/kartor_geotiff/S 667-2021 georefererad karta.tif", "S 667-2021")</f>
        <v/>
      </c>
      <c r="AA2">
        <f>HYPERLINK("https://klasma.github.io/Logging_0380/klagomål/S 667-2021 FSC-klagomål.docx", "S 667-2021")</f>
        <v/>
      </c>
      <c r="AB2">
        <f>HYPERLINK("https://klasma.github.io/Logging_0380/klagomålsmail/S 667-2021 FSC-klagomål mail.docx", "S 667-2021")</f>
        <v/>
      </c>
      <c r="AC2">
        <f>HYPERLINK("https://klasma.github.io/Logging_0380/tillsyn/S 667-2021 tillsynsbegäran.docx", "S 667-2021")</f>
        <v/>
      </c>
      <c r="AD2">
        <f>HYPERLINK("https://klasma.github.io/Logging_0380/tillsynsmail/S 667-2021 tillsynsbegäran mail.docx", "S 667-2021")</f>
        <v/>
      </c>
      <c r="AE2">
        <f>HYPERLINK("https://klasma.github.io/Logging_0380/fåglar/S 667-2021 prioriterade fågelarter.docx", "S 667-2021")</f>
        <v/>
      </c>
    </row>
    <row r="3" ht="15" customHeight="1">
      <c r="A3" t="inlineStr">
        <is>
          <t>S 1944-2026</t>
        </is>
      </c>
      <c r="B3" t="inlineStr">
        <is>
          <t>samrådsanmälan</t>
        </is>
      </c>
      <c r="C3" t="inlineStr">
        <is>
          <t>Annan skogsbruksåtgärd</t>
        </is>
      </c>
      <c r="D3" s="1" t="n">
        <v>46204</v>
      </c>
      <c r="E3" s="1" t="n">
        <v>46309</v>
      </c>
      <c r="F3" t="inlineStr">
        <is>
          <t>UPPSALA LÄN</t>
        </is>
      </c>
      <c r="G3" t="inlineStr">
        <is>
          <t>ÖSTHAMMAR</t>
        </is>
      </c>
      <c r="I3" t="n">
        <v>16.2</v>
      </c>
      <c r="J3" t="n">
        <v>6</v>
      </c>
      <c r="K3" t="n">
        <v>21</v>
      </c>
      <c r="L3" t="n">
        <v>19</v>
      </c>
      <c r="M3" t="n">
        <v>12</v>
      </c>
      <c r="N3" t="n">
        <v>8</v>
      </c>
      <c r="O3" t="n">
        <v>0</v>
      </c>
      <c r="P3" t="n">
        <v>0</v>
      </c>
      <c r="Q3" t="n">
        <v>39</v>
      </c>
      <c r="R3" t="n">
        <v>20</v>
      </c>
      <c r="S3" t="n">
        <v>62</v>
      </c>
      <c r="T3" t="n">
        <v>187</v>
      </c>
      <c r="U3" t="n">
        <v>2</v>
      </c>
      <c r="V3" s="2" t="inlineStr">
        <is>
          <t>Bitter taggsvamp
Brandtaggsvamp
Fjällfotad fingersvamp
Gyllenfingersvamp
Koppartaggsvamp
Lilafotad fingersvamp
Raggtaggsvamp
Violgubbe
Bullspindling
Fläckfingersvamp
Grangråticka
Granrotspindling
Gul lammticka
Gul taggsvamp
Gyllenspindling
Kopparspindling
Kryddtofsskivling
Läderdoftande fingersvamp
Skrovlig taggsvamp
Taggfingersvamp
Barrmusseron
Barrviolspindling
Blek fingersvamp
Blå taggsvamp
Dofttaggsvamp
Dropptaggsvamp
Fjällig taggsvamp s.str.
Flattoppad klubbsvamp
Gransotdyna
Gultoppig fingersvamp
Harticka
Kryddspindling
Kungsspindling
Orange taggsvamp
Persiljespindling
Puderspindling
Skarp dropptaggsvamp
Sotvaxskivling
Äggspindling
Anisspindling
Blodvaxing
Brandmusseron
Brandticka
Dofttråding
Granbarkgnagare
Guldkremla
Kalktallört
Kamjordstjärna
Mörk husmossa
Nästrot
Olivspindling
Rödgul trumpetsvamp
Skogsknipprot
Spindelblomster
Svavelriska
Tibast
Trådticka
Tvåblad
Zontaggsvamp
Ögonpyrola
Fläcknycklar
Revlummer</t>
        </is>
      </c>
      <c r="W3">
        <f>HYPERLINK("https://klasma.github.io/Logging_0382/artfynd/S 1944-2026 artfynd.xlsx", "S 1944-2026")</f>
        <v/>
      </c>
      <c r="X3">
        <f>HYPERLINK("https://klasma.github.io/Logging_0382/kartor/S 1944-2026 karta.png", "S 1944-2026")</f>
        <v/>
      </c>
      <c r="Y3">
        <f>HYPERLINK("https://klasma.github.io/Logging_0382/kartor_geotiff/S 1944-2026 georefererad karta.tif", "S 1944-2026")</f>
        <v/>
      </c>
      <c r="AA3">
        <f>HYPERLINK("https://klasma.github.io/Logging_0382/klagomål/S 1944-2026 FSC-klagomål.docx", "S 1944-2026")</f>
        <v/>
      </c>
      <c r="AB3">
        <f>HYPERLINK("https://klasma.github.io/Logging_0382/klagomålsmail/S 1944-2026 FSC-klagomål mail.docx", "S 1944-2026")</f>
        <v/>
      </c>
      <c r="AC3">
        <f>HYPERLINK("https://klasma.github.io/Logging_0382/tillsyn/S 1944-2026 tillsynsbegäran.docx", "S 1944-2026")</f>
        <v/>
      </c>
      <c r="AD3">
        <f>HYPERLINK("https://klasma.github.io/Logging_0382/tillsynsmail/S 1944-2026 tillsynsbegäran mail.docx", "S 1944-2026")</f>
        <v/>
      </c>
    </row>
    <row r="4" ht="15" customHeight="1">
      <c r="A4" t="inlineStr">
        <is>
          <t>S 2443-2023</t>
        </is>
      </c>
      <c r="B4" t="inlineStr">
        <is>
          <t>samrådsanmälan</t>
        </is>
      </c>
      <c r="C4" t="inlineStr">
        <is>
          <t>Annan skogsbruksåtgärd</t>
        </is>
      </c>
      <c r="D4" s="1" t="n">
        <v>45114</v>
      </c>
      <c r="E4" s="1" t="n">
        <v>46309</v>
      </c>
      <c r="F4" t="inlineStr">
        <is>
          <t>UPPSALA LÄN</t>
        </is>
      </c>
      <c r="G4" t="inlineStr">
        <is>
          <t>ÖSTHAMMAR</t>
        </is>
      </c>
      <c r="H4" t="inlineStr">
        <is>
          <t>Bergvik skog öst AB</t>
        </is>
      </c>
      <c r="I4" t="n">
        <v>29.3</v>
      </c>
      <c r="J4" t="n">
        <v>5</v>
      </c>
      <c r="K4" t="n">
        <v>31</v>
      </c>
      <c r="L4" t="n">
        <v>13</v>
      </c>
      <c r="M4" t="n">
        <v>8</v>
      </c>
      <c r="N4" t="n">
        <v>4</v>
      </c>
      <c r="O4" t="n">
        <v>0</v>
      </c>
      <c r="P4" t="n">
        <v>0</v>
      </c>
      <c r="Q4" t="n">
        <v>25</v>
      </c>
      <c r="R4" t="n">
        <v>12</v>
      </c>
      <c r="S4" t="n">
        <v>59</v>
      </c>
      <c r="T4" t="n">
        <v>296</v>
      </c>
      <c r="U4" t="n">
        <v>10</v>
      </c>
      <c r="V4" s="2" t="inlineStr">
        <is>
          <t>Almlav
Ask
Prakttagging
Skogsalm
Almdyna
Aspfjädermossa
Brun lundlav
Ekpricklav
Gulvit blekspik
Lundfingersvamp
Mörk kraterlav
Skogskorn
Grynig filtlav
Kandelabersvamp
Kötticka
Lunglav
Månlåsbräken
Parknål
Rutskinn
Rödbrun blekspik
Skogssvingel
Stor sotdyna
Vintertagging
Vit vedfingersvamp
Vårärt
Blomskägglav
Bårdlav
Fransig jordstjärna
Fällmossa
Grov baronmossa
Grov fjädermossa
Grovticka
Grön sköldmossa
Guldlockmossa
Gulpudrad spiklav
Liten baronmossa
Lönnlav
Myskmadra
Platt fjädermossa
Rävticka
Scharlakansvårskål agg.
Skogsknipprot
Slät lönnlav
Sotlav
Stenporella
Stor aspticka
Strutbräken
Strävlosta
Stubbspretmossa
Svart trolldruva
Thomsons trägnagare
Tibast
Trubbfjädermossa
Trädporella
Underviol
Vedticka
Blåsippa
Utter
Lopplummer (aggregat)</t>
        </is>
      </c>
      <c r="W4">
        <f>HYPERLINK("https://klasma.github.io/Logging_0382/artfynd/S 2443-2023 artfynd.xlsx", "S 2443-2023")</f>
        <v/>
      </c>
      <c r="X4">
        <f>HYPERLINK("https://klasma.github.io/Logging_0382/kartor/S 2443-2023 karta.png", "S 2443-2023")</f>
        <v/>
      </c>
      <c r="Y4">
        <f>HYPERLINK("https://klasma.github.io/Logging_0382/kartor_geotiff/S 2443-2023 georefererad karta.tif", "S 2443-2023")</f>
        <v/>
      </c>
      <c r="AA4">
        <f>HYPERLINK("https://klasma.github.io/Logging_0382/klagomål/S 2443-2023 FSC-klagomål.docx", "S 2443-2023")</f>
        <v/>
      </c>
      <c r="AB4">
        <f>HYPERLINK("https://klasma.github.io/Logging_0382/klagomålsmail/S 2443-2023 FSC-klagomål mail.docx", "S 2443-2023")</f>
        <v/>
      </c>
      <c r="AC4">
        <f>HYPERLINK("https://klasma.github.io/Logging_0382/tillsyn/S 2443-2023 tillsynsbegäran.docx", "S 2443-2023")</f>
        <v/>
      </c>
      <c r="AD4">
        <f>HYPERLINK("https://klasma.github.io/Logging_0382/tillsynsmail/S 2443-2023 tillsynsbegäran mail.docx", "S 2443-2023")</f>
        <v/>
      </c>
    </row>
    <row r="5" ht="15" customHeight="1">
      <c r="A5" t="inlineStr">
        <is>
          <t>A 29556-2023</t>
        </is>
      </c>
      <c r="B5" t="inlineStr">
        <is>
          <t>avverkningsanmälan</t>
        </is>
      </c>
      <c r="C5" t="inlineStr">
        <is>
          <t>Föryngringsavverkning</t>
        </is>
      </c>
      <c r="D5" s="1" t="n">
        <v>45106</v>
      </c>
      <c r="E5" s="1" t="n">
        <v>46309</v>
      </c>
      <c r="F5" t="inlineStr">
        <is>
          <t>UPPSALA LÄN</t>
        </is>
      </c>
      <c r="G5" t="inlineStr">
        <is>
          <t>ÖSTHAMMAR</t>
        </is>
      </c>
      <c r="H5" t="inlineStr">
        <is>
          <t>Naturvårdsverket</t>
        </is>
      </c>
      <c r="I5" t="n">
        <v>13.3</v>
      </c>
      <c r="J5" t="n">
        <v>17</v>
      </c>
      <c r="K5" t="n">
        <v>13</v>
      </c>
      <c r="L5" t="n">
        <v>18</v>
      </c>
      <c r="M5" t="n">
        <v>6</v>
      </c>
      <c r="N5" t="n">
        <v>2</v>
      </c>
      <c r="O5" t="n">
        <v>0</v>
      </c>
      <c r="P5" t="n">
        <v>0</v>
      </c>
      <c r="Q5" t="n">
        <v>26</v>
      </c>
      <c r="R5" t="n">
        <v>8</v>
      </c>
      <c r="S5" t="n">
        <v>52</v>
      </c>
      <c r="T5" t="n">
        <v>334</v>
      </c>
      <c r="U5" t="n">
        <v>334</v>
      </c>
      <c r="V5" s="2" t="inlineStr">
        <is>
          <t>Gyllenfingersvamp
Mandarinfingersvamp
Garnlav
Grangråticka
Knärot
Läderdoftande fingersvamp
Ringlav
Smultronkantarell
Blek fingersvamp
Denisespindling
Dofttaggsvamp
Fjällig taggsvamp s.str.
Kattfotslav
Mindre hackspett
Motaggsvamp
Odörspindling
Phellodon dititomentosus
Rosenticka
Rynkskinn
Skarp dropptaggsvamp
Sotvaxskivling
Talltita
Ullticka
Vedtrappmossa
Vårärt
Älg
Anisspindling
Bronshjon
Granbarkgnagare
Grön sköldmossa
Grönpyrola
Olivspindling
Rödgul trumpetsvamp
Skogsknipprot
Stubbspretmossa
Svavelriska
Tibast
Toppvaxing
Vedticka
Blåsippa
Järpe
Kransmossa
Spillkråka
Tjäder
Gröngöling
Kungsfågel
Vanlig groda
Vanlig padda
Fläcknycklar
Nattviol
Gullviva
Revlummer</t>
        </is>
      </c>
      <c r="W5">
        <f>HYPERLINK("https://klasma.github.io/Logging_0382/artfynd/A 29556-2023 artfynd.xlsx", "A 29556-2023")</f>
        <v/>
      </c>
      <c r="X5">
        <f>HYPERLINK("https://klasma.github.io/Logging_0382/kartor/A 29556-2023 karta.png", "A 29556-2023")</f>
        <v/>
      </c>
      <c r="Y5">
        <f>HYPERLINK("https://klasma.github.io/Logging_0382/kartor_geotiff/A 29556-2023 georefererad karta.tif", "A 29556-2023")</f>
        <v/>
      </c>
      <c r="Z5">
        <f>HYPERLINK("https://klasma.github.io/Logging_0382/knärot/A 29556-2023 karta knärot.png", "A 29556-2023")</f>
        <v/>
      </c>
      <c r="AA5">
        <f>HYPERLINK("https://klasma.github.io/Logging_0382/klagomål/A 29556-2023 FSC-klagomål.docx", "A 29556-2023")</f>
        <v/>
      </c>
      <c r="AB5">
        <f>HYPERLINK("https://klasma.github.io/Logging_0382/klagomålsmail/A 29556-2023 FSC-klagomål mail.docx", "A 29556-2023")</f>
        <v/>
      </c>
      <c r="AC5">
        <f>HYPERLINK("https://klasma.github.io/Logging_0382/tillsyn/A 29556-2023 tillsynsbegäran.docx", "A 29556-2023")</f>
        <v/>
      </c>
      <c r="AD5">
        <f>HYPERLINK("https://klasma.github.io/Logging_0382/tillsynsmail/A 29556-2023 tillsynsbegäran mail.docx", "A 29556-2023")</f>
        <v/>
      </c>
      <c r="AE5">
        <f>HYPERLINK("https://klasma.github.io/Logging_0382/fåglar/A 29556-2023 prioriterade fågelarter.docx", "A 29556-2023")</f>
        <v/>
      </c>
    </row>
    <row r="6" ht="15" customHeight="1">
      <c r="A6" t="inlineStr">
        <is>
          <t>A 19253-2026</t>
        </is>
      </c>
      <c r="B6" t="inlineStr">
        <is>
          <t>avverkningsanmälan</t>
        </is>
      </c>
      <c r="C6" t="inlineStr">
        <is>
          <t>Föryngringsavverkning</t>
        </is>
      </c>
      <c r="D6" s="1" t="n">
        <v>46132</v>
      </c>
      <c r="E6" s="1" t="n">
        <v>46309</v>
      </c>
      <c r="F6" t="inlineStr">
        <is>
          <t>UPPSALA LÄN</t>
        </is>
      </c>
      <c r="G6" t="inlineStr">
        <is>
          <t>ÖSTHAMMAR</t>
        </is>
      </c>
      <c r="H6" t="inlineStr">
        <is>
          <t>Naturvårdsverket</t>
        </is>
      </c>
      <c r="I6" t="n">
        <v>14.4</v>
      </c>
      <c r="J6" t="n">
        <v>8</v>
      </c>
      <c r="K6" t="n">
        <v>16</v>
      </c>
      <c r="L6" t="n">
        <v>18</v>
      </c>
      <c r="M6" t="n">
        <v>5</v>
      </c>
      <c r="N6" t="n">
        <v>1</v>
      </c>
      <c r="O6" t="n">
        <v>0</v>
      </c>
      <c r="P6" t="n">
        <v>0</v>
      </c>
      <c r="Q6" t="n">
        <v>24</v>
      </c>
      <c r="R6" t="n">
        <v>6</v>
      </c>
      <c r="S6" t="n">
        <v>48</v>
      </c>
      <c r="T6" t="n">
        <v>184</v>
      </c>
      <c r="U6" t="n">
        <v>118</v>
      </c>
      <c r="V6" s="2" t="inlineStr">
        <is>
          <t>Ask
Duvspindling
Gul taggsvamp
Knärot
Läderdoftande fingersvamp
Ostticka
Barrfagerspindling
Dofttaggsvamp
Fjällig taggsvamp s.str.
Gransotdyna
Motaggsvamp
Odörspindling
Orange taggsvamp
Persiljespindling
Puderspindling
Rynkskinn
Skarp dropptaggsvamp
Svartvit taggsvamp
Tallfingersvamp
Talltita
Ullticka
Vedskivlav
Vedtrappmossa
Vårärt
Blodticka
Brandticka
Bronshjon
Granbarkgnagare
Grön sköldmossa
Grönpyrola
Korallblylav
Olivspindling
Rödgul trumpetsvamp
Skinnlav
Skogsknipprot
Småvaxing
Stubbspretmossa
Svavelriska
Tibast
Vedticka
Blåsippa
Brudborste
Kransmossa
Mörk lungört
Ormbär
Spillkråka
Tjäder
Fläcknycklar</t>
        </is>
      </c>
      <c r="W6">
        <f>HYPERLINK("https://klasma.github.io/Logging_0382/artfynd/A 19253-2026 artfynd.xlsx", "A 19253-2026")</f>
        <v/>
      </c>
      <c r="X6">
        <f>HYPERLINK("https://klasma.github.io/Logging_0382/kartor/A 19253-2026 karta.png", "A 19253-2026")</f>
        <v/>
      </c>
      <c r="Y6">
        <f>HYPERLINK("https://klasma.github.io/Logging_0382/kartor_geotiff/A 19253-2026 georefererad karta.tif", "A 19253-2026")</f>
        <v/>
      </c>
      <c r="Z6">
        <f>HYPERLINK("https://klasma.github.io/Logging_0382/knärot/A 19253-2026 karta knärot.png", "A 19253-2026")</f>
        <v/>
      </c>
      <c r="AA6">
        <f>HYPERLINK("https://klasma.github.io/Logging_0382/klagomål/A 19253-2026 FSC-klagomål.docx", "A 19253-2026")</f>
        <v/>
      </c>
      <c r="AB6">
        <f>HYPERLINK("https://klasma.github.io/Logging_0382/klagomålsmail/A 19253-2026 FSC-klagomål mail.docx", "A 19253-2026")</f>
        <v/>
      </c>
      <c r="AC6">
        <f>HYPERLINK("https://klasma.github.io/Logging_0382/tillsyn/A 19253-2026 tillsynsbegäran.docx", "A 19253-2026")</f>
        <v/>
      </c>
      <c r="AD6">
        <f>HYPERLINK("https://klasma.github.io/Logging_0382/tillsynsmail/A 19253-2026 tillsynsbegäran mail.docx", "A 19253-2026")</f>
        <v/>
      </c>
      <c r="AE6">
        <f>HYPERLINK("https://klasma.github.io/Logging_0382/fåglar/A 19253-2026 prioriterade fågelarter.docx", "A 19253-2026")</f>
        <v/>
      </c>
    </row>
    <row r="7" ht="15" customHeight="1">
      <c r="A7" t="inlineStr">
        <is>
          <t>A 58719-2024</t>
        </is>
      </c>
      <c r="B7" t="inlineStr">
        <is>
          <t>avverkningsanmälan</t>
        </is>
      </c>
      <c r="C7" t="inlineStr">
        <is>
          <t>Avverkning för att bevara och utveckla /försöksver</t>
        </is>
      </c>
      <c r="D7" s="1" t="n">
        <v>45635</v>
      </c>
      <c r="E7" s="1" t="n">
        <v>46309</v>
      </c>
      <c r="F7" t="inlineStr">
        <is>
          <t>UPPSALA LÄN</t>
        </is>
      </c>
      <c r="G7" t="inlineStr">
        <is>
          <t>ÄLVKARLEBY</t>
        </is>
      </c>
      <c r="H7" t="inlineStr">
        <is>
          <t>Bergvik skog väst AB</t>
        </is>
      </c>
      <c r="I7" t="n">
        <v>60.6</v>
      </c>
      <c r="J7" t="n">
        <v>13</v>
      </c>
      <c r="K7" t="n">
        <v>14</v>
      </c>
      <c r="L7" t="n">
        <v>18</v>
      </c>
      <c r="M7" t="n">
        <v>2</v>
      </c>
      <c r="N7" t="n">
        <v>2</v>
      </c>
      <c r="O7" t="n">
        <v>0</v>
      </c>
      <c r="P7" t="n">
        <v>0</v>
      </c>
      <c r="Q7" t="n">
        <v>22</v>
      </c>
      <c r="R7" t="n">
        <v>4</v>
      </c>
      <c r="S7" t="n">
        <v>45</v>
      </c>
      <c r="T7" t="n">
        <v>261</v>
      </c>
      <c r="U7" t="n">
        <v>8</v>
      </c>
      <c r="V7" s="2" t="inlineStr">
        <is>
          <t>Ask
Skogsalm
Aspfjädermossa
Brunskaftad blekspik
Dunmossa
Flockig puderskivling
Grynig filtlav
Grönsångare
Gul dropplav
Gullpudra
Gultoppig fingersvamp
Järnsparv
Lunglav
Rutskinn
Rödvingetrast
Skogshare
Skogssvingel
Storgröe
Stubbtrådmossa
Sumpviol
Talltita
Vedtrappmossa
Blek puderskivling
Dvärghäxört
Jättesvampmal
Kalktallört
Lindskål
Myskmadra
Rödgul trumpetsvamp
Scharlakansvårskål agg.
Springkorn
Svart trolldruva
Tibast
Trubbfjädermossa
Underviol
Vätteros
Blåsippa
Gråspett
Järpe
Mindre flugsnappare
Kungsfågel
Svartvit flugsnappare
Trana
Grönvit nattviol
Lopplummer (aggregat)</t>
        </is>
      </c>
      <c r="W7">
        <f>HYPERLINK("https://klasma.github.io/Logging_0319/artfynd/A 58719-2024 artfynd.xlsx", "A 58719-2024")</f>
        <v/>
      </c>
      <c r="X7">
        <f>HYPERLINK("https://klasma.github.io/Logging_0319/kartor/A 58719-2024 karta.png", "A 58719-2024")</f>
        <v/>
      </c>
      <c r="Y7">
        <f>HYPERLINK("https://klasma.github.io/Logging_0319/kartor_geotiff/A 58719-2024 georefererad karta.tif", "A 58719-2024")</f>
        <v/>
      </c>
      <c r="AA7">
        <f>HYPERLINK("https://klasma.github.io/Logging_0319/klagomål/A 58719-2024 FSC-klagomål.docx", "A 58719-2024")</f>
        <v/>
      </c>
      <c r="AB7">
        <f>HYPERLINK("https://klasma.github.io/Logging_0319/klagomålsmail/A 58719-2024 FSC-klagomål mail.docx", "A 58719-2024")</f>
        <v/>
      </c>
      <c r="AC7">
        <f>HYPERLINK("https://klasma.github.io/Logging_0319/tillsyn/A 58719-2024 tillsynsbegäran.docx", "A 58719-2024")</f>
        <v/>
      </c>
      <c r="AD7">
        <f>HYPERLINK("https://klasma.github.io/Logging_0319/tillsynsmail/A 58719-2024 tillsynsbegäran mail.docx", "A 58719-2024")</f>
        <v/>
      </c>
      <c r="AE7">
        <f>HYPERLINK("https://klasma.github.io/Logging_0319/fåglar/A 58719-2024 prioriterade fågelarter.docx", "A 58719-2024")</f>
        <v/>
      </c>
    </row>
    <row r="8" ht="15" customHeight="1">
      <c r="A8" t="inlineStr">
        <is>
          <t>A 30484-2025</t>
        </is>
      </c>
      <c r="B8" t="inlineStr">
        <is>
          <t>avverkningsanmälan</t>
        </is>
      </c>
      <c r="C8" t="inlineStr">
        <is>
          <t>Föryngringsavverkning</t>
        </is>
      </c>
      <c r="D8" s="1" t="n">
        <v>45828</v>
      </c>
      <c r="E8" s="1" t="n">
        <v>46309</v>
      </c>
      <c r="F8" t="inlineStr">
        <is>
          <t>UPPSALA LÄN</t>
        </is>
      </c>
      <c r="G8" t="inlineStr">
        <is>
          <t>ÄLVKARLEBY</t>
        </is>
      </c>
      <c r="H8" t="inlineStr">
        <is>
          <t>Bergvik skog väst AB</t>
        </is>
      </c>
      <c r="I8" t="n">
        <v>1.6</v>
      </c>
      <c r="J8" t="n">
        <v>7</v>
      </c>
      <c r="K8" t="n">
        <v>7</v>
      </c>
      <c r="L8" t="n">
        <v>21</v>
      </c>
      <c r="M8" t="n">
        <v>9</v>
      </c>
      <c r="N8" t="n">
        <v>2</v>
      </c>
      <c r="O8" t="n">
        <v>0</v>
      </c>
      <c r="P8" t="n">
        <v>0</v>
      </c>
      <c r="Q8" t="n">
        <v>32</v>
      </c>
      <c r="R8" t="n">
        <v>11</v>
      </c>
      <c r="S8" t="n">
        <v>44</v>
      </c>
      <c r="T8" t="n">
        <v>75</v>
      </c>
      <c r="U8" t="n">
        <v>20</v>
      </c>
      <c r="V8" s="2" t="inlineStr">
        <is>
          <t>Skogsalm
Stor bockrot
Bredbrämad bastardsvärmare
Duvspindling
Gul lammticka
Kopparspindling
Läderdoftande fingersvamp
Mindre bastardsvärmare
Sexfläckig bastardsvärmare
Smalsprötad bastardsvärmare
Ängsblåvinge
Backklöver
Barrfagerspindling
Blå slemspindling
Fyrpunktsplattmal
Jungfrulinsfly
Jungfrulinspraktmal
Klasefibbla
Ljusryggad bockrotsplattmal
Majviva
Odörspindling
Persiljespindling
Rödblärearvmal
Rödfläckig zontaggsvamp
Skarp dropptaggsvamp
Skogsklocka
Slåtterfibbla
Sotnätfjäril
Större borstspinnare
Säfferot
Vårärt
Äggspindling
Anisspindling
Guckusko
Gulvaxing
Olivspindling
Skogsknipprot
Svart trolldruva
Underviol
Blåsippa
Gråspett
Brudsporre
Fläcknycklar
Gullviva</t>
        </is>
      </c>
      <c r="W8">
        <f>HYPERLINK("https://klasma.github.io/Logging_0319/artfynd/A 30484-2025 artfynd.xlsx", "A 30484-2025")</f>
        <v/>
      </c>
      <c r="X8">
        <f>HYPERLINK("https://klasma.github.io/Logging_0319/kartor/A 30484-2025 karta.png", "A 30484-2025")</f>
        <v/>
      </c>
      <c r="Y8">
        <f>HYPERLINK("https://klasma.github.io/Logging_0319/kartor_geotiff/A 30484-2025 georefererad karta.tif", "A 30484-2025")</f>
        <v/>
      </c>
      <c r="AA8">
        <f>HYPERLINK("https://klasma.github.io/Logging_0319/klagomål/A 30484-2025 FSC-klagomål.docx", "A 30484-2025")</f>
        <v/>
      </c>
      <c r="AB8">
        <f>HYPERLINK("https://klasma.github.io/Logging_0319/klagomålsmail/A 30484-2025 FSC-klagomål mail.docx", "A 30484-2025")</f>
        <v/>
      </c>
      <c r="AC8">
        <f>HYPERLINK("https://klasma.github.io/Logging_0319/tillsyn/A 30484-2025 tillsynsbegäran.docx", "A 30484-2025")</f>
        <v/>
      </c>
      <c r="AD8">
        <f>HYPERLINK("https://klasma.github.io/Logging_0319/tillsynsmail/A 30484-2025 tillsynsbegäran mail.docx", "A 30484-2025")</f>
        <v/>
      </c>
      <c r="AE8">
        <f>HYPERLINK("https://klasma.github.io/Logging_0319/fåglar/A 30484-2025 prioriterade fågelarter.docx", "A 30484-2025")</f>
        <v/>
      </c>
    </row>
    <row r="9" ht="15" customHeight="1">
      <c r="A9" t="inlineStr">
        <is>
          <t>A 51297-2024</t>
        </is>
      </c>
      <c r="B9" t="inlineStr">
        <is>
          <t>avverkningsanmälan</t>
        </is>
      </c>
      <c r="C9" t="inlineStr">
        <is>
          <t>Avverkning för att bevara och utveckla /försöksver</t>
        </is>
      </c>
      <c r="D9" s="1" t="n">
        <v>45603</v>
      </c>
      <c r="E9" s="1" t="n">
        <v>46309</v>
      </c>
      <c r="F9" t="inlineStr">
        <is>
          <t>UPPSALA LÄN</t>
        </is>
      </c>
      <c r="G9" t="inlineStr">
        <is>
          <t>UPPSALA</t>
        </is>
      </c>
      <c r="H9" t="inlineStr">
        <is>
          <t>Övriga statliga verk och myndigheter</t>
        </is>
      </c>
      <c r="I9" t="n">
        <v>322.7</v>
      </c>
      <c r="J9" t="n">
        <v>24</v>
      </c>
      <c r="K9" t="n">
        <v>11</v>
      </c>
      <c r="L9" t="n">
        <v>17</v>
      </c>
      <c r="M9" t="n">
        <v>2</v>
      </c>
      <c r="N9" t="n">
        <v>2</v>
      </c>
      <c r="O9" t="n">
        <v>0</v>
      </c>
      <c r="P9" t="n">
        <v>0</v>
      </c>
      <c r="Q9" t="n">
        <v>21</v>
      </c>
      <c r="R9" t="n">
        <v>4</v>
      </c>
      <c r="S9" t="n">
        <v>43</v>
      </c>
      <c r="T9" t="n">
        <v>65</v>
      </c>
      <c r="U9" t="n">
        <v>14</v>
      </c>
      <c r="V9" s="2" t="inlineStr">
        <is>
          <t>Bombmurkla
Pärluggla
Cinnoberbagge
Västlig njurlav
Blastenia relicta
Duvhök
Grynig filtlav
Göktyta
Koralltaggsvamp
Lunglav
Mindre hackspett
Nötkråka
Rödbrun blekspik
Rödvingetrast
Skuggorangelav
Sparvuggla
Talltita
Tretåig hackspett
Ullticka
Vinterhämpling
Vippärt
Aspvedborre
Barkticka
Bårdlav
Grön sköldmossa
Lönnlav
Platt fjädermossa
Rävticka
Skinnlav
Stor aspticka
Stuplav
Trådticka
Gråspett
Järpe
Nattskärra
Spillkråka
Tjäder
Gröngöling
Kungsfågel
Orre
Skogsduva
Slaguggla
Trana</t>
        </is>
      </c>
      <c r="W9">
        <f>HYPERLINK("https://klasma.github.io/Logging_0380/artfynd/A 51297-2024 artfynd.xlsx", "A 51297-2024")</f>
        <v/>
      </c>
      <c r="X9">
        <f>HYPERLINK("https://klasma.github.io/Logging_0380/kartor/A 51297-2024 karta.png", "A 51297-2024")</f>
        <v/>
      </c>
      <c r="Y9">
        <f>HYPERLINK("https://klasma.github.io/Logging_0380/kartor_geotiff/A 51297-2024 georefererad karta.tif", "A 51297-2024")</f>
        <v/>
      </c>
      <c r="AA9">
        <f>HYPERLINK("https://klasma.github.io/Logging_0380/klagomål/A 51297-2024 FSC-klagomål.docx", "A 51297-2024")</f>
        <v/>
      </c>
      <c r="AB9">
        <f>HYPERLINK("https://klasma.github.io/Logging_0380/klagomålsmail/A 51297-2024 FSC-klagomål mail.docx", "A 51297-2024")</f>
        <v/>
      </c>
      <c r="AC9">
        <f>HYPERLINK("https://klasma.github.io/Logging_0380/tillsyn/A 51297-2024 tillsynsbegäran.docx", "A 51297-2024")</f>
        <v/>
      </c>
      <c r="AD9">
        <f>HYPERLINK("https://klasma.github.io/Logging_0380/tillsynsmail/A 51297-2024 tillsynsbegäran mail.docx", "A 51297-2024")</f>
        <v/>
      </c>
      <c r="AE9">
        <f>HYPERLINK("https://klasma.github.io/Logging_0380/fåglar/A 51297-2024 prioriterade fågelarter.docx", "A 51297-2024")</f>
        <v/>
      </c>
    </row>
    <row r="10" ht="15" customHeight="1">
      <c r="A10" t="inlineStr">
        <is>
          <t>S 317-2025</t>
        </is>
      </c>
      <c r="B10" t="inlineStr">
        <is>
          <t>samrådsanmälan</t>
        </is>
      </c>
      <c r="C10" t="inlineStr">
        <is>
          <t>Annan skogsbruksåtgärd</t>
        </is>
      </c>
      <c r="D10" s="1" t="n">
        <v>45688</v>
      </c>
      <c r="E10" s="1" t="n">
        <v>46309</v>
      </c>
      <c r="F10" t="inlineStr">
        <is>
          <t>UPPSALA LÄN</t>
        </is>
      </c>
      <c r="G10" t="inlineStr">
        <is>
          <t>UPPSALA</t>
        </is>
      </c>
      <c r="I10" t="n">
        <v>3.3</v>
      </c>
      <c r="J10" t="n">
        <v>9</v>
      </c>
      <c r="K10" t="n">
        <v>16</v>
      </c>
      <c r="L10" t="n">
        <v>18</v>
      </c>
      <c r="M10" t="n">
        <v>2</v>
      </c>
      <c r="N10" t="n">
        <v>2</v>
      </c>
      <c r="O10" t="n">
        <v>0</v>
      </c>
      <c r="P10" t="n">
        <v>0</v>
      </c>
      <c r="Q10" t="n">
        <v>22</v>
      </c>
      <c r="R10" t="n">
        <v>4</v>
      </c>
      <c r="S10" t="n">
        <v>43</v>
      </c>
      <c r="T10" t="n">
        <v>126</v>
      </c>
      <c r="U10" t="n">
        <v>92</v>
      </c>
      <c r="V10" s="2" t="inlineStr">
        <is>
          <t>Almrostöra
Prakttagging
Blackticka
Ulltickeporing
Entita
Fjällig taggsvamp s.str.
Flattoppad klubbsvamp
Gammelekslav
Kandelabersvamp
Mindre hackspett
Nötkråka
Persiljespindling
Rosa skärelav
Rosenticka
Rutskinn
Rynkskinn
Rödbrun blekspik
Stjärnnästing
Svartöra
Talltita
Ullticka
Vågticka
Alsopp
Björksplintborre
Brandticka
Bronshjon
Brun nållav
Fällmossa
Granbarkgnagare
Guldlockmossa
Lönnlav
Narrtagging
Slanklav
Sotlav
Svart trolldruva
Svavelriska
Tibast
Zontaggsvamp
Blåsippa
Spillkråka
Havsörn
Större vattensalamander
Gullviva</t>
        </is>
      </c>
      <c r="W10">
        <f>HYPERLINK("https://klasma.github.io/Logging_0380/artfynd/S 317-2025 artfynd.xlsx", "S 317-2025")</f>
        <v/>
      </c>
      <c r="X10">
        <f>HYPERLINK("https://klasma.github.io/Logging_0380/kartor/S 317-2025 karta.png", "S 317-2025")</f>
        <v/>
      </c>
      <c r="Y10">
        <f>HYPERLINK("https://klasma.github.io/Logging_0380/kartor_geotiff/S 317-2025 georefererad karta.tif", "S 317-2025")</f>
        <v/>
      </c>
      <c r="AA10">
        <f>HYPERLINK("https://klasma.github.io/Logging_0380/klagomål/S 317-2025 FSC-klagomål.docx", "S 317-2025")</f>
        <v/>
      </c>
      <c r="AB10">
        <f>HYPERLINK("https://klasma.github.io/Logging_0380/klagomålsmail/S 317-2025 FSC-klagomål mail.docx", "S 317-2025")</f>
        <v/>
      </c>
      <c r="AC10">
        <f>HYPERLINK("https://klasma.github.io/Logging_0380/tillsyn/S 317-2025 tillsynsbegäran.docx", "S 317-2025")</f>
        <v/>
      </c>
      <c r="AD10">
        <f>HYPERLINK("https://klasma.github.io/Logging_0380/tillsynsmail/S 317-2025 tillsynsbegäran mail.docx", "S 317-2025")</f>
        <v/>
      </c>
      <c r="AE10">
        <f>HYPERLINK("https://klasma.github.io/Logging_0380/fåglar/S 317-2025 prioriterade fågelarter.docx", "S 317-2025")</f>
        <v/>
      </c>
    </row>
    <row r="11" ht="15" customHeight="1">
      <c r="A11" t="inlineStr">
        <is>
          <t>A 4056-2022</t>
        </is>
      </c>
      <c r="B11" t="inlineStr">
        <is>
          <t>avverkningsanmälan</t>
        </is>
      </c>
      <c r="C11" t="inlineStr">
        <is>
          <t>Föryngringsavverkning</t>
        </is>
      </c>
      <c r="D11" s="1" t="n">
        <v>44588</v>
      </c>
      <c r="E11" s="1" t="n">
        <v>46309</v>
      </c>
      <c r="F11" t="inlineStr">
        <is>
          <t>UPPSALA LÄN</t>
        </is>
      </c>
      <c r="G11" t="inlineStr">
        <is>
          <t>KNIVSTA</t>
        </is>
      </c>
      <c r="I11" t="n">
        <v>14.4</v>
      </c>
      <c r="J11" t="n">
        <v>8</v>
      </c>
      <c r="K11" t="n">
        <v>12</v>
      </c>
      <c r="L11" t="n">
        <v>15</v>
      </c>
      <c r="M11" t="n">
        <v>4</v>
      </c>
      <c r="N11" t="n">
        <v>3</v>
      </c>
      <c r="O11" t="n">
        <v>0</v>
      </c>
      <c r="P11" t="n">
        <v>0</v>
      </c>
      <c r="Q11" t="n">
        <v>22</v>
      </c>
      <c r="R11" t="n">
        <v>7</v>
      </c>
      <c r="S11" t="n">
        <v>39</v>
      </c>
      <c r="T11" t="n">
        <v>125</v>
      </c>
      <c r="U11" t="n">
        <v>118</v>
      </c>
      <c r="V11" s="2" t="inlineStr">
        <is>
          <t>Bitter taggsvamp
Knölig taggsvamp
Koppartaggsvamp
Gränsticka
Knärot
Laxporing
Skrovlig taggsvamp
Dropptaggsvamp
Entita
Gransotdyna
Kandelabersvamp
Kötticka
Mindre hackspett
Orange taggsvamp
Rosenticka
Rynkskinn
Skarp dropptaggsvamp
Svartöra
Såpfingersvamp
Tallkötticka
Tallticka
Ullticka
Blodticka
Blomkålssvamp
Blåmossa
Brandticka
Bronshjon
Grovticka
Gullgröppa
Mindre märgborre
Rödgul trumpetsvamp
Smal svampklubba
Svart trolldruva
Trådticka
Blåsippa
Spillkråka
Kungsfågel
Skogsduva
Fläcknycklar</t>
        </is>
      </c>
      <c r="W11">
        <f>HYPERLINK("https://klasma.github.io/Logging_0330/artfynd/A 4056-2022 artfynd.xlsx", "A 4056-2022")</f>
        <v/>
      </c>
      <c r="X11">
        <f>HYPERLINK("https://klasma.github.io/Logging_0330/kartor/A 4056-2022 karta.png", "A 4056-2022")</f>
        <v/>
      </c>
      <c r="Y11">
        <f>HYPERLINK("https://klasma.github.io/Logging_0330/kartor_geotiff/A 4056-2022 georefererad karta.tif", "A 4056-2022")</f>
        <v/>
      </c>
      <c r="Z11">
        <f>HYPERLINK("https://klasma.github.io/Logging_0330/knärot/A 4056-2022 karta knärot.png", "A 4056-2022")</f>
        <v/>
      </c>
      <c r="AA11">
        <f>HYPERLINK("https://klasma.github.io/Logging_0330/klagomål/A 4056-2022 FSC-klagomål.docx", "A 4056-2022")</f>
        <v/>
      </c>
      <c r="AB11">
        <f>HYPERLINK("https://klasma.github.io/Logging_0330/klagomålsmail/A 4056-2022 FSC-klagomål mail.docx", "A 4056-2022")</f>
        <v/>
      </c>
      <c r="AC11">
        <f>HYPERLINK("https://klasma.github.io/Logging_0330/tillsyn/A 4056-2022 tillsynsbegäran.docx", "A 4056-2022")</f>
        <v/>
      </c>
      <c r="AD11">
        <f>HYPERLINK("https://klasma.github.io/Logging_0330/tillsynsmail/A 4056-2022 tillsynsbegäran mail.docx", "A 4056-2022")</f>
        <v/>
      </c>
      <c r="AE11">
        <f>HYPERLINK("https://klasma.github.io/Logging_0330/fåglar/A 4056-2022 prioriterade fågelarter.docx", "A 4056-2022")</f>
        <v/>
      </c>
    </row>
    <row r="12" ht="15" customHeight="1">
      <c r="A12" t="inlineStr">
        <is>
          <t>A 28392-2026</t>
        </is>
      </c>
      <c r="B12" t="inlineStr">
        <is>
          <t>avverkningsanmälan</t>
        </is>
      </c>
      <c r="C12" t="inlineStr">
        <is>
          <t>Föryngringsavverkning</t>
        </is>
      </c>
      <c r="D12" s="1" t="n">
        <v>46196</v>
      </c>
      <c r="E12" s="1" t="n">
        <v>46309</v>
      </c>
      <c r="F12" t="inlineStr">
        <is>
          <t>UPPSALA LÄN</t>
        </is>
      </c>
      <c r="G12" t="inlineStr">
        <is>
          <t>ÖSTHAMMAR</t>
        </is>
      </c>
      <c r="I12" t="n">
        <v>34.4</v>
      </c>
      <c r="J12" t="n">
        <v>12</v>
      </c>
      <c r="K12" t="n">
        <v>17</v>
      </c>
      <c r="L12" t="n">
        <v>10</v>
      </c>
      <c r="M12" t="n">
        <v>6</v>
      </c>
      <c r="N12" t="n">
        <v>0</v>
      </c>
      <c r="O12" t="n">
        <v>0</v>
      </c>
      <c r="P12" t="n">
        <v>0</v>
      </c>
      <c r="Q12" t="n">
        <v>16</v>
      </c>
      <c r="R12" t="n">
        <v>6</v>
      </c>
      <c r="S12" t="n">
        <v>39</v>
      </c>
      <c r="T12" t="n">
        <v>319</v>
      </c>
      <c r="U12" t="n">
        <v>319</v>
      </c>
      <c r="V12" s="2" t="inlineStr">
        <is>
          <t>Duvspindling
Gränsticka
Knärot
Mörk kådsvartspik
Ringlav
Ulltickeporing
Fjällig taggsvamp s.str.
Kattfotslav
Mindre hackspett
Rynkskinn
Sårläka
Talltita
Ullticka
Vedskivlav
Vedtrappmossa
Äggspindling
Anisspindling
Björksplintborre
Bronshjon
Granbarkgnagare
Grovticka
Grön sköldmossa
Grönpyrola
Jättesvampmal
Kalktallört
Korallrot
Nästrot
Plattlummer
Stubbspretmossa
Thomsons trägnagare
Tvåblad
Vedticka
Vågbandad barkbock
Blåsippa
Kransmossa
Kärrbräken
Spillkråka
Fläcknycklar
Nattviol</t>
        </is>
      </c>
      <c r="W12">
        <f>HYPERLINK("https://klasma.github.io/Logging_0382/artfynd/A 28392-2026 artfynd.xlsx", "A 28392-2026")</f>
        <v/>
      </c>
      <c r="X12">
        <f>HYPERLINK("https://klasma.github.io/Logging_0382/kartor/A 28392-2026 karta.png", "A 28392-2026")</f>
        <v/>
      </c>
      <c r="Y12">
        <f>HYPERLINK("https://klasma.github.io/Logging_0382/kartor_geotiff/A 28392-2026 georefererad karta.tif", "A 28392-2026")</f>
        <v/>
      </c>
      <c r="Z12">
        <f>HYPERLINK("https://klasma.github.io/Logging_0382/knärot/A 28392-2026 karta knärot.png", "A 28392-2026")</f>
        <v/>
      </c>
      <c r="AA12">
        <f>HYPERLINK("https://klasma.github.io/Logging_0382/klagomål/A 28392-2026 FSC-klagomål.docx", "A 28392-2026")</f>
        <v/>
      </c>
      <c r="AB12">
        <f>HYPERLINK("https://klasma.github.io/Logging_0382/klagomålsmail/A 28392-2026 FSC-klagomål mail.docx", "A 28392-2026")</f>
        <v/>
      </c>
      <c r="AC12">
        <f>HYPERLINK("https://klasma.github.io/Logging_0382/tillsyn/A 28392-2026 tillsynsbegäran.docx", "A 28392-2026")</f>
        <v/>
      </c>
      <c r="AD12">
        <f>HYPERLINK("https://klasma.github.io/Logging_0382/tillsynsmail/A 28392-2026 tillsynsbegäran mail.docx", "A 28392-2026")</f>
        <v/>
      </c>
      <c r="AE12">
        <f>HYPERLINK("https://klasma.github.io/Logging_0382/fåglar/A 28392-2026 prioriterade fågelarter.docx", "A 28392-2026")</f>
        <v/>
      </c>
    </row>
    <row r="13" ht="15" customHeight="1">
      <c r="A13" t="inlineStr">
        <is>
          <t>S 2566-2020</t>
        </is>
      </c>
      <c r="B13" t="inlineStr">
        <is>
          <t>samrådsanmälan</t>
        </is>
      </c>
      <c r="C13" t="inlineStr">
        <is>
          <t>Åtgärd i nyckelbiotop</t>
        </is>
      </c>
      <c r="D13" s="1" t="n">
        <v>44160</v>
      </c>
      <c r="E13" s="1" t="n">
        <v>46309</v>
      </c>
      <c r="F13" t="inlineStr">
        <is>
          <t>UPPSALA LÄN</t>
        </is>
      </c>
      <c r="G13" t="inlineStr">
        <is>
          <t>UPPSALA</t>
        </is>
      </c>
      <c r="I13" t="n">
        <v>8.9</v>
      </c>
      <c r="J13" t="n">
        <v>2</v>
      </c>
      <c r="K13" t="n">
        <v>12</v>
      </c>
      <c r="L13" t="n">
        <v>16</v>
      </c>
      <c r="M13" t="n">
        <v>7</v>
      </c>
      <c r="N13" t="n">
        <v>3</v>
      </c>
      <c r="O13" t="n">
        <v>0</v>
      </c>
      <c r="P13" t="n">
        <v>0</v>
      </c>
      <c r="Q13" t="n">
        <v>26</v>
      </c>
      <c r="R13" t="n">
        <v>10</v>
      </c>
      <c r="S13" t="n">
        <v>39</v>
      </c>
      <c r="T13" t="n">
        <v>100</v>
      </c>
      <c r="U13" t="n">
        <v>50</v>
      </c>
      <c r="V13" s="2" t="inlineStr">
        <is>
          <t>Knölig taggsvamp
Koppartaggsvamp
Violgubbe
Borsttagging
Cinnoberbagge
Fläckfingersvamp
Grangråticka
Granrotspindling
Taggfingersvamp
Ulltickeporing
Blek fingersvamp
Dropptaggsvamp
Fjällig taggsvamp s.str.
Flattoppad klubbsvamp
Fyrflikig jordstjärna
Gultoppig fingersvamp
Koralltaggsvamp
Motaggsvamp
Rovspindling
Rynkskinn
Skarp dropptaggsvamp
Sotvaxskivling
Tallkötticka
Ullticka
Veckticka
Vågticka
Blomkålssvamp
Brandticka
Gulskölding
Kamjordstjärna
Olivspindling
Rödgul trumpetsvamp
Smal svampklubba
Småskölding
Stor aspticka
Svavelriska
Terpentinmossa
Zontaggsvamp
Blåsippa</t>
        </is>
      </c>
      <c r="W13">
        <f>HYPERLINK("https://klasma.github.io/Logging_0380/artfynd/S 2566-2020 artfynd.xlsx", "S 2566-2020")</f>
        <v/>
      </c>
      <c r="X13">
        <f>HYPERLINK("https://klasma.github.io/Logging_0380/kartor/S 2566-2020 karta.png", "S 2566-2020")</f>
        <v/>
      </c>
      <c r="Y13">
        <f>HYPERLINK("https://klasma.github.io/Logging_0380/kartor_geotiff/S 2566-2020 georefererad karta.tif", "S 2566-2020")</f>
        <v/>
      </c>
      <c r="AA13">
        <f>HYPERLINK("https://klasma.github.io/Logging_0380/klagomål/S 2566-2020 FSC-klagomål.docx", "S 2566-2020")</f>
        <v/>
      </c>
      <c r="AB13">
        <f>HYPERLINK("https://klasma.github.io/Logging_0380/klagomålsmail/S 2566-2020 FSC-klagomål mail.docx", "S 2566-2020")</f>
        <v/>
      </c>
      <c r="AC13">
        <f>HYPERLINK("https://klasma.github.io/Logging_0380/tillsyn/S 2566-2020 tillsynsbegäran.docx", "S 2566-2020")</f>
        <v/>
      </c>
      <c r="AD13">
        <f>HYPERLINK("https://klasma.github.io/Logging_0380/tillsynsmail/S 2566-2020 tillsynsbegäran mail.docx", "S 2566-2020")</f>
        <v/>
      </c>
    </row>
    <row r="14" ht="15" customHeight="1">
      <c r="A14" t="inlineStr">
        <is>
          <t>A 48241-2024</t>
        </is>
      </c>
      <c r="B14" t="inlineStr">
        <is>
          <t>avverkningsanmälan</t>
        </is>
      </c>
      <c r="C14" t="inlineStr">
        <is>
          <t>Avverkning för annat ändamål</t>
        </is>
      </c>
      <c r="D14" s="1" t="n">
        <v>45590</v>
      </c>
      <c r="E14" s="1" t="n">
        <v>46309</v>
      </c>
      <c r="F14" t="inlineStr">
        <is>
          <t>UPPSALA LÄN</t>
        </is>
      </c>
      <c r="G14" t="inlineStr">
        <is>
          <t>ÖSTHAMMAR</t>
        </is>
      </c>
      <c r="I14" t="n">
        <v>10.2</v>
      </c>
      <c r="J14" t="n">
        <v>35</v>
      </c>
      <c r="K14" t="n">
        <v>1</v>
      </c>
      <c r="L14" t="n">
        <v>10</v>
      </c>
      <c r="M14" t="n">
        <v>4</v>
      </c>
      <c r="N14" t="n">
        <v>0</v>
      </c>
      <c r="O14" t="n">
        <v>1</v>
      </c>
      <c r="P14" t="n">
        <v>0</v>
      </c>
      <c r="Q14" t="n">
        <v>15</v>
      </c>
      <c r="R14" t="n">
        <v>5</v>
      </c>
      <c r="S14" t="n">
        <v>38</v>
      </c>
      <c r="T14" t="n">
        <v>423</v>
      </c>
      <c r="U14" t="n">
        <v>352</v>
      </c>
      <c r="V14" s="2" t="inlineStr">
        <is>
          <t>Ål
Grönfink
Gölgroda
Stare
Svart rödstjärt
Björktrast
Drillsnäppa
Enkelbeckasin
Gulsparv
Järnsparv
Rödvingetrast
Rörsångare
Skrattmås
Sädesärla
Talltita
Tvåblad
Spillkråka
Sälg
Tallbit
Ängskovall
Citronfläckad kärrtrollslända
Grönsiska
Havsörn
Kråka
Kungsfågel
Större vattensalamander
Sångsvan
Ärtsångare
Åkergroda
Huggorm
Kopparödla
Mindre vattensalamander
Skogsödla
Vanlig groda
Vanlig padda
Vanlig snok
Nattviol
Revlummer</t>
        </is>
      </c>
      <c r="W14">
        <f>HYPERLINK("https://klasma.github.io/Logging_0382/artfynd/A 48241-2024 artfynd.xlsx", "A 48241-2024")</f>
        <v/>
      </c>
      <c r="X14">
        <f>HYPERLINK("https://klasma.github.io/Logging_0382/kartor/A 48241-2024 karta.png", "A 48241-2024")</f>
        <v/>
      </c>
      <c r="Y14">
        <f>HYPERLINK("https://klasma.github.io/Logging_0382/kartor_geotiff/A 48241-2024 georefererad karta.tif", "A 48241-2024")</f>
        <v/>
      </c>
      <c r="AA14">
        <f>HYPERLINK("https://klasma.github.io/Logging_0382/klagomål/A 48241-2024 FSC-klagomål.docx", "A 48241-2024")</f>
        <v/>
      </c>
      <c r="AB14">
        <f>HYPERLINK("https://klasma.github.io/Logging_0382/klagomålsmail/A 48241-2024 FSC-klagomål mail.docx", "A 48241-2024")</f>
        <v/>
      </c>
      <c r="AC14">
        <f>HYPERLINK("https://klasma.github.io/Logging_0382/tillsyn/A 48241-2024 tillsynsbegäran.docx", "A 48241-2024")</f>
        <v/>
      </c>
      <c r="AD14">
        <f>HYPERLINK("https://klasma.github.io/Logging_0382/tillsynsmail/A 48241-2024 tillsynsbegäran mail.docx", "A 48241-2024")</f>
        <v/>
      </c>
      <c r="AE14">
        <f>HYPERLINK("https://klasma.github.io/Logging_0382/fåglar/A 48241-2024 prioriterade fågelarter.docx", "A 48241-2024")</f>
        <v/>
      </c>
    </row>
    <row r="15" ht="15" customHeight="1">
      <c r="A15" t="inlineStr">
        <is>
          <t>A 357-2025</t>
        </is>
      </c>
      <c r="B15" t="inlineStr">
        <is>
          <t>avverkningsanmälan</t>
        </is>
      </c>
      <c r="C15" t="inlineStr">
        <is>
          <t>Föryngringsavverkning</t>
        </is>
      </c>
      <c r="D15" s="1" t="n">
        <v>45659</v>
      </c>
      <c r="E15" s="1" t="n">
        <v>46309</v>
      </c>
      <c r="F15" t="inlineStr">
        <is>
          <t>UPPSALA LÄN</t>
        </is>
      </c>
      <c r="G15" t="inlineStr">
        <is>
          <t>ÖSTHAMMAR</t>
        </is>
      </c>
      <c r="I15" t="n">
        <v>15.8</v>
      </c>
      <c r="J15" t="n">
        <v>9</v>
      </c>
      <c r="K15" t="n">
        <v>16</v>
      </c>
      <c r="L15" t="n">
        <v>11</v>
      </c>
      <c r="M15" t="n">
        <v>2</v>
      </c>
      <c r="N15" t="n">
        <v>0</v>
      </c>
      <c r="O15" t="n">
        <v>0</v>
      </c>
      <c r="P15" t="n">
        <v>0</v>
      </c>
      <c r="Q15" t="n">
        <v>13</v>
      </c>
      <c r="R15" t="n">
        <v>2</v>
      </c>
      <c r="S15" t="n">
        <v>38</v>
      </c>
      <c r="T15" t="n">
        <v>157</v>
      </c>
      <c r="U15" t="n">
        <v>157</v>
      </c>
      <c r="V15" s="2" t="inlineStr">
        <is>
          <t>Garnlav
Gyllenspindling
Fjällig taggsvamp s.str.
Gultoppig fingersvamp
Kandelabersvamp
Kattfotslav
Persiljespindling
Rynkskinn
Skarp dropptaggsvamp
Sårläka
Talltita
Ullticka
Vårärt
Brandticka
Bronshjon
Bårdlav
Dvärgtufs
Granbarkgnagare
Grön sköldmossa
Kamjordstjärna
Korallblylav
Olivspindling
Rävticka
Skinnlav
Stor aspticka
Stubbspretmossa
Svavelriska
Tibast
Vätteros
Blåsippa
Kransmossa
Ormbär
Spillkråka
Tjäder
Tofsmes
Kungsfågel
Svartvit flugsnappare
Gullviva</t>
        </is>
      </c>
      <c r="W15">
        <f>HYPERLINK("https://klasma.github.io/Logging_0382/artfynd/A 357-2025 artfynd.xlsx", "A 357-2025")</f>
        <v/>
      </c>
      <c r="X15">
        <f>HYPERLINK("https://klasma.github.io/Logging_0382/kartor/A 357-2025 karta.png", "A 357-2025")</f>
        <v/>
      </c>
      <c r="Y15">
        <f>HYPERLINK("https://klasma.github.io/Logging_0382/kartor_geotiff/A 357-2025 georefererad karta.tif", "A 357-2025")</f>
        <v/>
      </c>
      <c r="AA15">
        <f>HYPERLINK("https://klasma.github.io/Logging_0382/klagomål/A 357-2025 FSC-klagomål.docx", "A 357-2025")</f>
        <v/>
      </c>
      <c r="AB15">
        <f>HYPERLINK("https://klasma.github.io/Logging_0382/klagomålsmail/A 357-2025 FSC-klagomål mail.docx", "A 357-2025")</f>
        <v/>
      </c>
      <c r="AC15">
        <f>HYPERLINK("https://klasma.github.io/Logging_0382/tillsyn/A 357-2025 tillsynsbegäran.docx", "A 357-2025")</f>
        <v/>
      </c>
      <c r="AD15">
        <f>HYPERLINK("https://klasma.github.io/Logging_0382/tillsynsmail/A 357-2025 tillsynsbegäran mail.docx", "A 357-2025")</f>
        <v/>
      </c>
      <c r="AE15">
        <f>HYPERLINK("https://klasma.github.io/Logging_0382/fåglar/A 357-2025 prioriterade fågelarter.docx", "A 357-2025")</f>
        <v/>
      </c>
    </row>
    <row r="16" ht="15" customHeight="1">
      <c r="A16" t="inlineStr">
        <is>
          <t>A 5455-2025</t>
        </is>
      </c>
      <c r="B16" t="inlineStr">
        <is>
          <t>avverkningsanmälan</t>
        </is>
      </c>
      <c r="C16" t="inlineStr">
        <is>
          <t>Föryngringsavverkning</t>
        </is>
      </c>
      <c r="D16" s="1" t="n">
        <v>45693</v>
      </c>
      <c r="E16" s="1" t="n">
        <v>46309</v>
      </c>
      <c r="F16" t="inlineStr">
        <is>
          <t>UPPSALA LÄN</t>
        </is>
      </c>
      <c r="G16" t="inlineStr">
        <is>
          <t>KNIVSTA</t>
        </is>
      </c>
      <c r="I16" t="n">
        <v>17.1</v>
      </c>
      <c r="J16" t="n">
        <v>3</v>
      </c>
      <c r="K16" t="n">
        <v>18</v>
      </c>
      <c r="L16" t="n">
        <v>10</v>
      </c>
      <c r="M16" t="n">
        <v>1</v>
      </c>
      <c r="N16" t="n">
        <v>0</v>
      </c>
      <c r="O16" t="n">
        <v>0</v>
      </c>
      <c r="P16" t="n">
        <v>0</v>
      </c>
      <c r="Q16" t="n">
        <v>12</v>
      </c>
      <c r="R16" t="n">
        <v>1</v>
      </c>
      <c r="S16" t="n">
        <v>34</v>
      </c>
      <c r="T16" t="n">
        <v>153</v>
      </c>
      <c r="U16" t="n">
        <v>153</v>
      </c>
      <c r="V16" s="2" t="inlineStr">
        <is>
          <t>Blackticka
Fyrflikig jordstjärna
Grönhjon
Kötticka
Rosenticka
Rynkskinn
Tallticka
Ullticka
Vedtrappmossa
Vitplätt
Vågticka
Porodaedalea chrysoloma
Björksplintborre
Blodticka
Blåmossa
Brandticka
Bronshjon
Granbarkgnagare
Grön sköldmossa
Grönpyrola
Mindre märgborre
Noshornsoxe
Nästlav
Rödgul trumpetsvamp
Stubbspretmossa
Thomsons trägnagare
Trådticka
Vanlig rörsvepemossa
Vedticka
Vågbandad barkbock
Blåsippa
Kransmossa
Spillkråka
Timmerticka</t>
        </is>
      </c>
      <c r="W16">
        <f>HYPERLINK("https://klasma.github.io/Logging_0330/artfynd/A 5455-2025 artfynd.xlsx", "A 5455-2025")</f>
        <v/>
      </c>
      <c r="X16">
        <f>HYPERLINK("https://klasma.github.io/Logging_0330/kartor/A 5455-2025 karta.png", "A 5455-2025")</f>
        <v/>
      </c>
      <c r="Y16">
        <f>HYPERLINK("https://klasma.github.io/Logging_0330/kartor_geotiff/A 5455-2025 georefererad karta.tif", "A 5455-2025")</f>
        <v/>
      </c>
      <c r="AA16">
        <f>HYPERLINK("https://klasma.github.io/Logging_0330/klagomål/A 5455-2025 FSC-klagomål.docx", "A 5455-2025")</f>
        <v/>
      </c>
      <c r="AB16">
        <f>HYPERLINK("https://klasma.github.io/Logging_0330/klagomålsmail/A 5455-2025 FSC-klagomål mail.docx", "A 5455-2025")</f>
        <v/>
      </c>
      <c r="AC16">
        <f>HYPERLINK("https://klasma.github.io/Logging_0330/tillsyn/A 5455-2025 tillsynsbegäran.docx", "A 5455-2025")</f>
        <v/>
      </c>
      <c r="AD16">
        <f>HYPERLINK("https://klasma.github.io/Logging_0330/tillsynsmail/A 5455-2025 tillsynsbegäran mail.docx", "A 5455-2025")</f>
        <v/>
      </c>
      <c r="AE16">
        <f>HYPERLINK("https://klasma.github.io/Logging_0330/fåglar/A 5455-2025 prioriterade fågelarter.docx", "A 5455-2025")</f>
        <v/>
      </c>
    </row>
    <row r="17" ht="15" customHeight="1">
      <c r="A17" t="inlineStr">
        <is>
          <t>A 15297-2022</t>
        </is>
      </c>
      <c r="B17" t="inlineStr">
        <is>
          <t>avverkningsanmälan</t>
        </is>
      </c>
      <c r="C17" t="inlineStr">
        <is>
          <t>Föryngringsavverkning</t>
        </is>
      </c>
      <c r="D17" s="1" t="n">
        <v>44659</v>
      </c>
      <c r="E17" s="1" t="n">
        <v>46309</v>
      </c>
      <c r="F17" t="inlineStr">
        <is>
          <t>UPPSALA LÄN</t>
        </is>
      </c>
      <c r="G17" t="inlineStr">
        <is>
          <t>UPPSALA</t>
        </is>
      </c>
      <c r="H17" t="inlineStr">
        <is>
          <t>Övriga Aktiebolag</t>
        </is>
      </c>
      <c r="I17" t="n">
        <v>6.6</v>
      </c>
      <c r="J17" t="n">
        <v>3</v>
      </c>
      <c r="K17" t="n">
        <v>11</v>
      </c>
      <c r="L17" t="n">
        <v>15</v>
      </c>
      <c r="M17" t="n">
        <v>4</v>
      </c>
      <c r="N17" t="n">
        <v>1</v>
      </c>
      <c r="O17" t="n">
        <v>0</v>
      </c>
      <c r="P17" t="n">
        <v>0</v>
      </c>
      <c r="Q17" t="n">
        <v>20</v>
      </c>
      <c r="R17" t="n">
        <v>5</v>
      </c>
      <c r="S17" t="n">
        <v>33</v>
      </c>
      <c r="T17" t="n">
        <v>49</v>
      </c>
      <c r="U17" t="n">
        <v>46</v>
      </c>
      <c r="V17" s="2" t="inlineStr">
        <is>
          <t>Blekskaftad nållav
Ekpricklav
Ekspik
Gulvit blekspik
Klosterlav
Blekticka
Ekticka
Gammelekslav
Gul dropplav
Lunglav
Puderfläck
Reliktbock
Rutskinn
Rödbrun blekspik
Skeppsvarvsfluga
Slät fjällav
Svart skogssnigel
Svartöra
Tallticka
Talltita
Dvärgtufs
Fällmossa
Gulpudrad spiklav
Korallblylav
Liten baronmossa
Luddlav
Lönnlav
Rostfläck
Rävticka
Sotlav
Stor aspticka
Blåsippa
Slaguggla</t>
        </is>
      </c>
      <c r="W17">
        <f>HYPERLINK("https://klasma.github.io/Logging_0380/artfynd/A 15297-2022 artfynd.xlsx", "A 15297-2022")</f>
        <v/>
      </c>
      <c r="X17">
        <f>HYPERLINK("https://klasma.github.io/Logging_0380/kartor/A 15297-2022 karta.png", "A 15297-2022")</f>
        <v/>
      </c>
      <c r="Y17">
        <f>HYPERLINK("https://klasma.github.io/Logging_0380/kartor_geotiff/A 15297-2022 georefererad karta.tif", "A 15297-2022")</f>
        <v/>
      </c>
      <c r="AA17">
        <f>HYPERLINK("https://klasma.github.io/Logging_0380/klagomål/A 15297-2022 FSC-klagomål.docx", "A 15297-2022")</f>
        <v/>
      </c>
      <c r="AB17">
        <f>HYPERLINK("https://klasma.github.io/Logging_0380/klagomålsmail/A 15297-2022 FSC-klagomål mail.docx", "A 15297-2022")</f>
        <v/>
      </c>
      <c r="AC17">
        <f>HYPERLINK("https://klasma.github.io/Logging_0380/tillsyn/A 15297-2022 tillsynsbegäran.docx", "A 15297-2022")</f>
        <v/>
      </c>
      <c r="AD17">
        <f>HYPERLINK("https://klasma.github.io/Logging_0380/tillsynsmail/A 15297-2022 tillsynsbegäran mail.docx", "A 15297-2022")</f>
        <v/>
      </c>
      <c r="AE17">
        <f>HYPERLINK("https://klasma.github.io/Logging_0380/fåglar/A 15297-2022 prioriterade fågelarter.docx", "A 15297-2022")</f>
        <v/>
      </c>
    </row>
    <row r="18" ht="15" customHeight="1">
      <c r="A18" t="inlineStr">
        <is>
          <t>S 1641-2023</t>
        </is>
      </c>
      <c r="B18" t="inlineStr">
        <is>
          <t>samrådsanmälan</t>
        </is>
      </c>
      <c r="C18" t="inlineStr">
        <is>
          <t>Annan skogsbruksåtgärd</t>
        </is>
      </c>
      <c r="D18" s="1" t="n">
        <v>45061</v>
      </c>
      <c r="E18" s="1" t="n">
        <v>46309</v>
      </c>
      <c r="F18" t="inlineStr">
        <is>
          <t>UPPSALA LÄN</t>
        </is>
      </c>
      <c r="G18" t="inlineStr">
        <is>
          <t>ÖSTHAMMAR</t>
        </is>
      </c>
      <c r="H18" t="inlineStr">
        <is>
          <t>Bergvik skog öst AB</t>
        </is>
      </c>
      <c r="I18" t="n">
        <v>8.6</v>
      </c>
      <c r="J18" t="n">
        <v>0</v>
      </c>
      <c r="K18" t="n">
        <v>18</v>
      </c>
      <c r="L18" t="n">
        <v>10</v>
      </c>
      <c r="M18" t="n">
        <v>2</v>
      </c>
      <c r="N18" t="n">
        <v>2</v>
      </c>
      <c r="O18" t="n">
        <v>0</v>
      </c>
      <c r="P18" t="n">
        <v>0</v>
      </c>
      <c r="Q18" t="n">
        <v>15</v>
      </c>
      <c r="R18" t="n">
        <v>4</v>
      </c>
      <c r="S18" t="n">
        <v>33</v>
      </c>
      <c r="T18" t="n">
        <v>51</v>
      </c>
      <c r="U18" t="n">
        <v>29</v>
      </c>
      <c r="V18" s="2" t="inlineStr">
        <is>
          <t>Savlundlav
Stor vaxlav
Brunskaftad blekspik
Liten blekspik
Brödmärgsticka
Lunglav
Parknål
Rynkskinn
Rödbrun blekspik
Skeppsvarvsfluga
Skuggorangelav
Slät fjällav
Tallticka
Ullticka
Biatora hemipolia
Barkkornlav
Bronshjon
Fällmossa
Grov baronmossa
Gulpudrad spiklav
Hasselticka
Klibbtickgnagare
Korallblylav
Kornig nållav
Lönnlav
Rostfläck
Skinnlav
Slanklav
Stor aspticka
Thomsons trägnagare
Trubbfjädermossa
Vedticka
Vätteros</t>
        </is>
      </c>
      <c r="W18">
        <f>HYPERLINK("https://klasma.github.io/Logging_0382/artfynd/S 1641-2023 artfynd.xlsx", "S 1641-2023")</f>
        <v/>
      </c>
      <c r="X18">
        <f>HYPERLINK("https://klasma.github.io/Logging_0382/kartor/S 1641-2023 karta.png", "S 1641-2023")</f>
        <v/>
      </c>
      <c r="Y18">
        <f>HYPERLINK("https://klasma.github.io/Logging_0382/kartor_geotiff/S 1641-2023 georefererad karta.tif", "S 1641-2023")</f>
        <v/>
      </c>
      <c r="AA18">
        <f>HYPERLINK("https://klasma.github.io/Logging_0382/klagomål/S 1641-2023 FSC-klagomål.docx", "S 1641-2023")</f>
        <v/>
      </c>
      <c r="AB18">
        <f>HYPERLINK("https://klasma.github.io/Logging_0382/klagomålsmail/S 1641-2023 FSC-klagomål mail.docx", "S 1641-2023")</f>
        <v/>
      </c>
      <c r="AC18">
        <f>HYPERLINK("https://klasma.github.io/Logging_0382/tillsyn/S 1641-2023 tillsynsbegäran.docx", "S 1641-2023")</f>
        <v/>
      </c>
      <c r="AD18">
        <f>HYPERLINK("https://klasma.github.io/Logging_0382/tillsynsmail/S 1641-2023 tillsynsbegäran mail.docx", "S 1641-2023")</f>
        <v/>
      </c>
    </row>
    <row r="19" ht="15" customHeight="1">
      <c r="A19" t="inlineStr">
        <is>
          <t>S 1668-2023</t>
        </is>
      </c>
      <c r="B19" t="inlineStr">
        <is>
          <t>samrådsanmälan</t>
        </is>
      </c>
      <c r="C19" t="inlineStr">
        <is>
          <t>Annan skogsbruksåtgärd</t>
        </is>
      </c>
      <c r="D19" s="1" t="n">
        <v>45063</v>
      </c>
      <c r="E19" s="1" t="n">
        <v>46309</v>
      </c>
      <c r="F19" t="inlineStr">
        <is>
          <t>UPPSALA LÄN</t>
        </is>
      </c>
      <c r="G19" t="inlineStr">
        <is>
          <t>ÖSTHAMMAR</t>
        </is>
      </c>
      <c r="H19" t="inlineStr">
        <is>
          <t>Bergvik skog öst AB</t>
        </is>
      </c>
      <c r="I19" t="n">
        <v>9.300000000000001</v>
      </c>
      <c r="J19" t="n">
        <v>0</v>
      </c>
      <c r="K19" t="n">
        <v>18</v>
      </c>
      <c r="L19" t="n">
        <v>10</v>
      </c>
      <c r="M19" t="n">
        <v>2</v>
      </c>
      <c r="N19" t="n">
        <v>2</v>
      </c>
      <c r="O19" t="n">
        <v>0</v>
      </c>
      <c r="P19" t="n">
        <v>0</v>
      </c>
      <c r="Q19" t="n">
        <v>15</v>
      </c>
      <c r="R19" t="n">
        <v>4</v>
      </c>
      <c r="S19" t="n">
        <v>33</v>
      </c>
      <c r="T19" t="n">
        <v>51</v>
      </c>
      <c r="U19" t="n">
        <v>29</v>
      </c>
      <c r="V19" s="2" t="inlineStr">
        <is>
          <t>Savlundlav
Stor vaxlav
Brunskaftad blekspik
Liten blekspik
Brödmärgsticka
Lunglav
Parknål
Rynkskinn
Rödbrun blekspik
Skeppsvarvsfluga
Skuggorangelav
Slät fjällav
Tallticka
Ullticka
Biatora hemipolia
Barkkornlav
Bronshjon
Fällmossa
Grov baronmossa
Gulpudrad spiklav
Hasselticka
Klibbtickgnagare
Korallblylav
Kornig nållav
Lönnlav
Rostfläck
Skinnlav
Slanklav
Stor aspticka
Thomsons trägnagare
Trubbfjädermossa
Vedticka
Vätteros</t>
        </is>
      </c>
      <c r="W19">
        <f>HYPERLINK("https://klasma.github.io/Logging_0382/artfynd/S 1668-2023 artfynd.xlsx", "S 1668-2023")</f>
        <v/>
      </c>
      <c r="X19">
        <f>HYPERLINK("https://klasma.github.io/Logging_0382/kartor/S 1668-2023 karta.png", "S 1668-2023")</f>
        <v/>
      </c>
      <c r="Y19">
        <f>HYPERLINK("https://klasma.github.io/Logging_0382/kartor_geotiff/S 1668-2023 georefererad karta.tif", "S 1668-2023")</f>
        <v/>
      </c>
      <c r="AA19">
        <f>HYPERLINK("https://klasma.github.io/Logging_0382/klagomål/S 1668-2023 FSC-klagomål.docx", "S 1668-2023")</f>
        <v/>
      </c>
      <c r="AB19">
        <f>HYPERLINK("https://klasma.github.io/Logging_0382/klagomålsmail/S 1668-2023 FSC-klagomål mail.docx", "S 1668-2023")</f>
        <v/>
      </c>
      <c r="AC19">
        <f>HYPERLINK("https://klasma.github.io/Logging_0382/tillsyn/S 1668-2023 tillsynsbegäran.docx", "S 1668-2023")</f>
        <v/>
      </c>
      <c r="AD19">
        <f>HYPERLINK("https://klasma.github.io/Logging_0382/tillsynsmail/S 1668-2023 tillsynsbegäran mail.docx", "S 1668-2023")</f>
        <v/>
      </c>
    </row>
    <row r="20" ht="15" customHeight="1">
      <c r="A20" t="inlineStr">
        <is>
          <t>A 260-2025</t>
        </is>
      </c>
      <c r="B20" t="inlineStr">
        <is>
          <t>avverkningsanmälan</t>
        </is>
      </c>
      <c r="C20" t="inlineStr">
        <is>
          <t>Föryngringsavverkning</t>
        </is>
      </c>
      <c r="D20" s="1" t="n">
        <v>45660</v>
      </c>
      <c r="E20" s="1" t="n">
        <v>46309</v>
      </c>
      <c r="F20" t="inlineStr">
        <is>
          <t>UPPSALA LÄN</t>
        </is>
      </c>
      <c r="G20" t="inlineStr">
        <is>
          <t>ÖSTHAMMAR</t>
        </is>
      </c>
      <c r="H20" t="inlineStr">
        <is>
          <t>Bergvik skog öst AB</t>
        </is>
      </c>
      <c r="I20" t="n">
        <v>15.7</v>
      </c>
      <c r="J20" t="n">
        <v>6</v>
      </c>
      <c r="K20" t="n">
        <v>9</v>
      </c>
      <c r="L20" t="n">
        <v>16</v>
      </c>
      <c r="M20" t="n">
        <v>4</v>
      </c>
      <c r="N20" t="n">
        <v>0</v>
      </c>
      <c r="O20" t="n">
        <v>0</v>
      </c>
      <c r="P20" t="n">
        <v>0</v>
      </c>
      <c r="Q20" t="n">
        <v>20</v>
      </c>
      <c r="R20" t="n">
        <v>4</v>
      </c>
      <c r="S20" t="n">
        <v>32</v>
      </c>
      <c r="T20" t="n">
        <v>226</v>
      </c>
      <c r="U20" t="n">
        <v>226</v>
      </c>
      <c r="V20" s="2" t="inlineStr">
        <is>
          <t>Fläckfingersvamp
Knärot
Laxporing
Läderdoftande fingersvamp
Fjällig taggsvamp s.str.
Gultoppig fingersvamp
Kattfotslav
Kortskaftad ärgspik
Motaggsvamp
Nötkråka
Rynkskinn
Rödfläckig zontaggsvamp
Skarp dropptaggsvamp
Tallkötticka
Talltita
Tjockfotad fingersvamp
Ullticka
Vedtrappmossa
Vågticka
Vårärt
Björksplintborre
Bronshjon
Grönpyrola
Rödgul trumpetsvamp
Svavelriska
Thomsons trägnagare
Trådticka
Vedticka
Vågbandad barkbock
Blåsippa
Spillkråka
Kungsfågel</t>
        </is>
      </c>
      <c r="W20">
        <f>HYPERLINK("https://klasma.github.io/Logging_0382/artfynd/A 260-2025 artfynd.xlsx", "A 260-2025")</f>
        <v/>
      </c>
      <c r="X20">
        <f>HYPERLINK("https://klasma.github.io/Logging_0382/kartor/A 260-2025 karta.png", "A 260-2025")</f>
        <v/>
      </c>
      <c r="Y20">
        <f>HYPERLINK("https://klasma.github.io/Logging_0382/kartor_geotiff/A 260-2025 georefererad karta.tif", "A 260-2025")</f>
        <v/>
      </c>
      <c r="Z20">
        <f>HYPERLINK("https://klasma.github.io/Logging_0382/knärot/A 260-2025 karta knärot.png", "A 260-2025")</f>
        <v/>
      </c>
      <c r="AA20">
        <f>HYPERLINK("https://klasma.github.io/Logging_0382/klagomål/A 260-2025 FSC-klagomål.docx", "A 260-2025")</f>
        <v/>
      </c>
      <c r="AB20">
        <f>HYPERLINK("https://klasma.github.io/Logging_0382/klagomålsmail/A 260-2025 FSC-klagomål mail.docx", "A 260-2025")</f>
        <v/>
      </c>
      <c r="AC20">
        <f>HYPERLINK("https://klasma.github.io/Logging_0382/tillsyn/A 260-2025 tillsynsbegäran.docx", "A 260-2025")</f>
        <v/>
      </c>
      <c r="AD20">
        <f>HYPERLINK("https://klasma.github.io/Logging_0382/tillsynsmail/A 260-2025 tillsynsbegäran mail.docx", "A 260-2025")</f>
        <v/>
      </c>
      <c r="AE20">
        <f>HYPERLINK("https://klasma.github.io/Logging_0382/fåglar/A 260-2025 prioriterade fågelarter.docx", "A 260-2025")</f>
        <v/>
      </c>
    </row>
    <row r="21" ht="15" customHeight="1">
      <c r="A21" t="inlineStr">
        <is>
          <t>S 997-2020</t>
        </is>
      </c>
      <c r="B21" t="inlineStr">
        <is>
          <t>samrådsanmälan</t>
        </is>
      </c>
      <c r="C21" t="inlineStr">
        <is>
          <t>Åtgärd i nyckelbiotop</t>
        </is>
      </c>
      <c r="D21" s="1" t="n">
        <v>43955</v>
      </c>
      <c r="E21" s="1" t="n">
        <v>46309</v>
      </c>
      <c r="F21" t="inlineStr">
        <is>
          <t>UPPSALA LÄN</t>
        </is>
      </c>
      <c r="G21" t="inlineStr">
        <is>
          <t>ÖSTHAMMAR</t>
        </is>
      </c>
      <c r="I21" t="n">
        <v>27.9</v>
      </c>
      <c r="J21" t="n">
        <v>12</v>
      </c>
      <c r="K21" t="n">
        <v>11</v>
      </c>
      <c r="L21" t="n">
        <v>14</v>
      </c>
      <c r="M21" t="n">
        <v>3</v>
      </c>
      <c r="N21" t="n">
        <v>0</v>
      </c>
      <c r="O21" t="n">
        <v>0</v>
      </c>
      <c r="P21" t="n">
        <v>0</v>
      </c>
      <c r="Q21" t="n">
        <v>17</v>
      </c>
      <c r="R21" t="n">
        <v>3</v>
      </c>
      <c r="S21" t="n">
        <v>32</v>
      </c>
      <c r="T21" t="n">
        <v>59</v>
      </c>
      <c r="U21" t="n">
        <v>38</v>
      </c>
      <c r="V21" s="2" t="inlineStr">
        <is>
          <t>Grönfink
Gul lammticka
Kopparspindling
Blek fingersvamp
Enkelbeckasin
Grönsångare
Gulsparv
Göktyta
Kryddspindling
Kungsspindling
Lunglav
Nötkråka
Skarp dropptaggsvamp
Tallticka
Ullticka
Vårärt
Äggspindling
Anisspindling
Guckusko
Hasselticka
Korallblylav
Olivspindling
Skogsknipprot
Stor aspticka
Stuplav
Svart trolldruva
Svavelriska
Tibast
Blåsippa
Buskskvätta
Kråka
Sävsparv</t>
        </is>
      </c>
      <c r="W21">
        <f>HYPERLINK("https://klasma.github.io/Logging_0382/artfynd/S 997-2020 artfynd.xlsx", "S 997-2020")</f>
        <v/>
      </c>
      <c r="X21">
        <f>HYPERLINK("https://klasma.github.io/Logging_0382/kartor/S 997-2020 karta.png", "S 997-2020")</f>
        <v/>
      </c>
      <c r="Y21">
        <f>HYPERLINK("https://klasma.github.io/Logging_0382/kartor_geotiff/S 997-2020 georefererad karta.tif", "S 997-2020")</f>
        <v/>
      </c>
      <c r="AA21">
        <f>HYPERLINK("https://klasma.github.io/Logging_0382/klagomål/S 997-2020 FSC-klagomål.docx", "S 997-2020")</f>
        <v/>
      </c>
      <c r="AB21">
        <f>HYPERLINK("https://klasma.github.io/Logging_0382/klagomålsmail/S 997-2020 FSC-klagomål mail.docx", "S 997-2020")</f>
        <v/>
      </c>
      <c r="AC21">
        <f>HYPERLINK("https://klasma.github.io/Logging_0382/tillsyn/S 997-2020 tillsynsbegäran.docx", "S 997-2020")</f>
        <v/>
      </c>
      <c r="AD21">
        <f>HYPERLINK("https://klasma.github.io/Logging_0382/tillsynsmail/S 997-2020 tillsynsbegäran mail.docx", "S 997-2020")</f>
        <v/>
      </c>
      <c r="AE21">
        <f>HYPERLINK("https://klasma.github.io/Logging_0382/fåglar/S 997-2020 prioriterade fågelarter.docx", "S 997-2020")</f>
        <v/>
      </c>
    </row>
    <row r="22" ht="15" customHeight="1">
      <c r="A22" t="inlineStr">
        <is>
          <t>A 34459-2022</t>
        </is>
      </c>
      <c r="B22" t="inlineStr">
        <is>
          <t>avverkningsanmälan</t>
        </is>
      </c>
      <c r="C22" t="inlineStr">
        <is>
          <t>Avverkning för annat ändamål</t>
        </is>
      </c>
      <c r="D22" s="1" t="n">
        <v>44792</v>
      </c>
      <c r="E22" s="1" t="n">
        <v>46309</v>
      </c>
      <c r="F22" t="inlineStr">
        <is>
          <t>UPPSALA LÄN</t>
        </is>
      </c>
      <c r="G22" t="inlineStr">
        <is>
          <t>UPPSALA</t>
        </is>
      </c>
      <c r="H22" t="inlineStr">
        <is>
          <t>Kommuner</t>
        </is>
      </c>
      <c r="I22" t="n">
        <v>2.6</v>
      </c>
      <c r="J22" t="n">
        <v>18</v>
      </c>
      <c r="K22" t="n">
        <v>6</v>
      </c>
      <c r="L22" t="n">
        <v>8</v>
      </c>
      <c r="M22" t="n">
        <v>2</v>
      </c>
      <c r="N22" t="n">
        <v>0</v>
      </c>
      <c r="O22" t="n">
        <v>0</v>
      </c>
      <c r="P22" t="n">
        <v>0</v>
      </c>
      <c r="Q22" t="n">
        <v>10</v>
      </c>
      <c r="R22" t="n">
        <v>2</v>
      </c>
      <c r="S22" t="n">
        <v>28</v>
      </c>
      <c r="T22" t="n">
        <v>44</v>
      </c>
      <c r="U22" t="n">
        <v>13</v>
      </c>
      <c r="V22" s="2" t="inlineStr">
        <is>
          <t>Cinnoberbagge
Stare
Enkelbeckasin
Gråhakedopping
Grönsångare
Klasefibbla
Matt pricklav
Nordfladdermus
Svartöra
Tallticka
Blodticka
Bronshjon
Guldkremla
Svart trolldruva
Svavelriska
Vågbandad barkbock
Blåsippa
Spillkråka
Dvärgpipistrell
Gröngöling
Kråka
Större vattensalamander
Svartvit flugsnappare
Trädlärka
Åkergroda
Huggorm
Vanlig padda
Vanlig snok</t>
        </is>
      </c>
      <c r="W22">
        <f>HYPERLINK("https://klasma.github.io/Logging_0380/artfynd/A 34459-2022 artfynd.xlsx", "A 34459-2022")</f>
        <v/>
      </c>
      <c r="X22">
        <f>HYPERLINK("https://klasma.github.io/Logging_0380/kartor/A 34459-2022 karta.png", "A 34459-2022")</f>
        <v/>
      </c>
      <c r="Y22">
        <f>HYPERLINK("https://klasma.github.io/Logging_0380/kartor_geotiff/A 34459-2022 georefererad karta.tif", "A 34459-2022")</f>
        <v/>
      </c>
      <c r="AA22">
        <f>HYPERLINK("https://klasma.github.io/Logging_0380/klagomål/A 34459-2022 FSC-klagomål.docx", "A 34459-2022")</f>
        <v/>
      </c>
      <c r="AB22">
        <f>HYPERLINK("https://klasma.github.io/Logging_0380/klagomålsmail/A 34459-2022 FSC-klagomål mail.docx", "A 34459-2022")</f>
        <v/>
      </c>
      <c r="AC22">
        <f>HYPERLINK("https://klasma.github.io/Logging_0380/tillsyn/A 34459-2022 tillsynsbegäran.docx", "A 34459-2022")</f>
        <v/>
      </c>
      <c r="AD22">
        <f>HYPERLINK("https://klasma.github.io/Logging_0380/tillsynsmail/A 34459-2022 tillsynsbegäran mail.docx", "A 34459-2022")</f>
        <v/>
      </c>
      <c r="AE22">
        <f>HYPERLINK("https://klasma.github.io/Logging_0380/fåglar/A 34459-2022 prioriterade fågelarter.docx", "A 34459-2022")</f>
        <v/>
      </c>
    </row>
    <row r="23" ht="15" customHeight="1">
      <c r="A23" t="inlineStr">
        <is>
          <t>A 30443-2025</t>
        </is>
      </c>
      <c r="B23" t="inlineStr">
        <is>
          <t>avverkningsanmälan</t>
        </is>
      </c>
      <c r="C23" t="inlineStr">
        <is>
          <t>Föryngringsavverkning</t>
        </is>
      </c>
      <c r="D23" s="1" t="n">
        <v>45827</v>
      </c>
      <c r="E23" s="1" t="n">
        <v>46309</v>
      </c>
      <c r="F23" t="inlineStr">
        <is>
          <t>UPPSALA LÄN</t>
        </is>
      </c>
      <c r="G23" t="inlineStr">
        <is>
          <t>UPPSALA</t>
        </is>
      </c>
      <c r="I23" t="n">
        <v>10.4</v>
      </c>
      <c r="J23" t="n">
        <v>5</v>
      </c>
      <c r="K23" t="n">
        <v>12</v>
      </c>
      <c r="L23" t="n">
        <v>6</v>
      </c>
      <c r="M23" t="n">
        <v>6</v>
      </c>
      <c r="N23" t="n">
        <v>1</v>
      </c>
      <c r="O23" t="n">
        <v>0</v>
      </c>
      <c r="P23" t="n">
        <v>0</v>
      </c>
      <c r="Q23" t="n">
        <v>13</v>
      </c>
      <c r="R23" t="n">
        <v>7</v>
      </c>
      <c r="S23" t="n">
        <v>28</v>
      </c>
      <c r="T23" t="n">
        <v>68</v>
      </c>
      <c r="U23" t="n">
        <v>54</v>
      </c>
      <c r="V23" s="2" t="inlineStr">
        <is>
          <t>Brödtaggsvamp
Grangråticka
Gränsticka
Gul taggsvamp
Knärot
Läderdoftande fingersvamp
Ulltickeporing
Dofttaggsvamp
Gultoppig fingersvamp
Orange taggsvamp
Stor sotdyna
Sårläka
Ullticka
Björksplintborre
Brandticka
Bronshjon
Granbarkgnagare
Grön sköldmossa
Grönpyrola
Guldkremla
Korallblylav
Springkorn
Stubbspretmossa
Vedticka
Vågbandad barkbock
Blåsippa
Spillkråka
Revlummer</t>
        </is>
      </c>
      <c r="W23">
        <f>HYPERLINK("https://klasma.github.io/Logging_0380/artfynd/A 30443-2025 artfynd.xlsx", "A 30443-2025")</f>
        <v/>
      </c>
      <c r="X23">
        <f>HYPERLINK("https://klasma.github.io/Logging_0380/kartor/A 30443-2025 karta.png", "A 30443-2025")</f>
        <v/>
      </c>
      <c r="Y23">
        <f>HYPERLINK("https://klasma.github.io/Logging_0380/kartor_geotiff/A 30443-2025 georefererad karta.tif", "A 30443-2025")</f>
        <v/>
      </c>
      <c r="Z23">
        <f>HYPERLINK("https://klasma.github.io/Logging_0380/knärot/A 30443-2025 karta knärot.png", "A 30443-2025")</f>
        <v/>
      </c>
      <c r="AA23">
        <f>HYPERLINK("https://klasma.github.io/Logging_0380/klagomål/A 30443-2025 FSC-klagomål.docx", "A 30443-2025")</f>
        <v/>
      </c>
      <c r="AB23">
        <f>HYPERLINK("https://klasma.github.io/Logging_0380/klagomålsmail/A 30443-2025 FSC-klagomål mail.docx", "A 30443-2025")</f>
        <v/>
      </c>
      <c r="AC23">
        <f>HYPERLINK("https://klasma.github.io/Logging_0380/tillsyn/A 30443-2025 tillsynsbegäran.docx", "A 30443-2025")</f>
        <v/>
      </c>
      <c r="AD23">
        <f>HYPERLINK("https://klasma.github.io/Logging_0380/tillsynsmail/A 30443-2025 tillsynsbegäran mail.docx", "A 30443-2025")</f>
        <v/>
      </c>
      <c r="AE23">
        <f>HYPERLINK("https://klasma.github.io/Logging_0380/fåglar/A 30443-2025 prioriterade fågelarter.docx", "A 30443-2025")</f>
        <v/>
      </c>
    </row>
    <row r="24" ht="15" customHeight="1">
      <c r="A24" t="inlineStr">
        <is>
          <t>A 39562-2026</t>
        </is>
      </c>
      <c r="B24" t="inlineStr">
        <is>
          <t>avverkningsanmälan</t>
        </is>
      </c>
      <c r="C24" t="inlineStr">
        <is>
          <t>Föryngringsavverkning</t>
        </is>
      </c>
      <c r="D24" s="1" t="n">
        <v>46289</v>
      </c>
      <c r="E24" s="1" t="n">
        <v>46309</v>
      </c>
      <c r="F24" t="inlineStr">
        <is>
          <t>UPPSALA LÄN</t>
        </is>
      </c>
      <c r="G24" t="inlineStr">
        <is>
          <t>UPPSALA</t>
        </is>
      </c>
      <c r="H24" t="inlineStr">
        <is>
          <t>Allmännings- och besparingsskogar</t>
        </is>
      </c>
      <c r="I24" t="n">
        <v>15.4</v>
      </c>
      <c r="J24" t="n">
        <v>7</v>
      </c>
      <c r="K24" t="n">
        <v>8</v>
      </c>
      <c r="L24" t="n">
        <v>12</v>
      </c>
      <c r="M24" t="n">
        <v>3</v>
      </c>
      <c r="N24" t="n">
        <v>0</v>
      </c>
      <c r="O24" t="n">
        <v>0</v>
      </c>
      <c r="P24" t="n">
        <v>0</v>
      </c>
      <c r="Q24" t="n">
        <v>15</v>
      </c>
      <c r="R24" t="n">
        <v>3</v>
      </c>
      <c r="S24" t="n">
        <v>28</v>
      </c>
      <c r="T24" t="n">
        <v>69</v>
      </c>
      <c r="U24" t="n">
        <v>15</v>
      </c>
      <c r="V24" s="2" t="inlineStr">
        <is>
          <t>Gräddporing
Knärot
Raggbock
Barrpraktbagge
Dropptaggsvamp
Dvärgbägarlav
Gropticka
Kolflarnlav
Motaggsvamp
Skrovlig flatbagge
Tallkötticka
Talltita
Ullticka
Vedskivlav
Vedtrappmossa
Björksplintborre
Bronshjon
Flagellkvastmossa
Granbarkgnagare
Gullgröppa
Jättesvampmal
Större träfjäril
Vågbandad barkbock
Mattlummer
Spillkråka
Tjäder
Vanlig padda
Revlummer</t>
        </is>
      </c>
      <c r="W24">
        <f>HYPERLINK("https://klasma.github.io/Logging_0380/artfynd/A 39562-2026 artfynd.xlsx", "A 39562-2026")</f>
        <v/>
      </c>
      <c r="X24">
        <f>HYPERLINK("https://klasma.github.io/Logging_0380/kartor/A 39562-2026 karta.png", "A 39562-2026")</f>
        <v/>
      </c>
      <c r="Y24">
        <f>HYPERLINK("https://klasma.github.io/Logging_0380/kartor_geotiff/A 39562-2026 georefererad karta.tif", "A 39562-2026")</f>
        <v/>
      </c>
      <c r="Z24">
        <f>HYPERLINK("https://klasma.github.io/Logging_0380/knärot/A 39562-2026 karta knärot.png", "A 39562-2026")</f>
        <v/>
      </c>
      <c r="AA24">
        <f>HYPERLINK("https://klasma.github.io/Logging_0380/klagomål/A 39562-2026 FSC-klagomål.docx", "A 39562-2026")</f>
        <v/>
      </c>
      <c r="AB24">
        <f>HYPERLINK("https://klasma.github.io/Logging_0380/klagomålsmail/A 39562-2026 FSC-klagomål mail.docx", "A 39562-2026")</f>
        <v/>
      </c>
      <c r="AC24">
        <f>HYPERLINK("https://klasma.github.io/Logging_0380/tillsyn/A 39562-2026 tillsynsbegäran.docx", "A 39562-2026")</f>
        <v/>
      </c>
      <c r="AD24">
        <f>HYPERLINK("https://klasma.github.io/Logging_0380/tillsynsmail/A 39562-2026 tillsynsbegäran mail.docx", "A 39562-2026")</f>
        <v/>
      </c>
      <c r="AE24">
        <f>HYPERLINK("https://klasma.github.io/Logging_0380/fåglar/A 39562-2026 prioriterade fågelarter.docx", "A 39562-2026")</f>
        <v/>
      </c>
    </row>
    <row r="25" ht="15" customHeight="1">
      <c r="A25" t="inlineStr">
        <is>
          <t>A 19961-2022</t>
        </is>
      </c>
      <c r="B25" t="inlineStr">
        <is>
          <t>avverkningsanmälan</t>
        </is>
      </c>
      <c r="C25" t="inlineStr">
        <is>
          <t>Föryngringsavverkning</t>
        </is>
      </c>
      <c r="D25" s="1" t="n">
        <v>44697</v>
      </c>
      <c r="E25" s="1" t="n">
        <v>46309</v>
      </c>
      <c r="F25" t="inlineStr">
        <is>
          <t>UPPSALA LÄN</t>
        </is>
      </c>
      <c r="G25" t="inlineStr">
        <is>
          <t>ENKÖPING</t>
        </is>
      </c>
      <c r="I25" t="n">
        <v>1.2</v>
      </c>
      <c r="J25" t="n">
        <v>4</v>
      </c>
      <c r="K25" t="n">
        <v>9</v>
      </c>
      <c r="L25" t="n">
        <v>9</v>
      </c>
      <c r="M25" t="n">
        <v>5</v>
      </c>
      <c r="N25" t="n">
        <v>1</v>
      </c>
      <c r="O25" t="n">
        <v>0</v>
      </c>
      <c r="P25" t="n">
        <v>0</v>
      </c>
      <c r="Q25" t="n">
        <v>15</v>
      </c>
      <c r="R25" t="n">
        <v>6</v>
      </c>
      <c r="S25" t="n">
        <v>27</v>
      </c>
      <c r="T25" t="n">
        <v>62</v>
      </c>
      <c r="U25" t="n">
        <v>55</v>
      </c>
      <c r="V25" s="2" t="inlineStr">
        <is>
          <t>Violgubbe
Duvspindling
Gyllenspindling
Rosetticka
Stor odörspindling
Svartfjällig musseron
Fjällig taggsvamp s.str.
Flattoppad klubbsvamp
Fyrflikig jordstjärna
Kryddspindling
Kungsspindling
Skarp dropptaggsvamp
Svartvit taggsvamp
Tallticka
Ullticka
Anisspindling
Brandmusseron
Diskvaxskivling
Grön sköldmossa
Mörk husmossa
Rödgul trumpetsvamp
Svavelriska
Vedticka
Vågbandad barkbock
Blåsippa
Fläcknycklar
Nattviol</t>
        </is>
      </c>
      <c r="W25">
        <f>HYPERLINK("https://klasma.github.io/Logging_0381/artfynd/A 19961-2022 artfynd.xlsx", "A 19961-2022")</f>
        <v/>
      </c>
      <c r="X25">
        <f>HYPERLINK("https://klasma.github.io/Logging_0381/kartor/A 19961-2022 karta.png", "A 19961-2022")</f>
        <v/>
      </c>
      <c r="Y25">
        <f>HYPERLINK("https://klasma.github.io/Logging_0381/kartor_geotiff/A 19961-2022 georefererad karta.tif", "A 19961-2022")</f>
        <v/>
      </c>
      <c r="AA25">
        <f>HYPERLINK("https://klasma.github.io/Logging_0381/klagomål/A 19961-2022 FSC-klagomål.docx", "A 19961-2022")</f>
        <v/>
      </c>
      <c r="AB25">
        <f>HYPERLINK("https://klasma.github.io/Logging_0381/klagomålsmail/A 19961-2022 FSC-klagomål mail.docx", "A 19961-2022")</f>
        <v/>
      </c>
      <c r="AC25">
        <f>HYPERLINK("https://klasma.github.io/Logging_0381/tillsyn/A 19961-2022 tillsynsbegäran.docx", "A 19961-2022")</f>
        <v/>
      </c>
      <c r="AD25">
        <f>HYPERLINK("https://klasma.github.io/Logging_0381/tillsynsmail/A 19961-2022 tillsynsbegäran mail.docx", "A 19961-2022")</f>
        <v/>
      </c>
    </row>
    <row r="26" ht="15" customHeight="1">
      <c r="A26" t="inlineStr">
        <is>
          <t>A 162-2025</t>
        </is>
      </c>
      <c r="B26" t="inlineStr">
        <is>
          <t>avverkningsanmälan</t>
        </is>
      </c>
      <c r="C26" t="inlineStr">
        <is>
          <t>Föryngringsavverkning</t>
        </is>
      </c>
      <c r="D26" s="1" t="n">
        <v>45659</v>
      </c>
      <c r="E26" s="1" t="n">
        <v>46309</v>
      </c>
      <c r="F26" t="inlineStr">
        <is>
          <t>UPPSALA LÄN</t>
        </is>
      </c>
      <c r="G26" t="inlineStr">
        <is>
          <t>TIERP</t>
        </is>
      </c>
      <c r="H26" t="inlineStr">
        <is>
          <t>Bergvik skog öst AB</t>
        </is>
      </c>
      <c r="I26" t="n">
        <v>22.4</v>
      </c>
      <c r="J26" t="n">
        <v>7</v>
      </c>
      <c r="K26" t="n">
        <v>10</v>
      </c>
      <c r="L26" t="n">
        <v>12</v>
      </c>
      <c r="M26" t="n">
        <v>1</v>
      </c>
      <c r="N26" t="n">
        <v>0</v>
      </c>
      <c r="O26" t="n">
        <v>0</v>
      </c>
      <c r="P26" t="n">
        <v>0</v>
      </c>
      <c r="Q26" t="n">
        <v>13</v>
      </c>
      <c r="R26" t="n">
        <v>1</v>
      </c>
      <c r="S26" t="n">
        <v>27</v>
      </c>
      <c r="T26" t="n">
        <v>176</v>
      </c>
      <c r="U26" t="n">
        <v>176</v>
      </c>
      <c r="V26" s="2" t="inlineStr">
        <is>
          <t>Knärot
Fjällig taggsvamp s.str.
Kattfotslav
Kortskaftad ärgspik
Rosenticka
Rynkskinn
Skarp dropptaggsvamp
Talltita
Tjockfotad fingersvamp
Ullticka
Vedtrappmossa
Vågticka
Vårärt
Blodticka
Bronshjon
Grön sköldmossa
Grönpyrola
Gullgröppa
Rödgul trumpetsvamp
Stubbspretmossa
Thomsons trägnagare
Vedticka
Vågbandad barkbock
Blåsippa
Spillkråka
Tofsmes
Kungsfågel</t>
        </is>
      </c>
      <c r="W26">
        <f>HYPERLINK("https://klasma.github.io/Logging_0360/artfynd/A 162-2025 artfynd.xlsx", "A 162-2025")</f>
        <v/>
      </c>
      <c r="X26">
        <f>HYPERLINK("https://klasma.github.io/Logging_0360/kartor/A 162-2025 karta.png", "A 162-2025")</f>
        <v/>
      </c>
      <c r="Y26">
        <f>HYPERLINK("https://klasma.github.io/Logging_0360/kartor_geotiff/A 162-2025 georefererad karta.tif", "A 162-2025")</f>
        <v/>
      </c>
      <c r="Z26">
        <f>HYPERLINK("https://klasma.github.io/Logging_0360/knärot/A 162-2025 karta knärot.png", "A 162-2025")</f>
        <v/>
      </c>
      <c r="AA26">
        <f>HYPERLINK("https://klasma.github.io/Logging_0360/klagomål/A 162-2025 FSC-klagomål.docx", "A 162-2025")</f>
        <v/>
      </c>
      <c r="AB26">
        <f>HYPERLINK("https://klasma.github.io/Logging_0360/klagomålsmail/A 162-2025 FSC-klagomål mail.docx", "A 162-2025")</f>
        <v/>
      </c>
      <c r="AC26">
        <f>HYPERLINK("https://klasma.github.io/Logging_0360/tillsyn/A 162-2025 tillsynsbegäran.docx", "A 162-2025")</f>
        <v/>
      </c>
      <c r="AD26">
        <f>HYPERLINK("https://klasma.github.io/Logging_0360/tillsynsmail/A 162-2025 tillsynsbegäran mail.docx", "A 162-2025")</f>
        <v/>
      </c>
      <c r="AE26">
        <f>HYPERLINK("https://klasma.github.io/Logging_0360/fåglar/A 162-2025 prioriterade fågelarter.docx", "A 162-2025")</f>
        <v/>
      </c>
    </row>
    <row r="27" ht="15" customHeight="1">
      <c r="A27" t="inlineStr">
        <is>
          <t>A 19250-2026</t>
        </is>
      </c>
      <c r="B27" t="inlineStr">
        <is>
          <t>avverkningsanmälan</t>
        </is>
      </c>
      <c r="C27" t="inlineStr">
        <is>
          <t>Föryngringsavverkning</t>
        </is>
      </c>
      <c r="D27" s="1" t="n">
        <v>46132</v>
      </c>
      <c r="E27" s="1" t="n">
        <v>46309</v>
      </c>
      <c r="F27" t="inlineStr">
        <is>
          <t>UPPSALA LÄN</t>
        </is>
      </c>
      <c r="G27" t="inlineStr">
        <is>
          <t>ÖSTHAMMAR</t>
        </is>
      </c>
      <c r="H27" t="inlineStr">
        <is>
          <t>Naturvårdsverket</t>
        </is>
      </c>
      <c r="I27" t="n">
        <v>10.3</v>
      </c>
      <c r="J27" t="n">
        <v>9</v>
      </c>
      <c r="K27" t="n">
        <v>8</v>
      </c>
      <c r="L27" t="n">
        <v>12</v>
      </c>
      <c r="M27" t="n">
        <v>1</v>
      </c>
      <c r="N27" t="n">
        <v>0</v>
      </c>
      <c r="O27" t="n">
        <v>0</v>
      </c>
      <c r="P27" t="n">
        <v>0</v>
      </c>
      <c r="Q27" t="n">
        <v>13</v>
      </c>
      <c r="R27" t="n">
        <v>1</v>
      </c>
      <c r="S27" t="n">
        <v>27</v>
      </c>
      <c r="T27" t="n">
        <v>113</v>
      </c>
      <c r="U27" t="n">
        <v>3</v>
      </c>
      <c r="V27" s="2" t="inlineStr">
        <is>
          <t>Knärot
Dofttaggsvamp
Flattoppad klubbsvamp
Gropticka
Grönhjon
Kattfotslav
Rosenticka
Rynkskinn
Skarp dropptaggsvamp
Talltita
Ullticka
Vedtrappmossa
Vitgrynig nållav
Brandticka
Bronshjon
Granbarkgnagare
Grön sköldmossa
Grönpyrola
Rödgul trumpetsvamp
Svavelriska
Vedticka
Blåsippa
Spillkråka
Tjäder
Kopparödla
Fläcknycklar
Revlummer</t>
        </is>
      </c>
      <c r="W27">
        <f>HYPERLINK("https://klasma.github.io/Logging_0382/artfynd/A 19250-2026 artfynd.xlsx", "A 19250-2026")</f>
        <v/>
      </c>
      <c r="X27">
        <f>HYPERLINK("https://klasma.github.io/Logging_0382/kartor/A 19250-2026 karta.png", "A 19250-2026")</f>
        <v/>
      </c>
      <c r="Y27">
        <f>HYPERLINK("https://klasma.github.io/Logging_0382/kartor_geotiff/A 19250-2026 georefererad karta.tif", "A 19250-2026")</f>
        <v/>
      </c>
      <c r="Z27">
        <f>HYPERLINK("https://klasma.github.io/Logging_0382/knärot/A 19250-2026 karta knärot.png", "A 19250-2026")</f>
        <v/>
      </c>
      <c r="AA27">
        <f>HYPERLINK("https://klasma.github.io/Logging_0382/klagomål/A 19250-2026 FSC-klagomål.docx", "A 19250-2026")</f>
        <v/>
      </c>
      <c r="AB27">
        <f>HYPERLINK("https://klasma.github.io/Logging_0382/klagomålsmail/A 19250-2026 FSC-klagomål mail.docx", "A 19250-2026")</f>
        <v/>
      </c>
      <c r="AC27">
        <f>HYPERLINK("https://klasma.github.io/Logging_0382/tillsyn/A 19250-2026 tillsynsbegäran.docx", "A 19250-2026")</f>
        <v/>
      </c>
      <c r="AD27">
        <f>HYPERLINK("https://klasma.github.io/Logging_0382/tillsynsmail/A 19250-2026 tillsynsbegäran mail.docx", "A 19250-2026")</f>
        <v/>
      </c>
      <c r="AE27">
        <f>HYPERLINK("https://klasma.github.io/Logging_0382/fåglar/A 19250-2026 prioriterade fågelarter.docx", "A 19250-2026")</f>
        <v/>
      </c>
    </row>
    <row r="28" ht="15" customHeight="1">
      <c r="A28" t="inlineStr">
        <is>
          <t>A 44867-2023</t>
        </is>
      </c>
      <c r="B28" t="inlineStr">
        <is>
          <t>avverkningsanmälan</t>
        </is>
      </c>
      <c r="C28" t="inlineStr">
        <is>
          <t>Föryngringsavverkning</t>
        </is>
      </c>
      <c r="D28" s="1" t="n">
        <v>45190</v>
      </c>
      <c r="E28" s="1" t="n">
        <v>46309</v>
      </c>
      <c r="F28" t="inlineStr">
        <is>
          <t>UPPSALA LÄN</t>
        </is>
      </c>
      <c r="G28" t="inlineStr">
        <is>
          <t>KNIVSTA</t>
        </is>
      </c>
      <c r="I28" t="n">
        <v>7.8</v>
      </c>
      <c r="J28" t="n">
        <v>5</v>
      </c>
      <c r="K28" t="n">
        <v>12</v>
      </c>
      <c r="L28" t="n">
        <v>10</v>
      </c>
      <c r="M28" t="n">
        <v>1</v>
      </c>
      <c r="N28" t="n">
        <v>1</v>
      </c>
      <c r="O28" t="n">
        <v>0</v>
      </c>
      <c r="P28" t="n">
        <v>0</v>
      </c>
      <c r="Q28" t="n">
        <v>12</v>
      </c>
      <c r="R28" t="n">
        <v>2</v>
      </c>
      <c r="S28" t="n">
        <v>27</v>
      </c>
      <c r="T28" t="n">
        <v>44</v>
      </c>
      <c r="U28" t="n">
        <v>10</v>
      </c>
      <c r="V28" s="2" t="inlineStr">
        <is>
          <t>Bombmurkla
Apelticka
Enkelbeckasin
Gul dropplav
Jättekamskivling
Kandelabersvamp
Lunglav
Oxtungssvamp
Rutskinn
Rynkskinn
Rödbrun blekspik
Tallticka
Bårdlav
Dvärgtufs
Fällmossa
Granbräken
Gulpudrad spiklav
Myskmadra
Rikfruktig blemlav
Skinnlav
Sotlav
Stor aspticka
Thomsons trägnagare
Trubbfjädermossa
Blåsippa
Trana
Gullviva</t>
        </is>
      </c>
      <c r="W28">
        <f>HYPERLINK("https://klasma.github.io/Logging_0330/artfynd/A 44867-2023 artfynd.xlsx", "A 44867-2023")</f>
        <v/>
      </c>
      <c r="X28">
        <f>HYPERLINK("https://klasma.github.io/Logging_0330/kartor/A 44867-2023 karta.png", "A 44867-2023")</f>
        <v/>
      </c>
      <c r="Y28">
        <f>HYPERLINK("https://klasma.github.io/Logging_0330/kartor_geotiff/A 44867-2023 georefererad karta.tif", "A 44867-2023")</f>
        <v/>
      </c>
      <c r="AA28">
        <f>HYPERLINK("https://klasma.github.io/Logging_0330/klagomål/A 44867-2023 FSC-klagomål.docx", "A 44867-2023")</f>
        <v/>
      </c>
      <c r="AB28">
        <f>HYPERLINK("https://klasma.github.io/Logging_0330/klagomålsmail/A 44867-2023 FSC-klagomål mail.docx", "A 44867-2023")</f>
        <v/>
      </c>
      <c r="AC28">
        <f>HYPERLINK("https://klasma.github.io/Logging_0330/tillsyn/A 44867-2023 tillsynsbegäran.docx", "A 44867-2023")</f>
        <v/>
      </c>
      <c r="AD28">
        <f>HYPERLINK("https://klasma.github.io/Logging_0330/tillsynsmail/A 44867-2023 tillsynsbegäran mail.docx", "A 44867-2023")</f>
        <v/>
      </c>
      <c r="AE28">
        <f>HYPERLINK("https://klasma.github.io/Logging_0330/fåglar/A 44867-2023 prioriterade fågelarter.docx", "A 44867-2023")</f>
        <v/>
      </c>
    </row>
    <row r="29" ht="15" customHeight="1">
      <c r="A29" t="inlineStr">
        <is>
          <t>A 51096-2025</t>
        </is>
      </c>
      <c r="B29" t="inlineStr">
        <is>
          <t>avverkningsanmälan</t>
        </is>
      </c>
      <c r="C29" t="inlineStr">
        <is>
          <t>Föryngringsavverkning</t>
        </is>
      </c>
      <c r="D29" s="1" t="n">
        <v>45947</v>
      </c>
      <c r="E29" s="1" t="n">
        <v>46309</v>
      </c>
      <c r="F29" t="inlineStr">
        <is>
          <t>UPPSALA LÄN</t>
        </is>
      </c>
      <c r="G29" t="inlineStr">
        <is>
          <t>TIERP</t>
        </is>
      </c>
      <c r="H29" t="inlineStr">
        <is>
          <t>Bergvik skog öst AB</t>
        </is>
      </c>
      <c r="I29" t="n">
        <v>17.5</v>
      </c>
      <c r="J29" t="n">
        <v>8</v>
      </c>
      <c r="K29" t="n">
        <v>12</v>
      </c>
      <c r="L29" t="n">
        <v>5</v>
      </c>
      <c r="M29" t="n">
        <v>1</v>
      </c>
      <c r="N29" t="n">
        <v>0</v>
      </c>
      <c r="O29" t="n">
        <v>0</v>
      </c>
      <c r="P29" t="n">
        <v>0</v>
      </c>
      <c r="Q29" t="n">
        <v>6</v>
      </c>
      <c r="R29" t="n">
        <v>1</v>
      </c>
      <c r="S29" t="n">
        <v>26</v>
      </c>
      <c r="T29" t="n">
        <v>119</v>
      </c>
      <c r="U29" t="n">
        <v>119</v>
      </c>
      <c r="V29" s="2" t="inlineStr">
        <is>
          <t>Knärot
Kattfotslav
Rynkskinn
Sårläka
Vedtrappmossa
Vårärt
Anisspindling
Brandticka
Bronshjon
Granbarkgnagare
Grön sköldmossa
Grönpyrola
Rödgul trumpetsvamp
Skogsknipprot
Stubbspretmossa
Thomsons trägnagare
Tibast
Tvåblad
Blåsippa
Kransmossa
Kärrfibbla
Ormbär
Spillkråka
Tandrot
Fläcknycklar
Lopplummer (aggregat)</t>
        </is>
      </c>
      <c r="W29">
        <f>HYPERLINK("https://klasma.github.io/Logging_0360/artfynd/A 51096-2025 artfynd.xlsx", "A 51096-2025")</f>
        <v/>
      </c>
      <c r="X29">
        <f>HYPERLINK("https://klasma.github.io/Logging_0360/kartor/A 51096-2025 karta.png", "A 51096-2025")</f>
        <v/>
      </c>
      <c r="Y29">
        <f>HYPERLINK("https://klasma.github.io/Logging_0360/kartor_geotiff/A 51096-2025 georefererad karta.tif", "A 51096-2025")</f>
        <v/>
      </c>
      <c r="Z29">
        <f>HYPERLINK("https://klasma.github.io/Logging_0360/knärot/A 51096-2025 karta knärot.png", "A 51096-2025")</f>
        <v/>
      </c>
      <c r="AA29">
        <f>HYPERLINK("https://klasma.github.io/Logging_0360/klagomål/A 51096-2025 FSC-klagomål.docx", "A 51096-2025")</f>
        <v/>
      </c>
      <c r="AB29">
        <f>HYPERLINK("https://klasma.github.io/Logging_0360/klagomålsmail/A 51096-2025 FSC-klagomål mail.docx", "A 51096-2025")</f>
        <v/>
      </c>
      <c r="AC29">
        <f>HYPERLINK("https://klasma.github.io/Logging_0360/tillsyn/A 51096-2025 tillsynsbegäran.docx", "A 51096-2025")</f>
        <v/>
      </c>
      <c r="AD29">
        <f>HYPERLINK("https://klasma.github.io/Logging_0360/tillsynsmail/A 51096-2025 tillsynsbegäran mail.docx", "A 51096-2025")</f>
        <v/>
      </c>
      <c r="AE29">
        <f>HYPERLINK("https://klasma.github.io/Logging_0360/fåglar/A 51096-2025 prioriterade fågelarter.docx", "A 51096-2025")</f>
        <v/>
      </c>
    </row>
    <row r="30" ht="15" customHeight="1">
      <c r="A30" t="inlineStr">
        <is>
          <t>A 1101-2026</t>
        </is>
      </c>
      <c r="B30" t="inlineStr">
        <is>
          <t>avverkningsanmälan</t>
        </is>
      </c>
      <c r="C30" t="inlineStr">
        <is>
          <t>Föryngringsavverkning</t>
        </is>
      </c>
      <c r="D30" s="1" t="n">
        <v>46030</v>
      </c>
      <c r="E30" s="1" t="n">
        <v>46309</v>
      </c>
      <c r="F30" t="inlineStr">
        <is>
          <t>UPPSALA LÄN</t>
        </is>
      </c>
      <c r="G30" t="inlineStr">
        <is>
          <t>ÖSTHAMMAR</t>
        </is>
      </c>
      <c r="I30" t="n">
        <v>4.1</v>
      </c>
      <c r="J30" t="n">
        <v>7</v>
      </c>
      <c r="K30" t="n">
        <v>4</v>
      </c>
      <c r="L30" t="n">
        <v>10</v>
      </c>
      <c r="M30" t="n">
        <v>7</v>
      </c>
      <c r="N30" t="n">
        <v>1</v>
      </c>
      <c r="O30" t="n">
        <v>0</v>
      </c>
      <c r="P30" t="n">
        <v>0</v>
      </c>
      <c r="Q30" t="n">
        <v>18</v>
      </c>
      <c r="R30" t="n">
        <v>8</v>
      </c>
      <c r="S30" t="n">
        <v>25</v>
      </c>
      <c r="T30" t="n">
        <v>37</v>
      </c>
      <c r="U30" t="n">
        <v>4</v>
      </c>
      <c r="V30" s="2" t="inlineStr">
        <is>
          <t>Violgubbe
Bredgentiana
Fältgentiana
Knärot
Kopparspindling
Mindre bastardsvärmare
Silverblåvinge
Violettkantad guldvinge
Berggräsfjäril
Dofttaggsvamp
Fjällig taggsvamp s.str.
Frejas pärlemorfjäril
Ladusvala
Loppstarr
Mindre tåtelsmygare
Orange taggsvamp
Svartvit taggsvamp
Tjockfotad fingersvamp
Anisspindling
Nästrot
Rödgul trumpetsvamp
Svavelriska
Nattskärra
Svartvit flugsnappare
Trana</t>
        </is>
      </c>
      <c r="W30">
        <f>HYPERLINK("https://klasma.github.io/Logging_0382/artfynd/A 1101-2026 artfynd.xlsx", "A 1101-2026")</f>
        <v/>
      </c>
      <c r="X30">
        <f>HYPERLINK("https://klasma.github.io/Logging_0382/kartor/A 1101-2026 karta.png", "A 1101-2026")</f>
        <v/>
      </c>
      <c r="Y30">
        <f>HYPERLINK("https://klasma.github.io/Logging_0382/kartor_geotiff/A 1101-2026 georefererad karta.tif", "A 1101-2026")</f>
        <v/>
      </c>
      <c r="Z30">
        <f>HYPERLINK("https://klasma.github.io/Logging_0382/knärot/A 1101-2026 karta knärot.png", "A 1101-2026")</f>
        <v/>
      </c>
      <c r="AA30">
        <f>HYPERLINK("https://klasma.github.io/Logging_0382/klagomål/A 1101-2026 FSC-klagomål.docx", "A 1101-2026")</f>
        <v/>
      </c>
      <c r="AB30">
        <f>HYPERLINK("https://klasma.github.io/Logging_0382/klagomålsmail/A 1101-2026 FSC-klagomål mail.docx", "A 1101-2026")</f>
        <v/>
      </c>
      <c r="AC30">
        <f>HYPERLINK("https://klasma.github.io/Logging_0382/tillsyn/A 1101-2026 tillsynsbegäran.docx", "A 1101-2026")</f>
        <v/>
      </c>
      <c r="AD30">
        <f>HYPERLINK("https://klasma.github.io/Logging_0382/tillsynsmail/A 1101-2026 tillsynsbegäran mail.docx", "A 1101-2026")</f>
        <v/>
      </c>
      <c r="AE30">
        <f>HYPERLINK("https://klasma.github.io/Logging_0382/fåglar/A 1101-2026 prioriterade fågelarter.docx", "A 1101-2026")</f>
        <v/>
      </c>
    </row>
    <row r="31" ht="15" customHeight="1">
      <c r="A31" t="inlineStr">
        <is>
          <t>A 51149-2025</t>
        </is>
      </c>
      <c r="B31" t="inlineStr">
        <is>
          <t>avverkningsanmälan</t>
        </is>
      </c>
      <c r="C31" t="inlineStr">
        <is>
          <t>Avverkning för att bevara och utveckla /försöksver</t>
        </is>
      </c>
      <c r="D31" s="1" t="n">
        <v>45947</v>
      </c>
      <c r="E31" s="1" t="n">
        <v>46309</v>
      </c>
      <c r="F31" t="inlineStr">
        <is>
          <t>UPPSALA LÄN</t>
        </is>
      </c>
      <c r="G31" t="inlineStr">
        <is>
          <t>ÄLVKARLEBY</t>
        </is>
      </c>
      <c r="H31" t="inlineStr">
        <is>
          <t>Bergvik skog väst AB</t>
        </is>
      </c>
      <c r="I31" t="n">
        <v>2.9</v>
      </c>
      <c r="J31" t="n">
        <v>2</v>
      </c>
      <c r="K31" t="n">
        <v>9</v>
      </c>
      <c r="L31" t="n">
        <v>9</v>
      </c>
      <c r="M31" t="n">
        <v>5</v>
      </c>
      <c r="N31" t="n">
        <v>1</v>
      </c>
      <c r="O31" t="n">
        <v>0</v>
      </c>
      <c r="P31" t="n">
        <v>0</v>
      </c>
      <c r="Q31" t="n">
        <v>15</v>
      </c>
      <c r="R31" t="n">
        <v>6</v>
      </c>
      <c r="S31" t="n">
        <v>25</v>
      </c>
      <c r="T31" t="n">
        <v>44</v>
      </c>
      <c r="U31" t="n">
        <v>44</v>
      </c>
      <c r="V31" s="2" t="inlineStr">
        <is>
          <t>Dvärgtaggsvamp
Duvspindling
Gyllenspindling
Kopparspindling
Läderdoftande fingersvamp
Phellodon melilotinus
Fjällig taggsvamp s.str.
Orange taggsvamp
Persiljespindling
Puderspindling
Rödfläckig zontaggsvamp
Skarp dropptaggsvamp
Svart taggsvamp
Ullticka
Vårärt
Guldlockmossa
Mindre märgborre
Mörk husmossa
Olivspindling
Platt fjädermossa
Skogsknipprot
Stubbspretmossa
Tibast
Zontaggsvamp
Blåsippa</t>
        </is>
      </c>
      <c r="W31">
        <f>HYPERLINK("https://klasma.github.io/Logging_0319/artfynd/A 51149-2025 artfynd.xlsx", "A 51149-2025")</f>
        <v/>
      </c>
      <c r="X31">
        <f>HYPERLINK("https://klasma.github.io/Logging_0319/kartor/A 51149-2025 karta.png", "A 51149-2025")</f>
        <v/>
      </c>
      <c r="Y31">
        <f>HYPERLINK("https://klasma.github.io/Logging_0319/kartor_geotiff/A 51149-2025 georefererad karta.tif", "A 51149-2025")</f>
        <v/>
      </c>
      <c r="AA31">
        <f>HYPERLINK("https://klasma.github.io/Logging_0319/klagomål/A 51149-2025 FSC-klagomål.docx", "A 51149-2025")</f>
        <v/>
      </c>
      <c r="AB31">
        <f>HYPERLINK("https://klasma.github.io/Logging_0319/klagomålsmail/A 51149-2025 FSC-klagomål mail.docx", "A 51149-2025")</f>
        <v/>
      </c>
      <c r="AC31">
        <f>HYPERLINK("https://klasma.github.io/Logging_0319/tillsyn/A 51149-2025 tillsynsbegäran.docx", "A 51149-2025")</f>
        <v/>
      </c>
      <c r="AD31">
        <f>HYPERLINK("https://klasma.github.io/Logging_0319/tillsynsmail/A 51149-2025 tillsynsbegäran mail.docx", "A 51149-2025")</f>
        <v/>
      </c>
    </row>
    <row r="32" ht="15" customHeight="1">
      <c r="A32" t="inlineStr">
        <is>
          <t>A 46302-2025</t>
        </is>
      </c>
      <c r="B32" t="inlineStr">
        <is>
          <t>avverkningsanmälan</t>
        </is>
      </c>
      <c r="C32" t="inlineStr">
        <is>
          <t>Avverkning för att bevara och utveckla /försöksver</t>
        </is>
      </c>
      <c r="D32" s="1" t="n">
        <v>45925</v>
      </c>
      <c r="E32" s="1" t="n">
        <v>46309</v>
      </c>
      <c r="F32" t="inlineStr">
        <is>
          <t>UPPSALA LÄN</t>
        </is>
      </c>
      <c r="G32" t="inlineStr">
        <is>
          <t>KNIVSTA</t>
        </is>
      </c>
      <c r="I32" t="n">
        <v>5</v>
      </c>
      <c r="J32" t="n">
        <v>5</v>
      </c>
      <c r="K32" t="n">
        <v>11</v>
      </c>
      <c r="L32" t="n">
        <v>8</v>
      </c>
      <c r="M32" t="n">
        <v>2</v>
      </c>
      <c r="N32" t="n">
        <v>1</v>
      </c>
      <c r="O32" t="n">
        <v>0</v>
      </c>
      <c r="P32" t="n">
        <v>0</v>
      </c>
      <c r="Q32" t="n">
        <v>11</v>
      </c>
      <c r="R32" t="n">
        <v>3</v>
      </c>
      <c r="S32" t="n">
        <v>25</v>
      </c>
      <c r="T32" t="n">
        <v>124</v>
      </c>
      <c r="U32" t="n">
        <v>111</v>
      </c>
      <c r="V32" s="2" t="inlineStr">
        <is>
          <t>Koppartaggsvamp
Blackticka
Knärot
Brunpudrad nållav
Dofttaggsvamp
Kötticka
Rosenticka
Rynkskinn
Skarp dropptaggsvamp
Tallticka
Ullticka
Blodticka
Blomkålssvamp
Brandticka
Bronshjon
Granbarkgnagare
Grön sköldmossa
Grönpyrola
Rödgul trumpetsvamp
Trådticka
Vedticka
Vågbandad barkbock
Blåsippa
Spillkråka
Revlummer</t>
        </is>
      </c>
      <c r="W32">
        <f>HYPERLINK("https://klasma.github.io/Logging_0330/artfynd/A 46302-2025 artfynd.xlsx", "A 46302-2025")</f>
        <v/>
      </c>
      <c r="X32">
        <f>HYPERLINK("https://klasma.github.io/Logging_0330/kartor/A 46302-2025 karta.png", "A 46302-2025")</f>
        <v/>
      </c>
      <c r="Y32">
        <f>HYPERLINK("https://klasma.github.io/Logging_0330/kartor_geotiff/A 46302-2025 georefererad karta.tif", "A 46302-2025")</f>
        <v/>
      </c>
      <c r="Z32">
        <f>HYPERLINK("https://klasma.github.io/Logging_0330/knärot/A 46302-2025 karta knärot.png", "A 46302-2025")</f>
        <v/>
      </c>
      <c r="AA32">
        <f>HYPERLINK("https://klasma.github.io/Logging_0330/klagomål/A 46302-2025 FSC-klagomål.docx", "A 46302-2025")</f>
        <v/>
      </c>
      <c r="AB32">
        <f>HYPERLINK("https://klasma.github.io/Logging_0330/klagomålsmail/A 46302-2025 FSC-klagomål mail.docx", "A 46302-2025")</f>
        <v/>
      </c>
      <c r="AC32">
        <f>HYPERLINK("https://klasma.github.io/Logging_0330/tillsyn/A 46302-2025 tillsynsbegäran.docx", "A 46302-2025")</f>
        <v/>
      </c>
      <c r="AD32">
        <f>HYPERLINK("https://klasma.github.io/Logging_0330/tillsynsmail/A 46302-2025 tillsynsbegäran mail.docx", "A 46302-2025")</f>
        <v/>
      </c>
      <c r="AE32">
        <f>HYPERLINK("https://klasma.github.io/Logging_0330/fåglar/A 46302-2025 prioriterade fågelarter.docx", "A 46302-2025")</f>
        <v/>
      </c>
    </row>
    <row r="33" ht="15" customHeight="1">
      <c r="A33" t="inlineStr">
        <is>
          <t>A 24492-2023</t>
        </is>
      </c>
      <c r="B33" t="inlineStr">
        <is>
          <t>avverkningsanmälan</t>
        </is>
      </c>
      <c r="C33" t="inlineStr">
        <is>
          <t>Avverkning för att bevara och utveckla /försöksver</t>
        </is>
      </c>
      <c r="D33" s="1" t="n">
        <v>45082</v>
      </c>
      <c r="E33" s="1" t="n">
        <v>46309</v>
      </c>
      <c r="F33" t="inlineStr">
        <is>
          <t>UPPSALA LÄN</t>
        </is>
      </c>
      <c r="G33" t="inlineStr">
        <is>
          <t>UPPSALA</t>
        </is>
      </c>
      <c r="H33" t="inlineStr">
        <is>
          <t>Holmen skog AB</t>
        </is>
      </c>
      <c r="I33" t="n">
        <v>8.6</v>
      </c>
      <c r="J33" t="n">
        <v>5</v>
      </c>
      <c r="K33" t="n">
        <v>9</v>
      </c>
      <c r="L33" t="n">
        <v>12</v>
      </c>
      <c r="M33" t="n">
        <v>0</v>
      </c>
      <c r="N33" t="n">
        <v>1</v>
      </c>
      <c r="O33" t="n">
        <v>0</v>
      </c>
      <c r="P33" t="n">
        <v>0</v>
      </c>
      <c r="Q33" t="n">
        <v>13</v>
      </c>
      <c r="R33" t="n">
        <v>1</v>
      </c>
      <c r="S33" t="n">
        <v>25</v>
      </c>
      <c r="T33" t="n">
        <v>36</v>
      </c>
      <c r="U33" t="n">
        <v>4</v>
      </c>
      <c r="V33" s="2" t="inlineStr">
        <is>
          <t>Ask
Blekticka
Ekticka
Jättekamskivling
Kandelabersvamp
Lunglav
Mindre hackspett
Reliktbock
Rosenfink
Rödbrun blekspik
Skuggorangelav
Tallticka
Vågticka
Blodvaxing
Dvärgtufs
Fällmossa
Grovticka
Gulpudrad spiklav
Scharlakansskål
Stor aspticka
Svart trolldruva
Tibast
Gröngöling
Grönsiska
Mindre vattensalamander</t>
        </is>
      </c>
      <c r="W33">
        <f>HYPERLINK("https://klasma.github.io/Logging_0380/artfynd/A 24492-2023 artfynd.xlsx", "A 24492-2023")</f>
        <v/>
      </c>
      <c r="X33">
        <f>HYPERLINK("https://klasma.github.io/Logging_0380/kartor/A 24492-2023 karta.png", "A 24492-2023")</f>
        <v/>
      </c>
      <c r="Y33">
        <f>HYPERLINK("https://klasma.github.io/Logging_0380/kartor_geotiff/A 24492-2023 georefererad karta.tif", "A 24492-2023")</f>
        <v/>
      </c>
      <c r="AA33">
        <f>HYPERLINK("https://klasma.github.io/Logging_0380/klagomål/A 24492-2023 FSC-klagomål.docx", "A 24492-2023")</f>
        <v/>
      </c>
      <c r="AB33">
        <f>HYPERLINK("https://klasma.github.io/Logging_0380/klagomålsmail/A 24492-2023 FSC-klagomål mail.docx", "A 24492-2023")</f>
        <v/>
      </c>
      <c r="AC33">
        <f>HYPERLINK("https://klasma.github.io/Logging_0380/tillsyn/A 24492-2023 tillsynsbegäran.docx", "A 24492-2023")</f>
        <v/>
      </c>
      <c r="AD33">
        <f>HYPERLINK("https://klasma.github.io/Logging_0380/tillsynsmail/A 24492-2023 tillsynsbegäran mail.docx", "A 24492-2023")</f>
        <v/>
      </c>
      <c r="AE33">
        <f>HYPERLINK("https://klasma.github.io/Logging_0380/fåglar/A 24492-2023 prioriterade fågelarter.docx", "A 24492-2023")</f>
        <v/>
      </c>
    </row>
    <row r="34" ht="15" customHeight="1">
      <c r="A34" t="inlineStr">
        <is>
          <t>A 21006-2024</t>
        </is>
      </c>
      <c r="B34" t="inlineStr">
        <is>
          <t>avverkningsanmälan</t>
        </is>
      </c>
      <c r="C34" t="inlineStr">
        <is>
          <t>Avverkning för att bevara och utveckla /försöksver</t>
        </is>
      </c>
      <c r="D34" s="1" t="n">
        <v>45439</v>
      </c>
      <c r="E34" s="1" t="n">
        <v>46309</v>
      </c>
      <c r="F34" t="inlineStr">
        <is>
          <t>UPPSALA LÄN</t>
        </is>
      </c>
      <c r="G34" t="inlineStr">
        <is>
          <t>ÖSTHAMMAR</t>
        </is>
      </c>
      <c r="H34" t="inlineStr">
        <is>
          <t>Bergvik skog öst AB</t>
        </is>
      </c>
      <c r="I34" t="n">
        <v>3.8</v>
      </c>
      <c r="J34" t="n">
        <v>2</v>
      </c>
      <c r="K34" t="n">
        <v>13</v>
      </c>
      <c r="L34" t="n">
        <v>5</v>
      </c>
      <c r="M34" t="n">
        <v>6</v>
      </c>
      <c r="N34" t="n">
        <v>0</v>
      </c>
      <c r="O34" t="n">
        <v>0</v>
      </c>
      <c r="P34" t="n">
        <v>0</v>
      </c>
      <c r="Q34" t="n">
        <v>11</v>
      </c>
      <c r="R34" t="n">
        <v>6</v>
      </c>
      <c r="S34" t="n">
        <v>25</v>
      </c>
      <c r="T34" t="n">
        <v>89</v>
      </c>
      <c r="U34" t="n">
        <v>2</v>
      </c>
      <c r="V34" s="2" t="inlineStr">
        <is>
          <t>Aspfjädermossa
Brun lundlav
Ekpricklav
Gulvit blekspik
Mörk kraterlav
Skogskorn
Lunglav
Rutskinn
Rödbrun blekspik
Skogssvingel
Vårärt
Bårdlav
Fällmossa
Grön sköldmossa
Guldlockmossa
Myskmadra
Platt fjädermossa
Skogshakmossa
Slät lönnlav
Stenporella
Strutbräken
Svart trolldruva
Trubbfjädermossa
Underviol
Blåsippa</t>
        </is>
      </c>
      <c r="W34">
        <f>HYPERLINK("https://klasma.github.io/Logging_0382/artfynd/A 21006-2024 artfynd.xlsx", "A 21006-2024")</f>
        <v/>
      </c>
      <c r="X34">
        <f>HYPERLINK("https://klasma.github.io/Logging_0382/kartor/A 21006-2024 karta.png", "A 21006-2024")</f>
        <v/>
      </c>
      <c r="Y34">
        <f>HYPERLINK("https://klasma.github.io/Logging_0382/kartor_geotiff/A 21006-2024 georefererad karta.tif", "A 21006-2024")</f>
        <v/>
      </c>
      <c r="AA34">
        <f>HYPERLINK("https://klasma.github.io/Logging_0382/klagomål/A 21006-2024 FSC-klagomål.docx", "A 21006-2024")</f>
        <v/>
      </c>
      <c r="AB34">
        <f>HYPERLINK("https://klasma.github.io/Logging_0382/klagomålsmail/A 21006-2024 FSC-klagomål mail.docx", "A 21006-2024")</f>
        <v/>
      </c>
      <c r="AC34">
        <f>HYPERLINK("https://klasma.github.io/Logging_0382/tillsyn/A 21006-2024 tillsynsbegäran.docx", "A 21006-2024")</f>
        <v/>
      </c>
      <c r="AD34">
        <f>HYPERLINK("https://klasma.github.io/Logging_0382/tillsynsmail/A 21006-2024 tillsynsbegäran mail.docx", "A 21006-2024")</f>
        <v/>
      </c>
    </row>
    <row r="35" ht="15" customHeight="1">
      <c r="A35" t="inlineStr">
        <is>
          <t>S 2170-2025</t>
        </is>
      </c>
      <c r="B35" t="inlineStr">
        <is>
          <t>samrådsanmälan</t>
        </is>
      </c>
      <c r="C35" t="inlineStr">
        <is>
          <t>Annan skogsbruksåtgärd</t>
        </is>
      </c>
      <c r="D35" s="1" t="n">
        <v>45849</v>
      </c>
      <c r="E35" s="1" t="n">
        <v>46309</v>
      </c>
      <c r="F35" t="inlineStr">
        <is>
          <t>UPPSALA LÄN</t>
        </is>
      </c>
      <c r="G35" t="inlineStr">
        <is>
          <t>UPPSALA</t>
        </is>
      </c>
      <c r="H35" t="inlineStr">
        <is>
          <t>Kommuner</t>
        </is>
      </c>
      <c r="I35" t="n">
        <v>6.2</v>
      </c>
      <c r="J35" t="n">
        <v>13</v>
      </c>
      <c r="K35" t="n">
        <v>8</v>
      </c>
      <c r="L35" t="n">
        <v>6</v>
      </c>
      <c r="M35" t="n">
        <v>4</v>
      </c>
      <c r="N35" t="n">
        <v>0</v>
      </c>
      <c r="O35" t="n">
        <v>0</v>
      </c>
      <c r="P35" t="n">
        <v>0</v>
      </c>
      <c r="Q35" t="n">
        <v>10</v>
      </c>
      <c r="R35" t="n">
        <v>4</v>
      </c>
      <c r="S35" t="n">
        <v>25</v>
      </c>
      <c r="T35" t="n">
        <v>47</v>
      </c>
      <c r="U35" t="n">
        <v>2</v>
      </c>
      <c r="V35" s="2" t="inlineStr">
        <is>
          <t>Cinnoberbagge
Grönfink
Ostticka
Stare
Entita
Grönsångare
Järnsparv
Kandelabersvamp
Tallticka
Vintertagging
Barkticka
Blodticka
Granbarkgnagare
Grovticka
Kamjordstjärna
Rävticka
Stor aspticka
Strimspindling
Mindre flugsnappare
Spillkråka
Grönsiska
Kråka
Kungsfågel
Svartvit flugsnappare
Kopparödla</t>
        </is>
      </c>
      <c r="W35">
        <f>HYPERLINK("https://klasma.github.io/Logging_0380/artfynd/S 2170-2025 artfynd.xlsx", "S 2170-2025")</f>
        <v/>
      </c>
      <c r="X35">
        <f>HYPERLINK("https://klasma.github.io/Logging_0380/kartor/S 2170-2025 karta.png", "S 2170-2025")</f>
        <v/>
      </c>
      <c r="Y35">
        <f>HYPERLINK("https://klasma.github.io/Logging_0380/kartor_geotiff/S 2170-2025 georefererad karta.tif", "S 2170-2025")</f>
        <v/>
      </c>
      <c r="AA35">
        <f>HYPERLINK("https://klasma.github.io/Logging_0380/klagomål/S 2170-2025 FSC-klagomål.docx", "S 2170-2025")</f>
        <v/>
      </c>
      <c r="AB35">
        <f>HYPERLINK("https://klasma.github.io/Logging_0380/klagomålsmail/S 2170-2025 FSC-klagomål mail.docx", "S 2170-2025")</f>
        <v/>
      </c>
      <c r="AC35">
        <f>HYPERLINK("https://klasma.github.io/Logging_0380/tillsyn/S 2170-2025 tillsynsbegäran.docx", "S 2170-2025")</f>
        <v/>
      </c>
      <c r="AD35">
        <f>HYPERLINK("https://klasma.github.io/Logging_0380/tillsynsmail/S 2170-2025 tillsynsbegäran mail.docx", "S 2170-2025")</f>
        <v/>
      </c>
      <c r="AE35">
        <f>HYPERLINK("https://klasma.github.io/Logging_0380/fåglar/S 2170-2025 prioriterade fågelarter.docx", "S 2170-2025")</f>
        <v/>
      </c>
    </row>
    <row r="36" ht="15" customHeight="1">
      <c r="A36" t="inlineStr">
        <is>
          <t>A 30851-2025</t>
        </is>
      </c>
      <c r="B36" t="inlineStr">
        <is>
          <t>avverkningsanmälan</t>
        </is>
      </c>
      <c r="C36" t="inlineStr">
        <is>
          <t>Avverkning för annat ändamål</t>
        </is>
      </c>
      <c r="D36" s="1" t="n">
        <v>45831</v>
      </c>
      <c r="E36" s="1" t="n">
        <v>46309</v>
      </c>
      <c r="F36" t="inlineStr">
        <is>
          <t>UPPSALA LÄN</t>
        </is>
      </c>
      <c r="G36" t="inlineStr">
        <is>
          <t>ENKÖPING</t>
        </is>
      </c>
      <c r="H36" t="inlineStr">
        <is>
          <t>Kommuner</t>
        </is>
      </c>
      <c r="I36" t="n">
        <v>3.2</v>
      </c>
      <c r="J36" t="n">
        <v>4</v>
      </c>
      <c r="K36" t="n">
        <v>11</v>
      </c>
      <c r="L36" t="n">
        <v>10</v>
      </c>
      <c r="M36" t="n">
        <v>0</v>
      </c>
      <c r="N36" t="n">
        <v>1</v>
      </c>
      <c r="O36" t="n">
        <v>0</v>
      </c>
      <c r="P36" t="n">
        <v>0</v>
      </c>
      <c r="Q36" t="n">
        <v>11</v>
      </c>
      <c r="R36" t="n">
        <v>1</v>
      </c>
      <c r="S36" t="n">
        <v>24</v>
      </c>
      <c r="T36" t="n">
        <v>70</v>
      </c>
      <c r="U36" t="n">
        <v>6</v>
      </c>
      <c r="V36" s="2" t="inlineStr">
        <is>
          <t>Skogsalm
Dropptaggsvamp
Fjällig taggsvamp s.str.
Motaggsvamp
Orange taggsvamp
Rosenticka
Rynkskinn
Skarp dropptaggsvamp
Talltita
Ullticka
Älg
Blomkålssvamp
Brandticka
Bronshjon
Grovticka
Grön sköldmossa
Grönpyrola
Kamjordstjärna
Rödgul trumpetsvamp
Stubbspretmossa
Svavelriska
Vågbandad barkbock
Blåsippa
Spillkråka</t>
        </is>
      </c>
      <c r="W36">
        <f>HYPERLINK("https://klasma.github.io/Logging_0381/artfynd/A 30851-2025 artfynd.xlsx", "A 30851-2025")</f>
        <v/>
      </c>
      <c r="X36">
        <f>HYPERLINK("https://klasma.github.io/Logging_0381/kartor/A 30851-2025 karta.png", "A 30851-2025")</f>
        <v/>
      </c>
      <c r="Y36">
        <f>HYPERLINK("https://klasma.github.io/Logging_0381/kartor_geotiff/A 30851-2025 georefererad karta.tif", "A 30851-2025")</f>
        <v/>
      </c>
      <c r="AA36">
        <f>HYPERLINK("https://klasma.github.io/Logging_0381/klagomål/A 30851-2025 FSC-klagomål.docx", "A 30851-2025")</f>
        <v/>
      </c>
      <c r="AB36">
        <f>HYPERLINK("https://klasma.github.io/Logging_0381/klagomålsmail/A 30851-2025 FSC-klagomål mail.docx", "A 30851-2025")</f>
        <v/>
      </c>
      <c r="AC36">
        <f>HYPERLINK("https://klasma.github.io/Logging_0381/tillsyn/A 30851-2025 tillsynsbegäran.docx", "A 30851-2025")</f>
        <v/>
      </c>
      <c r="AD36">
        <f>HYPERLINK("https://klasma.github.io/Logging_0381/tillsynsmail/A 30851-2025 tillsynsbegäran mail.docx", "A 30851-2025")</f>
        <v/>
      </c>
      <c r="AE36">
        <f>HYPERLINK("https://klasma.github.io/Logging_0381/fåglar/A 30851-2025 prioriterade fågelarter.docx", "A 30851-2025")</f>
        <v/>
      </c>
    </row>
    <row r="37" ht="15" customHeight="1">
      <c r="A37" t="inlineStr">
        <is>
          <t>A 38085-2025</t>
        </is>
      </c>
      <c r="B37" t="inlineStr">
        <is>
          <t>avverkningsanmälan</t>
        </is>
      </c>
      <c r="C37" t="inlineStr">
        <is>
          <t>Föryngringsavverkning</t>
        </is>
      </c>
      <c r="D37" s="1" t="n">
        <v>45882</v>
      </c>
      <c r="E37" s="1" t="n">
        <v>46309</v>
      </c>
      <c r="F37" t="inlineStr">
        <is>
          <t>UPPSALA LÄN</t>
        </is>
      </c>
      <c r="G37" t="inlineStr">
        <is>
          <t>UPPSALA</t>
        </is>
      </c>
      <c r="I37" t="n">
        <v>7.4</v>
      </c>
      <c r="J37" t="n">
        <v>5</v>
      </c>
      <c r="K37" t="n">
        <v>10</v>
      </c>
      <c r="L37" t="n">
        <v>7</v>
      </c>
      <c r="M37" t="n">
        <v>3</v>
      </c>
      <c r="N37" t="n">
        <v>1</v>
      </c>
      <c r="O37" t="n">
        <v>0</v>
      </c>
      <c r="P37" t="n">
        <v>0</v>
      </c>
      <c r="Q37" t="n">
        <v>11</v>
      </c>
      <c r="R37" t="n">
        <v>4</v>
      </c>
      <c r="S37" t="n">
        <v>24</v>
      </c>
      <c r="T37" t="n">
        <v>82</v>
      </c>
      <c r="U37" t="n">
        <v>82</v>
      </c>
      <c r="V37" s="2" t="inlineStr">
        <is>
          <t>Violgubbe
Blackticka
Garnlav
Knärot
Blastenia relicta
Nötkråka
Rynkskinn
Tallfingersvamp
Talltita
Ullticka
Vedtrappmossa
Barkticka
Björksplintborre
Blodticka
Brandticka
Granbarkgnagare
Grov fjädermossa
Platt fjädermossa
Skinnlav
Vedticka
Vågbandad barkbock
Kransmossa
Spillkråka
Revlummer</t>
        </is>
      </c>
      <c r="W37">
        <f>HYPERLINK("https://klasma.github.io/Logging_0380/artfynd/A 38085-2025 artfynd.xlsx", "A 38085-2025")</f>
        <v/>
      </c>
      <c r="X37">
        <f>HYPERLINK("https://klasma.github.io/Logging_0380/kartor/A 38085-2025 karta.png", "A 38085-2025")</f>
        <v/>
      </c>
      <c r="Y37">
        <f>HYPERLINK("https://klasma.github.io/Logging_0380/kartor_geotiff/A 38085-2025 georefererad karta.tif", "A 38085-2025")</f>
        <v/>
      </c>
      <c r="Z37">
        <f>HYPERLINK("https://klasma.github.io/Logging_0380/knärot/A 38085-2025 karta knärot.png", "A 38085-2025")</f>
        <v/>
      </c>
      <c r="AA37">
        <f>HYPERLINK("https://klasma.github.io/Logging_0380/klagomål/A 38085-2025 FSC-klagomål.docx", "A 38085-2025")</f>
        <v/>
      </c>
      <c r="AB37">
        <f>HYPERLINK("https://klasma.github.io/Logging_0380/klagomålsmail/A 38085-2025 FSC-klagomål mail.docx", "A 38085-2025")</f>
        <v/>
      </c>
      <c r="AC37">
        <f>HYPERLINK("https://klasma.github.io/Logging_0380/tillsyn/A 38085-2025 tillsynsbegäran.docx", "A 38085-2025")</f>
        <v/>
      </c>
      <c r="AD37">
        <f>HYPERLINK("https://klasma.github.io/Logging_0380/tillsynsmail/A 38085-2025 tillsynsbegäran mail.docx", "A 38085-2025")</f>
        <v/>
      </c>
      <c r="AE37">
        <f>HYPERLINK("https://klasma.github.io/Logging_0380/fåglar/A 38085-2025 prioriterade fågelarter.docx", "A 38085-2025")</f>
        <v/>
      </c>
    </row>
    <row r="38" ht="15" customHeight="1">
      <c r="A38" t="inlineStr">
        <is>
          <t>A 29564-2023</t>
        </is>
      </c>
      <c r="B38" t="inlineStr">
        <is>
          <t>avverkningsanmälan</t>
        </is>
      </c>
      <c r="C38" t="inlineStr">
        <is>
          <t>Föryngringsavverkning</t>
        </is>
      </c>
      <c r="D38" s="1" t="n">
        <v>45106</v>
      </c>
      <c r="E38" s="1" t="n">
        <v>46309</v>
      </c>
      <c r="F38" t="inlineStr">
        <is>
          <t>UPPSALA LÄN</t>
        </is>
      </c>
      <c r="G38" t="inlineStr">
        <is>
          <t>ÖSTHAMMAR</t>
        </is>
      </c>
      <c r="H38" t="inlineStr">
        <is>
          <t>Naturvårdsverket</t>
        </is>
      </c>
      <c r="I38" t="n">
        <v>1.2</v>
      </c>
      <c r="J38" t="n">
        <v>8</v>
      </c>
      <c r="K38" t="n">
        <v>10</v>
      </c>
      <c r="L38" t="n">
        <v>6</v>
      </c>
      <c r="M38" t="n">
        <v>0</v>
      </c>
      <c r="N38" t="n">
        <v>1</v>
      </c>
      <c r="O38" t="n">
        <v>0</v>
      </c>
      <c r="P38" t="n">
        <v>0</v>
      </c>
      <c r="Q38" t="n">
        <v>7</v>
      </c>
      <c r="R38" t="n">
        <v>1</v>
      </c>
      <c r="S38" t="n">
        <v>24</v>
      </c>
      <c r="T38" t="n">
        <v>83</v>
      </c>
      <c r="U38" t="n">
        <v>83</v>
      </c>
      <c r="V38" s="2" t="inlineStr">
        <is>
          <t>Mandarinfingersvamp
Denisespindling
Fjällig taggsvamp s.str.
Gultoppig fingersvamp
Odörspindling
Skarp dropptaggsvamp
Vårärt
Anisspindling
Brandticka
Grön sköldmossa
Kantarellvaxing
Olivspindling
Rödgul trumpetsvamp
Skogsknipprot
Stubbspretmossa
Svavelriska
Tibast
Blåsippa
Kransmossa
Kungsfågel
Vanlig groda
Nattviol
Gullviva
Lopplummer (aggregat)</t>
        </is>
      </c>
      <c r="W38">
        <f>HYPERLINK("https://klasma.github.io/Logging_0382/artfynd/A 29564-2023 artfynd.xlsx", "A 29564-2023")</f>
        <v/>
      </c>
      <c r="X38">
        <f>HYPERLINK("https://klasma.github.io/Logging_0382/kartor/A 29564-2023 karta.png", "A 29564-2023")</f>
        <v/>
      </c>
      <c r="Y38">
        <f>HYPERLINK("https://klasma.github.io/Logging_0382/kartor_geotiff/A 29564-2023 georefererad karta.tif", "A 29564-2023")</f>
        <v/>
      </c>
      <c r="AA38">
        <f>HYPERLINK("https://klasma.github.io/Logging_0382/klagomål/A 29564-2023 FSC-klagomål.docx", "A 29564-2023")</f>
        <v/>
      </c>
      <c r="AB38">
        <f>HYPERLINK("https://klasma.github.io/Logging_0382/klagomålsmail/A 29564-2023 FSC-klagomål mail.docx", "A 29564-2023")</f>
        <v/>
      </c>
      <c r="AC38">
        <f>HYPERLINK("https://klasma.github.io/Logging_0382/tillsyn/A 29564-2023 tillsynsbegäran.docx", "A 29564-2023")</f>
        <v/>
      </c>
      <c r="AD38">
        <f>HYPERLINK("https://klasma.github.io/Logging_0382/tillsynsmail/A 29564-2023 tillsynsbegäran mail.docx", "A 29564-2023")</f>
        <v/>
      </c>
    </row>
    <row r="39" ht="15" customHeight="1">
      <c r="A39" t="inlineStr">
        <is>
          <t>A 26552-2026</t>
        </is>
      </c>
      <c r="B39" t="inlineStr">
        <is>
          <t>avverkningsanmälan</t>
        </is>
      </c>
      <c r="C39" t="inlineStr">
        <is>
          <t>Föryngringsavverkning</t>
        </is>
      </c>
      <c r="D39" s="1" t="n">
        <v>46183</v>
      </c>
      <c r="E39" s="1" t="n">
        <v>46309</v>
      </c>
      <c r="F39" t="inlineStr">
        <is>
          <t>UPPSALA LÄN</t>
        </is>
      </c>
      <c r="G39" t="inlineStr">
        <is>
          <t>ÖSTHAMMAR</t>
        </is>
      </c>
      <c r="H39" t="inlineStr">
        <is>
          <t>Sveaskog</t>
        </is>
      </c>
      <c r="I39" t="n">
        <v>3.2</v>
      </c>
      <c r="J39" t="n">
        <v>9</v>
      </c>
      <c r="K39" t="n">
        <v>9</v>
      </c>
      <c r="L39" t="n">
        <v>4</v>
      </c>
      <c r="M39" t="n">
        <v>1</v>
      </c>
      <c r="N39" t="n">
        <v>1</v>
      </c>
      <c r="O39" t="n">
        <v>0</v>
      </c>
      <c r="P39" t="n">
        <v>0</v>
      </c>
      <c r="Q39" t="n">
        <v>6</v>
      </c>
      <c r="R39" t="n">
        <v>2</v>
      </c>
      <c r="S39" t="n">
        <v>24</v>
      </c>
      <c r="T39" t="n">
        <v>97</v>
      </c>
      <c r="U39" t="n">
        <v>96</v>
      </c>
      <c r="V39" s="2" t="inlineStr">
        <is>
          <t>Skogsalm
Knärot
Dropptaggsvamp
Fjällig taggsvamp s.str.
Sårläka
Vårärt
Granbarkgnagare
Grön sköldmossa
Grönpyrola
Skogsknipprot
Stor aspticka
Stubbspretmossa
Stuplav
Tibast
Tvåblad
Blåsippa
Brudborste
Ekbräken
Kransmossa
Ormbär
Spillkråka
Tofsmes
Nattviol
Revlummer</t>
        </is>
      </c>
      <c r="W39">
        <f>HYPERLINK("https://klasma.github.io/Logging_0382/artfynd/A 26552-2026 artfynd.xlsx", "A 26552-2026")</f>
        <v/>
      </c>
      <c r="X39">
        <f>HYPERLINK("https://klasma.github.io/Logging_0382/kartor/A 26552-2026 karta.png", "A 26552-2026")</f>
        <v/>
      </c>
      <c r="Y39">
        <f>HYPERLINK("https://klasma.github.io/Logging_0382/kartor_geotiff/A 26552-2026 georefererad karta.tif", "A 26552-2026")</f>
        <v/>
      </c>
      <c r="Z39">
        <f>HYPERLINK("https://klasma.github.io/Logging_0382/knärot/A 26552-2026 karta knärot.png", "A 26552-2026")</f>
        <v/>
      </c>
      <c r="AA39">
        <f>HYPERLINK("https://klasma.github.io/Logging_0382/klagomål/A 26552-2026 FSC-klagomål.docx", "A 26552-2026")</f>
        <v/>
      </c>
      <c r="AB39">
        <f>HYPERLINK("https://klasma.github.io/Logging_0382/klagomålsmail/A 26552-2026 FSC-klagomål mail.docx", "A 26552-2026")</f>
        <v/>
      </c>
      <c r="AC39">
        <f>HYPERLINK("https://klasma.github.io/Logging_0382/tillsyn/A 26552-2026 tillsynsbegäran.docx", "A 26552-2026")</f>
        <v/>
      </c>
      <c r="AD39">
        <f>HYPERLINK("https://klasma.github.io/Logging_0382/tillsynsmail/A 26552-2026 tillsynsbegäran mail.docx", "A 26552-2026")</f>
        <v/>
      </c>
      <c r="AE39">
        <f>HYPERLINK("https://klasma.github.io/Logging_0382/fåglar/A 26552-2026 prioriterade fågelarter.docx", "A 26552-2026")</f>
        <v/>
      </c>
    </row>
    <row r="40" ht="15" customHeight="1">
      <c r="A40" t="inlineStr">
        <is>
          <t>A 60441-2021</t>
        </is>
      </c>
      <c r="B40" t="inlineStr">
        <is>
          <t>avverkningsanmälan</t>
        </is>
      </c>
      <c r="C40" t="inlineStr">
        <is>
          <t>Föryngringsavverkning</t>
        </is>
      </c>
      <c r="D40" s="1" t="n">
        <v>44496</v>
      </c>
      <c r="E40" s="1" t="n">
        <v>46309</v>
      </c>
      <c r="F40" t="inlineStr">
        <is>
          <t>UPPSALA LÄN</t>
        </is>
      </c>
      <c r="G40" t="inlineStr">
        <is>
          <t>TIERP</t>
        </is>
      </c>
      <c r="I40" t="n">
        <v>0.6</v>
      </c>
      <c r="J40" t="n">
        <v>19</v>
      </c>
      <c r="K40" t="n">
        <v>2</v>
      </c>
      <c r="L40" t="n">
        <v>7</v>
      </c>
      <c r="M40" t="n">
        <v>3</v>
      </c>
      <c r="N40" t="n">
        <v>1</v>
      </c>
      <c r="O40" t="n">
        <v>0</v>
      </c>
      <c r="P40" t="n">
        <v>0</v>
      </c>
      <c r="Q40" t="n">
        <v>11</v>
      </c>
      <c r="R40" t="n">
        <v>4</v>
      </c>
      <c r="S40" t="n">
        <v>23</v>
      </c>
      <c r="T40" t="n">
        <v>23</v>
      </c>
      <c r="U40" t="n">
        <v>7</v>
      </c>
      <c r="V40" s="2" t="inlineStr">
        <is>
          <t>Pärluggla
Hussvala
Silverblåvinge
Ängsblåvinge
Bivråk
Grönsångare
Göktyta
Järnsparv
Ladusvala
Rosenfink
Skogshare
Större träfjäril
Tvåblad
Fiskgjuse
Havsörn
Svartvit flugsnappare
Åkergroda
Kopparödla
Skogsödla
Vanlig groda
Vanlig padda
Vanlig snok
Grönvit nattviol</t>
        </is>
      </c>
      <c r="W40">
        <f>HYPERLINK("https://klasma.github.io/Logging_0360/artfynd/A 60441-2021 artfynd.xlsx", "A 60441-2021")</f>
        <v/>
      </c>
      <c r="X40">
        <f>HYPERLINK("https://klasma.github.io/Logging_0360/kartor/A 60441-2021 karta.png", "A 60441-2021")</f>
        <v/>
      </c>
      <c r="Y40">
        <f>HYPERLINK("https://klasma.github.io/Logging_0360/kartor_geotiff/A 60441-2021 georefererad karta.tif", "A 60441-2021")</f>
        <v/>
      </c>
      <c r="AA40">
        <f>HYPERLINK("https://klasma.github.io/Logging_0360/klagomål/A 60441-2021 FSC-klagomål.docx", "A 60441-2021")</f>
        <v/>
      </c>
      <c r="AB40">
        <f>HYPERLINK("https://klasma.github.io/Logging_0360/klagomålsmail/A 60441-2021 FSC-klagomål mail.docx", "A 60441-2021")</f>
        <v/>
      </c>
      <c r="AC40">
        <f>HYPERLINK("https://klasma.github.io/Logging_0360/tillsyn/A 60441-2021 tillsynsbegäran.docx", "A 60441-2021")</f>
        <v/>
      </c>
      <c r="AD40">
        <f>HYPERLINK("https://klasma.github.io/Logging_0360/tillsynsmail/A 60441-2021 tillsynsbegäran mail.docx", "A 60441-2021")</f>
        <v/>
      </c>
      <c r="AE40">
        <f>HYPERLINK("https://klasma.github.io/Logging_0360/fåglar/A 60441-2021 prioriterade fågelarter.docx", "A 60441-2021")</f>
        <v/>
      </c>
    </row>
    <row r="41" ht="15" customHeight="1">
      <c r="A41" t="inlineStr">
        <is>
          <t>A 53593-2025</t>
        </is>
      </c>
      <c r="B41" t="inlineStr">
        <is>
          <t>avverkningsanmälan</t>
        </is>
      </c>
      <c r="C41" t="inlineStr">
        <is>
          <t>Föryngringsavverkning</t>
        </is>
      </c>
      <c r="D41" s="1" t="n">
        <v>45960</v>
      </c>
      <c r="E41" s="1" t="n">
        <v>46309</v>
      </c>
      <c r="F41" t="inlineStr">
        <is>
          <t>UPPSALA LÄN</t>
        </is>
      </c>
      <c r="G41" t="inlineStr">
        <is>
          <t>UPPSALA</t>
        </is>
      </c>
      <c r="I41" t="n">
        <v>10.6</v>
      </c>
      <c r="J41" t="n">
        <v>4</v>
      </c>
      <c r="K41" t="n">
        <v>8</v>
      </c>
      <c r="L41" t="n">
        <v>8</v>
      </c>
      <c r="M41" t="n">
        <v>4</v>
      </c>
      <c r="N41" t="n">
        <v>0</v>
      </c>
      <c r="O41" t="n">
        <v>0</v>
      </c>
      <c r="P41" t="n">
        <v>0</v>
      </c>
      <c r="Q41" t="n">
        <v>12</v>
      </c>
      <c r="R41" t="n">
        <v>4</v>
      </c>
      <c r="S41" t="n">
        <v>23</v>
      </c>
      <c r="T41" t="n">
        <v>108</v>
      </c>
      <c r="U41" t="n">
        <v>105</v>
      </c>
      <c r="V41" s="2" t="inlineStr">
        <is>
          <t>Granrotspindling
Knärot
Rosetticka
Rotfingersvamp
Fjällig taggsvamp s.str.
Motaggsvamp
Orange taggsvamp
Rynkskinn
Talltita
Ullticka
Vedtrappmossa
Vågticka
Brandticka
Granbarkgnagare
Gullgröppa
Rödgul trumpetsvamp
Svavelriska
Trådticka
Underviol
Vedticka
Blåsippa
Kransmossa
Spillkråka</t>
        </is>
      </c>
      <c r="W41">
        <f>HYPERLINK("https://klasma.github.io/Logging_0380/artfynd/A 53593-2025 artfynd.xlsx", "A 53593-2025")</f>
        <v/>
      </c>
      <c r="X41">
        <f>HYPERLINK("https://klasma.github.io/Logging_0380/kartor/A 53593-2025 karta.png", "A 53593-2025")</f>
        <v/>
      </c>
      <c r="Y41">
        <f>HYPERLINK("https://klasma.github.io/Logging_0380/kartor_geotiff/A 53593-2025 georefererad karta.tif", "A 53593-2025")</f>
        <v/>
      </c>
      <c r="Z41">
        <f>HYPERLINK("https://klasma.github.io/Logging_0380/knärot/A 53593-2025 karta knärot.png", "A 53593-2025")</f>
        <v/>
      </c>
      <c r="AA41">
        <f>HYPERLINK("https://klasma.github.io/Logging_0380/klagomål/A 53593-2025 FSC-klagomål.docx", "A 53593-2025")</f>
        <v/>
      </c>
      <c r="AB41">
        <f>HYPERLINK("https://klasma.github.io/Logging_0380/klagomålsmail/A 53593-2025 FSC-klagomål mail.docx", "A 53593-2025")</f>
        <v/>
      </c>
      <c r="AC41">
        <f>HYPERLINK("https://klasma.github.io/Logging_0380/tillsyn/A 53593-2025 tillsynsbegäran.docx", "A 53593-2025")</f>
        <v/>
      </c>
      <c r="AD41">
        <f>HYPERLINK("https://klasma.github.io/Logging_0380/tillsynsmail/A 53593-2025 tillsynsbegäran mail.docx", "A 53593-2025")</f>
        <v/>
      </c>
      <c r="AE41">
        <f>HYPERLINK("https://klasma.github.io/Logging_0380/fåglar/A 53593-2025 prioriterade fågelarter.docx", "A 53593-2025")</f>
        <v/>
      </c>
    </row>
    <row r="42" ht="15" customHeight="1">
      <c r="A42" t="inlineStr">
        <is>
          <t>A 37798-2026</t>
        </is>
      </c>
      <c r="B42" t="inlineStr">
        <is>
          <t>avverkningsanmälan</t>
        </is>
      </c>
      <c r="C42" t="inlineStr">
        <is>
          <t>Föryngringsavverkning</t>
        </is>
      </c>
      <c r="D42" s="1" t="n">
        <v>46279</v>
      </c>
      <c r="E42" s="1" t="n">
        <v>46309</v>
      </c>
      <c r="F42" t="inlineStr">
        <is>
          <t>UPPSALA LÄN</t>
        </is>
      </c>
      <c r="G42" t="inlineStr">
        <is>
          <t>ÖSTHAMMAR</t>
        </is>
      </c>
      <c r="H42" t="inlineStr">
        <is>
          <t>Sveaskog</t>
        </is>
      </c>
      <c r="I42" t="n">
        <v>22.4</v>
      </c>
      <c r="J42" t="n">
        <v>18</v>
      </c>
      <c r="K42" t="n">
        <v>1</v>
      </c>
      <c r="L42" t="n">
        <v>13</v>
      </c>
      <c r="M42" t="n">
        <v>1</v>
      </c>
      <c r="N42" t="n">
        <v>2</v>
      </c>
      <c r="O42" t="n">
        <v>0</v>
      </c>
      <c r="P42" t="n">
        <v>0</v>
      </c>
      <c r="Q42" t="n">
        <v>16</v>
      </c>
      <c r="R42" t="n">
        <v>3</v>
      </c>
      <c r="S42" t="n">
        <v>23</v>
      </c>
      <c r="T42" t="n">
        <v>41</v>
      </c>
      <c r="U42" t="n">
        <v>0</v>
      </c>
      <c r="V42" s="2" t="inlineStr">
        <is>
          <t>Ask
Skogsalm
Tornseglare
Björktrast
Enkelbeckasin
Gulsparv
Järnsparv
Kattfotslav
Lunglav
Nötkråka
Rödvingetrast
Rördrom
Skrattmås
Skräntärna
Sädesärla
Talltita
Svart trolldruva
Grönsiska
Kråka
Kungsfågel
Svartvit flugsnappare
Törnskata
Ärtsångare</t>
        </is>
      </c>
      <c r="W42">
        <f>HYPERLINK("https://klasma.github.io/Logging_0382/artfynd/A 37798-2026 artfynd.xlsx", "A 37798-2026")</f>
        <v/>
      </c>
      <c r="X42">
        <f>HYPERLINK("https://klasma.github.io/Logging_0382/kartor/A 37798-2026 karta.png", "A 37798-2026")</f>
        <v/>
      </c>
      <c r="Y42">
        <f>HYPERLINK("https://klasma.github.io/Logging_0382/kartor_geotiff/A 37798-2026 georefererad karta.tif", "A 37798-2026")</f>
        <v/>
      </c>
      <c r="AA42">
        <f>HYPERLINK("https://klasma.github.io/Logging_0382/klagomål/A 37798-2026 FSC-klagomål.docx", "A 37798-2026")</f>
        <v/>
      </c>
      <c r="AB42">
        <f>HYPERLINK("https://klasma.github.io/Logging_0382/klagomålsmail/A 37798-2026 FSC-klagomål mail.docx", "A 37798-2026")</f>
        <v/>
      </c>
      <c r="AC42">
        <f>HYPERLINK("https://klasma.github.io/Logging_0382/tillsyn/A 37798-2026 tillsynsbegäran.docx", "A 37798-2026")</f>
        <v/>
      </c>
      <c r="AD42">
        <f>HYPERLINK("https://klasma.github.io/Logging_0382/tillsynsmail/A 37798-2026 tillsynsbegäran mail.docx", "A 37798-2026")</f>
        <v/>
      </c>
      <c r="AE42">
        <f>HYPERLINK("https://klasma.github.io/Logging_0382/fåglar/A 37798-2026 prioriterade fågelarter.docx", "A 37798-2026")</f>
        <v/>
      </c>
    </row>
    <row r="43" ht="15" customHeight="1">
      <c r="A43" t="inlineStr">
        <is>
          <t>S 3125-2023</t>
        </is>
      </c>
      <c r="B43" t="inlineStr">
        <is>
          <t>samrådsanmälan</t>
        </is>
      </c>
      <c r="C43" t="inlineStr">
        <is>
          <t>Annan skogsbruksåtgärd</t>
        </is>
      </c>
      <c r="D43" s="1" t="n">
        <v>45182</v>
      </c>
      <c r="E43" s="1" t="n">
        <v>46309</v>
      </c>
      <c r="F43" t="inlineStr">
        <is>
          <t>UPPSALA LÄN</t>
        </is>
      </c>
      <c r="G43" t="inlineStr">
        <is>
          <t>ÖSTHAMMAR</t>
        </is>
      </c>
      <c r="H43" t="inlineStr">
        <is>
          <t>Bergvik skog öst AB</t>
        </is>
      </c>
      <c r="I43" t="n">
        <v>13.2</v>
      </c>
      <c r="J43" t="n">
        <v>20</v>
      </c>
      <c r="K43" t="n">
        <v>3</v>
      </c>
      <c r="L43" t="n">
        <v>6</v>
      </c>
      <c r="M43" t="n">
        <v>3</v>
      </c>
      <c r="N43" t="n">
        <v>2</v>
      </c>
      <c r="O43" t="n">
        <v>0</v>
      </c>
      <c r="P43" t="n">
        <v>0</v>
      </c>
      <c r="Q43" t="n">
        <v>11</v>
      </c>
      <c r="R43" t="n">
        <v>5</v>
      </c>
      <c r="S43" t="n">
        <v>23</v>
      </c>
      <c r="T43" t="n">
        <v>32</v>
      </c>
      <c r="U43" t="n">
        <v>2</v>
      </c>
      <c r="V43" s="2" t="inlineStr">
        <is>
          <t>Ask
Större agatsnäcka
Grönfink
Stare
Tofsvipa
Enkelbeckasin
Gulsparv
Järnsparv
Rödvingetrast
Skräntärna
Talltita
Nästrot
Skogsknipprot
Tibast
Mindre flugsnappare
Buskskvätta
Grönsiska
Kråka
Kungsfågel
Svartvit flugsnappare
Sävsparv
Trana
Ärtsångare</t>
        </is>
      </c>
      <c r="W43">
        <f>HYPERLINK("https://klasma.github.io/Logging_0382/artfynd/S 3125-2023 artfynd.xlsx", "S 3125-2023")</f>
        <v/>
      </c>
      <c r="X43">
        <f>HYPERLINK("https://klasma.github.io/Logging_0382/kartor/S 3125-2023 karta.png", "S 3125-2023")</f>
        <v/>
      </c>
      <c r="Y43">
        <f>HYPERLINK("https://klasma.github.io/Logging_0382/kartor_geotiff/S 3125-2023 georefererad karta.tif", "S 3125-2023")</f>
        <v/>
      </c>
      <c r="AA43">
        <f>HYPERLINK("https://klasma.github.io/Logging_0382/klagomål/S 3125-2023 FSC-klagomål.docx", "S 3125-2023")</f>
        <v/>
      </c>
      <c r="AB43">
        <f>HYPERLINK("https://klasma.github.io/Logging_0382/klagomålsmail/S 3125-2023 FSC-klagomål mail.docx", "S 3125-2023")</f>
        <v/>
      </c>
      <c r="AC43">
        <f>HYPERLINK("https://klasma.github.io/Logging_0382/tillsyn/S 3125-2023 tillsynsbegäran.docx", "S 3125-2023")</f>
        <v/>
      </c>
      <c r="AD43">
        <f>HYPERLINK("https://klasma.github.io/Logging_0382/tillsynsmail/S 3125-2023 tillsynsbegäran mail.docx", "S 3125-2023")</f>
        <v/>
      </c>
      <c r="AE43">
        <f>HYPERLINK("https://klasma.github.io/Logging_0382/fåglar/S 3125-2023 prioriterade fågelarter.docx", "S 3125-2023")</f>
        <v/>
      </c>
    </row>
    <row r="44" ht="15" customHeight="1">
      <c r="A44" t="inlineStr">
        <is>
          <t>S 3396-2025</t>
        </is>
      </c>
      <c r="B44" t="inlineStr">
        <is>
          <t>samrådsanmälan</t>
        </is>
      </c>
      <c r="C44" t="inlineStr">
        <is>
          <t>Skogsgödsling</t>
        </is>
      </c>
      <c r="D44" s="1" t="n">
        <v>45994</v>
      </c>
      <c r="E44" s="1" t="n">
        <v>46309</v>
      </c>
      <c r="F44" t="inlineStr">
        <is>
          <t>UPPSALA LÄN</t>
        </is>
      </c>
      <c r="G44" t="inlineStr">
        <is>
          <t>UPPSALA</t>
        </is>
      </c>
      <c r="H44" t="inlineStr">
        <is>
          <t>Holmen skog AB</t>
        </is>
      </c>
      <c r="I44" t="n">
        <v>139.8</v>
      </c>
      <c r="J44" t="n">
        <v>4</v>
      </c>
      <c r="K44" t="n">
        <v>9</v>
      </c>
      <c r="L44" t="n">
        <v>9</v>
      </c>
      <c r="M44" t="n">
        <v>1</v>
      </c>
      <c r="N44" t="n">
        <v>0</v>
      </c>
      <c r="O44" t="n">
        <v>0</v>
      </c>
      <c r="P44" t="n">
        <v>0</v>
      </c>
      <c r="Q44" t="n">
        <v>10</v>
      </c>
      <c r="R44" t="n">
        <v>1</v>
      </c>
      <c r="S44" t="n">
        <v>23</v>
      </c>
      <c r="T44" t="n">
        <v>43</v>
      </c>
      <c r="U44" t="n">
        <v>0</v>
      </c>
      <c r="V44" s="2" t="inlineStr">
        <is>
          <t>Mindre bastardsvärmare
Ekticka
Gulbent kamklobagge
Lunglav
Rutskinn
Rynkskinn
Skogsklocka
Svartöra
Tallkötticka
Ullticka
Avlång flatbagge
Blodticka
Bårdlav
Fällmossa
Guldlockmossa
Hasselticka
Lönnlav
Platt fjädermossa
Trubbfjädermossa
Blåsippa
Tjäder
Havsörn
Svartvit flugsnappare</t>
        </is>
      </c>
      <c r="W44">
        <f>HYPERLINK("https://klasma.github.io/Logging_0380/artfynd/S 3396-2025 artfynd.xlsx", "S 3396-2025")</f>
        <v/>
      </c>
      <c r="X44">
        <f>HYPERLINK("https://klasma.github.io/Logging_0380/kartor/S 3396-2025 karta.png", "S 3396-2025")</f>
        <v/>
      </c>
      <c r="Y44">
        <f>HYPERLINK("https://klasma.github.io/Logging_0380/kartor_geotiff/S 3396-2025 georefererad karta.tif", "S 3396-2025")</f>
        <v/>
      </c>
      <c r="AA44">
        <f>HYPERLINK("https://klasma.github.io/Logging_0380/klagomål/S 3396-2025 FSC-klagomål.docx", "S 3396-2025")</f>
        <v/>
      </c>
      <c r="AB44">
        <f>HYPERLINK("https://klasma.github.io/Logging_0380/klagomålsmail/S 3396-2025 FSC-klagomål mail.docx", "S 3396-2025")</f>
        <v/>
      </c>
      <c r="AC44">
        <f>HYPERLINK("https://klasma.github.io/Logging_0380/tillsyn/S 3396-2025 tillsynsbegäran.docx", "S 3396-2025")</f>
        <v/>
      </c>
      <c r="AD44">
        <f>HYPERLINK("https://klasma.github.io/Logging_0380/tillsynsmail/S 3396-2025 tillsynsbegäran mail.docx", "S 3396-2025")</f>
        <v/>
      </c>
      <c r="AE44">
        <f>HYPERLINK("https://klasma.github.io/Logging_0380/fåglar/S 3396-2025 prioriterade fågelarter.docx", "S 3396-2025")</f>
        <v/>
      </c>
    </row>
    <row r="45" ht="15" customHeight="1">
      <c r="A45" t="inlineStr">
        <is>
          <t>A 8229-2026</t>
        </is>
      </c>
      <c r="B45" t="inlineStr">
        <is>
          <t>avverkningsanmälan</t>
        </is>
      </c>
      <c r="C45" t="inlineStr">
        <is>
          <t>Avverkning för annat ändamål</t>
        </is>
      </c>
      <c r="D45" s="1" t="n">
        <v>46063</v>
      </c>
      <c r="E45" s="1" t="n">
        <v>46309</v>
      </c>
      <c r="F45" t="inlineStr">
        <is>
          <t>UPPSALA LÄN</t>
        </is>
      </c>
      <c r="G45" t="inlineStr">
        <is>
          <t>UPPSALA</t>
        </is>
      </c>
      <c r="I45" t="n">
        <v>17.8</v>
      </c>
      <c r="J45" t="n">
        <v>17</v>
      </c>
      <c r="K45" t="n">
        <v>3</v>
      </c>
      <c r="L45" t="n">
        <v>6</v>
      </c>
      <c r="M45" t="n">
        <v>2</v>
      </c>
      <c r="N45" t="n">
        <v>0</v>
      </c>
      <c r="O45" t="n">
        <v>0</v>
      </c>
      <c r="P45" t="n">
        <v>0</v>
      </c>
      <c r="Q45" t="n">
        <v>8</v>
      </c>
      <c r="R45" t="n">
        <v>2</v>
      </c>
      <c r="S45" t="n">
        <v>22</v>
      </c>
      <c r="T45" t="n">
        <v>39</v>
      </c>
      <c r="U45" t="n">
        <v>1</v>
      </c>
      <c r="V45" s="2" t="inlineStr">
        <is>
          <t>Grönfink
Slöjmussling
Gulsparv
Järnsparv
Krusfrö
Nötkråka
Rödvingetrast
Sparvuggla
Barkticka
Fällmossa
Stor aspticka
Blåsippa
Järpe
Spillkråka
Gröngöling
Grönsiska
Kungsfågel
Törnskata
Ärtsångare
Huggorm
Skogsödla
Gullviva</t>
        </is>
      </c>
      <c r="W45">
        <f>HYPERLINK("https://klasma.github.io/Logging_0380/artfynd/A 8229-2026 artfynd.xlsx", "A 8229-2026")</f>
        <v/>
      </c>
      <c r="X45">
        <f>HYPERLINK("https://klasma.github.io/Logging_0380/kartor/A 8229-2026 karta.png", "A 8229-2026")</f>
        <v/>
      </c>
      <c r="Y45">
        <f>HYPERLINK("https://klasma.github.io/Logging_0380/kartor_geotiff/A 8229-2026 georefererad karta.tif", "A 8229-2026")</f>
        <v/>
      </c>
      <c r="AA45">
        <f>HYPERLINK("https://klasma.github.io/Logging_0380/klagomål/A 8229-2026 FSC-klagomål.docx", "A 8229-2026")</f>
        <v/>
      </c>
      <c r="AB45">
        <f>HYPERLINK("https://klasma.github.io/Logging_0380/klagomålsmail/A 8229-2026 FSC-klagomål mail.docx", "A 8229-2026")</f>
        <v/>
      </c>
      <c r="AC45">
        <f>HYPERLINK("https://klasma.github.io/Logging_0380/tillsyn/A 8229-2026 tillsynsbegäran.docx", "A 8229-2026")</f>
        <v/>
      </c>
      <c r="AD45">
        <f>HYPERLINK("https://klasma.github.io/Logging_0380/tillsynsmail/A 8229-2026 tillsynsbegäran mail.docx", "A 8229-2026")</f>
        <v/>
      </c>
      <c r="AE45">
        <f>HYPERLINK("https://klasma.github.io/Logging_0380/fåglar/A 8229-2026 prioriterade fågelarter.docx", "A 8229-2026")</f>
        <v/>
      </c>
    </row>
    <row r="46" ht="15" customHeight="1">
      <c r="A46" t="inlineStr">
        <is>
          <t>A 29831-2026</t>
        </is>
      </c>
      <c r="B46" t="inlineStr">
        <is>
          <t>avverkningsanmälan</t>
        </is>
      </c>
      <c r="C46" t="inlineStr">
        <is>
          <t>Föryngringsavverkning</t>
        </is>
      </c>
      <c r="D46" s="1" t="n">
        <v>46205</v>
      </c>
      <c r="E46" s="1" t="n">
        <v>46309</v>
      </c>
      <c r="F46" t="inlineStr">
        <is>
          <t>UPPSALA LÄN</t>
        </is>
      </c>
      <c r="G46" t="inlineStr">
        <is>
          <t>ÖSTHAMMAR</t>
        </is>
      </c>
      <c r="H46" t="inlineStr">
        <is>
          <t>Bergvik skog öst AB</t>
        </is>
      </c>
      <c r="I46" t="n">
        <v>8.199999999999999</v>
      </c>
      <c r="J46" t="n">
        <v>5</v>
      </c>
      <c r="K46" t="n">
        <v>11</v>
      </c>
      <c r="L46" t="n">
        <v>5</v>
      </c>
      <c r="M46" t="n">
        <v>2</v>
      </c>
      <c r="N46" t="n">
        <v>1</v>
      </c>
      <c r="O46" t="n">
        <v>0</v>
      </c>
      <c r="P46" t="n">
        <v>0</v>
      </c>
      <c r="Q46" t="n">
        <v>8</v>
      </c>
      <c r="R46" t="n">
        <v>3</v>
      </c>
      <c r="S46" t="n">
        <v>22</v>
      </c>
      <c r="T46" t="n">
        <v>32</v>
      </c>
      <c r="U46" t="n">
        <v>0</v>
      </c>
      <c r="V46" s="2" t="inlineStr">
        <is>
          <t>Ask
Knärot
Smalskaftslav
Denisespindling
Fjällig taggsvamp s.str.
Talltita
Ullticka
Vågticka
Björksplintborre
Brandticka
Bronshjon
Flagellkvastmossa
Grönpyrola
Gullgröppa
Kalktallört
Rödgul trumpetsvamp
Trådticka
Vedticka
Vågbandad barkbock
Blåsippa
Spillkråka
Revlummer</t>
        </is>
      </c>
      <c r="W46">
        <f>HYPERLINK("https://klasma.github.io/Logging_0382/artfynd/A 29831-2026 artfynd.xlsx", "A 29831-2026")</f>
        <v/>
      </c>
      <c r="X46">
        <f>HYPERLINK("https://klasma.github.io/Logging_0382/kartor/A 29831-2026 karta.png", "A 29831-2026")</f>
        <v/>
      </c>
      <c r="Y46">
        <f>HYPERLINK("https://klasma.github.io/Logging_0382/kartor_geotiff/A 29831-2026 georefererad karta.tif", "A 29831-2026")</f>
        <v/>
      </c>
      <c r="Z46">
        <f>HYPERLINK("https://klasma.github.io/Logging_0382/knärot/A 29831-2026 karta knärot.png", "A 29831-2026")</f>
        <v/>
      </c>
      <c r="AA46">
        <f>HYPERLINK("https://klasma.github.io/Logging_0382/klagomål/A 29831-2026 FSC-klagomål.docx", "A 29831-2026")</f>
        <v/>
      </c>
      <c r="AB46">
        <f>HYPERLINK("https://klasma.github.io/Logging_0382/klagomålsmail/A 29831-2026 FSC-klagomål mail.docx", "A 29831-2026")</f>
        <v/>
      </c>
      <c r="AC46">
        <f>HYPERLINK("https://klasma.github.io/Logging_0382/tillsyn/A 29831-2026 tillsynsbegäran.docx", "A 29831-2026")</f>
        <v/>
      </c>
      <c r="AD46">
        <f>HYPERLINK("https://klasma.github.io/Logging_0382/tillsynsmail/A 29831-2026 tillsynsbegäran mail.docx", "A 29831-2026")</f>
        <v/>
      </c>
      <c r="AE46">
        <f>HYPERLINK("https://klasma.github.io/Logging_0382/fåglar/A 29831-2026 prioriterade fågelarter.docx", "A 29831-2026")</f>
        <v/>
      </c>
    </row>
    <row r="47" ht="15" customHeight="1">
      <c r="A47" t="inlineStr">
        <is>
          <t>S 4171-2023</t>
        </is>
      </c>
      <c r="B47" t="inlineStr">
        <is>
          <t>samrådsanmälan</t>
        </is>
      </c>
      <c r="C47" t="inlineStr">
        <is>
          <t>Annan skogsbruksåtgärd</t>
        </is>
      </c>
      <c r="D47" s="1" t="n">
        <v>45250</v>
      </c>
      <c r="E47" s="1" t="n">
        <v>46309</v>
      </c>
      <c r="F47" t="inlineStr">
        <is>
          <t>UPPSALA LÄN</t>
        </is>
      </c>
      <c r="G47" t="inlineStr">
        <is>
          <t>UPPSALA</t>
        </is>
      </c>
      <c r="H47" t="inlineStr">
        <is>
          <t>Kommuner</t>
        </is>
      </c>
      <c r="I47" t="n">
        <v>16.9</v>
      </c>
      <c r="J47" t="n">
        <v>2</v>
      </c>
      <c r="K47" t="n">
        <v>12</v>
      </c>
      <c r="L47" t="n">
        <v>7</v>
      </c>
      <c r="M47" t="n">
        <v>2</v>
      </c>
      <c r="N47" t="n">
        <v>0</v>
      </c>
      <c r="O47" t="n">
        <v>0</v>
      </c>
      <c r="P47" t="n">
        <v>0</v>
      </c>
      <c r="Q47" t="n">
        <v>9</v>
      </c>
      <c r="R47" t="n">
        <v>2</v>
      </c>
      <c r="S47" t="n">
        <v>22</v>
      </c>
      <c r="T47" t="n">
        <v>67</v>
      </c>
      <c r="U47" t="n">
        <v>1</v>
      </c>
      <c r="V47" s="2" t="inlineStr">
        <is>
          <t>Gul taggsvamp
Knärot
Dropptaggsvamp
Fjällig taggsvamp s.str.
Motaggsvamp
Orange taggsvamp
Tallticka
Tjockfotad fingersvamp
Veckticka
Blomkålssvamp
Blåmossa
Bronshjon
Granbarkgnagare
Grönpyrola
Rökmusseron
Svavelriska
Terpentinmossa
Thomsons trägnagare
Trådticka
Vanlig rörsvepemossa
Vedticka
Blåsippa</t>
        </is>
      </c>
      <c r="W47">
        <f>HYPERLINK("https://klasma.github.io/Logging_0380/artfynd/S 4171-2023 artfynd.xlsx", "S 4171-2023")</f>
        <v/>
      </c>
      <c r="X47">
        <f>HYPERLINK("https://klasma.github.io/Logging_0380/kartor/S 4171-2023 karta.png", "S 4171-2023")</f>
        <v/>
      </c>
      <c r="Y47">
        <f>HYPERLINK("https://klasma.github.io/Logging_0380/kartor_geotiff/S 4171-2023 georefererad karta.tif", "S 4171-2023")</f>
        <v/>
      </c>
      <c r="Z47">
        <f>HYPERLINK("https://klasma.github.io/Logging_0380/knärot/S 4171-2023 karta knärot.png", "S 4171-2023")</f>
        <v/>
      </c>
      <c r="AA47">
        <f>HYPERLINK("https://klasma.github.io/Logging_0380/klagomål/S 4171-2023 FSC-klagomål.docx", "S 4171-2023")</f>
        <v/>
      </c>
      <c r="AB47">
        <f>HYPERLINK("https://klasma.github.io/Logging_0380/klagomålsmail/S 4171-2023 FSC-klagomål mail.docx", "S 4171-2023")</f>
        <v/>
      </c>
      <c r="AC47">
        <f>HYPERLINK("https://klasma.github.io/Logging_0380/tillsyn/S 4171-2023 tillsynsbegäran.docx", "S 4171-2023")</f>
        <v/>
      </c>
      <c r="AD47">
        <f>HYPERLINK("https://klasma.github.io/Logging_0380/tillsynsmail/S 4171-2023 tillsynsbegäran mail.docx", "S 4171-2023")</f>
        <v/>
      </c>
    </row>
    <row r="48" ht="15" customHeight="1">
      <c r="A48" t="inlineStr">
        <is>
          <t>S 7203-2022</t>
        </is>
      </c>
      <c r="B48" t="inlineStr">
        <is>
          <t>samrådsanmälan</t>
        </is>
      </c>
      <c r="C48" t="inlineStr">
        <is>
          <t>Annan skogsbruksåtgärd</t>
        </is>
      </c>
      <c r="D48" s="1" t="n">
        <v>44918</v>
      </c>
      <c r="E48" s="1" t="n">
        <v>46309</v>
      </c>
      <c r="F48" t="inlineStr">
        <is>
          <t>UPPSALA LÄN</t>
        </is>
      </c>
      <c r="G48" t="inlineStr">
        <is>
          <t>ÖSTHAMMAR</t>
        </is>
      </c>
      <c r="I48" t="n">
        <v>3.3</v>
      </c>
      <c r="J48" t="n">
        <v>3</v>
      </c>
      <c r="K48" t="n">
        <v>10</v>
      </c>
      <c r="L48" t="n">
        <v>11</v>
      </c>
      <c r="M48" t="n">
        <v>1</v>
      </c>
      <c r="N48" t="n">
        <v>0</v>
      </c>
      <c r="O48" t="n">
        <v>0</v>
      </c>
      <c r="P48" t="n">
        <v>0</v>
      </c>
      <c r="Q48" t="n">
        <v>12</v>
      </c>
      <c r="R48" t="n">
        <v>1</v>
      </c>
      <c r="S48" t="n">
        <v>22</v>
      </c>
      <c r="T48" t="n">
        <v>33</v>
      </c>
      <c r="U48" t="n">
        <v>2</v>
      </c>
      <c r="V48" s="2" t="inlineStr">
        <is>
          <t>Hällebräcka
Adam och eva
Bleknande kamskivling
Fjällig taggsvamp s.str.
Grönsångare
Lunglav
Oxtungssvamp
Slåtterfibbla
Solvända
Sårläka
Tårkragskivling
Vårärt
Blodvaxing
Bårdlav
Dofttråding
Guldkremla
Guldlockmossa
Gulvaxing
Hasselticka
Hårjordtunga
Toppvaxing
Ängsfingersvamp</t>
        </is>
      </c>
      <c r="W48">
        <f>HYPERLINK("https://klasma.github.io/Logging_0382/artfynd/S 7203-2022 artfynd.xlsx", "S 7203-2022")</f>
        <v/>
      </c>
      <c r="X48">
        <f>HYPERLINK("https://klasma.github.io/Logging_0382/kartor/S 7203-2022 karta.png", "S 7203-2022")</f>
        <v/>
      </c>
      <c r="Y48">
        <f>HYPERLINK("https://klasma.github.io/Logging_0382/kartor_geotiff/S 7203-2022 georefererad karta.tif", "S 7203-2022")</f>
        <v/>
      </c>
      <c r="AA48">
        <f>HYPERLINK("https://klasma.github.io/Logging_0382/klagomål/S 7203-2022 FSC-klagomål.docx", "S 7203-2022")</f>
        <v/>
      </c>
      <c r="AB48">
        <f>HYPERLINK("https://klasma.github.io/Logging_0382/klagomålsmail/S 7203-2022 FSC-klagomål mail.docx", "S 7203-2022")</f>
        <v/>
      </c>
      <c r="AC48">
        <f>HYPERLINK("https://klasma.github.io/Logging_0382/tillsyn/S 7203-2022 tillsynsbegäran.docx", "S 7203-2022")</f>
        <v/>
      </c>
      <c r="AD48">
        <f>HYPERLINK("https://klasma.github.io/Logging_0382/tillsynsmail/S 7203-2022 tillsynsbegäran mail.docx", "S 7203-2022")</f>
        <v/>
      </c>
      <c r="AE48">
        <f>HYPERLINK("https://klasma.github.io/Logging_0382/fåglar/S 7203-2022 prioriterade fågelarter.docx", "S 7203-2022")</f>
        <v/>
      </c>
    </row>
    <row r="49" ht="15" customHeight="1">
      <c r="A49" t="inlineStr">
        <is>
          <t>S 3124-2023</t>
        </is>
      </c>
      <c r="B49" t="inlineStr">
        <is>
          <t>samrådsanmälan</t>
        </is>
      </c>
      <c r="C49" t="inlineStr">
        <is>
          <t>Annan skogsbruksåtgärd</t>
        </is>
      </c>
      <c r="D49" s="1" t="n">
        <v>45182</v>
      </c>
      <c r="E49" s="1" t="n">
        <v>46309</v>
      </c>
      <c r="F49" t="inlineStr">
        <is>
          <t>UPPSALA LÄN</t>
        </is>
      </c>
      <c r="G49" t="inlineStr">
        <is>
          <t>ÖSTHAMMAR</t>
        </is>
      </c>
      <c r="H49" t="inlineStr">
        <is>
          <t>Bergvik skog öst AB</t>
        </is>
      </c>
      <c r="I49" t="n">
        <v>4.4</v>
      </c>
      <c r="J49" t="n">
        <v>18</v>
      </c>
      <c r="K49" t="n">
        <v>4</v>
      </c>
      <c r="L49" t="n">
        <v>6</v>
      </c>
      <c r="M49" t="n">
        <v>1</v>
      </c>
      <c r="N49" t="n">
        <v>0</v>
      </c>
      <c r="O49" t="n">
        <v>0</v>
      </c>
      <c r="P49" t="n">
        <v>0</v>
      </c>
      <c r="Q49" t="n">
        <v>7</v>
      </c>
      <c r="R49" t="n">
        <v>1</v>
      </c>
      <c r="S49" t="n">
        <v>22</v>
      </c>
      <c r="T49" t="n">
        <v>55</v>
      </c>
      <c r="U49" t="n">
        <v>2</v>
      </c>
      <c r="V49" s="2" t="inlineStr">
        <is>
          <t>Gråtrut
Grönsångare
Gulsparv
Majviva
Rödvingetrast
Solvända
Önästing
Flugblomster
Kalktallört
Korallrot
Tvåblad
Dvärgpipistrell
Grönsiska
Kråka
Kungsfågel
Svartvit flugsnappare
Vattenfladdermus
Brudsporre
Johannesnycklar
Kärrknipprot
Nattviol
Vanliga ängsnycklar</t>
        </is>
      </c>
      <c r="W49">
        <f>HYPERLINK("https://klasma.github.io/Logging_0382/artfynd/S 3124-2023 artfynd.xlsx", "S 3124-2023")</f>
        <v/>
      </c>
      <c r="X49">
        <f>HYPERLINK("https://klasma.github.io/Logging_0382/kartor/S 3124-2023 karta.png", "S 3124-2023")</f>
        <v/>
      </c>
      <c r="Y49">
        <f>HYPERLINK("https://klasma.github.io/Logging_0382/kartor_geotiff/S 3124-2023 georefererad karta.tif", "S 3124-2023")</f>
        <v/>
      </c>
      <c r="AA49">
        <f>HYPERLINK("https://klasma.github.io/Logging_0382/klagomål/S 3124-2023 FSC-klagomål.docx", "S 3124-2023")</f>
        <v/>
      </c>
      <c r="AB49">
        <f>HYPERLINK("https://klasma.github.io/Logging_0382/klagomålsmail/S 3124-2023 FSC-klagomål mail.docx", "S 3124-2023")</f>
        <v/>
      </c>
      <c r="AC49">
        <f>HYPERLINK("https://klasma.github.io/Logging_0382/tillsyn/S 3124-2023 tillsynsbegäran.docx", "S 3124-2023")</f>
        <v/>
      </c>
      <c r="AD49">
        <f>HYPERLINK("https://klasma.github.io/Logging_0382/tillsynsmail/S 3124-2023 tillsynsbegäran mail.docx", "S 3124-2023")</f>
        <v/>
      </c>
      <c r="AE49">
        <f>HYPERLINK("https://klasma.github.io/Logging_0382/fåglar/S 3124-2023 prioriterade fågelarter.docx", "S 3124-2023")</f>
        <v/>
      </c>
    </row>
    <row r="50" ht="15" customHeight="1">
      <c r="A50" t="inlineStr">
        <is>
          <t>A 63054-2025</t>
        </is>
      </c>
      <c r="B50" t="inlineStr">
        <is>
          <t>avverkningsanmälan</t>
        </is>
      </c>
      <c r="C50" t="inlineStr">
        <is>
          <t>Föryngringsavverkning</t>
        </is>
      </c>
      <c r="D50" s="1" t="n">
        <v>46009</v>
      </c>
      <c r="E50" s="1" t="n">
        <v>46309</v>
      </c>
      <c r="F50" t="inlineStr">
        <is>
          <t>UPPSALA LÄN</t>
        </is>
      </c>
      <c r="G50" t="inlineStr">
        <is>
          <t>ÖSTHAMMAR</t>
        </is>
      </c>
      <c r="H50" t="inlineStr">
        <is>
          <t>Kyrkan</t>
        </is>
      </c>
      <c r="I50" t="n">
        <v>6.5</v>
      </c>
      <c r="J50" t="n">
        <v>8</v>
      </c>
      <c r="K50" t="n">
        <v>1</v>
      </c>
      <c r="L50" t="n">
        <v>9</v>
      </c>
      <c r="M50" t="n">
        <v>2</v>
      </c>
      <c r="N50" t="n">
        <v>1</v>
      </c>
      <c r="O50" t="n">
        <v>0</v>
      </c>
      <c r="P50" t="n">
        <v>0</v>
      </c>
      <c r="Q50" t="n">
        <v>12</v>
      </c>
      <c r="R50" t="n">
        <v>3</v>
      </c>
      <c r="S50" t="n">
        <v>21</v>
      </c>
      <c r="T50" t="n">
        <v>42</v>
      </c>
      <c r="U50" t="n">
        <v>23</v>
      </c>
      <c r="V50" s="2" t="inlineStr">
        <is>
          <t>Violgubbe
Knärot
Läderdoftande fingersvamp
Bivråk
Blek fingersvamp
Fjällig taggsvamp s.str.
Gultoppig fingersvamp
Järnsparv
Kortskaftad ärgspik
Vedtrappmossa
Vågticka
Älg
Svavelriska
Blåbär
Blåsippa
Ekbräken
Kransmossa
Spillkråka
Tjäder
Tofsmes
Kopparödla</t>
        </is>
      </c>
      <c r="W50">
        <f>HYPERLINK("https://klasma.github.io/Logging_0382/artfynd/A 63054-2025 artfynd.xlsx", "A 63054-2025")</f>
        <v/>
      </c>
      <c r="X50">
        <f>HYPERLINK("https://klasma.github.io/Logging_0382/kartor/A 63054-2025 karta.png", "A 63054-2025")</f>
        <v/>
      </c>
      <c r="Y50">
        <f>HYPERLINK("https://klasma.github.io/Logging_0382/kartor_geotiff/A 63054-2025 georefererad karta.tif", "A 63054-2025")</f>
        <v/>
      </c>
      <c r="Z50">
        <f>HYPERLINK("https://klasma.github.io/Logging_0382/knärot/A 63054-2025 karta knärot.png", "A 63054-2025")</f>
        <v/>
      </c>
      <c r="AA50">
        <f>HYPERLINK("https://klasma.github.io/Logging_0382/klagomål/A 63054-2025 FSC-klagomål.docx", "A 63054-2025")</f>
        <v/>
      </c>
      <c r="AB50">
        <f>HYPERLINK("https://klasma.github.io/Logging_0382/klagomålsmail/A 63054-2025 FSC-klagomål mail.docx", "A 63054-2025")</f>
        <v/>
      </c>
      <c r="AC50">
        <f>HYPERLINK("https://klasma.github.io/Logging_0382/tillsyn/A 63054-2025 tillsynsbegäran.docx", "A 63054-2025")</f>
        <v/>
      </c>
      <c r="AD50">
        <f>HYPERLINK("https://klasma.github.io/Logging_0382/tillsynsmail/A 63054-2025 tillsynsbegäran mail.docx", "A 63054-2025")</f>
        <v/>
      </c>
      <c r="AE50">
        <f>HYPERLINK("https://klasma.github.io/Logging_0382/fåglar/A 63054-2025 prioriterade fågelarter.docx", "A 63054-2025")</f>
        <v/>
      </c>
    </row>
    <row r="51" ht="15" customHeight="1">
      <c r="A51" t="inlineStr">
        <is>
          <t>A 22347-2026</t>
        </is>
      </c>
      <c r="B51" t="inlineStr">
        <is>
          <t>avverkningsanmälan</t>
        </is>
      </c>
      <c r="C51" t="inlineStr">
        <is>
          <t>Föryngringsavverkning</t>
        </is>
      </c>
      <c r="D51" s="1" t="n">
        <v>46154</v>
      </c>
      <c r="E51" s="1" t="n">
        <v>46309</v>
      </c>
      <c r="F51" t="inlineStr">
        <is>
          <t>UPPSALA LÄN</t>
        </is>
      </c>
      <c r="G51" t="inlineStr">
        <is>
          <t>UPPSALA</t>
        </is>
      </c>
      <c r="H51" t="inlineStr">
        <is>
          <t>Allmännings- och besparingsskogar</t>
        </is>
      </c>
      <c r="I51" t="n">
        <v>3.6</v>
      </c>
      <c r="J51" t="n">
        <v>6</v>
      </c>
      <c r="K51" t="n">
        <v>9</v>
      </c>
      <c r="L51" t="n">
        <v>5</v>
      </c>
      <c r="M51" t="n">
        <v>1</v>
      </c>
      <c r="N51" t="n">
        <v>0</v>
      </c>
      <c r="O51" t="n">
        <v>0</v>
      </c>
      <c r="P51" t="n">
        <v>0</v>
      </c>
      <c r="Q51" t="n">
        <v>6</v>
      </c>
      <c r="R51" t="n">
        <v>1</v>
      </c>
      <c r="S51" t="n">
        <v>21</v>
      </c>
      <c r="T51" t="n">
        <v>85</v>
      </c>
      <c r="U51" t="n">
        <v>20</v>
      </c>
      <c r="V51" s="2" t="inlineStr">
        <is>
          <t>Knärot
Brunpudrad nållav
Kattfotslav
Platt spretmossa
Ullticka
Vedtrappmossa
Björksplintborre
Bronshjon
Flagellkvastmossa
Granbarkgnagare
Grön sköldmossa
Gulnål
Stubbspretmossa
Vedticka
Vågbandad barkbock
Blåsippa
Glansfläck
Kransmossa
Spillkråka
Kungsfågel
Revlummer</t>
        </is>
      </c>
      <c r="W51">
        <f>HYPERLINK("https://klasma.github.io/Logging_0380/artfynd/A 22347-2026 artfynd.xlsx", "A 22347-2026")</f>
        <v/>
      </c>
      <c r="X51">
        <f>HYPERLINK("https://klasma.github.io/Logging_0380/kartor/A 22347-2026 karta.png", "A 22347-2026")</f>
        <v/>
      </c>
      <c r="Y51">
        <f>HYPERLINK("https://klasma.github.io/Logging_0380/kartor_geotiff/A 22347-2026 georefererad karta.tif", "A 22347-2026")</f>
        <v/>
      </c>
      <c r="Z51">
        <f>HYPERLINK("https://klasma.github.io/Logging_0380/knärot/A 22347-2026 karta knärot.png", "A 22347-2026")</f>
        <v/>
      </c>
      <c r="AA51">
        <f>HYPERLINK("https://klasma.github.io/Logging_0380/klagomål/A 22347-2026 FSC-klagomål.docx", "A 22347-2026")</f>
        <v/>
      </c>
      <c r="AB51">
        <f>HYPERLINK("https://klasma.github.io/Logging_0380/klagomålsmail/A 22347-2026 FSC-klagomål mail.docx", "A 22347-2026")</f>
        <v/>
      </c>
      <c r="AC51">
        <f>HYPERLINK("https://klasma.github.io/Logging_0380/tillsyn/A 22347-2026 tillsynsbegäran.docx", "A 22347-2026")</f>
        <v/>
      </c>
      <c r="AD51">
        <f>HYPERLINK("https://klasma.github.io/Logging_0380/tillsynsmail/A 22347-2026 tillsynsbegäran mail.docx", "A 22347-2026")</f>
        <v/>
      </c>
      <c r="AE51">
        <f>HYPERLINK("https://klasma.github.io/Logging_0380/fåglar/A 22347-2026 prioriterade fågelarter.docx", "A 22347-2026")</f>
        <v/>
      </c>
    </row>
    <row r="52" ht="15" customHeight="1">
      <c r="A52" t="inlineStr">
        <is>
          <t>S 1542-2024</t>
        </is>
      </c>
      <c r="B52" t="inlineStr">
        <is>
          <t>samrådsanmälan</t>
        </is>
      </c>
      <c r="C52" t="inlineStr">
        <is>
          <t>Annan skogsbruksåtgärd</t>
        </is>
      </c>
      <c r="D52" s="1" t="n">
        <v>45425</v>
      </c>
      <c r="E52" s="1" t="n">
        <v>46309</v>
      </c>
      <c r="F52" t="inlineStr">
        <is>
          <t>UPPSALA LÄN</t>
        </is>
      </c>
      <c r="G52" t="inlineStr">
        <is>
          <t>HEBY</t>
        </is>
      </c>
      <c r="I52" t="n">
        <v>11.4</v>
      </c>
      <c r="J52" t="n">
        <v>12</v>
      </c>
      <c r="K52" t="n">
        <v>5</v>
      </c>
      <c r="L52" t="n">
        <v>5</v>
      </c>
      <c r="M52" t="n">
        <v>1</v>
      </c>
      <c r="N52" t="n">
        <v>1</v>
      </c>
      <c r="O52" t="n">
        <v>0</v>
      </c>
      <c r="P52" t="n">
        <v>0</v>
      </c>
      <c r="Q52" t="n">
        <v>7</v>
      </c>
      <c r="R52" t="n">
        <v>2</v>
      </c>
      <c r="S52" t="n">
        <v>21</v>
      </c>
      <c r="T52" t="n">
        <v>72</v>
      </c>
      <c r="U52" t="n">
        <v>5</v>
      </c>
      <c r="V52" s="2" t="inlineStr">
        <is>
          <t>Violgubbe
Knärot
Kattfotslav
Skarp dropptaggsvamp
Sparvuggla
Talltita
Vedtrappmossa
Flagellkvastmossa
Grönpyrola
Kornknutmossa
Rödgul trumpetsvamp
Zontaggsvamp
Gråspett
Järpe
Spillkråka
Tjäder
Grönsiska
Kungsfågel
Orre
Sångsvan
Revlummer</t>
        </is>
      </c>
      <c r="W52">
        <f>HYPERLINK("https://klasma.github.io/Logging_0331/artfynd/S 1542-2024 artfynd.xlsx", "S 1542-2024")</f>
        <v/>
      </c>
      <c r="X52">
        <f>HYPERLINK("https://klasma.github.io/Logging_0331/kartor/S 1542-2024 karta.png", "S 1542-2024")</f>
        <v/>
      </c>
      <c r="Y52">
        <f>HYPERLINK("https://klasma.github.io/Logging_0331/kartor_geotiff/S 1542-2024 georefererad karta.tif", "S 1542-2024")</f>
        <v/>
      </c>
      <c r="Z52">
        <f>HYPERLINK("https://klasma.github.io/Logging_0331/knärot/S 1542-2024 karta knärot.png", "S 1542-2024")</f>
        <v/>
      </c>
      <c r="AA52">
        <f>HYPERLINK("https://klasma.github.io/Logging_0331/klagomål/S 1542-2024 FSC-klagomål.docx", "S 1542-2024")</f>
        <v/>
      </c>
      <c r="AB52">
        <f>HYPERLINK("https://klasma.github.io/Logging_0331/klagomålsmail/S 1542-2024 FSC-klagomål mail.docx", "S 1542-2024")</f>
        <v/>
      </c>
      <c r="AC52">
        <f>HYPERLINK("https://klasma.github.io/Logging_0331/tillsyn/S 1542-2024 tillsynsbegäran.docx", "S 1542-2024")</f>
        <v/>
      </c>
      <c r="AD52">
        <f>HYPERLINK("https://klasma.github.io/Logging_0331/tillsynsmail/S 1542-2024 tillsynsbegäran mail.docx", "S 1542-2024")</f>
        <v/>
      </c>
      <c r="AE52">
        <f>HYPERLINK("https://klasma.github.io/Logging_0331/fåglar/S 1542-2024 prioriterade fågelarter.docx", "S 1542-2024")</f>
        <v/>
      </c>
    </row>
    <row r="53" ht="15" customHeight="1">
      <c r="A53" t="inlineStr">
        <is>
          <t>A 35260-2025</t>
        </is>
      </c>
      <c r="B53" t="inlineStr">
        <is>
          <t>avverkningsanmälan</t>
        </is>
      </c>
      <c r="C53" t="inlineStr">
        <is>
          <t>Föryngringsavverkning</t>
        </is>
      </c>
      <c r="D53" s="1" t="n">
        <v>45853</v>
      </c>
      <c r="E53" s="1" t="n">
        <v>46309</v>
      </c>
      <c r="F53" t="inlineStr">
        <is>
          <t>UPPSALA LÄN</t>
        </is>
      </c>
      <c r="G53" t="inlineStr">
        <is>
          <t>UPPSALA</t>
        </is>
      </c>
      <c r="I53" t="n">
        <v>7.3</v>
      </c>
      <c r="J53" t="n">
        <v>2</v>
      </c>
      <c r="K53" t="n">
        <v>9</v>
      </c>
      <c r="L53" t="n">
        <v>7</v>
      </c>
      <c r="M53" t="n">
        <v>1</v>
      </c>
      <c r="N53" t="n">
        <v>1</v>
      </c>
      <c r="O53" t="n">
        <v>0</v>
      </c>
      <c r="P53" t="n">
        <v>0</v>
      </c>
      <c r="Q53" t="n">
        <v>9</v>
      </c>
      <c r="R53" t="n">
        <v>2</v>
      </c>
      <c r="S53" t="n">
        <v>20</v>
      </c>
      <c r="T53" t="n">
        <v>78</v>
      </c>
      <c r="U53" t="n">
        <v>78</v>
      </c>
      <c r="V53" s="2" t="inlineStr">
        <is>
          <t>Ask
Läderdoftande fingersvamp
Fjällig taggsvamp s.str.
Gultoppig fingersvamp
Kryddspindling
Kungsspindling
Odörspindling
Skarp dropptaggsvamp
Tjockfotad fingersvamp
Anisspindling
Björksplintborre
Bronshjon
Nästrot
Olivspindling
Strimspindling
Svavelriska
Tibast
Zontaggsvamp
Blåsippa
Kransmossa</t>
        </is>
      </c>
      <c r="W53">
        <f>HYPERLINK("https://klasma.github.io/Logging_0380/artfynd/A 35260-2025 artfynd.xlsx", "A 35260-2025")</f>
        <v/>
      </c>
      <c r="X53">
        <f>HYPERLINK("https://klasma.github.io/Logging_0380/kartor/A 35260-2025 karta.png", "A 35260-2025")</f>
        <v/>
      </c>
      <c r="Y53">
        <f>HYPERLINK("https://klasma.github.io/Logging_0380/kartor_geotiff/A 35260-2025 georefererad karta.tif", "A 35260-2025")</f>
        <v/>
      </c>
      <c r="AA53">
        <f>HYPERLINK("https://klasma.github.io/Logging_0380/klagomål/A 35260-2025 FSC-klagomål.docx", "A 35260-2025")</f>
        <v/>
      </c>
      <c r="AB53">
        <f>HYPERLINK("https://klasma.github.io/Logging_0380/klagomålsmail/A 35260-2025 FSC-klagomål mail.docx", "A 35260-2025")</f>
        <v/>
      </c>
      <c r="AC53">
        <f>HYPERLINK("https://klasma.github.io/Logging_0380/tillsyn/A 35260-2025 tillsynsbegäran.docx", "A 35260-2025")</f>
        <v/>
      </c>
      <c r="AD53">
        <f>HYPERLINK("https://klasma.github.io/Logging_0380/tillsynsmail/A 35260-2025 tillsynsbegäran mail.docx", "A 35260-2025")</f>
        <v/>
      </c>
    </row>
    <row r="54" ht="15" customHeight="1">
      <c r="A54" t="inlineStr">
        <is>
          <t>A 19252-2026</t>
        </is>
      </c>
      <c r="B54" t="inlineStr">
        <is>
          <t>avverkningsanmälan</t>
        </is>
      </c>
      <c r="C54" t="inlineStr">
        <is>
          <t>Föryngringsavverkning</t>
        </is>
      </c>
      <c r="D54" s="1" t="n">
        <v>46132</v>
      </c>
      <c r="E54" s="1" t="n">
        <v>46309</v>
      </c>
      <c r="F54" t="inlineStr">
        <is>
          <t>UPPSALA LÄN</t>
        </is>
      </c>
      <c r="G54" t="inlineStr">
        <is>
          <t>ÖSTHAMMAR</t>
        </is>
      </c>
      <c r="H54" t="inlineStr">
        <is>
          <t>Naturvårdsverket</t>
        </is>
      </c>
      <c r="I54" t="n">
        <v>10</v>
      </c>
      <c r="J54" t="n">
        <v>4</v>
      </c>
      <c r="K54" t="n">
        <v>6</v>
      </c>
      <c r="L54" t="n">
        <v>10</v>
      </c>
      <c r="M54" t="n">
        <v>1</v>
      </c>
      <c r="N54" t="n">
        <v>0</v>
      </c>
      <c r="O54" t="n">
        <v>0</v>
      </c>
      <c r="P54" t="n">
        <v>0</v>
      </c>
      <c r="Q54" t="n">
        <v>11</v>
      </c>
      <c r="R54" t="n">
        <v>1</v>
      </c>
      <c r="S54" t="n">
        <v>20</v>
      </c>
      <c r="T54" t="n">
        <v>64</v>
      </c>
      <c r="U54" t="n">
        <v>34</v>
      </c>
      <c r="V54" s="2" t="inlineStr">
        <is>
          <t>Garnlav
Dofttaggsvamp
Dropptaggsvamp
Gammelgransskål
Kattfotslav
Kötticka
Motaggsvamp
Skarp dropptaggsvamp
Talltita
Ullticka
Vedskivlav
Bronshjon
Granbarkgnagare
Grönpyrola
Rödgul trumpetsvamp
Svavelriska
Vedticka
Spillkråka
Tjäder
Fläcknycklar</t>
        </is>
      </c>
      <c r="W54">
        <f>HYPERLINK("https://klasma.github.io/Logging_0382/artfynd/A 19252-2026 artfynd.xlsx", "A 19252-2026")</f>
        <v/>
      </c>
      <c r="X54">
        <f>HYPERLINK("https://klasma.github.io/Logging_0382/kartor/A 19252-2026 karta.png", "A 19252-2026")</f>
        <v/>
      </c>
      <c r="Y54">
        <f>HYPERLINK("https://klasma.github.io/Logging_0382/kartor_geotiff/A 19252-2026 georefererad karta.tif", "A 19252-2026")</f>
        <v/>
      </c>
      <c r="AA54">
        <f>HYPERLINK("https://klasma.github.io/Logging_0382/klagomål/A 19252-2026 FSC-klagomål.docx", "A 19252-2026")</f>
        <v/>
      </c>
      <c r="AB54">
        <f>HYPERLINK("https://klasma.github.io/Logging_0382/klagomålsmail/A 19252-2026 FSC-klagomål mail.docx", "A 19252-2026")</f>
        <v/>
      </c>
      <c r="AC54">
        <f>HYPERLINK("https://klasma.github.io/Logging_0382/tillsyn/A 19252-2026 tillsynsbegäran.docx", "A 19252-2026")</f>
        <v/>
      </c>
      <c r="AD54">
        <f>HYPERLINK("https://klasma.github.io/Logging_0382/tillsynsmail/A 19252-2026 tillsynsbegäran mail.docx", "A 19252-2026")</f>
        <v/>
      </c>
      <c r="AE54">
        <f>HYPERLINK("https://klasma.github.io/Logging_0382/fåglar/A 19252-2026 prioriterade fågelarter.docx", "A 19252-2026")</f>
        <v/>
      </c>
    </row>
    <row r="55" ht="15" customHeight="1">
      <c r="A55" t="inlineStr">
        <is>
          <t>A 17679-2026</t>
        </is>
      </c>
      <c r="B55" t="inlineStr">
        <is>
          <t>avverkningsanmälan</t>
        </is>
      </c>
      <c r="C55" t="inlineStr">
        <is>
          <t>Föryngringsavverkning</t>
        </is>
      </c>
      <c r="D55" s="1" t="n">
        <v>46121</v>
      </c>
      <c r="E55" s="1" t="n">
        <v>46309</v>
      </c>
      <c r="F55" t="inlineStr">
        <is>
          <t>UPPSALA LÄN</t>
        </is>
      </c>
      <c r="G55" t="inlineStr">
        <is>
          <t>UPPSALA</t>
        </is>
      </c>
      <c r="I55" t="n">
        <v>2.4</v>
      </c>
      <c r="J55" t="n">
        <v>16</v>
      </c>
      <c r="K55" t="n">
        <v>0</v>
      </c>
      <c r="L55" t="n">
        <v>11</v>
      </c>
      <c r="M55" t="n">
        <v>2</v>
      </c>
      <c r="N55" t="n">
        <v>0</v>
      </c>
      <c r="O55" t="n">
        <v>0</v>
      </c>
      <c r="P55" t="n">
        <v>0</v>
      </c>
      <c r="Q55" t="n">
        <v>13</v>
      </c>
      <c r="R55" t="n">
        <v>2</v>
      </c>
      <c r="S55" t="n">
        <v>20</v>
      </c>
      <c r="T55" t="n">
        <v>52</v>
      </c>
      <c r="U55" t="n">
        <v>51</v>
      </c>
      <c r="V55" s="2" t="inlineStr">
        <is>
          <t>Grönfink
Violettrandad spindling
Duvhök
Entita
Fjällig taggsvamp s.str.
Gulsparv
Järnsparv
Nordfladdermus
Persiljespindling
Rödvingetrast
Skrattmås
Tallkötticka
Talltita
Bergfink
Tofsmes
Dvärgpipistrell
Grönsiska
Kråka
Kungsfågel
Skogsduva</t>
        </is>
      </c>
      <c r="W55">
        <f>HYPERLINK("https://klasma.github.io/Logging_0380/artfynd/A 17679-2026 artfynd.xlsx", "A 17679-2026")</f>
        <v/>
      </c>
      <c r="X55">
        <f>HYPERLINK("https://klasma.github.io/Logging_0380/kartor/A 17679-2026 karta.png", "A 17679-2026")</f>
        <v/>
      </c>
      <c r="Y55">
        <f>HYPERLINK("https://klasma.github.io/Logging_0380/kartor_geotiff/A 17679-2026 georefererad karta.tif", "A 17679-2026")</f>
        <v/>
      </c>
      <c r="AA55">
        <f>HYPERLINK("https://klasma.github.io/Logging_0380/klagomål/A 17679-2026 FSC-klagomål.docx", "A 17679-2026")</f>
        <v/>
      </c>
      <c r="AB55">
        <f>HYPERLINK("https://klasma.github.io/Logging_0380/klagomålsmail/A 17679-2026 FSC-klagomål mail.docx", "A 17679-2026")</f>
        <v/>
      </c>
      <c r="AC55">
        <f>HYPERLINK("https://klasma.github.io/Logging_0380/tillsyn/A 17679-2026 tillsynsbegäran.docx", "A 17679-2026")</f>
        <v/>
      </c>
      <c r="AD55">
        <f>HYPERLINK("https://klasma.github.io/Logging_0380/tillsynsmail/A 17679-2026 tillsynsbegäran mail.docx", "A 17679-2026")</f>
        <v/>
      </c>
      <c r="AE55">
        <f>HYPERLINK("https://klasma.github.io/Logging_0380/fåglar/A 17679-2026 prioriterade fågelarter.docx", "A 17679-2026")</f>
        <v/>
      </c>
    </row>
    <row r="56" ht="15" customHeight="1">
      <c r="A56" t="inlineStr">
        <is>
          <t>A 63008-2025</t>
        </is>
      </c>
      <c r="B56" t="inlineStr">
        <is>
          <t>avverkningsanmälan</t>
        </is>
      </c>
      <c r="C56" t="inlineStr">
        <is>
          <t>Föryngringsavverkning</t>
        </is>
      </c>
      <c r="D56" s="1" t="n">
        <v>46009</v>
      </c>
      <c r="E56" s="1" t="n">
        <v>46309</v>
      </c>
      <c r="F56" t="inlineStr">
        <is>
          <t>UPPSALA LÄN</t>
        </is>
      </c>
      <c r="G56" t="inlineStr">
        <is>
          <t>UPPSALA</t>
        </is>
      </c>
      <c r="I56" t="n">
        <v>12.2</v>
      </c>
      <c r="J56" t="n">
        <v>5</v>
      </c>
      <c r="K56" t="n">
        <v>8</v>
      </c>
      <c r="L56" t="n">
        <v>7</v>
      </c>
      <c r="M56" t="n">
        <v>1</v>
      </c>
      <c r="N56" t="n">
        <v>0</v>
      </c>
      <c r="O56" t="n">
        <v>0</v>
      </c>
      <c r="P56" t="n">
        <v>0</v>
      </c>
      <c r="Q56" t="n">
        <v>8</v>
      </c>
      <c r="R56" t="n">
        <v>1</v>
      </c>
      <c r="S56" t="n">
        <v>19</v>
      </c>
      <c r="T56" t="n">
        <v>50</v>
      </c>
      <c r="U56" t="n">
        <v>31</v>
      </c>
      <c r="V56" s="2" t="inlineStr">
        <is>
          <t>Gyllenspindling
Gullpudra
Rosenticka
Rynkskinn
Talltita
Ullticka
Vedtrappmossa
Vårärt
Björksplintborre
Brandticka
Bronshjon
Granbräken
Grön sköldmossa
Rödgul trumpetsvamp
Stubbspretmossa
Svavelriska
Blåsippa
Spillkråka
Revlummer</t>
        </is>
      </c>
      <c r="W56">
        <f>HYPERLINK("https://klasma.github.io/Logging_0380/artfynd/A 63008-2025 artfynd.xlsx", "A 63008-2025")</f>
        <v/>
      </c>
      <c r="X56">
        <f>HYPERLINK("https://klasma.github.io/Logging_0380/kartor/A 63008-2025 karta.png", "A 63008-2025")</f>
        <v/>
      </c>
      <c r="Y56">
        <f>HYPERLINK("https://klasma.github.io/Logging_0380/kartor_geotiff/A 63008-2025 georefererad karta.tif", "A 63008-2025")</f>
        <v/>
      </c>
      <c r="AA56">
        <f>HYPERLINK("https://klasma.github.io/Logging_0380/klagomål/A 63008-2025 FSC-klagomål.docx", "A 63008-2025")</f>
        <v/>
      </c>
      <c r="AB56">
        <f>HYPERLINK("https://klasma.github.io/Logging_0380/klagomålsmail/A 63008-2025 FSC-klagomål mail.docx", "A 63008-2025")</f>
        <v/>
      </c>
      <c r="AC56">
        <f>HYPERLINK("https://klasma.github.io/Logging_0380/tillsyn/A 63008-2025 tillsynsbegäran.docx", "A 63008-2025")</f>
        <v/>
      </c>
      <c r="AD56">
        <f>HYPERLINK("https://klasma.github.io/Logging_0380/tillsynsmail/A 63008-2025 tillsynsbegäran mail.docx", "A 63008-2025")</f>
        <v/>
      </c>
      <c r="AE56">
        <f>HYPERLINK("https://klasma.github.io/Logging_0380/fåglar/A 63008-2025 prioriterade fågelarter.docx", "A 63008-2025")</f>
        <v/>
      </c>
    </row>
    <row r="57" ht="15" customHeight="1">
      <c r="A57" t="inlineStr">
        <is>
          <t>A 10368-2022</t>
        </is>
      </c>
      <c r="B57" t="inlineStr">
        <is>
          <t>avverkningsanmälan</t>
        </is>
      </c>
      <c r="C57" t="inlineStr">
        <is>
          <t>Föryngringsavverkning</t>
        </is>
      </c>
      <c r="D57" s="1" t="n">
        <v>44623</v>
      </c>
      <c r="E57" s="1" t="n">
        <v>46309</v>
      </c>
      <c r="F57" t="inlineStr">
        <is>
          <t>UPPSALA LÄN</t>
        </is>
      </c>
      <c r="G57" t="inlineStr">
        <is>
          <t>UPPSALA</t>
        </is>
      </c>
      <c r="H57" t="inlineStr">
        <is>
          <t>Övriga Aktiebolag</t>
        </is>
      </c>
      <c r="I57" t="n">
        <v>3.4</v>
      </c>
      <c r="J57" t="n">
        <v>1</v>
      </c>
      <c r="K57" t="n">
        <v>10</v>
      </c>
      <c r="L57" t="n">
        <v>3</v>
      </c>
      <c r="M57" t="n">
        <v>2</v>
      </c>
      <c r="N57" t="n">
        <v>3</v>
      </c>
      <c r="O57" t="n">
        <v>0</v>
      </c>
      <c r="P57" t="n">
        <v>0</v>
      </c>
      <c r="Q57" t="n">
        <v>8</v>
      </c>
      <c r="R57" t="n">
        <v>5</v>
      </c>
      <c r="S57" t="n">
        <v>19</v>
      </c>
      <c r="T57" t="n">
        <v>25</v>
      </c>
      <c r="U57" t="n">
        <v>14</v>
      </c>
      <c r="V57" s="2" t="inlineStr">
        <is>
          <t>Almlav
Ask
Skogsalm
Liten blekspik
Ostticka
Lunglav
Svinrot
Vedtrappmossa
Bårdlav
Fällmossa
Guldlockmossa
Korallblylav
Luddlav
Mörk husmossa
Piskbaronmossa
Platt fjädermossa
Stenporella
Trubbfjädermossa
Blåsippa</t>
        </is>
      </c>
      <c r="W57">
        <f>HYPERLINK("https://klasma.github.io/Logging_0380/artfynd/A 10368-2022 artfynd.xlsx", "A 10368-2022")</f>
        <v/>
      </c>
      <c r="X57">
        <f>HYPERLINK("https://klasma.github.io/Logging_0380/kartor/A 10368-2022 karta.png", "A 10368-2022")</f>
        <v/>
      </c>
      <c r="Y57">
        <f>HYPERLINK("https://klasma.github.io/Logging_0380/kartor_geotiff/A 10368-2022 georefererad karta.tif", "A 10368-2022")</f>
        <v/>
      </c>
      <c r="AA57">
        <f>HYPERLINK("https://klasma.github.io/Logging_0380/klagomål/A 10368-2022 FSC-klagomål.docx", "A 10368-2022")</f>
        <v/>
      </c>
      <c r="AB57">
        <f>HYPERLINK("https://klasma.github.io/Logging_0380/klagomålsmail/A 10368-2022 FSC-klagomål mail.docx", "A 10368-2022")</f>
        <v/>
      </c>
      <c r="AC57">
        <f>HYPERLINK("https://klasma.github.io/Logging_0380/tillsyn/A 10368-2022 tillsynsbegäran.docx", "A 10368-2022")</f>
        <v/>
      </c>
      <c r="AD57">
        <f>HYPERLINK("https://klasma.github.io/Logging_0380/tillsynsmail/A 10368-2022 tillsynsbegäran mail.docx", "A 10368-2022")</f>
        <v/>
      </c>
    </row>
    <row r="58" ht="15" customHeight="1">
      <c r="A58" t="inlineStr">
        <is>
          <t>A 33277-2026</t>
        </is>
      </c>
      <c r="B58" t="inlineStr">
        <is>
          <t>avverkningsanmälan</t>
        </is>
      </c>
      <c r="C58" t="inlineStr">
        <is>
          <t>Avverkning för att bevara och utveckla /försöksver</t>
        </is>
      </c>
      <c r="D58" s="1" t="n">
        <v>46246</v>
      </c>
      <c r="E58" s="1" t="n">
        <v>46309</v>
      </c>
      <c r="F58" t="inlineStr">
        <is>
          <t>UPPSALA LÄN</t>
        </is>
      </c>
      <c r="G58" t="inlineStr">
        <is>
          <t>UPPSALA</t>
        </is>
      </c>
      <c r="H58" t="inlineStr">
        <is>
          <t>Holmen skog AB</t>
        </is>
      </c>
      <c r="I58" t="n">
        <v>23.1</v>
      </c>
      <c r="J58" t="n">
        <v>3</v>
      </c>
      <c r="K58" t="n">
        <v>8</v>
      </c>
      <c r="L58" t="n">
        <v>9</v>
      </c>
      <c r="M58" t="n">
        <v>0</v>
      </c>
      <c r="N58" t="n">
        <v>0</v>
      </c>
      <c r="O58" t="n">
        <v>0</v>
      </c>
      <c r="P58" t="n">
        <v>0</v>
      </c>
      <c r="Q58" t="n">
        <v>9</v>
      </c>
      <c r="R58" t="n">
        <v>0</v>
      </c>
      <c r="S58" t="n">
        <v>19</v>
      </c>
      <c r="T58" t="n">
        <v>36</v>
      </c>
      <c r="U58" t="n">
        <v>11</v>
      </c>
      <c r="V58" s="2" t="inlineStr">
        <is>
          <t>Dropptaggsvamp
Furuvedvivel
Kortskaftad ärgspik
Motaggsvamp
Skrovlig flatbagge
Tallticka
Talltita
Ullticka
Vedskivlav
Blodticka
Bronshjon
Grönpyrola
Gullgröppa
Ljus vedstrit
Mörk vedstrit
Vanlig flatbagge
Vedticka
Spillkråka
Tjäder</t>
        </is>
      </c>
      <c r="W58">
        <f>HYPERLINK("https://klasma.github.io/Logging_0380/artfynd/A 33277-2026 artfynd.xlsx", "A 33277-2026")</f>
        <v/>
      </c>
      <c r="X58">
        <f>HYPERLINK("https://klasma.github.io/Logging_0380/kartor/A 33277-2026 karta.png", "A 33277-2026")</f>
        <v/>
      </c>
      <c r="Y58">
        <f>HYPERLINK("https://klasma.github.io/Logging_0380/kartor_geotiff/A 33277-2026 georefererad karta.tif", "A 33277-2026")</f>
        <v/>
      </c>
      <c r="AA58">
        <f>HYPERLINK("https://klasma.github.io/Logging_0380/klagomål/A 33277-2026 FSC-klagomål.docx", "A 33277-2026")</f>
        <v/>
      </c>
      <c r="AB58">
        <f>HYPERLINK("https://klasma.github.io/Logging_0380/klagomålsmail/A 33277-2026 FSC-klagomål mail.docx", "A 33277-2026")</f>
        <v/>
      </c>
      <c r="AC58">
        <f>HYPERLINK("https://klasma.github.io/Logging_0380/tillsyn/A 33277-2026 tillsynsbegäran.docx", "A 33277-2026")</f>
        <v/>
      </c>
      <c r="AD58">
        <f>HYPERLINK("https://klasma.github.io/Logging_0380/tillsynsmail/A 33277-2026 tillsynsbegäran mail.docx", "A 33277-2026")</f>
        <v/>
      </c>
      <c r="AE58">
        <f>HYPERLINK("https://klasma.github.io/Logging_0380/fåglar/A 33277-2026 prioriterade fågelarter.docx", "A 33277-2026")</f>
        <v/>
      </c>
    </row>
    <row r="59" ht="15" customHeight="1">
      <c r="A59" t="inlineStr">
        <is>
          <t>S 2190-2024</t>
        </is>
      </c>
      <c r="B59" t="inlineStr">
        <is>
          <t>samrådsanmälan</t>
        </is>
      </c>
      <c r="C59" t="inlineStr">
        <is>
          <t>Annan skogsbruksåtgärd</t>
        </is>
      </c>
      <c r="D59" s="1" t="n">
        <v>45457</v>
      </c>
      <c r="E59" s="1" t="n">
        <v>46309</v>
      </c>
      <c r="F59" t="inlineStr">
        <is>
          <t>UPPSALA LÄN</t>
        </is>
      </c>
      <c r="G59" t="inlineStr">
        <is>
          <t>UPPSALA</t>
        </is>
      </c>
      <c r="I59" t="n">
        <v>7.3</v>
      </c>
      <c r="J59" t="n">
        <v>2</v>
      </c>
      <c r="K59" t="n">
        <v>7</v>
      </c>
      <c r="L59" t="n">
        <v>8</v>
      </c>
      <c r="M59" t="n">
        <v>3</v>
      </c>
      <c r="N59" t="n">
        <v>1</v>
      </c>
      <c r="O59" t="n">
        <v>0</v>
      </c>
      <c r="P59" t="n">
        <v>0</v>
      </c>
      <c r="Q59" t="n">
        <v>12</v>
      </c>
      <c r="R59" t="n">
        <v>4</v>
      </c>
      <c r="S59" t="n">
        <v>19</v>
      </c>
      <c r="T59" t="n">
        <v>28</v>
      </c>
      <c r="U59" t="n">
        <v>0</v>
      </c>
      <c r="V59" s="2" t="inlineStr">
        <is>
          <t>Violgubbe
Cinnoberbagge
Gul taggsvamp
Knärot
Blek fingersvamp
Dofttaggsvamp
Fyrflikig jordstjärna
Motaggsvamp
Orange taggsvamp
Skarp dropptaggsvamp
Sotvaxskivling
Vintertagging
Blomkålssvamp
Kamjordstjärna
Rävticka
Rökmusseron
Smal svampklubba
Trådticka
Zontaggsvamp</t>
        </is>
      </c>
      <c r="W59">
        <f>HYPERLINK("https://klasma.github.io/Logging_0380/artfynd/S 2190-2024 artfynd.xlsx", "S 2190-2024")</f>
        <v/>
      </c>
      <c r="X59">
        <f>HYPERLINK("https://klasma.github.io/Logging_0380/kartor/S 2190-2024 karta.png", "S 2190-2024")</f>
        <v/>
      </c>
      <c r="Y59">
        <f>HYPERLINK("https://klasma.github.io/Logging_0380/kartor_geotiff/S 2190-2024 georefererad karta.tif", "S 2190-2024")</f>
        <v/>
      </c>
      <c r="Z59">
        <f>HYPERLINK("https://klasma.github.io/Logging_0380/knärot/S 2190-2024 karta knärot.png", "S 2190-2024")</f>
        <v/>
      </c>
      <c r="AA59">
        <f>HYPERLINK("https://klasma.github.io/Logging_0380/klagomål/S 2190-2024 FSC-klagomål.docx", "S 2190-2024")</f>
        <v/>
      </c>
      <c r="AB59">
        <f>HYPERLINK("https://klasma.github.io/Logging_0380/klagomålsmail/S 2190-2024 FSC-klagomål mail.docx", "S 2190-2024")</f>
        <v/>
      </c>
      <c r="AC59">
        <f>HYPERLINK("https://klasma.github.io/Logging_0380/tillsyn/S 2190-2024 tillsynsbegäran.docx", "S 2190-2024")</f>
        <v/>
      </c>
      <c r="AD59">
        <f>HYPERLINK("https://klasma.github.io/Logging_0380/tillsynsmail/S 2190-2024 tillsynsbegäran mail.docx", "S 2190-2024")</f>
        <v/>
      </c>
    </row>
    <row r="60" ht="15" customHeight="1">
      <c r="A60" t="inlineStr">
        <is>
          <t>S 3558-2023</t>
        </is>
      </c>
      <c r="B60" t="inlineStr">
        <is>
          <t>samrådsanmälan</t>
        </is>
      </c>
      <c r="C60" t="inlineStr">
        <is>
          <t>Annan skogsbruksåtgärd</t>
        </is>
      </c>
      <c r="D60" s="1" t="n">
        <v>45210</v>
      </c>
      <c r="E60" s="1" t="n">
        <v>46309</v>
      </c>
      <c r="F60" t="inlineStr">
        <is>
          <t>UPPSALA LÄN</t>
        </is>
      </c>
      <c r="G60" t="inlineStr">
        <is>
          <t>ÖSTHAMMAR</t>
        </is>
      </c>
      <c r="I60" t="n">
        <v>11.9</v>
      </c>
      <c r="J60" t="n">
        <v>4</v>
      </c>
      <c r="K60" t="n">
        <v>4</v>
      </c>
      <c r="L60" t="n">
        <v>7</v>
      </c>
      <c r="M60" t="n">
        <v>1</v>
      </c>
      <c r="N60" t="n">
        <v>4</v>
      </c>
      <c r="O60" t="n">
        <v>0</v>
      </c>
      <c r="P60" t="n">
        <v>0</v>
      </c>
      <c r="Q60" t="n">
        <v>12</v>
      </c>
      <c r="R60" t="n">
        <v>5</v>
      </c>
      <c r="S60" t="n">
        <v>19</v>
      </c>
      <c r="T60" t="n">
        <v>33</v>
      </c>
      <c r="U60" t="n">
        <v>2</v>
      </c>
      <c r="V60" s="2" t="inlineStr">
        <is>
          <t>Fjällfotad fingersvamp
Gyllenfingersvamp
Mandarinfingersvamp
Violgubbe
Gul lammticka
Backklöver
Flattoppad klubbsvamp
Fyrflikig jordstjärna
Kryddspindling
Orange taggsvamp
Persiljespindling
Slåtterfibbla
Anisspindling
Olivspindling
Rödgul trumpetsvamp
Tvåblad
Blåsippa
Grönvit nattviol
Gullviva</t>
        </is>
      </c>
      <c r="W60">
        <f>HYPERLINK("https://klasma.github.io/Logging_0382/artfynd/S 3558-2023 artfynd.xlsx", "S 3558-2023")</f>
        <v/>
      </c>
      <c r="X60">
        <f>HYPERLINK("https://klasma.github.io/Logging_0382/kartor/S 3558-2023 karta.png", "S 3558-2023")</f>
        <v/>
      </c>
      <c r="Y60">
        <f>HYPERLINK("https://klasma.github.io/Logging_0382/kartor_geotiff/S 3558-2023 georefererad karta.tif", "S 3558-2023")</f>
        <v/>
      </c>
      <c r="AA60">
        <f>HYPERLINK("https://klasma.github.io/Logging_0382/klagomål/S 3558-2023 FSC-klagomål.docx", "S 3558-2023")</f>
        <v/>
      </c>
      <c r="AB60">
        <f>HYPERLINK("https://klasma.github.io/Logging_0382/klagomålsmail/S 3558-2023 FSC-klagomål mail.docx", "S 3558-2023")</f>
        <v/>
      </c>
      <c r="AC60">
        <f>HYPERLINK("https://klasma.github.io/Logging_0382/tillsyn/S 3558-2023 tillsynsbegäran.docx", "S 3558-2023")</f>
        <v/>
      </c>
      <c r="AD60">
        <f>HYPERLINK("https://klasma.github.io/Logging_0382/tillsynsmail/S 3558-2023 tillsynsbegäran mail.docx", "S 3558-2023")</f>
        <v/>
      </c>
    </row>
    <row r="61" ht="15" customHeight="1">
      <c r="A61" t="inlineStr">
        <is>
          <t>A 60284-2022</t>
        </is>
      </c>
      <c r="B61" t="inlineStr">
        <is>
          <t>avverkningsanmälan</t>
        </is>
      </c>
      <c r="C61" t="inlineStr">
        <is>
          <t>Föryngringsavverkning</t>
        </is>
      </c>
      <c r="D61" s="1" t="n">
        <v>44910</v>
      </c>
      <c r="E61" s="1" t="n">
        <v>46309</v>
      </c>
      <c r="F61" t="inlineStr">
        <is>
          <t>UPPSALA LÄN</t>
        </is>
      </c>
      <c r="G61" t="inlineStr">
        <is>
          <t>ENKÖPING</t>
        </is>
      </c>
      <c r="I61" t="n">
        <v>2.9</v>
      </c>
      <c r="J61" t="n">
        <v>8</v>
      </c>
      <c r="K61" t="n">
        <v>8</v>
      </c>
      <c r="L61" t="n">
        <v>4</v>
      </c>
      <c r="M61" t="n">
        <v>1</v>
      </c>
      <c r="N61" t="n">
        <v>1</v>
      </c>
      <c r="O61" t="n">
        <v>0</v>
      </c>
      <c r="P61" t="n">
        <v>0</v>
      </c>
      <c r="Q61" t="n">
        <v>6</v>
      </c>
      <c r="R61" t="n">
        <v>2</v>
      </c>
      <c r="S61" t="n">
        <v>18</v>
      </c>
      <c r="T61" t="n">
        <v>28</v>
      </c>
      <c r="U61" t="n">
        <v>5</v>
      </c>
      <c r="V61" s="2" t="inlineStr">
        <is>
          <t>Bombmurkla
Duvspindling
Fjällig taggsvamp s.str.
Järnsparv
Mindre hackspett
Persiljespindling
Fransig jordstjärna
Gulgrön kantmusseron
Kamjordstjärna
Nästrot
Olivspindling
Rökmusseron
Smal svampklubba
Strimspindling
Spillkråka
Åkergroda
Vanlig groda
Gullviva</t>
        </is>
      </c>
      <c r="W61">
        <f>HYPERLINK("https://klasma.github.io/Logging_0381/artfynd/A 60284-2022 artfynd.xlsx", "A 60284-2022")</f>
        <v/>
      </c>
      <c r="X61">
        <f>HYPERLINK("https://klasma.github.io/Logging_0381/kartor/A 60284-2022 karta.png", "A 60284-2022")</f>
        <v/>
      </c>
      <c r="Y61">
        <f>HYPERLINK("https://klasma.github.io/Logging_0381/kartor_geotiff/A 60284-2022 georefererad karta.tif", "A 60284-2022")</f>
        <v/>
      </c>
      <c r="AA61">
        <f>HYPERLINK("https://klasma.github.io/Logging_0381/klagomål/A 60284-2022 FSC-klagomål.docx", "A 60284-2022")</f>
        <v/>
      </c>
      <c r="AB61">
        <f>HYPERLINK("https://klasma.github.io/Logging_0381/klagomålsmail/A 60284-2022 FSC-klagomål mail.docx", "A 60284-2022")</f>
        <v/>
      </c>
      <c r="AC61">
        <f>HYPERLINK("https://klasma.github.io/Logging_0381/tillsyn/A 60284-2022 tillsynsbegäran.docx", "A 60284-2022")</f>
        <v/>
      </c>
      <c r="AD61">
        <f>HYPERLINK("https://klasma.github.io/Logging_0381/tillsynsmail/A 60284-2022 tillsynsbegäran mail.docx", "A 60284-2022")</f>
        <v/>
      </c>
      <c r="AE61">
        <f>HYPERLINK("https://klasma.github.io/Logging_0381/fåglar/A 60284-2022 prioriterade fågelarter.docx", "A 60284-2022")</f>
        <v/>
      </c>
    </row>
    <row r="62" ht="15" customHeight="1">
      <c r="A62" t="inlineStr">
        <is>
          <t>A 7444-2023</t>
        </is>
      </c>
      <c r="B62" t="inlineStr">
        <is>
          <t>avverkningsanmälan</t>
        </is>
      </c>
      <c r="C62" t="inlineStr">
        <is>
          <t>Avverkning för att bevara och utveckla /försöksver</t>
        </is>
      </c>
      <c r="D62" s="1" t="n">
        <v>44971</v>
      </c>
      <c r="E62" s="1" t="n">
        <v>46309</v>
      </c>
      <c r="F62" t="inlineStr">
        <is>
          <t>UPPSALA LÄN</t>
        </is>
      </c>
      <c r="G62" t="inlineStr">
        <is>
          <t>KNIVSTA</t>
        </is>
      </c>
      <c r="I62" t="n">
        <v>0.7</v>
      </c>
      <c r="J62" t="n">
        <v>0</v>
      </c>
      <c r="K62" t="n">
        <v>9</v>
      </c>
      <c r="L62" t="n">
        <v>6</v>
      </c>
      <c r="M62" t="n">
        <v>3</v>
      </c>
      <c r="N62" t="n">
        <v>0</v>
      </c>
      <c r="O62" t="n">
        <v>0</v>
      </c>
      <c r="P62" t="n">
        <v>0</v>
      </c>
      <c r="Q62" t="n">
        <v>9</v>
      </c>
      <c r="R62" t="n">
        <v>3</v>
      </c>
      <c r="S62" t="n">
        <v>18</v>
      </c>
      <c r="T62" t="n">
        <v>33</v>
      </c>
      <c r="U62" t="n">
        <v>10</v>
      </c>
      <c r="V62" s="2" t="inlineStr">
        <is>
          <t>Apelticka
Aspfjädermossa
Kärnticka
Blastenia relicta
Grönhjon
Kandelabersvamp
Koralltaggsvamp
Lunglav
Ullticka
Bronshjon
Bårdlav
Dvärgtufs
Granbarkgnagare
Platt fjädermossa
Rävticka
Stekelbock
Stor aspticka
Thomsons trägnagare</t>
        </is>
      </c>
      <c r="W62">
        <f>HYPERLINK("https://klasma.github.io/Logging_0330/artfynd/A 7444-2023 artfynd.xlsx", "A 7444-2023")</f>
        <v/>
      </c>
      <c r="X62">
        <f>HYPERLINK("https://klasma.github.io/Logging_0330/kartor/A 7444-2023 karta.png", "A 7444-2023")</f>
        <v/>
      </c>
      <c r="Y62">
        <f>HYPERLINK("https://klasma.github.io/Logging_0330/kartor_geotiff/A 7444-2023 georefererad karta.tif", "A 7444-2023")</f>
        <v/>
      </c>
      <c r="AA62">
        <f>HYPERLINK("https://klasma.github.io/Logging_0330/klagomål/A 7444-2023 FSC-klagomål.docx", "A 7444-2023")</f>
        <v/>
      </c>
      <c r="AB62">
        <f>HYPERLINK("https://klasma.github.io/Logging_0330/klagomålsmail/A 7444-2023 FSC-klagomål mail.docx", "A 7444-2023")</f>
        <v/>
      </c>
      <c r="AC62">
        <f>HYPERLINK("https://klasma.github.io/Logging_0330/tillsyn/A 7444-2023 tillsynsbegäran.docx", "A 7444-2023")</f>
        <v/>
      </c>
      <c r="AD62">
        <f>HYPERLINK("https://klasma.github.io/Logging_0330/tillsynsmail/A 7444-2023 tillsynsbegäran mail.docx", "A 7444-2023")</f>
        <v/>
      </c>
    </row>
    <row r="63" ht="15" customHeight="1">
      <c r="A63" t="inlineStr">
        <is>
          <t>S 1449-2020</t>
        </is>
      </c>
      <c r="B63" t="inlineStr">
        <is>
          <t>samrådsanmälan</t>
        </is>
      </c>
      <c r="C63" t="inlineStr">
        <is>
          <t>Åtgärd i nyckelbiotop</t>
        </is>
      </c>
      <c r="D63" s="1" t="n">
        <v>44006</v>
      </c>
      <c r="E63" s="1" t="n">
        <v>46309</v>
      </c>
      <c r="F63" t="inlineStr">
        <is>
          <t>UPPSALA LÄN</t>
        </is>
      </c>
      <c r="G63" t="inlineStr">
        <is>
          <t>UPPSALA</t>
        </is>
      </c>
      <c r="I63" t="n">
        <v>8.300000000000001</v>
      </c>
      <c r="J63" t="n">
        <v>2</v>
      </c>
      <c r="K63" t="n">
        <v>7</v>
      </c>
      <c r="L63" t="n">
        <v>8</v>
      </c>
      <c r="M63" t="n">
        <v>2</v>
      </c>
      <c r="N63" t="n">
        <v>0</v>
      </c>
      <c r="O63" t="n">
        <v>0</v>
      </c>
      <c r="P63" t="n">
        <v>0</v>
      </c>
      <c r="Q63" t="n">
        <v>10</v>
      </c>
      <c r="R63" t="n">
        <v>2</v>
      </c>
      <c r="S63" t="n">
        <v>18</v>
      </c>
      <c r="T63" t="n">
        <v>28</v>
      </c>
      <c r="U63" t="n">
        <v>5</v>
      </c>
      <c r="V63" s="2" t="inlineStr">
        <is>
          <t>Garnlav
Knärot
Fjällig taggsvamp s.str.
Gullpudra
Harticka
Koralltaggsvamp
Lunglav
Rutskinn
Vedskivlav
Vintertagging
Blåmossa
Fällmossa
Gulpudrad spiklav
Mörk husmossa
Stubbspretmossa
Svavelriska
Vedticka
Blåsippa</t>
        </is>
      </c>
      <c r="W63">
        <f>HYPERLINK("https://klasma.github.io/Logging_0380/artfynd/S 1449-2020 artfynd.xlsx", "S 1449-2020")</f>
        <v/>
      </c>
      <c r="X63">
        <f>HYPERLINK("https://klasma.github.io/Logging_0380/kartor/S 1449-2020 karta.png", "S 1449-2020")</f>
        <v/>
      </c>
      <c r="Y63">
        <f>HYPERLINK("https://klasma.github.io/Logging_0380/kartor_geotiff/S 1449-2020 georefererad karta.tif", "S 1449-2020")</f>
        <v/>
      </c>
      <c r="Z63">
        <f>HYPERLINK("https://klasma.github.io/Logging_0380/knärot/S 1449-2020 karta knärot.png", "S 1449-2020")</f>
        <v/>
      </c>
      <c r="AA63">
        <f>HYPERLINK("https://klasma.github.io/Logging_0380/klagomål/S 1449-2020 FSC-klagomål.docx", "S 1449-2020")</f>
        <v/>
      </c>
      <c r="AB63">
        <f>HYPERLINK("https://klasma.github.io/Logging_0380/klagomålsmail/S 1449-2020 FSC-klagomål mail.docx", "S 1449-2020")</f>
        <v/>
      </c>
      <c r="AC63">
        <f>HYPERLINK("https://klasma.github.io/Logging_0380/tillsyn/S 1449-2020 tillsynsbegäran.docx", "S 1449-2020")</f>
        <v/>
      </c>
      <c r="AD63">
        <f>HYPERLINK("https://klasma.github.io/Logging_0380/tillsynsmail/S 1449-2020 tillsynsbegäran mail.docx", "S 1449-2020")</f>
        <v/>
      </c>
    </row>
    <row r="64" ht="15" customHeight="1">
      <c r="A64" t="inlineStr">
        <is>
          <t>S 3775-2023</t>
        </is>
      </c>
      <c r="B64" t="inlineStr">
        <is>
          <t>samrådsanmälan</t>
        </is>
      </c>
      <c r="C64" t="inlineStr">
        <is>
          <t>Annan skogsbruksåtgärd</t>
        </is>
      </c>
      <c r="D64" s="1" t="n">
        <v>45223</v>
      </c>
      <c r="E64" s="1" t="n">
        <v>46309</v>
      </c>
      <c r="F64" t="inlineStr">
        <is>
          <t>UPPSALA LÄN</t>
        </is>
      </c>
      <c r="G64" t="inlineStr">
        <is>
          <t>UPPSALA</t>
        </is>
      </c>
      <c r="I64" t="n">
        <v>13.7</v>
      </c>
      <c r="J64" t="n">
        <v>2</v>
      </c>
      <c r="K64" t="n">
        <v>4</v>
      </c>
      <c r="L64" t="n">
        <v>8</v>
      </c>
      <c r="M64" t="n">
        <v>2</v>
      </c>
      <c r="N64" t="n">
        <v>2</v>
      </c>
      <c r="O64" t="n">
        <v>0</v>
      </c>
      <c r="P64" t="n">
        <v>0</v>
      </c>
      <c r="Q64" t="n">
        <v>12</v>
      </c>
      <c r="R64" t="n">
        <v>4</v>
      </c>
      <c r="S64" t="n">
        <v>18</v>
      </c>
      <c r="T64" t="n">
        <v>28</v>
      </c>
      <c r="U64" t="n">
        <v>1</v>
      </c>
      <c r="V64" s="2" t="inlineStr">
        <is>
          <t>Lilafotad fingersvamp
Violgubbe
Gul taggsvamp
Svartfjällig musseron
Blek fingersvamp
Dofttaggsvamp
Dropptaggsvamp
Gultoppig fingersvamp
Motaggsvamp
Orange taggsvamp
Skarp dropptaggsvamp
Spinnfingersvamp
Blomkålssvamp
Gulröd blankbock
Rävticka
Zontaggsvamp
Blåsippa
Kungsfågel</t>
        </is>
      </c>
      <c r="W64">
        <f>HYPERLINK("https://klasma.github.io/Logging_0380/artfynd/S 3775-2023 artfynd.xlsx", "S 3775-2023")</f>
        <v/>
      </c>
      <c r="X64">
        <f>HYPERLINK("https://klasma.github.io/Logging_0380/kartor/S 3775-2023 karta.png", "S 3775-2023")</f>
        <v/>
      </c>
      <c r="Y64">
        <f>HYPERLINK("https://klasma.github.io/Logging_0380/kartor_geotiff/S 3775-2023 georefererad karta.tif", "S 3775-2023")</f>
        <v/>
      </c>
      <c r="Z64">
        <f>HYPERLINK("https://klasma.github.io/Logging_0380/knärot/S 3775-2023 karta knärot.png", "S 3775-2023")</f>
        <v/>
      </c>
      <c r="AA64">
        <f>HYPERLINK("https://klasma.github.io/Logging_0380/klagomål/S 3775-2023 FSC-klagomål.docx", "S 3775-2023")</f>
        <v/>
      </c>
      <c r="AB64">
        <f>HYPERLINK("https://klasma.github.io/Logging_0380/klagomålsmail/S 3775-2023 FSC-klagomål mail.docx", "S 3775-2023")</f>
        <v/>
      </c>
      <c r="AC64">
        <f>HYPERLINK("https://klasma.github.io/Logging_0380/tillsyn/S 3775-2023 tillsynsbegäran.docx", "S 3775-2023")</f>
        <v/>
      </c>
      <c r="AD64">
        <f>HYPERLINK("https://klasma.github.io/Logging_0380/tillsynsmail/S 3775-2023 tillsynsbegäran mail.docx", "S 3775-2023")</f>
        <v/>
      </c>
    </row>
    <row r="65" ht="15" customHeight="1">
      <c r="A65" t="inlineStr">
        <is>
          <t>S 508-2025</t>
        </is>
      </c>
      <c r="B65" t="inlineStr">
        <is>
          <t>samrådsanmälan</t>
        </is>
      </c>
      <c r="C65" t="inlineStr">
        <is>
          <t>Annan skogsbruksåtgärd</t>
        </is>
      </c>
      <c r="D65" s="1" t="n">
        <v>45706</v>
      </c>
      <c r="E65" s="1" t="n">
        <v>46309</v>
      </c>
      <c r="F65" t="inlineStr">
        <is>
          <t>UPPSALA LÄN</t>
        </is>
      </c>
      <c r="G65" t="inlineStr">
        <is>
          <t>UPPSALA</t>
        </is>
      </c>
      <c r="I65" t="n">
        <v>22.2</v>
      </c>
      <c r="J65" t="n">
        <v>3</v>
      </c>
      <c r="K65" t="n">
        <v>12</v>
      </c>
      <c r="L65" t="n">
        <v>3</v>
      </c>
      <c r="M65" t="n">
        <v>1</v>
      </c>
      <c r="N65" t="n">
        <v>0</v>
      </c>
      <c r="O65" t="n">
        <v>0</v>
      </c>
      <c r="P65" t="n">
        <v>0</v>
      </c>
      <c r="Q65" t="n">
        <v>4</v>
      </c>
      <c r="R65" t="n">
        <v>1</v>
      </c>
      <c r="S65" t="n">
        <v>18</v>
      </c>
      <c r="T65" t="n">
        <v>31</v>
      </c>
      <c r="U65" t="n">
        <v>0</v>
      </c>
      <c r="V65" s="2" t="inlineStr">
        <is>
          <t>Knärot
Fjällig taggsvamp s.str.
Skarp dropptaggsvamp
Vedtrappmossa
Anisspindling
Blomkålssvamp
Grönpyrola
Hagfingersvamp
Korallblylav
Olivspindling
Rostfläck
Rödgul trumpetsvamp
Svavelriska
Toppvaxing
Vanlig rörsvepemossa
Vedticka
Blåsippa
Revlummer</t>
        </is>
      </c>
      <c r="W65">
        <f>HYPERLINK("https://klasma.github.io/Logging_0380/artfynd/S 508-2025 artfynd.xlsx", "S 508-2025")</f>
        <v/>
      </c>
      <c r="X65">
        <f>HYPERLINK("https://klasma.github.io/Logging_0380/kartor/S 508-2025 karta.png", "S 508-2025")</f>
        <v/>
      </c>
      <c r="Y65">
        <f>HYPERLINK("https://klasma.github.io/Logging_0380/kartor_geotiff/S 508-2025 georefererad karta.tif", "S 508-2025")</f>
        <v/>
      </c>
      <c r="Z65">
        <f>HYPERLINK("https://klasma.github.io/Logging_0380/knärot/S 508-2025 karta knärot.png", "S 508-2025")</f>
        <v/>
      </c>
      <c r="AA65">
        <f>HYPERLINK("https://klasma.github.io/Logging_0380/klagomål/S 508-2025 FSC-klagomål.docx", "S 508-2025")</f>
        <v/>
      </c>
      <c r="AB65">
        <f>HYPERLINK("https://klasma.github.io/Logging_0380/klagomålsmail/S 508-2025 FSC-klagomål mail.docx", "S 508-2025")</f>
        <v/>
      </c>
      <c r="AC65">
        <f>HYPERLINK("https://klasma.github.io/Logging_0380/tillsyn/S 508-2025 tillsynsbegäran.docx", "S 508-2025")</f>
        <v/>
      </c>
      <c r="AD65">
        <f>HYPERLINK("https://klasma.github.io/Logging_0380/tillsynsmail/S 508-2025 tillsynsbegäran mail.docx", "S 508-2025")</f>
        <v/>
      </c>
    </row>
    <row r="66" ht="15" customHeight="1">
      <c r="A66" t="inlineStr">
        <is>
          <t>A 62998-2025</t>
        </is>
      </c>
      <c r="B66" t="inlineStr">
        <is>
          <t>avverkningsanmälan</t>
        </is>
      </c>
      <c r="C66" t="inlineStr">
        <is>
          <t>Föryngringsavverkning</t>
        </is>
      </c>
      <c r="D66" s="1" t="n">
        <v>46009</v>
      </c>
      <c r="E66" s="1" t="n">
        <v>46309</v>
      </c>
      <c r="F66" t="inlineStr">
        <is>
          <t>UPPSALA LÄN</t>
        </is>
      </c>
      <c r="G66" t="inlineStr">
        <is>
          <t>UPPSALA</t>
        </is>
      </c>
      <c r="I66" t="n">
        <v>10.8</v>
      </c>
      <c r="J66" t="n">
        <v>5</v>
      </c>
      <c r="K66" t="n">
        <v>10</v>
      </c>
      <c r="L66" t="n">
        <v>3</v>
      </c>
      <c r="M66" t="n">
        <v>1</v>
      </c>
      <c r="N66" t="n">
        <v>0</v>
      </c>
      <c r="O66" t="n">
        <v>0</v>
      </c>
      <c r="P66" t="n">
        <v>0</v>
      </c>
      <c r="Q66" t="n">
        <v>4</v>
      </c>
      <c r="R66" t="n">
        <v>1</v>
      </c>
      <c r="S66" t="n">
        <v>17</v>
      </c>
      <c r="T66" t="n">
        <v>31</v>
      </c>
      <c r="U66" t="n">
        <v>14</v>
      </c>
      <c r="V66" s="2" t="inlineStr">
        <is>
          <t>Knärot
Fjällig taggsvamp s.str.
Rynkskinn
Vedtrappmossa
Bronshjon
Flagellkvastmossa
Granbräken
Grön sköldmossa
Grönpyrola
Gullgröppa
Rödgul trumpetsvamp
Skinnlav
Stubbspretmossa
Svavelriska
Blåsippa
Spillkråka
Fläcknycklar</t>
        </is>
      </c>
      <c r="W66">
        <f>HYPERLINK("https://klasma.github.io/Logging_0380/artfynd/A 62998-2025 artfynd.xlsx", "A 62998-2025")</f>
        <v/>
      </c>
      <c r="X66">
        <f>HYPERLINK("https://klasma.github.io/Logging_0380/kartor/A 62998-2025 karta.png", "A 62998-2025")</f>
        <v/>
      </c>
      <c r="Y66">
        <f>HYPERLINK("https://klasma.github.io/Logging_0380/kartor_geotiff/A 62998-2025 georefererad karta.tif", "A 62998-2025")</f>
        <v/>
      </c>
      <c r="Z66">
        <f>HYPERLINK("https://klasma.github.io/Logging_0380/knärot/A 62998-2025 karta knärot.png", "A 62998-2025")</f>
        <v/>
      </c>
      <c r="AA66">
        <f>HYPERLINK("https://klasma.github.io/Logging_0380/klagomål/A 62998-2025 FSC-klagomål.docx", "A 62998-2025")</f>
        <v/>
      </c>
      <c r="AB66">
        <f>HYPERLINK("https://klasma.github.io/Logging_0380/klagomålsmail/A 62998-2025 FSC-klagomål mail.docx", "A 62998-2025")</f>
        <v/>
      </c>
      <c r="AC66">
        <f>HYPERLINK("https://klasma.github.io/Logging_0380/tillsyn/A 62998-2025 tillsynsbegäran.docx", "A 62998-2025")</f>
        <v/>
      </c>
      <c r="AD66">
        <f>HYPERLINK("https://klasma.github.io/Logging_0380/tillsynsmail/A 62998-2025 tillsynsbegäran mail.docx", "A 62998-2025")</f>
        <v/>
      </c>
      <c r="AE66">
        <f>HYPERLINK("https://klasma.github.io/Logging_0380/fåglar/A 62998-2025 prioriterade fågelarter.docx", "A 62998-2025")</f>
        <v/>
      </c>
    </row>
    <row r="67" ht="15" customHeight="1">
      <c r="A67" t="inlineStr">
        <is>
          <t>A 25609-2025</t>
        </is>
      </c>
      <c r="B67" t="inlineStr">
        <is>
          <t>avverkningsanmälan</t>
        </is>
      </c>
      <c r="C67" t="inlineStr">
        <is>
          <t>Föryngringsavverkning</t>
        </is>
      </c>
      <c r="D67" s="1" t="n">
        <v>45803</v>
      </c>
      <c r="E67" s="1" t="n">
        <v>46309</v>
      </c>
      <c r="F67" t="inlineStr">
        <is>
          <t>UPPSALA LÄN</t>
        </is>
      </c>
      <c r="G67" t="inlineStr">
        <is>
          <t>UPPSALA</t>
        </is>
      </c>
      <c r="H67" t="inlineStr">
        <is>
          <t>Holmen skog AB</t>
        </is>
      </c>
      <c r="I67" t="n">
        <v>4.5</v>
      </c>
      <c r="J67" t="n">
        <v>6</v>
      </c>
      <c r="K67" t="n">
        <v>9</v>
      </c>
      <c r="L67" t="n">
        <v>2</v>
      </c>
      <c r="M67" t="n">
        <v>2</v>
      </c>
      <c r="N67" t="n">
        <v>0</v>
      </c>
      <c r="O67" t="n">
        <v>0</v>
      </c>
      <c r="P67" t="n">
        <v>0</v>
      </c>
      <c r="Q67" t="n">
        <v>4</v>
      </c>
      <c r="R67" t="n">
        <v>2</v>
      </c>
      <c r="S67" t="n">
        <v>17</v>
      </c>
      <c r="T67" t="n">
        <v>117</v>
      </c>
      <c r="U67" t="n">
        <v>111</v>
      </c>
      <c r="V67" s="2" t="inlineStr">
        <is>
          <t>Knärot
Laxporing
Talltita
Vedtrappmossa
Blodticka
Blomkålssvamp
Brandticka
Bronshjon
Grönpyrola
Jättesvampmal
Mindre märgborre
Thomsons trägnagare
Vågbandad barkbock
Blåsippa
Spillkråka
Fläcknycklar
Revlummer</t>
        </is>
      </c>
      <c r="W67">
        <f>HYPERLINK("https://klasma.github.io/Logging_0380/artfynd/A 25609-2025 artfynd.xlsx", "A 25609-2025")</f>
        <v/>
      </c>
      <c r="X67">
        <f>HYPERLINK("https://klasma.github.io/Logging_0380/kartor/A 25609-2025 karta.png", "A 25609-2025")</f>
        <v/>
      </c>
      <c r="Y67">
        <f>HYPERLINK("https://klasma.github.io/Logging_0380/kartor_geotiff/A 25609-2025 georefererad karta.tif", "A 25609-2025")</f>
        <v/>
      </c>
      <c r="Z67">
        <f>HYPERLINK("https://klasma.github.io/Logging_0380/knärot/A 25609-2025 karta knärot.png", "A 25609-2025")</f>
        <v/>
      </c>
      <c r="AA67">
        <f>HYPERLINK("https://klasma.github.io/Logging_0380/klagomål/A 25609-2025 FSC-klagomål.docx", "A 25609-2025")</f>
        <v/>
      </c>
      <c r="AB67">
        <f>HYPERLINK("https://klasma.github.io/Logging_0380/klagomålsmail/A 25609-2025 FSC-klagomål mail.docx", "A 25609-2025")</f>
        <v/>
      </c>
      <c r="AC67">
        <f>HYPERLINK("https://klasma.github.io/Logging_0380/tillsyn/A 25609-2025 tillsynsbegäran.docx", "A 25609-2025")</f>
        <v/>
      </c>
      <c r="AD67">
        <f>HYPERLINK("https://klasma.github.io/Logging_0380/tillsynsmail/A 25609-2025 tillsynsbegäran mail.docx", "A 25609-2025")</f>
        <v/>
      </c>
      <c r="AE67">
        <f>HYPERLINK("https://klasma.github.io/Logging_0380/fåglar/A 25609-2025 prioriterade fågelarter.docx", "A 25609-2025")</f>
        <v/>
      </c>
    </row>
    <row r="68" ht="15" customHeight="1">
      <c r="A68" t="inlineStr">
        <is>
          <t>A 22547-2026</t>
        </is>
      </c>
      <c r="B68" t="inlineStr">
        <is>
          <t>avverkningsanmälan</t>
        </is>
      </c>
      <c r="C68" t="inlineStr">
        <is>
          <t>Föryngringsavverkning</t>
        </is>
      </c>
      <c r="D68" s="1" t="n">
        <v>46155</v>
      </c>
      <c r="E68" s="1" t="n">
        <v>46309</v>
      </c>
      <c r="F68" t="inlineStr">
        <is>
          <t>UPPSALA LÄN</t>
        </is>
      </c>
      <c r="G68" t="inlineStr">
        <is>
          <t>UPPSALA</t>
        </is>
      </c>
      <c r="H68" t="inlineStr">
        <is>
          <t>Allmännings- och besparingsskogar</t>
        </is>
      </c>
      <c r="I68" t="n">
        <v>12.7</v>
      </c>
      <c r="J68" t="n">
        <v>2</v>
      </c>
      <c r="K68" t="n">
        <v>7</v>
      </c>
      <c r="L68" t="n">
        <v>9</v>
      </c>
      <c r="M68" t="n">
        <v>0</v>
      </c>
      <c r="N68" t="n">
        <v>0</v>
      </c>
      <c r="O68" t="n">
        <v>0</v>
      </c>
      <c r="P68" t="n">
        <v>0</v>
      </c>
      <c r="Q68" t="n">
        <v>9</v>
      </c>
      <c r="R68" t="n">
        <v>0</v>
      </c>
      <c r="S68" t="n">
        <v>17</v>
      </c>
      <c r="T68" t="n">
        <v>45</v>
      </c>
      <c r="U68" t="n">
        <v>40</v>
      </c>
      <c r="V68" s="2" t="inlineStr">
        <is>
          <t>Brunpudrad nållav
Grönhjon
Rynkskinn
Större flatbagge
Tallticka
Talltita
Ullticka
Vedskivlav
Vedtrappmossa
Björksplintborre
Bronshjon
Granbarkgnagare
Gulnål
Jättesvampmal
Vedticka
Vågbandad barkbock
Spillkråka</t>
        </is>
      </c>
      <c r="W68">
        <f>HYPERLINK("https://klasma.github.io/Logging_0380/artfynd/A 22547-2026 artfynd.xlsx", "A 22547-2026")</f>
        <v/>
      </c>
      <c r="X68">
        <f>HYPERLINK("https://klasma.github.io/Logging_0380/kartor/A 22547-2026 karta.png", "A 22547-2026")</f>
        <v/>
      </c>
      <c r="Y68">
        <f>HYPERLINK("https://klasma.github.io/Logging_0380/kartor_geotiff/A 22547-2026 georefererad karta.tif", "A 22547-2026")</f>
        <v/>
      </c>
      <c r="AA68">
        <f>HYPERLINK("https://klasma.github.io/Logging_0380/klagomål/A 22547-2026 FSC-klagomål.docx", "A 22547-2026")</f>
        <v/>
      </c>
      <c r="AB68">
        <f>HYPERLINK("https://klasma.github.io/Logging_0380/klagomålsmail/A 22547-2026 FSC-klagomål mail.docx", "A 22547-2026")</f>
        <v/>
      </c>
      <c r="AC68">
        <f>HYPERLINK("https://klasma.github.io/Logging_0380/tillsyn/A 22547-2026 tillsynsbegäran.docx", "A 22547-2026")</f>
        <v/>
      </c>
      <c r="AD68">
        <f>HYPERLINK("https://klasma.github.io/Logging_0380/tillsynsmail/A 22547-2026 tillsynsbegäran mail.docx", "A 22547-2026")</f>
        <v/>
      </c>
      <c r="AE68">
        <f>HYPERLINK("https://klasma.github.io/Logging_0380/fåglar/A 22547-2026 prioriterade fågelarter.docx", "A 22547-2026")</f>
        <v/>
      </c>
    </row>
    <row r="69" ht="15" customHeight="1">
      <c r="A69" t="inlineStr">
        <is>
          <t>A 49894-2023</t>
        </is>
      </c>
      <c r="B69" t="inlineStr">
        <is>
          <t>avverkningsanmälan</t>
        </is>
      </c>
      <c r="C69" t="inlineStr">
        <is>
          <t>Föryngringsavverkning</t>
        </is>
      </c>
      <c r="D69" s="1" t="n">
        <v>45213</v>
      </c>
      <c r="E69" s="1" t="n">
        <v>46309</v>
      </c>
      <c r="F69" t="inlineStr">
        <is>
          <t>UPPSALA LÄN</t>
        </is>
      </c>
      <c r="G69" t="inlineStr">
        <is>
          <t>KNIVSTA</t>
        </is>
      </c>
      <c r="I69" t="n">
        <v>17.8</v>
      </c>
      <c r="J69" t="n">
        <v>12</v>
      </c>
      <c r="K69" t="n">
        <v>4</v>
      </c>
      <c r="L69" t="n">
        <v>5</v>
      </c>
      <c r="M69" t="n">
        <v>1</v>
      </c>
      <c r="N69" t="n">
        <v>0</v>
      </c>
      <c r="O69" t="n">
        <v>0</v>
      </c>
      <c r="P69" t="n">
        <v>0</v>
      </c>
      <c r="Q69" t="n">
        <v>6</v>
      </c>
      <c r="R69" t="n">
        <v>1</v>
      </c>
      <c r="S69" t="n">
        <v>17</v>
      </c>
      <c r="T69" t="n">
        <v>51</v>
      </c>
      <c r="U69" t="n">
        <v>51</v>
      </c>
      <c r="V69" s="2" t="inlineStr">
        <is>
          <t>Grönfink
Grönsångare
Gulsparv
Järnsparv
Rödvingetrast
Ullticka
Granbarkgnagare
Grön sköldmossa
Mindre märgborre
Vedticka
Blåsippa
Kransmossa
Spillkråka
Grönsiska
Havsörn
Kråka
Kungsfågel</t>
        </is>
      </c>
      <c r="W69">
        <f>HYPERLINK("https://klasma.github.io/Logging_0330/artfynd/A 49894-2023 artfynd.xlsx", "A 49894-2023")</f>
        <v/>
      </c>
      <c r="X69">
        <f>HYPERLINK("https://klasma.github.io/Logging_0330/kartor/A 49894-2023 karta.png", "A 49894-2023")</f>
        <v/>
      </c>
      <c r="Y69">
        <f>HYPERLINK("https://klasma.github.io/Logging_0330/kartor_geotiff/A 49894-2023 georefererad karta.tif", "A 49894-2023")</f>
        <v/>
      </c>
      <c r="Z69">
        <f>HYPERLINK("https://klasma.github.io/Logging_0330/knärot/A 49894-2023 karta knärot.png", "A 49894-2023")</f>
        <v/>
      </c>
      <c r="AA69">
        <f>HYPERLINK("https://klasma.github.io/Logging_0330/klagomål/A 49894-2023 FSC-klagomål.docx", "A 49894-2023")</f>
        <v/>
      </c>
      <c r="AB69">
        <f>HYPERLINK("https://klasma.github.io/Logging_0330/klagomålsmail/A 49894-2023 FSC-klagomål mail.docx", "A 49894-2023")</f>
        <v/>
      </c>
      <c r="AC69">
        <f>HYPERLINK("https://klasma.github.io/Logging_0330/tillsyn/A 49894-2023 tillsynsbegäran.docx", "A 49894-2023")</f>
        <v/>
      </c>
      <c r="AD69">
        <f>HYPERLINK("https://klasma.github.io/Logging_0330/tillsynsmail/A 49894-2023 tillsynsbegäran mail.docx", "A 49894-2023")</f>
        <v/>
      </c>
      <c r="AE69">
        <f>HYPERLINK("https://klasma.github.io/Logging_0330/fåglar/A 49894-2023 prioriterade fågelarter.docx", "A 49894-2023")</f>
        <v/>
      </c>
    </row>
    <row r="70" ht="15" customHeight="1">
      <c r="A70" t="inlineStr">
        <is>
          <t>A 9409-2025</t>
        </is>
      </c>
      <c r="B70" t="inlineStr">
        <is>
          <t>avverkningsanmälan</t>
        </is>
      </c>
      <c r="C70" t="inlineStr">
        <is>
          <t>Föryngringsavverkning</t>
        </is>
      </c>
      <c r="D70" s="1" t="n">
        <v>45715</v>
      </c>
      <c r="E70" s="1" t="n">
        <v>46309</v>
      </c>
      <c r="F70" t="inlineStr">
        <is>
          <t>UPPSALA LÄN</t>
        </is>
      </c>
      <c r="G70" t="inlineStr">
        <is>
          <t>UPPSALA</t>
        </is>
      </c>
      <c r="H70" t="inlineStr">
        <is>
          <t>Kyrkan</t>
        </is>
      </c>
      <c r="I70" t="n">
        <v>13</v>
      </c>
      <c r="J70" t="n">
        <v>6</v>
      </c>
      <c r="K70" t="n">
        <v>4</v>
      </c>
      <c r="L70" t="n">
        <v>7</v>
      </c>
      <c r="M70" t="n">
        <v>2</v>
      </c>
      <c r="N70" t="n">
        <v>0</v>
      </c>
      <c r="O70" t="n">
        <v>0</v>
      </c>
      <c r="P70" t="n">
        <v>0</v>
      </c>
      <c r="Q70" t="n">
        <v>9</v>
      </c>
      <c r="R70" t="n">
        <v>2</v>
      </c>
      <c r="S70" t="n">
        <v>17</v>
      </c>
      <c r="T70" t="n">
        <v>66</v>
      </c>
      <c r="U70" t="n">
        <v>66</v>
      </c>
      <c r="V70" s="2" t="inlineStr">
        <is>
          <t>Garnlav
Knärot
Dvärgbägarlav
Kattfotslav
Kolflarnlav
Talltita
Ullticka
Vedskivlav
Vedtrappmossa
Flagellkvastmossa
Grovticka
Grönpyrola
Rostfläck
Järpe
Spillkråka
Tjäder
Kungsfågel</t>
        </is>
      </c>
      <c r="W70">
        <f>HYPERLINK("https://klasma.github.io/Logging_0380/artfynd/A 9409-2025 artfynd.xlsx", "A 9409-2025")</f>
        <v/>
      </c>
      <c r="X70">
        <f>HYPERLINK("https://klasma.github.io/Logging_0380/kartor/A 9409-2025 karta.png", "A 9409-2025")</f>
        <v/>
      </c>
      <c r="Y70">
        <f>HYPERLINK("https://klasma.github.io/Logging_0380/kartor_geotiff/A 9409-2025 georefererad karta.tif", "A 9409-2025")</f>
        <v/>
      </c>
      <c r="Z70">
        <f>HYPERLINK("https://klasma.github.io/Logging_0380/knärot/A 9409-2025 karta knärot.png", "A 9409-2025")</f>
        <v/>
      </c>
      <c r="AA70">
        <f>HYPERLINK("https://klasma.github.io/Logging_0380/klagomål/A 9409-2025 FSC-klagomål.docx", "A 9409-2025")</f>
        <v/>
      </c>
      <c r="AB70">
        <f>HYPERLINK("https://klasma.github.io/Logging_0380/klagomålsmail/A 9409-2025 FSC-klagomål mail.docx", "A 9409-2025")</f>
        <v/>
      </c>
      <c r="AC70">
        <f>HYPERLINK("https://klasma.github.io/Logging_0380/tillsyn/A 9409-2025 tillsynsbegäran.docx", "A 9409-2025")</f>
        <v/>
      </c>
      <c r="AD70">
        <f>HYPERLINK("https://klasma.github.io/Logging_0380/tillsynsmail/A 9409-2025 tillsynsbegäran mail.docx", "A 9409-2025")</f>
        <v/>
      </c>
      <c r="AE70">
        <f>HYPERLINK("https://klasma.github.io/Logging_0380/fåglar/A 9409-2025 prioriterade fågelarter.docx", "A 9409-2025")</f>
        <v/>
      </c>
    </row>
    <row r="71" ht="15" customHeight="1">
      <c r="A71" t="inlineStr">
        <is>
          <t>A 11833-2025</t>
        </is>
      </c>
      <c r="B71" t="inlineStr">
        <is>
          <t>avverkningsanmälan</t>
        </is>
      </c>
      <c r="C71" t="inlineStr">
        <is>
          <t>Föryngringsavverkning</t>
        </is>
      </c>
      <c r="D71" s="1" t="n">
        <v>45728</v>
      </c>
      <c r="E71" s="1" t="n">
        <v>46309</v>
      </c>
      <c r="F71" t="inlineStr">
        <is>
          <t>UPPSALA LÄN</t>
        </is>
      </c>
      <c r="G71" t="inlineStr">
        <is>
          <t>UPPSALA</t>
        </is>
      </c>
      <c r="H71" t="inlineStr">
        <is>
          <t>Kyrkan</t>
        </is>
      </c>
      <c r="I71" t="n">
        <v>13</v>
      </c>
      <c r="J71" t="n">
        <v>6</v>
      </c>
      <c r="K71" t="n">
        <v>4</v>
      </c>
      <c r="L71" t="n">
        <v>7</v>
      </c>
      <c r="M71" t="n">
        <v>2</v>
      </c>
      <c r="N71" t="n">
        <v>0</v>
      </c>
      <c r="O71" t="n">
        <v>0</v>
      </c>
      <c r="P71" t="n">
        <v>0</v>
      </c>
      <c r="Q71" t="n">
        <v>9</v>
      </c>
      <c r="R71" t="n">
        <v>2</v>
      </c>
      <c r="S71" t="n">
        <v>17</v>
      </c>
      <c r="T71" t="n">
        <v>66</v>
      </c>
      <c r="U71" t="n">
        <v>66</v>
      </c>
      <c r="V71" s="2" t="inlineStr">
        <is>
          <t>Garnlav
Knärot
Dvärgbägarlav
Kattfotslav
Kolflarnlav
Talltita
Ullticka
Vedskivlav
Vedtrappmossa
Flagellkvastmossa
Grovticka
Grönpyrola
Rostfläck
Järpe
Spillkråka
Tjäder
Kungsfågel</t>
        </is>
      </c>
      <c r="W71">
        <f>HYPERLINK("https://klasma.github.io/Logging_0380/artfynd/A 11833-2025 artfynd.xlsx", "A 11833-2025")</f>
        <v/>
      </c>
      <c r="X71">
        <f>HYPERLINK("https://klasma.github.io/Logging_0380/kartor/A 11833-2025 karta.png", "A 11833-2025")</f>
        <v/>
      </c>
      <c r="Y71">
        <f>HYPERLINK("https://klasma.github.io/Logging_0380/kartor_geotiff/A 11833-2025 georefererad karta.tif", "A 11833-2025")</f>
        <v/>
      </c>
      <c r="Z71">
        <f>HYPERLINK("https://klasma.github.io/Logging_0380/knärot/A 11833-2025 karta knärot.png", "A 11833-2025")</f>
        <v/>
      </c>
      <c r="AA71">
        <f>HYPERLINK("https://klasma.github.io/Logging_0380/klagomål/A 11833-2025 FSC-klagomål.docx", "A 11833-2025")</f>
        <v/>
      </c>
      <c r="AB71">
        <f>HYPERLINK("https://klasma.github.io/Logging_0380/klagomålsmail/A 11833-2025 FSC-klagomål mail.docx", "A 11833-2025")</f>
        <v/>
      </c>
      <c r="AC71">
        <f>HYPERLINK("https://klasma.github.io/Logging_0380/tillsyn/A 11833-2025 tillsynsbegäran.docx", "A 11833-2025")</f>
        <v/>
      </c>
      <c r="AD71">
        <f>HYPERLINK("https://klasma.github.io/Logging_0380/tillsynsmail/A 11833-2025 tillsynsbegäran mail.docx", "A 11833-2025")</f>
        <v/>
      </c>
      <c r="AE71">
        <f>HYPERLINK("https://klasma.github.io/Logging_0380/fåglar/A 11833-2025 prioriterade fågelarter.docx", "A 11833-2025")</f>
        <v/>
      </c>
    </row>
    <row r="72" ht="15" customHeight="1">
      <c r="A72" t="inlineStr">
        <is>
          <t>A 4451-2026</t>
        </is>
      </c>
      <c r="B72" t="inlineStr">
        <is>
          <t>avverkningsanmälan</t>
        </is>
      </c>
      <c r="C72" t="inlineStr">
        <is>
          <t>Föryngringsavverkning</t>
        </is>
      </c>
      <c r="D72" s="1" t="n">
        <v>46045</v>
      </c>
      <c r="E72" s="1" t="n">
        <v>46309</v>
      </c>
      <c r="F72" t="inlineStr">
        <is>
          <t>UPPSALA LÄN</t>
        </is>
      </c>
      <c r="G72" t="inlineStr">
        <is>
          <t>UPPSALA</t>
        </is>
      </c>
      <c r="H72" t="inlineStr">
        <is>
          <t>Allmännings- och besparingsskogar</t>
        </is>
      </c>
      <c r="I72" t="n">
        <v>8.300000000000001</v>
      </c>
      <c r="J72" t="n">
        <v>3</v>
      </c>
      <c r="K72" t="n">
        <v>8</v>
      </c>
      <c r="L72" t="n">
        <v>6</v>
      </c>
      <c r="M72" t="n">
        <v>1</v>
      </c>
      <c r="N72" t="n">
        <v>0</v>
      </c>
      <c r="O72" t="n">
        <v>0</v>
      </c>
      <c r="P72" t="n">
        <v>0</v>
      </c>
      <c r="Q72" t="n">
        <v>7</v>
      </c>
      <c r="R72" t="n">
        <v>1</v>
      </c>
      <c r="S72" t="n">
        <v>17</v>
      </c>
      <c r="T72" t="n">
        <v>41</v>
      </c>
      <c r="U72" t="n">
        <v>30</v>
      </c>
      <c r="V72" s="2" t="inlineStr">
        <is>
          <t>Ostticka
Grönhjon
Rynkskinn
Större flatbagge
Tallticka
Talltita
Ullticka
Barkticka
Brandticka
Bronshjon
Granbarkgnagare
Gullgröppa
Jättesvampmal
Trådticka
Vågbandad barkbock
Blåsippa
Spillkråka</t>
        </is>
      </c>
      <c r="W72">
        <f>HYPERLINK("https://klasma.github.io/Logging_0380/artfynd/A 4451-2026 artfynd.xlsx", "A 4451-2026")</f>
        <v/>
      </c>
      <c r="X72">
        <f>HYPERLINK("https://klasma.github.io/Logging_0380/kartor/A 4451-2026 karta.png", "A 4451-2026")</f>
        <v/>
      </c>
      <c r="Y72">
        <f>HYPERLINK("https://klasma.github.io/Logging_0380/kartor_geotiff/A 4451-2026 georefererad karta.tif", "A 4451-2026")</f>
        <v/>
      </c>
      <c r="AA72">
        <f>HYPERLINK("https://klasma.github.io/Logging_0380/klagomål/A 4451-2026 FSC-klagomål.docx", "A 4451-2026")</f>
        <v/>
      </c>
      <c r="AB72">
        <f>HYPERLINK("https://klasma.github.io/Logging_0380/klagomålsmail/A 4451-2026 FSC-klagomål mail.docx", "A 4451-2026")</f>
        <v/>
      </c>
      <c r="AC72">
        <f>HYPERLINK("https://klasma.github.io/Logging_0380/tillsyn/A 4451-2026 tillsynsbegäran.docx", "A 4451-2026")</f>
        <v/>
      </c>
      <c r="AD72">
        <f>HYPERLINK("https://klasma.github.io/Logging_0380/tillsynsmail/A 4451-2026 tillsynsbegäran mail.docx", "A 4451-2026")</f>
        <v/>
      </c>
      <c r="AE72">
        <f>HYPERLINK("https://klasma.github.io/Logging_0380/fåglar/A 4451-2026 prioriterade fågelarter.docx", "A 4451-2026")</f>
        <v/>
      </c>
    </row>
    <row r="73" ht="15" customHeight="1">
      <c r="A73" t="inlineStr">
        <is>
          <t>A 50248-2025</t>
        </is>
      </c>
      <c r="B73" t="inlineStr">
        <is>
          <t>avverkningsanmälan</t>
        </is>
      </c>
      <c r="C73" t="inlineStr">
        <is>
          <t>Föryngringsavverkning</t>
        </is>
      </c>
      <c r="D73" s="1" t="n">
        <v>45944</v>
      </c>
      <c r="E73" s="1" t="n">
        <v>46309</v>
      </c>
      <c r="F73" t="inlineStr">
        <is>
          <t>UPPSALA LÄN</t>
        </is>
      </c>
      <c r="G73" t="inlineStr">
        <is>
          <t>HEBY</t>
        </is>
      </c>
      <c r="I73" t="n">
        <v>6</v>
      </c>
      <c r="J73" t="n">
        <v>11</v>
      </c>
      <c r="K73" t="n">
        <v>5</v>
      </c>
      <c r="L73" t="n">
        <v>4</v>
      </c>
      <c r="M73" t="n">
        <v>1</v>
      </c>
      <c r="N73" t="n">
        <v>0</v>
      </c>
      <c r="O73" t="n">
        <v>0</v>
      </c>
      <c r="P73" t="n">
        <v>0</v>
      </c>
      <c r="Q73" t="n">
        <v>5</v>
      </c>
      <c r="R73" t="n">
        <v>1</v>
      </c>
      <c r="S73" t="n">
        <v>17</v>
      </c>
      <c r="T73" t="n">
        <v>29</v>
      </c>
      <c r="U73" t="n">
        <v>1</v>
      </c>
      <c r="V73" s="2" t="inlineStr">
        <is>
          <t>Knärot
Grönhjon
Järnsparv
Talltita
Tretåig hackspett
Björksplintborre
Brandticka
Bronshjon
Thomsons trägnagare
Vanlig flatbagge
Järpe
Spillkråka
Tjäder
Grönsiska
Havsörn
Kungsfågel
Sångsvan</t>
        </is>
      </c>
      <c r="W73">
        <f>HYPERLINK("https://klasma.github.io/Logging_0331/artfynd/A 50248-2025 artfynd.xlsx", "A 50248-2025")</f>
        <v/>
      </c>
      <c r="X73">
        <f>HYPERLINK("https://klasma.github.io/Logging_0331/kartor/A 50248-2025 karta.png", "A 50248-2025")</f>
        <v/>
      </c>
      <c r="Y73">
        <f>HYPERLINK("https://klasma.github.io/Logging_0331/kartor_geotiff/A 50248-2025 georefererad karta.tif", "A 50248-2025")</f>
        <v/>
      </c>
      <c r="Z73">
        <f>HYPERLINK("https://klasma.github.io/Logging_0331/knärot/A 50248-2025 karta knärot.png", "A 50248-2025")</f>
        <v/>
      </c>
      <c r="AA73">
        <f>HYPERLINK("https://klasma.github.io/Logging_0331/klagomål/A 50248-2025 FSC-klagomål.docx", "A 50248-2025")</f>
        <v/>
      </c>
      <c r="AB73">
        <f>HYPERLINK("https://klasma.github.io/Logging_0331/klagomålsmail/A 50248-2025 FSC-klagomål mail.docx", "A 50248-2025")</f>
        <v/>
      </c>
      <c r="AC73">
        <f>HYPERLINK("https://klasma.github.io/Logging_0331/tillsyn/A 50248-2025 tillsynsbegäran.docx", "A 50248-2025")</f>
        <v/>
      </c>
      <c r="AD73">
        <f>HYPERLINK("https://klasma.github.io/Logging_0331/tillsynsmail/A 50248-2025 tillsynsbegäran mail.docx", "A 50248-2025")</f>
        <v/>
      </c>
      <c r="AE73">
        <f>HYPERLINK("https://klasma.github.io/Logging_0331/fåglar/A 50248-2025 prioriterade fågelarter.docx", "A 50248-2025")</f>
        <v/>
      </c>
    </row>
    <row r="74" ht="15" customHeight="1">
      <c r="A74" t="inlineStr">
        <is>
          <t>A 21810-2026</t>
        </is>
      </c>
      <c r="B74" t="inlineStr">
        <is>
          <t>avverkningsanmälan</t>
        </is>
      </c>
      <c r="C74" t="inlineStr">
        <is>
          <t>Föryngringsavverkning</t>
        </is>
      </c>
      <c r="D74" s="1" t="n">
        <v>46150</v>
      </c>
      <c r="E74" s="1" t="n">
        <v>46309</v>
      </c>
      <c r="F74" t="inlineStr">
        <is>
          <t>UPPSALA LÄN</t>
        </is>
      </c>
      <c r="G74" t="inlineStr">
        <is>
          <t>ENKÖPING</t>
        </is>
      </c>
      <c r="I74" t="n">
        <v>13.3</v>
      </c>
      <c r="J74" t="n">
        <v>5</v>
      </c>
      <c r="K74" t="n">
        <v>8</v>
      </c>
      <c r="L74" t="n">
        <v>4</v>
      </c>
      <c r="M74" t="n">
        <v>1</v>
      </c>
      <c r="N74" t="n">
        <v>0</v>
      </c>
      <c r="O74" t="n">
        <v>0</v>
      </c>
      <c r="P74" t="n">
        <v>0</v>
      </c>
      <c r="Q74" t="n">
        <v>5</v>
      </c>
      <c r="R74" t="n">
        <v>1</v>
      </c>
      <c r="S74" t="n">
        <v>17</v>
      </c>
      <c r="T74" t="n">
        <v>33</v>
      </c>
      <c r="U74" t="n">
        <v>31</v>
      </c>
      <c r="V74" s="2" t="inlineStr">
        <is>
          <t>Knärot
Motaggsvamp
Rynkskinn
Talltita
Ullticka
Björksplintborre
Blodticka
Bronshjon
Grönpyrola
Källpraktmossa
Trådticka
Vedticka
Vågbandad barkbock
Mattlummer
Missne
Spillkråka
Kungsfågel</t>
        </is>
      </c>
      <c r="W74">
        <f>HYPERLINK("https://klasma.github.io/Logging_0381/artfynd/A 21810-2026 artfynd.xlsx", "A 21810-2026")</f>
        <v/>
      </c>
      <c r="X74">
        <f>HYPERLINK("https://klasma.github.io/Logging_0381/kartor/A 21810-2026 karta.png", "A 21810-2026")</f>
        <v/>
      </c>
      <c r="Y74">
        <f>HYPERLINK("https://klasma.github.io/Logging_0381/kartor_geotiff/A 21810-2026 georefererad karta.tif", "A 21810-2026")</f>
        <v/>
      </c>
      <c r="Z74">
        <f>HYPERLINK("https://klasma.github.io/Logging_0381/knärot/A 21810-2026 karta knärot.png", "A 21810-2026")</f>
        <v/>
      </c>
      <c r="AA74">
        <f>HYPERLINK("https://klasma.github.io/Logging_0381/klagomål/A 21810-2026 FSC-klagomål.docx", "A 21810-2026")</f>
        <v/>
      </c>
      <c r="AB74">
        <f>HYPERLINK("https://klasma.github.io/Logging_0381/klagomålsmail/A 21810-2026 FSC-klagomål mail.docx", "A 21810-2026")</f>
        <v/>
      </c>
      <c r="AC74">
        <f>HYPERLINK("https://klasma.github.io/Logging_0381/tillsyn/A 21810-2026 tillsynsbegäran.docx", "A 21810-2026")</f>
        <v/>
      </c>
      <c r="AD74">
        <f>HYPERLINK("https://klasma.github.io/Logging_0381/tillsynsmail/A 21810-2026 tillsynsbegäran mail.docx", "A 21810-2026")</f>
        <v/>
      </c>
      <c r="AE74">
        <f>HYPERLINK("https://klasma.github.io/Logging_0381/fåglar/A 21810-2026 prioriterade fågelarter.docx", "A 21810-2026")</f>
        <v/>
      </c>
    </row>
    <row r="75" ht="15" customHeight="1">
      <c r="A75" t="inlineStr">
        <is>
          <t>A 12240-2025</t>
        </is>
      </c>
      <c r="B75" t="inlineStr">
        <is>
          <t>avverkningsanmälan</t>
        </is>
      </c>
      <c r="C75" t="inlineStr">
        <is>
          <t>Föryngringsavverkning</t>
        </is>
      </c>
      <c r="D75" s="1" t="n">
        <v>45729</v>
      </c>
      <c r="E75" s="1" t="n">
        <v>46309</v>
      </c>
      <c r="F75" t="inlineStr">
        <is>
          <t>UPPSALA LÄN</t>
        </is>
      </c>
      <c r="G75" t="inlineStr">
        <is>
          <t>HEBY</t>
        </is>
      </c>
      <c r="I75" t="n">
        <v>5.5</v>
      </c>
      <c r="J75" t="n">
        <v>1</v>
      </c>
      <c r="K75" t="n">
        <v>8</v>
      </c>
      <c r="L75" t="n">
        <v>7</v>
      </c>
      <c r="M75" t="n">
        <v>0</v>
      </c>
      <c r="N75" t="n">
        <v>0</v>
      </c>
      <c r="O75" t="n">
        <v>0</v>
      </c>
      <c r="P75" t="n">
        <v>0</v>
      </c>
      <c r="Q75" t="n">
        <v>7</v>
      </c>
      <c r="R75" t="n">
        <v>0</v>
      </c>
      <c r="S75" t="n">
        <v>16</v>
      </c>
      <c r="T75" t="n">
        <v>17</v>
      </c>
      <c r="U75" t="n">
        <v>2</v>
      </c>
      <c r="V75" s="2" t="inlineStr">
        <is>
          <t>Fjällig taggsvamp s.str.
Grantaggsvamp
Gultoppig fingersvamp
Lunglav
Persiljespindling
Rynkskinn
Ullticka
Barkticka
Dvärgtufs
Korallblylav
Platt fjädermossa
Skinnlav
Stekelbock
Stor aspticka
Stuplav
Nattviol</t>
        </is>
      </c>
      <c r="W75">
        <f>HYPERLINK("https://klasma.github.io/Logging_0331/artfynd/A 12240-2025 artfynd.xlsx", "A 12240-2025")</f>
        <v/>
      </c>
      <c r="X75">
        <f>HYPERLINK("https://klasma.github.io/Logging_0331/kartor/A 12240-2025 karta.png", "A 12240-2025")</f>
        <v/>
      </c>
      <c r="Y75">
        <f>HYPERLINK("https://klasma.github.io/Logging_0331/kartor_geotiff/A 12240-2025 georefererad karta.tif", "A 12240-2025")</f>
        <v/>
      </c>
      <c r="AA75">
        <f>HYPERLINK("https://klasma.github.io/Logging_0331/klagomål/A 12240-2025 FSC-klagomål.docx", "A 12240-2025")</f>
        <v/>
      </c>
      <c r="AB75">
        <f>HYPERLINK("https://klasma.github.io/Logging_0331/klagomålsmail/A 12240-2025 FSC-klagomål mail.docx", "A 12240-2025")</f>
        <v/>
      </c>
      <c r="AC75">
        <f>HYPERLINK("https://klasma.github.io/Logging_0331/tillsyn/A 12240-2025 tillsynsbegäran.docx", "A 12240-2025")</f>
        <v/>
      </c>
      <c r="AD75">
        <f>HYPERLINK("https://klasma.github.io/Logging_0331/tillsynsmail/A 12240-2025 tillsynsbegäran mail.docx", "A 12240-2025")</f>
        <v/>
      </c>
    </row>
    <row r="76" ht="15" customHeight="1">
      <c r="A76" t="inlineStr">
        <is>
          <t>A 49910-2022</t>
        </is>
      </c>
      <c r="B76" t="inlineStr">
        <is>
          <t>avverkningsanmälan</t>
        </is>
      </c>
      <c r="C76" t="inlineStr">
        <is>
          <t>Föryngringsavverkning</t>
        </is>
      </c>
      <c r="D76" s="1" t="n">
        <v>44865</v>
      </c>
      <c r="E76" s="1" t="n">
        <v>46309</v>
      </c>
      <c r="F76" t="inlineStr">
        <is>
          <t>UPPSALA LÄN</t>
        </is>
      </c>
      <c r="G76" t="inlineStr">
        <is>
          <t>ÖSTHAMMAR</t>
        </is>
      </c>
      <c r="H76" t="inlineStr">
        <is>
          <t>Bergvik skog öst AB</t>
        </is>
      </c>
      <c r="I76" t="n">
        <v>5.7</v>
      </c>
      <c r="J76" t="n">
        <v>15</v>
      </c>
      <c r="K76" t="n">
        <v>2</v>
      </c>
      <c r="L76" t="n">
        <v>7</v>
      </c>
      <c r="M76" t="n">
        <v>0</v>
      </c>
      <c r="N76" t="n">
        <v>1</v>
      </c>
      <c r="O76" t="n">
        <v>0</v>
      </c>
      <c r="P76" t="n">
        <v>0</v>
      </c>
      <c r="Q76" t="n">
        <v>8</v>
      </c>
      <c r="R76" t="n">
        <v>1</v>
      </c>
      <c r="S76" t="n">
        <v>16</v>
      </c>
      <c r="T76" t="n">
        <v>21</v>
      </c>
      <c r="U76" t="n">
        <v>7</v>
      </c>
      <c r="V76" s="2" t="inlineStr">
        <is>
          <t>Havstrut
Bivråk
Drillsnäppa
Grönsångare
Ladusvala
Skrattmås
Solvända
Strandskata
Skogsknipprot
Tvåblad
Grönsiska
Svartvit flugsnappare
Sävsparv
Sångsvan
Törnskata
Gullviva</t>
        </is>
      </c>
      <c r="W76">
        <f>HYPERLINK("https://klasma.github.io/Logging_0382/artfynd/A 49910-2022 artfynd.xlsx", "A 49910-2022")</f>
        <v/>
      </c>
      <c r="X76">
        <f>HYPERLINK("https://klasma.github.io/Logging_0382/kartor/A 49910-2022 karta.png", "A 49910-2022")</f>
        <v/>
      </c>
      <c r="Y76">
        <f>HYPERLINK("https://klasma.github.io/Logging_0382/kartor_geotiff/A 49910-2022 georefererad karta.tif", "A 49910-2022")</f>
        <v/>
      </c>
      <c r="AA76">
        <f>HYPERLINK("https://klasma.github.io/Logging_0382/klagomål/A 49910-2022 FSC-klagomål.docx", "A 49910-2022")</f>
        <v/>
      </c>
      <c r="AB76">
        <f>HYPERLINK("https://klasma.github.io/Logging_0382/klagomålsmail/A 49910-2022 FSC-klagomål mail.docx", "A 49910-2022")</f>
        <v/>
      </c>
      <c r="AC76">
        <f>HYPERLINK("https://klasma.github.io/Logging_0382/tillsyn/A 49910-2022 tillsynsbegäran.docx", "A 49910-2022")</f>
        <v/>
      </c>
      <c r="AD76">
        <f>HYPERLINK("https://klasma.github.io/Logging_0382/tillsynsmail/A 49910-2022 tillsynsbegäran mail.docx", "A 49910-2022")</f>
        <v/>
      </c>
      <c r="AE76">
        <f>HYPERLINK("https://klasma.github.io/Logging_0382/fåglar/A 49910-2022 prioriterade fågelarter.docx", "A 49910-2022")</f>
        <v/>
      </c>
    </row>
    <row r="77" ht="15" customHeight="1">
      <c r="A77" t="inlineStr">
        <is>
          <t>A 29232-2023</t>
        </is>
      </c>
      <c r="B77" t="inlineStr">
        <is>
          <t>avverkningsanmälan</t>
        </is>
      </c>
      <c r="C77" t="inlineStr">
        <is>
          <t>Föryngringsavverkning</t>
        </is>
      </c>
      <c r="D77" s="1" t="n">
        <v>45105</v>
      </c>
      <c r="E77" s="1" t="n">
        <v>46309</v>
      </c>
      <c r="F77" t="inlineStr">
        <is>
          <t>UPPSALA LÄN</t>
        </is>
      </c>
      <c r="G77" t="inlineStr">
        <is>
          <t>TIERP</t>
        </is>
      </c>
      <c r="H77" t="inlineStr">
        <is>
          <t>Bergvik skog öst AB</t>
        </is>
      </c>
      <c r="I77" t="n">
        <v>6.8</v>
      </c>
      <c r="J77" t="n">
        <v>3</v>
      </c>
      <c r="K77" t="n">
        <v>4</v>
      </c>
      <c r="L77" t="n">
        <v>9</v>
      </c>
      <c r="M77" t="n">
        <v>0</v>
      </c>
      <c r="N77" t="n">
        <v>0</v>
      </c>
      <c r="O77" t="n">
        <v>0</v>
      </c>
      <c r="P77" t="n">
        <v>0</v>
      </c>
      <c r="Q77" t="n">
        <v>9</v>
      </c>
      <c r="R77" t="n">
        <v>0</v>
      </c>
      <c r="S77" t="n">
        <v>16</v>
      </c>
      <c r="T77" t="n">
        <v>44</v>
      </c>
      <c r="U77" t="n">
        <v>44</v>
      </c>
      <c r="V77" s="2" t="inlineStr">
        <is>
          <t>Dofttaggsvamp
Fjällig taggsvamp s.str.
Kattfotslav
Rynkskinn
Skarp dropptaggsvamp
Svartvit taggsvamp
Ullticka
Vågticka
Vårärt
Bronshjon
Grönpyrola
Rödgul trumpetsvamp
Vedticka
Blåsippa
Spillkråka
Vanlig padda</t>
        </is>
      </c>
      <c r="W77">
        <f>HYPERLINK("https://klasma.github.io/Logging_0360/artfynd/A 29232-2023 artfynd.xlsx", "A 29232-2023")</f>
        <v/>
      </c>
      <c r="X77">
        <f>HYPERLINK("https://klasma.github.io/Logging_0360/kartor/A 29232-2023 karta.png", "A 29232-2023")</f>
        <v/>
      </c>
      <c r="Y77">
        <f>HYPERLINK("https://klasma.github.io/Logging_0360/kartor_geotiff/A 29232-2023 georefererad karta.tif", "A 29232-2023")</f>
        <v/>
      </c>
      <c r="AA77">
        <f>HYPERLINK("https://klasma.github.io/Logging_0360/klagomål/A 29232-2023 FSC-klagomål.docx", "A 29232-2023")</f>
        <v/>
      </c>
      <c r="AB77">
        <f>HYPERLINK("https://klasma.github.io/Logging_0360/klagomålsmail/A 29232-2023 FSC-klagomål mail.docx", "A 29232-2023")</f>
        <v/>
      </c>
      <c r="AC77">
        <f>HYPERLINK("https://klasma.github.io/Logging_0360/tillsyn/A 29232-2023 tillsynsbegäran.docx", "A 29232-2023")</f>
        <v/>
      </c>
      <c r="AD77">
        <f>HYPERLINK("https://klasma.github.io/Logging_0360/tillsynsmail/A 29232-2023 tillsynsbegäran mail.docx", "A 29232-2023")</f>
        <v/>
      </c>
      <c r="AE77">
        <f>HYPERLINK("https://klasma.github.io/Logging_0360/fåglar/A 29232-2023 prioriterade fågelarter.docx", "A 29232-2023")</f>
        <v/>
      </c>
    </row>
    <row r="78" ht="15" customHeight="1">
      <c r="A78" t="inlineStr">
        <is>
          <t>A 14089-2026</t>
        </is>
      </c>
      <c r="B78" t="inlineStr">
        <is>
          <t>avverkningsanmälan</t>
        </is>
      </c>
      <c r="C78" t="inlineStr">
        <is>
          <t>Föryngringsavverkning</t>
        </is>
      </c>
      <c r="D78" s="1" t="n">
        <v>46099</v>
      </c>
      <c r="E78" s="1" t="n">
        <v>46309</v>
      </c>
      <c r="F78" t="inlineStr">
        <is>
          <t>UPPSALA LÄN</t>
        </is>
      </c>
      <c r="G78" t="inlineStr">
        <is>
          <t>UPPSALA</t>
        </is>
      </c>
      <c r="H78" t="inlineStr">
        <is>
          <t>Kommuner</t>
        </is>
      </c>
      <c r="I78" t="n">
        <v>3.9</v>
      </c>
      <c r="J78" t="n">
        <v>4</v>
      </c>
      <c r="K78" t="n">
        <v>5</v>
      </c>
      <c r="L78" t="n">
        <v>6</v>
      </c>
      <c r="M78" t="n">
        <v>1</v>
      </c>
      <c r="N78" t="n">
        <v>0</v>
      </c>
      <c r="O78" t="n">
        <v>0</v>
      </c>
      <c r="P78" t="n">
        <v>0</v>
      </c>
      <c r="Q78" t="n">
        <v>7</v>
      </c>
      <c r="R78" t="n">
        <v>1</v>
      </c>
      <c r="S78" t="n">
        <v>16</v>
      </c>
      <c r="T78" t="n">
        <v>53</v>
      </c>
      <c r="U78" t="n">
        <v>41</v>
      </c>
      <c r="V78" s="2" t="inlineStr">
        <is>
          <t>Knärot
Rynkskinn
Rödbrun blekspik
Talltita
Ullticka
Vintertagging
Vågticka
Bronshjon
Granbarkgnagare
Grov fjädermossa
Trådticka
Vågbandad barkbock
Blåsippa
Kransmossa
Ormbär
Spillkråka</t>
        </is>
      </c>
      <c r="W78">
        <f>HYPERLINK("https://klasma.github.io/Logging_0380/artfynd/A 14089-2026 artfynd.xlsx", "A 14089-2026")</f>
        <v/>
      </c>
      <c r="X78">
        <f>HYPERLINK("https://klasma.github.io/Logging_0380/kartor/A 14089-2026 karta.png", "A 14089-2026")</f>
        <v/>
      </c>
      <c r="Y78">
        <f>HYPERLINK("https://klasma.github.io/Logging_0380/kartor_geotiff/A 14089-2026 georefererad karta.tif", "A 14089-2026")</f>
        <v/>
      </c>
      <c r="Z78">
        <f>HYPERLINK("https://klasma.github.io/Logging_0380/knärot/A 14089-2026 karta knärot.png", "A 14089-2026")</f>
        <v/>
      </c>
      <c r="AA78">
        <f>HYPERLINK("https://klasma.github.io/Logging_0380/klagomål/A 14089-2026 FSC-klagomål.docx", "A 14089-2026")</f>
        <v/>
      </c>
      <c r="AB78">
        <f>HYPERLINK("https://klasma.github.io/Logging_0380/klagomålsmail/A 14089-2026 FSC-klagomål mail.docx", "A 14089-2026")</f>
        <v/>
      </c>
      <c r="AC78">
        <f>HYPERLINK("https://klasma.github.io/Logging_0380/tillsyn/A 14089-2026 tillsynsbegäran.docx", "A 14089-2026")</f>
        <v/>
      </c>
      <c r="AD78">
        <f>HYPERLINK("https://klasma.github.io/Logging_0380/tillsynsmail/A 14089-2026 tillsynsbegäran mail.docx", "A 14089-2026")</f>
        <v/>
      </c>
      <c r="AE78">
        <f>HYPERLINK("https://klasma.github.io/Logging_0380/fåglar/A 14089-2026 prioriterade fågelarter.docx", "A 14089-2026")</f>
        <v/>
      </c>
    </row>
    <row r="79" ht="15" customHeight="1">
      <c r="A79" t="inlineStr">
        <is>
          <t>A 41965-2026</t>
        </is>
      </c>
      <c r="B79" t="inlineStr">
        <is>
          <t>avverkningsanmälan</t>
        </is>
      </c>
      <c r="C79" t="inlineStr">
        <is>
          <t>Föryngringsavverkning</t>
        </is>
      </c>
      <c r="D79" s="1" t="n">
        <v>46303</v>
      </c>
      <c r="E79" s="1" t="n">
        <v>46309</v>
      </c>
      <c r="F79" t="inlineStr">
        <is>
          <t>UPPSALA LÄN</t>
        </is>
      </c>
      <c r="G79" t="inlineStr">
        <is>
          <t>UPPSALA</t>
        </is>
      </c>
      <c r="H79" t="inlineStr">
        <is>
          <t>Allmännings- och besparingsskogar</t>
        </is>
      </c>
      <c r="I79" t="n">
        <v>1.7</v>
      </c>
      <c r="J79" t="n">
        <v>3</v>
      </c>
      <c r="K79" t="n">
        <v>8</v>
      </c>
      <c r="L79" t="n">
        <v>4</v>
      </c>
      <c r="M79" t="n">
        <v>2</v>
      </c>
      <c r="N79" t="n">
        <v>0</v>
      </c>
      <c r="O79" t="n">
        <v>0</v>
      </c>
      <c r="P79" t="n">
        <v>0</v>
      </c>
      <c r="Q79" t="n">
        <v>6</v>
      </c>
      <c r="R79" t="n">
        <v>2</v>
      </c>
      <c r="S79" t="n">
        <v>16</v>
      </c>
      <c r="T79" t="n">
        <v>44</v>
      </c>
      <c r="U79" t="n">
        <v>0</v>
      </c>
      <c r="V79" s="2" t="inlineStr">
        <is>
          <t>Blackticka
Rökpipsvamp
Gullpudra
Rynkskinn
Ullticka
Vedtrappmossa
Björksplintborre
Grön sköldmossa
Hasselticka
Stenporella
Stubbspretmossa
Svart trolldruva
Tibast
Vedticka
Blåsippa
Kungsfågel</t>
        </is>
      </c>
      <c r="W79">
        <f>HYPERLINK("https://klasma.github.io/Logging_0380/artfynd/A 41965-2026 artfynd.xlsx", "A 41965-2026")</f>
        <v/>
      </c>
      <c r="X79">
        <f>HYPERLINK("https://klasma.github.io/Logging_0380/kartor/A 41965-2026 karta.png", "A 41965-2026")</f>
        <v/>
      </c>
      <c r="Y79">
        <f>HYPERLINK("https://klasma.github.io/Logging_0380/kartor_geotiff/A 41965-2026 georefererad karta.tif", "A 41965-2026")</f>
        <v/>
      </c>
      <c r="AA79">
        <f>HYPERLINK("https://klasma.github.io/Logging_0380/klagomål/A 41965-2026 FSC-klagomål.docx", "A 41965-2026")</f>
        <v/>
      </c>
      <c r="AB79">
        <f>HYPERLINK("https://klasma.github.io/Logging_0380/klagomålsmail/A 41965-2026 FSC-klagomål mail.docx", "A 41965-2026")</f>
        <v/>
      </c>
      <c r="AC79">
        <f>HYPERLINK("https://klasma.github.io/Logging_0380/tillsyn/A 41965-2026 tillsynsbegäran.docx", "A 41965-2026")</f>
        <v/>
      </c>
      <c r="AD79">
        <f>HYPERLINK("https://klasma.github.io/Logging_0380/tillsynsmail/A 41965-2026 tillsynsbegäran mail.docx", "A 41965-2026")</f>
        <v/>
      </c>
    </row>
    <row r="80" ht="15" customHeight="1">
      <c r="A80" t="inlineStr">
        <is>
          <t>A 49882-2025</t>
        </is>
      </c>
      <c r="B80" t="inlineStr">
        <is>
          <t>avverkningsanmälan</t>
        </is>
      </c>
      <c r="C80" t="inlineStr">
        <is>
          <t>Föryngringsavverkning</t>
        </is>
      </c>
      <c r="D80" s="1" t="n">
        <v>45940</v>
      </c>
      <c r="E80" s="1" t="n">
        <v>46309</v>
      </c>
      <c r="F80" t="inlineStr">
        <is>
          <t>UPPSALA LÄN</t>
        </is>
      </c>
      <c r="G80" t="inlineStr">
        <is>
          <t>TIERP</t>
        </is>
      </c>
      <c r="H80" t="inlineStr">
        <is>
          <t>Bergvik skog öst AB</t>
        </is>
      </c>
      <c r="I80" t="n">
        <v>20.4</v>
      </c>
      <c r="J80" t="n">
        <v>5</v>
      </c>
      <c r="K80" t="n">
        <v>7</v>
      </c>
      <c r="L80" t="n">
        <v>5</v>
      </c>
      <c r="M80" t="n">
        <v>0</v>
      </c>
      <c r="N80" t="n">
        <v>1</v>
      </c>
      <c r="O80" t="n">
        <v>0</v>
      </c>
      <c r="P80" t="n">
        <v>0</v>
      </c>
      <c r="Q80" t="n">
        <v>6</v>
      </c>
      <c r="R80" t="n">
        <v>1</v>
      </c>
      <c r="S80" t="n">
        <v>15</v>
      </c>
      <c r="T80" t="n">
        <v>46</v>
      </c>
      <c r="U80" t="n">
        <v>46</v>
      </c>
      <c r="V80" s="2" t="inlineStr">
        <is>
          <t>Ask
Kattfotslav
Rynkskinn
Talltita
Vedtrappmossa
Vårärt
Bronshjon
Grön sköldmossa
Rödgul trumpetsvamp
Skogsknipprot
Stubbspretmossa
Svavelriska
Vedticka
Blåsippa
Spillkråka</t>
        </is>
      </c>
      <c r="W80">
        <f>HYPERLINK("https://klasma.github.io/Logging_0360/artfynd/A 49882-2025 artfynd.xlsx", "A 49882-2025")</f>
        <v/>
      </c>
      <c r="X80">
        <f>HYPERLINK("https://klasma.github.io/Logging_0360/kartor/A 49882-2025 karta.png", "A 49882-2025")</f>
        <v/>
      </c>
      <c r="Y80">
        <f>HYPERLINK("https://klasma.github.io/Logging_0360/kartor_geotiff/A 49882-2025 georefererad karta.tif", "A 49882-2025")</f>
        <v/>
      </c>
      <c r="AA80">
        <f>HYPERLINK("https://klasma.github.io/Logging_0360/klagomål/A 49882-2025 FSC-klagomål.docx", "A 49882-2025")</f>
        <v/>
      </c>
      <c r="AB80">
        <f>HYPERLINK("https://klasma.github.io/Logging_0360/klagomålsmail/A 49882-2025 FSC-klagomål mail.docx", "A 49882-2025")</f>
        <v/>
      </c>
      <c r="AC80">
        <f>HYPERLINK("https://klasma.github.io/Logging_0360/tillsyn/A 49882-2025 tillsynsbegäran.docx", "A 49882-2025")</f>
        <v/>
      </c>
      <c r="AD80">
        <f>HYPERLINK("https://klasma.github.io/Logging_0360/tillsynsmail/A 49882-2025 tillsynsbegäran mail.docx", "A 49882-2025")</f>
        <v/>
      </c>
      <c r="AE80">
        <f>HYPERLINK("https://klasma.github.io/Logging_0360/fåglar/A 49882-2025 prioriterade fågelarter.docx", "A 49882-2025")</f>
        <v/>
      </c>
    </row>
    <row r="81" ht="15" customHeight="1">
      <c r="A81" t="inlineStr">
        <is>
          <t>A 32759-2023</t>
        </is>
      </c>
      <c r="B81" t="inlineStr">
        <is>
          <t>avverkningsanmälan</t>
        </is>
      </c>
      <c r="C81" t="inlineStr">
        <is>
          <t>Föryngringsavverkning</t>
        </is>
      </c>
      <c r="D81" s="1" t="n">
        <v>45123</v>
      </c>
      <c r="E81" s="1" t="n">
        <v>46309</v>
      </c>
      <c r="F81" t="inlineStr">
        <is>
          <t>UPPSALA LÄN</t>
        </is>
      </c>
      <c r="G81" t="inlineStr">
        <is>
          <t>HEBY</t>
        </is>
      </c>
      <c r="I81" t="n">
        <v>23.9</v>
      </c>
      <c r="J81" t="n">
        <v>10</v>
      </c>
      <c r="K81" t="n">
        <v>3</v>
      </c>
      <c r="L81" t="n">
        <v>2</v>
      </c>
      <c r="M81" t="n">
        <v>2</v>
      </c>
      <c r="N81" t="n">
        <v>0</v>
      </c>
      <c r="O81" t="n">
        <v>0</v>
      </c>
      <c r="P81" t="n">
        <v>0</v>
      </c>
      <c r="Q81" t="n">
        <v>4</v>
      </c>
      <c r="R81" t="n">
        <v>2</v>
      </c>
      <c r="S81" t="n">
        <v>15</v>
      </c>
      <c r="T81" t="n">
        <v>21</v>
      </c>
      <c r="U81" t="n">
        <v>19</v>
      </c>
      <c r="V81" s="2" t="inlineStr">
        <is>
          <t>Knärot
Raggbock
Stjärntagging
Tallticka
Grön sköldmossa
Grönpyrola
Vedticka
Spillkråka
Tjäder
Tofsmes
Kungsfågel
Orre
Fläcknycklar
Ängsnycklar
Revlummer</t>
        </is>
      </c>
      <c r="W81">
        <f>HYPERLINK("https://klasma.github.io/Logging_0331/artfynd/A 32759-2023 artfynd.xlsx", "A 32759-2023")</f>
        <v/>
      </c>
      <c r="X81">
        <f>HYPERLINK("https://klasma.github.io/Logging_0331/kartor/A 32759-2023 karta.png", "A 32759-2023")</f>
        <v/>
      </c>
      <c r="Y81">
        <f>HYPERLINK("https://klasma.github.io/Logging_0331/kartor_geotiff/A 32759-2023 georefererad karta.tif", "A 32759-2023")</f>
        <v/>
      </c>
      <c r="Z81">
        <f>HYPERLINK("https://klasma.github.io/Logging_0331/knärot/A 32759-2023 karta knärot.png", "A 32759-2023")</f>
        <v/>
      </c>
      <c r="AA81">
        <f>HYPERLINK("https://klasma.github.io/Logging_0331/klagomål/A 32759-2023 FSC-klagomål.docx", "A 32759-2023")</f>
        <v/>
      </c>
      <c r="AB81">
        <f>HYPERLINK("https://klasma.github.io/Logging_0331/klagomålsmail/A 32759-2023 FSC-klagomål mail.docx", "A 32759-2023")</f>
        <v/>
      </c>
      <c r="AC81">
        <f>HYPERLINK("https://klasma.github.io/Logging_0331/tillsyn/A 32759-2023 tillsynsbegäran.docx", "A 32759-2023")</f>
        <v/>
      </c>
      <c r="AD81">
        <f>HYPERLINK("https://klasma.github.io/Logging_0331/tillsynsmail/A 32759-2023 tillsynsbegäran mail.docx", "A 32759-2023")</f>
        <v/>
      </c>
      <c r="AE81">
        <f>HYPERLINK("https://klasma.github.io/Logging_0331/fåglar/A 32759-2023 prioriterade fågelarter.docx", "A 32759-2023")</f>
        <v/>
      </c>
    </row>
    <row r="82" ht="15" customHeight="1">
      <c r="A82" t="inlineStr">
        <is>
          <t>A 7380-2023</t>
        </is>
      </c>
      <c r="B82" t="inlineStr">
        <is>
          <t>avverkningsanmälan</t>
        </is>
      </c>
      <c r="C82" t="inlineStr">
        <is>
          <t>Avverkning för att bevara och utveckla /försöksver</t>
        </is>
      </c>
      <c r="D82" s="1" t="n">
        <v>44971</v>
      </c>
      <c r="E82" s="1" t="n">
        <v>46309</v>
      </c>
      <c r="F82" t="inlineStr">
        <is>
          <t>UPPSALA LÄN</t>
        </is>
      </c>
      <c r="G82" t="inlineStr">
        <is>
          <t>UPPSALA</t>
        </is>
      </c>
      <c r="I82" t="n">
        <v>3.7</v>
      </c>
      <c r="J82" t="n">
        <v>3</v>
      </c>
      <c r="K82" t="n">
        <v>6</v>
      </c>
      <c r="L82" t="n">
        <v>4</v>
      </c>
      <c r="M82" t="n">
        <v>2</v>
      </c>
      <c r="N82" t="n">
        <v>1</v>
      </c>
      <c r="O82" t="n">
        <v>0</v>
      </c>
      <c r="P82" t="n">
        <v>0</v>
      </c>
      <c r="Q82" t="n">
        <v>7</v>
      </c>
      <c r="R82" t="n">
        <v>3</v>
      </c>
      <c r="S82" t="n">
        <v>15</v>
      </c>
      <c r="T82" t="n">
        <v>23</v>
      </c>
      <c r="U82" t="n">
        <v>11</v>
      </c>
      <c r="V82" s="2" t="inlineStr">
        <is>
          <t>Skogsalm
Cinnoberbagge
Lundfingersvamp
Bleknande kamskivling
Jättekamskivling
Rutskinn
Vårärt
Bolmörtsskivling
Gulmjölkig storskål
Hasselsopp
Hasselticka
Svart trolldruva
Tibast
Blåsippa
Spillkråka</t>
        </is>
      </c>
      <c r="W82">
        <f>HYPERLINK("https://klasma.github.io/Logging_0380/artfynd/A 7380-2023 artfynd.xlsx", "A 7380-2023")</f>
        <v/>
      </c>
      <c r="X82">
        <f>HYPERLINK("https://klasma.github.io/Logging_0380/kartor/A 7380-2023 karta.png", "A 7380-2023")</f>
        <v/>
      </c>
      <c r="Y82">
        <f>HYPERLINK("https://klasma.github.io/Logging_0380/kartor_geotiff/A 7380-2023 georefererad karta.tif", "A 7380-2023")</f>
        <v/>
      </c>
      <c r="AA82">
        <f>HYPERLINK("https://klasma.github.io/Logging_0380/klagomål/A 7380-2023 FSC-klagomål.docx", "A 7380-2023")</f>
        <v/>
      </c>
      <c r="AB82">
        <f>HYPERLINK("https://klasma.github.io/Logging_0380/klagomålsmail/A 7380-2023 FSC-klagomål mail.docx", "A 7380-2023")</f>
        <v/>
      </c>
      <c r="AC82">
        <f>HYPERLINK("https://klasma.github.io/Logging_0380/tillsyn/A 7380-2023 tillsynsbegäran.docx", "A 7380-2023")</f>
        <v/>
      </c>
      <c r="AD82">
        <f>HYPERLINK("https://klasma.github.io/Logging_0380/tillsynsmail/A 7380-2023 tillsynsbegäran mail.docx", "A 7380-2023")</f>
        <v/>
      </c>
      <c r="AE82">
        <f>HYPERLINK("https://klasma.github.io/Logging_0380/fåglar/A 7380-2023 prioriterade fågelarter.docx", "A 7380-2023")</f>
        <v/>
      </c>
    </row>
    <row r="83" ht="15" customHeight="1">
      <c r="A83" t="inlineStr">
        <is>
          <t>A 32105-2026</t>
        </is>
      </c>
      <c r="B83" t="inlineStr">
        <is>
          <t>avverkningsanmälan</t>
        </is>
      </c>
      <c r="C83" t="inlineStr">
        <is>
          <t>Föryngringsavverkning</t>
        </is>
      </c>
      <c r="D83" s="1" t="n">
        <v>46234</v>
      </c>
      <c r="E83" s="1" t="n">
        <v>46309</v>
      </c>
      <c r="F83" t="inlineStr">
        <is>
          <t>UPPSALA LÄN</t>
        </is>
      </c>
      <c r="G83" t="inlineStr">
        <is>
          <t>UPPSALA</t>
        </is>
      </c>
      <c r="I83" t="n">
        <v>4.9</v>
      </c>
      <c r="J83" t="n">
        <v>2</v>
      </c>
      <c r="K83" t="n">
        <v>7</v>
      </c>
      <c r="L83" t="n">
        <v>5</v>
      </c>
      <c r="M83" t="n">
        <v>2</v>
      </c>
      <c r="N83" t="n">
        <v>0</v>
      </c>
      <c r="O83" t="n">
        <v>0</v>
      </c>
      <c r="P83" t="n">
        <v>0</v>
      </c>
      <c r="Q83" t="n">
        <v>8</v>
      </c>
      <c r="R83" t="n">
        <v>2</v>
      </c>
      <c r="S83" t="n">
        <v>15</v>
      </c>
      <c r="T83" t="n">
        <v>55</v>
      </c>
      <c r="U83" t="n">
        <v>36</v>
      </c>
      <c r="V83" s="2" t="inlineStr">
        <is>
          <t>Knärot
Ulltickeporing
Grönhjon
Rynkskinn
Smalvingad blombock
Talltita
Ullticka
Porodaedalea chrysoloma
Björksplintborre
Bronshjon
Granbarkgnagare
Myskbock
Thomsons trägnagare
Vedticka
Vågbandad barkbock</t>
        </is>
      </c>
      <c r="W83">
        <f>HYPERLINK("https://klasma.github.io/Logging_0380/artfynd/A 32105-2026 artfynd.xlsx", "A 32105-2026")</f>
        <v/>
      </c>
      <c r="X83">
        <f>HYPERLINK("https://klasma.github.io/Logging_0380/kartor/A 32105-2026 karta.png", "A 32105-2026")</f>
        <v/>
      </c>
      <c r="Y83">
        <f>HYPERLINK("https://klasma.github.io/Logging_0380/kartor_geotiff/A 32105-2026 georefererad karta.tif", "A 32105-2026")</f>
        <v/>
      </c>
      <c r="Z83">
        <f>HYPERLINK("https://klasma.github.io/Logging_0380/knärot/A 32105-2026 karta knärot.png", "A 32105-2026")</f>
        <v/>
      </c>
      <c r="AA83">
        <f>HYPERLINK("https://klasma.github.io/Logging_0380/klagomål/A 32105-2026 FSC-klagomål.docx", "A 32105-2026")</f>
        <v/>
      </c>
      <c r="AB83">
        <f>HYPERLINK("https://klasma.github.io/Logging_0380/klagomålsmail/A 32105-2026 FSC-klagomål mail.docx", "A 32105-2026")</f>
        <v/>
      </c>
      <c r="AC83">
        <f>HYPERLINK("https://klasma.github.io/Logging_0380/tillsyn/A 32105-2026 tillsynsbegäran.docx", "A 32105-2026")</f>
        <v/>
      </c>
      <c r="AD83">
        <f>HYPERLINK("https://klasma.github.io/Logging_0380/tillsynsmail/A 32105-2026 tillsynsbegäran mail.docx", "A 32105-2026")</f>
        <v/>
      </c>
      <c r="AE83">
        <f>HYPERLINK("https://klasma.github.io/Logging_0380/fåglar/A 32105-2026 prioriterade fågelarter.docx", "A 32105-2026")</f>
        <v/>
      </c>
    </row>
    <row r="84" ht="15" customHeight="1">
      <c r="A84" t="inlineStr">
        <is>
          <t>A 36350-2026</t>
        </is>
      </c>
      <c r="B84" t="inlineStr">
        <is>
          <t>avverkningsanmälan</t>
        </is>
      </c>
      <c r="C84" t="inlineStr">
        <is>
          <t>Föryngringsavverkning</t>
        </is>
      </c>
      <c r="D84" s="1" t="n">
        <v>46268</v>
      </c>
      <c r="E84" s="1" t="n">
        <v>46309</v>
      </c>
      <c r="F84" t="inlineStr">
        <is>
          <t>UPPSALA LÄN</t>
        </is>
      </c>
      <c r="G84" t="inlineStr">
        <is>
          <t>UPPSALA</t>
        </is>
      </c>
      <c r="H84" t="inlineStr">
        <is>
          <t>Övriga statliga verk och myndigheter</t>
        </is>
      </c>
      <c r="I84" t="n">
        <v>34.2</v>
      </c>
      <c r="J84" t="n">
        <v>3</v>
      </c>
      <c r="K84" t="n">
        <v>4</v>
      </c>
      <c r="L84" t="n">
        <v>7</v>
      </c>
      <c r="M84" t="n">
        <v>1</v>
      </c>
      <c r="N84" t="n">
        <v>0</v>
      </c>
      <c r="O84" t="n">
        <v>0</v>
      </c>
      <c r="P84" t="n">
        <v>0</v>
      </c>
      <c r="Q84" t="n">
        <v>8</v>
      </c>
      <c r="R84" t="n">
        <v>1</v>
      </c>
      <c r="S84" t="n">
        <v>15</v>
      </c>
      <c r="T84" t="n">
        <v>19</v>
      </c>
      <c r="U84" t="n">
        <v>15</v>
      </c>
      <c r="V84" s="2" t="inlineStr">
        <is>
          <t>Kopparspindling
Fjällig taggsvamp s.str.
Rynkskinn
Skarp dropptaggsvamp
Tallticka
Tretåig hackspett
Ullticka
Vedtrappmossa
Bronshjon
Bårdlav
Granbräken
Vedticka
Blåsippa
Spillkråka
Timmerticka</t>
        </is>
      </c>
      <c r="W84">
        <f>HYPERLINK("https://klasma.github.io/Logging_0380/artfynd/A 36350-2026 artfynd.xlsx", "A 36350-2026")</f>
        <v/>
      </c>
      <c r="X84">
        <f>HYPERLINK("https://klasma.github.io/Logging_0380/kartor/A 36350-2026 karta.png", "A 36350-2026")</f>
        <v/>
      </c>
      <c r="Y84">
        <f>HYPERLINK("https://klasma.github.io/Logging_0380/kartor_geotiff/A 36350-2026 georefererad karta.tif", "A 36350-2026")</f>
        <v/>
      </c>
      <c r="AA84">
        <f>HYPERLINK("https://klasma.github.io/Logging_0380/klagomål/A 36350-2026 FSC-klagomål.docx", "A 36350-2026")</f>
        <v/>
      </c>
      <c r="AB84">
        <f>HYPERLINK("https://klasma.github.io/Logging_0380/klagomålsmail/A 36350-2026 FSC-klagomål mail.docx", "A 36350-2026")</f>
        <v/>
      </c>
      <c r="AC84">
        <f>HYPERLINK("https://klasma.github.io/Logging_0380/tillsyn/A 36350-2026 tillsynsbegäran.docx", "A 36350-2026")</f>
        <v/>
      </c>
      <c r="AD84">
        <f>HYPERLINK("https://klasma.github.io/Logging_0380/tillsynsmail/A 36350-2026 tillsynsbegäran mail.docx", "A 36350-2026")</f>
        <v/>
      </c>
      <c r="AE84">
        <f>HYPERLINK("https://klasma.github.io/Logging_0380/fåglar/A 36350-2026 prioriterade fågelarter.docx", "A 36350-2026")</f>
        <v/>
      </c>
    </row>
    <row r="85" ht="15" customHeight="1">
      <c r="A85" t="inlineStr">
        <is>
          <t>S 3260-2025</t>
        </is>
      </c>
      <c r="B85" t="inlineStr">
        <is>
          <t>samrådsanmälan</t>
        </is>
      </c>
      <c r="C85" t="inlineStr">
        <is>
          <t>Skogsgödsling</t>
        </is>
      </c>
      <c r="D85" s="1" t="n">
        <v>45982</v>
      </c>
      <c r="E85" s="1" t="n">
        <v>46309</v>
      </c>
      <c r="F85" t="inlineStr">
        <is>
          <t>UPPSALA LÄN</t>
        </is>
      </c>
      <c r="G85" t="inlineStr">
        <is>
          <t>ÄLVKARLEBY</t>
        </is>
      </c>
      <c r="H85" t="inlineStr">
        <is>
          <t>Bergvik skog väst AB</t>
        </is>
      </c>
      <c r="I85" t="n">
        <v>82</v>
      </c>
      <c r="J85" t="n">
        <v>6</v>
      </c>
      <c r="K85" t="n">
        <v>1</v>
      </c>
      <c r="L85" t="n">
        <v>5</v>
      </c>
      <c r="M85" t="n">
        <v>4</v>
      </c>
      <c r="N85" t="n">
        <v>1</v>
      </c>
      <c r="O85" t="n">
        <v>0</v>
      </c>
      <c r="P85" t="n">
        <v>0</v>
      </c>
      <c r="Q85" t="n">
        <v>10</v>
      </c>
      <c r="R85" t="n">
        <v>5</v>
      </c>
      <c r="S85" t="n">
        <v>15</v>
      </c>
      <c r="T85" t="n">
        <v>43</v>
      </c>
      <c r="U85" t="n">
        <v>4</v>
      </c>
      <c r="V85" s="2" t="inlineStr">
        <is>
          <t>Stor bockrot
Fältgentiana
Kattunvisslare
Väddnätfjäril
Ängsblåvinge
Enkelbeckasin
Månlåsbräken
Skogsklocka
Turkos blåvinge
Vårärt
Vätteros
Huggorm
Kopparödla
Grönvit nattviol
Lopplummer (aggregat)</t>
        </is>
      </c>
      <c r="W85">
        <f>HYPERLINK("https://klasma.github.io/Logging_0319/artfynd/S 3260-2025 artfynd.xlsx", "S 3260-2025")</f>
        <v/>
      </c>
      <c r="X85">
        <f>HYPERLINK("https://klasma.github.io/Logging_0319/kartor/S 3260-2025 karta.png", "S 3260-2025")</f>
        <v/>
      </c>
      <c r="Y85">
        <f>HYPERLINK("https://klasma.github.io/Logging_0319/kartor_geotiff/S 3260-2025 georefererad karta.tif", "S 3260-2025")</f>
        <v/>
      </c>
      <c r="AA85">
        <f>HYPERLINK("https://klasma.github.io/Logging_0319/klagomål/S 3260-2025 FSC-klagomål.docx", "S 3260-2025")</f>
        <v/>
      </c>
      <c r="AB85">
        <f>HYPERLINK("https://klasma.github.io/Logging_0319/klagomålsmail/S 3260-2025 FSC-klagomål mail.docx", "S 3260-2025")</f>
        <v/>
      </c>
      <c r="AC85">
        <f>HYPERLINK("https://klasma.github.io/Logging_0319/tillsyn/S 3260-2025 tillsynsbegäran.docx", "S 3260-2025")</f>
        <v/>
      </c>
      <c r="AD85">
        <f>HYPERLINK("https://klasma.github.io/Logging_0319/tillsynsmail/S 3260-2025 tillsynsbegäran mail.docx", "S 3260-2025")</f>
        <v/>
      </c>
      <c r="AE85">
        <f>HYPERLINK("https://klasma.github.io/Logging_0319/fåglar/S 3260-2025 prioriterade fågelarter.docx", "S 3260-2025")</f>
        <v/>
      </c>
    </row>
    <row r="86" ht="15" customHeight="1">
      <c r="A86" t="inlineStr">
        <is>
          <t>A 37004-2025</t>
        </is>
      </c>
      <c r="B86" t="inlineStr">
        <is>
          <t>avverkningsanmälan</t>
        </is>
      </c>
      <c r="C86" t="inlineStr">
        <is>
          <t>Föryngringsavverkning</t>
        </is>
      </c>
      <c r="D86" s="1" t="n">
        <v>45874</v>
      </c>
      <c r="E86" s="1" t="n">
        <v>46309</v>
      </c>
      <c r="F86" t="inlineStr">
        <is>
          <t>UPPSALA LÄN</t>
        </is>
      </c>
      <c r="G86" t="inlineStr">
        <is>
          <t>UPPSALA</t>
        </is>
      </c>
      <c r="I86" t="n">
        <v>15.8</v>
      </c>
      <c r="J86" t="n">
        <v>6</v>
      </c>
      <c r="K86" t="n">
        <v>1</v>
      </c>
      <c r="L86" t="n">
        <v>6</v>
      </c>
      <c r="M86" t="n">
        <v>2</v>
      </c>
      <c r="N86" t="n">
        <v>1</v>
      </c>
      <c r="O86" t="n">
        <v>0</v>
      </c>
      <c r="P86" t="n">
        <v>0</v>
      </c>
      <c r="Q86" t="n">
        <v>9</v>
      </c>
      <c r="R86" t="n">
        <v>3</v>
      </c>
      <c r="S86" t="n">
        <v>14</v>
      </c>
      <c r="T86" t="n">
        <v>18</v>
      </c>
      <c r="U86" t="n">
        <v>9</v>
      </c>
      <c r="V86" s="2" t="inlineStr">
        <is>
          <t>Kranssalvia
Cinnoberbagge
Sanddådra
Gullklöver
Gulsparv
Motaggsvamp
Riddarsporre
Skogshare
Sminkrot
Mindre märgborre
Blåsippa
Spillkråka
Åkergroda
Vanlig padda</t>
        </is>
      </c>
      <c r="W86">
        <f>HYPERLINK("https://klasma.github.io/Logging_0380/artfynd/A 37004-2025 artfynd.xlsx", "A 37004-2025")</f>
        <v/>
      </c>
      <c r="X86">
        <f>HYPERLINK("https://klasma.github.io/Logging_0380/kartor/A 37004-2025 karta.png", "A 37004-2025")</f>
        <v/>
      </c>
      <c r="Y86">
        <f>HYPERLINK("https://klasma.github.io/Logging_0380/kartor_geotiff/A 37004-2025 georefererad karta.tif", "A 37004-2025")</f>
        <v/>
      </c>
      <c r="AA86">
        <f>HYPERLINK("https://klasma.github.io/Logging_0380/klagomål/A 37004-2025 FSC-klagomål.docx", "A 37004-2025")</f>
        <v/>
      </c>
      <c r="AB86">
        <f>HYPERLINK("https://klasma.github.io/Logging_0380/klagomålsmail/A 37004-2025 FSC-klagomål mail.docx", "A 37004-2025")</f>
        <v/>
      </c>
      <c r="AC86">
        <f>HYPERLINK("https://klasma.github.io/Logging_0380/tillsyn/A 37004-2025 tillsynsbegäran.docx", "A 37004-2025")</f>
        <v/>
      </c>
      <c r="AD86">
        <f>HYPERLINK("https://klasma.github.io/Logging_0380/tillsynsmail/A 37004-2025 tillsynsbegäran mail.docx", "A 37004-2025")</f>
        <v/>
      </c>
      <c r="AE86">
        <f>HYPERLINK("https://klasma.github.io/Logging_0380/fåglar/A 37004-2025 prioriterade fågelarter.docx", "A 37004-2025")</f>
        <v/>
      </c>
    </row>
    <row r="87" ht="15" customHeight="1">
      <c r="A87" t="inlineStr">
        <is>
          <t>A 26460-2023</t>
        </is>
      </c>
      <c r="B87" t="inlineStr">
        <is>
          <t>avverkningsanmälan</t>
        </is>
      </c>
      <c r="C87" t="inlineStr">
        <is>
          <t>Föryngringsavverkning</t>
        </is>
      </c>
      <c r="D87" s="1" t="n">
        <v>45092</v>
      </c>
      <c r="E87" s="1" t="n">
        <v>46309</v>
      </c>
      <c r="F87" t="inlineStr">
        <is>
          <t>UPPSALA LÄN</t>
        </is>
      </c>
      <c r="G87" t="inlineStr">
        <is>
          <t>UPPSALA</t>
        </is>
      </c>
      <c r="I87" t="n">
        <v>6.3</v>
      </c>
      <c r="J87" t="n">
        <v>1</v>
      </c>
      <c r="K87" t="n">
        <v>10</v>
      </c>
      <c r="L87" t="n">
        <v>3</v>
      </c>
      <c r="M87" t="n">
        <v>1</v>
      </c>
      <c r="N87" t="n">
        <v>0</v>
      </c>
      <c r="O87" t="n">
        <v>0</v>
      </c>
      <c r="P87" t="n">
        <v>0</v>
      </c>
      <c r="Q87" t="n">
        <v>4</v>
      </c>
      <c r="R87" t="n">
        <v>1</v>
      </c>
      <c r="S87" t="n">
        <v>14</v>
      </c>
      <c r="T87" t="n">
        <v>24</v>
      </c>
      <c r="U87" t="n">
        <v>0</v>
      </c>
      <c r="V87" s="2" t="inlineStr">
        <is>
          <t>Aspgelélav
Blek fingersvamp
Kandelabersvamp
Vit vedfingersvamp
Aspvedgnagare
Barkticka
Granbarkgnagare
Grön sköldmossa
Jättesvampmal
Korallblylav
Rödgul trumpetsvamp
Skinnlav
Vedticka
Zontaggsvamp</t>
        </is>
      </c>
      <c r="W87">
        <f>HYPERLINK("https://klasma.github.io/Logging_0380/artfynd/A 26460-2023 artfynd.xlsx", "A 26460-2023")</f>
        <v/>
      </c>
      <c r="X87">
        <f>HYPERLINK("https://klasma.github.io/Logging_0380/kartor/A 26460-2023 karta.png", "A 26460-2023")</f>
        <v/>
      </c>
      <c r="Y87">
        <f>HYPERLINK("https://klasma.github.io/Logging_0380/kartor_geotiff/A 26460-2023 georefererad karta.tif", "A 26460-2023")</f>
        <v/>
      </c>
      <c r="Z87">
        <f>HYPERLINK("https://klasma.github.io/Logging_0380/knärot/A 26460-2023 karta knärot.png", "A 26460-2023")</f>
        <v/>
      </c>
      <c r="AA87">
        <f>HYPERLINK("https://klasma.github.io/Logging_0380/klagomål/A 26460-2023 FSC-klagomål.docx", "A 26460-2023")</f>
        <v/>
      </c>
      <c r="AB87">
        <f>HYPERLINK("https://klasma.github.io/Logging_0380/klagomålsmail/A 26460-2023 FSC-klagomål mail.docx", "A 26460-2023")</f>
        <v/>
      </c>
      <c r="AC87">
        <f>HYPERLINK("https://klasma.github.io/Logging_0380/tillsyn/A 26460-2023 tillsynsbegäran.docx", "A 26460-2023")</f>
        <v/>
      </c>
      <c r="AD87">
        <f>HYPERLINK("https://klasma.github.io/Logging_0380/tillsynsmail/A 26460-2023 tillsynsbegäran mail.docx", "A 26460-2023")</f>
        <v/>
      </c>
    </row>
    <row r="88" ht="15" customHeight="1">
      <c r="A88" t="inlineStr">
        <is>
          <t>A 25143-2023</t>
        </is>
      </c>
      <c r="B88" t="inlineStr">
        <is>
          <t>avverkningsanmälan</t>
        </is>
      </c>
      <c r="C88" t="inlineStr">
        <is>
          <t>Föryngringsavverkning</t>
        </is>
      </c>
      <c r="D88" s="1" t="n">
        <v>45086</v>
      </c>
      <c r="E88" s="1" t="n">
        <v>46309</v>
      </c>
      <c r="F88" t="inlineStr">
        <is>
          <t>UPPSALA LÄN</t>
        </is>
      </c>
      <c r="G88" t="inlineStr">
        <is>
          <t>UPPSALA</t>
        </is>
      </c>
      <c r="I88" t="n">
        <v>15.9</v>
      </c>
      <c r="J88" t="n">
        <v>6</v>
      </c>
      <c r="K88" t="n">
        <v>5</v>
      </c>
      <c r="L88" t="n">
        <v>3</v>
      </c>
      <c r="M88" t="n">
        <v>1</v>
      </c>
      <c r="N88" t="n">
        <v>0</v>
      </c>
      <c r="O88" t="n">
        <v>0</v>
      </c>
      <c r="P88" t="n">
        <v>0</v>
      </c>
      <c r="Q88" t="n">
        <v>4</v>
      </c>
      <c r="R88" t="n">
        <v>1</v>
      </c>
      <c r="S88" t="n">
        <v>14</v>
      </c>
      <c r="T88" t="n">
        <v>15</v>
      </c>
      <c r="U88" t="n">
        <v>5</v>
      </c>
      <c r="V88" s="2" t="inlineStr">
        <is>
          <t>Knärot
Grönhjon
Ullticka
Vågticka
Bronshjon
Fällmossa
Granbarkgnagare
Grönpyrola
Guldlockmossa
Grönsiska
Kungsfågel
Åkergroda
Vanlig groda
Revlummer</t>
        </is>
      </c>
      <c r="W88">
        <f>HYPERLINK("https://klasma.github.io/Logging_0380/artfynd/A 25143-2023 artfynd.xlsx", "A 25143-2023")</f>
        <v/>
      </c>
      <c r="X88">
        <f>HYPERLINK("https://klasma.github.io/Logging_0380/kartor/A 25143-2023 karta.png", "A 25143-2023")</f>
        <v/>
      </c>
      <c r="Y88">
        <f>HYPERLINK("https://klasma.github.io/Logging_0380/kartor_geotiff/A 25143-2023 georefererad karta.tif", "A 25143-2023")</f>
        <v/>
      </c>
      <c r="Z88">
        <f>HYPERLINK("https://klasma.github.io/Logging_0380/knärot/A 25143-2023 karta knärot.png", "A 25143-2023")</f>
        <v/>
      </c>
      <c r="AA88">
        <f>HYPERLINK("https://klasma.github.io/Logging_0380/klagomål/A 25143-2023 FSC-klagomål.docx", "A 25143-2023")</f>
        <v/>
      </c>
      <c r="AB88">
        <f>HYPERLINK("https://klasma.github.io/Logging_0380/klagomålsmail/A 25143-2023 FSC-klagomål mail.docx", "A 25143-2023")</f>
        <v/>
      </c>
      <c r="AC88">
        <f>HYPERLINK("https://klasma.github.io/Logging_0380/tillsyn/A 25143-2023 tillsynsbegäran.docx", "A 25143-2023")</f>
        <v/>
      </c>
      <c r="AD88">
        <f>HYPERLINK("https://klasma.github.io/Logging_0380/tillsynsmail/A 25143-2023 tillsynsbegäran mail.docx", "A 25143-2023")</f>
        <v/>
      </c>
    </row>
    <row r="89" ht="15" customHeight="1">
      <c r="A89" t="inlineStr">
        <is>
          <t>A 14157-2022</t>
        </is>
      </c>
      <c r="B89" t="inlineStr">
        <is>
          <t>avverkningsanmälan</t>
        </is>
      </c>
      <c r="C89" t="inlineStr">
        <is>
          <t>Föryngringsavverkning</t>
        </is>
      </c>
      <c r="D89" s="1" t="n">
        <v>44651</v>
      </c>
      <c r="E89" s="1" t="n">
        <v>46309</v>
      </c>
      <c r="F89" t="inlineStr">
        <is>
          <t>UPPSALA LÄN</t>
        </is>
      </c>
      <c r="G89" t="inlineStr">
        <is>
          <t>TIERP</t>
        </is>
      </c>
      <c r="H89" t="inlineStr">
        <is>
          <t>Bergvik skog öst AB</t>
        </is>
      </c>
      <c r="I89" t="n">
        <v>8.1</v>
      </c>
      <c r="J89" t="n">
        <v>4</v>
      </c>
      <c r="K89" t="n">
        <v>9</v>
      </c>
      <c r="L89" t="n">
        <v>3</v>
      </c>
      <c r="M89" t="n">
        <v>0</v>
      </c>
      <c r="N89" t="n">
        <v>0</v>
      </c>
      <c r="O89" t="n">
        <v>0</v>
      </c>
      <c r="P89" t="n">
        <v>0</v>
      </c>
      <c r="Q89" t="n">
        <v>3</v>
      </c>
      <c r="R89" t="n">
        <v>0</v>
      </c>
      <c r="S89" t="n">
        <v>14</v>
      </c>
      <c r="T89" t="n">
        <v>22</v>
      </c>
      <c r="U89" t="n">
        <v>2</v>
      </c>
      <c r="V89" s="2" t="inlineStr">
        <is>
          <t>Slåtterfibbla
Vit vedfingersvamp
Vårärt
Brandticka
Bårdlav
Lönnlav
Skogsknipprot
Svart trolldruva
Tibast
Trind spretmossa
Tvåblad
Underviol
Blåsippa
Kungsfågel</t>
        </is>
      </c>
      <c r="W89">
        <f>HYPERLINK("https://klasma.github.io/Logging_0360/artfynd/A 14157-2022 artfynd.xlsx", "A 14157-2022")</f>
        <v/>
      </c>
      <c r="X89">
        <f>HYPERLINK("https://klasma.github.io/Logging_0360/kartor/A 14157-2022 karta.png", "A 14157-2022")</f>
        <v/>
      </c>
      <c r="Y89">
        <f>HYPERLINK("https://klasma.github.io/Logging_0360/kartor_geotiff/A 14157-2022 georefererad karta.tif", "A 14157-2022")</f>
        <v/>
      </c>
      <c r="AA89">
        <f>HYPERLINK("https://klasma.github.io/Logging_0360/klagomål/A 14157-2022 FSC-klagomål.docx", "A 14157-2022")</f>
        <v/>
      </c>
      <c r="AB89">
        <f>HYPERLINK("https://klasma.github.io/Logging_0360/klagomålsmail/A 14157-2022 FSC-klagomål mail.docx", "A 14157-2022")</f>
        <v/>
      </c>
      <c r="AC89">
        <f>HYPERLINK("https://klasma.github.io/Logging_0360/tillsyn/A 14157-2022 tillsynsbegäran.docx", "A 14157-2022")</f>
        <v/>
      </c>
      <c r="AD89">
        <f>HYPERLINK("https://klasma.github.io/Logging_0360/tillsynsmail/A 14157-2022 tillsynsbegäran mail.docx", "A 14157-2022")</f>
        <v/>
      </c>
    </row>
    <row r="90" ht="15" customHeight="1">
      <c r="A90" t="inlineStr">
        <is>
          <t>A 234-2025</t>
        </is>
      </c>
      <c r="B90" t="inlineStr">
        <is>
          <t>avverkningsanmälan</t>
        </is>
      </c>
      <c r="C90" t="inlineStr">
        <is>
          <t>Föryngringsavverkning</t>
        </is>
      </c>
      <c r="D90" s="1" t="n">
        <v>45660</v>
      </c>
      <c r="E90" s="1" t="n">
        <v>46309</v>
      </c>
      <c r="F90" t="inlineStr">
        <is>
          <t>UPPSALA LÄN</t>
        </is>
      </c>
      <c r="G90" t="inlineStr">
        <is>
          <t>TIERP</t>
        </is>
      </c>
      <c r="H90" t="inlineStr">
        <is>
          <t>Bergvik skog öst AB</t>
        </is>
      </c>
      <c r="I90" t="n">
        <v>4.5</v>
      </c>
      <c r="J90" t="n">
        <v>4</v>
      </c>
      <c r="K90" t="n">
        <v>5</v>
      </c>
      <c r="L90" t="n">
        <v>4</v>
      </c>
      <c r="M90" t="n">
        <v>2</v>
      </c>
      <c r="N90" t="n">
        <v>0</v>
      </c>
      <c r="O90" t="n">
        <v>0</v>
      </c>
      <c r="P90" t="n">
        <v>0</v>
      </c>
      <c r="Q90" t="n">
        <v>6</v>
      </c>
      <c r="R90" t="n">
        <v>2</v>
      </c>
      <c r="S90" t="n">
        <v>14</v>
      </c>
      <c r="T90" t="n">
        <v>28</v>
      </c>
      <c r="U90" t="n">
        <v>27</v>
      </c>
      <c r="V90" s="2" t="inlineStr">
        <is>
          <t>Gränsticka
Knärot
Grönhjon
Kattfotslav
Kortskaftad ärgspik
Ullticka
Brandticka
Bronshjon
Grönpyrola
Vedticka
Vågbandad barkbock
Blåsippa
Nattskärra
Spillkråka</t>
        </is>
      </c>
      <c r="W90">
        <f>HYPERLINK("https://klasma.github.io/Logging_0360/artfynd/A 234-2025 artfynd.xlsx", "A 234-2025")</f>
        <v/>
      </c>
      <c r="X90">
        <f>HYPERLINK("https://klasma.github.io/Logging_0360/kartor/A 234-2025 karta.png", "A 234-2025")</f>
        <v/>
      </c>
      <c r="Y90">
        <f>HYPERLINK("https://klasma.github.io/Logging_0360/kartor_geotiff/A 234-2025 georefererad karta.tif", "A 234-2025")</f>
        <v/>
      </c>
      <c r="Z90">
        <f>HYPERLINK("https://klasma.github.io/Logging_0360/knärot/A 234-2025 karta knärot.png", "A 234-2025")</f>
        <v/>
      </c>
      <c r="AA90">
        <f>HYPERLINK("https://klasma.github.io/Logging_0360/klagomål/A 234-2025 FSC-klagomål.docx", "A 234-2025")</f>
        <v/>
      </c>
      <c r="AB90">
        <f>HYPERLINK("https://klasma.github.io/Logging_0360/klagomålsmail/A 234-2025 FSC-klagomål mail.docx", "A 234-2025")</f>
        <v/>
      </c>
      <c r="AC90">
        <f>HYPERLINK("https://klasma.github.io/Logging_0360/tillsyn/A 234-2025 tillsynsbegäran.docx", "A 234-2025")</f>
        <v/>
      </c>
      <c r="AD90">
        <f>HYPERLINK("https://klasma.github.io/Logging_0360/tillsynsmail/A 234-2025 tillsynsbegäran mail.docx", "A 234-2025")</f>
        <v/>
      </c>
      <c r="AE90">
        <f>HYPERLINK("https://klasma.github.io/Logging_0360/fåglar/A 234-2025 prioriterade fågelarter.docx", "A 234-2025")</f>
        <v/>
      </c>
    </row>
    <row r="91" ht="15" customHeight="1">
      <c r="A91" t="inlineStr">
        <is>
          <t>A 33463-2026</t>
        </is>
      </c>
      <c r="B91" t="inlineStr">
        <is>
          <t>avverkningsanmälan</t>
        </is>
      </c>
      <c r="C91" t="inlineStr">
        <is>
          <t>Föryngringsavverkning</t>
        </is>
      </c>
      <c r="D91" s="1" t="n">
        <v>46247</v>
      </c>
      <c r="E91" s="1" t="n">
        <v>46309</v>
      </c>
      <c r="F91" t="inlineStr">
        <is>
          <t>UPPSALA LÄN</t>
        </is>
      </c>
      <c r="G91" t="inlineStr">
        <is>
          <t>ÄLVKARLEBY</t>
        </is>
      </c>
      <c r="H91" t="inlineStr">
        <is>
          <t>Bergvik skog öst AB</t>
        </is>
      </c>
      <c r="I91" t="n">
        <v>12.4</v>
      </c>
      <c r="J91" t="n">
        <v>3</v>
      </c>
      <c r="K91" t="n">
        <v>5</v>
      </c>
      <c r="L91" t="n">
        <v>4</v>
      </c>
      <c r="M91" t="n">
        <v>2</v>
      </c>
      <c r="N91" t="n">
        <v>0</v>
      </c>
      <c r="O91" t="n">
        <v>0</v>
      </c>
      <c r="P91" t="n">
        <v>0</v>
      </c>
      <c r="Q91" t="n">
        <v>6</v>
      </c>
      <c r="R91" t="n">
        <v>2</v>
      </c>
      <c r="S91" t="n">
        <v>14</v>
      </c>
      <c r="T91" t="n">
        <v>23</v>
      </c>
      <c r="U91" t="n">
        <v>16</v>
      </c>
      <c r="V91" s="2" t="inlineStr">
        <is>
          <t>Bredgentiana
Fältgentiana
Odörspindling
Slåtterfibbla
Ullticka
Vårärt
Anisspindling
Bronshjon
Skogsknipprot
Thomsons trägnagare
Tibast
Blåsippa
Kransmossa
Ormbär</t>
        </is>
      </c>
      <c r="W91">
        <f>HYPERLINK("https://klasma.github.io/Logging_0319/artfynd/A 33463-2026 artfynd.xlsx", "A 33463-2026")</f>
        <v/>
      </c>
      <c r="X91">
        <f>HYPERLINK("https://klasma.github.io/Logging_0319/kartor/A 33463-2026 karta.png", "A 33463-2026")</f>
        <v/>
      </c>
      <c r="Y91">
        <f>HYPERLINK("https://klasma.github.io/Logging_0319/kartor_geotiff/A 33463-2026 georefererad karta.tif", "A 33463-2026")</f>
        <v/>
      </c>
      <c r="AA91">
        <f>HYPERLINK("https://klasma.github.io/Logging_0319/klagomål/A 33463-2026 FSC-klagomål.docx", "A 33463-2026")</f>
        <v/>
      </c>
      <c r="AB91">
        <f>HYPERLINK("https://klasma.github.io/Logging_0319/klagomålsmail/A 33463-2026 FSC-klagomål mail.docx", "A 33463-2026")</f>
        <v/>
      </c>
      <c r="AC91">
        <f>HYPERLINK("https://klasma.github.io/Logging_0319/tillsyn/A 33463-2026 tillsynsbegäran.docx", "A 33463-2026")</f>
        <v/>
      </c>
      <c r="AD91">
        <f>HYPERLINK("https://klasma.github.io/Logging_0319/tillsynsmail/A 33463-2026 tillsynsbegäran mail.docx", "A 33463-2026")</f>
        <v/>
      </c>
    </row>
    <row r="92" ht="15" customHeight="1">
      <c r="A92" t="inlineStr">
        <is>
          <t>A 50253-2025</t>
        </is>
      </c>
      <c r="B92" t="inlineStr">
        <is>
          <t>avverkningsanmälan</t>
        </is>
      </c>
      <c r="C92" t="inlineStr">
        <is>
          <t>Föryngringsavverkning</t>
        </is>
      </c>
      <c r="D92" s="1" t="n">
        <v>45944</v>
      </c>
      <c r="E92" s="1" t="n">
        <v>46309</v>
      </c>
      <c r="F92" t="inlineStr">
        <is>
          <t>UPPSALA LÄN</t>
        </is>
      </c>
      <c r="G92" t="inlineStr">
        <is>
          <t>HEBY</t>
        </is>
      </c>
      <c r="I92" t="n">
        <v>4.9</v>
      </c>
      <c r="J92" t="n">
        <v>10</v>
      </c>
      <c r="K92" t="n">
        <v>3</v>
      </c>
      <c r="L92" t="n">
        <v>4</v>
      </c>
      <c r="M92" t="n">
        <v>2</v>
      </c>
      <c r="N92" t="n">
        <v>0</v>
      </c>
      <c r="O92" t="n">
        <v>0</v>
      </c>
      <c r="P92" t="n">
        <v>0</v>
      </c>
      <c r="Q92" t="n">
        <v>6</v>
      </c>
      <c r="R92" t="n">
        <v>2</v>
      </c>
      <c r="S92" t="n">
        <v>14</v>
      </c>
      <c r="T92" t="n">
        <v>30</v>
      </c>
      <c r="U92" t="n">
        <v>4</v>
      </c>
      <c r="V92" s="2" t="inlineStr">
        <is>
          <t>Grönfink
Knärot
Gulsparv
Talltita
Tretåig hackspett
Vedtrappmossa
Bronshjon
Jättesvampmal
Thomsons trägnagare
Järpe
Spillkråka
Grönsiska
Kungsfågel
Slaguggla</t>
        </is>
      </c>
      <c r="W92">
        <f>HYPERLINK("https://klasma.github.io/Logging_0331/artfynd/A 50253-2025 artfynd.xlsx", "A 50253-2025")</f>
        <v/>
      </c>
      <c r="X92">
        <f>HYPERLINK("https://klasma.github.io/Logging_0331/kartor/A 50253-2025 karta.png", "A 50253-2025")</f>
        <v/>
      </c>
      <c r="Y92">
        <f>HYPERLINK("https://klasma.github.io/Logging_0331/kartor_geotiff/A 50253-2025 georefererad karta.tif", "A 50253-2025")</f>
        <v/>
      </c>
      <c r="Z92">
        <f>HYPERLINK("https://klasma.github.io/Logging_0331/knärot/A 50253-2025 karta knärot.png", "A 50253-2025")</f>
        <v/>
      </c>
      <c r="AA92">
        <f>HYPERLINK("https://klasma.github.io/Logging_0331/klagomål/A 50253-2025 FSC-klagomål.docx", "A 50253-2025")</f>
        <v/>
      </c>
      <c r="AB92">
        <f>HYPERLINK("https://klasma.github.io/Logging_0331/klagomålsmail/A 50253-2025 FSC-klagomål mail.docx", "A 50253-2025")</f>
        <v/>
      </c>
      <c r="AC92">
        <f>HYPERLINK("https://klasma.github.io/Logging_0331/tillsyn/A 50253-2025 tillsynsbegäran.docx", "A 50253-2025")</f>
        <v/>
      </c>
      <c r="AD92">
        <f>HYPERLINK("https://klasma.github.io/Logging_0331/tillsynsmail/A 50253-2025 tillsynsbegäran mail.docx", "A 50253-2025")</f>
        <v/>
      </c>
      <c r="AE92">
        <f>HYPERLINK("https://klasma.github.io/Logging_0331/fåglar/A 50253-2025 prioriterade fågelarter.docx", "A 50253-2025")</f>
        <v/>
      </c>
    </row>
    <row r="93" ht="15" customHeight="1">
      <c r="A93" t="inlineStr">
        <is>
          <t>A 28892-2026</t>
        </is>
      </c>
      <c r="B93" t="inlineStr">
        <is>
          <t>avverkningsanmälan</t>
        </is>
      </c>
      <c r="C93" t="inlineStr">
        <is>
          <t>Föryngringsavverkning</t>
        </is>
      </c>
      <c r="D93" s="1" t="n">
        <v>46199</v>
      </c>
      <c r="E93" s="1" t="n">
        <v>46309</v>
      </c>
      <c r="F93" t="inlineStr">
        <is>
          <t>UPPSALA LÄN</t>
        </is>
      </c>
      <c r="G93" t="inlineStr">
        <is>
          <t>UPPSALA</t>
        </is>
      </c>
      <c r="I93" t="n">
        <v>11</v>
      </c>
      <c r="J93" t="n">
        <v>2</v>
      </c>
      <c r="K93" t="n">
        <v>5</v>
      </c>
      <c r="L93" t="n">
        <v>4</v>
      </c>
      <c r="M93" t="n">
        <v>2</v>
      </c>
      <c r="N93" t="n">
        <v>0</v>
      </c>
      <c r="O93" t="n">
        <v>0</v>
      </c>
      <c r="P93" t="n">
        <v>0</v>
      </c>
      <c r="Q93" t="n">
        <v>7</v>
      </c>
      <c r="R93" t="n">
        <v>2</v>
      </c>
      <c r="S93" t="n">
        <v>14</v>
      </c>
      <c r="T93" t="n">
        <v>51</v>
      </c>
      <c r="U93" t="n">
        <v>50</v>
      </c>
      <c r="V93" s="2" t="inlineStr">
        <is>
          <t>Gränsticka
Knärot
Gransotdyna
Tallticka
Ullticka
Vedtrappmossa
Porodaedalea chrysoloma
Björksplintborre
Brandticka
Bronshjon
Vedticka
Vågbandad barkbock
Spillkråka
Svarta vinbär</t>
        </is>
      </c>
      <c r="W93">
        <f>HYPERLINK("https://klasma.github.io/Logging_0380/artfynd/A 28892-2026 artfynd.xlsx", "A 28892-2026")</f>
        <v/>
      </c>
      <c r="X93">
        <f>HYPERLINK("https://klasma.github.io/Logging_0380/kartor/A 28892-2026 karta.png", "A 28892-2026")</f>
        <v/>
      </c>
      <c r="Y93">
        <f>HYPERLINK("https://klasma.github.io/Logging_0380/kartor_geotiff/A 28892-2026 georefererad karta.tif", "A 28892-2026")</f>
        <v/>
      </c>
      <c r="Z93">
        <f>HYPERLINK("https://klasma.github.io/Logging_0380/knärot/A 28892-2026 karta knärot.png", "A 28892-2026")</f>
        <v/>
      </c>
      <c r="AA93">
        <f>HYPERLINK("https://klasma.github.io/Logging_0380/klagomål/A 28892-2026 FSC-klagomål.docx", "A 28892-2026")</f>
        <v/>
      </c>
      <c r="AB93">
        <f>HYPERLINK("https://klasma.github.io/Logging_0380/klagomålsmail/A 28892-2026 FSC-klagomål mail.docx", "A 28892-2026")</f>
        <v/>
      </c>
      <c r="AC93">
        <f>HYPERLINK("https://klasma.github.io/Logging_0380/tillsyn/A 28892-2026 tillsynsbegäran.docx", "A 28892-2026")</f>
        <v/>
      </c>
      <c r="AD93">
        <f>HYPERLINK("https://klasma.github.io/Logging_0380/tillsynsmail/A 28892-2026 tillsynsbegäran mail.docx", "A 28892-2026")</f>
        <v/>
      </c>
      <c r="AE93">
        <f>HYPERLINK("https://klasma.github.io/Logging_0380/fåglar/A 28892-2026 prioriterade fågelarter.docx", "A 28892-2026")</f>
        <v/>
      </c>
    </row>
    <row r="94" ht="15" customHeight="1">
      <c r="A94" t="inlineStr">
        <is>
          <t>A 35447-2026</t>
        </is>
      </c>
      <c r="B94" t="inlineStr">
        <is>
          <t>avverkningsanmälan</t>
        </is>
      </c>
      <c r="C94" t="inlineStr">
        <is>
          <t>Föryngringsavverkning</t>
        </is>
      </c>
      <c r="D94" s="1" t="n">
        <v>46262</v>
      </c>
      <c r="E94" s="1" t="n">
        <v>46309</v>
      </c>
      <c r="F94" t="inlineStr">
        <is>
          <t>UPPSALA LÄN</t>
        </is>
      </c>
      <c r="G94" t="inlineStr">
        <is>
          <t>TIERP</t>
        </is>
      </c>
      <c r="H94" t="inlineStr">
        <is>
          <t>Bergvik skog öst AB</t>
        </is>
      </c>
      <c r="I94" t="n">
        <v>2.4</v>
      </c>
      <c r="J94" t="n">
        <v>3</v>
      </c>
      <c r="K94" t="n">
        <v>6</v>
      </c>
      <c r="L94" t="n">
        <v>3</v>
      </c>
      <c r="M94" t="n">
        <v>1</v>
      </c>
      <c r="N94" t="n">
        <v>1</v>
      </c>
      <c r="O94" t="n">
        <v>0</v>
      </c>
      <c r="P94" t="n">
        <v>0</v>
      </c>
      <c r="Q94" t="n">
        <v>5</v>
      </c>
      <c r="R94" t="n">
        <v>2</v>
      </c>
      <c r="S94" t="n">
        <v>14</v>
      </c>
      <c r="T94" t="n">
        <v>23</v>
      </c>
      <c r="U94" t="n">
        <v>0</v>
      </c>
      <c r="V94" s="2" t="inlineStr">
        <is>
          <t>Violgubbe
Läderdoftande fingersvamp
Fjällig taggsvamp s.str.
Skarp dropptaggsvamp
Ängsstarr
Anisspindling
Axag
Gräsull
Gulnål
Olivspindling
Rödgul trumpetsvamp
Brudsporre
Dubbelnycklar
Kärrknipprot</t>
        </is>
      </c>
      <c r="W94">
        <f>HYPERLINK("https://klasma.github.io/Logging_0360/artfynd/A 35447-2026 artfynd.xlsx", "A 35447-2026")</f>
        <v/>
      </c>
      <c r="X94">
        <f>HYPERLINK("https://klasma.github.io/Logging_0360/kartor/A 35447-2026 karta.png", "A 35447-2026")</f>
        <v/>
      </c>
      <c r="Y94">
        <f>HYPERLINK("https://klasma.github.io/Logging_0360/kartor_geotiff/A 35447-2026 georefererad karta.tif", "A 35447-2026")</f>
        <v/>
      </c>
      <c r="AA94">
        <f>HYPERLINK("https://klasma.github.io/Logging_0360/klagomål/A 35447-2026 FSC-klagomål.docx", "A 35447-2026")</f>
        <v/>
      </c>
      <c r="AB94">
        <f>HYPERLINK("https://klasma.github.io/Logging_0360/klagomålsmail/A 35447-2026 FSC-klagomål mail.docx", "A 35447-2026")</f>
        <v/>
      </c>
      <c r="AC94">
        <f>HYPERLINK("https://klasma.github.io/Logging_0360/tillsyn/A 35447-2026 tillsynsbegäran.docx", "A 35447-2026")</f>
        <v/>
      </c>
      <c r="AD94">
        <f>HYPERLINK("https://klasma.github.io/Logging_0360/tillsynsmail/A 35447-2026 tillsynsbegäran mail.docx", "A 35447-2026")</f>
        <v/>
      </c>
    </row>
    <row r="95" ht="15" customHeight="1">
      <c r="A95" t="inlineStr">
        <is>
          <t>A 21809-2024</t>
        </is>
      </c>
      <c r="B95" t="inlineStr">
        <is>
          <t>avverkningsanmälan</t>
        </is>
      </c>
      <c r="C95" t="inlineStr">
        <is>
          <t>Avverkning för annat ändamål</t>
        </is>
      </c>
      <c r="D95" s="1" t="n">
        <v>45442</v>
      </c>
      <c r="E95" s="1" t="n">
        <v>46309</v>
      </c>
      <c r="F95" t="inlineStr">
        <is>
          <t>UPPSALA LÄN</t>
        </is>
      </c>
      <c r="G95" t="inlineStr">
        <is>
          <t>UPPSALA</t>
        </is>
      </c>
      <c r="H95" t="inlineStr">
        <is>
          <t>Övriga statliga verk och myndigheter</t>
        </is>
      </c>
      <c r="I95" t="n">
        <v>6.6</v>
      </c>
      <c r="J95" t="n">
        <v>8</v>
      </c>
      <c r="K95" t="n">
        <v>1</v>
      </c>
      <c r="L95" t="n">
        <v>6</v>
      </c>
      <c r="M95" t="n">
        <v>3</v>
      </c>
      <c r="N95" t="n">
        <v>0</v>
      </c>
      <c r="O95" t="n">
        <v>0</v>
      </c>
      <c r="P95" t="n">
        <v>0</v>
      </c>
      <c r="Q95" t="n">
        <v>9</v>
      </c>
      <c r="R95" t="n">
        <v>3</v>
      </c>
      <c r="S95" t="n">
        <v>13</v>
      </c>
      <c r="T95" t="n">
        <v>21</v>
      </c>
      <c r="U95" t="n">
        <v>7</v>
      </c>
      <c r="V95" s="2" t="inlineStr">
        <is>
          <t>Bredbrämad bastardsvärmare
Cinnoberbagge
Igelkott
Brunlångöra
Järnsparv
Mindre tåtelsmygare
Nordfladdermus
Tallticka
Turkduva
Vågbandad barkbock
Blåsippa
Dvärgpipistrell
Vattenfladdermus</t>
        </is>
      </c>
      <c r="W95">
        <f>HYPERLINK("https://klasma.github.io/Logging_0380/artfynd/A 21809-2024 artfynd.xlsx", "A 21809-2024")</f>
        <v/>
      </c>
      <c r="X95">
        <f>HYPERLINK("https://klasma.github.io/Logging_0380/kartor/A 21809-2024 karta.png", "A 21809-2024")</f>
        <v/>
      </c>
      <c r="Y95">
        <f>HYPERLINK("https://klasma.github.io/Logging_0380/kartor_geotiff/A 21809-2024 georefererad karta.tif", "A 21809-2024")</f>
        <v/>
      </c>
      <c r="AA95">
        <f>HYPERLINK("https://klasma.github.io/Logging_0380/klagomål/A 21809-2024 FSC-klagomål.docx", "A 21809-2024")</f>
        <v/>
      </c>
      <c r="AB95">
        <f>HYPERLINK("https://klasma.github.io/Logging_0380/klagomålsmail/A 21809-2024 FSC-klagomål mail.docx", "A 21809-2024")</f>
        <v/>
      </c>
      <c r="AC95">
        <f>HYPERLINK("https://klasma.github.io/Logging_0380/tillsyn/A 21809-2024 tillsynsbegäran.docx", "A 21809-2024")</f>
        <v/>
      </c>
      <c r="AD95">
        <f>HYPERLINK("https://klasma.github.io/Logging_0380/tillsynsmail/A 21809-2024 tillsynsbegäran mail.docx", "A 21809-2024")</f>
        <v/>
      </c>
      <c r="AE95">
        <f>HYPERLINK("https://klasma.github.io/Logging_0380/fåglar/A 21809-2024 prioriterade fågelarter.docx", "A 21809-2024")</f>
        <v/>
      </c>
    </row>
    <row r="96" ht="15" customHeight="1">
      <c r="A96" t="inlineStr">
        <is>
          <t>A 25604-2025</t>
        </is>
      </c>
      <c r="B96" t="inlineStr">
        <is>
          <t>avverkningsanmälan</t>
        </is>
      </c>
      <c r="C96" t="inlineStr">
        <is>
          <t>Föryngringsavverkning</t>
        </is>
      </c>
      <c r="D96" s="1" t="n">
        <v>45803</v>
      </c>
      <c r="E96" s="1" t="n">
        <v>46309</v>
      </c>
      <c r="F96" t="inlineStr">
        <is>
          <t>UPPSALA LÄN</t>
        </is>
      </c>
      <c r="G96" t="inlineStr">
        <is>
          <t>UPPSALA</t>
        </is>
      </c>
      <c r="H96" t="inlineStr">
        <is>
          <t>Holmen skog AB</t>
        </is>
      </c>
      <c r="I96" t="n">
        <v>4.7</v>
      </c>
      <c r="J96" t="n">
        <v>8</v>
      </c>
      <c r="K96" t="n">
        <v>3</v>
      </c>
      <c r="L96" t="n">
        <v>2</v>
      </c>
      <c r="M96" t="n">
        <v>1</v>
      </c>
      <c r="N96" t="n">
        <v>0</v>
      </c>
      <c r="O96" t="n">
        <v>0</v>
      </c>
      <c r="P96" t="n">
        <v>0</v>
      </c>
      <c r="Q96" t="n">
        <v>3</v>
      </c>
      <c r="R96" t="n">
        <v>1</v>
      </c>
      <c r="S96" t="n">
        <v>13</v>
      </c>
      <c r="T96" t="n">
        <v>125</v>
      </c>
      <c r="U96" t="n">
        <v>118</v>
      </c>
      <c r="V96" s="2" t="inlineStr">
        <is>
          <t>Knärot
Talltita
Vedtrappmossa
Bronshjon
Grönpyrola
Vågbandad barkbock
Blåsippa
Kransmossa
Spillkråka
Tallbit
Grönsiska
Kungsfågel
Kopparödla</t>
        </is>
      </c>
      <c r="W96">
        <f>HYPERLINK("https://klasma.github.io/Logging_0380/artfynd/A 25604-2025 artfynd.xlsx", "A 25604-2025")</f>
        <v/>
      </c>
      <c r="X96">
        <f>HYPERLINK("https://klasma.github.io/Logging_0380/kartor/A 25604-2025 karta.png", "A 25604-2025")</f>
        <v/>
      </c>
      <c r="Y96">
        <f>HYPERLINK("https://klasma.github.io/Logging_0380/kartor_geotiff/A 25604-2025 georefererad karta.tif", "A 25604-2025")</f>
        <v/>
      </c>
      <c r="Z96">
        <f>HYPERLINK("https://klasma.github.io/Logging_0380/knärot/A 25604-2025 karta knärot.png", "A 25604-2025")</f>
        <v/>
      </c>
      <c r="AA96">
        <f>HYPERLINK("https://klasma.github.io/Logging_0380/klagomål/A 25604-2025 FSC-klagomål.docx", "A 25604-2025")</f>
        <v/>
      </c>
      <c r="AB96">
        <f>HYPERLINK("https://klasma.github.io/Logging_0380/klagomålsmail/A 25604-2025 FSC-klagomål mail.docx", "A 25604-2025")</f>
        <v/>
      </c>
      <c r="AC96">
        <f>HYPERLINK("https://klasma.github.io/Logging_0380/tillsyn/A 25604-2025 tillsynsbegäran.docx", "A 25604-2025")</f>
        <v/>
      </c>
      <c r="AD96">
        <f>HYPERLINK("https://klasma.github.io/Logging_0380/tillsynsmail/A 25604-2025 tillsynsbegäran mail.docx", "A 25604-2025")</f>
        <v/>
      </c>
      <c r="AE96">
        <f>HYPERLINK("https://klasma.github.io/Logging_0380/fåglar/A 25604-2025 prioriterade fågelarter.docx", "A 25604-2025")</f>
        <v/>
      </c>
    </row>
    <row r="97" ht="15" customHeight="1">
      <c r="A97" t="inlineStr">
        <is>
          <t>A 69711-2021</t>
        </is>
      </c>
      <c r="B97" t="inlineStr">
        <is>
          <t>avverkningsanmälan</t>
        </is>
      </c>
      <c r="C97" t="inlineStr">
        <is>
          <t>Föryngringsavverkning</t>
        </is>
      </c>
      <c r="D97" s="1" t="n">
        <v>44532</v>
      </c>
      <c r="E97" s="1" t="n">
        <v>46309</v>
      </c>
      <c r="F97" t="inlineStr">
        <is>
          <t>UPPSALA LÄN</t>
        </is>
      </c>
      <c r="G97" t="inlineStr">
        <is>
          <t>UPPSALA</t>
        </is>
      </c>
      <c r="I97" t="n">
        <v>10.2</v>
      </c>
      <c r="J97" t="n">
        <v>2</v>
      </c>
      <c r="K97" t="n">
        <v>7</v>
      </c>
      <c r="L97" t="n">
        <v>5</v>
      </c>
      <c r="M97" t="n">
        <v>0</v>
      </c>
      <c r="N97" t="n">
        <v>0</v>
      </c>
      <c r="O97" t="n">
        <v>0</v>
      </c>
      <c r="P97" t="n">
        <v>0</v>
      </c>
      <c r="Q97" t="n">
        <v>5</v>
      </c>
      <c r="R97" t="n">
        <v>0</v>
      </c>
      <c r="S97" t="n">
        <v>13</v>
      </c>
      <c r="T97" t="n">
        <v>35</v>
      </c>
      <c r="U97" t="n">
        <v>35</v>
      </c>
      <c r="V97" s="2" t="inlineStr">
        <is>
          <t>Motaggsvamp
Rynkskinn
Talltita
Ullticka
Vedtrappmossa
Brandticka
Dvärgtufs
Granbarkgnagare
Rödgul trumpetsvamp
Skinnlav
Trådticka
Vedticka
Tjäder</t>
        </is>
      </c>
      <c r="W97">
        <f>HYPERLINK("https://klasma.github.io/Logging_0380/artfynd/A 69711-2021 artfynd.xlsx", "A 69711-2021")</f>
        <v/>
      </c>
      <c r="X97">
        <f>HYPERLINK("https://klasma.github.io/Logging_0380/kartor/A 69711-2021 karta.png", "A 69711-2021")</f>
        <v/>
      </c>
      <c r="Y97">
        <f>HYPERLINK("https://klasma.github.io/Logging_0380/kartor_geotiff/A 69711-2021 georefererad karta.tif", "A 69711-2021")</f>
        <v/>
      </c>
      <c r="AA97">
        <f>HYPERLINK("https://klasma.github.io/Logging_0380/klagomål/A 69711-2021 FSC-klagomål.docx", "A 69711-2021")</f>
        <v/>
      </c>
      <c r="AB97">
        <f>HYPERLINK("https://klasma.github.io/Logging_0380/klagomålsmail/A 69711-2021 FSC-klagomål mail.docx", "A 69711-2021")</f>
        <v/>
      </c>
      <c r="AC97">
        <f>HYPERLINK("https://klasma.github.io/Logging_0380/tillsyn/A 69711-2021 tillsynsbegäran.docx", "A 69711-2021")</f>
        <v/>
      </c>
      <c r="AD97">
        <f>HYPERLINK("https://klasma.github.io/Logging_0380/tillsynsmail/A 69711-2021 tillsynsbegäran mail.docx", "A 69711-2021")</f>
        <v/>
      </c>
      <c r="AE97">
        <f>HYPERLINK("https://klasma.github.io/Logging_0380/fåglar/A 69711-2021 prioriterade fågelarter.docx", "A 69711-2021")</f>
        <v/>
      </c>
    </row>
    <row r="98" ht="15" customHeight="1">
      <c r="A98" t="inlineStr">
        <is>
          <t>A 3100-2024</t>
        </is>
      </c>
      <c r="B98" t="inlineStr">
        <is>
          <t>avverkningsanmälan</t>
        </is>
      </c>
      <c r="C98" t="inlineStr">
        <is>
          <t>Föryngringsavverkning</t>
        </is>
      </c>
      <c r="D98" s="1" t="n">
        <v>45316</v>
      </c>
      <c r="E98" s="1" t="n">
        <v>46309</v>
      </c>
      <c r="F98" t="inlineStr">
        <is>
          <t>UPPSALA LÄN</t>
        </is>
      </c>
      <c r="G98" t="inlineStr">
        <is>
          <t>UPPSALA</t>
        </is>
      </c>
      <c r="H98" t="inlineStr">
        <is>
          <t>Holmen skog AB</t>
        </is>
      </c>
      <c r="I98" t="n">
        <v>3.5</v>
      </c>
      <c r="J98" t="n">
        <v>10</v>
      </c>
      <c r="K98" t="n">
        <v>4</v>
      </c>
      <c r="L98" t="n">
        <v>3</v>
      </c>
      <c r="M98" t="n">
        <v>0</v>
      </c>
      <c r="N98" t="n">
        <v>0</v>
      </c>
      <c r="O98" t="n">
        <v>0</v>
      </c>
      <c r="P98" t="n">
        <v>0</v>
      </c>
      <c r="Q98" t="n">
        <v>3</v>
      </c>
      <c r="R98" t="n">
        <v>0</v>
      </c>
      <c r="S98" t="n">
        <v>13</v>
      </c>
      <c r="T98" t="n">
        <v>24</v>
      </c>
      <c r="U98" t="n">
        <v>23</v>
      </c>
      <c r="V98" s="2" t="inlineStr">
        <is>
          <t>Entita
Järnsparv
Talltita
Brandticka
Kärrkammossa
Nästrot
Underviol
Blåsippa
Grönsiska
Kungsfågel
Ärtsångare
Mindre vattensalamander
Vanlig groda</t>
        </is>
      </c>
      <c r="W98">
        <f>HYPERLINK("https://klasma.github.io/Logging_0380/artfynd/A 3100-2024 artfynd.xlsx", "A 3100-2024")</f>
        <v/>
      </c>
      <c r="X98">
        <f>HYPERLINK("https://klasma.github.io/Logging_0380/kartor/A 3100-2024 karta.png", "A 3100-2024")</f>
        <v/>
      </c>
      <c r="Y98">
        <f>HYPERLINK("https://klasma.github.io/Logging_0380/kartor_geotiff/A 3100-2024 georefererad karta.tif", "A 3100-2024")</f>
        <v/>
      </c>
      <c r="AA98">
        <f>HYPERLINK("https://klasma.github.io/Logging_0380/klagomål/A 3100-2024 FSC-klagomål.docx", "A 3100-2024")</f>
        <v/>
      </c>
      <c r="AB98">
        <f>HYPERLINK("https://klasma.github.io/Logging_0380/klagomålsmail/A 3100-2024 FSC-klagomål mail.docx", "A 3100-2024")</f>
        <v/>
      </c>
      <c r="AC98">
        <f>HYPERLINK("https://klasma.github.io/Logging_0380/tillsyn/A 3100-2024 tillsynsbegäran.docx", "A 3100-2024")</f>
        <v/>
      </c>
      <c r="AD98">
        <f>HYPERLINK("https://klasma.github.io/Logging_0380/tillsynsmail/A 3100-2024 tillsynsbegäran mail.docx", "A 3100-2024")</f>
        <v/>
      </c>
      <c r="AE98">
        <f>HYPERLINK("https://klasma.github.io/Logging_0380/fåglar/A 3100-2024 prioriterade fågelarter.docx", "A 3100-2024")</f>
        <v/>
      </c>
    </row>
    <row r="99" ht="15" customHeight="1">
      <c r="A99" t="inlineStr">
        <is>
          <t>A 7125-2023</t>
        </is>
      </c>
      <c r="B99" t="inlineStr">
        <is>
          <t>avverkningsanmälan</t>
        </is>
      </c>
      <c r="C99" t="inlineStr">
        <is>
          <t>Föryngringsavverkning</t>
        </is>
      </c>
      <c r="D99" s="1" t="n">
        <v>44970</v>
      </c>
      <c r="E99" s="1" t="n">
        <v>46309</v>
      </c>
      <c r="F99" t="inlineStr">
        <is>
          <t>UPPSALA LÄN</t>
        </is>
      </c>
      <c r="G99" t="inlineStr">
        <is>
          <t>TIERP</t>
        </is>
      </c>
      <c r="H99" t="inlineStr">
        <is>
          <t>Bergvik skog öst AB</t>
        </is>
      </c>
      <c r="I99" t="n">
        <v>23.2</v>
      </c>
      <c r="J99" t="n">
        <v>7</v>
      </c>
      <c r="K99" t="n">
        <v>4</v>
      </c>
      <c r="L99" t="n">
        <v>3</v>
      </c>
      <c r="M99" t="n">
        <v>1</v>
      </c>
      <c r="N99" t="n">
        <v>1</v>
      </c>
      <c r="O99" t="n">
        <v>0</v>
      </c>
      <c r="P99" t="n">
        <v>0</v>
      </c>
      <c r="Q99" t="n">
        <v>5</v>
      </c>
      <c r="R99" t="n">
        <v>2</v>
      </c>
      <c r="S99" t="n">
        <v>13</v>
      </c>
      <c r="T99" t="n">
        <v>53</v>
      </c>
      <c r="U99" t="n">
        <v>43</v>
      </c>
      <c r="V99" s="2" t="inlineStr">
        <is>
          <t>Ask
Knärot
Kattfotslav
Motaggsvamp
Vårärt
Nästrot
Rödgul trumpetsvamp
Skogsknipprot
Svavelriska
Blåsippa
Tjäder
Kungsfågel
Revlummer</t>
        </is>
      </c>
      <c r="W99">
        <f>HYPERLINK("https://klasma.github.io/Logging_0360/artfynd/A 7125-2023 artfynd.xlsx", "A 7125-2023")</f>
        <v/>
      </c>
      <c r="X99">
        <f>HYPERLINK("https://klasma.github.io/Logging_0360/kartor/A 7125-2023 karta.png", "A 7125-2023")</f>
        <v/>
      </c>
      <c r="Y99">
        <f>HYPERLINK("https://klasma.github.io/Logging_0360/kartor_geotiff/A 7125-2023 georefererad karta.tif", "A 7125-2023")</f>
        <v/>
      </c>
      <c r="Z99">
        <f>HYPERLINK("https://klasma.github.io/Logging_0360/knärot/A 7125-2023 karta knärot.png", "A 7125-2023")</f>
        <v/>
      </c>
      <c r="AA99">
        <f>HYPERLINK("https://klasma.github.io/Logging_0360/klagomål/A 7125-2023 FSC-klagomål.docx", "A 7125-2023")</f>
        <v/>
      </c>
      <c r="AB99">
        <f>HYPERLINK("https://klasma.github.io/Logging_0360/klagomålsmail/A 7125-2023 FSC-klagomål mail.docx", "A 7125-2023")</f>
        <v/>
      </c>
      <c r="AC99">
        <f>HYPERLINK("https://klasma.github.io/Logging_0360/tillsyn/A 7125-2023 tillsynsbegäran.docx", "A 7125-2023")</f>
        <v/>
      </c>
      <c r="AD99">
        <f>HYPERLINK("https://klasma.github.io/Logging_0360/tillsynsmail/A 7125-2023 tillsynsbegäran mail.docx", "A 7125-2023")</f>
        <v/>
      </c>
      <c r="AE99">
        <f>HYPERLINK("https://klasma.github.io/Logging_0360/fåglar/A 7125-2023 prioriterade fågelarter.docx", "A 7125-2023")</f>
        <v/>
      </c>
    </row>
    <row r="100" ht="15" customHeight="1">
      <c r="A100" t="inlineStr">
        <is>
          <t>A 43609-2023</t>
        </is>
      </c>
      <c r="B100" t="inlineStr">
        <is>
          <t>avverkningsanmälan</t>
        </is>
      </c>
      <c r="C100" t="inlineStr">
        <is>
          <t>Föryngringsavverkning</t>
        </is>
      </c>
      <c r="D100" s="1" t="n">
        <v>45181</v>
      </c>
      <c r="E100" s="1" t="n">
        <v>46309</v>
      </c>
      <c r="F100" t="inlineStr">
        <is>
          <t>UPPSALA LÄN</t>
        </is>
      </c>
      <c r="G100" t="inlineStr">
        <is>
          <t>TIERP</t>
        </is>
      </c>
      <c r="I100" t="n">
        <v>7.9</v>
      </c>
      <c r="J100" t="n">
        <v>0</v>
      </c>
      <c r="K100" t="n">
        <v>4</v>
      </c>
      <c r="L100" t="n">
        <v>6</v>
      </c>
      <c r="M100" t="n">
        <v>1</v>
      </c>
      <c r="N100" t="n">
        <v>2</v>
      </c>
      <c r="O100" t="n">
        <v>0</v>
      </c>
      <c r="P100" t="n">
        <v>0</v>
      </c>
      <c r="Q100" t="n">
        <v>9</v>
      </c>
      <c r="R100" t="n">
        <v>3</v>
      </c>
      <c r="S100" t="n">
        <v>13</v>
      </c>
      <c r="T100" t="n">
        <v>43</v>
      </c>
      <c r="U100" t="n">
        <v>22</v>
      </c>
      <c r="V100" s="2" t="inlineStr">
        <is>
          <t>Raggtaggsvamp
Violgubbe
Duvspindling
Blek fingersvamp
Fjällig taggsvamp s.str.
Flattoppad klubbsvamp
Odörspindling
Skarp dropptaggsvamp
Äggspindling
Anisspindling
Olivspindling
Rödgul trumpetsvamp
Svavelriska</t>
        </is>
      </c>
      <c r="W100">
        <f>HYPERLINK("https://klasma.github.io/Logging_0360/artfynd/A 43609-2023 artfynd.xlsx", "A 43609-2023")</f>
        <v/>
      </c>
      <c r="X100">
        <f>HYPERLINK("https://klasma.github.io/Logging_0360/kartor/A 43609-2023 karta.png", "A 43609-2023")</f>
        <v/>
      </c>
      <c r="Y100">
        <f>HYPERLINK("https://klasma.github.io/Logging_0360/kartor_geotiff/A 43609-2023 georefererad karta.tif", "A 43609-2023")</f>
        <v/>
      </c>
      <c r="Z100">
        <f>HYPERLINK("https://klasma.github.io/Logging_0360/knärot/A 43609-2023 karta knärot.png", "A 43609-2023")</f>
        <v/>
      </c>
      <c r="AA100">
        <f>HYPERLINK("https://klasma.github.io/Logging_0360/klagomål/A 43609-2023 FSC-klagomål.docx", "A 43609-2023")</f>
        <v/>
      </c>
      <c r="AB100">
        <f>HYPERLINK("https://klasma.github.io/Logging_0360/klagomålsmail/A 43609-2023 FSC-klagomål mail.docx", "A 43609-2023")</f>
        <v/>
      </c>
      <c r="AC100">
        <f>HYPERLINK("https://klasma.github.io/Logging_0360/tillsyn/A 43609-2023 tillsynsbegäran.docx", "A 43609-2023")</f>
        <v/>
      </c>
      <c r="AD100">
        <f>HYPERLINK("https://klasma.github.io/Logging_0360/tillsynsmail/A 43609-2023 tillsynsbegäran mail.docx", "A 43609-2023")</f>
        <v/>
      </c>
    </row>
    <row r="101" ht="15" customHeight="1">
      <c r="A101" t="inlineStr">
        <is>
          <t>A 27330-2025</t>
        </is>
      </c>
      <c r="B101" t="inlineStr">
        <is>
          <t>avverkningsanmälan</t>
        </is>
      </c>
      <c r="C101" t="inlineStr">
        <is>
          <t>Föryngringsavverkning</t>
        </is>
      </c>
      <c r="D101" s="1" t="n">
        <v>45812</v>
      </c>
      <c r="E101" s="1" t="n">
        <v>46309</v>
      </c>
      <c r="F101" t="inlineStr">
        <is>
          <t>UPPSALA LÄN</t>
        </is>
      </c>
      <c r="G101" t="inlineStr">
        <is>
          <t>ÄLVKARLEBY</t>
        </is>
      </c>
      <c r="H101" t="inlineStr">
        <is>
          <t>Bergvik skog väst AB</t>
        </is>
      </c>
      <c r="I101" t="n">
        <v>0.5</v>
      </c>
      <c r="J101" t="n">
        <v>1</v>
      </c>
      <c r="K101" t="n">
        <v>0</v>
      </c>
      <c r="L101" t="n">
        <v>3</v>
      </c>
      <c r="M101" t="n">
        <v>7</v>
      </c>
      <c r="N101" t="n">
        <v>1</v>
      </c>
      <c r="O101" t="n">
        <v>0</v>
      </c>
      <c r="P101" t="n">
        <v>0</v>
      </c>
      <c r="Q101" t="n">
        <v>11</v>
      </c>
      <c r="R101" t="n">
        <v>8</v>
      </c>
      <c r="S101" t="n">
        <v>12</v>
      </c>
      <c r="T101" t="n">
        <v>13</v>
      </c>
      <c r="U101" t="n">
        <v>8</v>
      </c>
      <c r="V101" s="2" t="inlineStr">
        <is>
          <t>Bitter taggsvamp
Bredbrämad bastardsvärmare
Frygisk spindling
Grangråticka
Kopparspindling
Mindre bastardsvärmare
Sexfläckig bastardsvärmare
Tvillingspindling
Rosenticka
Skarp dropptaggsvamp
Tjockfotad fingersvamp
Nattviol</t>
        </is>
      </c>
      <c r="W101">
        <f>HYPERLINK("https://klasma.github.io/Logging_0319/artfynd/A 27330-2025 artfynd.xlsx", "A 27330-2025")</f>
        <v/>
      </c>
      <c r="X101">
        <f>HYPERLINK("https://klasma.github.io/Logging_0319/kartor/A 27330-2025 karta.png", "A 27330-2025")</f>
        <v/>
      </c>
      <c r="Y101">
        <f>HYPERLINK("https://klasma.github.io/Logging_0319/kartor_geotiff/A 27330-2025 georefererad karta.tif", "A 27330-2025")</f>
        <v/>
      </c>
      <c r="AA101">
        <f>HYPERLINK("https://klasma.github.io/Logging_0319/klagomål/A 27330-2025 FSC-klagomål.docx", "A 27330-2025")</f>
        <v/>
      </c>
      <c r="AB101">
        <f>HYPERLINK("https://klasma.github.io/Logging_0319/klagomålsmail/A 27330-2025 FSC-klagomål mail.docx", "A 27330-2025")</f>
        <v/>
      </c>
      <c r="AC101">
        <f>HYPERLINK("https://klasma.github.io/Logging_0319/tillsyn/A 27330-2025 tillsynsbegäran.docx", "A 27330-2025")</f>
        <v/>
      </c>
      <c r="AD101">
        <f>HYPERLINK("https://klasma.github.io/Logging_0319/tillsynsmail/A 27330-2025 tillsynsbegäran mail.docx", "A 27330-2025")</f>
        <v/>
      </c>
    </row>
    <row r="102" ht="15" customHeight="1">
      <c r="A102" t="inlineStr">
        <is>
          <t>A 2021-2022</t>
        </is>
      </c>
      <c r="B102" t="inlineStr">
        <is>
          <t>avverkningsanmälan</t>
        </is>
      </c>
      <c r="C102" t="inlineStr">
        <is>
          <t>Föryngringsavverkning</t>
        </is>
      </c>
      <c r="D102" s="1" t="n">
        <v>44575</v>
      </c>
      <c r="E102" s="1" t="n">
        <v>46309</v>
      </c>
      <c r="F102" t="inlineStr">
        <is>
          <t>UPPSALA LÄN</t>
        </is>
      </c>
      <c r="G102" t="inlineStr">
        <is>
          <t>UPPSALA</t>
        </is>
      </c>
      <c r="I102" t="n">
        <v>11.3</v>
      </c>
      <c r="J102" t="n">
        <v>7</v>
      </c>
      <c r="K102" t="n">
        <v>1</v>
      </c>
      <c r="L102" t="n">
        <v>2</v>
      </c>
      <c r="M102" t="n">
        <v>2</v>
      </c>
      <c r="N102" t="n">
        <v>1</v>
      </c>
      <c r="O102" t="n">
        <v>0</v>
      </c>
      <c r="P102" t="n">
        <v>0</v>
      </c>
      <c r="Q102" t="n">
        <v>5</v>
      </c>
      <c r="R102" t="n">
        <v>3</v>
      </c>
      <c r="S102" t="n">
        <v>12</v>
      </c>
      <c r="T102" t="n">
        <v>27</v>
      </c>
      <c r="U102" t="n">
        <v>27</v>
      </c>
      <c r="V102" s="2" t="inlineStr">
        <is>
          <t>Ask
Gulvit blekspik
Stare
Motaggsvamp
Tallticka
Skinnlav
Blåsippa
Spillkråka
Buskskvätta
Grönsiska
Ärtsångare
Gullviva</t>
        </is>
      </c>
      <c r="W102">
        <f>HYPERLINK("https://klasma.github.io/Logging_0380/artfynd/A 2021-2022 artfynd.xlsx", "A 2021-2022")</f>
        <v/>
      </c>
      <c r="X102">
        <f>HYPERLINK("https://klasma.github.io/Logging_0380/kartor/A 2021-2022 karta.png", "A 2021-2022")</f>
        <v/>
      </c>
      <c r="Y102">
        <f>HYPERLINK("https://klasma.github.io/Logging_0380/kartor_geotiff/A 2021-2022 georefererad karta.tif", "A 2021-2022")</f>
        <v/>
      </c>
      <c r="AA102">
        <f>HYPERLINK("https://klasma.github.io/Logging_0380/klagomål/A 2021-2022 FSC-klagomål.docx", "A 2021-2022")</f>
        <v/>
      </c>
      <c r="AB102">
        <f>HYPERLINK("https://klasma.github.io/Logging_0380/klagomålsmail/A 2021-2022 FSC-klagomål mail.docx", "A 2021-2022")</f>
        <v/>
      </c>
      <c r="AC102">
        <f>HYPERLINK("https://klasma.github.io/Logging_0380/tillsyn/A 2021-2022 tillsynsbegäran.docx", "A 2021-2022")</f>
        <v/>
      </c>
      <c r="AD102">
        <f>HYPERLINK("https://klasma.github.io/Logging_0380/tillsynsmail/A 2021-2022 tillsynsbegäran mail.docx", "A 2021-2022")</f>
        <v/>
      </c>
      <c r="AE102">
        <f>HYPERLINK("https://klasma.github.io/Logging_0380/fåglar/A 2021-2022 prioriterade fågelarter.docx", "A 2021-2022")</f>
        <v/>
      </c>
    </row>
    <row r="103" ht="15" customHeight="1">
      <c r="A103" t="inlineStr">
        <is>
          <t>A 50796-2025</t>
        </is>
      </c>
      <c r="B103" t="inlineStr">
        <is>
          <t>avverkningsanmälan</t>
        </is>
      </c>
      <c r="C103" t="inlineStr">
        <is>
          <t>Föryngringsavverkning</t>
        </is>
      </c>
      <c r="D103" s="1" t="n">
        <v>45946</v>
      </c>
      <c r="E103" s="1" t="n">
        <v>46309</v>
      </c>
      <c r="F103" t="inlineStr">
        <is>
          <t>UPPSALA LÄN</t>
        </is>
      </c>
      <c r="G103" t="inlineStr">
        <is>
          <t>HEBY</t>
        </is>
      </c>
      <c r="I103" t="n">
        <v>12.6</v>
      </c>
      <c r="J103" t="n">
        <v>4</v>
      </c>
      <c r="K103" t="n">
        <v>5</v>
      </c>
      <c r="L103" t="n">
        <v>3</v>
      </c>
      <c r="M103" t="n">
        <v>2</v>
      </c>
      <c r="N103" t="n">
        <v>0</v>
      </c>
      <c r="O103" t="n">
        <v>0</v>
      </c>
      <c r="P103" t="n">
        <v>0</v>
      </c>
      <c r="Q103" t="n">
        <v>5</v>
      </c>
      <c r="R103" t="n">
        <v>2</v>
      </c>
      <c r="S103" t="n">
        <v>12</v>
      </c>
      <c r="T103" t="n">
        <v>70</v>
      </c>
      <c r="U103" t="n">
        <v>70</v>
      </c>
      <c r="V103" s="2" t="inlineStr">
        <is>
          <t>Garnlav
Knärot
Rynkskinn
Talltita
Ullticka
Bronshjon
Flagellkvastmossa
Grönpyrola
Vedticka
Vågbandad barkbock
Spillkråka
Revlummer</t>
        </is>
      </c>
      <c r="W103">
        <f>HYPERLINK("https://klasma.github.io/Logging_0331/artfynd/A 50796-2025 artfynd.xlsx", "A 50796-2025")</f>
        <v/>
      </c>
      <c r="X103">
        <f>HYPERLINK("https://klasma.github.io/Logging_0331/kartor/A 50796-2025 karta.png", "A 50796-2025")</f>
        <v/>
      </c>
      <c r="Y103">
        <f>HYPERLINK("https://klasma.github.io/Logging_0331/kartor_geotiff/A 50796-2025 georefererad karta.tif", "A 50796-2025")</f>
        <v/>
      </c>
      <c r="Z103">
        <f>HYPERLINK("https://klasma.github.io/Logging_0331/knärot/A 50796-2025 karta knärot.png", "A 50796-2025")</f>
        <v/>
      </c>
      <c r="AA103">
        <f>HYPERLINK("https://klasma.github.io/Logging_0331/klagomål/A 50796-2025 FSC-klagomål.docx", "A 50796-2025")</f>
        <v/>
      </c>
      <c r="AB103">
        <f>HYPERLINK("https://klasma.github.io/Logging_0331/klagomålsmail/A 50796-2025 FSC-klagomål mail.docx", "A 50796-2025")</f>
        <v/>
      </c>
      <c r="AC103">
        <f>HYPERLINK("https://klasma.github.io/Logging_0331/tillsyn/A 50796-2025 tillsynsbegäran.docx", "A 50796-2025")</f>
        <v/>
      </c>
      <c r="AD103">
        <f>HYPERLINK("https://klasma.github.io/Logging_0331/tillsynsmail/A 50796-2025 tillsynsbegäran mail.docx", "A 50796-2025")</f>
        <v/>
      </c>
      <c r="AE103">
        <f>HYPERLINK("https://klasma.github.io/Logging_0331/fåglar/A 50796-2025 prioriterade fågelarter.docx", "A 50796-2025")</f>
        <v/>
      </c>
    </row>
    <row r="104" ht="15" customHeight="1">
      <c r="A104" t="inlineStr">
        <is>
          <t>A 15556-2022</t>
        </is>
      </c>
      <c r="B104" t="inlineStr">
        <is>
          <t>avverkningsanmälan</t>
        </is>
      </c>
      <c r="C104" t="inlineStr">
        <is>
          <t>Föryngringsavverkning</t>
        </is>
      </c>
      <c r="D104" s="1" t="n">
        <v>44662</v>
      </c>
      <c r="E104" s="1" t="n">
        <v>46309</v>
      </c>
      <c r="F104" t="inlineStr">
        <is>
          <t>UPPSALA LÄN</t>
        </is>
      </c>
      <c r="G104" t="inlineStr">
        <is>
          <t>ÖSTHAMMAR</t>
        </is>
      </c>
      <c r="I104" t="n">
        <v>9.9</v>
      </c>
      <c r="J104" t="n">
        <v>3</v>
      </c>
      <c r="K104" t="n">
        <v>5</v>
      </c>
      <c r="L104" t="n">
        <v>6</v>
      </c>
      <c r="M104" t="n">
        <v>1</v>
      </c>
      <c r="N104" t="n">
        <v>0</v>
      </c>
      <c r="O104" t="n">
        <v>0</v>
      </c>
      <c r="P104" t="n">
        <v>0</v>
      </c>
      <c r="Q104" t="n">
        <v>7</v>
      </c>
      <c r="R104" t="n">
        <v>1</v>
      </c>
      <c r="S104" t="n">
        <v>12</v>
      </c>
      <c r="T104" t="n">
        <v>16</v>
      </c>
      <c r="U104" t="n">
        <v>10</v>
      </c>
      <c r="V104" s="2" t="inlineStr">
        <is>
          <t>Grönfink
Blek fingersvamp
Gulsparv
Kryddspindling
Kungsspindling
Tallticka
Ullticka
Hasselticka
Olivspindling
Skogsknipprot
Svart trolldruva
Tibast</t>
        </is>
      </c>
      <c r="W104">
        <f>HYPERLINK("https://klasma.github.io/Logging_0382/artfynd/A 15556-2022 artfynd.xlsx", "A 15556-2022")</f>
        <v/>
      </c>
      <c r="X104">
        <f>HYPERLINK("https://klasma.github.io/Logging_0382/kartor/A 15556-2022 karta.png", "A 15556-2022")</f>
        <v/>
      </c>
      <c r="Y104">
        <f>HYPERLINK("https://klasma.github.io/Logging_0382/kartor_geotiff/A 15556-2022 georefererad karta.tif", "A 15556-2022")</f>
        <v/>
      </c>
      <c r="AA104">
        <f>HYPERLINK("https://klasma.github.io/Logging_0382/klagomål/A 15556-2022 FSC-klagomål.docx", "A 15556-2022")</f>
        <v/>
      </c>
      <c r="AB104">
        <f>HYPERLINK("https://klasma.github.io/Logging_0382/klagomålsmail/A 15556-2022 FSC-klagomål mail.docx", "A 15556-2022")</f>
        <v/>
      </c>
      <c r="AC104">
        <f>HYPERLINK("https://klasma.github.io/Logging_0382/tillsyn/A 15556-2022 tillsynsbegäran.docx", "A 15556-2022")</f>
        <v/>
      </c>
      <c r="AD104">
        <f>HYPERLINK("https://klasma.github.io/Logging_0382/tillsynsmail/A 15556-2022 tillsynsbegäran mail.docx", "A 15556-2022")</f>
        <v/>
      </c>
      <c r="AE104">
        <f>HYPERLINK("https://klasma.github.io/Logging_0382/fåglar/A 15556-2022 prioriterade fågelarter.docx", "A 15556-2022")</f>
        <v/>
      </c>
    </row>
    <row r="105" ht="15" customHeight="1">
      <c r="A105" t="inlineStr">
        <is>
          <t>A 63059-2025</t>
        </is>
      </c>
      <c r="B105" t="inlineStr">
        <is>
          <t>avverkningsanmälan</t>
        </is>
      </c>
      <c r="C105" t="inlineStr">
        <is>
          <t>Föryngringsavverkning</t>
        </is>
      </c>
      <c r="D105" s="1" t="n">
        <v>46009</v>
      </c>
      <c r="E105" s="1" t="n">
        <v>46309</v>
      </c>
      <c r="F105" t="inlineStr">
        <is>
          <t>UPPSALA LÄN</t>
        </is>
      </c>
      <c r="G105" t="inlineStr">
        <is>
          <t>UPPSALA</t>
        </is>
      </c>
      <c r="I105" t="n">
        <v>15.4</v>
      </c>
      <c r="J105" t="n">
        <v>5</v>
      </c>
      <c r="K105" t="n">
        <v>4</v>
      </c>
      <c r="L105" t="n">
        <v>2</v>
      </c>
      <c r="M105" t="n">
        <v>1</v>
      </c>
      <c r="N105" t="n">
        <v>0</v>
      </c>
      <c r="O105" t="n">
        <v>0</v>
      </c>
      <c r="P105" t="n">
        <v>0</v>
      </c>
      <c r="Q105" t="n">
        <v>3</v>
      </c>
      <c r="R105" t="n">
        <v>1</v>
      </c>
      <c r="S105" t="n">
        <v>12</v>
      </c>
      <c r="T105" t="n">
        <v>40</v>
      </c>
      <c r="U105" t="n">
        <v>40</v>
      </c>
      <c r="V105" s="2" t="inlineStr">
        <is>
          <t>Knärot
Rynkskinn
Ullticka
Brandticka
Granbarkgnagare
Grönpyrola
Vedticka
Blåsippa
Ormbär
Spillkråka
Grön mosaikslända
Revlummer</t>
        </is>
      </c>
      <c r="W105">
        <f>HYPERLINK("https://klasma.github.io/Logging_0380/artfynd/A 63059-2025 artfynd.xlsx", "A 63059-2025")</f>
        <v/>
      </c>
      <c r="X105">
        <f>HYPERLINK("https://klasma.github.io/Logging_0380/kartor/A 63059-2025 karta.png", "A 63059-2025")</f>
        <v/>
      </c>
      <c r="Y105">
        <f>HYPERLINK("https://klasma.github.io/Logging_0380/kartor_geotiff/A 63059-2025 georefererad karta.tif", "A 63059-2025")</f>
        <v/>
      </c>
      <c r="Z105">
        <f>HYPERLINK("https://klasma.github.io/Logging_0380/knärot/A 63059-2025 karta knärot.png", "A 63059-2025")</f>
        <v/>
      </c>
      <c r="AA105">
        <f>HYPERLINK("https://klasma.github.io/Logging_0380/klagomål/A 63059-2025 FSC-klagomål.docx", "A 63059-2025")</f>
        <v/>
      </c>
      <c r="AB105">
        <f>HYPERLINK("https://klasma.github.io/Logging_0380/klagomålsmail/A 63059-2025 FSC-klagomål mail.docx", "A 63059-2025")</f>
        <v/>
      </c>
      <c r="AC105">
        <f>HYPERLINK("https://klasma.github.io/Logging_0380/tillsyn/A 63059-2025 tillsynsbegäran.docx", "A 63059-2025")</f>
        <v/>
      </c>
      <c r="AD105">
        <f>HYPERLINK("https://klasma.github.io/Logging_0380/tillsynsmail/A 63059-2025 tillsynsbegäran mail.docx", "A 63059-2025")</f>
        <v/>
      </c>
      <c r="AE105">
        <f>HYPERLINK("https://klasma.github.io/Logging_0380/fåglar/A 63059-2025 prioriterade fågelarter.docx", "A 63059-2025")</f>
        <v/>
      </c>
    </row>
    <row r="106" ht="15" customHeight="1">
      <c r="A106" t="inlineStr">
        <is>
          <t>A 46162-2023</t>
        </is>
      </c>
      <c r="B106" t="inlineStr">
        <is>
          <t>avverkningsanmälan</t>
        </is>
      </c>
      <c r="C106" t="inlineStr">
        <is>
          <t>Föryngringsavverkning</t>
        </is>
      </c>
      <c r="D106" s="1" t="n">
        <v>45196</v>
      </c>
      <c r="E106" s="1" t="n">
        <v>46309</v>
      </c>
      <c r="F106" t="inlineStr">
        <is>
          <t>UPPSALA LÄN</t>
        </is>
      </c>
      <c r="G106" t="inlineStr">
        <is>
          <t>UPPSALA</t>
        </is>
      </c>
      <c r="I106" t="n">
        <v>5.5</v>
      </c>
      <c r="J106" t="n">
        <v>1</v>
      </c>
      <c r="K106" t="n">
        <v>5</v>
      </c>
      <c r="L106" t="n">
        <v>6</v>
      </c>
      <c r="M106" t="n">
        <v>1</v>
      </c>
      <c r="N106" t="n">
        <v>0</v>
      </c>
      <c r="O106" t="n">
        <v>0</v>
      </c>
      <c r="P106" t="n">
        <v>0</v>
      </c>
      <c r="Q106" t="n">
        <v>7</v>
      </c>
      <c r="R106" t="n">
        <v>1</v>
      </c>
      <c r="S106" t="n">
        <v>12</v>
      </c>
      <c r="T106" t="n">
        <v>42</v>
      </c>
      <c r="U106" t="n">
        <v>0</v>
      </c>
      <c r="V106" s="2" t="inlineStr">
        <is>
          <t>Knärot
Dropptaggsvamp
Fjällig taggsvamp s.str.
Rynkskinn
Såpfingersvamp
Ullticka
Vedtrappmossa
Bronshjon
Grönpyrola
Svavelriska
Vedticka
Vågbandad barkbock</t>
        </is>
      </c>
      <c r="W106">
        <f>HYPERLINK("https://klasma.github.io/Logging_0380/artfynd/A 46162-2023 artfynd.xlsx", "A 46162-2023")</f>
        <v/>
      </c>
      <c r="X106">
        <f>HYPERLINK("https://klasma.github.io/Logging_0380/kartor/A 46162-2023 karta.png", "A 46162-2023")</f>
        <v/>
      </c>
      <c r="Y106">
        <f>HYPERLINK("https://klasma.github.io/Logging_0380/kartor_geotiff/A 46162-2023 georefererad karta.tif", "A 46162-2023")</f>
        <v/>
      </c>
      <c r="Z106">
        <f>HYPERLINK("https://klasma.github.io/Logging_0380/knärot/A 46162-2023 karta knärot.png", "A 46162-2023")</f>
        <v/>
      </c>
      <c r="AA106">
        <f>HYPERLINK("https://klasma.github.io/Logging_0380/klagomål/A 46162-2023 FSC-klagomål.docx", "A 46162-2023")</f>
        <v/>
      </c>
      <c r="AB106">
        <f>HYPERLINK("https://klasma.github.io/Logging_0380/klagomålsmail/A 46162-2023 FSC-klagomål mail.docx", "A 46162-2023")</f>
        <v/>
      </c>
      <c r="AC106">
        <f>HYPERLINK("https://klasma.github.io/Logging_0380/tillsyn/A 46162-2023 tillsynsbegäran.docx", "A 46162-2023")</f>
        <v/>
      </c>
      <c r="AD106">
        <f>HYPERLINK("https://klasma.github.io/Logging_0380/tillsynsmail/A 46162-2023 tillsynsbegäran mail.docx", "A 46162-2023")</f>
        <v/>
      </c>
    </row>
    <row r="107" ht="15" customHeight="1">
      <c r="A107" t="inlineStr">
        <is>
          <t>A 6086-2026</t>
        </is>
      </c>
      <c r="B107" t="inlineStr">
        <is>
          <t>avverkningsanmälan</t>
        </is>
      </c>
      <c r="C107" t="inlineStr">
        <is>
          <t>Föryngringsavverkning</t>
        </is>
      </c>
      <c r="D107" s="1" t="n">
        <v>46052</v>
      </c>
      <c r="E107" s="1" t="n">
        <v>46309</v>
      </c>
      <c r="F107" t="inlineStr">
        <is>
          <t>UPPSALA LÄN</t>
        </is>
      </c>
      <c r="G107" t="inlineStr">
        <is>
          <t>TIERP</t>
        </is>
      </c>
      <c r="I107" t="n">
        <v>4.6</v>
      </c>
      <c r="J107" t="n">
        <v>1</v>
      </c>
      <c r="K107" t="n">
        <v>4</v>
      </c>
      <c r="L107" t="n">
        <v>7</v>
      </c>
      <c r="M107" t="n">
        <v>1</v>
      </c>
      <c r="N107" t="n">
        <v>0</v>
      </c>
      <c r="O107" t="n">
        <v>0</v>
      </c>
      <c r="P107" t="n">
        <v>0</v>
      </c>
      <c r="Q107" t="n">
        <v>8</v>
      </c>
      <c r="R107" t="n">
        <v>1</v>
      </c>
      <c r="S107" t="n">
        <v>12</v>
      </c>
      <c r="T107" t="n">
        <v>13</v>
      </c>
      <c r="U107" t="n">
        <v>0</v>
      </c>
      <c r="V107" s="2" t="inlineStr">
        <is>
          <t>Kopparspindling
Dropptaggsvamp
Fjällig taggsvamp s.str.
Kattfotslav
Orange taggsvamp
Puderspindling
Skarp dropptaggsvamp
Sparvuggla
Anisspindling
Olivspindling
Rödgul trumpetsvamp
Svavelriska</t>
        </is>
      </c>
      <c r="W107">
        <f>HYPERLINK("https://klasma.github.io/Logging_0360/artfynd/A 6086-2026 artfynd.xlsx", "A 6086-2026")</f>
        <v/>
      </c>
      <c r="X107">
        <f>HYPERLINK("https://klasma.github.io/Logging_0360/kartor/A 6086-2026 karta.png", "A 6086-2026")</f>
        <v/>
      </c>
      <c r="Y107">
        <f>HYPERLINK("https://klasma.github.io/Logging_0360/kartor_geotiff/A 6086-2026 georefererad karta.tif", "A 6086-2026")</f>
        <v/>
      </c>
      <c r="AA107">
        <f>HYPERLINK("https://klasma.github.io/Logging_0360/klagomål/A 6086-2026 FSC-klagomål.docx", "A 6086-2026")</f>
        <v/>
      </c>
      <c r="AB107">
        <f>HYPERLINK("https://klasma.github.io/Logging_0360/klagomålsmail/A 6086-2026 FSC-klagomål mail.docx", "A 6086-2026")</f>
        <v/>
      </c>
      <c r="AC107">
        <f>HYPERLINK("https://klasma.github.io/Logging_0360/tillsyn/A 6086-2026 tillsynsbegäran.docx", "A 6086-2026")</f>
        <v/>
      </c>
      <c r="AD107">
        <f>HYPERLINK("https://klasma.github.io/Logging_0360/tillsynsmail/A 6086-2026 tillsynsbegäran mail.docx", "A 6086-2026")</f>
        <v/>
      </c>
      <c r="AE107">
        <f>HYPERLINK("https://klasma.github.io/Logging_0360/fåglar/A 6086-2026 prioriterade fågelarter.docx", "A 6086-2026")</f>
        <v/>
      </c>
    </row>
    <row r="108" ht="15" customHeight="1">
      <c r="A108" t="inlineStr">
        <is>
          <t>A 22258-2022</t>
        </is>
      </c>
      <c r="B108" t="inlineStr">
        <is>
          <t>avverkningsanmälan</t>
        </is>
      </c>
      <c r="C108" t="inlineStr">
        <is>
          <t>Föryngringsavverkning</t>
        </is>
      </c>
      <c r="D108" s="1" t="n">
        <v>44712</v>
      </c>
      <c r="E108" s="1" t="n">
        <v>46309</v>
      </c>
      <c r="F108" t="inlineStr">
        <is>
          <t>UPPSALA LÄN</t>
        </is>
      </c>
      <c r="G108" t="inlineStr">
        <is>
          <t>KNIVSTA</t>
        </is>
      </c>
      <c r="I108" t="n">
        <v>1.4</v>
      </c>
      <c r="J108" t="n">
        <v>4</v>
      </c>
      <c r="K108" t="n">
        <v>6</v>
      </c>
      <c r="L108" t="n">
        <v>1</v>
      </c>
      <c r="M108" t="n">
        <v>1</v>
      </c>
      <c r="N108" t="n">
        <v>1</v>
      </c>
      <c r="O108" t="n">
        <v>0</v>
      </c>
      <c r="P108" t="n">
        <v>0</v>
      </c>
      <c r="Q108" t="n">
        <v>3</v>
      </c>
      <c r="R108" t="n">
        <v>2</v>
      </c>
      <c r="S108" t="n">
        <v>12</v>
      </c>
      <c r="T108" t="n">
        <v>26</v>
      </c>
      <c r="U108" t="n">
        <v>21</v>
      </c>
      <c r="V108" s="2" t="inlineStr">
        <is>
          <t>Bombmurkla
Knärot
Ullticka
Granbarkgnagare
Grov fjädermossa
Grönpyrola
Kamjordstjärna
Platt fjädermossa
Svart trolldruva
Blåsippa
Kransmossa
Spillkråka</t>
        </is>
      </c>
      <c r="W108">
        <f>HYPERLINK("https://klasma.github.io/Logging_0330/artfynd/A 22258-2022 artfynd.xlsx", "A 22258-2022")</f>
        <v/>
      </c>
      <c r="X108">
        <f>HYPERLINK("https://klasma.github.io/Logging_0330/kartor/A 22258-2022 karta.png", "A 22258-2022")</f>
        <v/>
      </c>
      <c r="Y108">
        <f>HYPERLINK("https://klasma.github.io/Logging_0330/kartor_geotiff/A 22258-2022 georefererad karta.tif", "A 22258-2022")</f>
        <v/>
      </c>
      <c r="Z108">
        <f>HYPERLINK("https://klasma.github.io/Logging_0330/knärot/A 22258-2022 karta knärot.png", "A 22258-2022")</f>
        <v/>
      </c>
      <c r="AA108">
        <f>HYPERLINK("https://klasma.github.io/Logging_0330/klagomål/A 22258-2022 FSC-klagomål.docx", "A 22258-2022")</f>
        <v/>
      </c>
      <c r="AB108">
        <f>HYPERLINK("https://klasma.github.io/Logging_0330/klagomålsmail/A 22258-2022 FSC-klagomål mail.docx", "A 22258-2022")</f>
        <v/>
      </c>
      <c r="AC108">
        <f>HYPERLINK("https://klasma.github.io/Logging_0330/tillsyn/A 22258-2022 tillsynsbegäran.docx", "A 22258-2022")</f>
        <v/>
      </c>
      <c r="AD108">
        <f>HYPERLINK("https://klasma.github.io/Logging_0330/tillsynsmail/A 22258-2022 tillsynsbegäran mail.docx", "A 22258-2022")</f>
        <v/>
      </c>
      <c r="AE108">
        <f>HYPERLINK("https://klasma.github.io/Logging_0330/fåglar/A 22258-2022 prioriterade fågelarter.docx", "A 22258-2022")</f>
        <v/>
      </c>
    </row>
    <row r="109" ht="15" customHeight="1">
      <c r="A109" t="inlineStr">
        <is>
          <t>A 21038-2023</t>
        </is>
      </c>
      <c r="B109" t="inlineStr">
        <is>
          <t>avverkningsanmälan</t>
        </is>
      </c>
      <c r="C109" t="inlineStr">
        <is>
          <t>Föryngringsavverkning</t>
        </is>
      </c>
      <c r="D109" s="1" t="n">
        <v>45061</v>
      </c>
      <c r="E109" s="1" t="n">
        <v>46309</v>
      </c>
      <c r="F109" t="inlineStr">
        <is>
          <t>UPPSALA LÄN</t>
        </is>
      </c>
      <c r="G109" t="inlineStr">
        <is>
          <t>TIERP</t>
        </is>
      </c>
      <c r="H109" t="inlineStr">
        <is>
          <t>Bergvik skog öst AB</t>
        </is>
      </c>
      <c r="I109" t="n">
        <v>7.8</v>
      </c>
      <c r="J109" t="n">
        <v>3</v>
      </c>
      <c r="K109" t="n">
        <v>5</v>
      </c>
      <c r="L109" t="n">
        <v>4</v>
      </c>
      <c r="M109" t="n">
        <v>1</v>
      </c>
      <c r="N109" t="n">
        <v>0</v>
      </c>
      <c r="O109" t="n">
        <v>0</v>
      </c>
      <c r="P109" t="n">
        <v>0</v>
      </c>
      <c r="Q109" t="n">
        <v>5</v>
      </c>
      <c r="R109" t="n">
        <v>1</v>
      </c>
      <c r="S109" t="n">
        <v>12</v>
      </c>
      <c r="T109" t="n">
        <v>26</v>
      </c>
      <c r="U109" t="n">
        <v>25</v>
      </c>
      <c r="V109" s="2" t="inlineStr">
        <is>
          <t>Knärot
Fjällig taggsvamp s.str.
Orange taggsvamp
Skarp dropptaggsvamp
Ullticka
Grönpyrola
Rödgul trumpetsvamp
Skogshakmossa
Stubbspretmossa
Svart trolldruva
Blåsippa
Järpe</t>
        </is>
      </c>
      <c r="W109">
        <f>HYPERLINK("https://klasma.github.io/Logging_0360/artfynd/A 21038-2023 artfynd.xlsx", "A 21038-2023")</f>
        <v/>
      </c>
      <c r="X109">
        <f>HYPERLINK("https://klasma.github.io/Logging_0360/kartor/A 21038-2023 karta.png", "A 21038-2023")</f>
        <v/>
      </c>
      <c r="Y109">
        <f>HYPERLINK("https://klasma.github.io/Logging_0360/kartor_geotiff/A 21038-2023 georefererad karta.tif", "A 21038-2023")</f>
        <v/>
      </c>
      <c r="Z109">
        <f>HYPERLINK("https://klasma.github.io/Logging_0360/knärot/A 21038-2023 karta knärot.png", "A 21038-2023")</f>
        <v/>
      </c>
      <c r="AA109">
        <f>HYPERLINK("https://klasma.github.io/Logging_0360/klagomål/A 21038-2023 FSC-klagomål.docx", "A 21038-2023")</f>
        <v/>
      </c>
      <c r="AB109">
        <f>HYPERLINK("https://klasma.github.io/Logging_0360/klagomålsmail/A 21038-2023 FSC-klagomål mail.docx", "A 21038-2023")</f>
        <v/>
      </c>
      <c r="AC109">
        <f>HYPERLINK("https://klasma.github.io/Logging_0360/tillsyn/A 21038-2023 tillsynsbegäran.docx", "A 21038-2023")</f>
        <v/>
      </c>
      <c r="AD109">
        <f>HYPERLINK("https://klasma.github.io/Logging_0360/tillsynsmail/A 21038-2023 tillsynsbegäran mail.docx", "A 21038-2023")</f>
        <v/>
      </c>
      <c r="AE109">
        <f>HYPERLINK("https://klasma.github.io/Logging_0360/fåglar/A 21038-2023 prioriterade fågelarter.docx", "A 21038-2023")</f>
        <v/>
      </c>
    </row>
    <row r="110" ht="15" customHeight="1">
      <c r="A110" t="inlineStr">
        <is>
          <t>A 29340-2026</t>
        </is>
      </c>
      <c r="B110" t="inlineStr">
        <is>
          <t>avverkningsanmälan</t>
        </is>
      </c>
      <c r="C110" t="inlineStr">
        <is>
          <t>Föryngringsavverkning</t>
        </is>
      </c>
      <c r="D110" s="1" t="n">
        <v>46202</v>
      </c>
      <c r="E110" s="1" t="n">
        <v>46309</v>
      </c>
      <c r="F110" t="inlineStr">
        <is>
          <t>UPPSALA LÄN</t>
        </is>
      </c>
      <c r="G110" t="inlineStr">
        <is>
          <t>TIERP</t>
        </is>
      </c>
      <c r="I110" t="n">
        <v>8.6</v>
      </c>
      <c r="J110" t="n">
        <v>12</v>
      </c>
      <c r="K110" t="n">
        <v>0</v>
      </c>
      <c r="L110" t="n">
        <v>4</v>
      </c>
      <c r="M110" t="n">
        <v>0</v>
      </c>
      <c r="N110" t="n">
        <v>0</v>
      </c>
      <c r="O110" t="n">
        <v>0</v>
      </c>
      <c r="P110" t="n">
        <v>0</v>
      </c>
      <c r="Q110" t="n">
        <v>4</v>
      </c>
      <c r="R110" t="n">
        <v>0</v>
      </c>
      <c r="S110" t="n">
        <v>12</v>
      </c>
      <c r="T110" t="n">
        <v>12</v>
      </c>
      <c r="U110" t="n">
        <v>0</v>
      </c>
      <c r="V110" s="2" t="inlineStr">
        <is>
          <t>Gulsparv
Järnsparv
Rödvingetrast
Talltita
Spillkråka
Gröngöling
Grönsiska
Kungsfågel
Orre
Skogsduva
Slaguggla
Trana</t>
        </is>
      </c>
      <c r="W110">
        <f>HYPERLINK("https://klasma.github.io/Logging_0360/artfynd/A 29340-2026 artfynd.xlsx", "A 29340-2026")</f>
        <v/>
      </c>
      <c r="X110">
        <f>HYPERLINK("https://klasma.github.io/Logging_0360/kartor/A 29340-2026 karta.png", "A 29340-2026")</f>
        <v/>
      </c>
      <c r="Y110">
        <f>HYPERLINK("https://klasma.github.io/Logging_0360/kartor_geotiff/A 29340-2026 georefererad karta.tif", "A 29340-2026")</f>
        <v/>
      </c>
      <c r="AA110">
        <f>HYPERLINK("https://klasma.github.io/Logging_0360/klagomål/A 29340-2026 FSC-klagomål.docx", "A 29340-2026")</f>
        <v/>
      </c>
      <c r="AB110">
        <f>HYPERLINK("https://klasma.github.io/Logging_0360/klagomålsmail/A 29340-2026 FSC-klagomål mail.docx", "A 29340-2026")</f>
        <v/>
      </c>
      <c r="AC110">
        <f>HYPERLINK("https://klasma.github.io/Logging_0360/tillsyn/A 29340-2026 tillsynsbegäran.docx", "A 29340-2026")</f>
        <v/>
      </c>
      <c r="AD110">
        <f>HYPERLINK("https://klasma.github.io/Logging_0360/tillsynsmail/A 29340-2026 tillsynsbegäran mail.docx", "A 29340-2026")</f>
        <v/>
      </c>
      <c r="AE110">
        <f>HYPERLINK("https://klasma.github.io/Logging_0360/fåglar/A 29340-2026 prioriterade fågelarter.docx", "A 29340-2026")</f>
        <v/>
      </c>
    </row>
    <row r="111" ht="15" customHeight="1">
      <c r="A111" t="inlineStr">
        <is>
          <t>A 47453-2023</t>
        </is>
      </c>
      <c r="B111" t="inlineStr">
        <is>
          <t>avverkningsanmälan</t>
        </is>
      </c>
      <c r="C111" t="inlineStr">
        <is>
          <t>Föryngringsavverkning</t>
        </is>
      </c>
      <c r="D111" s="1" t="n">
        <v>45202</v>
      </c>
      <c r="E111" s="1" t="n">
        <v>46309</v>
      </c>
      <c r="F111" t="inlineStr">
        <is>
          <t>UPPSALA LÄN</t>
        </is>
      </c>
      <c r="G111" t="inlineStr">
        <is>
          <t>UPPSALA</t>
        </is>
      </c>
      <c r="H111" t="inlineStr">
        <is>
          <t>Allmännings- och besparingsskogar</t>
        </is>
      </c>
      <c r="I111" t="n">
        <v>32.8</v>
      </c>
      <c r="J111" t="n">
        <v>5</v>
      </c>
      <c r="K111" t="n">
        <v>3</v>
      </c>
      <c r="L111" t="n">
        <v>6</v>
      </c>
      <c r="M111" t="n">
        <v>2</v>
      </c>
      <c r="N111" t="n">
        <v>0</v>
      </c>
      <c r="O111" t="n">
        <v>0</v>
      </c>
      <c r="P111" t="n">
        <v>0</v>
      </c>
      <c r="Q111" t="n">
        <v>8</v>
      </c>
      <c r="R111" t="n">
        <v>2</v>
      </c>
      <c r="S111" t="n">
        <v>12</v>
      </c>
      <c r="T111" t="n">
        <v>23</v>
      </c>
      <c r="U111" t="n">
        <v>4</v>
      </c>
      <c r="V111" s="2" t="inlineStr">
        <is>
          <t>Knärot
Ostticka
Sparvuggla
Större flatbagge
Tallticka
Talltita
Tretåig hackspett
Vedtrappmossa
Bronshjon
Jättesvampmal
Thomsons trägnagare
Tjäder</t>
        </is>
      </c>
      <c r="W111">
        <f>HYPERLINK("https://klasma.github.io/Logging_0380/artfynd/A 47453-2023 artfynd.xlsx", "A 47453-2023")</f>
        <v/>
      </c>
      <c r="X111">
        <f>HYPERLINK("https://klasma.github.io/Logging_0380/kartor/A 47453-2023 karta.png", "A 47453-2023")</f>
        <v/>
      </c>
      <c r="Y111">
        <f>HYPERLINK("https://klasma.github.io/Logging_0380/kartor_geotiff/A 47453-2023 georefererad karta.tif", "A 47453-2023")</f>
        <v/>
      </c>
      <c r="Z111">
        <f>HYPERLINK("https://klasma.github.io/Logging_0380/knärot/A 47453-2023 karta knärot.png", "A 47453-2023")</f>
        <v/>
      </c>
      <c r="AA111">
        <f>HYPERLINK("https://klasma.github.io/Logging_0380/klagomål/A 47453-2023 FSC-klagomål.docx", "A 47453-2023")</f>
        <v/>
      </c>
      <c r="AB111">
        <f>HYPERLINK("https://klasma.github.io/Logging_0380/klagomålsmail/A 47453-2023 FSC-klagomål mail.docx", "A 47453-2023")</f>
        <v/>
      </c>
      <c r="AC111">
        <f>HYPERLINK("https://klasma.github.io/Logging_0380/tillsyn/A 47453-2023 tillsynsbegäran.docx", "A 47453-2023")</f>
        <v/>
      </c>
      <c r="AD111">
        <f>HYPERLINK("https://klasma.github.io/Logging_0380/tillsynsmail/A 47453-2023 tillsynsbegäran mail.docx", "A 47453-2023")</f>
        <v/>
      </c>
      <c r="AE111">
        <f>HYPERLINK("https://klasma.github.io/Logging_0380/fåglar/A 47453-2023 prioriterade fågelarter.docx", "A 47453-2023")</f>
        <v/>
      </c>
    </row>
    <row r="112" ht="15" customHeight="1">
      <c r="A112" t="inlineStr">
        <is>
          <t>A 40403-2026</t>
        </is>
      </c>
      <c r="B112" t="inlineStr">
        <is>
          <t>avverkningsanmälan</t>
        </is>
      </c>
      <c r="C112" t="inlineStr">
        <is>
          <t>Föryngringsavverkning</t>
        </is>
      </c>
      <c r="D112" s="1" t="n">
        <v>46294</v>
      </c>
      <c r="E112" s="1" t="n">
        <v>46309</v>
      </c>
      <c r="F112" t="inlineStr">
        <is>
          <t>UPPSALA LÄN</t>
        </is>
      </c>
      <c r="G112" t="inlineStr">
        <is>
          <t>TIERP</t>
        </is>
      </c>
      <c r="H112" t="inlineStr">
        <is>
          <t>Bergvik skog öst AB</t>
        </is>
      </c>
      <c r="I112" t="n">
        <v>10</v>
      </c>
      <c r="J112" t="n">
        <v>7</v>
      </c>
      <c r="K112" t="n">
        <v>1</v>
      </c>
      <c r="L112" t="n">
        <v>5</v>
      </c>
      <c r="M112" t="n">
        <v>1</v>
      </c>
      <c r="N112" t="n">
        <v>0</v>
      </c>
      <c r="O112" t="n">
        <v>0</v>
      </c>
      <c r="P112" t="n">
        <v>0</v>
      </c>
      <c r="Q112" t="n">
        <v>6</v>
      </c>
      <c r="R112" t="n">
        <v>1</v>
      </c>
      <c r="S112" t="n">
        <v>12</v>
      </c>
      <c r="T112" t="n">
        <v>15</v>
      </c>
      <c r="U112" t="n">
        <v>0</v>
      </c>
      <c r="V112" s="2" t="inlineStr">
        <is>
          <t>Bredbrämad bastardsvärmare
Månlåsbräken
Nötkråka
Skogshare
Talltita
Vårärt
Tibast
Blåsippa
Järpe
Tjäder
Kungsfågel
Orre</t>
        </is>
      </c>
      <c r="W112">
        <f>HYPERLINK("https://klasma.github.io/Logging_0360/artfynd/A 40403-2026 artfynd.xlsx", "A 40403-2026")</f>
        <v/>
      </c>
      <c r="X112">
        <f>HYPERLINK("https://klasma.github.io/Logging_0360/kartor/A 40403-2026 karta.png", "A 40403-2026")</f>
        <v/>
      </c>
      <c r="Y112">
        <f>HYPERLINK("https://klasma.github.io/Logging_0360/kartor_geotiff/A 40403-2026 georefererad karta.tif", "A 40403-2026")</f>
        <v/>
      </c>
      <c r="AA112">
        <f>HYPERLINK("https://klasma.github.io/Logging_0360/klagomål/A 40403-2026 FSC-klagomål.docx", "A 40403-2026")</f>
        <v/>
      </c>
      <c r="AB112">
        <f>HYPERLINK("https://klasma.github.io/Logging_0360/klagomålsmail/A 40403-2026 FSC-klagomål mail.docx", "A 40403-2026")</f>
        <v/>
      </c>
      <c r="AC112">
        <f>HYPERLINK("https://klasma.github.io/Logging_0360/tillsyn/A 40403-2026 tillsynsbegäran.docx", "A 40403-2026")</f>
        <v/>
      </c>
      <c r="AD112">
        <f>HYPERLINK("https://klasma.github.io/Logging_0360/tillsynsmail/A 40403-2026 tillsynsbegäran mail.docx", "A 40403-2026")</f>
        <v/>
      </c>
      <c r="AE112">
        <f>HYPERLINK("https://klasma.github.io/Logging_0360/fåglar/A 40403-2026 prioriterade fågelarter.docx", "A 40403-2026")</f>
        <v/>
      </c>
    </row>
    <row r="113" ht="15" customHeight="1">
      <c r="A113" t="inlineStr">
        <is>
          <t>A 21674-2024</t>
        </is>
      </c>
      <c r="B113" t="inlineStr">
        <is>
          <t>avverkningsanmälan</t>
        </is>
      </c>
      <c r="C113" t="inlineStr">
        <is>
          <t>Föryngringsavverkning</t>
        </is>
      </c>
      <c r="D113" s="1" t="n">
        <v>45442</v>
      </c>
      <c r="E113" s="1" t="n">
        <v>46309</v>
      </c>
      <c r="F113" t="inlineStr">
        <is>
          <t>UPPSALA LÄN</t>
        </is>
      </c>
      <c r="G113" t="inlineStr">
        <is>
          <t>UPPSALA</t>
        </is>
      </c>
      <c r="I113" t="n">
        <v>0.9</v>
      </c>
      <c r="J113" t="n">
        <v>12</v>
      </c>
      <c r="K113" t="n">
        <v>0</v>
      </c>
      <c r="L113" t="n">
        <v>3</v>
      </c>
      <c r="M113" t="n">
        <v>4</v>
      </c>
      <c r="N113" t="n">
        <v>0</v>
      </c>
      <c r="O113" t="n">
        <v>0</v>
      </c>
      <c r="P113" t="n">
        <v>0</v>
      </c>
      <c r="Q113" t="n">
        <v>7</v>
      </c>
      <c r="R113" t="n">
        <v>4</v>
      </c>
      <c r="S113" t="n">
        <v>12</v>
      </c>
      <c r="T113" t="n">
        <v>12</v>
      </c>
      <c r="U113" t="n">
        <v>0</v>
      </c>
      <c r="V113" s="2" t="inlineStr">
        <is>
          <t>Gräshoppsångare
Grönfink
Stare
Tornseglare
Entita
Gulsparv
Sädesärla
Grönsiska
Kråka
Svartvit flugsnappare
Sångsvan
Trana</t>
        </is>
      </c>
      <c r="W113">
        <f>HYPERLINK("https://klasma.github.io/Logging_0380/artfynd/A 21674-2024 artfynd.xlsx", "A 21674-2024")</f>
        <v/>
      </c>
      <c r="X113">
        <f>HYPERLINK("https://klasma.github.io/Logging_0380/kartor/A 21674-2024 karta.png", "A 21674-2024")</f>
        <v/>
      </c>
      <c r="Y113">
        <f>HYPERLINK("https://klasma.github.io/Logging_0380/kartor_geotiff/A 21674-2024 georefererad karta.tif", "A 21674-2024")</f>
        <v/>
      </c>
      <c r="AA113">
        <f>HYPERLINK("https://klasma.github.io/Logging_0380/klagomål/A 21674-2024 FSC-klagomål.docx", "A 21674-2024")</f>
        <v/>
      </c>
      <c r="AB113">
        <f>HYPERLINK("https://klasma.github.io/Logging_0380/klagomålsmail/A 21674-2024 FSC-klagomål mail.docx", "A 21674-2024")</f>
        <v/>
      </c>
      <c r="AC113">
        <f>HYPERLINK("https://klasma.github.io/Logging_0380/tillsyn/A 21674-2024 tillsynsbegäran.docx", "A 21674-2024")</f>
        <v/>
      </c>
      <c r="AD113">
        <f>HYPERLINK("https://klasma.github.io/Logging_0380/tillsynsmail/A 21674-2024 tillsynsbegäran mail.docx", "A 21674-2024")</f>
        <v/>
      </c>
      <c r="AE113">
        <f>HYPERLINK("https://klasma.github.io/Logging_0380/fåglar/A 21674-2024 prioriterade fågelarter.docx", "A 21674-2024")</f>
        <v/>
      </c>
    </row>
    <row r="114" ht="15" customHeight="1">
      <c r="A114" t="inlineStr">
        <is>
          <t>S 3289-2022</t>
        </is>
      </c>
      <c r="B114" t="inlineStr">
        <is>
          <t>samrådsanmälan</t>
        </is>
      </c>
      <c r="C114" t="inlineStr">
        <is>
          <t>Annan skogsbruksåtgärd</t>
        </is>
      </c>
      <c r="D114" s="1" t="n">
        <v>44726</v>
      </c>
      <c r="E114" s="1" t="n">
        <v>46309</v>
      </c>
      <c r="F114" t="inlineStr">
        <is>
          <t>UPPSALA LÄN</t>
        </is>
      </c>
      <c r="G114" t="inlineStr">
        <is>
          <t>UPPSALA</t>
        </is>
      </c>
      <c r="H114" t="inlineStr">
        <is>
          <t>Allmännings- och besparingsskogar</t>
        </is>
      </c>
      <c r="I114" t="n">
        <v>11.1</v>
      </c>
      <c r="J114" t="n">
        <v>3</v>
      </c>
      <c r="K114" t="n">
        <v>6</v>
      </c>
      <c r="L114" t="n">
        <v>5</v>
      </c>
      <c r="M114" t="n">
        <v>1</v>
      </c>
      <c r="N114" t="n">
        <v>0</v>
      </c>
      <c r="O114" t="n">
        <v>0</v>
      </c>
      <c r="P114" t="n">
        <v>0</v>
      </c>
      <c r="Q114" t="n">
        <v>6</v>
      </c>
      <c r="R114" t="n">
        <v>1</v>
      </c>
      <c r="S114" t="n">
        <v>12</v>
      </c>
      <c r="T114" t="n">
        <v>32</v>
      </c>
      <c r="U114" t="n">
        <v>3</v>
      </c>
      <c r="V114" s="2" t="inlineStr">
        <is>
          <t>Knärot
Grönhjon
Orange taggsvamp
Tallticka
Talltita
Ullticka
Bronshjon
Granbarkgnagare
Grönpyrola
Plattlummer
Thomsons trägnagare
Vågbandad barkbock</t>
        </is>
      </c>
      <c r="W114">
        <f>HYPERLINK("https://klasma.github.io/Logging_0380/artfynd/S 3289-2022 artfynd.xlsx", "S 3289-2022")</f>
        <v/>
      </c>
      <c r="X114">
        <f>HYPERLINK("https://klasma.github.io/Logging_0380/kartor/S 3289-2022 karta.png", "S 3289-2022")</f>
        <v/>
      </c>
      <c r="Y114">
        <f>HYPERLINK("https://klasma.github.io/Logging_0380/kartor_geotiff/S 3289-2022 georefererad karta.tif", "S 3289-2022")</f>
        <v/>
      </c>
      <c r="Z114">
        <f>HYPERLINK("https://klasma.github.io/Logging_0380/knärot/S 3289-2022 karta knärot.png", "S 3289-2022")</f>
        <v/>
      </c>
      <c r="AA114">
        <f>HYPERLINK("https://klasma.github.io/Logging_0380/klagomål/S 3289-2022 FSC-klagomål.docx", "S 3289-2022")</f>
        <v/>
      </c>
      <c r="AB114">
        <f>HYPERLINK("https://klasma.github.io/Logging_0380/klagomålsmail/S 3289-2022 FSC-klagomål mail.docx", "S 3289-2022")</f>
        <v/>
      </c>
      <c r="AC114">
        <f>HYPERLINK("https://klasma.github.io/Logging_0380/tillsyn/S 3289-2022 tillsynsbegäran.docx", "S 3289-2022")</f>
        <v/>
      </c>
      <c r="AD114">
        <f>HYPERLINK("https://klasma.github.io/Logging_0380/tillsynsmail/S 3289-2022 tillsynsbegäran mail.docx", "S 3289-2022")</f>
        <v/>
      </c>
      <c r="AE114">
        <f>HYPERLINK("https://klasma.github.io/Logging_0380/fåglar/S 3289-2022 prioriterade fågelarter.docx", "S 3289-2022")</f>
        <v/>
      </c>
    </row>
    <row r="115" ht="15" customHeight="1">
      <c r="A115" t="inlineStr">
        <is>
          <t>S 1310-2023</t>
        </is>
      </c>
      <c r="B115" t="inlineStr">
        <is>
          <t>samrådsanmälan</t>
        </is>
      </c>
      <c r="C115" t="inlineStr">
        <is>
          <t>Annan skogsbruksåtgärd</t>
        </is>
      </c>
      <c r="D115" s="1" t="n">
        <v>45035</v>
      </c>
      <c r="E115" s="1" t="n">
        <v>46309</v>
      </c>
      <c r="F115" t="inlineStr">
        <is>
          <t>UPPSALA LÄN</t>
        </is>
      </c>
      <c r="G115" t="inlineStr">
        <is>
          <t>TIERP</t>
        </is>
      </c>
      <c r="H115" t="inlineStr">
        <is>
          <t>Bergvik skog väst AB</t>
        </is>
      </c>
      <c r="I115" t="n">
        <v>7.3</v>
      </c>
      <c r="J115" t="n">
        <v>12</v>
      </c>
      <c r="K115" t="n">
        <v>0</v>
      </c>
      <c r="L115" t="n">
        <v>3</v>
      </c>
      <c r="M115" t="n">
        <v>1</v>
      </c>
      <c r="N115" t="n">
        <v>0</v>
      </c>
      <c r="O115" t="n">
        <v>0</v>
      </c>
      <c r="P115" t="n">
        <v>0</v>
      </c>
      <c r="Q115" t="n">
        <v>4</v>
      </c>
      <c r="R115" t="n">
        <v>1</v>
      </c>
      <c r="S115" t="n">
        <v>12</v>
      </c>
      <c r="T115" t="n">
        <v>15</v>
      </c>
      <c r="U115" t="n">
        <v>0</v>
      </c>
      <c r="V115" s="2" t="inlineStr">
        <is>
          <t>Grönfink
Enkelbeckasin
Rödvingetrast
Talltita
Gråspett
Spillkråka
Gröngöling
Grönsiska
Kråka
Kungsfågel
Orre
Sångsvan</t>
        </is>
      </c>
      <c r="W115">
        <f>HYPERLINK("https://klasma.github.io/Logging_0360/artfynd/S 1310-2023 artfynd.xlsx", "S 1310-2023")</f>
        <v/>
      </c>
      <c r="X115">
        <f>HYPERLINK("https://klasma.github.io/Logging_0360/kartor/S 1310-2023 karta.png", "S 1310-2023")</f>
        <v/>
      </c>
      <c r="Y115">
        <f>HYPERLINK("https://klasma.github.io/Logging_0360/kartor_geotiff/S 1310-2023 georefererad karta.tif", "S 1310-2023")</f>
        <v/>
      </c>
      <c r="AA115">
        <f>HYPERLINK("https://klasma.github.io/Logging_0360/klagomål/S 1310-2023 FSC-klagomål.docx", "S 1310-2023")</f>
        <v/>
      </c>
      <c r="AB115">
        <f>HYPERLINK("https://klasma.github.io/Logging_0360/klagomålsmail/S 1310-2023 FSC-klagomål mail.docx", "S 1310-2023")</f>
        <v/>
      </c>
      <c r="AC115">
        <f>HYPERLINK("https://klasma.github.io/Logging_0360/tillsyn/S 1310-2023 tillsynsbegäran.docx", "S 1310-2023")</f>
        <v/>
      </c>
      <c r="AD115">
        <f>HYPERLINK("https://klasma.github.io/Logging_0360/tillsynsmail/S 1310-2023 tillsynsbegäran mail.docx", "S 1310-2023")</f>
        <v/>
      </c>
      <c r="AE115">
        <f>HYPERLINK("https://klasma.github.io/Logging_0360/fåglar/S 1310-2023 prioriterade fågelarter.docx", "S 1310-2023")</f>
        <v/>
      </c>
    </row>
    <row r="116" ht="15" customHeight="1">
      <c r="A116" t="inlineStr">
        <is>
          <t>A 73761-2021</t>
        </is>
      </c>
      <c r="B116" t="inlineStr">
        <is>
          <t>avverkningsanmälan</t>
        </is>
      </c>
      <c r="C116" t="inlineStr">
        <is>
          <t>Avverkning för annat ändamål</t>
        </is>
      </c>
      <c r="D116" s="1" t="n">
        <v>44552</v>
      </c>
      <c r="E116" s="1" t="n">
        <v>46309</v>
      </c>
      <c r="F116" t="inlineStr">
        <is>
          <t>UPPSALA LÄN</t>
        </is>
      </c>
      <c r="G116" t="inlineStr">
        <is>
          <t>TIERP</t>
        </is>
      </c>
      <c r="H116" t="inlineStr">
        <is>
          <t>Bergvik skog väst AB</t>
        </is>
      </c>
      <c r="I116" t="n">
        <v>1.9</v>
      </c>
      <c r="J116" t="n">
        <v>3</v>
      </c>
      <c r="K116" t="n">
        <v>5</v>
      </c>
      <c r="L116" t="n">
        <v>4</v>
      </c>
      <c r="M116" t="n">
        <v>0</v>
      </c>
      <c r="N116" t="n">
        <v>0</v>
      </c>
      <c r="O116" t="n">
        <v>0</v>
      </c>
      <c r="P116" t="n">
        <v>0</v>
      </c>
      <c r="Q116" t="n">
        <v>4</v>
      </c>
      <c r="R116" t="n">
        <v>0</v>
      </c>
      <c r="S116" t="n">
        <v>11</v>
      </c>
      <c r="T116" t="n">
        <v>14</v>
      </c>
      <c r="U116" t="n">
        <v>6</v>
      </c>
      <c r="V116" s="2" t="inlineStr">
        <is>
          <t>Rynkskinn
Större flatbagge
Ullticka
Vedtrappmossa
Brandticka
Mörk husmossa
Skogsknipprot
Tibast
Trådticka
Blåsippa
Fläcknycklar</t>
        </is>
      </c>
      <c r="W116">
        <f>HYPERLINK("https://klasma.github.io/Logging_0360/artfynd/A 73761-2021 artfynd.xlsx", "A 73761-2021")</f>
        <v/>
      </c>
      <c r="X116">
        <f>HYPERLINK("https://klasma.github.io/Logging_0360/kartor/A 73761-2021 karta.png", "A 73761-2021")</f>
        <v/>
      </c>
      <c r="Y116">
        <f>HYPERLINK("https://klasma.github.io/Logging_0360/kartor_geotiff/A 73761-2021 georefererad karta.tif", "A 73761-2021")</f>
        <v/>
      </c>
      <c r="AA116">
        <f>HYPERLINK("https://klasma.github.io/Logging_0360/klagomål/A 73761-2021 FSC-klagomål.docx", "A 73761-2021")</f>
        <v/>
      </c>
      <c r="AB116">
        <f>HYPERLINK("https://klasma.github.io/Logging_0360/klagomålsmail/A 73761-2021 FSC-klagomål mail.docx", "A 73761-2021")</f>
        <v/>
      </c>
      <c r="AC116">
        <f>HYPERLINK("https://klasma.github.io/Logging_0360/tillsyn/A 73761-2021 tillsynsbegäran.docx", "A 73761-2021")</f>
        <v/>
      </c>
      <c r="AD116">
        <f>HYPERLINK("https://klasma.github.io/Logging_0360/tillsynsmail/A 73761-2021 tillsynsbegäran mail.docx", "A 73761-2021")</f>
        <v/>
      </c>
    </row>
    <row r="117" ht="15" customHeight="1">
      <c r="A117" t="inlineStr">
        <is>
          <t>A 3511-2023</t>
        </is>
      </c>
      <c r="B117" t="inlineStr">
        <is>
          <t>avverkningsanmälan</t>
        </is>
      </c>
      <c r="C117" t="inlineStr">
        <is>
          <t>Föryngringsavverkning</t>
        </is>
      </c>
      <c r="D117" s="1" t="n">
        <v>44950</v>
      </c>
      <c r="E117" s="1" t="n">
        <v>46309</v>
      </c>
      <c r="F117" t="inlineStr">
        <is>
          <t>UPPSALA LÄN</t>
        </is>
      </c>
      <c r="G117" t="inlineStr">
        <is>
          <t>TIERP</t>
        </is>
      </c>
      <c r="H117" t="inlineStr">
        <is>
          <t>Bergvik skog öst AB</t>
        </is>
      </c>
      <c r="I117" t="n">
        <v>20.5</v>
      </c>
      <c r="J117" t="n">
        <v>6</v>
      </c>
      <c r="K117" t="n">
        <v>3</v>
      </c>
      <c r="L117" t="n">
        <v>1</v>
      </c>
      <c r="M117" t="n">
        <v>0</v>
      </c>
      <c r="N117" t="n">
        <v>1</v>
      </c>
      <c r="O117" t="n">
        <v>0</v>
      </c>
      <c r="P117" t="n">
        <v>0</v>
      </c>
      <c r="Q117" t="n">
        <v>2</v>
      </c>
      <c r="R117" t="n">
        <v>1</v>
      </c>
      <c r="S117" t="n">
        <v>11</v>
      </c>
      <c r="T117" t="n">
        <v>63</v>
      </c>
      <c r="U117" t="n">
        <v>58</v>
      </c>
      <c r="V117" s="2" t="inlineStr">
        <is>
          <t>Ask
Motaggsvamp
Bronshjon
Rödgul trumpetsvamp
Tibast
Blåsippa
Spillkråka
Tjäder
Kungsfågel
Orre
Revlummer</t>
        </is>
      </c>
      <c r="W117">
        <f>HYPERLINK("https://klasma.github.io/Logging_0360/artfynd/A 3511-2023 artfynd.xlsx", "A 3511-2023")</f>
        <v/>
      </c>
      <c r="X117">
        <f>HYPERLINK("https://klasma.github.io/Logging_0360/kartor/A 3511-2023 karta.png", "A 3511-2023")</f>
        <v/>
      </c>
      <c r="Y117">
        <f>HYPERLINK("https://klasma.github.io/Logging_0360/kartor_geotiff/A 3511-2023 georefererad karta.tif", "A 3511-2023")</f>
        <v/>
      </c>
      <c r="AA117">
        <f>HYPERLINK("https://klasma.github.io/Logging_0360/klagomål/A 3511-2023 FSC-klagomål.docx", "A 3511-2023")</f>
        <v/>
      </c>
      <c r="AB117">
        <f>HYPERLINK("https://klasma.github.io/Logging_0360/klagomålsmail/A 3511-2023 FSC-klagomål mail.docx", "A 3511-2023")</f>
        <v/>
      </c>
      <c r="AC117">
        <f>HYPERLINK("https://klasma.github.io/Logging_0360/tillsyn/A 3511-2023 tillsynsbegäran.docx", "A 3511-2023")</f>
        <v/>
      </c>
      <c r="AD117">
        <f>HYPERLINK("https://klasma.github.io/Logging_0360/tillsynsmail/A 3511-2023 tillsynsbegäran mail.docx", "A 3511-2023")</f>
        <v/>
      </c>
      <c r="AE117">
        <f>HYPERLINK("https://klasma.github.io/Logging_0360/fåglar/A 3511-2023 prioriterade fågelarter.docx", "A 3511-2023")</f>
        <v/>
      </c>
    </row>
    <row r="118" ht="15" customHeight="1">
      <c r="A118" t="inlineStr">
        <is>
          <t>A 1783-2023</t>
        </is>
      </c>
      <c r="B118" t="inlineStr">
        <is>
          <t>avverkningsanmälan</t>
        </is>
      </c>
      <c r="C118" t="inlineStr">
        <is>
          <t>Föryngringsavverkning</t>
        </is>
      </c>
      <c r="D118" s="1" t="n">
        <v>44938</v>
      </c>
      <c r="E118" s="1" t="n">
        <v>46309</v>
      </c>
      <c r="F118" t="inlineStr">
        <is>
          <t>UPPSALA LÄN</t>
        </is>
      </c>
      <c r="G118" t="inlineStr">
        <is>
          <t>ÖSTHAMMAR</t>
        </is>
      </c>
      <c r="I118" t="n">
        <v>4.1</v>
      </c>
      <c r="J118" t="n">
        <v>6</v>
      </c>
      <c r="K118" t="n">
        <v>3</v>
      </c>
      <c r="L118" t="n">
        <v>4</v>
      </c>
      <c r="M118" t="n">
        <v>2</v>
      </c>
      <c r="N118" t="n">
        <v>1</v>
      </c>
      <c r="O118" t="n">
        <v>0</v>
      </c>
      <c r="P118" t="n">
        <v>0</v>
      </c>
      <c r="Q118" t="n">
        <v>7</v>
      </c>
      <c r="R118" t="n">
        <v>3</v>
      </c>
      <c r="S118" t="n">
        <v>11</v>
      </c>
      <c r="T118" t="n">
        <v>15</v>
      </c>
      <c r="U118" t="n">
        <v>15</v>
      </c>
      <c r="V118" s="2" t="inlineStr">
        <is>
          <t>Fjällfotad fingersvamp
Knärot
Lappuggla
Gultoppig fingersvamp
Sårläka
Tallticka
Tretåig hackspett
Skogsknipprot
Tibast
Tvåblad
Fläcknycklar</t>
        </is>
      </c>
      <c r="W118">
        <f>HYPERLINK("https://klasma.github.io/Logging_0382/artfynd/A 1783-2023 artfynd.xlsx", "A 1783-2023")</f>
        <v/>
      </c>
      <c r="X118">
        <f>HYPERLINK("https://klasma.github.io/Logging_0382/kartor/A 1783-2023 karta.png", "A 1783-2023")</f>
        <v/>
      </c>
      <c r="Y118">
        <f>HYPERLINK("https://klasma.github.io/Logging_0382/kartor_geotiff/A 1783-2023 georefererad karta.tif", "A 1783-2023")</f>
        <v/>
      </c>
      <c r="Z118">
        <f>HYPERLINK("https://klasma.github.io/Logging_0382/knärot/A 1783-2023 karta knärot.png", "A 1783-2023")</f>
        <v/>
      </c>
      <c r="AA118">
        <f>HYPERLINK("https://klasma.github.io/Logging_0382/klagomål/A 1783-2023 FSC-klagomål.docx", "A 1783-2023")</f>
        <v/>
      </c>
      <c r="AB118">
        <f>HYPERLINK("https://klasma.github.io/Logging_0382/klagomålsmail/A 1783-2023 FSC-klagomål mail.docx", "A 1783-2023")</f>
        <v/>
      </c>
      <c r="AC118">
        <f>HYPERLINK("https://klasma.github.io/Logging_0382/tillsyn/A 1783-2023 tillsynsbegäran.docx", "A 1783-2023")</f>
        <v/>
      </c>
      <c r="AD118">
        <f>HYPERLINK("https://klasma.github.io/Logging_0382/tillsynsmail/A 1783-2023 tillsynsbegäran mail.docx", "A 1783-2023")</f>
        <v/>
      </c>
      <c r="AE118">
        <f>HYPERLINK("https://klasma.github.io/Logging_0382/fåglar/A 1783-2023 prioriterade fågelarter.docx", "A 1783-2023")</f>
        <v/>
      </c>
    </row>
    <row r="119" ht="15" customHeight="1">
      <c r="A119" t="inlineStr">
        <is>
          <t>A 9401-2025</t>
        </is>
      </c>
      <c r="B119" t="inlineStr">
        <is>
          <t>avverkningsanmälan</t>
        </is>
      </c>
      <c r="C119" t="inlineStr">
        <is>
          <t>Föryngringsavverkning</t>
        </is>
      </c>
      <c r="D119" s="1" t="n">
        <v>45715</v>
      </c>
      <c r="E119" s="1" t="n">
        <v>46309</v>
      </c>
      <c r="F119" t="inlineStr">
        <is>
          <t>UPPSALA LÄN</t>
        </is>
      </c>
      <c r="G119" t="inlineStr">
        <is>
          <t>UPPSALA</t>
        </is>
      </c>
      <c r="I119" t="n">
        <v>3.1</v>
      </c>
      <c r="J119" t="n">
        <v>8</v>
      </c>
      <c r="K119" t="n">
        <v>2</v>
      </c>
      <c r="L119" t="n">
        <v>4</v>
      </c>
      <c r="M119" t="n">
        <v>1</v>
      </c>
      <c r="N119" t="n">
        <v>0</v>
      </c>
      <c r="O119" t="n">
        <v>0</v>
      </c>
      <c r="P119" t="n">
        <v>0</v>
      </c>
      <c r="Q119" t="n">
        <v>5</v>
      </c>
      <c r="R119" t="n">
        <v>1</v>
      </c>
      <c r="S119" t="n">
        <v>11</v>
      </c>
      <c r="T119" t="n">
        <v>11</v>
      </c>
      <c r="U119" t="n">
        <v>1</v>
      </c>
      <c r="V119" s="2" t="inlineStr">
        <is>
          <t>Stare
Enkelbeckasin
Gråhakedopping
Grönsångare
Matt pricklav
Blodticka
Svart trolldruva
Blåsippa
Gröngöling
Kråka
Vanlig padda</t>
        </is>
      </c>
      <c r="W119">
        <f>HYPERLINK("https://klasma.github.io/Logging_0380/artfynd/A 9401-2025 artfynd.xlsx", "A 9401-2025")</f>
        <v/>
      </c>
      <c r="X119">
        <f>HYPERLINK("https://klasma.github.io/Logging_0380/kartor/A 9401-2025 karta.png", "A 9401-2025")</f>
        <v/>
      </c>
      <c r="Y119">
        <f>HYPERLINK("https://klasma.github.io/Logging_0380/kartor_geotiff/A 9401-2025 georefererad karta.tif", "A 9401-2025")</f>
        <v/>
      </c>
      <c r="AA119">
        <f>HYPERLINK("https://klasma.github.io/Logging_0380/klagomål/A 9401-2025 FSC-klagomål.docx", "A 9401-2025")</f>
        <v/>
      </c>
      <c r="AB119">
        <f>HYPERLINK("https://klasma.github.io/Logging_0380/klagomålsmail/A 9401-2025 FSC-klagomål mail.docx", "A 9401-2025")</f>
        <v/>
      </c>
      <c r="AC119">
        <f>HYPERLINK("https://klasma.github.io/Logging_0380/tillsyn/A 9401-2025 tillsynsbegäran.docx", "A 9401-2025")</f>
        <v/>
      </c>
      <c r="AD119">
        <f>HYPERLINK("https://klasma.github.io/Logging_0380/tillsynsmail/A 9401-2025 tillsynsbegäran mail.docx", "A 9401-2025")</f>
        <v/>
      </c>
      <c r="AE119">
        <f>HYPERLINK("https://klasma.github.io/Logging_0380/fåglar/A 9401-2025 prioriterade fågelarter.docx", "A 9401-2025")</f>
        <v/>
      </c>
    </row>
    <row r="120" ht="15" customHeight="1">
      <c r="A120" t="inlineStr">
        <is>
          <t>A 16618-2024</t>
        </is>
      </c>
      <c r="B120" t="inlineStr">
        <is>
          <t>avverkningsanmälan</t>
        </is>
      </c>
      <c r="C120" t="inlineStr">
        <is>
          <t>Avverkning för att bevara och utveckla /försöksver</t>
        </is>
      </c>
      <c r="D120" s="1" t="n">
        <v>45408</v>
      </c>
      <c r="E120" s="1" t="n">
        <v>46309</v>
      </c>
      <c r="F120" t="inlineStr">
        <is>
          <t>UPPSALA LÄN</t>
        </is>
      </c>
      <c r="G120" t="inlineStr">
        <is>
          <t>HÅBO</t>
        </is>
      </c>
      <c r="I120" t="n">
        <v>3.5</v>
      </c>
      <c r="J120" t="n">
        <v>2</v>
      </c>
      <c r="K120" t="n">
        <v>4</v>
      </c>
      <c r="L120" t="n">
        <v>3</v>
      </c>
      <c r="M120" t="n">
        <v>2</v>
      </c>
      <c r="N120" t="n">
        <v>1</v>
      </c>
      <c r="O120" t="n">
        <v>0</v>
      </c>
      <c r="P120" t="n">
        <v>0</v>
      </c>
      <c r="Q120" t="n">
        <v>6</v>
      </c>
      <c r="R120" t="n">
        <v>3</v>
      </c>
      <c r="S120" t="n">
        <v>11</v>
      </c>
      <c r="T120" t="n">
        <v>17</v>
      </c>
      <c r="U120" t="n">
        <v>0</v>
      </c>
      <c r="V120" s="2" t="inlineStr">
        <is>
          <t>Prakttagging
Grå vedslidskivling
Slöjröksvamp
Backklöver
Mjölspindling
Saffransspindling
Bolmörtsskivling
Luktvaxing
Läderskål
Nästrot
Blåsippa</t>
        </is>
      </c>
      <c r="W120">
        <f>HYPERLINK("https://klasma.github.io/Logging_0305/artfynd/A 16618-2024 artfynd.xlsx", "A 16618-2024")</f>
        <v/>
      </c>
      <c r="X120">
        <f>HYPERLINK("https://klasma.github.io/Logging_0305/kartor/A 16618-2024 karta.png", "A 16618-2024")</f>
        <v/>
      </c>
      <c r="Y120">
        <f>HYPERLINK("https://klasma.github.io/Logging_0305/kartor_geotiff/A 16618-2024 georefererad karta.tif", "A 16618-2024")</f>
        <v/>
      </c>
      <c r="AA120">
        <f>HYPERLINK("https://klasma.github.io/Logging_0305/klagomål/A 16618-2024 FSC-klagomål.docx", "A 16618-2024")</f>
        <v/>
      </c>
      <c r="AB120">
        <f>HYPERLINK("https://klasma.github.io/Logging_0305/klagomålsmail/A 16618-2024 FSC-klagomål mail.docx", "A 16618-2024")</f>
        <v/>
      </c>
      <c r="AC120">
        <f>HYPERLINK("https://klasma.github.io/Logging_0305/tillsyn/A 16618-2024 tillsynsbegäran.docx", "A 16618-2024")</f>
        <v/>
      </c>
      <c r="AD120">
        <f>HYPERLINK("https://klasma.github.io/Logging_0305/tillsynsmail/A 16618-2024 tillsynsbegäran mail.docx", "A 16618-2024")</f>
        <v/>
      </c>
    </row>
    <row r="121" ht="15" customHeight="1">
      <c r="A121" t="inlineStr">
        <is>
          <t>A 54808-2024</t>
        </is>
      </c>
      <c r="B121" t="inlineStr">
        <is>
          <t>avverkningsanmälan</t>
        </is>
      </c>
      <c r="C121" t="inlineStr">
        <is>
          <t>Föryngringsavverkning</t>
        </is>
      </c>
      <c r="D121" s="1" t="n">
        <v>45618</v>
      </c>
      <c r="E121" s="1" t="n">
        <v>46309</v>
      </c>
      <c r="F121" t="inlineStr">
        <is>
          <t>UPPSALA LÄN</t>
        </is>
      </c>
      <c r="G121" t="inlineStr">
        <is>
          <t>HEBY</t>
        </is>
      </c>
      <c r="I121" t="n">
        <v>3.2</v>
      </c>
      <c r="J121" t="n">
        <v>9</v>
      </c>
      <c r="K121" t="n">
        <v>2</v>
      </c>
      <c r="L121" t="n">
        <v>1</v>
      </c>
      <c r="M121" t="n">
        <v>1</v>
      </c>
      <c r="N121" t="n">
        <v>1</v>
      </c>
      <c r="O121" t="n">
        <v>0</v>
      </c>
      <c r="P121" t="n">
        <v>0</v>
      </c>
      <c r="Q121" t="n">
        <v>3</v>
      </c>
      <c r="R121" t="n">
        <v>2</v>
      </c>
      <c r="S121" t="n">
        <v>11</v>
      </c>
      <c r="T121" t="n">
        <v>17</v>
      </c>
      <c r="U121" t="n">
        <v>1</v>
      </c>
      <c r="V121" s="2" t="inlineStr">
        <is>
          <t>Pärluggla
Knärot
Talltita
Flagellkvastmossa
Grönpyrola
Spillkråka
Grönsiska
Kungsfågel
Orre
Ärtsångare
Revlummer</t>
        </is>
      </c>
      <c r="W121">
        <f>HYPERLINK("https://klasma.github.io/Logging_0331/artfynd/A 54808-2024 artfynd.xlsx", "A 54808-2024")</f>
        <v/>
      </c>
      <c r="X121">
        <f>HYPERLINK("https://klasma.github.io/Logging_0331/kartor/A 54808-2024 karta.png", "A 54808-2024")</f>
        <v/>
      </c>
      <c r="Y121">
        <f>HYPERLINK("https://klasma.github.io/Logging_0331/kartor_geotiff/A 54808-2024 georefererad karta.tif", "A 54808-2024")</f>
        <v/>
      </c>
      <c r="Z121">
        <f>HYPERLINK("https://klasma.github.io/Logging_0331/knärot/A 54808-2024 karta knärot.png", "A 54808-2024")</f>
        <v/>
      </c>
      <c r="AA121">
        <f>HYPERLINK("https://klasma.github.io/Logging_0331/klagomål/A 54808-2024 FSC-klagomål.docx", "A 54808-2024")</f>
        <v/>
      </c>
      <c r="AB121">
        <f>HYPERLINK("https://klasma.github.io/Logging_0331/klagomålsmail/A 54808-2024 FSC-klagomål mail.docx", "A 54808-2024")</f>
        <v/>
      </c>
      <c r="AC121">
        <f>HYPERLINK("https://klasma.github.io/Logging_0331/tillsyn/A 54808-2024 tillsynsbegäran.docx", "A 54808-2024")</f>
        <v/>
      </c>
      <c r="AD121">
        <f>HYPERLINK("https://klasma.github.io/Logging_0331/tillsynsmail/A 54808-2024 tillsynsbegäran mail.docx", "A 54808-2024")</f>
        <v/>
      </c>
      <c r="AE121">
        <f>HYPERLINK("https://klasma.github.io/Logging_0331/fåglar/A 54808-2024 prioriterade fågelarter.docx", "A 54808-2024")</f>
        <v/>
      </c>
    </row>
    <row r="122" ht="15" customHeight="1">
      <c r="A122" t="inlineStr">
        <is>
          <t>A 47653-2024</t>
        </is>
      </c>
      <c r="B122" t="inlineStr">
        <is>
          <t>avverkningsanmälan</t>
        </is>
      </c>
      <c r="C122" t="inlineStr">
        <is>
          <t>Föryngringsavverkning</t>
        </is>
      </c>
      <c r="D122" s="1" t="n">
        <v>45588</v>
      </c>
      <c r="E122" s="1" t="n">
        <v>46309</v>
      </c>
      <c r="F122" t="inlineStr">
        <is>
          <t>UPPSALA LÄN</t>
        </is>
      </c>
      <c r="G122" t="inlineStr">
        <is>
          <t>HÅBO</t>
        </is>
      </c>
      <c r="I122" t="n">
        <v>3</v>
      </c>
      <c r="J122" t="n">
        <v>2</v>
      </c>
      <c r="K122" t="n">
        <v>4</v>
      </c>
      <c r="L122" t="n">
        <v>3</v>
      </c>
      <c r="M122" t="n">
        <v>2</v>
      </c>
      <c r="N122" t="n">
        <v>1</v>
      </c>
      <c r="O122" t="n">
        <v>0</v>
      </c>
      <c r="P122" t="n">
        <v>0</v>
      </c>
      <c r="Q122" t="n">
        <v>6</v>
      </c>
      <c r="R122" t="n">
        <v>3</v>
      </c>
      <c r="S122" t="n">
        <v>11</v>
      </c>
      <c r="T122" t="n">
        <v>22</v>
      </c>
      <c r="U122" t="n">
        <v>0</v>
      </c>
      <c r="V122" s="2" t="inlineStr">
        <is>
          <t>Prakttagging
Grå vedslidskivling
Slöjröksvamp
Backklöver
Mjölspindling
Saffransspindling
Bolmörtsskivling
Luktvaxing
Läderskål
Nästrot
Blåsippa</t>
        </is>
      </c>
      <c r="W122">
        <f>HYPERLINK("https://klasma.github.io/Logging_0305/artfynd/A 47653-2024 artfynd.xlsx", "A 47653-2024")</f>
        <v/>
      </c>
      <c r="X122">
        <f>HYPERLINK("https://klasma.github.io/Logging_0305/kartor/A 47653-2024 karta.png", "A 47653-2024")</f>
        <v/>
      </c>
      <c r="Y122">
        <f>HYPERLINK("https://klasma.github.io/Logging_0305/kartor_geotiff/A 47653-2024 georefererad karta.tif", "A 47653-2024")</f>
        <v/>
      </c>
      <c r="AA122">
        <f>HYPERLINK("https://klasma.github.io/Logging_0305/klagomål/A 47653-2024 FSC-klagomål.docx", "A 47653-2024")</f>
        <v/>
      </c>
      <c r="AB122">
        <f>HYPERLINK("https://klasma.github.io/Logging_0305/klagomålsmail/A 47653-2024 FSC-klagomål mail.docx", "A 47653-2024")</f>
        <v/>
      </c>
      <c r="AC122">
        <f>HYPERLINK("https://klasma.github.io/Logging_0305/tillsyn/A 47653-2024 tillsynsbegäran.docx", "A 47653-2024")</f>
        <v/>
      </c>
      <c r="AD122">
        <f>HYPERLINK("https://klasma.github.io/Logging_0305/tillsynsmail/A 47653-2024 tillsynsbegäran mail.docx", "A 47653-2024")</f>
        <v/>
      </c>
    </row>
    <row r="123" ht="15" customHeight="1">
      <c r="A123" t="inlineStr">
        <is>
          <t>A 13546-2025</t>
        </is>
      </c>
      <c r="B123" t="inlineStr">
        <is>
          <t>avverkningsanmälan</t>
        </is>
      </c>
      <c r="C123" t="inlineStr">
        <is>
          <t>Föryngringsavverkning</t>
        </is>
      </c>
      <c r="D123" s="1" t="n">
        <v>45736</v>
      </c>
      <c r="E123" s="1" t="n">
        <v>46309</v>
      </c>
      <c r="F123" t="inlineStr">
        <is>
          <t>UPPSALA LÄN</t>
        </is>
      </c>
      <c r="G123" t="inlineStr">
        <is>
          <t>UPPSALA</t>
        </is>
      </c>
      <c r="H123" t="inlineStr">
        <is>
          <t>Allmännings- och besparingsskogar</t>
        </is>
      </c>
      <c r="I123" t="n">
        <v>3.7</v>
      </c>
      <c r="J123" t="n">
        <v>2</v>
      </c>
      <c r="K123" t="n">
        <v>5</v>
      </c>
      <c r="L123" t="n">
        <v>2</v>
      </c>
      <c r="M123" t="n">
        <v>1</v>
      </c>
      <c r="N123" t="n">
        <v>0</v>
      </c>
      <c r="O123" t="n">
        <v>0</v>
      </c>
      <c r="P123" t="n">
        <v>0</v>
      </c>
      <c r="Q123" t="n">
        <v>3</v>
      </c>
      <c r="R123" t="n">
        <v>1</v>
      </c>
      <c r="S123" t="n">
        <v>11</v>
      </c>
      <c r="T123" t="n">
        <v>19</v>
      </c>
      <c r="U123" t="n">
        <v>14</v>
      </c>
      <c r="V123" s="2" t="inlineStr">
        <is>
          <t>Ulltickeporing
Ullticka
Vedtrappmossa
Björksplintborre
Brandticka
Bronshjon
Thomsons trägnagare
Vanlig flatbagge
Blåsippa
Kransmossa
Spillkråka</t>
        </is>
      </c>
      <c r="W123">
        <f>HYPERLINK("https://klasma.github.io/Logging_0380/artfynd/A 13546-2025 artfynd.xlsx", "A 13546-2025")</f>
        <v/>
      </c>
      <c r="X123">
        <f>HYPERLINK("https://klasma.github.io/Logging_0380/kartor/A 13546-2025 karta.png", "A 13546-2025")</f>
        <v/>
      </c>
      <c r="Y123">
        <f>HYPERLINK("https://klasma.github.io/Logging_0380/kartor_geotiff/A 13546-2025 georefererad karta.tif", "A 13546-2025")</f>
        <v/>
      </c>
      <c r="AA123">
        <f>HYPERLINK("https://klasma.github.io/Logging_0380/klagomål/A 13546-2025 FSC-klagomål.docx", "A 13546-2025")</f>
        <v/>
      </c>
      <c r="AB123">
        <f>HYPERLINK("https://klasma.github.io/Logging_0380/klagomålsmail/A 13546-2025 FSC-klagomål mail.docx", "A 13546-2025")</f>
        <v/>
      </c>
      <c r="AC123">
        <f>HYPERLINK("https://klasma.github.io/Logging_0380/tillsyn/A 13546-2025 tillsynsbegäran.docx", "A 13546-2025")</f>
        <v/>
      </c>
      <c r="AD123">
        <f>HYPERLINK("https://klasma.github.io/Logging_0380/tillsynsmail/A 13546-2025 tillsynsbegäran mail.docx", "A 13546-2025")</f>
        <v/>
      </c>
      <c r="AE123">
        <f>HYPERLINK("https://klasma.github.io/Logging_0380/fåglar/A 13546-2025 prioriterade fågelarter.docx", "A 13546-2025")</f>
        <v/>
      </c>
    </row>
    <row r="124" ht="15" customHeight="1">
      <c r="A124" t="inlineStr">
        <is>
          <t>A 25651-2025</t>
        </is>
      </c>
      <c r="B124" t="inlineStr">
        <is>
          <t>avverkningsanmälan</t>
        </is>
      </c>
      <c r="C124" t="inlineStr">
        <is>
          <t>Föryngringsavverkning</t>
        </is>
      </c>
      <c r="D124" s="1" t="n">
        <v>45803</v>
      </c>
      <c r="E124" s="1" t="n">
        <v>46309</v>
      </c>
      <c r="F124" t="inlineStr">
        <is>
          <t>UPPSALA LÄN</t>
        </is>
      </c>
      <c r="G124" t="inlineStr">
        <is>
          <t>UPPSALA</t>
        </is>
      </c>
      <c r="H124" t="inlineStr">
        <is>
          <t>Holmen skog AB</t>
        </is>
      </c>
      <c r="I124" t="n">
        <v>3.6</v>
      </c>
      <c r="J124" t="n">
        <v>5</v>
      </c>
      <c r="K124" t="n">
        <v>3</v>
      </c>
      <c r="L124" t="n">
        <v>4</v>
      </c>
      <c r="M124" t="n">
        <v>1</v>
      </c>
      <c r="N124" t="n">
        <v>0</v>
      </c>
      <c r="O124" t="n">
        <v>0</v>
      </c>
      <c r="P124" t="n">
        <v>0</v>
      </c>
      <c r="Q124" t="n">
        <v>5</v>
      </c>
      <c r="R124" t="n">
        <v>1</v>
      </c>
      <c r="S124" t="n">
        <v>11</v>
      </c>
      <c r="T124" t="n">
        <v>28</v>
      </c>
      <c r="U124" t="n">
        <v>22</v>
      </c>
      <c r="V124" s="2" t="inlineStr">
        <is>
          <t>Knärot
Kortskaftad ärgspik
Motaggsvamp
Talltita
Vedtrappmossa
Brandticka
Bronshjon
Vågbandad barkbock
Blåsippa
Spillkråka
Revlummer</t>
        </is>
      </c>
      <c r="W124">
        <f>HYPERLINK("https://klasma.github.io/Logging_0380/artfynd/A 25651-2025 artfynd.xlsx", "A 25651-2025")</f>
        <v/>
      </c>
      <c r="X124">
        <f>HYPERLINK("https://klasma.github.io/Logging_0380/kartor/A 25651-2025 karta.png", "A 25651-2025")</f>
        <v/>
      </c>
      <c r="Y124">
        <f>HYPERLINK("https://klasma.github.io/Logging_0380/kartor_geotiff/A 25651-2025 georefererad karta.tif", "A 25651-2025")</f>
        <v/>
      </c>
      <c r="Z124">
        <f>HYPERLINK("https://klasma.github.io/Logging_0380/knärot/A 25651-2025 karta knärot.png", "A 25651-2025")</f>
        <v/>
      </c>
      <c r="AA124">
        <f>HYPERLINK("https://klasma.github.io/Logging_0380/klagomål/A 25651-2025 FSC-klagomål.docx", "A 25651-2025")</f>
        <v/>
      </c>
      <c r="AB124">
        <f>HYPERLINK("https://klasma.github.io/Logging_0380/klagomålsmail/A 25651-2025 FSC-klagomål mail.docx", "A 25651-2025")</f>
        <v/>
      </c>
      <c r="AC124">
        <f>HYPERLINK("https://klasma.github.io/Logging_0380/tillsyn/A 25651-2025 tillsynsbegäran.docx", "A 25651-2025")</f>
        <v/>
      </c>
      <c r="AD124">
        <f>HYPERLINK("https://klasma.github.io/Logging_0380/tillsynsmail/A 25651-2025 tillsynsbegäran mail.docx", "A 25651-2025")</f>
        <v/>
      </c>
      <c r="AE124">
        <f>HYPERLINK("https://klasma.github.io/Logging_0380/fåglar/A 25651-2025 prioriterade fågelarter.docx", "A 25651-2025")</f>
        <v/>
      </c>
    </row>
    <row r="125" ht="15" customHeight="1">
      <c r="A125" t="inlineStr">
        <is>
          <t>A 55518-2024</t>
        </is>
      </c>
      <c r="B125" t="inlineStr">
        <is>
          <t>avverkningsanmälan</t>
        </is>
      </c>
      <c r="C125" t="inlineStr">
        <is>
          <t>Föryngringsavverkning</t>
        </is>
      </c>
      <c r="D125" s="1" t="n">
        <v>45622</v>
      </c>
      <c r="E125" s="1" t="n">
        <v>46309</v>
      </c>
      <c r="F125" t="inlineStr">
        <is>
          <t>UPPSALA LÄN</t>
        </is>
      </c>
      <c r="G125" t="inlineStr">
        <is>
          <t>ÖSTHAMMAR</t>
        </is>
      </c>
      <c r="H125" t="inlineStr">
        <is>
          <t>Bergvik skog öst AB</t>
        </is>
      </c>
      <c r="I125" t="n">
        <v>9.5</v>
      </c>
      <c r="J125" t="n">
        <v>4</v>
      </c>
      <c r="K125" t="n">
        <v>6</v>
      </c>
      <c r="L125" t="n">
        <v>2</v>
      </c>
      <c r="M125" t="n">
        <v>1</v>
      </c>
      <c r="N125" t="n">
        <v>0</v>
      </c>
      <c r="O125" t="n">
        <v>0</v>
      </c>
      <c r="P125" t="n">
        <v>0</v>
      </c>
      <c r="Q125" t="n">
        <v>3</v>
      </c>
      <c r="R125" t="n">
        <v>1</v>
      </c>
      <c r="S125" t="n">
        <v>11</v>
      </c>
      <c r="T125" t="n">
        <v>20</v>
      </c>
      <c r="U125" t="n">
        <v>17</v>
      </c>
      <c r="V125" s="2" t="inlineStr">
        <is>
          <t>Knärot
Ullticka
Vedtrappmossa
Bronshjon
Grön sköldmossa
Gullgröppa
Rödgul trumpetsvamp
Stubbspretmossa
Vågbandad barkbock
Blåsippa
Spillkråka</t>
        </is>
      </c>
      <c r="W125">
        <f>HYPERLINK("https://klasma.github.io/Logging_0382/artfynd/A 55518-2024 artfynd.xlsx", "A 55518-2024")</f>
        <v/>
      </c>
      <c r="X125">
        <f>HYPERLINK("https://klasma.github.io/Logging_0382/kartor/A 55518-2024 karta.png", "A 55518-2024")</f>
        <v/>
      </c>
      <c r="Y125">
        <f>HYPERLINK("https://klasma.github.io/Logging_0382/kartor_geotiff/A 55518-2024 georefererad karta.tif", "A 55518-2024")</f>
        <v/>
      </c>
      <c r="Z125">
        <f>HYPERLINK("https://klasma.github.io/Logging_0382/knärot/A 55518-2024 karta knärot.png", "A 55518-2024")</f>
        <v/>
      </c>
      <c r="AA125">
        <f>HYPERLINK("https://klasma.github.io/Logging_0382/klagomål/A 55518-2024 FSC-klagomål.docx", "A 55518-2024")</f>
        <v/>
      </c>
      <c r="AB125">
        <f>HYPERLINK("https://klasma.github.io/Logging_0382/klagomålsmail/A 55518-2024 FSC-klagomål mail.docx", "A 55518-2024")</f>
        <v/>
      </c>
      <c r="AC125">
        <f>HYPERLINK("https://klasma.github.io/Logging_0382/tillsyn/A 55518-2024 tillsynsbegäran.docx", "A 55518-2024")</f>
        <v/>
      </c>
      <c r="AD125">
        <f>HYPERLINK("https://klasma.github.io/Logging_0382/tillsynsmail/A 55518-2024 tillsynsbegäran mail.docx", "A 55518-2024")</f>
        <v/>
      </c>
      <c r="AE125">
        <f>HYPERLINK("https://klasma.github.io/Logging_0382/fåglar/A 55518-2024 prioriterade fågelarter.docx", "A 55518-2024")</f>
        <v/>
      </c>
    </row>
    <row r="126" ht="15" customHeight="1">
      <c r="A126" t="inlineStr">
        <is>
          <t>A 23496-2023</t>
        </is>
      </c>
      <c r="B126" t="inlineStr">
        <is>
          <t>avverkningsanmälan</t>
        </is>
      </c>
      <c r="C126" t="inlineStr">
        <is>
          <t>Föryngringsavverkning</t>
        </is>
      </c>
      <c r="D126" s="1" t="n">
        <v>45076</v>
      </c>
      <c r="E126" s="1" t="n">
        <v>46309</v>
      </c>
      <c r="F126" t="inlineStr">
        <is>
          <t>UPPSALA LÄN</t>
        </is>
      </c>
      <c r="G126" t="inlineStr">
        <is>
          <t>ÖSTHAMMAR</t>
        </is>
      </c>
      <c r="H126" t="inlineStr">
        <is>
          <t>Sveaskog</t>
        </is>
      </c>
      <c r="I126" t="n">
        <v>2</v>
      </c>
      <c r="J126" t="n">
        <v>11</v>
      </c>
      <c r="K126" t="n">
        <v>0</v>
      </c>
      <c r="L126" t="n">
        <v>4</v>
      </c>
      <c r="M126" t="n">
        <v>2</v>
      </c>
      <c r="N126" t="n">
        <v>0</v>
      </c>
      <c r="O126" t="n">
        <v>0</v>
      </c>
      <c r="P126" t="n">
        <v>0</v>
      </c>
      <c r="Q126" t="n">
        <v>6</v>
      </c>
      <c r="R126" t="n">
        <v>2</v>
      </c>
      <c r="S126" t="n">
        <v>11</v>
      </c>
      <c r="T126" t="n">
        <v>19</v>
      </c>
      <c r="U126" t="n">
        <v>0</v>
      </c>
      <c r="V126" s="2" t="inlineStr">
        <is>
          <t>Grönfink
Tornseglare
Gulsparv
Järnsparv
Sädesärla
Talltita
Grönsiska
Kungsfågel
Svartvit flugsnappare
Sävsparv
Sångsvan</t>
        </is>
      </c>
      <c r="W126">
        <f>HYPERLINK("https://klasma.github.io/Logging_0382/artfynd/A 23496-2023 artfynd.xlsx", "A 23496-2023")</f>
        <v/>
      </c>
      <c r="X126">
        <f>HYPERLINK("https://klasma.github.io/Logging_0382/kartor/A 23496-2023 karta.png", "A 23496-2023")</f>
        <v/>
      </c>
      <c r="Y126">
        <f>HYPERLINK("https://klasma.github.io/Logging_0382/kartor_geotiff/A 23496-2023 georefererad karta.tif", "A 23496-2023")</f>
        <v/>
      </c>
      <c r="AA126">
        <f>HYPERLINK("https://klasma.github.io/Logging_0382/klagomål/A 23496-2023 FSC-klagomål.docx", "A 23496-2023")</f>
        <v/>
      </c>
      <c r="AB126">
        <f>HYPERLINK("https://klasma.github.io/Logging_0382/klagomålsmail/A 23496-2023 FSC-klagomål mail.docx", "A 23496-2023")</f>
        <v/>
      </c>
      <c r="AC126">
        <f>HYPERLINK("https://klasma.github.io/Logging_0382/tillsyn/A 23496-2023 tillsynsbegäran.docx", "A 23496-2023")</f>
        <v/>
      </c>
      <c r="AD126">
        <f>HYPERLINK("https://klasma.github.io/Logging_0382/tillsynsmail/A 23496-2023 tillsynsbegäran mail.docx", "A 23496-2023")</f>
        <v/>
      </c>
      <c r="AE126">
        <f>HYPERLINK("https://klasma.github.io/Logging_0382/fåglar/A 23496-2023 prioriterade fågelarter.docx", "A 23496-2023")</f>
        <v/>
      </c>
    </row>
    <row r="127" ht="15" customHeight="1">
      <c r="A127" t="inlineStr">
        <is>
          <t>A 43725-2023</t>
        </is>
      </c>
      <c r="B127" t="inlineStr">
        <is>
          <t>avverkningsanmälan</t>
        </is>
      </c>
      <c r="C127" t="inlineStr">
        <is>
          <t>Föryngringsavverkning</t>
        </is>
      </c>
      <c r="D127" s="1" t="n">
        <v>45187</v>
      </c>
      <c r="E127" s="1" t="n">
        <v>46309</v>
      </c>
      <c r="F127" t="inlineStr">
        <is>
          <t>UPPSALA LÄN</t>
        </is>
      </c>
      <c r="G127" t="inlineStr">
        <is>
          <t>HEBY</t>
        </is>
      </c>
      <c r="I127" t="n">
        <v>2.4</v>
      </c>
      <c r="J127" t="n">
        <v>1</v>
      </c>
      <c r="K127" t="n">
        <v>5</v>
      </c>
      <c r="L127" t="n">
        <v>4</v>
      </c>
      <c r="M127" t="n">
        <v>2</v>
      </c>
      <c r="N127" t="n">
        <v>0</v>
      </c>
      <c r="O127" t="n">
        <v>0</v>
      </c>
      <c r="P127" t="n">
        <v>0</v>
      </c>
      <c r="Q127" t="n">
        <v>6</v>
      </c>
      <c r="R127" t="n">
        <v>2</v>
      </c>
      <c r="S127" t="n">
        <v>11</v>
      </c>
      <c r="T127" t="n">
        <v>19</v>
      </c>
      <c r="U127" t="n">
        <v>0</v>
      </c>
      <c r="V127" s="2" t="inlineStr">
        <is>
          <t>Garnlav
Knärot
Dvärgbägarlav
Rosenticka
Ullticka
Vedtrappmossa
Bronshjon
Grönpyrola
Jättesvampmal
Robust tickgnagare
Vedticka</t>
        </is>
      </c>
      <c r="W127">
        <f>HYPERLINK("https://klasma.github.io/Logging_0331/artfynd/A 43725-2023 artfynd.xlsx", "A 43725-2023")</f>
        <v/>
      </c>
      <c r="X127">
        <f>HYPERLINK("https://klasma.github.io/Logging_0331/kartor/A 43725-2023 karta.png", "A 43725-2023")</f>
        <v/>
      </c>
      <c r="Y127">
        <f>HYPERLINK("https://klasma.github.io/Logging_0331/kartor_geotiff/A 43725-2023 georefererad karta.tif", "A 43725-2023")</f>
        <v/>
      </c>
      <c r="Z127">
        <f>HYPERLINK("https://klasma.github.io/Logging_0331/knärot/A 43725-2023 karta knärot.png", "A 43725-2023")</f>
        <v/>
      </c>
      <c r="AA127">
        <f>HYPERLINK("https://klasma.github.io/Logging_0331/klagomål/A 43725-2023 FSC-klagomål.docx", "A 43725-2023")</f>
        <v/>
      </c>
      <c r="AB127">
        <f>HYPERLINK("https://klasma.github.io/Logging_0331/klagomålsmail/A 43725-2023 FSC-klagomål mail.docx", "A 43725-2023")</f>
        <v/>
      </c>
      <c r="AC127">
        <f>HYPERLINK("https://klasma.github.io/Logging_0331/tillsyn/A 43725-2023 tillsynsbegäran.docx", "A 43725-2023")</f>
        <v/>
      </c>
      <c r="AD127">
        <f>HYPERLINK("https://klasma.github.io/Logging_0331/tillsynsmail/A 43725-2023 tillsynsbegäran mail.docx", "A 43725-2023")</f>
        <v/>
      </c>
    </row>
    <row r="128" ht="15" customHeight="1">
      <c r="A128" t="inlineStr">
        <is>
          <t>A 23584-2026</t>
        </is>
      </c>
      <c r="B128" t="inlineStr">
        <is>
          <t>avverkningsanmälan</t>
        </is>
      </c>
      <c r="C128" t="inlineStr">
        <is>
          <t>Föryngringsavverkning</t>
        </is>
      </c>
      <c r="D128" s="1" t="n">
        <v>46163</v>
      </c>
      <c r="E128" s="1" t="n">
        <v>46309</v>
      </c>
      <c r="F128" t="inlineStr">
        <is>
          <t>UPPSALA LÄN</t>
        </is>
      </c>
      <c r="G128" t="inlineStr">
        <is>
          <t>UPPSALA</t>
        </is>
      </c>
      <c r="I128" t="n">
        <v>12.7</v>
      </c>
      <c r="J128" t="n">
        <v>5</v>
      </c>
      <c r="K128" t="n">
        <v>3</v>
      </c>
      <c r="L128" t="n">
        <v>0</v>
      </c>
      <c r="M128" t="n">
        <v>0</v>
      </c>
      <c r="N128" t="n">
        <v>0</v>
      </c>
      <c r="O128" t="n">
        <v>0</v>
      </c>
      <c r="P128" t="n">
        <v>0</v>
      </c>
      <c r="Q128" t="n">
        <v>0</v>
      </c>
      <c r="R128" t="n">
        <v>0</v>
      </c>
      <c r="S128" t="n">
        <v>11</v>
      </c>
      <c r="T128" t="n">
        <v>20</v>
      </c>
      <c r="U128" t="n">
        <v>20</v>
      </c>
      <c r="V128" s="2" t="inlineStr">
        <is>
          <t>Brandticka
Grovticka
Springkorn
Blåsippa
Brudborste
Hässlebrodd
Ormbär
Spillkråka
Tjäder
Grön mosaikslända
Vanlig groda</t>
        </is>
      </c>
      <c r="W128">
        <f>HYPERLINK("https://klasma.github.io/Logging_0380/artfynd/A 23584-2026 artfynd.xlsx", "A 23584-2026")</f>
        <v/>
      </c>
      <c r="X128">
        <f>HYPERLINK("https://klasma.github.io/Logging_0380/kartor/A 23584-2026 karta.png", "A 23584-2026")</f>
        <v/>
      </c>
      <c r="Y128">
        <f>HYPERLINK("https://klasma.github.io/Logging_0380/kartor_geotiff/A 23584-2026 georefererad karta.tif", "A 23584-2026")</f>
        <v/>
      </c>
      <c r="AA128">
        <f>HYPERLINK("https://klasma.github.io/Logging_0380/klagomål/A 23584-2026 FSC-klagomål.docx", "A 23584-2026")</f>
        <v/>
      </c>
      <c r="AB128">
        <f>HYPERLINK("https://klasma.github.io/Logging_0380/klagomålsmail/A 23584-2026 FSC-klagomål mail.docx", "A 23584-2026")</f>
        <v/>
      </c>
      <c r="AC128">
        <f>HYPERLINK("https://klasma.github.io/Logging_0380/tillsyn/A 23584-2026 tillsynsbegäran.docx", "A 23584-2026")</f>
        <v/>
      </c>
      <c r="AD128">
        <f>HYPERLINK("https://klasma.github.io/Logging_0380/tillsynsmail/A 23584-2026 tillsynsbegäran mail.docx", "A 23584-2026")</f>
        <v/>
      </c>
      <c r="AE128">
        <f>HYPERLINK("https://klasma.github.io/Logging_0380/fåglar/A 23584-2026 prioriterade fågelarter.docx", "A 23584-2026")</f>
        <v/>
      </c>
    </row>
    <row r="129" ht="15" customHeight="1">
      <c r="A129" t="inlineStr">
        <is>
          <t>A 49888-2025</t>
        </is>
      </c>
      <c r="B129" t="inlineStr">
        <is>
          <t>avverkningsanmälan</t>
        </is>
      </c>
      <c r="C129" t="inlineStr">
        <is>
          <t>Föryngringsavverkning</t>
        </is>
      </c>
      <c r="D129" s="1" t="n">
        <v>45940</v>
      </c>
      <c r="E129" s="1" t="n">
        <v>46309</v>
      </c>
      <c r="F129" t="inlineStr">
        <is>
          <t>UPPSALA LÄN</t>
        </is>
      </c>
      <c r="G129" t="inlineStr">
        <is>
          <t>TIERP</t>
        </is>
      </c>
      <c r="H129" t="inlineStr">
        <is>
          <t>Bergvik skog öst AB</t>
        </is>
      </c>
      <c r="I129" t="n">
        <v>2.2</v>
      </c>
      <c r="J129" t="n">
        <v>5</v>
      </c>
      <c r="K129" t="n">
        <v>5</v>
      </c>
      <c r="L129" t="n">
        <v>3</v>
      </c>
      <c r="M129" t="n">
        <v>0</v>
      </c>
      <c r="N129" t="n">
        <v>1</v>
      </c>
      <c r="O129" t="n">
        <v>0</v>
      </c>
      <c r="P129" t="n">
        <v>0</v>
      </c>
      <c r="Q129" t="n">
        <v>4</v>
      </c>
      <c r="R129" t="n">
        <v>1</v>
      </c>
      <c r="S129" t="n">
        <v>11</v>
      </c>
      <c r="T129" t="n">
        <v>37</v>
      </c>
      <c r="U129" t="n">
        <v>37</v>
      </c>
      <c r="V129" s="2" t="inlineStr">
        <is>
          <t>Ask
Rynkskinn
Talltita
Vedtrappmossa
Bronshjon
Grön sköldmossa
Skogsknipprot
Stubbspretmossa
Svavelriska
Blåsippa
Spillkråka</t>
        </is>
      </c>
      <c r="W129">
        <f>HYPERLINK("https://klasma.github.io/Logging_0360/artfynd/A 49888-2025 artfynd.xlsx", "A 49888-2025")</f>
        <v/>
      </c>
      <c r="X129">
        <f>HYPERLINK("https://klasma.github.io/Logging_0360/kartor/A 49888-2025 karta.png", "A 49888-2025")</f>
        <v/>
      </c>
      <c r="Y129">
        <f>HYPERLINK("https://klasma.github.io/Logging_0360/kartor_geotiff/A 49888-2025 georefererad karta.tif", "A 49888-2025")</f>
        <v/>
      </c>
      <c r="AA129">
        <f>HYPERLINK("https://klasma.github.io/Logging_0360/klagomål/A 49888-2025 FSC-klagomål.docx", "A 49888-2025")</f>
        <v/>
      </c>
      <c r="AB129">
        <f>HYPERLINK("https://klasma.github.io/Logging_0360/klagomålsmail/A 49888-2025 FSC-klagomål mail.docx", "A 49888-2025")</f>
        <v/>
      </c>
      <c r="AC129">
        <f>HYPERLINK("https://klasma.github.io/Logging_0360/tillsyn/A 49888-2025 tillsynsbegäran.docx", "A 49888-2025")</f>
        <v/>
      </c>
      <c r="AD129">
        <f>HYPERLINK("https://klasma.github.io/Logging_0360/tillsynsmail/A 49888-2025 tillsynsbegäran mail.docx", "A 49888-2025")</f>
        <v/>
      </c>
      <c r="AE129">
        <f>HYPERLINK("https://klasma.github.io/Logging_0360/fåglar/A 49888-2025 prioriterade fågelarter.docx", "A 49888-2025")</f>
        <v/>
      </c>
    </row>
    <row r="130" ht="15" customHeight="1">
      <c r="A130" t="inlineStr">
        <is>
          <t>A 221-2025</t>
        </is>
      </c>
      <c r="B130" t="inlineStr">
        <is>
          <t>avverkningsanmälan</t>
        </is>
      </c>
      <c r="C130" t="inlineStr">
        <is>
          <t>Föryngringsavverkning</t>
        </is>
      </c>
      <c r="D130" s="1" t="n">
        <v>45660</v>
      </c>
      <c r="E130" s="1" t="n">
        <v>46309</v>
      </c>
      <c r="F130" t="inlineStr">
        <is>
          <t>UPPSALA LÄN</t>
        </is>
      </c>
      <c r="G130" t="inlineStr">
        <is>
          <t>ÖSTHAMMAR</t>
        </is>
      </c>
      <c r="H130" t="inlineStr">
        <is>
          <t>Bergvik skog öst AB</t>
        </is>
      </c>
      <c r="I130" t="n">
        <v>1.3</v>
      </c>
      <c r="J130" t="n">
        <v>5</v>
      </c>
      <c r="K130" t="n">
        <v>3</v>
      </c>
      <c r="L130" t="n">
        <v>4</v>
      </c>
      <c r="M130" t="n">
        <v>1</v>
      </c>
      <c r="N130" t="n">
        <v>0</v>
      </c>
      <c r="O130" t="n">
        <v>0</v>
      </c>
      <c r="P130" t="n">
        <v>0</v>
      </c>
      <c r="Q130" t="n">
        <v>5</v>
      </c>
      <c r="R130" t="n">
        <v>1</v>
      </c>
      <c r="S130" t="n">
        <v>11</v>
      </c>
      <c r="T130" t="n">
        <v>26</v>
      </c>
      <c r="U130" t="n">
        <v>26</v>
      </c>
      <c r="V130" s="2" t="inlineStr">
        <is>
          <t>Gul taggsvamp
Fjällig taggsvamp s.str.
Motaggsvamp
Talltita
Ullticka
Grön sköldmossa
Korallblylav
Rödgul trumpetsvamp
Blåsippa
Tallbit
Kungsfågel</t>
        </is>
      </c>
      <c r="W130">
        <f>HYPERLINK("https://klasma.github.io/Logging_0382/artfynd/A 221-2025 artfynd.xlsx", "A 221-2025")</f>
        <v/>
      </c>
      <c r="X130">
        <f>HYPERLINK("https://klasma.github.io/Logging_0382/kartor/A 221-2025 karta.png", "A 221-2025")</f>
        <v/>
      </c>
      <c r="Y130">
        <f>HYPERLINK("https://klasma.github.io/Logging_0382/kartor_geotiff/A 221-2025 georefererad karta.tif", "A 221-2025")</f>
        <v/>
      </c>
      <c r="AA130">
        <f>HYPERLINK("https://klasma.github.io/Logging_0382/klagomål/A 221-2025 FSC-klagomål.docx", "A 221-2025")</f>
        <v/>
      </c>
      <c r="AB130">
        <f>HYPERLINK("https://klasma.github.io/Logging_0382/klagomålsmail/A 221-2025 FSC-klagomål mail.docx", "A 221-2025")</f>
        <v/>
      </c>
      <c r="AC130">
        <f>HYPERLINK("https://klasma.github.io/Logging_0382/tillsyn/A 221-2025 tillsynsbegäran.docx", "A 221-2025")</f>
        <v/>
      </c>
      <c r="AD130">
        <f>HYPERLINK("https://klasma.github.io/Logging_0382/tillsynsmail/A 221-2025 tillsynsbegäran mail.docx", "A 221-2025")</f>
        <v/>
      </c>
      <c r="AE130">
        <f>HYPERLINK("https://klasma.github.io/Logging_0382/fåglar/A 221-2025 prioriterade fågelarter.docx", "A 221-2025")</f>
        <v/>
      </c>
    </row>
    <row r="131" ht="15" customHeight="1">
      <c r="A131" t="inlineStr">
        <is>
          <t>A 3954-2025</t>
        </is>
      </c>
      <c r="B131" t="inlineStr">
        <is>
          <t>avverkningsanmälan</t>
        </is>
      </c>
      <c r="C131" t="inlineStr">
        <is>
          <t>Avverkning för annat ändamål</t>
        </is>
      </c>
      <c r="D131" s="1" t="n">
        <v>45684</v>
      </c>
      <c r="E131" s="1" t="n">
        <v>46309</v>
      </c>
      <c r="F131" t="inlineStr">
        <is>
          <t>UPPSALA LÄN</t>
        </is>
      </c>
      <c r="G131" t="inlineStr">
        <is>
          <t>ÄLVKARLEBY</t>
        </is>
      </c>
      <c r="I131" t="n">
        <v>5.5</v>
      </c>
      <c r="J131" t="n">
        <v>2</v>
      </c>
      <c r="K131" t="n">
        <v>2</v>
      </c>
      <c r="L131" t="n">
        <v>6</v>
      </c>
      <c r="M131" t="n">
        <v>1</v>
      </c>
      <c r="N131" t="n">
        <v>0</v>
      </c>
      <c r="O131" t="n">
        <v>0</v>
      </c>
      <c r="P131" t="n">
        <v>0</v>
      </c>
      <c r="Q131" t="n">
        <v>7</v>
      </c>
      <c r="R131" t="n">
        <v>1</v>
      </c>
      <c r="S131" t="n">
        <v>11</v>
      </c>
      <c r="T131" t="n">
        <v>25</v>
      </c>
      <c r="U131" t="n">
        <v>0</v>
      </c>
      <c r="V131" s="2" t="inlineStr">
        <is>
          <t>Sanddraba
Backklöver
Flentimotej
Rödbrun jordtunga
Sandviol
Slåtterfibbla
Vanlig sandviol
Igelkottsröksvamp
Ängsvaxing agg.
Blåsippa
Revlummer</t>
        </is>
      </c>
      <c r="W131">
        <f>HYPERLINK("https://klasma.github.io/Logging_0319/artfynd/A 3954-2025 artfynd.xlsx", "A 3954-2025")</f>
        <v/>
      </c>
      <c r="X131">
        <f>HYPERLINK("https://klasma.github.io/Logging_0319/kartor/A 3954-2025 karta.png", "A 3954-2025")</f>
        <v/>
      </c>
      <c r="Y131">
        <f>HYPERLINK("https://klasma.github.io/Logging_0319/kartor_geotiff/A 3954-2025 georefererad karta.tif", "A 3954-2025")</f>
        <v/>
      </c>
      <c r="AA131">
        <f>HYPERLINK("https://klasma.github.io/Logging_0319/klagomål/A 3954-2025 FSC-klagomål.docx", "A 3954-2025")</f>
        <v/>
      </c>
      <c r="AB131">
        <f>HYPERLINK("https://klasma.github.io/Logging_0319/klagomålsmail/A 3954-2025 FSC-klagomål mail.docx", "A 3954-2025")</f>
        <v/>
      </c>
      <c r="AC131">
        <f>HYPERLINK("https://klasma.github.io/Logging_0319/tillsyn/A 3954-2025 tillsynsbegäran.docx", "A 3954-2025")</f>
        <v/>
      </c>
      <c r="AD131">
        <f>HYPERLINK("https://klasma.github.io/Logging_0319/tillsynsmail/A 3954-2025 tillsynsbegäran mail.docx", "A 3954-2025")</f>
        <v/>
      </c>
    </row>
    <row r="132" ht="15" customHeight="1">
      <c r="A132" t="inlineStr">
        <is>
          <t>A 62003-2025</t>
        </is>
      </c>
      <c r="B132" t="inlineStr">
        <is>
          <t>avverkningsanmälan</t>
        </is>
      </c>
      <c r="C132" t="inlineStr">
        <is>
          <t>Föryngringsavverkning</t>
        </is>
      </c>
      <c r="D132" s="1" t="n">
        <v>46003</v>
      </c>
      <c r="E132" s="1" t="n">
        <v>46309</v>
      </c>
      <c r="F132" t="inlineStr">
        <is>
          <t>UPPSALA LÄN</t>
        </is>
      </c>
      <c r="G132" t="inlineStr">
        <is>
          <t>UPPSALA</t>
        </is>
      </c>
      <c r="I132" t="n">
        <v>6.9</v>
      </c>
      <c r="J132" t="n">
        <v>5</v>
      </c>
      <c r="K132" t="n">
        <v>2</v>
      </c>
      <c r="L132" t="n">
        <v>5</v>
      </c>
      <c r="M132" t="n">
        <v>1</v>
      </c>
      <c r="N132" t="n">
        <v>0</v>
      </c>
      <c r="O132" t="n">
        <v>0</v>
      </c>
      <c r="P132" t="n">
        <v>0</v>
      </c>
      <c r="Q132" t="n">
        <v>6</v>
      </c>
      <c r="R132" t="n">
        <v>1</v>
      </c>
      <c r="S132" t="n">
        <v>11</v>
      </c>
      <c r="T132" t="n">
        <v>46</v>
      </c>
      <c r="U132" t="n">
        <v>45</v>
      </c>
      <c r="V132" s="2" t="inlineStr">
        <is>
          <t>Knärot
Rynkskinn
Svart ögonknäppare
Talltita
Ullticka
Vedtrappmossa
Granbarkgnagare
Vedticka
Spillkråka
Lopplummer (aggregat)
Revlummer</t>
        </is>
      </c>
      <c r="W132">
        <f>HYPERLINK("https://klasma.github.io/Logging_0380/artfynd/A 62003-2025 artfynd.xlsx", "A 62003-2025")</f>
        <v/>
      </c>
      <c r="X132">
        <f>HYPERLINK("https://klasma.github.io/Logging_0380/kartor/A 62003-2025 karta.png", "A 62003-2025")</f>
        <v/>
      </c>
      <c r="Y132">
        <f>HYPERLINK("https://klasma.github.io/Logging_0380/kartor_geotiff/A 62003-2025 georefererad karta.tif", "A 62003-2025")</f>
        <v/>
      </c>
      <c r="Z132">
        <f>HYPERLINK("https://klasma.github.io/Logging_0380/knärot/A 62003-2025 karta knärot.png", "A 62003-2025")</f>
        <v/>
      </c>
      <c r="AA132">
        <f>HYPERLINK("https://klasma.github.io/Logging_0380/klagomål/A 62003-2025 FSC-klagomål.docx", "A 62003-2025")</f>
        <v/>
      </c>
      <c r="AB132">
        <f>HYPERLINK("https://klasma.github.io/Logging_0380/klagomålsmail/A 62003-2025 FSC-klagomål mail.docx", "A 62003-2025")</f>
        <v/>
      </c>
      <c r="AC132">
        <f>HYPERLINK("https://klasma.github.io/Logging_0380/tillsyn/A 62003-2025 tillsynsbegäran.docx", "A 62003-2025")</f>
        <v/>
      </c>
      <c r="AD132">
        <f>HYPERLINK("https://klasma.github.io/Logging_0380/tillsynsmail/A 62003-2025 tillsynsbegäran mail.docx", "A 62003-2025")</f>
        <v/>
      </c>
      <c r="AE132">
        <f>HYPERLINK("https://klasma.github.io/Logging_0380/fåglar/A 62003-2025 prioriterade fågelarter.docx", "A 62003-2025")</f>
        <v/>
      </c>
    </row>
    <row r="133" ht="15" customHeight="1">
      <c r="A133" t="inlineStr">
        <is>
          <t>A 35306-2026</t>
        </is>
      </c>
      <c r="B133" t="inlineStr">
        <is>
          <t>avverkningsanmälan</t>
        </is>
      </c>
      <c r="C133" t="inlineStr">
        <is>
          <t>Föryngringsavverkning</t>
        </is>
      </c>
      <c r="D133" s="1" t="n">
        <v>46261</v>
      </c>
      <c r="E133" s="1" t="n">
        <v>46309</v>
      </c>
      <c r="F133" t="inlineStr">
        <is>
          <t>UPPSALA LÄN</t>
        </is>
      </c>
      <c r="G133" t="inlineStr">
        <is>
          <t>UPPSALA</t>
        </is>
      </c>
      <c r="I133" t="n">
        <v>3.1</v>
      </c>
      <c r="J133" t="n">
        <v>3</v>
      </c>
      <c r="K133" t="n">
        <v>4</v>
      </c>
      <c r="L133" t="n">
        <v>2</v>
      </c>
      <c r="M133" t="n">
        <v>3</v>
      </c>
      <c r="N133" t="n">
        <v>0</v>
      </c>
      <c r="O133" t="n">
        <v>0</v>
      </c>
      <c r="P133" t="n">
        <v>0</v>
      </c>
      <c r="Q133" t="n">
        <v>5</v>
      </c>
      <c r="R133" t="n">
        <v>3</v>
      </c>
      <c r="S133" t="n">
        <v>11</v>
      </c>
      <c r="T133" t="n">
        <v>150</v>
      </c>
      <c r="U133" t="n">
        <v>12</v>
      </c>
      <c r="V133" s="2" t="inlineStr">
        <is>
          <t>Brunfläckig pärlemorfjäril
Väddnätfjäril
Ängsskäreplattmal
Sotnätfjäril
Ullticka
Bronshjon
Stubbspretmossa
Större aspvedbock
Vedticka
Spillkråka
Törnskata</t>
        </is>
      </c>
      <c r="W133">
        <f>HYPERLINK("https://klasma.github.io/Logging_0380/artfynd/A 35306-2026 artfynd.xlsx", "A 35306-2026")</f>
        <v/>
      </c>
      <c r="X133">
        <f>HYPERLINK("https://klasma.github.io/Logging_0380/kartor/A 35306-2026 karta.png", "A 35306-2026")</f>
        <v/>
      </c>
      <c r="Y133">
        <f>HYPERLINK("https://klasma.github.io/Logging_0380/kartor_geotiff/A 35306-2026 georefererad karta.tif", "A 35306-2026")</f>
        <v/>
      </c>
      <c r="AA133">
        <f>HYPERLINK("https://klasma.github.io/Logging_0380/klagomål/A 35306-2026 FSC-klagomål.docx", "A 35306-2026")</f>
        <v/>
      </c>
      <c r="AB133">
        <f>HYPERLINK("https://klasma.github.io/Logging_0380/klagomålsmail/A 35306-2026 FSC-klagomål mail.docx", "A 35306-2026")</f>
        <v/>
      </c>
      <c r="AC133">
        <f>HYPERLINK("https://klasma.github.io/Logging_0380/tillsyn/A 35306-2026 tillsynsbegäran.docx", "A 35306-2026")</f>
        <v/>
      </c>
      <c r="AD133">
        <f>HYPERLINK("https://klasma.github.io/Logging_0380/tillsynsmail/A 35306-2026 tillsynsbegäran mail.docx", "A 35306-2026")</f>
        <v/>
      </c>
      <c r="AE133">
        <f>HYPERLINK("https://klasma.github.io/Logging_0380/fåglar/A 35306-2026 prioriterade fågelarter.docx", "A 35306-2026")</f>
        <v/>
      </c>
    </row>
    <row r="134" ht="15" customHeight="1">
      <c r="A134" t="inlineStr">
        <is>
          <t>S 2843-2024</t>
        </is>
      </c>
      <c r="B134" t="inlineStr">
        <is>
          <t>samrådsanmälan</t>
        </is>
      </c>
      <c r="C134" t="inlineStr">
        <is>
          <t>Annan skogsbruksåtgärd</t>
        </is>
      </c>
      <c r="D134" s="1" t="n">
        <v>45492</v>
      </c>
      <c r="E134" s="1" t="n">
        <v>46309</v>
      </c>
      <c r="F134" t="inlineStr">
        <is>
          <t>UPPSALA LÄN</t>
        </is>
      </c>
      <c r="G134" t="inlineStr">
        <is>
          <t>TIERP</t>
        </is>
      </c>
      <c r="H134" t="inlineStr">
        <is>
          <t>Bergvik skog väst AB</t>
        </is>
      </c>
      <c r="I134" t="n">
        <v>1.4</v>
      </c>
      <c r="J134" t="n">
        <v>3</v>
      </c>
      <c r="K134" t="n">
        <v>7</v>
      </c>
      <c r="L134" t="n">
        <v>2</v>
      </c>
      <c r="M134" t="n">
        <v>0</v>
      </c>
      <c r="N134" t="n">
        <v>1</v>
      </c>
      <c r="O134" t="n">
        <v>0</v>
      </c>
      <c r="P134" t="n">
        <v>0</v>
      </c>
      <c r="Q134" t="n">
        <v>3</v>
      </c>
      <c r="R134" t="n">
        <v>1</v>
      </c>
      <c r="S134" t="n">
        <v>11</v>
      </c>
      <c r="T134" t="n">
        <v>15</v>
      </c>
      <c r="U134" t="n">
        <v>1</v>
      </c>
      <c r="V134" s="2" t="inlineStr">
        <is>
          <t>Gyllenfingersvamp
Ekticka
Vårärt
Anisspindling
Grön sköldmossa
Olivspindling
Skogsknipprot
Stubbspretmossa
Tibast
Vågbandad barkbock
Blåsippa</t>
        </is>
      </c>
      <c r="W134">
        <f>HYPERLINK("https://klasma.github.io/Logging_0360/artfynd/S 2843-2024 artfynd.xlsx", "S 2843-2024")</f>
        <v/>
      </c>
      <c r="X134">
        <f>HYPERLINK("https://klasma.github.io/Logging_0360/kartor/S 2843-2024 karta.png", "S 2843-2024")</f>
        <v/>
      </c>
      <c r="Y134">
        <f>HYPERLINK("https://klasma.github.io/Logging_0360/kartor_geotiff/S 2843-2024 georefererad karta.tif", "S 2843-2024")</f>
        <v/>
      </c>
      <c r="AA134">
        <f>HYPERLINK("https://klasma.github.io/Logging_0360/klagomål/S 2843-2024 FSC-klagomål.docx", "S 2843-2024")</f>
        <v/>
      </c>
      <c r="AB134">
        <f>HYPERLINK("https://klasma.github.io/Logging_0360/klagomålsmail/S 2843-2024 FSC-klagomål mail.docx", "S 2843-2024")</f>
        <v/>
      </c>
      <c r="AC134">
        <f>HYPERLINK("https://klasma.github.io/Logging_0360/tillsyn/S 2843-2024 tillsynsbegäran.docx", "S 2843-2024")</f>
        <v/>
      </c>
      <c r="AD134">
        <f>HYPERLINK("https://klasma.github.io/Logging_0360/tillsynsmail/S 2843-2024 tillsynsbegäran mail.docx", "S 2843-2024")</f>
        <v/>
      </c>
    </row>
    <row r="135" ht="15" customHeight="1">
      <c r="A135" t="inlineStr">
        <is>
          <t>S 4483-2024</t>
        </is>
      </c>
      <c r="B135" t="inlineStr">
        <is>
          <t>samrådsanmälan</t>
        </is>
      </c>
      <c r="C135" t="inlineStr">
        <is>
          <t>Annan skogsbruksåtgärd</t>
        </is>
      </c>
      <c r="D135" s="1" t="n">
        <v>45595</v>
      </c>
      <c r="E135" s="1" t="n">
        <v>46309</v>
      </c>
      <c r="F135" t="inlineStr">
        <is>
          <t>UPPSALA LÄN</t>
        </is>
      </c>
      <c r="G135" t="inlineStr">
        <is>
          <t>HÅBO</t>
        </is>
      </c>
      <c r="I135" t="n">
        <v>3.3</v>
      </c>
      <c r="J135" t="n">
        <v>2</v>
      </c>
      <c r="K135" t="n">
        <v>4</v>
      </c>
      <c r="L135" t="n">
        <v>3</v>
      </c>
      <c r="M135" t="n">
        <v>2</v>
      </c>
      <c r="N135" t="n">
        <v>1</v>
      </c>
      <c r="O135" t="n">
        <v>0</v>
      </c>
      <c r="P135" t="n">
        <v>0</v>
      </c>
      <c r="Q135" t="n">
        <v>6</v>
      </c>
      <c r="R135" t="n">
        <v>3</v>
      </c>
      <c r="S135" t="n">
        <v>11</v>
      </c>
      <c r="T135" t="n">
        <v>19</v>
      </c>
      <c r="U135" t="n">
        <v>0</v>
      </c>
      <c r="V135" s="2" t="inlineStr">
        <is>
          <t>Prakttagging
Grå vedslidskivling
Slöjröksvamp
Backklöver
Mjölspindling
Saffransspindling
Bolmörtsskivling
Luktvaxing
Läderskål
Nästrot
Blåsippa</t>
        </is>
      </c>
      <c r="W135">
        <f>HYPERLINK("https://klasma.github.io/Logging_0305/artfynd/S 4483-2024 artfynd.xlsx", "S 4483-2024")</f>
        <v/>
      </c>
      <c r="X135">
        <f>HYPERLINK("https://klasma.github.io/Logging_0305/kartor/S 4483-2024 karta.png", "S 4483-2024")</f>
        <v/>
      </c>
      <c r="Y135">
        <f>HYPERLINK("https://klasma.github.io/Logging_0305/kartor_geotiff/S 4483-2024 georefererad karta.tif", "S 4483-2024")</f>
        <v/>
      </c>
      <c r="AA135">
        <f>HYPERLINK("https://klasma.github.io/Logging_0305/klagomål/S 4483-2024 FSC-klagomål.docx", "S 4483-2024")</f>
        <v/>
      </c>
      <c r="AB135">
        <f>HYPERLINK("https://klasma.github.io/Logging_0305/klagomålsmail/S 4483-2024 FSC-klagomål mail.docx", "S 4483-2024")</f>
        <v/>
      </c>
      <c r="AC135">
        <f>HYPERLINK("https://klasma.github.io/Logging_0305/tillsyn/S 4483-2024 tillsynsbegäran.docx", "S 4483-2024")</f>
        <v/>
      </c>
      <c r="AD135">
        <f>HYPERLINK("https://klasma.github.io/Logging_0305/tillsynsmail/S 4483-2024 tillsynsbegäran mail.docx", "S 4483-2024")</f>
        <v/>
      </c>
    </row>
    <row r="136" ht="15" customHeight="1">
      <c r="A136" t="inlineStr">
        <is>
          <t>S 3439-2025</t>
        </is>
      </c>
      <c r="B136" t="inlineStr">
        <is>
          <t>samrådsanmälan</t>
        </is>
      </c>
      <c r="C136" t="inlineStr">
        <is>
          <t>Annan skogsbruksåtgärd</t>
        </is>
      </c>
      <c r="D136" s="1" t="n">
        <v>45996</v>
      </c>
      <c r="E136" s="1" t="n">
        <v>46309</v>
      </c>
      <c r="F136" t="inlineStr">
        <is>
          <t>UPPSALA LÄN</t>
        </is>
      </c>
      <c r="G136" t="inlineStr">
        <is>
          <t>UPPSALA</t>
        </is>
      </c>
      <c r="I136" t="n">
        <v>5.3</v>
      </c>
      <c r="J136" t="n">
        <v>1</v>
      </c>
      <c r="K136" t="n">
        <v>6</v>
      </c>
      <c r="L136" t="n">
        <v>5</v>
      </c>
      <c r="M136" t="n">
        <v>0</v>
      </c>
      <c r="N136" t="n">
        <v>0</v>
      </c>
      <c r="O136" t="n">
        <v>0</v>
      </c>
      <c r="P136" t="n">
        <v>0</v>
      </c>
      <c r="Q136" t="n">
        <v>5</v>
      </c>
      <c r="R136" t="n">
        <v>0</v>
      </c>
      <c r="S136" t="n">
        <v>11</v>
      </c>
      <c r="T136" t="n">
        <v>24</v>
      </c>
      <c r="U136" t="n">
        <v>0</v>
      </c>
      <c r="V136" s="2" t="inlineStr">
        <is>
          <t>Motaggsvamp
Rynkskinn
Talltita
Ullticka
Vedtrappmossa
Brandticka
Dvärgtufs
Granbarkgnagare
Rödgul trumpetsvamp
Trådticka
Vedticka</t>
        </is>
      </c>
      <c r="W136">
        <f>HYPERLINK("https://klasma.github.io/Logging_0380/artfynd/S 3439-2025 artfynd.xlsx", "S 3439-2025")</f>
        <v/>
      </c>
      <c r="X136">
        <f>HYPERLINK("https://klasma.github.io/Logging_0380/kartor/S 3439-2025 karta.png", "S 3439-2025")</f>
        <v/>
      </c>
      <c r="Y136">
        <f>HYPERLINK("https://klasma.github.io/Logging_0380/kartor_geotiff/S 3439-2025 georefererad karta.tif", "S 3439-2025")</f>
        <v/>
      </c>
      <c r="AA136">
        <f>HYPERLINK("https://klasma.github.io/Logging_0380/klagomål/S 3439-2025 FSC-klagomål.docx", "S 3439-2025")</f>
        <v/>
      </c>
      <c r="AB136">
        <f>HYPERLINK("https://klasma.github.io/Logging_0380/klagomålsmail/S 3439-2025 FSC-klagomål mail.docx", "S 3439-2025")</f>
        <v/>
      </c>
      <c r="AC136">
        <f>HYPERLINK("https://klasma.github.io/Logging_0380/tillsyn/S 3439-2025 tillsynsbegäran.docx", "S 3439-2025")</f>
        <v/>
      </c>
      <c r="AD136">
        <f>HYPERLINK("https://klasma.github.io/Logging_0380/tillsynsmail/S 3439-2025 tillsynsbegäran mail.docx", "S 3439-2025")</f>
        <v/>
      </c>
      <c r="AE136">
        <f>HYPERLINK("https://klasma.github.io/Logging_0380/fåglar/S 3439-2025 prioriterade fågelarter.docx", "S 3439-2025")</f>
        <v/>
      </c>
    </row>
    <row r="137" ht="15" customHeight="1">
      <c r="A137" t="inlineStr">
        <is>
          <t>A 61388-2021</t>
        </is>
      </c>
      <c r="B137" t="inlineStr">
        <is>
          <t>avverkningsanmälan</t>
        </is>
      </c>
      <c r="C137" t="inlineStr">
        <is>
          <t>Föryngringsavverkning</t>
        </is>
      </c>
      <c r="D137" s="1" t="n">
        <v>44500</v>
      </c>
      <c r="E137" s="1" t="n">
        <v>46309</v>
      </c>
      <c r="F137" t="inlineStr">
        <is>
          <t>UPPSALA LÄN</t>
        </is>
      </c>
      <c r="G137" t="inlineStr">
        <is>
          <t>UPPSALA</t>
        </is>
      </c>
      <c r="I137" t="n">
        <v>4.8</v>
      </c>
      <c r="J137" t="n">
        <v>3</v>
      </c>
      <c r="K137" t="n">
        <v>5</v>
      </c>
      <c r="L137" t="n">
        <v>3</v>
      </c>
      <c r="M137" t="n">
        <v>1</v>
      </c>
      <c r="N137" t="n">
        <v>0</v>
      </c>
      <c r="O137" t="n">
        <v>0</v>
      </c>
      <c r="P137" t="n">
        <v>0</v>
      </c>
      <c r="Q137" t="n">
        <v>4</v>
      </c>
      <c r="R137" t="n">
        <v>1</v>
      </c>
      <c r="S137" t="n">
        <v>10</v>
      </c>
      <c r="T137" t="n">
        <v>14</v>
      </c>
      <c r="U137" t="n">
        <v>0</v>
      </c>
      <c r="V137" s="2" t="inlineStr">
        <is>
          <t>Knärot
Grönhjon
Skogshare
Sparvuggla
Björksplintborre
Bronshjon
Granbarkgnagare
Jättesvampmal
Thomsons trägnagare
Kungsfågel</t>
        </is>
      </c>
      <c r="W137">
        <f>HYPERLINK("https://klasma.github.io/Logging_0380/artfynd/A 61388-2021 artfynd.xlsx", "A 61388-2021")</f>
        <v/>
      </c>
      <c r="X137">
        <f>HYPERLINK("https://klasma.github.io/Logging_0380/kartor/A 61388-2021 karta.png", "A 61388-2021")</f>
        <v/>
      </c>
      <c r="Y137">
        <f>HYPERLINK("https://klasma.github.io/Logging_0380/kartor_geotiff/A 61388-2021 georefererad karta.tif", "A 61388-2021")</f>
        <v/>
      </c>
      <c r="Z137">
        <f>HYPERLINK("https://klasma.github.io/Logging_0380/knärot/A 61388-2021 karta knärot.png", "A 61388-2021")</f>
        <v/>
      </c>
      <c r="AA137">
        <f>HYPERLINK("https://klasma.github.io/Logging_0380/klagomål/A 61388-2021 FSC-klagomål.docx", "A 61388-2021")</f>
        <v/>
      </c>
      <c r="AB137">
        <f>HYPERLINK("https://klasma.github.io/Logging_0380/klagomålsmail/A 61388-2021 FSC-klagomål mail.docx", "A 61388-2021")</f>
        <v/>
      </c>
      <c r="AC137">
        <f>HYPERLINK("https://klasma.github.io/Logging_0380/tillsyn/A 61388-2021 tillsynsbegäran.docx", "A 61388-2021")</f>
        <v/>
      </c>
      <c r="AD137">
        <f>HYPERLINK("https://klasma.github.io/Logging_0380/tillsynsmail/A 61388-2021 tillsynsbegäran mail.docx", "A 61388-2021")</f>
        <v/>
      </c>
      <c r="AE137">
        <f>HYPERLINK("https://klasma.github.io/Logging_0380/fåglar/A 61388-2021 prioriterade fågelarter.docx", "A 61388-2021")</f>
        <v/>
      </c>
    </row>
    <row r="138" ht="15" customHeight="1">
      <c r="A138" t="inlineStr">
        <is>
          <t>A 46204-2023</t>
        </is>
      </c>
      <c r="B138" t="inlineStr">
        <is>
          <t>avverkningsanmälan</t>
        </is>
      </c>
      <c r="C138" t="inlineStr">
        <is>
          <t>Föryngringsavverkning</t>
        </is>
      </c>
      <c r="D138" s="1" t="n">
        <v>45190</v>
      </c>
      <c r="E138" s="1" t="n">
        <v>46309</v>
      </c>
      <c r="F138" t="inlineStr">
        <is>
          <t>UPPSALA LÄN</t>
        </is>
      </c>
      <c r="G138" t="inlineStr">
        <is>
          <t>ÖSTHAMMAR</t>
        </is>
      </c>
      <c r="H138" t="inlineStr">
        <is>
          <t>Övriga statliga verk och myndigheter</t>
        </is>
      </c>
      <c r="I138" t="n">
        <v>3.5</v>
      </c>
      <c r="J138" t="n">
        <v>10</v>
      </c>
      <c r="K138" t="n">
        <v>1</v>
      </c>
      <c r="L138" t="n">
        <v>4</v>
      </c>
      <c r="M138" t="n">
        <v>1</v>
      </c>
      <c r="N138" t="n">
        <v>0</v>
      </c>
      <c r="O138" t="n">
        <v>0</v>
      </c>
      <c r="P138" t="n">
        <v>0</v>
      </c>
      <c r="Q138" t="n">
        <v>5</v>
      </c>
      <c r="R138" t="n">
        <v>1</v>
      </c>
      <c r="S138" t="n">
        <v>10</v>
      </c>
      <c r="T138" t="n">
        <v>11</v>
      </c>
      <c r="U138" t="n">
        <v>1</v>
      </c>
      <c r="V138" s="2" t="inlineStr">
        <is>
          <t>Hussvala
Grönsångare
Gulsparv
Järnsparv
Skrattmås
Grön sköldmossa
Grönsiska
Kungsfågel
Törnskata
Ärtsångare</t>
        </is>
      </c>
      <c r="W138">
        <f>HYPERLINK("https://klasma.github.io/Logging_0382/artfynd/A 46204-2023 artfynd.xlsx", "A 46204-2023")</f>
        <v/>
      </c>
      <c r="X138">
        <f>HYPERLINK("https://klasma.github.io/Logging_0382/kartor/A 46204-2023 karta.png", "A 46204-2023")</f>
        <v/>
      </c>
      <c r="Y138">
        <f>HYPERLINK("https://klasma.github.io/Logging_0382/kartor_geotiff/A 46204-2023 georefererad karta.tif", "A 46204-2023")</f>
        <v/>
      </c>
      <c r="AA138">
        <f>HYPERLINK("https://klasma.github.io/Logging_0382/klagomål/A 46204-2023 FSC-klagomål.docx", "A 46204-2023")</f>
        <v/>
      </c>
      <c r="AB138">
        <f>HYPERLINK("https://klasma.github.io/Logging_0382/klagomålsmail/A 46204-2023 FSC-klagomål mail.docx", "A 46204-2023")</f>
        <v/>
      </c>
      <c r="AC138">
        <f>HYPERLINK("https://klasma.github.io/Logging_0382/tillsyn/A 46204-2023 tillsynsbegäran.docx", "A 46204-2023")</f>
        <v/>
      </c>
      <c r="AD138">
        <f>HYPERLINK("https://klasma.github.io/Logging_0382/tillsynsmail/A 46204-2023 tillsynsbegäran mail.docx", "A 46204-2023")</f>
        <v/>
      </c>
      <c r="AE138">
        <f>HYPERLINK("https://klasma.github.io/Logging_0382/fåglar/A 46204-2023 prioriterade fågelarter.docx", "A 46204-2023")</f>
        <v/>
      </c>
    </row>
    <row r="139" ht="15" customHeight="1">
      <c r="A139" t="inlineStr">
        <is>
          <t>A 51154-2025</t>
        </is>
      </c>
      <c r="B139" t="inlineStr">
        <is>
          <t>avverkningsanmälan</t>
        </is>
      </c>
      <c r="C139" t="inlineStr">
        <is>
          <t>Föryngringsavverkning</t>
        </is>
      </c>
      <c r="D139" s="1" t="n">
        <v>45947</v>
      </c>
      <c r="E139" s="1" t="n">
        <v>46309</v>
      </c>
      <c r="F139" t="inlineStr">
        <is>
          <t>UPPSALA LÄN</t>
        </is>
      </c>
      <c r="G139" t="inlineStr">
        <is>
          <t>ÖSTHAMMAR</t>
        </is>
      </c>
      <c r="H139" t="inlineStr">
        <is>
          <t>Allmännings- och besparingsskogar</t>
        </is>
      </c>
      <c r="I139" t="n">
        <v>4.5</v>
      </c>
      <c r="J139" t="n">
        <v>6</v>
      </c>
      <c r="K139" t="n">
        <v>4</v>
      </c>
      <c r="L139" t="n">
        <v>2</v>
      </c>
      <c r="M139" t="n">
        <v>0</v>
      </c>
      <c r="N139" t="n">
        <v>0</v>
      </c>
      <c r="O139" t="n">
        <v>0</v>
      </c>
      <c r="P139" t="n">
        <v>0</v>
      </c>
      <c r="Q139" t="n">
        <v>2</v>
      </c>
      <c r="R139" t="n">
        <v>0</v>
      </c>
      <c r="S139" t="n">
        <v>10</v>
      </c>
      <c r="T139" t="n">
        <v>18</v>
      </c>
      <c r="U139" t="n">
        <v>10</v>
      </c>
      <c r="V139" s="2" t="inlineStr">
        <is>
          <t>Rödvingetrast
Talltita
Bronshjon
Mörk husmossa
Nästrot
Tvåblad
Blåsippa
Brudborste
Ormbär
Nattviol</t>
        </is>
      </c>
      <c r="W139">
        <f>HYPERLINK("https://klasma.github.io/Logging_0382/artfynd/A 51154-2025 artfynd.xlsx", "A 51154-2025")</f>
        <v/>
      </c>
      <c r="X139">
        <f>HYPERLINK("https://klasma.github.io/Logging_0382/kartor/A 51154-2025 karta.png", "A 51154-2025")</f>
        <v/>
      </c>
      <c r="Y139">
        <f>HYPERLINK("https://klasma.github.io/Logging_0382/kartor_geotiff/A 51154-2025 georefererad karta.tif", "A 51154-2025")</f>
        <v/>
      </c>
      <c r="AA139">
        <f>HYPERLINK("https://klasma.github.io/Logging_0382/klagomål/A 51154-2025 FSC-klagomål.docx", "A 51154-2025")</f>
        <v/>
      </c>
      <c r="AB139">
        <f>HYPERLINK("https://klasma.github.io/Logging_0382/klagomålsmail/A 51154-2025 FSC-klagomål mail.docx", "A 51154-2025")</f>
        <v/>
      </c>
      <c r="AC139">
        <f>HYPERLINK("https://klasma.github.io/Logging_0382/tillsyn/A 51154-2025 tillsynsbegäran.docx", "A 51154-2025")</f>
        <v/>
      </c>
      <c r="AD139">
        <f>HYPERLINK("https://klasma.github.io/Logging_0382/tillsynsmail/A 51154-2025 tillsynsbegäran mail.docx", "A 51154-2025")</f>
        <v/>
      </c>
      <c r="AE139">
        <f>HYPERLINK("https://klasma.github.io/Logging_0382/fåglar/A 51154-2025 prioriterade fågelarter.docx", "A 51154-2025")</f>
        <v/>
      </c>
    </row>
    <row r="140" ht="15" customHeight="1">
      <c r="A140" t="inlineStr">
        <is>
          <t>A 48755-2025</t>
        </is>
      </c>
      <c r="B140" t="inlineStr">
        <is>
          <t>avverkningsanmälan</t>
        </is>
      </c>
      <c r="C140" t="inlineStr">
        <is>
          <t>Föryngringsavverkning</t>
        </is>
      </c>
      <c r="D140" s="1" t="n">
        <v>45936</v>
      </c>
      <c r="E140" s="1" t="n">
        <v>46309</v>
      </c>
      <c r="F140" t="inlineStr">
        <is>
          <t>UPPSALA LÄN</t>
        </is>
      </c>
      <c r="G140" t="inlineStr">
        <is>
          <t>UPPSALA</t>
        </is>
      </c>
      <c r="H140" t="inlineStr">
        <is>
          <t>Allmännings- och besparingsskogar</t>
        </is>
      </c>
      <c r="I140" t="n">
        <v>6.3</v>
      </c>
      <c r="J140" t="n">
        <v>4</v>
      </c>
      <c r="K140" t="n">
        <v>5</v>
      </c>
      <c r="L140" t="n">
        <v>3</v>
      </c>
      <c r="M140" t="n">
        <v>1</v>
      </c>
      <c r="N140" t="n">
        <v>0</v>
      </c>
      <c r="O140" t="n">
        <v>0</v>
      </c>
      <c r="P140" t="n">
        <v>0</v>
      </c>
      <c r="Q140" t="n">
        <v>4</v>
      </c>
      <c r="R140" t="n">
        <v>1</v>
      </c>
      <c r="S140" t="n">
        <v>10</v>
      </c>
      <c r="T140" t="n">
        <v>28</v>
      </c>
      <c r="U140" t="n">
        <v>14</v>
      </c>
      <c r="V140" s="2" t="inlineStr">
        <is>
          <t>Knärot
Tallkötticka
Talltita
Vedtrappmossa
Björksplintborre
Grön sköldmossa
Jättesvampmal
Trådticka
Vedticka
Spillkråka</t>
        </is>
      </c>
      <c r="W140">
        <f>HYPERLINK("https://klasma.github.io/Logging_0380/artfynd/A 48755-2025 artfynd.xlsx", "A 48755-2025")</f>
        <v/>
      </c>
      <c r="X140">
        <f>HYPERLINK("https://klasma.github.io/Logging_0380/kartor/A 48755-2025 karta.png", "A 48755-2025")</f>
        <v/>
      </c>
      <c r="Y140">
        <f>HYPERLINK("https://klasma.github.io/Logging_0380/kartor_geotiff/A 48755-2025 georefererad karta.tif", "A 48755-2025")</f>
        <v/>
      </c>
      <c r="Z140">
        <f>HYPERLINK("https://klasma.github.io/Logging_0380/knärot/A 48755-2025 karta knärot.png", "A 48755-2025")</f>
        <v/>
      </c>
      <c r="AA140">
        <f>HYPERLINK("https://klasma.github.io/Logging_0380/klagomål/A 48755-2025 FSC-klagomål.docx", "A 48755-2025")</f>
        <v/>
      </c>
      <c r="AB140">
        <f>HYPERLINK("https://klasma.github.io/Logging_0380/klagomålsmail/A 48755-2025 FSC-klagomål mail.docx", "A 48755-2025")</f>
        <v/>
      </c>
      <c r="AC140">
        <f>HYPERLINK("https://klasma.github.io/Logging_0380/tillsyn/A 48755-2025 tillsynsbegäran.docx", "A 48755-2025")</f>
        <v/>
      </c>
      <c r="AD140">
        <f>HYPERLINK("https://klasma.github.io/Logging_0380/tillsynsmail/A 48755-2025 tillsynsbegäran mail.docx", "A 48755-2025")</f>
        <v/>
      </c>
      <c r="AE140">
        <f>HYPERLINK("https://klasma.github.io/Logging_0380/fåglar/A 48755-2025 prioriterade fågelarter.docx", "A 48755-2025")</f>
        <v/>
      </c>
    </row>
    <row r="141" ht="15" customHeight="1">
      <c r="A141" t="inlineStr">
        <is>
          <t>A 220-2025</t>
        </is>
      </c>
      <c r="B141" t="inlineStr">
        <is>
          <t>avverkningsanmälan</t>
        </is>
      </c>
      <c r="C141" t="inlineStr">
        <is>
          <t>Föryngringsavverkning</t>
        </is>
      </c>
      <c r="D141" s="1" t="n">
        <v>45660</v>
      </c>
      <c r="E141" s="1" t="n">
        <v>46309</v>
      </c>
      <c r="F141" t="inlineStr">
        <is>
          <t>UPPSALA LÄN</t>
        </is>
      </c>
      <c r="G141" t="inlineStr">
        <is>
          <t>TIERP</t>
        </is>
      </c>
      <c r="H141" t="inlineStr">
        <is>
          <t>Bergvik skog öst AB</t>
        </is>
      </c>
      <c r="I141" t="n">
        <v>3.2</v>
      </c>
      <c r="J141" t="n">
        <v>3</v>
      </c>
      <c r="K141" t="n">
        <v>4</v>
      </c>
      <c r="L141" t="n">
        <v>3</v>
      </c>
      <c r="M141" t="n">
        <v>0</v>
      </c>
      <c r="N141" t="n">
        <v>0</v>
      </c>
      <c r="O141" t="n">
        <v>0</v>
      </c>
      <c r="P141" t="n">
        <v>0</v>
      </c>
      <c r="Q141" t="n">
        <v>3</v>
      </c>
      <c r="R141" t="n">
        <v>0</v>
      </c>
      <c r="S141" t="n">
        <v>10</v>
      </c>
      <c r="T141" t="n">
        <v>21</v>
      </c>
      <c r="U141" t="n">
        <v>21</v>
      </c>
      <c r="V141" s="2" t="inlineStr">
        <is>
          <t>Kortskaftad ärgspik
Motaggsvamp
Ullticka
Blodticka
Bronshjon
Rödgul trumpetsvamp
Vågbandad barkbock
Blåsippa
Spillkråka
Kungsfågel</t>
        </is>
      </c>
      <c r="W141">
        <f>HYPERLINK("https://klasma.github.io/Logging_0360/artfynd/A 220-2025 artfynd.xlsx", "A 220-2025")</f>
        <v/>
      </c>
      <c r="X141">
        <f>HYPERLINK("https://klasma.github.io/Logging_0360/kartor/A 220-2025 karta.png", "A 220-2025")</f>
        <v/>
      </c>
      <c r="Y141">
        <f>HYPERLINK("https://klasma.github.io/Logging_0360/kartor_geotiff/A 220-2025 georefererad karta.tif", "A 220-2025")</f>
        <v/>
      </c>
      <c r="AA141">
        <f>HYPERLINK("https://klasma.github.io/Logging_0360/klagomål/A 220-2025 FSC-klagomål.docx", "A 220-2025")</f>
        <v/>
      </c>
      <c r="AB141">
        <f>HYPERLINK("https://klasma.github.io/Logging_0360/klagomålsmail/A 220-2025 FSC-klagomål mail.docx", "A 220-2025")</f>
        <v/>
      </c>
      <c r="AC141">
        <f>HYPERLINK("https://klasma.github.io/Logging_0360/tillsyn/A 220-2025 tillsynsbegäran.docx", "A 220-2025")</f>
        <v/>
      </c>
      <c r="AD141">
        <f>HYPERLINK("https://klasma.github.io/Logging_0360/tillsynsmail/A 220-2025 tillsynsbegäran mail.docx", "A 220-2025")</f>
        <v/>
      </c>
      <c r="AE141">
        <f>HYPERLINK("https://klasma.github.io/Logging_0360/fåglar/A 220-2025 prioriterade fågelarter.docx", "A 220-2025")</f>
        <v/>
      </c>
    </row>
    <row r="142" ht="15" customHeight="1">
      <c r="A142" t="inlineStr">
        <is>
          <t>A 14466-2026</t>
        </is>
      </c>
      <c r="B142" t="inlineStr">
        <is>
          <t>avverkningsanmälan</t>
        </is>
      </c>
      <c r="C142" t="inlineStr">
        <is>
          <t>Föryngringsavverkning</t>
        </is>
      </c>
      <c r="D142" s="1" t="n">
        <v>46100</v>
      </c>
      <c r="E142" s="1" t="n">
        <v>46309</v>
      </c>
      <c r="F142" t="inlineStr">
        <is>
          <t>UPPSALA LÄN</t>
        </is>
      </c>
      <c r="G142" t="inlineStr">
        <is>
          <t>UPPSALA</t>
        </is>
      </c>
      <c r="I142" t="n">
        <v>4.5</v>
      </c>
      <c r="J142" t="n">
        <v>2</v>
      </c>
      <c r="K142" t="n">
        <v>5</v>
      </c>
      <c r="L142" t="n">
        <v>3</v>
      </c>
      <c r="M142" t="n">
        <v>1</v>
      </c>
      <c r="N142" t="n">
        <v>0</v>
      </c>
      <c r="O142" t="n">
        <v>0</v>
      </c>
      <c r="P142" t="n">
        <v>0</v>
      </c>
      <c r="Q142" t="n">
        <v>4</v>
      </c>
      <c r="R142" t="n">
        <v>1</v>
      </c>
      <c r="S142" t="n">
        <v>10</v>
      </c>
      <c r="T142" t="n">
        <v>13</v>
      </c>
      <c r="U142" t="n">
        <v>0</v>
      </c>
      <c r="V142" s="2" t="inlineStr">
        <is>
          <t>Liten hornflikmossa
Fjällig taggsvamp s.str.
Vedtrappmossa
Vårärt
Grön sköldmossa
Stubbspretmossa
Svavelriska
Trubbfjädermossa
Underviol
Blåsippa</t>
        </is>
      </c>
      <c r="W142">
        <f>HYPERLINK("https://klasma.github.io/Logging_0380/artfynd/A 14466-2026 artfynd.xlsx", "A 14466-2026")</f>
        <v/>
      </c>
      <c r="X142">
        <f>HYPERLINK("https://klasma.github.io/Logging_0380/kartor/A 14466-2026 karta.png", "A 14466-2026")</f>
        <v/>
      </c>
      <c r="Y142">
        <f>HYPERLINK("https://klasma.github.io/Logging_0380/kartor_geotiff/A 14466-2026 georefererad karta.tif", "A 14466-2026")</f>
        <v/>
      </c>
      <c r="AA142">
        <f>HYPERLINK("https://klasma.github.io/Logging_0380/klagomål/A 14466-2026 FSC-klagomål.docx", "A 14466-2026")</f>
        <v/>
      </c>
      <c r="AB142">
        <f>HYPERLINK("https://klasma.github.io/Logging_0380/klagomålsmail/A 14466-2026 FSC-klagomål mail.docx", "A 14466-2026")</f>
        <v/>
      </c>
      <c r="AC142">
        <f>HYPERLINK("https://klasma.github.io/Logging_0380/tillsyn/A 14466-2026 tillsynsbegäran.docx", "A 14466-2026")</f>
        <v/>
      </c>
      <c r="AD142">
        <f>HYPERLINK("https://klasma.github.io/Logging_0380/tillsynsmail/A 14466-2026 tillsynsbegäran mail.docx", "A 14466-2026")</f>
        <v/>
      </c>
    </row>
    <row r="143" ht="15" customHeight="1">
      <c r="A143" t="inlineStr">
        <is>
          <t>A 19703-2025</t>
        </is>
      </c>
      <c r="B143" t="inlineStr">
        <is>
          <t>avverkningsanmälan</t>
        </is>
      </c>
      <c r="C143" t="inlineStr">
        <is>
          <t>Föryngringsavverkning</t>
        </is>
      </c>
      <c r="D143" s="1" t="n">
        <v>45771</v>
      </c>
      <c r="E143" s="1" t="n">
        <v>46309</v>
      </c>
      <c r="F143" t="inlineStr">
        <is>
          <t>UPPSALA LÄN</t>
        </is>
      </c>
      <c r="G143" t="inlineStr">
        <is>
          <t>ÄLVKARLEBY</t>
        </is>
      </c>
      <c r="H143" t="inlineStr">
        <is>
          <t>Bergvik skog väst AB</t>
        </is>
      </c>
      <c r="I143" t="n">
        <v>3.8</v>
      </c>
      <c r="J143" t="n">
        <v>3</v>
      </c>
      <c r="K143" t="n">
        <v>7</v>
      </c>
      <c r="L143" t="n">
        <v>1</v>
      </c>
      <c r="M143" t="n">
        <v>0</v>
      </c>
      <c r="N143" t="n">
        <v>1</v>
      </c>
      <c r="O143" t="n">
        <v>0</v>
      </c>
      <c r="P143" t="n">
        <v>0</v>
      </c>
      <c r="Q143" t="n">
        <v>2</v>
      </c>
      <c r="R143" t="n">
        <v>1</v>
      </c>
      <c r="S143" t="n">
        <v>10</v>
      </c>
      <c r="T143" t="n">
        <v>19</v>
      </c>
      <c r="U143" t="n">
        <v>19</v>
      </c>
      <c r="V143" s="2" t="inlineStr">
        <is>
          <t>Ask
Kattfotslav
Brandticka
Skogsknipprot
Stubbspretmossa
Tibast
Tvåblad
Vedticka
Vågbandad barkbock
Fläcknycklar</t>
        </is>
      </c>
      <c r="W143">
        <f>HYPERLINK("https://klasma.github.io/Logging_0319/artfynd/A 19703-2025 artfynd.xlsx", "A 19703-2025")</f>
        <v/>
      </c>
      <c r="X143">
        <f>HYPERLINK("https://klasma.github.io/Logging_0319/kartor/A 19703-2025 karta.png", "A 19703-2025")</f>
        <v/>
      </c>
      <c r="Y143">
        <f>HYPERLINK("https://klasma.github.io/Logging_0319/kartor_geotiff/A 19703-2025 georefererad karta.tif", "A 19703-2025")</f>
        <v/>
      </c>
      <c r="AA143">
        <f>HYPERLINK("https://klasma.github.io/Logging_0319/klagomål/A 19703-2025 FSC-klagomål.docx", "A 19703-2025")</f>
        <v/>
      </c>
      <c r="AB143">
        <f>HYPERLINK("https://klasma.github.io/Logging_0319/klagomålsmail/A 19703-2025 FSC-klagomål mail.docx", "A 19703-2025")</f>
        <v/>
      </c>
      <c r="AC143">
        <f>HYPERLINK("https://klasma.github.io/Logging_0319/tillsyn/A 19703-2025 tillsynsbegäran.docx", "A 19703-2025")</f>
        <v/>
      </c>
      <c r="AD143">
        <f>HYPERLINK("https://klasma.github.io/Logging_0319/tillsynsmail/A 19703-2025 tillsynsbegäran mail.docx", "A 19703-2025")</f>
        <v/>
      </c>
    </row>
    <row r="144" ht="15" customHeight="1">
      <c r="A144" t="inlineStr">
        <is>
          <t>A 31207-2022</t>
        </is>
      </c>
      <c r="B144" t="inlineStr">
        <is>
          <t>avverkningsanmälan</t>
        </is>
      </c>
      <c r="C144" t="inlineStr">
        <is>
          <t>Föryngringsavverkning</t>
        </is>
      </c>
      <c r="D144" s="1" t="n">
        <v>44771</v>
      </c>
      <c r="E144" s="1" t="n">
        <v>46309</v>
      </c>
      <c r="F144" t="inlineStr">
        <is>
          <t>UPPSALA LÄN</t>
        </is>
      </c>
      <c r="G144" t="inlineStr">
        <is>
          <t>ÖSTHAMMAR</t>
        </is>
      </c>
      <c r="I144" t="n">
        <v>7</v>
      </c>
      <c r="J144" t="n">
        <v>2</v>
      </c>
      <c r="K144" t="n">
        <v>6</v>
      </c>
      <c r="L144" t="n">
        <v>3</v>
      </c>
      <c r="M144" t="n">
        <v>0</v>
      </c>
      <c r="N144" t="n">
        <v>1</v>
      </c>
      <c r="O144" t="n">
        <v>0</v>
      </c>
      <c r="P144" t="n">
        <v>0</v>
      </c>
      <c r="Q144" t="n">
        <v>4</v>
      </c>
      <c r="R144" t="n">
        <v>1</v>
      </c>
      <c r="S144" t="n">
        <v>10</v>
      </c>
      <c r="T144" t="n">
        <v>16</v>
      </c>
      <c r="U144" t="n">
        <v>0</v>
      </c>
      <c r="V144" s="2" t="inlineStr">
        <is>
          <t>Violgubbe
Skarp dropptaggsvamp
Sårläka
Äggspindling
Anisspindling
Brun klibbskivling
Grönkulla
Kalktallört
Spindelblomster
Svavelriska</t>
        </is>
      </c>
      <c r="W144">
        <f>HYPERLINK("https://klasma.github.io/Logging_0382/artfynd/A 31207-2022 artfynd.xlsx", "A 31207-2022")</f>
        <v/>
      </c>
      <c r="X144">
        <f>HYPERLINK("https://klasma.github.io/Logging_0382/kartor/A 31207-2022 karta.png", "A 31207-2022")</f>
        <v/>
      </c>
      <c r="Y144">
        <f>HYPERLINK("https://klasma.github.io/Logging_0382/kartor_geotiff/A 31207-2022 georefererad karta.tif", "A 31207-2022")</f>
        <v/>
      </c>
      <c r="AA144">
        <f>HYPERLINK("https://klasma.github.io/Logging_0382/klagomål/A 31207-2022 FSC-klagomål.docx", "A 31207-2022")</f>
        <v/>
      </c>
      <c r="AB144">
        <f>HYPERLINK("https://klasma.github.io/Logging_0382/klagomålsmail/A 31207-2022 FSC-klagomål mail.docx", "A 31207-2022")</f>
        <v/>
      </c>
      <c r="AC144">
        <f>HYPERLINK("https://klasma.github.io/Logging_0382/tillsyn/A 31207-2022 tillsynsbegäran.docx", "A 31207-2022")</f>
        <v/>
      </c>
      <c r="AD144">
        <f>HYPERLINK("https://klasma.github.io/Logging_0382/tillsynsmail/A 31207-2022 tillsynsbegäran mail.docx", "A 31207-2022")</f>
        <v/>
      </c>
    </row>
    <row r="145" ht="15" customHeight="1">
      <c r="A145" t="inlineStr">
        <is>
          <t>A 29832-2026</t>
        </is>
      </c>
      <c r="B145" t="inlineStr">
        <is>
          <t>avverkningsanmälan</t>
        </is>
      </c>
      <c r="C145" t="inlineStr">
        <is>
          <t>Föryngringsavverkning</t>
        </is>
      </c>
      <c r="D145" s="1" t="n">
        <v>46205</v>
      </c>
      <c r="E145" s="1" t="n">
        <v>46309</v>
      </c>
      <c r="F145" t="inlineStr">
        <is>
          <t>UPPSALA LÄN</t>
        </is>
      </c>
      <c r="G145" t="inlineStr">
        <is>
          <t>ÖSTHAMMAR</t>
        </is>
      </c>
      <c r="H145" t="inlineStr">
        <is>
          <t>Bergvik skog öst AB</t>
        </is>
      </c>
      <c r="I145" t="n">
        <v>10.7</v>
      </c>
      <c r="J145" t="n">
        <v>3</v>
      </c>
      <c r="K145" t="n">
        <v>3</v>
      </c>
      <c r="L145" t="n">
        <v>4</v>
      </c>
      <c r="M145" t="n">
        <v>1</v>
      </c>
      <c r="N145" t="n">
        <v>0</v>
      </c>
      <c r="O145" t="n">
        <v>0</v>
      </c>
      <c r="P145" t="n">
        <v>0</v>
      </c>
      <c r="Q145" t="n">
        <v>5</v>
      </c>
      <c r="R145" t="n">
        <v>1</v>
      </c>
      <c r="S145" t="n">
        <v>10</v>
      </c>
      <c r="T145" t="n">
        <v>18</v>
      </c>
      <c r="U145" t="n">
        <v>0</v>
      </c>
      <c r="V145" s="2" t="inlineStr">
        <is>
          <t>Knärot
Fjällig taggsvamp s.str.
Puderspindling
Rosenticka
Ullticka
Bronshjon
Granbräken
Gullgröppa
Spillkråka
Kungsfågel</t>
        </is>
      </c>
      <c r="W145">
        <f>HYPERLINK("https://klasma.github.io/Logging_0382/artfynd/A 29832-2026 artfynd.xlsx", "A 29832-2026")</f>
        <v/>
      </c>
      <c r="X145">
        <f>HYPERLINK("https://klasma.github.io/Logging_0382/kartor/A 29832-2026 karta.png", "A 29832-2026")</f>
        <v/>
      </c>
      <c r="Y145">
        <f>HYPERLINK("https://klasma.github.io/Logging_0382/kartor_geotiff/A 29832-2026 georefererad karta.tif", "A 29832-2026")</f>
        <v/>
      </c>
      <c r="Z145">
        <f>HYPERLINK("https://klasma.github.io/Logging_0382/knärot/A 29832-2026 karta knärot.png", "A 29832-2026")</f>
        <v/>
      </c>
      <c r="AA145">
        <f>HYPERLINK("https://klasma.github.io/Logging_0382/klagomål/A 29832-2026 FSC-klagomål.docx", "A 29832-2026")</f>
        <v/>
      </c>
      <c r="AB145">
        <f>HYPERLINK("https://klasma.github.io/Logging_0382/klagomålsmail/A 29832-2026 FSC-klagomål mail.docx", "A 29832-2026")</f>
        <v/>
      </c>
      <c r="AC145">
        <f>HYPERLINK("https://klasma.github.io/Logging_0382/tillsyn/A 29832-2026 tillsynsbegäran.docx", "A 29832-2026")</f>
        <v/>
      </c>
      <c r="AD145">
        <f>HYPERLINK("https://klasma.github.io/Logging_0382/tillsynsmail/A 29832-2026 tillsynsbegäran mail.docx", "A 29832-2026")</f>
        <v/>
      </c>
      <c r="AE145">
        <f>HYPERLINK("https://klasma.github.io/Logging_0382/fåglar/A 29832-2026 prioriterade fågelarter.docx", "A 29832-2026")</f>
        <v/>
      </c>
    </row>
    <row r="146" ht="15" customHeight="1">
      <c r="A146" t="inlineStr">
        <is>
          <t>A 9206-2024</t>
        </is>
      </c>
      <c r="B146" t="inlineStr">
        <is>
          <t>avverkningsanmälan</t>
        </is>
      </c>
      <c r="C146" t="inlineStr">
        <is>
          <t>Föryngringsavverkning</t>
        </is>
      </c>
      <c r="D146" s="1" t="n">
        <v>45358</v>
      </c>
      <c r="E146" s="1" t="n">
        <v>46309</v>
      </c>
      <c r="F146" t="inlineStr">
        <is>
          <t>UPPSALA LÄN</t>
        </is>
      </c>
      <c r="G146" t="inlineStr">
        <is>
          <t>UPPSALA</t>
        </is>
      </c>
      <c r="H146" t="inlineStr">
        <is>
          <t>Allmännings- och besparingsskogar</t>
        </is>
      </c>
      <c r="I146" t="n">
        <v>22.2</v>
      </c>
      <c r="J146" t="n">
        <v>4</v>
      </c>
      <c r="K146" t="n">
        <v>3</v>
      </c>
      <c r="L146" t="n">
        <v>3</v>
      </c>
      <c r="M146" t="n">
        <v>2</v>
      </c>
      <c r="N146" t="n">
        <v>0</v>
      </c>
      <c r="O146" t="n">
        <v>0</v>
      </c>
      <c r="P146" t="n">
        <v>0</v>
      </c>
      <c r="Q146" t="n">
        <v>5</v>
      </c>
      <c r="R146" t="n">
        <v>2</v>
      </c>
      <c r="S146" t="n">
        <v>10</v>
      </c>
      <c r="T146" t="n">
        <v>45</v>
      </c>
      <c r="U146" t="n">
        <v>44</v>
      </c>
      <c r="V146" s="2" t="inlineStr">
        <is>
          <t>Gränsticka
Knärot
Gransotdyna
Talltita
Vedtrappmossa
Brandticka
Bronshjon
Granbarkgnagare
Spillkråka
Revlummer</t>
        </is>
      </c>
      <c r="W146">
        <f>HYPERLINK("https://klasma.github.io/Logging_0380/artfynd/A 9206-2024 artfynd.xlsx", "A 9206-2024")</f>
        <v/>
      </c>
      <c r="X146">
        <f>HYPERLINK("https://klasma.github.io/Logging_0380/kartor/A 9206-2024 karta.png", "A 9206-2024")</f>
        <v/>
      </c>
      <c r="Y146">
        <f>HYPERLINK("https://klasma.github.io/Logging_0380/kartor_geotiff/A 9206-2024 georefererad karta.tif", "A 9206-2024")</f>
        <v/>
      </c>
      <c r="Z146">
        <f>HYPERLINK("https://klasma.github.io/Logging_0380/knärot/A 9206-2024 karta knärot.png", "A 9206-2024")</f>
        <v/>
      </c>
      <c r="AA146">
        <f>HYPERLINK("https://klasma.github.io/Logging_0380/klagomål/A 9206-2024 FSC-klagomål.docx", "A 9206-2024")</f>
        <v/>
      </c>
      <c r="AB146">
        <f>HYPERLINK("https://klasma.github.io/Logging_0380/klagomålsmail/A 9206-2024 FSC-klagomål mail.docx", "A 9206-2024")</f>
        <v/>
      </c>
      <c r="AC146">
        <f>HYPERLINK("https://klasma.github.io/Logging_0380/tillsyn/A 9206-2024 tillsynsbegäran.docx", "A 9206-2024")</f>
        <v/>
      </c>
      <c r="AD146">
        <f>HYPERLINK("https://klasma.github.io/Logging_0380/tillsynsmail/A 9206-2024 tillsynsbegäran mail.docx", "A 9206-2024")</f>
        <v/>
      </c>
      <c r="AE146">
        <f>HYPERLINK("https://klasma.github.io/Logging_0380/fåglar/A 9206-2024 prioriterade fågelarter.docx", "A 9206-2024")</f>
        <v/>
      </c>
    </row>
    <row r="147" ht="15" customHeight="1">
      <c r="A147" t="inlineStr">
        <is>
          <t>A 24684-2026</t>
        </is>
      </c>
      <c r="B147" t="inlineStr">
        <is>
          <t>avverkningsanmälan</t>
        </is>
      </c>
      <c r="C147" t="inlineStr">
        <is>
          <t>Föryngringsavverkning</t>
        </is>
      </c>
      <c r="D147" s="1" t="n">
        <v>46171</v>
      </c>
      <c r="E147" s="1" t="n">
        <v>46309</v>
      </c>
      <c r="F147" t="inlineStr">
        <is>
          <t>UPPSALA LÄN</t>
        </is>
      </c>
      <c r="G147" t="inlineStr">
        <is>
          <t>UPPSALA</t>
        </is>
      </c>
      <c r="H147" t="inlineStr">
        <is>
          <t>Allmännings- och besparingsskogar</t>
        </is>
      </c>
      <c r="I147" t="n">
        <v>5.5</v>
      </c>
      <c r="J147" t="n">
        <v>3</v>
      </c>
      <c r="K147" t="n">
        <v>5</v>
      </c>
      <c r="L147" t="n">
        <v>1</v>
      </c>
      <c r="M147" t="n">
        <v>1</v>
      </c>
      <c r="N147" t="n">
        <v>0</v>
      </c>
      <c r="O147" t="n">
        <v>0</v>
      </c>
      <c r="P147" t="n">
        <v>0</v>
      </c>
      <c r="Q147" t="n">
        <v>3</v>
      </c>
      <c r="R147" t="n">
        <v>1</v>
      </c>
      <c r="S147" t="n">
        <v>10</v>
      </c>
      <c r="T147" t="n">
        <v>42</v>
      </c>
      <c r="U147" t="n">
        <v>42</v>
      </c>
      <c r="V147" s="2" t="inlineStr">
        <is>
          <t>Knärot
Vedtrappmossa
Porodaedalea chrysoloma
Björksplintborre
Bronshjon
Granbarkgnagare
Korallrot
Vågbandad barkbock
Kransmossa
Spillkråka</t>
        </is>
      </c>
      <c r="W147">
        <f>HYPERLINK("https://klasma.github.io/Logging_0380/artfynd/A 24684-2026 artfynd.xlsx", "A 24684-2026")</f>
        <v/>
      </c>
      <c r="X147">
        <f>HYPERLINK("https://klasma.github.io/Logging_0380/kartor/A 24684-2026 karta.png", "A 24684-2026")</f>
        <v/>
      </c>
      <c r="Y147">
        <f>HYPERLINK("https://klasma.github.io/Logging_0380/kartor_geotiff/A 24684-2026 georefererad karta.tif", "A 24684-2026")</f>
        <v/>
      </c>
      <c r="Z147">
        <f>HYPERLINK("https://klasma.github.io/Logging_0380/knärot/A 24684-2026 karta knärot.png", "A 24684-2026")</f>
        <v/>
      </c>
      <c r="AA147">
        <f>HYPERLINK("https://klasma.github.io/Logging_0380/klagomål/A 24684-2026 FSC-klagomål.docx", "A 24684-2026")</f>
        <v/>
      </c>
      <c r="AB147">
        <f>HYPERLINK("https://klasma.github.io/Logging_0380/klagomålsmail/A 24684-2026 FSC-klagomål mail.docx", "A 24684-2026")</f>
        <v/>
      </c>
      <c r="AC147">
        <f>HYPERLINK("https://klasma.github.io/Logging_0380/tillsyn/A 24684-2026 tillsynsbegäran.docx", "A 24684-2026")</f>
        <v/>
      </c>
      <c r="AD147">
        <f>HYPERLINK("https://klasma.github.io/Logging_0380/tillsynsmail/A 24684-2026 tillsynsbegäran mail.docx", "A 24684-2026")</f>
        <v/>
      </c>
      <c r="AE147">
        <f>HYPERLINK("https://klasma.github.io/Logging_0380/fåglar/A 24684-2026 prioriterade fågelarter.docx", "A 24684-2026")</f>
        <v/>
      </c>
    </row>
    <row r="148" ht="15" customHeight="1">
      <c r="A148" t="inlineStr">
        <is>
          <t>A 59539-2025</t>
        </is>
      </c>
      <c r="B148" t="inlineStr">
        <is>
          <t>avverkningsanmälan</t>
        </is>
      </c>
      <c r="C148" t="inlineStr">
        <is>
          <t>Föryngringsavverkning</t>
        </is>
      </c>
      <c r="D148" s="1" t="n">
        <v>45989</v>
      </c>
      <c r="E148" s="1" t="n">
        <v>46309</v>
      </c>
      <c r="F148" t="inlineStr">
        <is>
          <t>UPPSALA LÄN</t>
        </is>
      </c>
      <c r="G148" t="inlineStr">
        <is>
          <t>UPPSALA</t>
        </is>
      </c>
      <c r="I148" t="n">
        <v>3.3</v>
      </c>
      <c r="J148" t="n">
        <v>5</v>
      </c>
      <c r="K148" t="n">
        <v>3</v>
      </c>
      <c r="L148" t="n">
        <v>3</v>
      </c>
      <c r="M148" t="n">
        <v>1</v>
      </c>
      <c r="N148" t="n">
        <v>0</v>
      </c>
      <c r="O148" t="n">
        <v>0</v>
      </c>
      <c r="P148" t="n">
        <v>0</v>
      </c>
      <c r="Q148" t="n">
        <v>4</v>
      </c>
      <c r="R148" t="n">
        <v>1</v>
      </c>
      <c r="S148" t="n">
        <v>10</v>
      </c>
      <c r="T148" t="n">
        <v>18</v>
      </c>
      <c r="U148" t="n">
        <v>18</v>
      </c>
      <c r="V148" s="2" t="inlineStr">
        <is>
          <t>Knärot
Tallticka
Talltita
Ullticka
Björksplintborre
Vedticka
Vågbandad barkbock
Spillkråka
Lopplummer (aggregat)
Revlummer</t>
        </is>
      </c>
      <c r="W148">
        <f>HYPERLINK("https://klasma.github.io/Logging_0380/artfynd/A 59539-2025 artfynd.xlsx", "A 59539-2025")</f>
        <v/>
      </c>
      <c r="X148">
        <f>HYPERLINK("https://klasma.github.io/Logging_0380/kartor/A 59539-2025 karta.png", "A 59539-2025")</f>
        <v/>
      </c>
      <c r="Y148">
        <f>HYPERLINK("https://klasma.github.io/Logging_0380/kartor_geotiff/A 59539-2025 georefererad karta.tif", "A 59539-2025")</f>
        <v/>
      </c>
      <c r="Z148">
        <f>HYPERLINK("https://klasma.github.io/Logging_0380/knärot/A 59539-2025 karta knärot.png", "A 59539-2025")</f>
        <v/>
      </c>
      <c r="AA148">
        <f>HYPERLINK("https://klasma.github.io/Logging_0380/klagomål/A 59539-2025 FSC-klagomål.docx", "A 59539-2025")</f>
        <v/>
      </c>
      <c r="AB148">
        <f>HYPERLINK("https://klasma.github.io/Logging_0380/klagomålsmail/A 59539-2025 FSC-klagomål mail.docx", "A 59539-2025")</f>
        <v/>
      </c>
      <c r="AC148">
        <f>HYPERLINK("https://klasma.github.io/Logging_0380/tillsyn/A 59539-2025 tillsynsbegäran.docx", "A 59539-2025")</f>
        <v/>
      </c>
      <c r="AD148">
        <f>HYPERLINK("https://klasma.github.io/Logging_0380/tillsynsmail/A 59539-2025 tillsynsbegäran mail.docx", "A 59539-2025")</f>
        <v/>
      </c>
      <c r="AE148">
        <f>HYPERLINK("https://klasma.github.io/Logging_0380/fåglar/A 59539-2025 prioriterade fågelarter.docx", "A 59539-2025")</f>
        <v/>
      </c>
    </row>
    <row r="149" ht="15" customHeight="1">
      <c r="A149" t="inlineStr">
        <is>
          <t>S 77-2023</t>
        </is>
      </c>
      <c r="B149" t="inlineStr">
        <is>
          <t>samrådsanmälan</t>
        </is>
      </c>
      <c r="C149" t="inlineStr">
        <is>
          <t>Annan skogsbruksåtgärd</t>
        </is>
      </c>
      <c r="D149" s="1" t="n">
        <v>44935</v>
      </c>
      <c r="E149" s="1" t="n">
        <v>46309</v>
      </c>
      <c r="F149" t="inlineStr">
        <is>
          <t>UPPSALA LÄN</t>
        </is>
      </c>
      <c r="G149" t="inlineStr">
        <is>
          <t>ÖSTHAMMAR</t>
        </is>
      </c>
      <c r="I149" t="n">
        <v>1.7</v>
      </c>
      <c r="J149" t="n">
        <v>1</v>
      </c>
      <c r="K149" t="n">
        <v>5</v>
      </c>
      <c r="L149" t="n">
        <v>5</v>
      </c>
      <c r="M149" t="n">
        <v>0</v>
      </c>
      <c r="N149" t="n">
        <v>0</v>
      </c>
      <c r="O149" t="n">
        <v>0</v>
      </c>
      <c r="P149" t="n">
        <v>0</v>
      </c>
      <c r="Q149" t="n">
        <v>5</v>
      </c>
      <c r="R149" t="n">
        <v>0</v>
      </c>
      <c r="S149" t="n">
        <v>10</v>
      </c>
      <c r="T149" t="n">
        <v>14</v>
      </c>
      <c r="U149" t="n">
        <v>0</v>
      </c>
      <c r="V149" s="2" t="inlineStr">
        <is>
          <t>Fjällig taggsvamp s.str.
Harticka
Orange taggsvamp
Skarp dropptaggsvamp
Äggspindling
Anisspindling
Grön sköldmossa
Svavelriska
Trådticka
Zontaggsvamp</t>
        </is>
      </c>
      <c r="W149">
        <f>HYPERLINK("https://klasma.github.io/Logging_0382/artfynd/S 77-2023 artfynd.xlsx", "S 77-2023")</f>
        <v/>
      </c>
      <c r="X149">
        <f>HYPERLINK("https://klasma.github.io/Logging_0382/kartor/S 77-2023 karta.png", "S 77-2023")</f>
        <v/>
      </c>
      <c r="Y149">
        <f>HYPERLINK("https://klasma.github.io/Logging_0382/kartor_geotiff/S 77-2023 georefererad karta.tif", "S 77-2023")</f>
        <v/>
      </c>
      <c r="AA149">
        <f>HYPERLINK("https://klasma.github.io/Logging_0382/klagomål/S 77-2023 FSC-klagomål.docx", "S 77-2023")</f>
        <v/>
      </c>
      <c r="AB149">
        <f>HYPERLINK("https://klasma.github.io/Logging_0382/klagomålsmail/S 77-2023 FSC-klagomål mail.docx", "S 77-2023")</f>
        <v/>
      </c>
      <c r="AC149">
        <f>HYPERLINK("https://klasma.github.io/Logging_0382/tillsyn/S 77-2023 tillsynsbegäran.docx", "S 77-2023")</f>
        <v/>
      </c>
      <c r="AD149">
        <f>HYPERLINK("https://klasma.github.io/Logging_0382/tillsynsmail/S 77-2023 tillsynsbegäran mail.docx", "S 77-2023")</f>
        <v/>
      </c>
    </row>
    <row r="150" ht="15" customHeight="1">
      <c r="A150" t="inlineStr">
        <is>
          <t>S 1577-2025</t>
        </is>
      </c>
      <c r="B150" t="inlineStr">
        <is>
          <t>samrådsanmälan</t>
        </is>
      </c>
      <c r="C150" t="inlineStr">
        <is>
          <t>Annan skogsbruksåtgärd</t>
        </is>
      </c>
      <c r="D150" s="1" t="n">
        <v>45796</v>
      </c>
      <c r="E150" s="1" t="n">
        <v>46309</v>
      </c>
      <c r="F150" t="inlineStr">
        <is>
          <t>UPPSALA LÄN</t>
        </is>
      </c>
      <c r="G150" t="inlineStr">
        <is>
          <t>ÖSTHAMMAR</t>
        </is>
      </c>
      <c r="H150" t="inlineStr">
        <is>
          <t>Bergvik skog öst AB</t>
        </is>
      </c>
      <c r="I150" t="n">
        <v>4.9</v>
      </c>
      <c r="J150" t="n">
        <v>10</v>
      </c>
      <c r="K150" t="n">
        <v>0</v>
      </c>
      <c r="L150" t="n">
        <v>4</v>
      </c>
      <c r="M150" t="n">
        <v>1</v>
      </c>
      <c r="N150" t="n">
        <v>0</v>
      </c>
      <c r="O150" t="n">
        <v>0</v>
      </c>
      <c r="P150" t="n">
        <v>0</v>
      </c>
      <c r="Q150" t="n">
        <v>5</v>
      </c>
      <c r="R150" t="n">
        <v>1</v>
      </c>
      <c r="S150" t="n">
        <v>10</v>
      </c>
      <c r="T150" t="n">
        <v>12</v>
      </c>
      <c r="U150" t="n">
        <v>0</v>
      </c>
      <c r="V150" s="2" t="inlineStr">
        <is>
          <t>Gråtrut
Gulsparv
Järnsparv
Rödvingetrast
Sädesärla
Grönsiska
Kråka
Kungsfågel
Svartvit flugsnappare
Trana</t>
        </is>
      </c>
      <c r="W150">
        <f>HYPERLINK("https://klasma.github.io/Logging_0382/artfynd/S 1577-2025 artfynd.xlsx", "S 1577-2025")</f>
        <v/>
      </c>
      <c r="X150">
        <f>HYPERLINK("https://klasma.github.io/Logging_0382/kartor/S 1577-2025 karta.png", "S 1577-2025")</f>
        <v/>
      </c>
      <c r="Y150">
        <f>HYPERLINK("https://klasma.github.io/Logging_0382/kartor_geotiff/S 1577-2025 georefererad karta.tif", "S 1577-2025")</f>
        <v/>
      </c>
      <c r="AA150">
        <f>HYPERLINK("https://klasma.github.io/Logging_0382/klagomål/S 1577-2025 FSC-klagomål.docx", "S 1577-2025")</f>
        <v/>
      </c>
      <c r="AB150">
        <f>HYPERLINK("https://klasma.github.io/Logging_0382/klagomålsmail/S 1577-2025 FSC-klagomål mail.docx", "S 1577-2025")</f>
        <v/>
      </c>
      <c r="AC150">
        <f>HYPERLINK("https://klasma.github.io/Logging_0382/tillsyn/S 1577-2025 tillsynsbegäran.docx", "S 1577-2025")</f>
        <v/>
      </c>
      <c r="AD150">
        <f>HYPERLINK("https://klasma.github.io/Logging_0382/tillsynsmail/S 1577-2025 tillsynsbegäran mail.docx", "S 1577-2025")</f>
        <v/>
      </c>
      <c r="AE150">
        <f>HYPERLINK("https://klasma.github.io/Logging_0382/fåglar/S 1577-2025 prioriterade fågelarter.docx", "S 1577-2025")</f>
        <v/>
      </c>
    </row>
    <row r="151" ht="15" customHeight="1">
      <c r="A151" t="inlineStr">
        <is>
          <t>S 1834-2026</t>
        </is>
      </c>
      <c r="B151" t="inlineStr">
        <is>
          <t>samrådsanmälan</t>
        </is>
      </c>
      <c r="C151" t="inlineStr">
        <is>
          <t>Annan skogsbruksåtgärd</t>
        </is>
      </c>
      <c r="D151" s="1" t="n">
        <v>46191</v>
      </c>
      <c r="E151" s="1" t="n">
        <v>46309</v>
      </c>
      <c r="F151" t="inlineStr">
        <is>
          <t>UPPSALA LÄN</t>
        </is>
      </c>
      <c r="G151" t="inlineStr">
        <is>
          <t>TIERP</t>
        </is>
      </c>
      <c r="I151" t="n">
        <v>0.8</v>
      </c>
      <c r="J151" t="n">
        <v>1</v>
      </c>
      <c r="K151" t="n">
        <v>5</v>
      </c>
      <c r="L151" t="n">
        <v>3</v>
      </c>
      <c r="M151" t="n">
        <v>2</v>
      </c>
      <c r="N151" t="n">
        <v>0</v>
      </c>
      <c r="O151" t="n">
        <v>0</v>
      </c>
      <c r="P151" t="n">
        <v>0</v>
      </c>
      <c r="Q151" t="n">
        <v>5</v>
      </c>
      <c r="R151" t="n">
        <v>2</v>
      </c>
      <c r="S151" t="n">
        <v>10</v>
      </c>
      <c r="T151" t="n">
        <v>16</v>
      </c>
      <c r="U151" t="n">
        <v>0</v>
      </c>
      <c r="V151" s="2" t="inlineStr">
        <is>
          <t>Duvspindling
Knärot
Fjällig taggsvamp s.str.
Tjockfotad fingersvamp
Äggspindling
Anisspindling
Diskvaxskivling
Olivspindling
Rödgul trumpetsvamp
Svavelriska</t>
        </is>
      </c>
      <c r="W151">
        <f>HYPERLINK("https://klasma.github.io/Logging_0360/artfynd/S 1834-2026 artfynd.xlsx", "S 1834-2026")</f>
        <v/>
      </c>
      <c r="X151">
        <f>HYPERLINK("https://klasma.github.io/Logging_0360/kartor/S 1834-2026 karta.png", "S 1834-2026")</f>
        <v/>
      </c>
      <c r="Y151">
        <f>HYPERLINK("https://klasma.github.io/Logging_0360/kartor_geotiff/S 1834-2026 georefererad karta.tif", "S 1834-2026")</f>
        <v/>
      </c>
      <c r="Z151">
        <f>HYPERLINK("https://klasma.github.io/Logging_0360/knärot/S 1834-2026 karta knärot.png", "S 1834-2026")</f>
        <v/>
      </c>
      <c r="AA151">
        <f>HYPERLINK("https://klasma.github.io/Logging_0360/klagomål/S 1834-2026 FSC-klagomål.docx", "S 1834-2026")</f>
        <v/>
      </c>
      <c r="AB151">
        <f>HYPERLINK("https://klasma.github.io/Logging_0360/klagomålsmail/S 1834-2026 FSC-klagomål mail.docx", "S 1834-2026")</f>
        <v/>
      </c>
      <c r="AC151">
        <f>HYPERLINK("https://klasma.github.io/Logging_0360/tillsyn/S 1834-2026 tillsynsbegäran.docx", "S 1834-2026")</f>
        <v/>
      </c>
      <c r="AD151">
        <f>HYPERLINK("https://klasma.github.io/Logging_0360/tillsynsmail/S 1834-2026 tillsynsbegäran mail.docx", "S 1834-2026")</f>
        <v/>
      </c>
    </row>
    <row r="152" ht="15" customHeight="1">
      <c r="A152" t="inlineStr">
        <is>
          <t>A 43280-2025</t>
        </is>
      </c>
      <c r="B152" t="inlineStr">
        <is>
          <t>avverkningsanmälan</t>
        </is>
      </c>
      <c r="C152" t="inlineStr">
        <is>
          <t>Föryngringsavverkning</t>
        </is>
      </c>
      <c r="D152" s="1" t="n">
        <v>45910</v>
      </c>
      <c r="E152" s="1" t="n">
        <v>46309</v>
      </c>
      <c r="F152" t="inlineStr">
        <is>
          <t>UPPSALA LÄN</t>
        </is>
      </c>
      <c r="G152" t="inlineStr">
        <is>
          <t>UPPSALA</t>
        </is>
      </c>
      <c r="H152" t="inlineStr">
        <is>
          <t>Kyrkan</t>
        </is>
      </c>
      <c r="I152" t="n">
        <v>2.4</v>
      </c>
      <c r="J152" t="n">
        <v>1</v>
      </c>
      <c r="K152" t="n">
        <v>5</v>
      </c>
      <c r="L152" t="n">
        <v>4</v>
      </c>
      <c r="M152" t="n">
        <v>0</v>
      </c>
      <c r="N152" t="n">
        <v>0</v>
      </c>
      <c r="O152" t="n">
        <v>0</v>
      </c>
      <c r="P152" t="n">
        <v>0</v>
      </c>
      <c r="Q152" t="n">
        <v>4</v>
      </c>
      <c r="R152" t="n">
        <v>0</v>
      </c>
      <c r="S152" t="n">
        <v>9</v>
      </c>
      <c r="T152" t="n">
        <v>22</v>
      </c>
      <c r="U152" t="n">
        <v>22</v>
      </c>
      <c r="V152" s="2" t="inlineStr">
        <is>
          <t>Rosenticka
Rynkskinn
Ullticka
Vedtrappmossa
Grön sköldmossa
Stubbspretmossa
Svart trolldruva
Svavelriska
Trådticka</t>
        </is>
      </c>
      <c r="W152">
        <f>HYPERLINK("https://klasma.github.io/Logging_0380/artfynd/A 43280-2025 artfynd.xlsx", "A 43280-2025")</f>
        <v/>
      </c>
      <c r="X152">
        <f>HYPERLINK("https://klasma.github.io/Logging_0380/kartor/A 43280-2025 karta.png", "A 43280-2025")</f>
        <v/>
      </c>
      <c r="Y152">
        <f>HYPERLINK("https://klasma.github.io/Logging_0380/kartor_geotiff/A 43280-2025 georefererad karta.tif", "A 43280-2025")</f>
        <v/>
      </c>
      <c r="AA152">
        <f>HYPERLINK("https://klasma.github.io/Logging_0380/klagomål/A 43280-2025 FSC-klagomål.docx", "A 43280-2025")</f>
        <v/>
      </c>
      <c r="AB152">
        <f>HYPERLINK("https://klasma.github.io/Logging_0380/klagomålsmail/A 43280-2025 FSC-klagomål mail.docx", "A 43280-2025")</f>
        <v/>
      </c>
      <c r="AC152">
        <f>HYPERLINK("https://klasma.github.io/Logging_0380/tillsyn/A 43280-2025 tillsynsbegäran.docx", "A 43280-2025")</f>
        <v/>
      </c>
      <c r="AD152">
        <f>HYPERLINK("https://klasma.github.io/Logging_0380/tillsynsmail/A 43280-2025 tillsynsbegäran mail.docx", "A 43280-2025")</f>
        <v/>
      </c>
    </row>
    <row r="153" ht="15" customHeight="1">
      <c r="A153" t="inlineStr">
        <is>
          <t>A 43278-2025</t>
        </is>
      </c>
      <c r="B153" t="inlineStr">
        <is>
          <t>avverkningsanmälan</t>
        </is>
      </c>
      <c r="C153" t="inlineStr">
        <is>
          <t>Föryngringsavverkning</t>
        </is>
      </c>
      <c r="D153" s="1" t="n">
        <v>45910</v>
      </c>
      <c r="E153" s="1" t="n">
        <v>46309</v>
      </c>
      <c r="F153" t="inlineStr">
        <is>
          <t>UPPSALA LÄN</t>
        </is>
      </c>
      <c r="G153" t="inlineStr">
        <is>
          <t>UPPSALA</t>
        </is>
      </c>
      <c r="H153" t="inlineStr">
        <is>
          <t>Kyrkan</t>
        </is>
      </c>
      <c r="I153" t="n">
        <v>2.4</v>
      </c>
      <c r="J153" t="n">
        <v>1</v>
      </c>
      <c r="K153" t="n">
        <v>5</v>
      </c>
      <c r="L153" t="n">
        <v>4</v>
      </c>
      <c r="M153" t="n">
        <v>0</v>
      </c>
      <c r="N153" t="n">
        <v>0</v>
      </c>
      <c r="O153" t="n">
        <v>0</v>
      </c>
      <c r="P153" t="n">
        <v>0</v>
      </c>
      <c r="Q153" t="n">
        <v>4</v>
      </c>
      <c r="R153" t="n">
        <v>0</v>
      </c>
      <c r="S153" t="n">
        <v>9</v>
      </c>
      <c r="T153" t="n">
        <v>22</v>
      </c>
      <c r="U153" t="n">
        <v>22</v>
      </c>
      <c r="V153" s="2" t="inlineStr">
        <is>
          <t>Rosenticka
Rynkskinn
Ullticka
Vedtrappmossa
Grön sköldmossa
Stubbspretmossa
Svart trolldruva
Svavelriska
Trådticka</t>
        </is>
      </c>
      <c r="W153">
        <f>HYPERLINK("https://klasma.github.io/Logging_0380/artfynd/A 43278-2025 artfynd.xlsx", "A 43278-2025")</f>
        <v/>
      </c>
      <c r="X153">
        <f>HYPERLINK("https://klasma.github.io/Logging_0380/kartor/A 43278-2025 karta.png", "A 43278-2025")</f>
        <v/>
      </c>
      <c r="Y153">
        <f>HYPERLINK("https://klasma.github.io/Logging_0380/kartor_geotiff/A 43278-2025 georefererad karta.tif", "A 43278-2025")</f>
        <v/>
      </c>
      <c r="AA153">
        <f>HYPERLINK("https://klasma.github.io/Logging_0380/klagomål/A 43278-2025 FSC-klagomål.docx", "A 43278-2025")</f>
        <v/>
      </c>
      <c r="AB153">
        <f>HYPERLINK("https://klasma.github.io/Logging_0380/klagomålsmail/A 43278-2025 FSC-klagomål mail.docx", "A 43278-2025")</f>
        <v/>
      </c>
      <c r="AC153">
        <f>HYPERLINK("https://klasma.github.io/Logging_0380/tillsyn/A 43278-2025 tillsynsbegäran.docx", "A 43278-2025")</f>
        <v/>
      </c>
      <c r="AD153">
        <f>HYPERLINK("https://klasma.github.io/Logging_0380/tillsynsmail/A 43278-2025 tillsynsbegäran mail.docx", "A 43278-2025")</f>
        <v/>
      </c>
    </row>
    <row r="154" ht="15" customHeight="1">
      <c r="A154" t="inlineStr">
        <is>
          <t>A 47445-2025</t>
        </is>
      </c>
      <c r="B154" t="inlineStr">
        <is>
          <t>avverkningsanmälan</t>
        </is>
      </c>
      <c r="C154" t="inlineStr">
        <is>
          <t>Föryngringsavverkning</t>
        </is>
      </c>
      <c r="D154" s="1" t="n">
        <v>45930</v>
      </c>
      <c r="E154" s="1" t="n">
        <v>46309</v>
      </c>
      <c r="F154" t="inlineStr">
        <is>
          <t>UPPSALA LÄN</t>
        </is>
      </c>
      <c r="G154" t="inlineStr">
        <is>
          <t>TIERP</t>
        </is>
      </c>
      <c r="H154" t="inlineStr">
        <is>
          <t>Bergvik skog väst AB</t>
        </is>
      </c>
      <c r="I154" t="n">
        <v>39.6</v>
      </c>
      <c r="J154" t="n">
        <v>0</v>
      </c>
      <c r="K154" t="n">
        <v>7</v>
      </c>
      <c r="L154" t="n">
        <v>2</v>
      </c>
      <c r="M154" t="n">
        <v>0</v>
      </c>
      <c r="N154" t="n">
        <v>0</v>
      </c>
      <c r="O154" t="n">
        <v>0</v>
      </c>
      <c r="P154" t="n">
        <v>0</v>
      </c>
      <c r="Q154" t="n">
        <v>2</v>
      </c>
      <c r="R154" t="n">
        <v>0</v>
      </c>
      <c r="S154" t="n">
        <v>9</v>
      </c>
      <c r="T154" t="n">
        <v>15</v>
      </c>
      <c r="U154" t="n">
        <v>15</v>
      </c>
      <c r="V154" s="2" t="inlineStr">
        <is>
          <t>Platt spretmossa
Vedtrappmossa
Björksplintborre
Bronshjon
Rostfläck
Skinnlav
Stubbspretmossa
Vedticka
Vågbandad barkbock</t>
        </is>
      </c>
      <c r="W154">
        <f>HYPERLINK("https://klasma.github.io/Logging_0360/artfynd/A 47445-2025 artfynd.xlsx", "A 47445-2025")</f>
        <v/>
      </c>
      <c r="X154">
        <f>HYPERLINK("https://klasma.github.io/Logging_0360/kartor/A 47445-2025 karta.png", "A 47445-2025")</f>
        <v/>
      </c>
      <c r="Y154">
        <f>HYPERLINK("https://klasma.github.io/Logging_0360/kartor_geotiff/A 47445-2025 georefererad karta.tif", "A 47445-2025")</f>
        <v/>
      </c>
      <c r="AA154">
        <f>HYPERLINK("https://klasma.github.io/Logging_0360/klagomål/A 47445-2025 FSC-klagomål.docx", "A 47445-2025")</f>
        <v/>
      </c>
      <c r="AB154">
        <f>HYPERLINK("https://klasma.github.io/Logging_0360/klagomålsmail/A 47445-2025 FSC-klagomål mail.docx", "A 47445-2025")</f>
        <v/>
      </c>
      <c r="AC154">
        <f>HYPERLINK("https://klasma.github.io/Logging_0360/tillsyn/A 47445-2025 tillsynsbegäran.docx", "A 47445-2025")</f>
        <v/>
      </c>
      <c r="AD154">
        <f>HYPERLINK("https://klasma.github.io/Logging_0360/tillsynsmail/A 47445-2025 tillsynsbegäran mail.docx", "A 47445-2025")</f>
        <v/>
      </c>
    </row>
    <row r="155" ht="15" customHeight="1">
      <c r="A155" t="inlineStr">
        <is>
          <t>A 3949-2025</t>
        </is>
      </c>
      <c r="B155" t="inlineStr">
        <is>
          <t>avverkningsanmälan</t>
        </is>
      </c>
      <c r="C155" t="inlineStr">
        <is>
          <t>Avverkning för annat ändamål</t>
        </is>
      </c>
      <c r="D155" s="1" t="n">
        <v>45684</v>
      </c>
      <c r="E155" s="1" t="n">
        <v>46309</v>
      </c>
      <c r="F155" t="inlineStr">
        <is>
          <t>UPPSALA LÄN</t>
        </is>
      </c>
      <c r="G155" t="inlineStr">
        <is>
          <t>ÄLVKARLEBY</t>
        </is>
      </c>
      <c r="I155" t="n">
        <v>5.2</v>
      </c>
      <c r="J155" t="n">
        <v>6</v>
      </c>
      <c r="K155" t="n">
        <v>2</v>
      </c>
      <c r="L155" t="n">
        <v>1</v>
      </c>
      <c r="M155" t="n">
        <v>2</v>
      </c>
      <c r="N155" t="n">
        <v>0</v>
      </c>
      <c r="O155" t="n">
        <v>0</v>
      </c>
      <c r="P155" t="n">
        <v>0</v>
      </c>
      <c r="Q155" t="n">
        <v>3</v>
      </c>
      <c r="R155" t="n">
        <v>2</v>
      </c>
      <c r="S155" t="n">
        <v>9</v>
      </c>
      <c r="T155" t="n">
        <v>67</v>
      </c>
      <c r="U155" t="n">
        <v>0</v>
      </c>
      <c r="V155" s="2" t="inlineStr">
        <is>
          <t>Sanddraba
Toppjungfrulin
Vanlig sandviol
Skogsknipprot
Tvåblad
Fläcknycklar
Kärrknipprot
Nattviol
Ängsnycklar</t>
        </is>
      </c>
      <c r="W155">
        <f>HYPERLINK("https://klasma.github.io/Logging_0319/artfynd/A 3949-2025 artfynd.xlsx", "A 3949-2025")</f>
        <v/>
      </c>
      <c r="X155">
        <f>HYPERLINK("https://klasma.github.io/Logging_0319/kartor/A 3949-2025 karta.png", "A 3949-2025")</f>
        <v/>
      </c>
      <c r="Y155">
        <f>HYPERLINK("https://klasma.github.io/Logging_0319/kartor_geotiff/A 3949-2025 georefererad karta.tif", "A 3949-2025")</f>
        <v/>
      </c>
      <c r="AA155">
        <f>HYPERLINK("https://klasma.github.io/Logging_0319/klagomål/A 3949-2025 FSC-klagomål.docx", "A 3949-2025")</f>
        <v/>
      </c>
      <c r="AB155">
        <f>HYPERLINK("https://klasma.github.io/Logging_0319/klagomålsmail/A 3949-2025 FSC-klagomål mail.docx", "A 3949-2025")</f>
        <v/>
      </c>
      <c r="AC155">
        <f>HYPERLINK("https://klasma.github.io/Logging_0319/tillsyn/A 3949-2025 tillsynsbegäran.docx", "A 3949-2025")</f>
        <v/>
      </c>
      <c r="AD155">
        <f>HYPERLINK("https://klasma.github.io/Logging_0319/tillsynsmail/A 3949-2025 tillsynsbegäran mail.docx", "A 3949-2025")</f>
        <v/>
      </c>
    </row>
    <row r="156" ht="15" customHeight="1">
      <c r="A156" t="inlineStr">
        <is>
          <t>A 61014-2021</t>
        </is>
      </c>
      <c r="B156" t="inlineStr">
        <is>
          <t>avverkningsanmälan</t>
        </is>
      </c>
      <c r="C156" t="inlineStr">
        <is>
          <t>Föryngringsavverkning</t>
        </is>
      </c>
      <c r="D156" s="1" t="n">
        <v>44497</v>
      </c>
      <c r="E156" s="1" t="n">
        <v>46309</v>
      </c>
      <c r="F156" t="inlineStr">
        <is>
          <t>UPPSALA LÄN</t>
        </is>
      </c>
      <c r="G156" t="inlineStr">
        <is>
          <t>UPPSALA</t>
        </is>
      </c>
      <c r="I156" t="n">
        <v>6.6</v>
      </c>
      <c r="J156" t="n">
        <v>3</v>
      </c>
      <c r="K156" t="n">
        <v>2</v>
      </c>
      <c r="L156" t="n">
        <v>3</v>
      </c>
      <c r="M156" t="n">
        <v>2</v>
      </c>
      <c r="N156" t="n">
        <v>0</v>
      </c>
      <c r="O156" t="n">
        <v>0</v>
      </c>
      <c r="P156" t="n">
        <v>0</v>
      </c>
      <c r="Q156" t="n">
        <v>5</v>
      </c>
      <c r="R156" t="n">
        <v>2</v>
      </c>
      <c r="S156" t="n">
        <v>9</v>
      </c>
      <c r="T156" t="n">
        <v>15</v>
      </c>
      <c r="U156" t="n">
        <v>14</v>
      </c>
      <c r="V156" s="2" t="inlineStr">
        <is>
          <t>Garnlav
Knärot
Grönhjon
Rynkskinn
Ullticka
Brandticka
Vedticka
Tallbit
Kungsfågel</t>
        </is>
      </c>
      <c r="W156">
        <f>HYPERLINK("https://klasma.github.io/Logging_0380/artfynd/A 61014-2021 artfynd.xlsx", "A 61014-2021")</f>
        <v/>
      </c>
      <c r="X156">
        <f>HYPERLINK("https://klasma.github.io/Logging_0380/kartor/A 61014-2021 karta.png", "A 61014-2021")</f>
        <v/>
      </c>
      <c r="Y156">
        <f>HYPERLINK("https://klasma.github.io/Logging_0380/kartor_geotiff/A 61014-2021 georefererad karta.tif", "A 61014-2021")</f>
        <v/>
      </c>
      <c r="Z156">
        <f>HYPERLINK("https://klasma.github.io/Logging_0380/knärot/A 61014-2021 karta knärot.png", "A 61014-2021")</f>
        <v/>
      </c>
      <c r="AA156">
        <f>HYPERLINK("https://klasma.github.io/Logging_0380/klagomål/A 61014-2021 FSC-klagomål.docx", "A 61014-2021")</f>
        <v/>
      </c>
      <c r="AB156">
        <f>HYPERLINK("https://klasma.github.io/Logging_0380/klagomålsmail/A 61014-2021 FSC-klagomål mail.docx", "A 61014-2021")</f>
        <v/>
      </c>
      <c r="AC156">
        <f>HYPERLINK("https://klasma.github.io/Logging_0380/tillsyn/A 61014-2021 tillsynsbegäran.docx", "A 61014-2021")</f>
        <v/>
      </c>
      <c r="AD156">
        <f>HYPERLINK("https://klasma.github.io/Logging_0380/tillsynsmail/A 61014-2021 tillsynsbegäran mail.docx", "A 61014-2021")</f>
        <v/>
      </c>
      <c r="AE156">
        <f>HYPERLINK("https://klasma.github.io/Logging_0380/fåglar/A 61014-2021 prioriterade fågelarter.docx", "A 61014-2021")</f>
        <v/>
      </c>
    </row>
    <row r="157" ht="15" customHeight="1">
      <c r="A157" t="inlineStr">
        <is>
          <t>A 26758-2022</t>
        </is>
      </c>
      <c r="B157" t="inlineStr">
        <is>
          <t>avverkningsanmälan</t>
        </is>
      </c>
      <c r="C157" t="inlineStr">
        <is>
          <t>Föryngringsavverkning</t>
        </is>
      </c>
      <c r="D157" s="1" t="n">
        <v>44740</v>
      </c>
      <c r="E157" s="1" t="n">
        <v>46309</v>
      </c>
      <c r="F157" t="inlineStr">
        <is>
          <t>UPPSALA LÄN</t>
        </is>
      </c>
      <c r="G157" t="inlineStr">
        <is>
          <t>UPPSALA</t>
        </is>
      </c>
      <c r="I157" t="n">
        <v>21.5</v>
      </c>
      <c r="J157" t="n">
        <v>3</v>
      </c>
      <c r="K157" t="n">
        <v>5</v>
      </c>
      <c r="L157" t="n">
        <v>2</v>
      </c>
      <c r="M157" t="n">
        <v>0</v>
      </c>
      <c r="N157" t="n">
        <v>0</v>
      </c>
      <c r="O157" t="n">
        <v>0</v>
      </c>
      <c r="P157" t="n">
        <v>0</v>
      </c>
      <c r="Q157" t="n">
        <v>2</v>
      </c>
      <c r="R157" t="n">
        <v>0</v>
      </c>
      <c r="S157" t="n">
        <v>9</v>
      </c>
      <c r="T157" t="n">
        <v>12</v>
      </c>
      <c r="U157" t="n">
        <v>1</v>
      </c>
      <c r="V157" s="2" t="inlineStr">
        <is>
          <t>Dvärgbägarlav
Vedtrappmossa
Blåmossa
Bronshjon
Grön sköldmossa
Thomsons trägnagare
Trådticka
Blåsippa
Mattlummer</t>
        </is>
      </c>
      <c r="W157">
        <f>HYPERLINK("https://klasma.github.io/Logging_0380/artfynd/A 26758-2022 artfynd.xlsx", "A 26758-2022")</f>
        <v/>
      </c>
      <c r="X157">
        <f>HYPERLINK("https://klasma.github.io/Logging_0380/kartor/A 26758-2022 karta.png", "A 26758-2022")</f>
        <v/>
      </c>
      <c r="Y157">
        <f>HYPERLINK("https://klasma.github.io/Logging_0380/kartor_geotiff/A 26758-2022 georefererad karta.tif", "A 26758-2022")</f>
        <v/>
      </c>
      <c r="AA157">
        <f>HYPERLINK("https://klasma.github.io/Logging_0380/klagomål/A 26758-2022 FSC-klagomål.docx", "A 26758-2022")</f>
        <v/>
      </c>
      <c r="AB157">
        <f>HYPERLINK("https://klasma.github.io/Logging_0380/klagomålsmail/A 26758-2022 FSC-klagomål mail.docx", "A 26758-2022")</f>
        <v/>
      </c>
      <c r="AC157">
        <f>HYPERLINK("https://klasma.github.io/Logging_0380/tillsyn/A 26758-2022 tillsynsbegäran.docx", "A 26758-2022")</f>
        <v/>
      </c>
      <c r="AD157">
        <f>HYPERLINK("https://klasma.github.io/Logging_0380/tillsynsmail/A 26758-2022 tillsynsbegäran mail.docx", "A 26758-2022")</f>
        <v/>
      </c>
    </row>
    <row r="158" ht="15" customHeight="1">
      <c r="A158" t="inlineStr">
        <is>
          <t>A 25608-2025</t>
        </is>
      </c>
      <c r="B158" t="inlineStr">
        <is>
          <t>avverkningsanmälan</t>
        </is>
      </c>
      <c r="C158" t="inlineStr">
        <is>
          <t>Föryngringsavverkning</t>
        </is>
      </c>
      <c r="D158" s="1" t="n">
        <v>45803</v>
      </c>
      <c r="E158" s="1" t="n">
        <v>46309</v>
      </c>
      <c r="F158" t="inlineStr">
        <is>
          <t>UPPSALA LÄN</t>
        </is>
      </c>
      <c r="G158" t="inlineStr">
        <is>
          <t>UPPSALA</t>
        </is>
      </c>
      <c r="H158" t="inlineStr">
        <is>
          <t>Holmen skog AB</t>
        </is>
      </c>
      <c r="I158" t="n">
        <v>3</v>
      </c>
      <c r="J158" t="n">
        <v>4</v>
      </c>
      <c r="K158" t="n">
        <v>3</v>
      </c>
      <c r="L158" t="n">
        <v>3</v>
      </c>
      <c r="M158" t="n">
        <v>1</v>
      </c>
      <c r="N158" t="n">
        <v>0</v>
      </c>
      <c r="O158" t="n">
        <v>0</v>
      </c>
      <c r="P158" t="n">
        <v>0</v>
      </c>
      <c r="Q158" t="n">
        <v>4</v>
      </c>
      <c r="R158" t="n">
        <v>1</v>
      </c>
      <c r="S158" t="n">
        <v>9</v>
      </c>
      <c r="T158" t="n">
        <v>18</v>
      </c>
      <c r="U158" t="n">
        <v>17</v>
      </c>
      <c r="V158" s="2" t="inlineStr">
        <is>
          <t>Knärot
Rynkskinn
Talltita
Ullticka
Bronshjon
Stuplav
Vågbandad barkbock
Blåsippa
Spillkråka</t>
        </is>
      </c>
      <c r="W158">
        <f>HYPERLINK("https://klasma.github.io/Logging_0380/artfynd/A 25608-2025 artfynd.xlsx", "A 25608-2025")</f>
        <v/>
      </c>
      <c r="X158">
        <f>HYPERLINK("https://klasma.github.io/Logging_0380/kartor/A 25608-2025 karta.png", "A 25608-2025")</f>
        <v/>
      </c>
      <c r="Y158">
        <f>HYPERLINK("https://klasma.github.io/Logging_0380/kartor_geotiff/A 25608-2025 georefererad karta.tif", "A 25608-2025")</f>
        <v/>
      </c>
      <c r="Z158">
        <f>HYPERLINK("https://klasma.github.io/Logging_0380/knärot/A 25608-2025 karta knärot.png", "A 25608-2025")</f>
        <v/>
      </c>
      <c r="AA158">
        <f>HYPERLINK("https://klasma.github.io/Logging_0380/klagomål/A 25608-2025 FSC-klagomål.docx", "A 25608-2025")</f>
        <v/>
      </c>
      <c r="AB158">
        <f>HYPERLINK("https://klasma.github.io/Logging_0380/klagomålsmail/A 25608-2025 FSC-klagomål mail.docx", "A 25608-2025")</f>
        <v/>
      </c>
      <c r="AC158">
        <f>HYPERLINK("https://klasma.github.io/Logging_0380/tillsyn/A 25608-2025 tillsynsbegäran.docx", "A 25608-2025")</f>
        <v/>
      </c>
      <c r="AD158">
        <f>HYPERLINK("https://klasma.github.io/Logging_0380/tillsynsmail/A 25608-2025 tillsynsbegäran mail.docx", "A 25608-2025")</f>
        <v/>
      </c>
      <c r="AE158">
        <f>HYPERLINK("https://klasma.github.io/Logging_0380/fåglar/A 25608-2025 prioriterade fågelarter.docx", "A 25608-2025")</f>
        <v/>
      </c>
    </row>
    <row r="159" ht="15" customHeight="1">
      <c r="A159" t="inlineStr">
        <is>
          <t>A 39834-2025</t>
        </is>
      </c>
      <c r="B159" t="inlineStr">
        <is>
          <t>avverkningsanmälan</t>
        </is>
      </c>
      <c r="C159" t="inlineStr">
        <is>
          <t>Föryngringsavverkning</t>
        </is>
      </c>
      <c r="D159" s="1" t="n">
        <v>45891</v>
      </c>
      <c r="E159" s="1" t="n">
        <v>46309</v>
      </c>
      <c r="F159" t="inlineStr">
        <is>
          <t>UPPSALA LÄN</t>
        </is>
      </c>
      <c r="G159" t="inlineStr">
        <is>
          <t>ÖSTHAMMAR</t>
        </is>
      </c>
      <c r="H159" t="inlineStr">
        <is>
          <t>Bergvik skog öst AB</t>
        </is>
      </c>
      <c r="I159" t="n">
        <v>2.5</v>
      </c>
      <c r="J159" t="n">
        <v>5</v>
      </c>
      <c r="K159" t="n">
        <v>2</v>
      </c>
      <c r="L159" t="n">
        <v>1</v>
      </c>
      <c r="M159" t="n">
        <v>2</v>
      </c>
      <c r="N159" t="n">
        <v>0</v>
      </c>
      <c r="O159" t="n">
        <v>0</v>
      </c>
      <c r="P159" t="n">
        <v>0</v>
      </c>
      <c r="Q159" t="n">
        <v>3</v>
      </c>
      <c r="R159" t="n">
        <v>2</v>
      </c>
      <c r="S159" t="n">
        <v>9</v>
      </c>
      <c r="T159" t="n">
        <v>22</v>
      </c>
      <c r="U159" t="n">
        <v>0</v>
      </c>
      <c r="V159" s="2" t="inlineStr">
        <is>
          <t>Garnlav
Knärot
Kattfotslav
Grönpyrola
Vågbandad barkbock
Blåsippa
Spillkråka
Tjäder
Revlummer</t>
        </is>
      </c>
      <c r="W159">
        <f>HYPERLINK("https://klasma.github.io/Logging_0382/artfynd/A 39834-2025 artfynd.xlsx", "A 39834-2025")</f>
        <v/>
      </c>
      <c r="X159">
        <f>HYPERLINK("https://klasma.github.io/Logging_0382/kartor/A 39834-2025 karta.png", "A 39834-2025")</f>
        <v/>
      </c>
      <c r="Y159">
        <f>HYPERLINK("https://klasma.github.io/Logging_0382/kartor_geotiff/A 39834-2025 georefererad karta.tif", "A 39834-2025")</f>
        <v/>
      </c>
      <c r="Z159">
        <f>HYPERLINK("https://klasma.github.io/Logging_0382/knärot/A 39834-2025 karta knärot.png", "A 39834-2025")</f>
        <v/>
      </c>
      <c r="AA159">
        <f>HYPERLINK("https://klasma.github.io/Logging_0382/klagomål/A 39834-2025 FSC-klagomål.docx", "A 39834-2025")</f>
        <v/>
      </c>
      <c r="AB159">
        <f>HYPERLINK("https://klasma.github.io/Logging_0382/klagomålsmail/A 39834-2025 FSC-klagomål mail.docx", "A 39834-2025")</f>
        <v/>
      </c>
      <c r="AC159">
        <f>HYPERLINK("https://klasma.github.io/Logging_0382/tillsyn/A 39834-2025 tillsynsbegäran.docx", "A 39834-2025")</f>
        <v/>
      </c>
      <c r="AD159">
        <f>HYPERLINK("https://klasma.github.io/Logging_0382/tillsynsmail/A 39834-2025 tillsynsbegäran mail.docx", "A 39834-2025")</f>
        <v/>
      </c>
      <c r="AE159">
        <f>HYPERLINK("https://klasma.github.io/Logging_0382/fåglar/A 39834-2025 prioriterade fågelarter.docx", "A 39834-2025")</f>
        <v/>
      </c>
    </row>
    <row r="160" ht="15" customHeight="1">
      <c r="A160" t="inlineStr">
        <is>
          <t>A 46508-2025</t>
        </is>
      </c>
      <c r="B160" t="inlineStr">
        <is>
          <t>avverkningsanmälan</t>
        </is>
      </c>
      <c r="C160" t="inlineStr">
        <is>
          <t>Föryngringsavverkning</t>
        </is>
      </c>
      <c r="D160" s="1" t="n">
        <v>45925</v>
      </c>
      <c r="E160" s="1" t="n">
        <v>46309</v>
      </c>
      <c r="F160" t="inlineStr">
        <is>
          <t>UPPSALA LÄN</t>
        </is>
      </c>
      <c r="G160" t="inlineStr">
        <is>
          <t>ÄLVKARLEBY</t>
        </is>
      </c>
      <c r="I160" t="n">
        <v>6.9</v>
      </c>
      <c r="J160" t="n">
        <v>4</v>
      </c>
      <c r="K160" t="n">
        <v>3</v>
      </c>
      <c r="L160" t="n">
        <v>2</v>
      </c>
      <c r="M160" t="n">
        <v>3</v>
      </c>
      <c r="N160" t="n">
        <v>0</v>
      </c>
      <c r="O160" t="n">
        <v>0</v>
      </c>
      <c r="P160" t="n">
        <v>0</v>
      </c>
      <c r="Q160" t="n">
        <v>5</v>
      </c>
      <c r="R160" t="n">
        <v>3</v>
      </c>
      <c r="S160" t="n">
        <v>9</v>
      </c>
      <c r="T160" t="n">
        <v>17</v>
      </c>
      <c r="U160" t="n">
        <v>0</v>
      </c>
      <c r="V160" s="2" t="inlineStr">
        <is>
          <t>Grangråticka
Knärot
Kopparspindling
Tretåig hackspett
Vedtrappmossa
Nästrot
Svart trolldruva
Trådfräken
Blåsippa</t>
        </is>
      </c>
      <c r="W160">
        <f>HYPERLINK("https://klasma.github.io/Logging_0319/artfynd/A 46508-2025 artfynd.xlsx", "A 46508-2025")</f>
        <v/>
      </c>
      <c r="X160">
        <f>HYPERLINK("https://klasma.github.io/Logging_0319/kartor/A 46508-2025 karta.png", "A 46508-2025")</f>
        <v/>
      </c>
      <c r="Y160">
        <f>HYPERLINK("https://klasma.github.io/Logging_0319/kartor_geotiff/A 46508-2025 georefererad karta.tif", "A 46508-2025")</f>
        <v/>
      </c>
      <c r="Z160">
        <f>HYPERLINK("https://klasma.github.io/Logging_0319/knärot/A 46508-2025 karta knärot.png", "A 46508-2025")</f>
        <v/>
      </c>
      <c r="AA160">
        <f>HYPERLINK("https://klasma.github.io/Logging_0319/klagomål/A 46508-2025 FSC-klagomål.docx", "A 46508-2025")</f>
        <v/>
      </c>
      <c r="AB160">
        <f>HYPERLINK("https://klasma.github.io/Logging_0319/klagomålsmail/A 46508-2025 FSC-klagomål mail.docx", "A 46508-2025")</f>
        <v/>
      </c>
      <c r="AC160">
        <f>HYPERLINK("https://klasma.github.io/Logging_0319/tillsyn/A 46508-2025 tillsynsbegäran.docx", "A 46508-2025")</f>
        <v/>
      </c>
      <c r="AD160">
        <f>HYPERLINK("https://klasma.github.io/Logging_0319/tillsynsmail/A 46508-2025 tillsynsbegäran mail.docx", "A 46508-2025")</f>
        <v/>
      </c>
      <c r="AE160">
        <f>HYPERLINK("https://klasma.github.io/Logging_0319/fåglar/A 46508-2025 prioriterade fågelarter.docx", "A 46508-2025")</f>
        <v/>
      </c>
    </row>
    <row r="161" ht="15" customHeight="1">
      <c r="A161" t="inlineStr">
        <is>
          <t>A 20993-2025</t>
        </is>
      </c>
      <c r="B161" t="inlineStr">
        <is>
          <t>avverkningsanmälan</t>
        </is>
      </c>
      <c r="C161" t="inlineStr">
        <is>
          <t>Föryngringsavverkning</t>
        </is>
      </c>
      <c r="D161" s="1" t="n">
        <v>45777</v>
      </c>
      <c r="E161" s="1" t="n">
        <v>46309</v>
      </c>
      <c r="F161" t="inlineStr">
        <is>
          <t>UPPSALA LÄN</t>
        </is>
      </c>
      <c r="G161" t="inlineStr">
        <is>
          <t>HEBY</t>
        </is>
      </c>
      <c r="I161" t="n">
        <v>10.6</v>
      </c>
      <c r="J161" t="n">
        <v>4</v>
      </c>
      <c r="K161" t="n">
        <v>3</v>
      </c>
      <c r="L161" t="n">
        <v>3</v>
      </c>
      <c r="M161" t="n">
        <v>1</v>
      </c>
      <c r="N161" t="n">
        <v>0</v>
      </c>
      <c r="O161" t="n">
        <v>0</v>
      </c>
      <c r="P161" t="n">
        <v>0</v>
      </c>
      <c r="Q161" t="n">
        <v>4</v>
      </c>
      <c r="R161" t="n">
        <v>1</v>
      </c>
      <c r="S161" t="n">
        <v>9</v>
      </c>
      <c r="T161" t="n">
        <v>28</v>
      </c>
      <c r="U161" t="n">
        <v>27</v>
      </c>
      <c r="V161" s="2" t="inlineStr">
        <is>
          <t>Knärot
Kattfotslav
Talltita
Ullticka
Flagellkvastmossa
Grönpyrola
Rostfläck
Järpe
Tjäder</t>
        </is>
      </c>
      <c r="W161">
        <f>HYPERLINK("https://klasma.github.io/Logging_0331/artfynd/A 20993-2025 artfynd.xlsx", "A 20993-2025")</f>
        <v/>
      </c>
      <c r="X161">
        <f>HYPERLINK("https://klasma.github.io/Logging_0331/kartor/A 20993-2025 karta.png", "A 20993-2025")</f>
        <v/>
      </c>
      <c r="Y161">
        <f>HYPERLINK("https://klasma.github.io/Logging_0331/kartor_geotiff/A 20993-2025 georefererad karta.tif", "A 20993-2025")</f>
        <v/>
      </c>
      <c r="Z161">
        <f>HYPERLINK("https://klasma.github.io/Logging_0331/knärot/A 20993-2025 karta knärot.png", "A 20993-2025")</f>
        <v/>
      </c>
      <c r="AA161">
        <f>HYPERLINK("https://klasma.github.io/Logging_0331/klagomål/A 20993-2025 FSC-klagomål.docx", "A 20993-2025")</f>
        <v/>
      </c>
      <c r="AB161">
        <f>HYPERLINK("https://klasma.github.io/Logging_0331/klagomålsmail/A 20993-2025 FSC-klagomål mail.docx", "A 20993-2025")</f>
        <v/>
      </c>
      <c r="AC161">
        <f>HYPERLINK("https://klasma.github.io/Logging_0331/tillsyn/A 20993-2025 tillsynsbegäran.docx", "A 20993-2025")</f>
        <v/>
      </c>
      <c r="AD161">
        <f>HYPERLINK("https://klasma.github.io/Logging_0331/tillsynsmail/A 20993-2025 tillsynsbegäran mail.docx", "A 20993-2025")</f>
        <v/>
      </c>
      <c r="AE161">
        <f>HYPERLINK("https://klasma.github.io/Logging_0331/fåglar/A 20993-2025 prioriterade fågelarter.docx", "A 20993-2025")</f>
        <v/>
      </c>
    </row>
    <row r="162" ht="15" customHeight="1">
      <c r="A162" t="inlineStr">
        <is>
          <t>A 13287-2022</t>
        </is>
      </c>
      <c r="B162" t="inlineStr">
        <is>
          <t>avverkningsanmälan</t>
        </is>
      </c>
      <c r="C162" t="inlineStr">
        <is>
          <t>Föryngringsavverkning</t>
        </is>
      </c>
      <c r="D162" s="1" t="n">
        <v>44644</v>
      </c>
      <c r="E162" s="1" t="n">
        <v>46309</v>
      </c>
      <c r="F162" t="inlineStr">
        <is>
          <t>UPPSALA LÄN</t>
        </is>
      </c>
      <c r="G162" t="inlineStr">
        <is>
          <t>ÖSTHAMMAR</t>
        </is>
      </c>
      <c r="I162" t="n">
        <v>14.6</v>
      </c>
      <c r="J162" t="n">
        <v>0</v>
      </c>
      <c r="K162" t="n">
        <v>4</v>
      </c>
      <c r="L162" t="n">
        <v>2</v>
      </c>
      <c r="M162" t="n">
        <v>3</v>
      </c>
      <c r="N162" t="n">
        <v>0</v>
      </c>
      <c r="O162" t="n">
        <v>0</v>
      </c>
      <c r="P162" t="n">
        <v>0</v>
      </c>
      <c r="Q162" t="n">
        <v>5</v>
      </c>
      <c r="R162" t="n">
        <v>3</v>
      </c>
      <c r="S162" t="n">
        <v>9</v>
      </c>
      <c r="T162" t="n">
        <v>12</v>
      </c>
      <c r="U162" t="n">
        <v>0</v>
      </c>
      <c r="V162" s="2" t="inlineStr">
        <is>
          <t>Bullspindling
Duvspindling
Grangråticka
Blekspindling agg.
Äggspindling
Diskvaxskivling
Olivspindling
Rödgul trumpetsvamp
Svavelriska</t>
        </is>
      </c>
      <c r="W162">
        <f>HYPERLINK("https://klasma.github.io/Logging_0382/artfynd/A 13287-2022 artfynd.xlsx", "A 13287-2022")</f>
        <v/>
      </c>
      <c r="X162">
        <f>HYPERLINK("https://klasma.github.io/Logging_0382/kartor/A 13287-2022 karta.png", "A 13287-2022")</f>
        <v/>
      </c>
      <c r="Y162">
        <f>HYPERLINK("https://klasma.github.io/Logging_0382/kartor_geotiff/A 13287-2022 georefererad karta.tif", "A 13287-2022")</f>
        <v/>
      </c>
      <c r="AA162">
        <f>HYPERLINK("https://klasma.github.io/Logging_0382/klagomål/A 13287-2022 FSC-klagomål.docx", "A 13287-2022")</f>
        <v/>
      </c>
      <c r="AB162">
        <f>HYPERLINK("https://klasma.github.io/Logging_0382/klagomålsmail/A 13287-2022 FSC-klagomål mail.docx", "A 13287-2022")</f>
        <v/>
      </c>
      <c r="AC162">
        <f>HYPERLINK("https://klasma.github.io/Logging_0382/tillsyn/A 13287-2022 tillsynsbegäran.docx", "A 13287-2022")</f>
        <v/>
      </c>
      <c r="AD162">
        <f>HYPERLINK("https://klasma.github.io/Logging_0382/tillsynsmail/A 13287-2022 tillsynsbegäran mail.docx", "A 13287-2022")</f>
        <v/>
      </c>
    </row>
    <row r="163" ht="15" customHeight="1">
      <c r="A163" t="inlineStr">
        <is>
          <t>A 22535-2026</t>
        </is>
      </c>
      <c r="B163" t="inlineStr">
        <is>
          <t>avverkningsanmälan</t>
        </is>
      </c>
      <c r="C163" t="inlineStr">
        <is>
          <t>Föryngringsavverkning</t>
        </is>
      </c>
      <c r="D163" s="1" t="n">
        <v>46155</v>
      </c>
      <c r="E163" s="1" t="n">
        <v>46309</v>
      </c>
      <c r="F163" t="inlineStr">
        <is>
          <t>UPPSALA LÄN</t>
        </is>
      </c>
      <c r="G163" t="inlineStr">
        <is>
          <t>HEBY</t>
        </is>
      </c>
      <c r="I163" t="n">
        <v>15.1</v>
      </c>
      <c r="J163" t="n">
        <v>4</v>
      </c>
      <c r="K163" t="n">
        <v>1</v>
      </c>
      <c r="L163" t="n">
        <v>2</v>
      </c>
      <c r="M163" t="n">
        <v>1</v>
      </c>
      <c r="N163" t="n">
        <v>0</v>
      </c>
      <c r="O163" t="n">
        <v>0</v>
      </c>
      <c r="P163" t="n">
        <v>0</v>
      </c>
      <c r="Q163" t="n">
        <v>3</v>
      </c>
      <c r="R163" t="n">
        <v>1</v>
      </c>
      <c r="S163" t="n">
        <v>9</v>
      </c>
      <c r="T163" t="n">
        <v>31</v>
      </c>
      <c r="U163" t="n">
        <v>8</v>
      </c>
      <c r="V163" s="2" t="inlineStr">
        <is>
          <t>Skrovlig taggsvamp
Motaggsvamp
Talltita
Grönpyrola
Fönsterlav
Skogsstjärna
Tjäder
Tofsmes
Revlummer</t>
        </is>
      </c>
      <c r="W163">
        <f>HYPERLINK("https://klasma.github.io/Logging_0331/artfynd/A 22535-2026 artfynd.xlsx", "A 22535-2026")</f>
        <v/>
      </c>
      <c r="X163">
        <f>HYPERLINK("https://klasma.github.io/Logging_0331/kartor/A 22535-2026 karta.png", "A 22535-2026")</f>
        <v/>
      </c>
      <c r="Y163">
        <f>HYPERLINK("https://klasma.github.io/Logging_0331/kartor_geotiff/A 22535-2026 georefererad karta.tif", "A 22535-2026")</f>
        <v/>
      </c>
      <c r="AA163">
        <f>HYPERLINK("https://klasma.github.io/Logging_0331/klagomål/A 22535-2026 FSC-klagomål.docx", "A 22535-2026")</f>
        <v/>
      </c>
      <c r="AB163">
        <f>HYPERLINK("https://klasma.github.io/Logging_0331/klagomålsmail/A 22535-2026 FSC-klagomål mail.docx", "A 22535-2026")</f>
        <v/>
      </c>
      <c r="AC163">
        <f>HYPERLINK("https://klasma.github.io/Logging_0331/tillsyn/A 22535-2026 tillsynsbegäran.docx", "A 22535-2026")</f>
        <v/>
      </c>
      <c r="AD163">
        <f>HYPERLINK("https://klasma.github.io/Logging_0331/tillsynsmail/A 22535-2026 tillsynsbegäran mail.docx", "A 22535-2026")</f>
        <v/>
      </c>
      <c r="AE163">
        <f>HYPERLINK("https://klasma.github.io/Logging_0331/fåglar/A 22535-2026 prioriterade fågelarter.docx", "A 22535-2026")</f>
        <v/>
      </c>
    </row>
    <row r="164" ht="15" customHeight="1">
      <c r="A164" t="inlineStr">
        <is>
          <t>A 20980-2025</t>
        </is>
      </c>
      <c r="B164" t="inlineStr">
        <is>
          <t>avverkningsanmälan</t>
        </is>
      </c>
      <c r="C164" t="inlineStr">
        <is>
          <t>Föryngringsavverkning</t>
        </is>
      </c>
      <c r="D164" s="1" t="n">
        <v>45777</v>
      </c>
      <c r="E164" s="1" t="n">
        <v>46309</v>
      </c>
      <c r="F164" t="inlineStr">
        <is>
          <t>UPPSALA LÄN</t>
        </is>
      </c>
      <c r="G164" t="inlineStr">
        <is>
          <t>HEBY</t>
        </is>
      </c>
      <c r="I164" t="n">
        <v>10.6</v>
      </c>
      <c r="J164" t="n">
        <v>4</v>
      </c>
      <c r="K164" t="n">
        <v>3</v>
      </c>
      <c r="L164" t="n">
        <v>3</v>
      </c>
      <c r="M164" t="n">
        <v>1</v>
      </c>
      <c r="N164" t="n">
        <v>0</v>
      </c>
      <c r="O164" t="n">
        <v>0</v>
      </c>
      <c r="P164" t="n">
        <v>0</v>
      </c>
      <c r="Q164" t="n">
        <v>4</v>
      </c>
      <c r="R164" t="n">
        <v>1</v>
      </c>
      <c r="S164" t="n">
        <v>9</v>
      </c>
      <c r="T164" t="n">
        <v>28</v>
      </c>
      <c r="U164" t="n">
        <v>27</v>
      </c>
      <c r="V164" s="2" t="inlineStr">
        <is>
          <t>Knärot
Kattfotslav
Talltita
Ullticka
Flagellkvastmossa
Grönpyrola
Rostfläck
Järpe
Tjäder</t>
        </is>
      </c>
      <c r="W164">
        <f>HYPERLINK("https://klasma.github.io/Logging_0331/artfynd/A 20980-2025 artfynd.xlsx", "A 20980-2025")</f>
        <v/>
      </c>
      <c r="X164">
        <f>HYPERLINK("https://klasma.github.io/Logging_0331/kartor/A 20980-2025 karta.png", "A 20980-2025")</f>
        <v/>
      </c>
      <c r="Y164">
        <f>HYPERLINK("https://klasma.github.io/Logging_0331/kartor_geotiff/A 20980-2025 georefererad karta.tif", "A 20980-2025")</f>
        <v/>
      </c>
      <c r="Z164">
        <f>HYPERLINK("https://klasma.github.io/Logging_0331/knärot/A 20980-2025 karta knärot.png", "A 20980-2025")</f>
        <v/>
      </c>
      <c r="AA164">
        <f>HYPERLINK("https://klasma.github.io/Logging_0331/klagomål/A 20980-2025 FSC-klagomål.docx", "A 20980-2025")</f>
        <v/>
      </c>
      <c r="AB164">
        <f>HYPERLINK("https://klasma.github.io/Logging_0331/klagomålsmail/A 20980-2025 FSC-klagomål mail.docx", "A 20980-2025")</f>
        <v/>
      </c>
      <c r="AC164">
        <f>HYPERLINK("https://klasma.github.io/Logging_0331/tillsyn/A 20980-2025 tillsynsbegäran.docx", "A 20980-2025")</f>
        <v/>
      </c>
      <c r="AD164">
        <f>HYPERLINK("https://klasma.github.io/Logging_0331/tillsynsmail/A 20980-2025 tillsynsbegäran mail.docx", "A 20980-2025")</f>
        <v/>
      </c>
      <c r="AE164">
        <f>HYPERLINK("https://klasma.github.io/Logging_0331/fåglar/A 20980-2025 prioriterade fågelarter.docx", "A 20980-2025")</f>
        <v/>
      </c>
    </row>
    <row r="165" ht="15" customHeight="1">
      <c r="A165" t="inlineStr">
        <is>
          <t>A 26001-2026</t>
        </is>
      </c>
      <c r="B165" t="inlineStr">
        <is>
          <t>avverkningsanmälan</t>
        </is>
      </c>
      <c r="C165" t="inlineStr">
        <is>
          <t>Föryngringsavverkning</t>
        </is>
      </c>
      <c r="D165" s="1" t="n">
        <v>46181</v>
      </c>
      <c r="E165" s="1" t="n">
        <v>46309</v>
      </c>
      <c r="F165" t="inlineStr">
        <is>
          <t>UPPSALA LÄN</t>
        </is>
      </c>
      <c r="G165" t="inlineStr">
        <is>
          <t>UPPSALA</t>
        </is>
      </c>
      <c r="H165" t="inlineStr">
        <is>
          <t>Sveaskog</t>
        </is>
      </c>
      <c r="I165" t="n">
        <v>6.4</v>
      </c>
      <c r="J165" t="n">
        <v>1</v>
      </c>
      <c r="K165" t="n">
        <v>7</v>
      </c>
      <c r="L165" t="n">
        <v>1</v>
      </c>
      <c r="M165" t="n">
        <v>0</v>
      </c>
      <c r="N165" t="n">
        <v>0</v>
      </c>
      <c r="O165" t="n">
        <v>0</v>
      </c>
      <c r="P165" t="n">
        <v>0</v>
      </c>
      <c r="Q165" t="n">
        <v>1</v>
      </c>
      <c r="R165" t="n">
        <v>0</v>
      </c>
      <c r="S165" t="n">
        <v>9</v>
      </c>
      <c r="T165" t="n">
        <v>9</v>
      </c>
      <c r="U165" t="n">
        <v>0</v>
      </c>
      <c r="V165" s="2" t="inlineStr">
        <is>
          <t>Lunglav
Bronshjon
Bårdlav
Grönpyrola
Korallblylav
Mörk husmossa
Rökmusseron
Thomsons trägnagare
Blåsippa</t>
        </is>
      </c>
      <c r="W165">
        <f>HYPERLINK("https://klasma.github.io/Logging_0380/artfynd/A 26001-2026 artfynd.xlsx", "A 26001-2026")</f>
        <v/>
      </c>
      <c r="X165">
        <f>HYPERLINK("https://klasma.github.io/Logging_0380/kartor/A 26001-2026 karta.png", "A 26001-2026")</f>
        <v/>
      </c>
      <c r="Y165">
        <f>HYPERLINK("https://klasma.github.io/Logging_0380/kartor_geotiff/A 26001-2026 georefererad karta.tif", "A 26001-2026")</f>
        <v/>
      </c>
      <c r="AA165">
        <f>HYPERLINK("https://klasma.github.io/Logging_0380/klagomål/A 26001-2026 FSC-klagomål.docx", "A 26001-2026")</f>
        <v/>
      </c>
      <c r="AB165">
        <f>HYPERLINK("https://klasma.github.io/Logging_0380/klagomålsmail/A 26001-2026 FSC-klagomål mail.docx", "A 26001-2026")</f>
        <v/>
      </c>
      <c r="AC165">
        <f>HYPERLINK("https://klasma.github.io/Logging_0380/tillsyn/A 26001-2026 tillsynsbegäran.docx", "A 26001-2026")</f>
        <v/>
      </c>
      <c r="AD165">
        <f>HYPERLINK("https://klasma.github.io/Logging_0380/tillsynsmail/A 26001-2026 tillsynsbegäran mail.docx", "A 26001-2026")</f>
        <v/>
      </c>
    </row>
    <row r="166" ht="15" customHeight="1">
      <c r="A166" t="inlineStr">
        <is>
          <t>A 52808-2023</t>
        </is>
      </c>
      <c r="B166" t="inlineStr">
        <is>
          <t>avverkningsanmälan</t>
        </is>
      </c>
      <c r="C166" t="inlineStr">
        <is>
          <t>Föryngringsavverkning</t>
        </is>
      </c>
      <c r="D166" s="1" t="n">
        <v>45226</v>
      </c>
      <c r="E166" s="1" t="n">
        <v>46309</v>
      </c>
      <c r="F166" t="inlineStr">
        <is>
          <t>UPPSALA LÄN</t>
        </is>
      </c>
      <c r="G166" t="inlineStr">
        <is>
          <t>ÖSTHAMMAR</t>
        </is>
      </c>
      <c r="H166" t="inlineStr">
        <is>
          <t>Bergvik skog öst AB</t>
        </is>
      </c>
      <c r="I166" t="n">
        <v>20.2</v>
      </c>
      <c r="J166" t="n">
        <v>6</v>
      </c>
      <c r="K166" t="n">
        <v>2</v>
      </c>
      <c r="L166" t="n">
        <v>2</v>
      </c>
      <c r="M166" t="n">
        <v>1</v>
      </c>
      <c r="N166" t="n">
        <v>0</v>
      </c>
      <c r="O166" t="n">
        <v>0</v>
      </c>
      <c r="P166" t="n">
        <v>0</v>
      </c>
      <c r="Q166" t="n">
        <v>3</v>
      </c>
      <c r="R166" t="n">
        <v>1</v>
      </c>
      <c r="S166" t="n">
        <v>9</v>
      </c>
      <c r="T166" t="n">
        <v>63</v>
      </c>
      <c r="U166" t="n">
        <v>63</v>
      </c>
      <c r="V166" s="2" t="inlineStr">
        <is>
          <t>Knärot
Tretåig hackspett
Ullticka
Brandticka
Grönpyrola
Blåsippa
Spillkråka
Tjäder
Revlummer</t>
        </is>
      </c>
      <c r="W166">
        <f>HYPERLINK("https://klasma.github.io/Logging_0382/artfynd/A 52808-2023 artfynd.xlsx", "A 52808-2023")</f>
        <v/>
      </c>
      <c r="X166">
        <f>HYPERLINK("https://klasma.github.io/Logging_0382/kartor/A 52808-2023 karta.png", "A 52808-2023")</f>
        <v/>
      </c>
      <c r="Y166">
        <f>HYPERLINK("https://klasma.github.io/Logging_0382/kartor_geotiff/A 52808-2023 georefererad karta.tif", "A 52808-2023")</f>
        <v/>
      </c>
      <c r="Z166">
        <f>HYPERLINK("https://klasma.github.io/Logging_0382/knärot/A 52808-2023 karta knärot.png", "A 52808-2023")</f>
        <v/>
      </c>
      <c r="AA166">
        <f>HYPERLINK("https://klasma.github.io/Logging_0382/klagomål/A 52808-2023 FSC-klagomål.docx", "A 52808-2023")</f>
        <v/>
      </c>
      <c r="AB166">
        <f>HYPERLINK("https://klasma.github.io/Logging_0382/klagomålsmail/A 52808-2023 FSC-klagomål mail.docx", "A 52808-2023")</f>
        <v/>
      </c>
      <c r="AC166">
        <f>HYPERLINK("https://klasma.github.io/Logging_0382/tillsyn/A 52808-2023 tillsynsbegäran.docx", "A 52808-2023")</f>
        <v/>
      </c>
      <c r="AD166">
        <f>HYPERLINK("https://klasma.github.io/Logging_0382/tillsynsmail/A 52808-2023 tillsynsbegäran mail.docx", "A 52808-2023")</f>
        <v/>
      </c>
      <c r="AE166">
        <f>HYPERLINK("https://klasma.github.io/Logging_0382/fåglar/A 52808-2023 prioriterade fågelarter.docx", "A 52808-2023")</f>
        <v/>
      </c>
    </row>
    <row r="167" ht="15" customHeight="1">
      <c r="A167" t="inlineStr">
        <is>
          <t>A 28775-2026</t>
        </is>
      </c>
      <c r="B167" t="inlineStr">
        <is>
          <t>avverkningsanmälan</t>
        </is>
      </c>
      <c r="C167" t="inlineStr">
        <is>
          <t>Föryngringsavverkning</t>
        </is>
      </c>
      <c r="D167" s="1" t="n">
        <v>46198</v>
      </c>
      <c r="E167" s="1" t="n">
        <v>46309</v>
      </c>
      <c r="F167" t="inlineStr">
        <is>
          <t>UPPSALA LÄN</t>
        </is>
      </c>
      <c r="G167" t="inlineStr">
        <is>
          <t>UPPSALA</t>
        </is>
      </c>
      <c r="I167" t="n">
        <v>1.8</v>
      </c>
      <c r="J167" t="n">
        <v>1</v>
      </c>
      <c r="K167" t="n">
        <v>6</v>
      </c>
      <c r="L167" t="n">
        <v>2</v>
      </c>
      <c r="M167" t="n">
        <v>0</v>
      </c>
      <c r="N167" t="n">
        <v>0</v>
      </c>
      <c r="O167" t="n">
        <v>0</v>
      </c>
      <c r="P167" t="n">
        <v>0</v>
      </c>
      <c r="Q167" t="n">
        <v>2</v>
      </c>
      <c r="R167" t="n">
        <v>0</v>
      </c>
      <c r="S167" t="n">
        <v>9</v>
      </c>
      <c r="T167" t="n">
        <v>12</v>
      </c>
      <c r="U167" t="n">
        <v>12</v>
      </c>
      <c r="V167" s="2" t="inlineStr">
        <is>
          <t>Kötticka
Tallticka
Brandticka
Bronshjon
Granbarkgnagare
Grovticka
Källpraktmossa
Vågbandad barkbock
Spillkråka</t>
        </is>
      </c>
      <c r="W167">
        <f>HYPERLINK("https://klasma.github.io/Logging_0380/artfynd/A 28775-2026 artfynd.xlsx", "A 28775-2026")</f>
        <v/>
      </c>
      <c r="X167">
        <f>HYPERLINK("https://klasma.github.io/Logging_0380/kartor/A 28775-2026 karta.png", "A 28775-2026")</f>
        <v/>
      </c>
      <c r="Y167">
        <f>HYPERLINK("https://klasma.github.io/Logging_0380/kartor_geotiff/A 28775-2026 georefererad karta.tif", "A 28775-2026")</f>
        <v/>
      </c>
      <c r="AA167">
        <f>HYPERLINK("https://klasma.github.io/Logging_0380/klagomål/A 28775-2026 FSC-klagomål.docx", "A 28775-2026")</f>
        <v/>
      </c>
      <c r="AB167">
        <f>HYPERLINK("https://klasma.github.io/Logging_0380/klagomålsmail/A 28775-2026 FSC-klagomål mail.docx", "A 28775-2026")</f>
        <v/>
      </c>
      <c r="AC167">
        <f>HYPERLINK("https://klasma.github.io/Logging_0380/tillsyn/A 28775-2026 tillsynsbegäran.docx", "A 28775-2026")</f>
        <v/>
      </c>
      <c r="AD167">
        <f>HYPERLINK("https://klasma.github.io/Logging_0380/tillsynsmail/A 28775-2026 tillsynsbegäran mail.docx", "A 28775-2026")</f>
        <v/>
      </c>
      <c r="AE167">
        <f>HYPERLINK("https://klasma.github.io/Logging_0380/fåglar/A 28775-2026 prioriterade fågelarter.docx", "A 28775-2026")</f>
        <v/>
      </c>
    </row>
    <row r="168" ht="15" customHeight="1">
      <c r="A168" t="inlineStr">
        <is>
          <t>A 59538-2025</t>
        </is>
      </c>
      <c r="B168" t="inlineStr">
        <is>
          <t>avverkningsanmälan</t>
        </is>
      </c>
      <c r="C168" t="inlineStr">
        <is>
          <t>Föryngringsavverkning</t>
        </is>
      </c>
      <c r="D168" s="1" t="n">
        <v>45989</v>
      </c>
      <c r="E168" s="1" t="n">
        <v>46309</v>
      </c>
      <c r="F168" t="inlineStr">
        <is>
          <t>UPPSALA LÄN</t>
        </is>
      </c>
      <c r="G168" t="inlineStr">
        <is>
          <t>UPPSALA</t>
        </is>
      </c>
      <c r="I168" t="n">
        <v>4.3</v>
      </c>
      <c r="J168" t="n">
        <v>5</v>
      </c>
      <c r="K168" t="n">
        <v>3</v>
      </c>
      <c r="L168" t="n">
        <v>2</v>
      </c>
      <c r="M168" t="n">
        <v>1</v>
      </c>
      <c r="N168" t="n">
        <v>0</v>
      </c>
      <c r="O168" t="n">
        <v>0</v>
      </c>
      <c r="P168" t="n">
        <v>0</v>
      </c>
      <c r="Q168" t="n">
        <v>3</v>
      </c>
      <c r="R168" t="n">
        <v>1</v>
      </c>
      <c r="S168" t="n">
        <v>9</v>
      </c>
      <c r="T168" t="n">
        <v>18</v>
      </c>
      <c r="U168" t="n">
        <v>18</v>
      </c>
      <c r="V168" s="2" t="inlineStr">
        <is>
          <t>Knärot
Talltita
Ullticka
Bronshjon
Granbarkgnagare
Vågbandad barkbock
Spillkråka
Lopplummer (aggregat)
Revlummer</t>
        </is>
      </c>
      <c r="W168">
        <f>HYPERLINK("https://klasma.github.io/Logging_0380/artfynd/A 59538-2025 artfynd.xlsx", "A 59538-2025")</f>
        <v/>
      </c>
      <c r="X168">
        <f>HYPERLINK("https://klasma.github.io/Logging_0380/kartor/A 59538-2025 karta.png", "A 59538-2025")</f>
        <v/>
      </c>
      <c r="Y168">
        <f>HYPERLINK("https://klasma.github.io/Logging_0380/kartor_geotiff/A 59538-2025 georefererad karta.tif", "A 59538-2025")</f>
        <v/>
      </c>
      <c r="Z168">
        <f>HYPERLINK("https://klasma.github.io/Logging_0380/knärot/A 59538-2025 karta knärot.png", "A 59538-2025")</f>
        <v/>
      </c>
      <c r="AA168">
        <f>HYPERLINK("https://klasma.github.io/Logging_0380/klagomål/A 59538-2025 FSC-klagomål.docx", "A 59538-2025")</f>
        <v/>
      </c>
      <c r="AB168">
        <f>HYPERLINK("https://klasma.github.io/Logging_0380/klagomålsmail/A 59538-2025 FSC-klagomål mail.docx", "A 59538-2025")</f>
        <v/>
      </c>
      <c r="AC168">
        <f>HYPERLINK("https://klasma.github.io/Logging_0380/tillsyn/A 59538-2025 tillsynsbegäran.docx", "A 59538-2025")</f>
        <v/>
      </c>
      <c r="AD168">
        <f>HYPERLINK("https://klasma.github.io/Logging_0380/tillsynsmail/A 59538-2025 tillsynsbegäran mail.docx", "A 59538-2025")</f>
        <v/>
      </c>
      <c r="AE168">
        <f>HYPERLINK("https://klasma.github.io/Logging_0380/fåglar/A 59538-2025 prioriterade fågelarter.docx", "A 59538-2025")</f>
        <v/>
      </c>
    </row>
    <row r="169" ht="15" customHeight="1">
      <c r="A169" t="inlineStr">
        <is>
          <t>S 2780-2020</t>
        </is>
      </c>
      <c r="B169" t="inlineStr">
        <is>
          <t>samrådsanmälan</t>
        </is>
      </c>
      <c r="C169" t="inlineStr">
        <is>
          <t>Annan skogsbruksåtgärd</t>
        </is>
      </c>
      <c r="D169" s="1" t="n">
        <v>44194</v>
      </c>
      <c r="E169" s="1" t="n">
        <v>46309</v>
      </c>
      <c r="F169" t="inlineStr">
        <is>
          <t>UPPSALA LÄN</t>
        </is>
      </c>
      <c r="G169" t="inlineStr">
        <is>
          <t>ÖSTHAMMAR</t>
        </is>
      </c>
      <c r="I169" t="n">
        <v>3.7</v>
      </c>
      <c r="J169" t="n">
        <v>5</v>
      </c>
      <c r="K169" t="n">
        <v>3</v>
      </c>
      <c r="L169" t="n">
        <v>1</v>
      </c>
      <c r="M169" t="n">
        <v>0</v>
      </c>
      <c r="N169" t="n">
        <v>2</v>
      </c>
      <c r="O169" t="n">
        <v>0</v>
      </c>
      <c r="P169" t="n">
        <v>0</v>
      </c>
      <c r="Q169" t="n">
        <v>3</v>
      </c>
      <c r="R169" t="n">
        <v>2</v>
      </c>
      <c r="S169" t="n">
        <v>9</v>
      </c>
      <c r="T169" t="n">
        <v>23</v>
      </c>
      <c r="U169" t="n">
        <v>4</v>
      </c>
      <c r="V169" s="2" t="inlineStr">
        <is>
          <t>Ask
Skogsalm
Solvända
Guckusko
Skogsknipprot
Tibast
Blåsippa
Törnskata
Gullviva</t>
        </is>
      </c>
      <c r="W169">
        <f>HYPERLINK("https://klasma.github.io/Logging_0382/artfynd/S 2780-2020 artfynd.xlsx", "S 2780-2020")</f>
        <v/>
      </c>
      <c r="X169">
        <f>HYPERLINK("https://klasma.github.io/Logging_0382/kartor/S 2780-2020 karta.png", "S 2780-2020")</f>
        <v/>
      </c>
      <c r="Y169">
        <f>HYPERLINK("https://klasma.github.io/Logging_0382/kartor_geotiff/S 2780-2020 georefererad karta.tif", "S 2780-2020")</f>
        <v/>
      </c>
      <c r="AA169">
        <f>HYPERLINK("https://klasma.github.io/Logging_0382/klagomål/S 2780-2020 FSC-klagomål.docx", "S 2780-2020")</f>
        <v/>
      </c>
      <c r="AB169">
        <f>HYPERLINK("https://klasma.github.io/Logging_0382/klagomålsmail/S 2780-2020 FSC-klagomål mail.docx", "S 2780-2020")</f>
        <v/>
      </c>
      <c r="AC169">
        <f>HYPERLINK("https://klasma.github.io/Logging_0382/tillsyn/S 2780-2020 tillsynsbegäran.docx", "S 2780-2020")</f>
        <v/>
      </c>
      <c r="AD169">
        <f>HYPERLINK("https://klasma.github.io/Logging_0382/tillsynsmail/S 2780-2020 tillsynsbegäran mail.docx", "S 2780-2020")</f>
        <v/>
      </c>
      <c r="AE169">
        <f>HYPERLINK("https://klasma.github.io/Logging_0382/fåglar/S 2780-2020 prioriterade fågelarter.docx", "S 2780-2020")</f>
        <v/>
      </c>
    </row>
    <row r="170" ht="15" customHeight="1">
      <c r="A170" t="inlineStr">
        <is>
          <t>A 2534-2022</t>
        </is>
      </c>
      <c r="B170" t="inlineStr">
        <is>
          <t>avverkningsanmälan</t>
        </is>
      </c>
      <c r="C170" t="inlineStr">
        <is>
          <t>Föryngringsavverkning</t>
        </is>
      </c>
      <c r="D170" s="1" t="n">
        <v>44579</v>
      </c>
      <c r="E170" s="1" t="n">
        <v>46309</v>
      </c>
      <c r="F170" t="inlineStr">
        <is>
          <t>UPPSALA LÄN</t>
        </is>
      </c>
      <c r="G170" t="inlineStr">
        <is>
          <t>TIERP</t>
        </is>
      </c>
      <c r="I170" t="n">
        <v>7.1</v>
      </c>
      <c r="J170" t="n">
        <v>3</v>
      </c>
      <c r="K170" t="n">
        <v>2</v>
      </c>
      <c r="L170" t="n">
        <v>1</v>
      </c>
      <c r="M170" t="n">
        <v>1</v>
      </c>
      <c r="N170" t="n">
        <v>0</v>
      </c>
      <c r="O170" t="n">
        <v>0</v>
      </c>
      <c r="P170" t="n">
        <v>0</v>
      </c>
      <c r="Q170" t="n">
        <v>2</v>
      </c>
      <c r="R170" t="n">
        <v>1</v>
      </c>
      <c r="S170" t="n">
        <v>8</v>
      </c>
      <c r="T170" t="n">
        <v>11</v>
      </c>
      <c r="U170" t="n">
        <v>11</v>
      </c>
      <c r="V170" s="2" t="inlineStr">
        <is>
          <t>Knärot
Ullticka
Kransrams
Skogsknipprot
Blåsippa
Brudborste
Kransmossa
Linnea</t>
        </is>
      </c>
      <c r="W170">
        <f>HYPERLINK("https://klasma.github.io/Logging_0360/artfynd/A 2534-2022 artfynd.xlsx", "A 2534-2022")</f>
        <v/>
      </c>
      <c r="X170">
        <f>HYPERLINK("https://klasma.github.io/Logging_0360/kartor/A 2534-2022 karta.png", "A 2534-2022")</f>
        <v/>
      </c>
      <c r="Y170">
        <f>HYPERLINK("https://klasma.github.io/Logging_0360/kartor_geotiff/A 2534-2022 georefererad karta.tif", "A 2534-2022")</f>
        <v/>
      </c>
      <c r="Z170">
        <f>HYPERLINK("https://klasma.github.io/Logging_0360/knärot/A 2534-2022 karta knärot.png", "A 2534-2022")</f>
        <v/>
      </c>
      <c r="AA170">
        <f>HYPERLINK("https://klasma.github.io/Logging_0360/klagomål/A 2534-2022 FSC-klagomål.docx", "A 2534-2022")</f>
        <v/>
      </c>
      <c r="AB170">
        <f>HYPERLINK("https://klasma.github.io/Logging_0360/klagomålsmail/A 2534-2022 FSC-klagomål mail.docx", "A 2534-2022")</f>
        <v/>
      </c>
      <c r="AC170">
        <f>HYPERLINK("https://klasma.github.io/Logging_0360/tillsyn/A 2534-2022 tillsynsbegäran.docx", "A 2534-2022")</f>
        <v/>
      </c>
      <c r="AD170">
        <f>HYPERLINK("https://klasma.github.io/Logging_0360/tillsynsmail/A 2534-2022 tillsynsbegäran mail.docx", "A 2534-2022")</f>
        <v/>
      </c>
    </row>
    <row r="171" ht="15" customHeight="1">
      <c r="A171" t="inlineStr">
        <is>
          <t>A 1725-2022</t>
        </is>
      </c>
      <c r="B171" t="inlineStr">
        <is>
          <t>avverkningsanmälan</t>
        </is>
      </c>
      <c r="C171" t="inlineStr">
        <is>
          <t>Föryngringsavverkning</t>
        </is>
      </c>
      <c r="D171" s="1" t="n">
        <v>44574</v>
      </c>
      <c r="E171" s="1" t="n">
        <v>46309</v>
      </c>
      <c r="F171" t="inlineStr">
        <is>
          <t>UPPSALA LÄN</t>
        </is>
      </c>
      <c r="G171" t="inlineStr">
        <is>
          <t>UPPSALA</t>
        </is>
      </c>
      <c r="I171" t="n">
        <v>6.1</v>
      </c>
      <c r="J171" t="n">
        <v>3</v>
      </c>
      <c r="K171" t="n">
        <v>4</v>
      </c>
      <c r="L171" t="n">
        <v>1</v>
      </c>
      <c r="M171" t="n">
        <v>1</v>
      </c>
      <c r="N171" t="n">
        <v>0</v>
      </c>
      <c r="O171" t="n">
        <v>0</v>
      </c>
      <c r="P171" t="n">
        <v>0</v>
      </c>
      <c r="Q171" t="n">
        <v>2</v>
      </c>
      <c r="R171" t="n">
        <v>1</v>
      </c>
      <c r="S171" t="n">
        <v>8</v>
      </c>
      <c r="T171" t="n">
        <v>12</v>
      </c>
      <c r="U171" t="n">
        <v>1</v>
      </c>
      <c r="V171" s="2" t="inlineStr">
        <is>
          <t>Rökpipsvamp
Fjällig taggsvamp s.str.
Fällmossa
Grön sköldmossa
Platt fjädermossa
Stubbspretmossa
Blåsippa
Järpe</t>
        </is>
      </c>
      <c r="W171">
        <f>HYPERLINK("https://klasma.github.io/Logging_0380/artfynd/A 1725-2022 artfynd.xlsx", "A 1725-2022")</f>
        <v/>
      </c>
      <c r="X171">
        <f>HYPERLINK("https://klasma.github.io/Logging_0380/kartor/A 1725-2022 karta.png", "A 1725-2022")</f>
        <v/>
      </c>
      <c r="Y171">
        <f>HYPERLINK("https://klasma.github.io/Logging_0380/kartor_geotiff/A 1725-2022 georefererad karta.tif", "A 1725-2022")</f>
        <v/>
      </c>
      <c r="AA171">
        <f>HYPERLINK("https://klasma.github.io/Logging_0380/klagomål/A 1725-2022 FSC-klagomål.docx", "A 1725-2022")</f>
        <v/>
      </c>
      <c r="AB171">
        <f>HYPERLINK("https://klasma.github.io/Logging_0380/klagomålsmail/A 1725-2022 FSC-klagomål mail.docx", "A 1725-2022")</f>
        <v/>
      </c>
      <c r="AC171">
        <f>HYPERLINK("https://klasma.github.io/Logging_0380/tillsyn/A 1725-2022 tillsynsbegäran.docx", "A 1725-2022")</f>
        <v/>
      </c>
      <c r="AD171">
        <f>HYPERLINK("https://klasma.github.io/Logging_0380/tillsynsmail/A 1725-2022 tillsynsbegäran mail.docx", "A 1725-2022")</f>
        <v/>
      </c>
      <c r="AE171">
        <f>HYPERLINK("https://klasma.github.io/Logging_0380/fåglar/A 1725-2022 prioriterade fågelarter.docx", "A 1725-2022")</f>
        <v/>
      </c>
    </row>
    <row r="172" ht="15" customHeight="1">
      <c r="A172" t="inlineStr">
        <is>
          <t>A 60805-2022</t>
        </is>
      </c>
      <c r="B172" t="inlineStr">
        <is>
          <t>avverkningsanmälan</t>
        </is>
      </c>
      <c r="C172" t="inlineStr">
        <is>
          <t>Föryngringsavverkning</t>
        </is>
      </c>
      <c r="D172" s="1" t="n">
        <v>44914</v>
      </c>
      <c r="E172" s="1" t="n">
        <v>46309</v>
      </c>
      <c r="F172" t="inlineStr">
        <is>
          <t>UPPSALA LÄN</t>
        </is>
      </c>
      <c r="G172" t="inlineStr">
        <is>
          <t>HEBY</t>
        </is>
      </c>
      <c r="I172" t="n">
        <v>6.8</v>
      </c>
      <c r="J172" t="n">
        <v>1</v>
      </c>
      <c r="K172" t="n">
        <v>4</v>
      </c>
      <c r="L172" t="n">
        <v>3</v>
      </c>
      <c r="M172" t="n">
        <v>1</v>
      </c>
      <c r="N172" t="n">
        <v>0</v>
      </c>
      <c r="O172" t="n">
        <v>0</v>
      </c>
      <c r="P172" t="n">
        <v>0</v>
      </c>
      <c r="Q172" t="n">
        <v>4</v>
      </c>
      <c r="R172" t="n">
        <v>1</v>
      </c>
      <c r="S172" t="n">
        <v>8</v>
      </c>
      <c r="T172" t="n">
        <v>12</v>
      </c>
      <c r="U172" t="n">
        <v>0</v>
      </c>
      <c r="V172" s="2" t="inlineStr">
        <is>
          <t>Knärot
Kandelabersvamp
Rynkskinn
Ullticka
Aspvedgnagare
Bronshjon
Thomsons trägnagare
Vedticka</t>
        </is>
      </c>
      <c r="W172">
        <f>HYPERLINK("https://klasma.github.io/Logging_0331/artfynd/A 60805-2022 artfynd.xlsx", "A 60805-2022")</f>
        <v/>
      </c>
      <c r="X172">
        <f>HYPERLINK("https://klasma.github.io/Logging_0331/kartor/A 60805-2022 karta.png", "A 60805-2022")</f>
        <v/>
      </c>
      <c r="Y172">
        <f>HYPERLINK("https://klasma.github.io/Logging_0331/kartor_geotiff/A 60805-2022 georefererad karta.tif", "A 60805-2022")</f>
        <v/>
      </c>
      <c r="Z172">
        <f>HYPERLINK("https://klasma.github.io/Logging_0331/knärot/A 60805-2022 karta knärot.png", "A 60805-2022")</f>
        <v/>
      </c>
      <c r="AA172">
        <f>HYPERLINK("https://klasma.github.io/Logging_0331/klagomål/A 60805-2022 FSC-klagomål.docx", "A 60805-2022")</f>
        <v/>
      </c>
      <c r="AB172">
        <f>HYPERLINK("https://klasma.github.io/Logging_0331/klagomålsmail/A 60805-2022 FSC-klagomål mail.docx", "A 60805-2022")</f>
        <v/>
      </c>
      <c r="AC172">
        <f>HYPERLINK("https://klasma.github.io/Logging_0331/tillsyn/A 60805-2022 tillsynsbegäran.docx", "A 60805-2022")</f>
        <v/>
      </c>
      <c r="AD172">
        <f>HYPERLINK("https://klasma.github.io/Logging_0331/tillsynsmail/A 60805-2022 tillsynsbegäran mail.docx", "A 60805-2022")</f>
        <v/>
      </c>
    </row>
    <row r="173" ht="15" customHeight="1">
      <c r="A173" t="inlineStr">
        <is>
          <t>A 23498-2023</t>
        </is>
      </c>
      <c r="B173" t="inlineStr">
        <is>
          <t>avverkningsanmälan</t>
        </is>
      </c>
      <c r="C173" t="inlineStr">
        <is>
          <t>Föryngringsavverkning</t>
        </is>
      </c>
      <c r="D173" s="1" t="n">
        <v>45076</v>
      </c>
      <c r="E173" s="1" t="n">
        <v>46309</v>
      </c>
      <c r="F173" t="inlineStr">
        <is>
          <t>UPPSALA LÄN</t>
        </is>
      </c>
      <c r="G173" t="inlineStr">
        <is>
          <t>ÖSTHAMMAR</t>
        </is>
      </c>
      <c r="H173" t="inlineStr">
        <is>
          <t>Sveaskog</t>
        </is>
      </c>
      <c r="I173" t="n">
        <v>1.4</v>
      </c>
      <c r="J173" t="n">
        <v>8</v>
      </c>
      <c r="K173" t="n">
        <v>0</v>
      </c>
      <c r="L173" t="n">
        <v>3</v>
      </c>
      <c r="M173" t="n">
        <v>2</v>
      </c>
      <c r="N173" t="n">
        <v>0</v>
      </c>
      <c r="O173" t="n">
        <v>0</v>
      </c>
      <c r="P173" t="n">
        <v>0</v>
      </c>
      <c r="Q173" t="n">
        <v>5</v>
      </c>
      <c r="R173" t="n">
        <v>2</v>
      </c>
      <c r="S173" t="n">
        <v>8</v>
      </c>
      <c r="T173" t="n">
        <v>10</v>
      </c>
      <c r="U173" t="n">
        <v>0</v>
      </c>
      <c r="V173" s="2" t="inlineStr">
        <is>
          <t>Gråtrut
Grönfink
Gulsparv
Järnsparv
Talltita
Grönsiska
Svartvit flugsnappare
Trana</t>
        </is>
      </c>
      <c r="W173">
        <f>HYPERLINK("https://klasma.github.io/Logging_0382/artfynd/A 23498-2023 artfynd.xlsx", "A 23498-2023")</f>
        <v/>
      </c>
      <c r="X173">
        <f>HYPERLINK("https://klasma.github.io/Logging_0382/kartor/A 23498-2023 karta.png", "A 23498-2023")</f>
        <v/>
      </c>
      <c r="Y173">
        <f>HYPERLINK("https://klasma.github.io/Logging_0382/kartor_geotiff/A 23498-2023 georefererad karta.tif", "A 23498-2023")</f>
        <v/>
      </c>
      <c r="AA173">
        <f>HYPERLINK("https://klasma.github.io/Logging_0382/klagomål/A 23498-2023 FSC-klagomål.docx", "A 23498-2023")</f>
        <v/>
      </c>
      <c r="AB173">
        <f>HYPERLINK("https://klasma.github.io/Logging_0382/klagomålsmail/A 23498-2023 FSC-klagomål mail.docx", "A 23498-2023")</f>
        <v/>
      </c>
      <c r="AC173">
        <f>HYPERLINK("https://klasma.github.io/Logging_0382/tillsyn/A 23498-2023 tillsynsbegäran.docx", "A 23498-2023")</f>
        <v/>
      </c>
      <c r="AD173">
        <f>HYPERLINK("https://klasma.github.io/Logging_0382/tillsynsmail/A 23498-2023 tillsynsbegäran mail.docx", "A 23498-2023")</f>
        <v/>
      </c>
      <c r="AE173">
        <f>HYPERLINK("https://klasma.github.io/Logging_0382/fåglar/A 23498-2023 prioriterade fågelarter.docx", "A 23498-2023")</f>
        <v/>
      </c>
    </row>
    <row r="174" ht="15" customHeight="1">
      <c r="A174" t="inlineStr">
        <is>
          <t>A 2214-2026</t>
        </is>
      </c>
      <c r="B174" t="inlineStr">
        <is>
          <t>avverkningsanmälan</t>
        </is>
      </c>
      <c r="C174" t="inlineStr">
        <is>
          <t>Avverkning för annat ändamål</t>
        </is>
      </c>
      <c r="D174" s="1" t="n">
        <v>46036</v>
      </c>
      <c r="E174" s="1" t="n">
        <v>46309</v>
      </c>
      <c r="F174" t="inlineStr">
        <is>
          <t>UPPSALA LÄN</t>
        </is>
      </c>
      <c r="G174" t="inlineStr">
        <is>
          <t>KNIVSTA</t>
        </is>
      </c>
      <c r="I174" t="n">
        <v>4.4</v>
      </c>
      <c r="J174" t="n">
        <v>2</v>
      </c>
      <c r="K174" t="n">
        <v>1</v>
      </c>
      <c r="L174" t="n">
        <v>5</v>
      </c>
      <c r="M174" t="n">
        <v>1</v>
      </c>
      <c r="N174" t="n">
        <v>0</v>
      </c>
      <c r="O174" t="n">
        <v>0</v>
      </c>
      <c r="P174" t="n">
        <v>0</v>
      </c>
      <c r="Q174" t="n">
        <v>6</v>
      </c>
      <c r="R174" t="n">
        <v>1</v>
      </c>
      <c r="S174" t="n">
        <v>8</v>
      </c>
      <c r="T174" t="n">
        <v>19</v>
      </c>
      <c r="U174" t="n">
        <v>9</v>
      </c>
      <c r="V174" s="2" t="inlineStr">
        <is>
          <t>Knärot
Dropptaggsvamp
Motaggsvamp
Tallticka
Ullticka
Vintertagging
Blomkålssvamp
Fläcknycklar</t>
        </is>
      </c>
      <c r="W174">
        <f>HYPERLINK("https://klasma.github.io/Logging_0330/artfynd/A 2214-2026 artfynd.xlsx", "A 2214-2026")</f>
        <v/>
      </c>
      <c r="X174">
        <f>HYPERLINK("https://klasma.github.io/Logging_0330/kartor/A 2214-2026 karta.png", "A 2214-2026")</f>
        <v/>
      </c>
      <c r="Y174">
        <f>HYPERLINK("https://klasma.github.io/Logging_0330/kartor_geotiff/A 2214-2026 georefererad karta.tif", "A 2214-2026")</f>
        <v/>
      </c>
      <c r="Z174">
        <f>HYPERLINK("https://klasma.github.io/Logging_0330/knärot/A 2214-2026 karta knärot.png", "A 2214-2026")</f>
        <v/>
      </c>
      <c r="AA174">
        <f>HYPERLINK("https://klasma.github.io/Logging_0330/klagomål/A 2214-2026 FSC-klagomål.docx", "A 2214-2026")</f>
        <v/>
      </c>
      <c r="AB174">
        <f>HYPERLINK("https://klasma.github.io/Logging_0330/klagomålsmail/A 2214-2026 FSC-klagomål mail.docx", "A 2214-2026")</f>
        <v/>
      </c>
      <c r="AC174">
        <f>HYPERLINK("https://klasma.github.io/Logging_0330/tillsyn/A 2214-2026 tillsynsbegäran.docx", "A 2214-2026")</f>
        <v/>
      </c>
      <c r="AD174">
        <f>HYPERLINK("https://klasma.github.io/Logging_0330/tillsynsmail/A 2214-2026 tillsynsbegäran mail.docx", "A 2214-2026")</f>
        <v/>
      </c>
    </row>
    <row r="175" ht="15" customHeight="1">
      <c r="A175" t="inlineStr">
        <is>
          <t>A 34798-2024</t>
        </is>
      </c>
      <c r="B175" t="inlineStr">
        <is>
          <t>avverkningsanmälan</t>
        </is>
      </c>
      <c r="C175" t="inlineStr">
        <is>
          <t>Föryngringsavverkning</t>
        </is>
      </c>
      <c r="D175" s="1" t="n">
        <v>45526</v>
      </c>
      <c r="E175" s="1" t="n">
        <v>46309</v>
      </c>
      <c r="F175" t="inlineStr">
        <is>
          <t>UPPSALA LÄN</t>
        </is>
      </c>
      <c r="G175" t="inlineStr">
        <is>
          <t>ÄLVKARLEBY</t>
        </is>
      </c>
      <c r="H175" t="inlineStr">
        <is>
          <t>Bergvik skog väst AB</t>
        </is>
      </c>
      <c r="I175" t="n">
        <v>13.8</v>
      </c>
      <c r="J175" t="n">
        <v>2</v>
      </c>
      <c r="K175" t="n">
        <v>3</v>
      </c>
      <c r="L175" t="n">
        <v>2</v>
      </c>
      <c r="M175" t="n">
        <v>1</v>
      </c>
      <c r="N175" t="n">
        <v>0</v>
      </c>
      <c r="O175" t="n">
        <v>0</v>
      </c>
      <c r="P175" t="n">
        <v>0</v>
      </c>
      <c r="Q175" t="n">
        <v>3</v>
      </c>
      <c r="R175" t="n">
        <v>1</v>
      </c>
      <c r="S175" t="n">
        <v>8</v>
      </c>
      <c r="T175" t="n">
        <v>11</v>
      </c>
      <c r="U175" t="n">
        <v>0</v>
      </c>
      <c r="V175" s="2" t="inlineStr">
        <is>
          <t>Aspfjädermossa
Gullpudra
Lunglav
Rödgul trumpetsvamp
Tibast
Vätteros
Gråspett
Lopplummer (aggregat)</t>
        </is>
      </c>
      <c r="W175">
        <f>HYPERLINK("https://klasma.github.io/Logging_0319/artfynd/A 34798-2024 artfynd.xlsx", "A 34798-2024")</f>
        <v/>
      </c>
      <c r="X175">
        <f>HYPERLINK("https://klasma.github.io/Logging_0319/kartor/A 34798-2024 karta.png", "A 34798-2024")</f>
        <v/>
      </c>
      <c r="Y175">
        <f>HYPERLINK("https://klasma.github.io/Logging_0319/kartor_geotiff/A 34798-2024 georefererad karta.tif", "A 34798-2024")</f>
        <v/>
      </c>
      <c r="AA175">
        <f>HYPERLINK("https://klasma.github.io/Logging_0319/klagomål/A 34798-2024 FSC-klagomål.docx", "A 34798-2024")</f>
        <v/>
      </c>
      <c r="AB175">
        <f>HYPERLINK("https://klasma.github.io/Logging_0319/klagomålsmail/A 34798-2024 FSC-klagomål mail.docx", "A 34798-2024")</f>
        <v/>
      </c>
      <c r="AC175">
        <f>HYPERLINK("https://klasma.github.io/Logging_0319/tillsyn/A 34798-2024 tillsynsbegäran.docx", "A 34798-2024")</f>
        <v/>
      </c>
      <c r="AD175">
        <f>HYPERLINK("https://klasma.github.io/Logging_0319/tillsynsmail/A 34798-2024 tillsynsbegäran mail.docx", "A 34798-2024")</f>
        <v/>
      </c>
      <c r="AE175">
        <f>HYPERLINK("https://klasma.github.io/Logging_0319/fåglar/A 34798-2024 prioriterade fågelarter.docx", "A 34798-2024")</f>
        <v/>
      </c>
    </row>
    <row r="176" ht="15" customHeight="1">
      <c r="A176" t="inlineStr">
        <is>
          <t>A 5454-2022</t>
        </is>
      </c>
      <c r="B176" t="inlineStr">
        <is>
          <t>avverkningsanmälan</t>
        </is>
      </c>
      <c r="C176" t="inlineStr">
        <is>
          <t>Föryngringsavverkning</t>
        </is>
      </c>
      <c r="D176" s="1" t="n">
        <v>44595</v>
      </c>
      <c r="E176" s="1" t="n">
        <v>46309</v>
      </c>
      <c r="F176" t="inlineStr">
        <is>
          <t>UPPSALA LÄN</t>
        </is>
      </c>
      <c r="G176" t="inlineStr">
        <is>
          <t>TIERP</t>
        </is>
      </c>
      <c r="I176" t="n">
        <v>2</v>
      </c>
      <c r="J176" t="n">
        <v>2</v>
      </c>
      <c r="K176" t="n">
        <v>4</v>
      </c>
      <c r="L176" t="n">
        <v>3</v>
      </c>
      <c r="M176" t="n">
        <v>1</v>
      </c>
      <c r="N176" t="n">
        <v>0</v>
      </c>
      <c r="O176" t="n">
        <v>0</v>
      </c>
      <c r="P176" t="n">
        <v>0</v>
      </c>
      <c r="Q176" t="n">
        <v>4</v>
      </c>
      <c r="R176" t="n">
        <v>1</v>
      </c>
      <c r="S176" t="n">
        <v>8</v>
      </c>
      <c r="T176" t="n">
        <v>14</v>
      </c>
      <c r="U176" t="n">
        <v>8</v>
      </c>
      <c r="V176" s="2" t="inlineStr">
        <is>
          <t>Knärot
Gultoppig fingersvamp
Vedflikmossa
Vedtrappmossa
Anisspindling
Rödgul trumpetsvamp
Skogsknipprot
Tibast</t>
        </is>
      </c>
      <c r="W176">
        <f>HYPERLINK("https://klasma.github.io/Logging_0360/artfynd/A 5454-2022 artfynd.xlsx", "A 5454-2022")</f>
        <v/>
      </c>
      <c r="X176">
        <f>HYPERLINK("https://klasma.github.io/Logging_0360/kartor/A 5454-2022 karta.png", "A 5454-2022")</f>
        <v/>
      </c>
      <c r="Y176">
        <f>HYPERLINK("https://klasma.github.io/Logging_0360/kartor_geotiff/A 5454-2022 georefererad karta.tif", "A 5454-2022")</f>
        <v/>
      </c>
      <c r="Z176">
        <f>HYPERLINK("https://klasma.github.io/Logging_0360/knärot/A 5454-2022 karta knärot.png", "A 5454-2022")</f>
        <v/>
      </c>
      <c r="AA176">
        <f>HYPERLINK("https://klasma.github.io/Logging_0360/klagomål/A 5454-2022 FSC-klagomål.docx", "A 5454-2022")</f>
        <v/>
      </c>
      <c r="AB176">
        <f>HYPERLINK("https://klasma.github.io/Logging_0360/klagomålsmail/A 5454-2022 FSC-klagomål mail.docx", "A 5454-2022")</f>
        <v/>
      </c>
      <c r="AC176">
        <f>HYPERLINK("https://klasma.github.io/Logging_0360/tillsyn/A 5454-2022 tillsynsbegäran.docx", "A 5454-2022")</f>
        <v/>
      </c>
      <c r="AD176">
        <f>HYPERLINK("https://klasma.github.io/Logging_0360/tillsynsmail/A 5454-2022 tillsynsbegäran mail.docx", "A 5454-2022")</f>
        <v/>
      </c>
    </row>
    <row r="177" ht="15" customHeight="1">
      <c r="A177" t="inlineStr">
        <is>
          <t>A 58545-2025</t>
        </is>
      </c>
      <c r="B177" t="inlineStr">
        <is>
          <t>avverkningsanmälan</t>
        </is>
      </c>
      <c r="C177" t="inlineStr">
        <is>
          <t>Föryngringsavverkning</t>
        </is>
      </c>
      <c r="D177" s="1" t="n">
        <v>45985</v>
      </c>
      <c r="E177" s="1" t="n">
        <v>46309</v>
      </c>
      <c r="F177" t="inlineStr">
        <is>
          <t>UPPSALA LÄN</t>
        </is>
      </c>
      <c r="G177" t="inlineStr">
        <is>
          <t>UPPSALA</t>
        </is>
      </c>
      <c r="I177" t="n">
        <v>2.5</v>
      </c>
      <c r="J177" t="n">
        <v>4</v>
      </c>
      <c r="K177" t="n">
        <v>1</v>
      </c>
      <c r="L177" t="n">
        <v>3</v>
      </c>
      <c r="M177" t="n">
        <v>1</v>
      </c>
      <c r="N177" t="n">
        <v>0</v>
      </c>
      <c r="O177" t="n">
        <v>0</v>
      </c>
      <c r="P177" t="n">
        <v>0</v>
      </c>
      <c r="Q177" t="n">
        <v>4</v>
      </c>
      <c r="R177" t="n">
        <v>1</v>
      </c>
      <c r="S177" t="n">
        <v>8</v>
      </c>
      <c r="T177" t="n">
        <v>18</v>
      </c>
      <c r="U177" t="n">
        <v>18</v>
      </c>
      <c r="V177" s="2" t="inlineStr">
        <is>
          <t>Knärot
Rynkskinn
Ullticka
Vedtrappmossa
Rödgul trumpetsvamp
Blåsippa
Spillkråka
Revlummer</t>
        </is>
      </c>
      <c r="W177">
        <f>HYPERLINK("https://klasma.github.io/Logging_0380/artfynd/A 58545-2025 artfynd.xlsx", "A 58545-2025")</f>
        <v/>
      </c>
      <c r="X177">
        <f>HYPERLINK("https://klasma.github.io/Logging_0380/kartor/A 58545-2025 karta.png", "A 58545-2025")</f>
        <v/>
      </c>
      <c r="Y177">
        <f>HYPERLINK("https://klasma.github.io/Logging_0380/kartor_geotiff/A 58545-2025 georefererad karta.tif", "A 58545-2025")</f>
        <v/>
      </c>
      <c r="Z177">
        <f>HYPERLINK("https://klasma.github.io/Logging_0380/knärot/A 58545-2025 karta knärot.png", "A 58545-2025")</f>
        <v/>
      </c>
      <c r="AA177">
        <f>HYPERLINK("https://klasma.github.io/Logging_0380/klagomål/A 58545-2025 FSC-klagomål.docx", "A 58545-2025")</f>
        <v/>
      </c>
      <c r="AB177">
        <f>HYPERLINK("https://klasma.github.io/Logging_0380/klagomålsmail/A 58545-2025 FSC-klagomål mail.docx", "A 58545-2025")</f>
        <v/>
      </c>
      <c r="AC177">
        <f>HYPERLINK("https://klasma.github.io/Logging_0380/tillsyn/A 58545-2025 tillsynsbegäran.docx", "A 58545-2025")</f>
        <v/>
      </c>
      <c r="AD177">
        <f>HYPERLINK("https://klasma.github.io/Logging_0380/tillsynsmail/A 58545-2025 tillsynsbegäran mail.docx", "A 58545-2025")</f>
        <v/>
      </c>
      <c r="AE177">
        <f>HYPERLINK("https://klasma.github.io/Logging_0380/fåglar/A 58545-2025 prioriterade fågelarter.docx", "A 58545-2025")</f>
        <v/>
      </c>
    </row>
    <row r="178" ht="15" customHeight="1">
      <c r="A178" t="inlineStr">
        <is>
          <t>A 7366-2023</t>
        </is>
      </c>
      <c r="B178" t="inlineStr">
        <is>
          <t>avverkningsanmälan</t>
        </is>
      </c>
      <c r="C178" t="inlineStr">
        <is>
          <t>Föryngringsavverkning</t>
        </is>
      </c>
      <c r="D178" s="1" t="n">
        <v>44966</v>
      </c>
      <c r="E178" s="1" t="n">
        <v>46309</v>
      </c>
      <c r="F178" t="inlineStr">
        <is>
          <t>UPPSALA LÄN</t>
        </is>
      </c>
      <c r="G178" t="inlineStr">
        <is>
          <t>TIERP</t>
        </is>
      </c>
      <c r="I178" t="n">
        <v>10.3</v>
      </c>
      <c r="J178" t="n">
        <v>2</v>
      </c>
      <c r="K178" t="n">
        <v>3</v>
      </c>
      <c r="L178" t="n">
        <v>1</v>
      </c>
      <c r="M178" t="n">
        <v>2</v>
      </c>
      <c r="N178" t="n">
        <v>1</v>
      </c>
      <c r="O178" t="n">
        <v>0</v>
      </c>
      <c r="P178" t="n">
        <v>0</v>
      </c>
      <c r="Q178" t="n">
        <v>4</v>
      </c>
      <c r="R178" t="n">
        <v>3</v>
      </c>
      <c r="S178" t="n">
        <v>8</v>
      </c>
      <c r="T178" t="n">
        <v>8</v>
      </c>
      <c r="U178" t="n">
        <v>0</v>
      </c>
      <c r="V178" s="2" t="inlineStr">
        <is>
          <t>Hålrot
Garnlav
Knärot
Tallticka
Blomkålssvamp
Grönpyrola
Trådticka
Revlummer</t>
        </is>
      </c>
      <c r="W178">
        <f>HYPERLINK("https://klasma.github.io/Logging_0360/artfynd/A 7366-2023 artfynd.xlsx", "A 7366-2023")</f>
        <v/>
      </c>
      <c r="X178">
        <f>HYPERLINK("https://klasma.github.io/Logging_0360/kartor/A 7366-2023 karta.png", "A 7366-2023")</f>
        <v/>
      </c>
      <c r="Y178">
        <f>HYPERLINK("https://klasma.github.io/Logging_0360/kartor_geotiff/A 7366-2023 georefererad karta.tif", "A 7366-2023")</f>
        <v/>
      </c>
      <c r="Z178">
        <f>HYPERLINK("https://klasma.github.io/Logging_0360/knärot/A 7366-2023 karta knärot.png", "A 7366-2023")</f>
        <v/>
      </c>
      <c r="AA178">
        <f>HYPERLINK("https://klasma.github.io/Logging_0360/klagomål/A 7366-2023 FSC-klagomål.docx", "A 7366-2023")</f>
        <v/>
      </c>
      <c r="AB178">
        <f>HYPERLINK("https://klasma.github.io/Logging_0360/klagomålsmail/A 7366-2023 FSC-klagomål mail.docx", "A 7366-2023")</f>
        <v/>
      </c>
      <c r="AC178">
        <f>HYPERLINK("https://klasma.github.io/Logging_0360/tillsyn/A 7366-2023 tillsynsbegäran.docx", "A 7366-2023")</f>
        <v/>
      </c>
      <c r="AD178">
        <f>HYPERLINK("https://klasma.github.io/Logging_0360/tillsynsmail/A 7366-2023 tillsynsbegäran mail.docx", "A 7366-2023")</f>
        <v/>
      </c>
    </row>
    <row r="179" ht="15" customHeight="1">
      <c r="A179" t="inlineStr">
        <is>
          <t>A 35383-2026</t>
        </is>
      </c>
      <c r="B179" t="inlineStr">
        <is>
          <t>avverkningsanmälan</t>
        </is>
      </c>
      <c r="C179" t="inlineStr">
        <is>
          <t>Föryngringsavverkning</t>
        </is>
      </c>
      <c r="D179" s="1" t="n">
        <v>46261</v>
      </c>
      <c r="E179" s="1" t="n">
        <v>46309</v>
      </c>
      <c r="F179" t="inlineStr">
        <is>
          <t>UPPSALA LÄN</t>
        </is>
      </c>
      <c r="G179" t="inlineStr">
        <is>
          <t>TIERP</t>
        </is>
      </c>
      <c r="H179" t="inlineStr">
        <is>
          <t>Bergvik skog öst AB</t>
        </is>
      </c>
      <c r="I179" t="n">
        <v>2.3</v>
      </c>
      <c r="J179" t="n">
        <v>4</v>
      </c>
      <c r="K179" t="n">
        <v>4</v>
      </c>
      <c r="L179" t="n">
        <v>1</v>
      </c>
      <c r="M179" t="n">
        <v>0</v>
      </c>
      <c r="N179" t="n">
        <v>0</v>
      </c>
      <c r="O179" t="n">
        <v>0</v>
      </c>
      <c r="P179" t="n">
        <v>0</v>
      </c>
      <c r="Q179" t="n">
        <v>1</v>
      </c>
      <c r="R179" t="n">
        <v>0</v>
      </c>
      <c r="S179" t="n">
        <v>8</v>
      </c>
      <c r="T179" t="n">
        <v>11</v>
      </c>
      <c r="U179" t="n">
        <v>0</v>
      </c>
      <c r="V179" s="2" t="inlineStr">
        <is>
          <t>Ängsstarr
Gräsull
Kärrkammossa
Olivspindling
Tvåblad
Brudsporre
Vanliga ängsnycklar
Ängsnycklar</t>
        </is>
      </c>
      <c r="W179">
        <f>HYPERLINK("https://klasma.github.io/Logging_0360/artfynd/A 35383-2026 artfynd.xlsx", "A 35383-2026")</f>
        <v/>
      </c>
      <c r="X179">
        <f>HYPERLINK("https://klasma.github.io/Logging_0360/kartor/A 35383-2026 karta.png", "A 35383-2026")</f>
        <v/>
      </c>
      <c r="Y179">
        <f>HYPERLINK("https://klasma.github.io/Logging_0360/kartor_geotiff/A 35383-2026 georefererad karta.tif", "A 35383-2026")</f>
        <v/>
      </c>
      <c r="AA179">
        <f>HYPERLINK("https://klasma.github.io/Logging_0360/klagomål/A 35383-2026 FSC-klagomål.docx", "A 35383-2026")</f>
        <v/>
      </c>
      <c r="AB179">
        <f>HYPERLINK("https://klasma.github.io/Logging_0360/klagomålsmail/A 35383-2026 FSC-klagomål mail.docx", "A 35383-2026")</f>
        <v/>
      </c>
      <c r="AC179">
        <f>HYPERLINK("https://klasma.github.io/Logging_0360/tillsyn/A 35383-2026 tillsynsbegäran.docx", "A 35383-2026")</f>
        <v/>
      </c>
      <c r="AD179">
        <f>HYPERLINK("https://klasma.github.io/Logging_0360/tillsynsmail/A 35383-2026 tillsynsbegäran mail.docx", "A 35383-2026")</f>
        <v/>
      </c>
    </row>
    <row r="180" ht="15" customHeight="1">
      <c r="A180" t="inlineStr">
        <is>
          <t>S 1478-2022</t>
        </is>
      </c>
      <c r="B180" t="inlineStr">
        <is>
          <t>samrådsanmälan</t>
        </is>
      </c>
      <c r="C180" t="inlineStr">
        <is>
          <t>Åtgärd i nyckelbiotop</t>
        </is>
      </c>
      <c r="D180" s="1" t="n">
        <v>44636</v>
      </c>
      <c r="E180" s="1" t="n">
        <v>46309</v>
      </c>
      <c r="F180" t="inlineStr">
        <is>
          <t>UPPSALA LÄN</t>
        </is>
      </c>
      <c r="G180" t="inlineStr">
        <is>
          <t>ÖSTHAMMAR</t>
        </is>
      </c>
      <c r="I180" t="n">
        <v>0.9</v>
      </c>
      <c r="J180" t="n">
        <v>0</v>
      </c>
      <c r="K180" t="n">
        <v>1</v>
      </c>
      <c r="L180" t="n">
        <v>3</v>
      </c>
      <c r="M180" t="n">
        <v>3</v>
      </c>
      <c r="N180" t="n">
        <v>1</v>
      </c>
      <c r="O180" t="n">
        <v>0</v>
      </c>
      <c r="P180" t="n">
        <v>0</v>
      </c>
      <c r="Q180" t="n">
        <v>7</v>
      </c>
      <c r="R180" t="n">
        <v>4</v>
      </c>
      <c r="S180" t="n">
        <v>8</v>
      </c>
      <c r="T180" t="n">
        <v>8</v>
      </c>
      <c r="U180" t="n">
        <v>8</v>
      </c>
      <c r="V180" s="2" t="inlineStr">
        <is>
          <t>Koppartaggsvamp
Granrotspindling
Kopparspindling
Taggfingersvamp
Gultoppig fingersvamp
Orange taggsvamp
Skarp dropptaggsvamp
Olivspindling</t>
        </is>
      </c>
      <c r="W180">
        <f>HYPERLINK("https://klasma.github.io/Logging_0382/artfynd/S 1478-2022 artfynd.xlsx", "S 1478-2022")</f>
        <v/>
      </c>
      <c r="X180">
        <f>HYPERLINK("https://klasma.github.io/Logging_0382/kartor/S 1478-2022 karta.png", "S 1478-2022")</f>
        <v/>
      </c>
      <c r="Y180">
        <f>HYPERLINK("https://klasma.github.io/Logging_0382/kartor_geotiff/S 1478-2022 georefererad karta.tif", "S 1478-2022")</f>
        <v/>
      </c>
      <c r="AA180">
        <f>HYPERLINK("https://klasma.github.io/Logging_0382/klagomål/S 1478-2022 FSC-klagomål.docx", "S 1478-2022")</f>
        <v/>
      </c>
      <c r="AB180">
        <f>HYPERLINK("https://klasma.github.io/Logging_0382/klagomålsmail/S 1478-2022 FSC-klagomål mail.docx", "S 1478-2022")</f>
        <v/>
      </c>
      <c r="AC180">
        <f>HYPERLINK("https://klasma.github.io/Logging_0382/tillsyn/S 1478-2022 tillsynsbegäran.docx", "S 1478-2022")</f>
        <v/>
      </c>
      <c r="AD180">
        <f>HYPERLINK("https://klasma.github.io/Logging_0382/tillsynsmail/S 1478-2022 tillsynsbegäran mail.docx", "S 1478-2022")</f>
        <v/>
      </c>
    </row>
    <row r="181" ht="15" customHeight="1">
      <c r="A181" t="inlineStr">
        <is>
          <t>S 1588-2026</t>
        </is>
      </c>
      <c r="B181" t="inlineStr">
        <is>
          <t>samrådsanmälan</t>
        </is>
      </c>
      <c r="C181" t="inlineStr">
        <is>
          <t>Annan skogsbruksåtgärd</t>
        </is>
      </c>
      <c r="D181" s="1" t="n">
        <v>46170</v>
      </c>
      <c r="E181" s="1" t="n">
        <v>46309</v>
      </c>
      <c r="F181" t="inlineStr">
        <is>
          <t>UPPSALA LÄN</t>
        </is>
      </c>
      <c r="G181" t="inlineStr">
        <is>
          <t>ÖSTHAMMAR</t>
        </is>
      </c>
      <c r="I181" t="n">
        <v>2.8</v>
      </c>
      <c r="J181" t="n">
        <v>3</v>
      </c>
      <c r="K181" t="n">
        <v>3</v>
      </c>
      <c r="L181" t="n">
        <v>2</v>
      </c>
      <c r="M181" t="n">
        <v>0</v>
      </c>
      <c r="N181" t="n">
        <v>1</v>
      </c>
      <c r="O181" t="n">
        <v>0</v>
      </c>
      <c r="P181" t="n">
        <v>0</v>
      </c>
      <c r="Q181" t="n">
        <v>3</v>
      </c>
      <c r="R181" t="n">
        <v>1</v>
      </c>
      <c r="S181" t="n">
        <v>8</v>
      </c>
      <c r="T181" t="n">
        <v>10</v>
      </c>
      <c r="U181" t="n">
        <v>0</v>
      </c>
      <c r="V181" s="2" t="inlineStr">
        <is>
          <t>Spricktaggsvamp
Talltita
Ullticka
Brandticka
Svavelriska
Zontaggsvamp
Blåsippa
Spillkråka</t>
        </is>
      </c>
      <c r="W181">
        <f>HYPERLINK("https://klasma.github.io/Logging_0382/artfynd/S 1588-2026 artfynd.xlsx", "S 1588-2026")</f>
        <v/>
      </c>
      <c r="X181">
        <f>HYPERLINK("https://klasma.github.io/Logging_0382/kartor/S 1588-2026 karta.png", "S 1588-2026")</f>
        <v/>
      </c>
      <c r="Y181">
        <f>HYPERLINK("https://klasma.github.io/Logging_0382/kartor_geotiff/S 1588-2026 georefererad karta.tif", "S 1588-2026")</f>
        <v/>
      </c>
      <c r="AA181">
        <f>HYPERLINK("https://klasma.github.io/Logging_0382/klagomål/S 1588-2026 FSC-klagomål.docx", "S 1588-2026")</f>
        <v/>
      </c>
      <c r="AB181">
        <f>HYPERLINK("https://klasma.github.io/Logging_0382/klagomålsmail/S 1588-2026 FSC-klagomål mail.docx", "S 1588-2026")</f>
        <v/>
      </c>
      <c r="AC181">
        <f>HYPERLINK("https://klasma.github.io/Logging_0382/tillsyn/S 1588-2026 tillsynsbegäran.docx", "S 1588-2026")</f>
        <v/>
      </c>
      <c r="AD181">
        <f>HYPERLINK("https://klasma.github.io/Logging_0382/tillsynsmail/S 1588-2026 tillsynsbegäran mail.docx", "S 1588-2026")</f>
        <v/>
      </c>
      <c r="AE181">
        <f>HYPERLINK("https://klasma.github.io/Logging_0382/fåglar/S 1588-2026 prioriterade fågelarter.docx", "S 1588-2026")</f>
        <v/>
      </c>
    </row>
    <row r="182" ht="15" customHeight="1">
      <c r="A182" t="inlineStr">
        <is>
          <t>A 64002-2025</t>
        </is>
      </c>
      <c r="B182" t="inlineStr">
        <is>
          <t>avverkningsanmälan</t>
        </is>
      </c>
      <c r="C182" t="inlineStr">
        <is>
          <t>Föryngringsavverkning</t>
        </is>
      </c>
      <c r="D182" s="1" t="n">
        <v>46021</v>
      </c>
      <c r="E182" s="1" t="n">
        <v>46309</v>
      </c>
      <c r="F182" t="inlineStr">
        <is>
          <t>UPPSALA LÄN</t>
        </is>
      </c>
      <c r="G182" t="inlineStr">
        <is>
          <t>TIERP</t>
        </is>
      </c>
      <c r="H182" t="inlineStr">
        <is>
          <t>Bergvik skog öst AB</t>
        </is>
      </c>
      <c r="I182" t="n">
        <v>6.2</v>
      </c>
      <c r="J182" t="n">
        <v>2</v>
      </c>
      <c r="K182" t="n">
        <v>4</v>
      </c>
      <c r="L182" t="n">
        <v>2</v>
      </c>
      <c r="M182" t="n">
        <v>0</v>
      </c>
      <c r="N182" t="n">
        <v>0</v>
      </c>
      <c r="O182" t="n">
        <v>0</v>
      </c>
      <c r="P182" t="n">
        <v>0</v>
      </c>
      <c r="Q182" t="n">
        <v>2</v>
      </c>
      <c r="R182" t="n">
        <v>0</v>
      </c>
      <c r="S182" t="n">
        <v>7</v>
      </c>
      <c r="T182" t="n">
        <v>9</v>
      </c>
      <c r="U182" t="n">
        <v>0</v>
      </c>
      <c r="V182" s="2" t="inlineStr">
        <is>
          <t>Gullpudra
Loppstarr
Axag
Nästrot
Svart trolldruva
Tibast
Nattviol</t>
        </is>
      </c>
      <c r="W182">
        <f>HYPERLINK("https://klasma.github.io/Logging_0360/artfynd/A 64002-2025 artfynd.xlsx", "A 64002-2025")</f>
        <v/>
      </c>
      <c r="X182">
        <f>HYPERLINK("https://klasma.github.io/Logging_0360/kartor/A 64002-2025 karta.png", "A 64002-2025")</f>
        <v/>
      </c>
      <c r="Y182">
        <f>HYPERLINK("https://klasma.github.io/Logging_0360/kartor_geotiff/A 64002-2025 georefererad karta.tif", "A 64002-2025")</f>
        <v/>
      </c>
      <c r="AA182">
        <f>HYPERLINK("https://klasma.github.io/Logging_0360/klagomål/A 64002-2025 FSC-klagomål.docx", "A 64002-2025")</f>
        <v/>
      </c>
      <c r="AB182">
        <f>HYPERLINK("https://klasma.github.io/Logging_0360/klagomålsmail/A 64002-2025 FSC-klagomål mail.docx", "A 64002-2025")</f>
        <v/>
      </c>
      <c r="AC182">
        <f>HYPERLINK("https://klasma.github.io/Logging_0360/tillsyn/A 64002-2025 tillsynsbegäran.docx", "A 64002-2025")</f>
        <v/>
      </c>
      <c r="AD182">
        <f>HYPERLINK("https://klasma.github.io/Logging_0360/tillsynsmail/A 64002-2025 tillsynsbegäran mail.docx", "A 64002-2025")</f>
        <v/>
      </c>
    </row>
    <row r="183" ht="15" customHeight="1">
      <c r="A183" t="inlineStr">
        <is>
          <t>A 5967-2023</t>
        </is>
      </c>
      <c r="B183" t="inlineStr">
        <is>
          <t>avverkningsanmälan</t>
        </is>
      </c>
      <c r="C183" t="inlineStr">
        <is>
          <t>Föryngringsavverkning</t>
        </is>
      </c>
      <c r="D183" s="1" t="n">
        <v>44964</v>
      </c>
      <c r="E183" s="1" t="n">
        <v>46309</v>
      </c>
      <c r="F183" t="inlineStr">
        <is>
          <t>UPPSALA LÄN</t>
        </is>
      </c>
      <c r="G183" t="inlineStr">
        <is>
          <t>TIERP</t>
        </is>
      </c>
      <c r="I183" t="n">
        <v>2.1</v>
      </c>
      <c r="J183" t="n">
        <v>0</v>
      </c>
      <c r="K183" t="n">
        <v>3</v>
      </c>
      <c r="L183" t="n">
        <v>2</v>
      </c>
      <c r="M183" t="n">
        <v>0</v>
      </c>
      <c r="N183" t="n">
        <v>2</v>
      </c>
      <c r="O183" t="n">
        <v>0</v>
      </c>
      <c r="P183" t="n">
        <v>0</v>
      </c>
      <c r="Q183" t="n">
        <v>4</v>
      </c>
      <c r="R183" t="n">
        <v>2</v>
      </c>
      <c r="S183" t="n">
        <v>7</v>
      </c>
      <c r="T183" t="n">
        <v>7</v>
      </c>
      <c r="U183" t="n">
        <v>0</v>
      </c>
      <c r="V183" s="2" t="inlineStr">
        <is>
          <t>Lilaköttig taggsvamp
Ruttaggsvamp
Dropptaggsvamp
Svartvit taggsvamp
Brandmusseron
Rödgul trumpetsvamp
Trådticka</t>
        </is>
      </c>
      <c r="W183">
        <f>HYPERLINK("https://klasma.github.io/Logging_0360/artfynd/A 5967-2023 artfynd.xlsx", "A 5967-2023")</f>
        <v/>
      </c>
      <c r="X183">
        <f>HYPERLINK("https://klasma.github.io/Logging_0360/kartor/A 5967-2023 karta.png", "A 5967-2023")</f>
        <v/>
      </c>
      <c r="Y183">
        <f>HYPERLINK("https://klasma.github.io/Logging_0360/kartor_geotiff/A 5967-2023 georefererad karta.tif", "A 5967-2023")</f>
        <v/>
      </c>
      <c r="AA183">
        <f>HYPERLINK("https://klasma.github.io/Logging_0360/klagomål/A 5967-2023 FSC-klagomål.docx", "A 5967-2023")</f>
        <v/>
      </c>
      <c r="AB183">
        <f>HYPERLINK("https://klasma.github.io/Logging_0360/klagomålsmail/A 5967-2023 FSC-klagomål mail.docx", "A 5967-2023")</f>
        <v/>
      </c>
      <c r="AC183">
        <f>HYPERLINK("https://klasma.github.io/Logging_0360/tillsyn/A 5967-2023 tillsynsbegäran.docx", "A 5967-2023")</f>
        <v/>
      </c>
      <c r="AD183">
        <f>HYPERLINK("https://klasma.github.io/Logging_0360/tillsynsmail/A 5967-2023 tillsynsbegäran mail.docx", "A 5967-2023")</f>
        <v/>
      </c>
    </row>
    <row r="184" ht="15" customHeight="1">
      <c r="A184" t="inlineStr">
        <is>
          <t>A 56363-2025</t>
        </is>
      </c>
      <c r="B184" t="inlineStr">
        <is>
          <t>avverkningsanmälan</t>
        </is>
      </c>
      <c r="C184" t="inlineStr">
        <is>
          <t>Föryngringsavverkning</t>
        </is>
      </c>
      <c r="D184" s="1" t="n">
        <v>45974</v>
      </c>
      <c r="E184" s="1" t="n">
        <v>46309</v>
      </c>
      <c r="F184" t="inlineStr">
        <is>
          <t>UPPSALA LÄN</t>
        </is>
      </c>
      <c r="G184" t="inlineStr">
        <is>
          <t>UPPSALA</t>
        </is>
      </c>
      <c r="I184" t="n">
        <v>3.1</v>
      </c>
      <c r="J184" t="n">
        <v>2</v>
      </c>
      <c r="K184" t="n">
        <v>3</v>
      </c>
      <c r="L184" t="n">
        <v>3</v>
      </c>
      <c r="M184" t="n">
        <v>0</v>
      </c>
      <c r="N184" t="n">
        <v>0</v>
      </c>
      <c r="O184" t="n">
        <v>0</v>
      </c>
      <c r="P184" t="n">
        <v>0</v>
      </c>
      <c r="Q184" t="n">
        <v>3</v>
      </c>
      <c r="R184" t="n">
        <v>0</v>
      </c>
      <c r="S184" t="n">
        <v>7</v>
      </c>
      <c r="T184" t="n">
        <v>15</v>
      </c>
      <c r="U184" t="n">
        <v>15</v>
      </c>
      <c r="V184" s="2" t="inlineStr">
        <is>
          <t>Rynkskinn
Talltita
Ullticka
Björksplintborre
Granbarkgnagare
Vågbandad barkbock
Spillkråka</t>
        </is>
      </c>
      <c r="W184">
        <f>HYPERLINK("https://klasma.github.io/Logging_0380/artfynd/A 56363-2025 artfynd.xlsx", "A 56363-2025")</f>
        <v/>
      </c>
      <c r="X184">
        <f>HYPERLINK("https://klasma.github.io/Logging_0380/kartor/A 56363-2025 karta.png", "A 56363-2025")</f>
        <v/>
      </c>
      <c r="Y184">
        <f>HYPERLINK("https://klasma.github.io/Logging_0380/kartor_geotiff/A 56363-2025 georefererad karta.tif", "A 56363-2025")</f>
        <v/>
      </c>
      <c r="AA184">
        <f>HYPERLINK("https://klasma.github.io/Logging_0380/klagomål/A 56363-2025 FSC-klagomål.docx", "A 56363-2025")</f>
        <v/>
      </c>
      <c r="AB184">
        <f>HYPERLINK("https://klasma.github.io/Logging_0380/klagomålsmail/A 56363-2025 FSC-klagomål mail.docx", "A 56363-2025")</f>
        <v/>
      </c>
      <c r="AC184">
        <f>HYPERLINK("https://klasma.github.io/Logging_0380/tillsyn/A 56363-2025 tillsynsbegäran.docx", "A 56363-2025")</f>
        <v/>
      </c>
      <c r="AD184">
        <f>HYPERLINK("https://klasma.github.io/Logging_0380/tillsynsmail/A 56363-2025 tillsynsbegäran mail.docx", "A 56363-2025")</f>
        <v/>
      </c>
      <c r="AE184">
        <f>HYPERLINK("https://klasma.github.io/Logging_0380/fåglar/A 56363-2025 prioriterade fågelarter.docx", "A 56363-2025")</f>
        <v/>
      </c>
    </row>
    <row r="185" ht="15" customHeight="1">
      <c r="A185" t="inlineStr">
        <is>
          <t>A 9569-2026</t>
        </is>
      </c>
      <c r="B185" t="inlineStr">
        <is>
          <t>avverkningsanmälan</t>
        </is>
      </c>
      <c r="C185" t="inlineStr">
        <is>
          <t>Föryngringsavverkning</t>
        </is>
      </c>
      <c r="D185" s="1" t="n">
        <v>46071</v>
      </c>
      <c r="E185" s="1" t="n">
        <v>46309</v>
      </c>
      <c r="F185" t="inlineStr">
        <is>
          <t>UPPSALA LÄN</t>
        </is>
      </c>
      <c r="G185" t="inlineStr">
        <is>
          <t>ÖSTHAMMAR</t>
        </is>
      </c>
      <c r="I185" t="n">
        <v>1.4</v>
      </c>
      <c r="J185" t="n">
        <v>0</v>
      </c>
      <c r="K185" t="n">
        <v>3</v>
      </c>
      <c r="L185" t="n">
        <v>2</v>
      </c>
      <c r="M185" t="n">
        <v>0</v>
      </c>
      <c r="N185" t="n">
        <v>2</v>
      </c>
      <c r="O185" t="n">
        <v>0</v>
      </c>
      <c r="P185" t="n">
        <v>0</v>
      </c>
      <c r="Q185" t="n">
        <v>4</v>
      </c>
      <c r="R185" t="n">
        <v>2</v>
      </c>
      <c r="S185" t="n">
        <v>7</v>
      </c>
      <c r="T185" t="n">
        <v>8</v>
      </c>
      <c r="U185" t="n">
        <v>0</v>
      </c>
      <c r="V185" s="2" t="inlineStr">
        <is>
          <t>Gyllenfingersvamp
Koppartaggsvamp
Skarp dropptaggsvamp
Äggspindling
Anisspindling
Olivspindling
Trådticka</t>
        </is>
      </c>
      <c r="W185">
        <f>HYPERLINK("https://klasma.github.io/Logging_0382/artfynd/A 9569-2026 artfynd.xlsx", "A 9569-2026")</f>
        <v/>
      </c>
      <c r="X185">
        <f>HYPERLINK("https://klasma.github.io/Logging_0382/kartor/A 9569-2026 karta.png", "A 9569-2026")</f>
        <v/>
      </c>
      <c r="Y185">
        <f>HYPERLINK("https://klasma.github.io/Logging_0382/kartor_geotiff/A 9569-2026 georefererad karta.tif", "A 9569-2026")</f>
        <v/>
      </c>
      <c r="AA185">
        <f>HYPERLINK("https://klasma.github.io/Logging_0382/klagomål/A 9569-2026 FSC-klagomål.docx", "A 9569-2026")</f>
        <v/>
      </c>
      <c r="AB185">
        <f>HYPERLINK("https://klasma.github.io/Logging_0382/klagomålsmail/A 9569-2026 FSC-klagomål mail.docx", "A 9569-2026")</f>
        <v/>
      </c>
      <c r="AC185">
        <f>HYPERLINK("https://klasma.github.io/Logging_0382/tillsyn/A 9569-2026 tillsynsbegäran.docx", "A 9569-2026")</f>
        <v/>
      </c>
      <c r="AD185">
        <f>HYPERLINK("https://klasma.github.io/Logging_0382/tillsynsmail/A 9569-2026 tillsynsbegäran mail.docx", "A 9569-2026")</f>
        <v/>
      </c>
    </row>
    <row r="186" ht="15" customHeight="1">
      <c r="A186" t="inlineStr">
        <is>
          <t>A 3952-2025</t>
        </is>
      </c>
      <c r="B186" t="inlineStr">
        <is>
          <t>avverkningsanmälan</t>
        </is>
      </c>
      <c r="C186" t="inlineStr">
        <is>
          <t>Avverkning för annat ändamål</t>
        </is>
      </c>
      <c r="D186" s="1" t="n">
        <v>45684</v>
      </c>
      <c r="E186" s="1" t="n">
        <v>46309</v>
      </c>
      <c r="F186" t="inlineStr">
        <is>
          <t>UPPSALA LÄN</t>
        </is>
      </c>
      <c r="G186" t="inlineStr">
        <is>
          <t>ÄLVKARLEBY</t>
        </is>
      </c>
      <c r="I186" t="n">
        <v>1.5</v>
      </c>
      <c r="J186" t="n">
        <v>4</v>
      </c>
      <c r="K186" t="n">
        <v>2</v>
      </c>
      <c r="L186" t="n">
        <v>1</v>
      </c>
      <c r="M186" t="n">
        <v>2</v>
      </c>
      <c r="N186" t="n">
        <v>0</v>
      </c>
      <c r="O186" t="n">
        <v>0</v>
      </c>
      <c r="P186" t="n">
        <v>0</v>
      </c>
      <c r="Q186" t="n">
        <v>3</v>
      </c>
      <c r="R186" t="n">
        <v>2</v>
      </c>
      <c r="S186" t="n">
        <v>7</v>
      </c>
      <c r="T186" t="n">
        <v>22</v>
      </c>
      <c r="U186" t="n">
        <v>0</v>
      </c>
      <c r="V186" s="2" t="inlineStr">
        <is>
          <t>Mindre bastardsvärmare
Sexfläckig bastardsvärmare
Vanlig sandviol
Skogsknipprot
Tvåblad
Kärrknipprot
Ängsnycklar</t>
        </is>
      </c>
      <c r="W186">
        <f>HYPERLINK("https://klasma.github.io/Logging_0319/artfynd/A 3952-2025 artfynd.xlsx", "A 3952-2025")</f>
        <v/>
      </c>
      <c r="X186">
        <f>HYPERLINK("https://klasma.github.io/Logging_0319/kartor/A 3952-2025 karta.png", "A 3952-2025")</f>
        <v/>
      </c>
      <c r="Y186">
        <f>HYPERLINK("https://klasma.github.io/Logging_0319/kartor_geotiff/A 3952-2025 georefererad karta.tif", "A 3952-2025")</f>
        <v/>
      </c>
      <c r="AA186">
        <f>HYPERLINK("https://klasma.github.io/Logging_0319/klagomål/A 3952-2025 FSC-klagomål.docx", "A 3952-2025")</f>
        <v/>
      </c>
      <c r="AB186">
        <f>HYPERLINK("https://klasma.github.io/Logging_0319/klagomålsmail/A 3952-2025 FSC-klagomål mail.docx", "A 3952-2025")</f>
        <v/>
      </c>
      <c r="AC186">
        <f>HYPERLINK("https://klasma.github.io/Logging_0319/tillsyn/A 3952-2025 tillsynsbegäran.docx", "A 3952-2025")</f>
        <v/>
      </c>
      <c r="AD186">
        <f>HYPERLINK("https://klasma.github.io/Logging_0319/tillsynsmail/A 3952-2025 tillsynsbegäran mail.docx", "A 3952-2025")</f>
        <v/>
      </c>
    </row>
    <row r="187" ht="15" customHeight="1">
      <c r="A187" t="inlineStr">
        <is>
          <t>A 6180-2026</t>
        </is>
      </c>
      <c r="B187" t="inlineStr">
        <is>
          <t>avverkningsanmälan</t>
        </is>
      </c>
      <c r="C187" t="inlineStr">
        <is>
          <t>Föryngringsavverkning</t>
        </is>
      </c>
      <c r="D187" s="1" t="n">
        <v>46055</v>
      </c>
      <c r="E187" s="1" t="n">
        <v>46309</v>
      </c>
      <c r="F187" t="inlineStr">
        <is>
          <t>UPPSALA LÄN</t>
        </is>
      </c>
      <c r="G187" t="inlineStr">
        <is>
          <t>UPPSALA</t>
        </is>
      </c>
      <c r="H187" t="inlineStr">
        <is>
          <t>Allmännings- och besparingsskogar</t>
        </is>
      </c>
      <c r="I187" t="n">
        <v>11.4</v>
      </c>
      <c r="J187" t="n">
        <v>4</v>
      </c>
      <c r="K187" t="n">
        <v>1</v>
      </c>
      <c r="L187" t="n">
        <v>3</v>
      </c>
      <c r="M187" t="n">
        <v>1</v>
      </c>
      <c r="N187" t="n">
        <v>0</v>
      </c>
      <c r="O187" t="n">
        <v>0</v>
      </c>
      <c r="P187" t="n">
        <v>0</v>
      </c>
      <c r="Q187" t="n">
        <v>4</v>
      </c>
      <c r="R187" t="n">
        <v>1</v>
      </c>
      <c r="S187" t="n">
        <v>7</v>
      </c>
      <c r="T187" t="n">
        <v>10</v>
      </c>
      <c r="U187" t="n">
        <v>8</v>
      </c>
      <c r="V187" s="2" t="inlineStr">
        <is>
          <t>Knärot
Rynkskinn
Talltita
Ullticka
Granbarkgnagare
Blåsippa
Spillkråka</t>
        </is>
      </c>
      <c r="W187">
        <f>HYPERLINK("https://klasma.github.io/Logging_0380/artfynd/A 6180-2026 artfynd.xlsx", "A 6180-2026")</f>
        <v/>
      </c>
      <c r="X187">
        <f>HYPERLINK("https://klasma.github.io/Logging_0380/kartor/A 6180-2026 karta.png", "A 6180-2026")</f>
        <v/>
      </c>
      <c r="Y187">
        <f>HYPERLINK("https://klasma.github.io/Logging_0380/kartor_geotiff/A 6180-2026 georefererad karta.tif", "A 6180-2026")</f>
        <v/>
      </c>
      <c r="Z187">
        <f>HYPERLINK("https://klasma.github.io/Logging_0380/knärot/A 6180-2026 karta knärot.png", "A 6180-2026")</f>
        <v/>
      </c>
      <c r="AA187">
        <f>HYPERLINK("https://klasma.github.io/Logging_0380/klagomål/A 6180-2026 FSC-klagomål.docx", "A 6180-2026")</f>
        <v/>
      </c>
      <c r="AB187">
        <f>HYPERLINK("https://klasma.github.io/Logging_0380/klagomålsmail/A 6180-2026 FSC-klagomål mail.docx", "A 6180-2026")</f>
        <v/>
      </c>
      <c r="AC187">
        <f>HYPERLINK("https://klasma.github.io/Logging_0380/tillsyn/A 6180-2026 tillsynsbegäran.docx", "A 6180-2026")</f>
        <v/>
      </c>
      <c r="AD187">
        <f>HYPERLINK("https://klasma.github.io/Logging_0380/tillsynsmail/A 6180-2026 tillsynsbegäran mail.docx", "A 6180-2026")</f>
        <v/>
      </c>
      <c r="AE187">
        <f>HYPERLINK("https://klasma.github.io/Logging_0380/fåglar/A 6180-2026 prioriterade fågelarter.docx", "A 6180-2026")</f>
        <v/>
      </c>
    </row>
    <row r="188" ht="15" customHeight="1">
      <c r="A188" t="inlineStr">
        <is>
          <t>A 33800-2024</t>
        </is>
      </c>
      <c r="B188" t="inlineStr">
        <is>
          <t>avverkningsanmälan</t>
        </is>
      </c>
      <c r="C188" t="inlineStr">
        <is>
          <t>Avverkning för annat ändamål</t>
        </is>
      </c>
      <c r="D188" s="1" t="n">
        <v>45520</v>
      </c>
      <c r="E188" s="1" t="n">
        <v>46309</v>
      </c>
      <c r="F188" t="inlineStr">
        <is>
          <t>UPPSALA LÄN</t>
        </is>
      </c>
      <c r="G188" t="inlineStr">
        <is>
          <t>ÖSTHAMMAR</t>
        </is>
      </c>
      <c r="H188" t="inlineStr">
        <is>
          <t>Naturvårdsverket</t>
        </is>
      </c>
      <c r="I188" t="n">
        <v>1.5</v>
      </c>
      <c r="J188" t="n">
        <v>3</v>
      </c>
      <c r="K188" t="n">
        <v>2</v>
      </c>
      <c r="L188" t="n">
        <v>3</v>
      </c>
      <c r="M188" t="n">
        <v>0</v>
      </c>
      <c r="N188" t="n">
        <v>0</v>
      </c>
      <c r="O188" t="n">
        <v>0</v>
      </c>
      <c r="P188" t="n">
        <v>0</v>
      </c>
      <c r="Q188" t="n">
        <v>3</v>
      </c>
      <c r="R188" t="n">
        <v>0</v>
      </c>
      <c r="S188" t="n">
        <v>7</v>
      </c>
      <c r="T188" t="n">
        <v>7</v>
      </c>
      <c r="U188" t="n">
        <v>7</v>
      </c>
      <c r="V188" s="2" t="inlineStr">
        <is>
          <t>Kattfotslav
Talltita
Ullticka
Granbarkgnagare
Rödgul trumpetsvamp
Tjäder
Fläcknycklar</t>
        </is>
      </c>
      <c r="W188">
        <f>HYPERLINK("https://klasma.github.io/Logging_0382/artfynd/A 33800-2024 artfynd.xlsx", "A 33800-2024")</f>
        <v/>
      </c>
      <c r="X188">
        <f>HYPERLINK("https://klasma.github.io/Logging_0382/kartor/A 33800-2024 karta.png", "A 33800-2024")</f>
        <v/>
      </c>
      <c r="Y188">
        <f>HYPERLINK("https://klasma.github.io/Logging_0382/kartor_geotiff/A 33800-2024 georefererad karta.tif", "A 33800-2024")</f>
        <v/>
      </c>
      <c r="AA188">
        <f>HYPERLINK("https://klasma.github.io/Logging_0382/klagomål/A 33800-2024 FSC-klagomål.docx", "A 33800-2024")</f>
        <v/>
      </c>
      <c r="AB188">
        <f>HYPERLINK("https://klasma.github.io/Logging_0382/klagomålsmail/A 33800-2024 FSC-klagomål mail.docx", "A 33800-2024")</f>
        <v/>
      </c>
      <c r="AC188">
        <f>HYPERLINK("https://klasma.github.io/Logging_0382/tillsyn/A 33800-2024 tillsynsbegäran.docx", "A 33800-2024")</f>
        <v/>
      </c>
      <c r="AD188">
        <f>HYPERLINK("https://klasma.github.io/Logging_0382/tillsynsmail/A 33800-2024 tillsynsbegäran mail.docx", "A 33800-2024")</f>
        <v/>
      </c>
      <c r="AE188">
        <f>HYPERLINK("https://klasma.github.io/Logging_0382/fåglar/A 33800-2024 prioriterade fågelarter.docx", "A 33800-2024")</f>
        <v/>
      </c>
    </row>
    <row r="189" ht="15" customHeight="1">
      <c r="A189" t="inlineStr">
        <is>
          <t>A 58547-2025</t>
        </is>
      </c>
      <c r="B189" t="inlineStr">
        <is>
          <t>avverkningsanmälan</t>
        </is>
      </c>
      <c r="C189" t="inlineStr">
        <is>
          <t>Föryngringsavverkning</t>
        </is>
      </c>
      <c r="D189" s="1" t="n">
        <v>45985</v>
      </c>
      <c r="E189" s="1" t="n">
        <v>46309</v>
      </c>
      <c r="F189" t="inlineStr">
        <is>
          <t>UPPSALA LÄN</t>
        </is>
      </c>
      <c r="G189" t="inlineStr">
        <is>
          <t>UPPSALA</t>
        </is>
      </c>
      <c r="I189" t="n">
        <v>1.1</v>
      </c>
      <c r="J189" t="n">
        <v>3</v>
      </c>
      <c r="K189" t="n">
        <v>3</v>
      </c>
      <c r="L189" t="n">
        <v>1</v>
      </c>
      <c r="M189" t="n">
        <v>1</v>
      </c>
      <c r="N189" t="n">
        <v>0</v>
      </c>
      <c r="O189" t="n">
        <v>0</v>
      </c>
      <c r="P189" t="n">
        <v>0</v>
      </c>
      <c r="Q189" t="n">
        <v>2</v>
      </c>
      <c r="R189" t="n">
        <v>1</v>
      </c>
      <c r="S189" t="n">
        <v>7</v>
      </c>
      <c r="T189" t="n">
        <v>38</v>
      </c>
      <c r="U189" t="n">
        <v>38</v>
      </c>
      <c r="V189" s="2" t="inlineStr">
        <is>
          <t>Knärot
Vedtrappmossa
Björksplintborre
Rödgul trumpetsvamp
Vedticka
Spillkråka
Revlummer</t>
        </is>
      </c>
      <c r="W189">
        <f>HYPERLINK("https://klasma.github.io/Logging_0380/artfynd/A 58547-2025 artfynd.xlsx", "A 58547-2025")</f>
        <v/>
      </c>
      <c r="X189">
        <f>HYPERLINK("https://klasma.github.io/Logging_0380/kartor/A 58547-2025 karta.png", "A 58547-2025")</f>
        <v/>
      </c>
      <c r="Y189">
        <f>HYPERLINK("https://klasma.github.io/Logging_0380/kartor_geotiff/A 58547-2025 georefererad karta.tif", "A 58547-2025")</f>
        <v/>
      </c>
      <c r="Z189">
        <f>HYPERLINK("https://klasma.github.io/Logging_0380/knärot/A 58547-2025 karta knärot.png", "A 58547-2025")</f>
        <v/>
      </c>
      <c r="AA189">
        <f>HYPERLINK("https://klasma.github.io/Logging_0380/klagomål/A 58547-2025 FSC-klagomål.docx", "A 58547-2025")</f>
        <v/>
      </c>
      <c r="AB189">
        <f>HYPERLINK("https://klasma.github.io/Logging_0380/klagomålsmail/A 58547-2025 FSC-klagomål mail.docx", "A 58547-2025")</f>
        <v/>
      </c>
      <c r="AC189">
        <f>HYPERLINK("https://klasma.github.io/Logging_0380/tillsyn/A 58547-2025 tillsynsbegäran.docx", "A 58547-2025")</f>
        <v/>
      </c>
      <c r="AD189">
        <f>HYPERLINK("https://klasma.github.io/Logging_0380/tillsynsmail/A 58547-2025 tillsynsbegäran mail.docx", "A 58547-2025")</f>
        <v/>
      </c>
      <c r="AE189">
        <f>HYPERLINK("https://klasma.github.io/Logging_0380/fåglar/A 58547-2025 prioriterade fågelarter.docx", "A 58547-2025")</f>
        <v/>
      </c>
    </row>
    <row r="190" ht="15" customHeight="1">
      <c r="A190" t="inlineStr">
        <is>
          <t>A 9646-2024</t>
        </is>
      </c>
      <c r="B190" t="inlineStr">
        <is>
          <t>avverkningsanmälan</t>
        </is>
      </c>
      <c r="C190" t="inlineStr">
        <is>
          <t>Föryngringsavverkning</t>
        </is>
      </c>
      <c r="D190" s="1" t="n">
        <v>45362</v>
      </c>
      <c r="E190" s="1" t="n">
        <v>46309</v>
      </c>
      <c r="F190" t="inlineStr">
        <is>
          <t>UPPSALA LÄN</t>
        </is>
      </c>
      <c r="G190" t="inlineStr">
        <is>
          <t>ÖSTHAMMAR</t>
        </is>
      </c>
      <c r="I190" t="n">
        <v>1.6</v>
      </c>
      <c r="J190" t="n">
        <v>2</v>
      </c>
      <c r="K190" t="n">
        <v>2</v>
      </c>
      <c r="L190" t="n">
        <v>2</v>
      </c>
      <c r="M190" t="n">
        <v>2</v>
      </c>
      <c r="N190" t="n">
        <v>1</v>
      </c>
      <c r="O190" t="n">
        <v>0</v>
      </c>
      <c r="P190" t="n">
        <v>0</v>
      </c>
      <c r="Q190" t="n">
        <v>5</v>
      </c>
      <c r="R190" t="n">
        <v>3</v>
      </c>
      <c r="S190" t="n">
        <v>7</v>
      </c>
      <c r="T190" t="n">
        <v>8</v>
      </c>
      <c r="U190" t="n">
        <v>7</v>
      </c>
      <c r="V190" s="2" t="inlineStr">
        <is>
          <t>Violgubbe
Knärot
Läderdoftande fingersvamp
Gultoppig fingersvamp
Ullticka
Kalktallört
Skogsknipprot</t>
        </is>
      </c>
      <c r="W190">
        <f>HYPERLINK("https://klasma.github.io/Logging_0382/artfynd/A 9646-2024 artfynd.xlsx", "A 9646-2024")</f>
        <v/>
      </c>
      <c r="X190">
        <f>HYPERLINK("https://klasma.github.io/Logging_0382/kartor/A 9646-2024 karta.png", "A 9646-2024")</f>
        <v/>
      </c>
      <c r="Y190">
        <f>HYPERLINK("https://klasma.github.io/Logging_0382/kartor_geotiff/A 9646-2024 georefererad karta.tif", "A 9646-2024")</f>
        <v/>
      </c>
      <c r="Z190">
        <f>HYPERLINK("https://klasma.github.io/Logging_0382/knärot/A 9646-2024 karta knärot.png", "A 9646-2024")</f>
        <v/>
      </c>
      <c r="AA190">
        <f>HYPERLINK("https://klasma.github.io/Logging_0382/klagomål/A 9646-2024 FSC-klagomål.docx", "A 9646-2024")</f>
        <v/>
      </c>
      <c r="AB190">
        <f>HYPERLINK("https://klasma.github.io/Logging_0382/klagomålsmail/A 9646-2024 FSC-klagomål mail.docx", "A 9646-2024")</f>
        <v/>
      </c>
      <c r="AC190">
        <f>HYPERLINK("https://klasma.github.io/Logging_0382/tillsyn/A 9646-2024 tillsynsbegäran.docx", "A 9646-2024")</f>
        <v/>
      </c>
      <c r="AD190">
        <f>HYPERLINK("https://klasma.github.io/Logging_0382/tillsynsmail/A 9646-2024 tillsynsbegäran mail.docx", "A 9646-2024")</f>
        <v/>
      </c>
    </row>
    <row r="191" ht="15" customHeight="1">
      <c r="A191" t="inlineStr">
        <is>
          <t>A 33269-2025</t>
        </is>
      </c>
      <c r="B191" t="inlineStr">
        <is>
          <t>avverkningsanmälan</t>
        </is>
      </c>
      <c r="C191" t="inlineStr">
        <is>
          <t>Föryngringsavverkning</t>
        </is>
      </c>
      <c r="D191" s="1" t="n">
        <v>45840</v>
      </c>
      <c r="E191" s="1" t="n">
        <v>46309</v>
      </c>
      <c r="F191" t="inlineStr">
        <is>
          <t>UPPSALA LÄN</t>
        </is>
      </c>
      <c r="G191" t="inlineStr">
        <is>
          <t>ÖSTHAMMAR</t>
        </is>
      </c>
      <c r="I191" t="n">
        <v>14.9</v>
      </c>
      <c r="J191" t="n">
        <v>0</v>
      </c>
      <c r="K191" t="n">
        <v>2</v>
      </c>
      <c r="L191" t="n">
        <v>1</v>
      </c>
      <c r="M191" t="n">
        <v>3</v>
      </c>
      <c r="N191" t="n">
        <v>1</v>
      </c>
      <c r="O191" t="n">
        <v>0</v>
      </c>
      <c r="P191" t="n">
        <v>0</v>
      </c>
      <c r="Q191" t="n">
        <v>5</v>
      </c>
      <c r="R191" t="n">
        <v>4</v>
      </c>
      <c r="S191" t="n">
        <v>7</v>
      </c>
      <c r="T191" t="n">
        <v>11</v>
      </c>
      <c r="U191" t="n">
        <v>3</v>
      </c>
      <c r="V191" s="2" t="inlineStr">
        <is>
          <t>Violgubbe
Gul lammticka
Kopparspindling
Läderdoftande fingersvamp
Orange taggsvamp
Kamjordstjärna
Olivspindling</t>
        </is>
      </c>
      <c r="W191">
        <f>HYPERLINK("https://klasma.github.io/Logging_0382/artfynd/A 33269-2025 artfynd.xlsx", "A 33269-2025")</f>
        <v/>
      </c>
      <c r="X191">
        <f>HYPERLINK("https://klasma.github.io/Logging_0382/kartor/A 33269-2025 karta.png", "A 33269-2025")</f>
        <v/>
      </c>
      <c r="Y191">
        <f>HYPERLINK("https://klasma.github.io/Logging_0382/kartor_geotiff/A 33269-2025 georefererad karta.tif", "A 33269-2025")</f>
        <v/>
      </c>
      <c r="AA191">
        <f>HYPERLINK("https://klasma.github.io/Logging_0382/klagomål/A 33269-2025 FSC-klagomål.docx", "A 33269-2025")</f>
        <v/>
      </c>
      <c r="AB191">
        <f>HYPERLINK("https://klasma.github.io/Logging_0382/klagomålsmail/A 33269-2025 FSC-klagomål mail.docx", "A 33269-2025")</f>
        <v/>
      </c>
      <c r="AC191">
        <f>HYPERLINK("https://klasma.github.io/Logging_0382/tillsyn/A 33269-2025 tillsynsbegäran.docx", "A 33269-2025")</f>
        <v/>
      </c>
      <c r="AD191">
        <f>HYPERLINK("https://klasma.github.io/Logging_0382/tillsynsmail/A 33269-2025 tillsynsbegäran mail.docx", "A 33269-2025")</f>
        <v/>
      </c>
    </row>
    <row r="192" ht="15" customHeight="1">
      <c r="A192" t="inlineStr">
        <is>
          <t>A 43992-2022</t>
        </is>
      </c>
      <c r="B192" t="inlineStr">
        <is>
          <t>avverkningsanmälan</t>
        </is>
      </c>
      <c r="C192" t="inlineStr">
        <is>
          <t>Avverkning för annat ändamål</t>
        </is>
      </c>
      <c r="D192" s="1" t="n">
        <v>44837</v>
      </c>
      <c r="E192" s="1" t="n">
        <v>46309</v>
      </c>
      <c r="F192" t="inlineStr">
        <is>
          <t>UPPSALA LÄN</t>
        </is>
      </c>
      <c r="G192" t="inlineStr">
        <is>
          <t>ÖSTHAMMAR</t>
        </is>
      </c>
      <c r="H192" t="inlineStr">
        <is>
          <t>Sveaskog</t>
        </is>
      </c>
      <c r="I192" t="n">
        <v>1.8</v>
      </c>
      <c r="J192" t="n">
        <v>7</v>
      </c>
      <c r="K192" t="n">
        <v>0</v>
      </c>
      <c r="L192" t="n">
        <v>1</v>
      </c>
      <c r="M192" t="n">
        <v>2</v>
      </c>
      <c r="N192" t="n">
        <v>0</v>
      </c>
      <c r="O192" t="n">
        <v>0</v>
      </c>
      <c r="P192" t="n">
        <v>0</v>
      </c>
      <c r="Q192" t="n">
        <v>3</v>
      </c>
      <c r="R192" t="n">
        <v>2</v>
      </c>
      <c r="S192" t="n">
        <v>7</v>
      </c>
      <c r="T192" t="n">
        <v>8</v>
      </c>
      <c r="U192" t="n">
        <v>0</v>
      </c>
      <c r="V192" s="2" t="inlineStr">
        <is>
          <t>Grönfink
Stare
Gulsparv
Buskskvätta
Svartvit flugsnappare
Törnskata
Ängsnycklar</t>
        </is>
      </c>
      <c r="W192">
        <f>HYPERLINK("https://klasma.github.io/Logging_0382/artfynd/A 43992-2022 artfynd.xlsx", "A 43992-2022")</f>
        <v/>
      </c>
      <c r="X192">
        <f>HYPERLINK("https://klasma.github.io/Logging_0382/kartor/A 43992-2022 karta.png", "A 43992-2022")</f>
        <v/>
      </c>
      <c r="Y192">
        <f>HYPERLINK("https://klasma.github.io/Logging_0382/kartor_geotiff/A 43992-2022 georefererad karta.tif", "A 43992-2022")</f>
        <v/>
      </c>
      <c r="AA192">
        <f>HYPERLINK("https://klasma.github.io/Logging_0382/klagomål/A 43992-2022 FSC-klagomål.docx", "A 43992-2022")</f>
        <v/>
      </c>
      <c r="AB192">
        <f>HYPERLINK("https://klasma.github.io/Logging_0382/klagomålsmail/A 43992-2022 FSC-klagomål mail.docx", "A 43992-2022")</f>
        <v/>
      </c>
      <c r="AC192">
        <f>HYPERLINK("https://klasma.github.io/Logging_0382/tillsyn/A 43992-2022 tillsynsbegäran.docx", "A 43992-2022")</f>
        <v/>
      </c>
      <c r="AD192">
        <f>HYPERLINK("https://klasma.github.io/Logging_0382/tillsynsmail/A 43992-2022 tillsynsbegäran mail.docx", "A 43992-2022")</f>
        <v/>
      </c>
      <c r="AE192">
        <f>HYPERLINK("https://klasma.github.io/Logging_0382/fåglar/A 43992-2022 prioriterade fågelarter.docx", "A 43992-2022")</f>
        <v/>
      </c>
    </row>
    <row r="193" ht="15" customHeight="1">
      <c r="A193" t="inlineStr">
        <is>
          <t>A 46785-2023</t>
        </is>
      </c>
      <c r="B193" t="inlineStr">
        <is>
          <t>avverkningsanmälan</t>
        </is>
      </c>
      <c r="C193" t="inlineStr">
        <is>
          <t>Föryngringsavverkning</t>
        </is>
      </c>
      <c r="D193" s="1" t="n">
        <v>45198</v>
      </c>
      <c r="E193" s="1" t="n">
        <v>46309</v>
      </c>
      <c r="F193" t="inlineStr">
        <is>
          <t>UPPSALA LÄN</t>
        </is>
      </c>
      <c r="G193" t="inlineStr">
        <is>
          <t>ÖSTHAMMAR</t>
        </is>
      </c>
      <c r="I193" t="n">
        <v>1.6</v>
      </c>
      <c r="J193" t="n">
        <v>4</v>
      </c>
      <c r="K193" t="n">
        <v>4</v>
      </c>
      <c r="L193" t="n">
        <v>1</v>
      </c>
      <c r="M193" t="n">
        <v>0</v>
      </c>
      <c r="N193" t="n">
        <v>0</v>
      </c>
      <c r="O193" t="n">
        <v>0</v>
      </c>
      <c r="P193" t="n">
        <v>0</v>
      </c>
      <c r="Q193" t="n">
        <v>1</v>
      </c>
      <c r="R193" t="n">
        <v>0</v>
      </c>
      <c r="S193" t="n">
        <v>7</v>
      </c>
      <c r="T193" t="n">
        <v>14</v>
      </c>
      <c r="U193" t="n">
        <v>14</v>
      </c>
      <c r="V193" s="2" t="inlineStr">
        <is>
          <t>Sårläka
Nästrot
Skogsknipprot
Tibast
Vågbandad barkbock
Blåsippa
Grönvit nattviol</t>
        </is>
      </c>
      <c r="W193">
        <f>HYPERLINK("https://klasma.github.io/Logging_0382/artfynd/A 46785-2023 artfynd.xlsx", "A 46785-2023")</f>
        <v/>
      </c>
      <c r="X193">
        <f>HYPERLINK("https://klasma.github.io/Logging_0382/kartor/A 46785-2023 karta.png", "A 46785-2023")</f>
        <v/>
      </c>
      <c r="Y193">
        <f>HYPERLINK("https://klasma.github.io/Logging_0382/kartor_geotiff/A 46785-2023 georefererad karta.tif", "A 46785-2023")</f>
        <v/>
      </c>
      <c r="AA193">
        <f>HYPERLINK("https://klasma.github.io/Logging_0382/klagomål/A 46785-2023 FSC-klagomål.docx", "A 46785-2023")</f>
        <v/>
      </c>
      <c r="AB193">
        <f>HYPERLINK("https://klasma.github.io/Logging_0382/klagomålsmail/A 46785-2023 FSC-klagomål mail.docx", "A 46785-2023")</f>
        <v/>
      </c>
      <c r="AC193">
        <f>HYPERLINK("https://klasma.github.io/Logging_0382/tillsyn/A 46785-2023 tillsynsbegäran.docx", "A 46785-2023")</f>
        <v/>
      </c>
      <c r="AD193">
        <f>HYPERLINK("https://klasma.github.io/Logging_0382/tillsynsmail/A 46785-2023 tillsynsbegäran mail.docx", "A 46785-2023")</f>
        <v/>
      </c>
    </row>
    <row r="194" ht="15" customHeight="1">
      <c r="A194" t="inlineStr">
        <is>
          <t>A 20997-2022</t>
        </is>
      </c>
      <c r="B194" t="inlineStr">
        <is>
          <t>avverkningsanmälan</t>
        </is>
      </c>
      <c r="C194" t="inlineStr">
        <is>
          <t>Föryngringsavverkning</t>
        </is>
      </c>
      <c r="D194" s="1" t="n">
        <v>44701</v>
      </c>
      <c r="E194" s="1" t="n">
        <v>46309</v>
      </c>
      <c r="F194" t="inlineStr">
        <is>
          <t>UPPSALA LÄN</t>
        </is>
      </c>
      <c r="G194" t="inlineStr">
        <is>
          <t>TIERP</t>
        </is>
      </c>
      <c r="H194" t="inlineStr">
        <is>
          <t>Bergvik skog väst AB</t>
        </is>
      </c>
      <c r="I194" t="n">
        <v>40</v>
      </c>
      <c r="J194" t="n">
        <v>3</v>
      </c>
      <c r="K194" t="n">
        <v>4</v>
      </c>
      <c r="L194" t="n">
        <v>1</v>
      </c>
      <c r="M194" t="n">
        <v>1</v>
      </c>
      <c r="N194" t="n">
        <v>0</v>
      </c>
      <c r="O194" t="n">
        <v>0</v>
      </c>
      <c r="P194" t="n">
        <v>0</v>
      </c>
      <c r="Q194" t="n">
        <v>2</v>
      </c>
      <c r="R194" t="n">
        <v>1</v>
      </c>
      <c r="S194" t="n">
        <v>7</v>
      </c>
      <c r="T194" t="n">
        <v>10</v>
      </c>
      <c r="U194" t="n">
        <v>10</v>
      </c>
      <c r="V194" s="2" t="inlineStr">
        <is>
          <t>Knärot
Vedtrappmossa
Grön sköldmossa
Gulnål
Stubbspretmossa
Vågbandad barkbock
Blåsippa</t>
        </is>
      </c>
      <c r="W194">
        <f>HYPERLINK("https://klasma.github.io/Logging_0360/artfynd/A 20997-2022 artfynd.xlsx", "A 20997-2022")</f>
        <v/>
      </c>
      <c r="X194">
        <f>HYPERLINK("https://klasma.github.io/Logging_0360/kartor/A 20997-2022 karta.png", "A 20997-2022")</f>
        <v/>
      </c>
      <c r="Y194">
        <f>HYPERLINK("https://klasma.github.io/Logging_0360/kartor_geotiff/A 20997-2022 georefererad karta.tif", "A 20997-2022")</f>
        <v/>
      </c>
      <c r="Z194">
        <f>HYPERLINK("https://klasma.github.io/Logging_0360/knärot/A 20997-2022 karta knärot.png", "A 20997-2022")</f>
        <v/>
      </c>
      <c r="AA194">
        <f>HYPERLINK("https://klasma.github.io/Logging_0360/klagomål/A 20997-2022 FSC-klagomål.docx", "A 20997-2022")</f>
        <v/>
      </c>
      <c r="AB194">
        <f>HYPERLINK("https://klasma.github.io/Logging_0360/klagomålsmail/A 20997-2022 FSC-klagomål mail.docx", "A 20997-2022")</f>
        <v/>
      </c>
      <c r="AC194">
        <f>HYPERLINK("https://klasma.github.io/Logging_0360/tillsyn/A 20997-2022 tillsynsbegäran.docx", "A 20997-2022")</f>
        <v/>
      </c>
      <c r="AD194">
        <f>HYPERLINK("https://klasma.github.io/Logging_0360/tillsynsmail/A 20997-2022 tillsynsbegäran mail.docx", "A 20997-2022")</f>
        <v/>
      </c>
    </row>
    <row r="195" ht="15" customHeight="1">
      <c r="A195" t="inlineStr">
        <is>
          <t>A 29277-2026</t>
        </is>
      </c>
      <c r="B195" t="inlineStr">
        <is>
          <t>avverkningsanmälan</t>
        </is>
      </c>
      <c r="C195" t="inlineStr">
        <is>
          <t>Föryngringsavverkning</t>
        </is>
      </c>
      <c r="D195" s="1" t="n">
        <v>46202</v>
      </c>
      <c r="E195" s="1" t="n">
        <v>46309</v>
      </c>
      <c r="F195" t="inlineStr">
        <is>
          <t>UPPSALA LÄN</t>
        </is>
      </c>
      <c r="G195" t="inlineStr">
        <is>
          <t>UPPSALA</t>
        </is>
      </c>
      <c r="I195" t="n">
        <v>4.9</v>
      </c>
      <c r="J195" t="n">
        <v>1</v>
      </c>
      <c r="K195" t="n">
        <v>4</v>
      </c>
      <c r="L195" t="n">
        <v>2</v>
      </c>
      <c r="M195" t="n">
        <v>0</v>
      </c>
      <c r="N195" t="n">
        <v>0</v>
      </c>
      <c r="O195" t="n">
        <v>0</v>
      </c>
      <c r="P195" t="n">
        <v>0</v>
      </c>
      <c r="Q195" t="n">
        <v>2</v>
      </c>
      <c r="R195" t="n">
        <v>0</v>
      </c>
      <c r="S195" t="n">
        <v>7</v>
      </c>
      <c r="T195" t="n">
        <v>14</v>
      </c>
      <c r="U195" t="n">
        <v>13</v>
      </c>
      <c r="V195" s="2" t="inlineStr">
        <is>
          <t>Ullticka
Vedtrappmossa
Bronshjon
Grönpyrola
Vedticka
Vågbandad barkbock
Järpe</t>
        </is>
      </c>
      <c r="W195">
        <f>HYPERLINK("https://klasma.github.io/Logging_0380/artfynd/A 29277-2026 artfynd.xlsx", "A 29277-2026")</f>
        <v/>
      </c>
      <c r="X195">
        <f>HYPERLINK("https://klasma.github.io/Logging_0380/kartor/A 29277-2026 karta.png", "A 29277-2026")</f>
        <v/>
      </c>
      <c r="Y195">
        <f>HYPERLINK("https://klasma.github.io/Logging_0380/kartor_geotiff/A 29277-2026 georefererad karta.tif", "A 29277-2026")</f>
        <v/>
      </c>
      <c r="AA195">
        <f>HYPERLINK("https://klasma.github.io/Logging_0380/klagomål/A 29277-2026 FSC-klagomål.docx", "A 29277-2026")</f>
        <v/>
      </c>
      <c r="AB195">
        <f>HYPERLINK("https://klasma.github.io/Logging_0380/klagomålsmail/A 29277-2026 FSC-klagomål mail.docx", "A 29277-2026")</f>
        <v/>
      </c>
      <c r="AC195">
        <f>HYPERLINK("https://klasma.github.io/Logging_0380/tillsyn/A 29277-2026 tillsynsbegäran.docx", "A 29277-2026")</f>
        <v/>
      </c>
      <c r="AD195">
        <f>HYPERLINK("https://klasma.github.io/Logging_0380/tillsynsmail/A 29277-2026 tillsynsbegäran mail.docx", "A 29277-2026")</f>
        <v/>
      </c>
      <c r="AE195">
        <f>HYPERLINK("https://klasma.github.io/Logging_0380/fåglar/A 29277-2026 prioriterade fågelarter.docx", "A 29277-2026")</f>
        <v/>
      </c>
    </row>
    <row r="196" ht="15" customHeight="1">
      <c r="A196" t="inlineStr">
        <is>
          <t>A 30958-2026</t>
        </is>
      </c>
      <c r="B196" t="inlineStr">
        <is>
          <t>avverkningsanmälan</t>
        </is>
      </c>
      <c r="C196" t="inlineStr">
        <is>
          <t>Föryngringsavverkning</t>
        </is>
      </c>
      <c r="D196" s="1" t="n">
        <v>46213</v>
      </c>
      <c r="E196" s="1" t="n">
        <v>46309</v>
      </c>
      <c r="F196" t="inlineStr">
        <is>
          <t>UPPSALA LÄN</t>
        </is>
      </c>
      <c r="G196" t="inlineStr">
        <is>
          <t>TIERP</t>
        </is>
      </c>
      <c r="H196" t="inlineStr">
        <is>
          <t>Övriga Aktiebolag</t>
        </is>
      </c>
      <c r="I196" t="n">
        <v>6.1</v>
      </c>
      <c r="J196" t="n">
        <v>2</v>
      </c>
      <c r="K196" t="n">
        <v>5</v>
      </c>
      <c r="L196" t="n">
        <v>1</v>
      </c>
      <c r="M196" t="n">
        <v>0</v>
      </c>
      <c r="N196" t="n">
        <v>0</v>
      </c>
      <c r="O196" t="n">
        <v>0</v>
      </c>
      <c r="P196" t="n">
        <v>0</v>
      </c>
      <c r="Q196" t="n">
        <v>1</v>
      </c>
      <c r="R196" t="n">
        <v>0</v>
      </c>
      <c r="S196" t="n">
        <v>7</v>
      </c>
      <c r="T196" t="n">
        <v>10</v>
      </c>
      <c r="U196" t="n">
        <v>0</v>
      </c>
      <c r="V196" s="2" t="inlineStr">
        <is>
          <t>Rödbrun blekspik
Brandticka
Fällmossa
Lönnlav
Skogsknipprot
Svart trolldruva
Blåsippa</t>
        </is>
      </c>
      <c r="W196">
        <f>HYPERLINK("https://klasma.github.io/Logging_0360/artfynd/A 30958-2026 artfynd.xlsx", "A 30958-2026")</f>
        <v/>
      </c>
      <c r="X196">
        <f>HYPERLINK("https://klasma.github.io/Logging_0360/kartor/A 30958-2026 karta.png", "A 30958-2026")</f>
        <v/>
      </c>
      <c r="Y196">
        <f>HYPERLINK("https://klasma.github.io/Logging_0360/kartor_geotiff/A 30958-2026 georefererad karta.tif", "A 30958-2026")</f>
        <v/>
      </c>
      <c r="AA196">
        <f>HYPERLINK("https://klasma.github.io/Logging_0360/klagomål/A 30958-2026 FSC-klagomål.docx", "A 30958-2026")</f>
        <v/>
      </c>
      <c r="AB196">
        <f>HYPERLINK("https://klasma.github.io/Logging_0360/klagomålsmail/A 30958-2026 FSC-klagomål mail.docx", "A 30958-2026")</f>
        <v/>
      </c>
      <c r="AC196">
        <f>HYPERLINK("https://klasma.github.io/Logging_0360/tillsyn/A 30958-2026 tillsynsbegäran.docx", "A 30958-2026")</f>
        <v/>
      </c>
      <c r="AD196">
        <f>HYPERLINK("https://klasma.github.io/Logging_0360/tillsynsmail/A 30958-2026 tillsynsbegäran mail.docx", "A 30958-2026")</f>
        <v/>
      </c>
    </row>
    <row r="197" ht="15" customHeight="1">
      <c r="A197" t="inlineStr">
        <is>
          <t>A 32416-2026</t>
        </is>
      </c>
      <c r="B197" t="inlineStr">
        <is>
          <t>avverkningsanmälan</t>
        </is>
      </c>
      <c r="C197" t="inlineStr">
        <is>
          <t>Föryngringsavverkning</t>
        </is>
      </c>
      <c r="D197" s="1" t="n">
        <v>46238</v>
      </c>
      <c r="E197" s="1" t="n">
        <v>46309</v>
      </c>
      <c r="F197" t="inlineStr">
        <is>
          <t>UPPSALA LÄN</t>
        </is>
      </c>
      <c r="G197" t="inlineStr">
        <is>
          <t>ENKÖPING</t>
        </is>
      </c>
      <c r="H197" t="inlineStr">
        <is>
          <t>Övriga statliga verk och myndigheter</t>
        </is>
      </c>
      <c r="I197" t="n">
        <v>4.3</v>
      </c>
      <c r="J197" t="n">
        <v>3</v>
      </c>
      <c r="K197" t="n">
        <v>1</v>
      </c>
      <c r="L197" t="n">
        <v>3</v>
      </c>
      <c r="M197" t="n">
        <v>0</v>
      </c>
      <c r="N197" t="n">
        <v>3</v>
      </c>
      <c r="O197" t="n">
        <v>0</v>
      </c>
      <c r="P197" t="n">
        <v>0</v>
      </c>
      <c r="Q197" t="n">
        <v>6</v>
      </c>
      <c r="R197" t="n">
        <v>3</v>
      </c>
      <c r="S197" t="n">
        <v>7</v>
      </c>
      <c r="T197" t="n">
        <v>20</v>
      </c>
      <c r="U197" t="n">
        <v>0</v>
      </c>
      <c r="V197" s="2" t="inlineStr">
        <is>
          <t>Bombmurkla
Grusnejlika
Läkeögontröst
Fjällig taggsvamp s.str.
Fyrflikig jordstjärna
Stor vårtrattskivling
Grön sköldmossa</t>
        </is>
      </c>
      <c r="W197">
        <f>HYPERLINK("https://klasma.github.io/Logging_0381/artfynd/A 32416-2026 artfynd.xlsx", "A 32416-2026")</f>
        <v/>
      </c>
      <c r="X197">
        <f>HYPERLINK("https://klasma.github.io/Logging_0381/kartor/A 32416-2026 karta.png", "A 32416-2026")</f>
        <v/>
      </c>
      <c r="Y197">
        <f>HYPERLINK("https://klasma.github.io/Logging_0381/kartor_geotiff/A 32416-2026 georefererad karta.tif", "A 32416-2026")</f>
        <v/>
      </c>
      <c r="AA197">
        <f>HYPERLINK("https://klasma.github.io/Logging_0381/klagomål/A 32416-2026 FSC-klagomål.docx", "A 32416-2026")</f>
        <v/>
      </c>
      <c r="AB197">
        <f>HYPERLINK("https://klasma.github.io/Logging_0381/klagomålsmail/A 32416-2026 FSC-klagomål mail.docx", "A 32416-2026")</f>
        <v/>
      </c>
      <c r="AC197">
        <f>HYPERLINK("https://klasma.github.io/Logging_0381/tillsyn/A 32416-2026 tillsynsbegäran.docx", "A 32416-2026")</f>
        <v/>
      </c>
      <c r="AD197">
        <f>HYPERLINK("https://klasma.github.io/Logging_0381/tillsynsmail/A 32416-2026 tillsynsbegäran mail.docx", "A 32416-2026")</f>
        <v/>
      </c>
    </row>
    <row r="198" ht="15" customHeight="1">
      <c r="A198" t="inlineStr">
        <is>
          <t>A 32102-2026</t>
        </is>
      </c>
      <c r="B198" t="inlineStr">
        <is>
          <t>avverkningsanmälan</t>
        </is>
      </c>
      <c r="C198" t="inlineStr">
        <is>
          <t>Föryngringsavverkning</t>
        </is>
      </c>
      <c r="D198" s="1" t="n">
        <v>46234</v>
      </c>
      <c r="E198" s="1" t="n">
        <v>46309</v>
      </c>
      <c r="F198" t="inlineStr">
        <is>
          <t>UPPSALA LÄN</t>
        </is>
      </c>
      <c r="G198" t="inlineStr">
        <is>
          <t>UPPSALA</t>
        </is>
      </c>
      <c r="I198" t="n">
        <v>4.6</v>
      </c>
      <c r="J198" t="n">
        <v>3</v>
      </c>
      <c r="K198" t="n">
        <v>2</v>
      </c>
      <c r="L198" t="n">
        <v>1</v>
      </c>
      <c r="M198" t="n">
        <v>1</v>
      </c>
      <c r="N198" t="n">
        <v>0</v>
      </c>
      <c r="O198" t="n">
        <v>0</v>
      </c>
      <c r="P198" t="n">
        <v>0</v>
      </c>
      <c r="Q198" t="n">
        <v>2</v>
      </c>
      <c r="R198" t="n">
        <v>1</v>
      </c>
      <c r="S198" t="n">
        <v>7</v>
      </c>
      <c r="T198" t="n">
        <v>21</v>
      </c>
      <c r="U198" t="n">
        <v>21</v>
      </c>
      <c r="V198" s="2" t="inlineStr">
        <is>
          <t>Knärot
Ullticka
Bronshjon
Vågbandad barkbock
Blåsippa
Kransmossa
Spillkråka</t>
        </is>
      </c>
      <c r="W198">
        <f>HYPERLINK("https://klasma.github.io/Logging_0380/artfynd/A 32102-2026 artfynd.xlsx", "A 32102-2026")</f>
        <v/>
      </c>
      <c r="X198">
        <f>HYPERLINK("https://klasma.github.io/Logging_0380/kartor/A 32102-2026 karta.png", "A 32102-2026")</f>
        <v/>
      </c>
      <c r="Y198">
        <f>HYPERLINK("https://klasma.github.io/Logging_0380/kartor_geotiff/A 32102-2026 georefererad karta.tif", "A 32102-2026")</f>
        <v/>
      </c>
      <c r="Z198">
        <f>HYPERLINK("https://klasma.github.io/Logging_0380/knärot/A 32102-2026 karta knärot.png", "A 32102-2026")</f>
        <v/>
      </c>
      <c r="AA198">
        <f>HYPERLINK("https://klasma.github.io/Logging_0380/klagomål/A 32102-2026 FSC-klagomål.docx", "A 32102-2026")</f>
        <v/>
      </c>
      <c r="AB198">
        <f>HYPERLINK("https://klasma.github.io/Logging_0380/klagomålsmail/A 32102-2026 FSC-klagomål mail.docx", "A 32102-2026")</f>
        <v/>
      </c>
      <c r="AC198">
        <f>HYPERLINK("https://klasma.github.io/Logging_0380/tillsyn/A 32102-2026 tillsynsbegäran.docx", "A 32102-2026")</f>
        <v/>
      </c>
      <c r="AD198">
        <f>HYPERLINK("https://klasma.github.io/Logging_0380/tillsynsmail/A 32102-2026 tillsynsbegäran mail.docx", "A 32102-2026")</f>
        <v/>
      </c>
      <c r="AE198">
        <f>HYPERLINK("https://klasma.github.io/Logging_0380/fåglar/A 32102-2026 prioriterade fågelarter.docx", "A 32102-2026")</f>
        <v/>
      </c>
    </row>
    <row r="199" ht="15" customHeight="1">
      <c r="A199" t="inlineStr">
        <is>
          <t>A 30330-2026</t>
        </is>
      </c>
      <c r="B199" t="inlineStr">
        <is>
          <t>avverkningsanmälan</t>
        </is>
      </c>
      <c r="C199" t="inlineStr">
        <is>
          <t>Föryngringsavverkning</t>
        </is>
      </c>
      <c r="D199" s="1" t="n">
        <v>46207</v>
      </c>
      <c r="E199" s="1" t="n">
        <v>46309</v>
      </c>
      <c r="F199" t="inlineStr">
        <is>
          <t>UPPSALA LÄN</t>
        </is>
      </c>
      <c r="G199" t="inlineStr">
        <is>
          <t>UPPSALA</t>
        </is>
      </c>
      <c r="I199" t="n">
        <v>6.4</v>
      </c>
      <c r="J199" t="n">
        <v>6</v>
      </c>
      <c r="K199" t="n">
        <v>0</v>
      </c>
      <c r="L199" t="n">
        <v>2</v>
      </c>
      <c r="M199" t="n">
        <v>1</v>
      </c>
      <c r="N199" t="n">
        <v>0</v>
      </c>
      <c r="O199" t="n">
        <v>0</v>
      </c>
      <c r="P199" t="n">
        <v>0</v>
      </c>
      <c r="Q199" t="n">
        <v>3</v>
      </c>
      <c r="R199" t="n">
        <v>1</v>
      </c>
      <c r="S199" t="n">
        <v>7</v>
      </c>
      <c r="T199" t="n">
        <v>10</v>
      </c>
      <c r="U199" t="n">
        <v>0</v>
      </c>
      <c r="V199" s="2" t="inlineStr">
        <is>
          <t>Tallgångbagge
Gulsparv
Järnsparv
Blåsippa
Spillkråka
Grönsiska
Sävsparv</t>
        </is>
      </c>
      <c r="W199">
        <f>HYPERLINK("https://klasma.github.io/Logging_0380/artfynd/A 30330-2026 artfynd.xlsx", "A 30330-2026")</f>
        <v/>
      </c>
      <c r="X199">
        <f>HYPERLINK("https://klasma.github.io/Logging_0380/kartor/A 30330-2026 karta.png", "A 30330-2026")</f>
        <v/>
      </c>
      <c r="Y199">
        <f>HYPERLINK("https://klasma.github.io/Logging_0380/kartor_geotiff/A 30330-2026 georefererad karta.tif", "A 30330-2026")</f>
        <v/>
      </c>
      <c r="AA199">
        <f>HYPERLINK("https://klasma.github.io/Logging_0380/klagomål/A 30330-2026 FSC-klagomål.docx", "A 30330-2026")</f>
        <v/>
      </c>
      <c r="AB199">
        <f>HYPERLINK("https://klasma.github.io/Logging_0380/klagomålsmail/A 30330-2026 FSC-klagomål mail.docx", "A 30330-2026")</f>
        <v/>
      </c>
      <c r="AC199">
        <f>HYPERLINK("https://klasma.github.io/Logging_0380/tillsyn/A 30330-2026 tillsynsbegäran.docx", "A 30330-2026")</f>
        <v/>
      </c>
      <c r="AD199">
        <f>HYPERLINK("https://klasma.github.io/Logging_0380/tillsynsmail/A 30330-2026 tillsynsbegäran mail.docx", "A 30330-2026")</f>
        <v/>
      </c>
      <c r="AE199">
        <f>HYPERLINK("https://klasma.github.io/Logging_0380/fåglar/A 30330-2026 prioriterade fågelarter.docx", "A 30330-2026")</f>
        <v/>
      </c>
    </row>
    <row r="200" ht="15" customHeight="1">
      <c r="A200" t="inlineStr">
        <is>
          <t>S 3080-2022</t>
        </is>
      </c>
      <c r="B200" t="inlineStr">
        <is>
          <t>samrådsanmälan</t>
        </is>
      </c>
      <c r="C200" t="inlineStr">
        <is>
          <t>Annan skogsbruksåtgärd</t>
        </is>
      </c>
      <c r="D200" s="1" t="n">
        <v>44719</v>
      </c>
      <c r="E200" s="1" t="n">
        <v>46309</v>
      </c>
      <c r="F200" t="inlineStr">
        <is>
          <t>UPPSALA LÄN</t>
        </is>
      </c>
      <c r="G200" t="inlineStr">
        <is>
          <t>HÅBO</t>
        </is>
      </c>
      <c r="H200" t="inlineStr">
        <is>
          <t>Naturvårdsverket</t>
        </is>
      </c>
      <c r="I200" t="n">
        <v>3.5</v>
      </c>
      <c r="J200" t="n">
        <v>2</v>
      </c>
      <c r="K200" t="n">
        <v>0</v>
      </c>
      <c r="L200" t="n">
        <v>4</v>
      </c>
      <c r="M200" t="n">
        <v>0</v>
      </c>
      <c r="N200" t="n">
        <v>2</v>
      </c>
      <c r="O200" t="n">
        <v>0</v>
      </c>
      <c r="P200" t="n">
        <v>0</v>
      </c>
      <c r="Q200" t="n">
        <v>6</v>
      </c>
      <c r="R200" t="n">
        <v>2</v>
      </c>
      <c r="S200" t="n">
        <v>7</v>
      </c>
      <c r="T200" t="n">
        <v>7</v>
      </c>
      <c r="U200" t="n">
        <v>1</v>
      </c>
      <c r="V200" s="2" t="inlineStr">
        <is>
          <t>Prakttagging
Skogsalm
Mindre hackspett
Rynkskinn
Tallticka
Ullticka
Blåsippa</t>
        </is>
      </c>
      <c r="W200">
        <f>HYPERLINK("https://klasma.github.io/Logging_0305/artfynd/S 3080-2022 artfynd.xlsx", "S 3080-2022")</f>
        <v/>
      </c>
      <c r="X200">
        <f>HYPERLINK("https://klasma.github.io/Logging_0305/kartor/S 3080-2022 karta.png", "S 3080-2022")</f>
        <v/>
      </c>
      <c r="Y200">
        <f>HYPERLINK("https://klasma.github.io/Logging_0305/kartor_geotiff/S 3080-2022 georefererad karta.tif", "S 3080-2022")</f>
        <v/>
      </c>
      <c r="AA200">
        <f>HYPERLINK("https://klasma.github.io/Logging_0305/klagomål/S 3080-2022 FSC-klagomål.docx", "S 3080-2022")</f>
        <v/>
      </c>
      <c r="AB200">
        <f>HYPERLINK("https://klasma.github.io/Logging_0305/klagomålsmail/S 3080-2022 FSC-klagomål mail.docx", "S 3080-2022")</f>
        <v/>
      </c>
      <c r="AC200">
        <f>HYPERLINK("https://klasma.github.io/Logging_0305/tillsyn/S 3080-2022 tillsynsbegäran.docx", "S 3080-2022")</f>
        <v/>
      </c>
      <c r="AD200">
        <f>HYPERLINK("https://klasma.github.io/Logging_0305/tillsynsmail/S 3080-2022 tillsynsbegäran mail.docx", "S 3080-2022")</f>
        <v/>
      </c>
      <c r="AE200">
        <f>HYPERLINK("https://klasma.github.io/Logging_0305/fåglar/S 3080-2022 prioriterade fågelarter.docx", "S 3080-2022")</f>
        <v/>
      </c>
    </row>
    <row r="201" ht="15" customHeight="1">
      <c r="A201" t="inlineStr">
        <is>
          <t>S 522-2022</t>
        </is>
      </c>
      <c r="B201" t="inlineStr">
        <is>
          <t>samrådsanmälan</t>
        </is>
      </c>
      <c r="C201" t="inlineStr">
        <is>
          <t>Skogsgödsling</t>
        </is>
      </c>
      <c r="D201" s="1" t="n">
        <v>44588</v>
      </c>
      <c r="E201" s="1" t="n">
        <v>46309</v>
      </c>
      <c r="F201" t="inlineStr">
        <is>
          <t>UPPSALA LÄN</t>
        </is>
      </c>
      <c r="G201" t="inlineStr">
        <is>
          <t>ÖSTHAMMAR</t>
        </is>
      </c>
      <c r="H201" t="inlineStr">
        <is>
          <t>Bergvik skog öst AB</t>
        </is>
      </c>
      <c r="I201" t="n">
        <v>212.3</v>
      </c>
      <c r="J201" t="n">
        <v>5</v>
      </c>
      <c r="K201" t="n">
        <v>2</v>
      </c>
      <c r="L201" t="n">
        <v>1</v>
      </c>
      <c r="M201" t="n">
        <v>0</v>
      </c>
      <c r="N201" t="n">
        <v>0</v>
      </c>
      <c r="O201" t="n">
        <v>0</v>
      </c>
      <c r="P201" t="n">
        <v>0</v>
      </c>
      <c r="Q201" t="n">
        <v>1</v>
      </c>
      <c r="R201" t="n">
        <v>0</v>
      </c>
      <c r="S201" t="n">
        <v>7</v>
      </c>
      <c r="T201" t="n">
        <v>10</v>
      </c>
      <c r="U201" t="n">
        <v>10</v>
      </c>
      <c r="V201" s="2" t="inlineStr">
        <is>
          <t>Talltita
Brandticka
Tibast
Blåsippa
Tjäder
Kungsfågel
Orre</t>
        </is>
      </c>
      <c r="W201">
        <f>HYPERLINK("https://klasma.github.io/Logging_0382/artfynd/S 522-2022 artfynd.xlsx", "S 522-2022")</f>
        <v/>
      </c>
      <c r="X201">
        <f>HYPERLINK("https://klasma.github.io/Logging_0382/kartor/S 522-2022 karta.png", "S 522-2022")</f>
        <v/>
      </c>
      <c r="Y201">
        <f>HYPERLINK("https://klasma.github.io/Logging_0382/kartor_geotiff/S 522-2022 georefererad karta.tif", "S 522-2022")</f>
        <v/>
      </c>
      <c r="AA201">
        <f>HYPERLINK("https://klasma.github.io/Logging_0382/klagomål/S 522-2022 FSC-klagomål.docx", "S 522-2022")</f>
        <v/>
      </c>
      <c r="AB201">
        <f>HYPERLINK("https://klasma.github.io/Logging_0382/klagomålsmail/S 522-2022 FSC-klagomål mail.docx", "S 522-2022")</f>
        <v/>
      </c>
      <c r="AC201">
        <f>HYPERLINK("https://klasma.github.io/Logging_0382/tillsyn/S 522-2022 tillsynsbegäran.docx", "S 522-2022")</f>
        <v/>
      </c>
      <c r="AD201">
        <f>HYPERLINK("https://klasma.github.io/Logging_0382/tillsynsmail/S 522-2022 tillsynsbegäran mail.docx", "S 522-2022")</f>
        <v/>
      </c>
      <c r="AE201">
        <f>HYPERLINK("https://klasma.github.io/Logging_0382/fåglar/S 522-2022 prioriterade fågelarter.docx", "S 522-2022")</f>
        <v/>
      </c>
    </row>
    <row r="202" ht="15" customHeight="1">
      <c r="A202" t="inlineStr">
        <is>
          <t>S 5067-2024</t>
        </is>
      </c>
      <c r="B202" t="inlineStr">
        <is>
          <t>samrådsanmälan</t>
        </is>
      </c>
      <c r="C202" t="inlineStr">
        <is>
          <t>Skogsgödsling</t>
        </is>
      </c>
      <c r="D202" s="1" t="n">
        <v>45638</v>
      </c>
      <c r="E202" s="1" t="n">
        <v>46309</v>
      </c>
      <c r="F202" t="inlineStr">
        <is>
          <t>UPPSALA LÄN</t>
        </is>
      </c>
      <c r="G202" t="inlineStr">
        <is>
          <t>ÄLVKARLEBY</t>
        </is>
      </c>
      <c r="H202" t="inlineStr">
        <is>
          <t>Bergvik skog väst AB</t>
        </is>
      </c>
      <c r="I202" t="n">
        <v>118.9</v>
      </c>
      <c r="J202" t="n">
        <v>5</v>
      </c>
      <c r="K202" t="n">
        <v>0</v>
      </c>
      <c r="L202" t="n">
        <v>2</v>
      </c>
      <c r="M202" t="n">
        <v>0</v>
      </c>
      <c r="N202" t="n">
        <v>0</v>
      </c>
      <c r="O202" t="n">
        <v>0</v>
      </c>
      <c r="P202" t="n">
        <v>0</v>
      </c>
      <c r="Q202" t="n">
        <v>2</v>
      </c>
      <c r="R202" t="n">
        <v>0</v>
      </c>
      <c r="S202" t="n">
        <v>7</v>
      </c>
      <c r="T202" t="n">
        <v>8</v>
      </c>
      <c r="U202" t="n">
        <v>1</v>
      </c>
      <c r="V202" s="2" t="inlineStr">
        <is>
          <t>Skogsklocka
Turkos blåvinge
Blåsippa
Gråspett
Tjäder
Kungsfågel
Lopplummer (aggregat)</t>
        </is>
      </c>
      <c r="W202">
        <f>HYPERLINK("https://klasma.github.io/Logging_0319/artfynd/S 5067-2024 artfynd.xlsx", "S 5067-2024")</f>
        <v/>
      </c>
      <c r="X202">
        <f>HYPERLINK("https://klasma.github.io/Logging_0319/kartor/S 5067-2024 karta.png", "S 5067-2024")</f>
        <v/>
      </c>
      <c r="Y202">
        <f>HYPERLINK("https://klasma.github.io/Logging_0319/kartor_geotiff/S 5067-2024 georefererad karta.tif", "S 5067-2024")</f>
        <v/>
      </c>
      <c r="AA202">
        <f>HYPERLINK("https://klasma.github.io/Logging_0319/klagomål/S 5067-2024 FSC-klagomål.docx", "S 5067-2024")</f>
        <v/>
      </c>
      <c r="AB202">
        <f>HYPERLINK("https://klasma.github.io/Logging_0319/klagomålsmail/S 5067-2024 FSC-klagomål mail.docx", "S 5067-2024")</f>
        <v/>
      </c>
      <c r="AC202">
        <f>HYPERLINK("https://klasma.github.io/Logging_0319/tillsyn/S 5067-2024 tillsynsbegäran.docx", "S 5067-2024")</f>
        <v/>
      </c>
      <c r="AD202">
        <f>HYPERLINK("https://klasma.github.io/Logging_0319/tillsynsmail/S 5067-2024 tillsynsbegäran mail.docx", "S 5067-2024")</f>
        <v/>
      </c>
      <c r="AE202">
        <f>HYPERLINK("https://klasma.github.io/Logging_0319/fåglar/S 5067-2024 prioriterade fågelarter.docx", "S 5067-2024")</f>
        <v/>
      </c>
    </row>
    <row r="203" ht="15" customHeight="1">
      <c r="A203" t="inlineStr">
        <is>
          <t>S 316-2025</t>
        </is>
      </c>
      <c r="B203" t="inlineStr">
        <is>
          <t>samrådsanmälan</t>
        </is>
      </c>
      <c r="C203" t="inlineStr">
        <is>
          <t>Annan skogsbruksåtgärd</t>
        </is>
      </c>
      <c r="D203" s="1" t="n">
        <v>45688</v>
      </c>
      <c r="E203" s="1" t="n">
        <v>46309</v>
      </c>
      <c r="F203" t="inlineStr">
        <is>
          <t>UPPSALA LÄN</t>
        </is>
      </c>
      <c r="G203" t="inlineStr">
        <is>
          <t>UPPSALA</t>
        </is>
      </c>
      <c r="I203" t="n">
        <v>2.6</v>
      </c>
      <c r="J203" t="n">
        <v>2</v>
      </c>
      <c r="K203" t="n">
        <v>1</v>
      </c>
      <c r="L203" t="n">
        <v>4</v>
      </c>
      <c r="M203" t="n">
        <v>0</v>
      </c>
      <c r="N203" t="n">
        <v>1</v>
      </c>
      <c r="O203" t="n">
        <v>0</v>
      </c>
      <c r="P203" t="n">
        <v>0</v>
      </c>
      <c r="Q203" t="n">
        <v>5</v>
      </c>
      <c r="R203" t="n">
        <v>1</v>
      </c>
      <c r="S203" t="n">
        <v>7</v>
      </c>
      <c r="T203" t="n">
        <v>20</v>
      </c>
      <c r="U203" t="n">
        <v>1</v>
      </c>
      <c r="V203" s="2" t="inlineStr">
        <is>
          <t>Bombmurkla
Fjällig taggsvamp s.str.
Fyrflikig jordstjärna
Phellodon dititomentosus
Skarp dropptaggsvamp
Svavelriska
Blåsippa</t>
        </is>
      </c>
      <c r="W203">
        <f>HYPERLINK("https://klasma.github.io/Logging_0380/artfynd/S 316-2025 artfynd.xlsx", "S 316-2025")</f>
        <v/>
      </c>
      <c r="X203">
        <f>HYPERLINK("https://klasma.github.io/Logging_0380/kartor/S 316-2025 karta.png", "S 316-2025")</f>
        <v/>
      </c>
      <c r="Y203">
        <f>HYPERLINK("https://klasma.github.io/Logging_0380/kartor_geotiff/S 316-2025 georefererad karta.tif", "S 316-2025")</f>
        <v/>
      </c>
      <c r="AA203">
        <f>HYPERLINK("https://klasma.github.io/Logging_0380/klagomål/S 316-2025 FSC-klagomål.docx", "S 316-2025")</f>
        <v/>
      </c>
      <c r="AB203">
        <f>HYPERLINK("https://klasma.github.io/Logging_0380/klagomålsmail/S 316-2025 FSC-klagomål mail.docx", "S 316-2025")</f>
        <v/>
      </c>
      <c r="AC203">
        <f>HYPERLINK("https://klasma.github.io/Logging_0380/tillsyn/S 316-2025 tillsynsbegäran.docx", "S 316-2025")</f>
        <v/>
      </c>
      <c r="AD203">
        <f>HYPERLINK("https://klasma.github.io/Logging_0380/tillsynsmail/S 316-2025 tillsynsbegäran mail.docx", "S 316-2025")</f>
        <v/>
      </c>
    </row>
    <row r="204" ht="15" customHeight="1">
      <c r="A204" t="inlineStr">
        <is>
          <t>S 2766-2023</t>
        </is>
      </c>
      <c r="B204" t="inlineStr">
        <is>
          <t>samrådsanmälan</t>
        </is>
      </c>
      <c r="C204" t="inlineStr">
        <is>
          <t>Annan skogsbruksåtgärd</t>
        </is>
      </c>
      <c r="D204" s="1" t="n">
        <v>45160</v>
      </c>
      <c r="E204" s="1" t="n">
        <v>46309</v>
      </c>
      <c r="F204" t="inlineStr">
        <is>
          <t>UPPSALA LÄN</t>
        </is>
      </c>
      <c r="G204" t="inlineStr">
        <is>
          <t>ÖSTHAMMAR</t>
        </is>
      </c>
      <c r="H204" t="inlineStr">
        <is>
          <t>Kyrkan</t>
        </is>
      </c>
      <c r="I204" t="n">
        <v>3.6</v>
      </c>
      <c r="J204" t="n">
        <v>1</v>
      </c>
      <c r="K204" t="n">
        <v>1</v>
      </c>
      <c r="L204" t="n">
        <v>4</v>
      </c>
      <c r="M204" t="n">
        <v>1</v>
      </c>
      <c r="N204" t="n">
        <v>0</v>
      </c>
      <c r="O204" t="n">
        <v>0</v>
      </c>
      <c r="P204" t="n">
        <v>0</v>
      </c>
      <c r="Q204" t="n">
        <v>5</v>
      </c>
      <c r="R204" t="n">
        <v>1</v>
      </c>
      <c r="S204" t="n">
        <v>7</v>
      </c>
      <c r="T204" t="n">
        <v>10</v>
      </c>
      <c r="U204" t="n">
        <v>9</v>
      </c>
      <c r="V204" s="2" t="inlineStr">
        <is>
          <t>Apelticka
Motaggsvamp
Skarp dropptaggsvamp
Tallticka
Vedskivlav
Nästlav
Revlummer</t>
        </is>
      </c>
      <c r="W204">
        <f>HYPERLINK("https://klasma.github.io/Logging_0382/artfynd/S 2766-2023 artfynd.xlsx", "S 2766-2023")</f>
        <v/>
      </c>
      <c r="X204">
        <f>HYPERLINK("https://klasma.github.io/Logging_0382/kartor/S 2766-2023 karta.png", "S 2766-2023")</f>
        <v/>
      </c>
      <c r="Y204">
        <f>HYPERLINK("https://klasma.github.io/Logging_0382/kartor_geotiff/S 2766-2023 georefererad karta.tif", "S 2766-2023")</f>
        <v/>
      </c>
      <c r="AA204">
        <f>HYPERLINK("https://klasma.github.io/Logging_0382/klagomål/S 2766-2023 FSC-klagomål.docx", "S 2766-2023")</f>
        <v/>
      </c>
      <c r="AB204">
        <f>HYPERLINK("https://klasma.github.io/Logging_0382/klagomålsmail/S 2766-2023 FSC-klagomål mail.docx", "S 2766-2023")</f>
        <v/>
      </c>
      <c r="AC204">
        <f>HYPERLINK("https://klasma.github.io/Logging_0382/tillsyn/S 2766-2023 tillsynsbegäran.docx", "S 2766-2023")</f>
        <v/>
      </c>
      <c r="AD204">
        <f>HYPERLINK("https://klasma.github.io/Logging_0382/tillsynsmail/S 2766-2023 tillsynsbegäran mail.docx", "S 2766-2023")</f>
        <v/>
      </c>
    </row>
    <row r="205" ht="15" customHeight="1">
      <c r="A205" t="inlineStr">
        <is>
          <t>S 4597-2022</t>
        </is>
      </c>
      <c r="B205" t="inlineStr">
        <is>
          <t>samrådsanmälan</t>
        </is>
      </c>
      <c r="C205" t="inlineStr">
        <is>
          <t>Annan skogsbruksåtgärd</t>
        </is>
      </c>
      <c r="D205" s="1" t="n">
        <v>44791</v>
      </c>
      <c r="E205" s="1" t="n">
        <v>46309</v>
      </c>
      <c r="F205" t="inlineStr">
        <is>
          <t>UPPSALA LÄN</t>
        </is>
      </c>
      <c r="G205" t="inlineStr">
        <is>
          <t>KNIVSTA</t>
        </is>
      </c>
      <c r="H205" t="inlineStr">
        <is>
          <t>Övriga statliga verk och myndigheter</t>
        </is>
      </c>
      <c r="I205" t="n">
        <v>30.1</v>
      </c>
      <c r="J205" t="n">
        <v>3</v>
      </c>
      <c r="K205" t="n">
        <v>0</v>
      </c>
      <c r="L205" t="n">
        <v>2</v>
      </c>
      <c r="M205" t="n">
        <v>1</v>
      </c>
      <c r="N205" t="n">
        <v>1</v>
      </c>
      <c r="O205" t="n">
        <v>0</v>
      </c>
      <c r="P205" t="n">
        <v>0</v>
      </c>
      <c r="Q205" t="n">
        <v>4</v>
      </c>
      <c r="R205" t="n">
        <v>2</v>
      </c>
      <c r="S205" t="n">
        <v>7</v>
      </c>
      <c r="T205" t="n">
        <v>7</v>
      </c>
      <c r="U205" t="n">
        <v>3</v>
      </c>
      <c r="V205" s="2" t="inlineStr">
        <is>
          <t>Franstandad barkskinnbagge
Skrovlig taggsvamp
Bronspraktbagge
Tallticka
Järpe
Havsörn
Fläcknycklar</t>
        </is>
      </c>
      <c r="W205">
        <f>HYPERLINK("https://klasma.github.io/Logging_0330/artfynd/S 4597-2022 artfynd.xlsx", "S 4597-2022")</f>
        <v/>
      </c>
      <c r="X205">
        <f>HYPERLINK("https://klasma.github.io/Logging_0330/kartor/S 4597-2022 karta.png", "S 4597-2022")</f>
        <v/>
      </c>
      <c r="Y205">
        <f>HYPERLINK("https://klasma.github.io/Logging_0330/kartor_geotiff/S 4597-2022 georefererad karta.tif", "S 4597-2022")</f>
        <v/>
      </c>
      <c r="AA205">
        <f>HYPERLINK("https://klasma.github.io/Logging_0330/klagomål/S 4597-2022 FSC-klagomål.docx", "S 4597-2022")</f>
        <v/>
      </c>
      <c r="AB205">
        <f>HYPERLINK("https://klasma.github.io/Logging_0330/klagomålsmail/S 4597-2022 FSC-klagomål mail.docx", "S 4597-2022")</f>
        <v/>
      </c>
      <c r="AC205">
        <f>HYPERLINK("https://klasma.github.io/Logging_0330/tillsyn/S 4597-2022 tillsynsbegäran.docx", "S 4597-2022")</f>
        <v/>
      </c>
      <c r="AD205">
        <f>HYPERLINK("https://klasma.github.io/Logging_0330/tillsynsmail/S 4597-2022 tillsynsbegäran mail.docx", "S 4597-2022")</f>
        <v/>
      </c>
      <c r="AE205">
        <f>HYPERLINK("https://klasma.github.io/Logging_0330/fåglar/S 4597-2022 prioriterade fågelarter.docx", "S 4597-2022")</f>
        <v/>
      </c>
    </row>
    <row r="206" ht="15" customHeight="1">
      <c r="A206" t="inlineStr">
        <is>
          <t>S 2985-2024</t>
        </is>
      </c>
      <c r="B206" t="inlineStr">
        <is>
          <t>samrådsanmälan</t>
        </is>
      </c>
      <c r="C206" t="inlineStr">
        <is>
          <t>Annan skogsbruksåtgärd</t>
        </is>
      </c>
      <c r="D206" s="1" t="n">
        <v>45511</v>
      </c>
      <c r="E206" s="1" t="n">
        <v>46309</v>
      </c>
      <c r="F206" t="inlineStr">
        <is>
          <t>UPPSALA LÄN</t>
        </is>
      </c>
      <c r="G206" t="inlineStr">
        <is>
          <t>ENKÖPING</t>
        </is>
      </c>
      <c r="I206" t="n">
        <v>9.800000000000001</v>
      </c>
      <c r="J206" t="n">
        <v>0</v>
      </c>
      <c r="K206" t="n">
        <v>1</v>
      </c>
      <c r="L206" t="n">
        <v>1</v>
      </c>
      <c r="M206" t="n">
        <v>3</v>
      </c>
      <c r="N206" t="n">
        <v>2</v>
      </c>
      <c r="O206" t="n">
        <v>0</v>
      </c>
      <c r="P206" t="n">
        <v>0</v>
      </c>
      <c r="Q206" t="n">
        <v>6</v>
      </c>
      <c r="R206" t="n">
        <v>5</v>
      </c>
      <c r="S206" t="n">
        <v>7</v>
      </c>
      <c r="T206" t="n">
        <v>46</v>
      </c>
      <c r="U206" t="n">
        <v>0</v>
      </c>
      <c r="V206" s="2" t="inlineStr">
        <is>
          <t>Almrostöra
Prakttagging
Almsprängticka
Gulvit blekspik
Liten blekspik
Svartöra
Lönnlav</t>
        </is>
      </c>
      <c r="W206">
        <f>HYPERLINK("https://klasma.github.io/Logging_0381/artfynd/S 2985-2024 artfynd.xlsx", "S 2985-2024")</f>
        <v/>
      </c>
      <c r="X206">
        <f>HYPERLINK("https://klasma.github.io/Logging_0381/kartor/S 2985-2024 karta.png", "S 2985-2024")</f>
        <v/>
      </c>
      <c r="Y206">
        <f>HYPERLINK("https://klasma.github.io/Logging_0381/kartor_geotiff/S 2985-2024 georefererad karta.tif", "S 2985-2024")</f>
        <v/>
      </c>
      <c r="AA206">
        <f>HYPERLINK("https://klasma.github.io/Logging_0381/klagomål/S 2985-2024 FSC-klagomål.docx", "S 2985-2024")</f>
        <v/>
      </c>
      <c r="AB206">
        <f>HYPERLINK("https://klasma.github.io/Logging_0381/klagomålsmail/S 2985-2024 FSC-klagomål mail.docx", "S 2985-2024")</f>
        <v/>
      </c>
      <c r="AC206">
        <f>HYPERLINK("https://klasma.github.io/Logging_0381/tillsyn/S 2985-2024 tillsynsbegäran.docx", "S 2985-2024")</f>
        <v/>
      </c>
      <c r="AD206">
        <f>HYPERLINK("https://klasma.github.io/Logging_0381/tillsynsmail/S 2985-2024 tillsynsbegäran mail.docx", "S 2985-2024")</f>
        <v/>
      </c>
    </row>
    <row r="207" ht="15" customHeight="1">
      <c r="A207" t="inlineStr">
        <is>
          <t>A 14093-2022</t>
        </is>
      </c>
      <c r="B207" t="inlineStr">
        <is>
          <t>avverkningsanmälan</t>
        </is>
      </c>
      <c r="C207" t="inlineStr">
        <is>
          <t>Föryngringsavverkning</t>
        </is>
      </c>
      <c r="D207" s="1" t="n">
        <v>44651</v>
      </c>
      <c r="E207" s="1" t="n">
        <v>46309</v>
      </c>
      <c r="F207" t="inlineStr">
        <is>
          <t>UPPSALA LÄN</t>
        </is>
      </c>
      <c r="G207" t="inlineStr">
        <is>
          <t>TIERP</t>
        </is>
      </c>
      <c r="H207" t="inlineStr">
        <is>
          <t>Bergvik skog öst AB</t>
        </is>
      </c>
      <c r="I207" t="n">
        <v>3.9</v>
      </c>
      <c r="J207" t="n">
        <v>1</v>
      </c>
      <c r="K207" t="n">
        <v>5</v>
      </c>
      <c r="L207" t="n">
        <v>0</v>
      </c>
      <c r="M207" t="n">
        <v>0</v>
      </c>
      <c r="N207" t="n">
        <v>0</v>
      </c>
      <c r="O207" t="n">
        <v>0</v>
      </c>
      <c r="P207" t="n">
        <v>0</v>
      </c>
      <c r="Q207" t="n">
        <v>0</v>
      </c>
      <c r="R207" t="n">
        <v>0</v>
      </c>
      <c r="S207" t="n">
        <v>6</v>
      </c>
      <c r="T207" t="n">
        <v>6</v>
      </c>
      <c r="U207" t="n">
        <v>2</v>
      </c>
      <c r="V207" s="2" t="inlineStr">
        <is>
          <t>Björksplintborre
Jättesvampmal
Svart trolldruva
Tibast
Underviol
Blåsippa</t>
        </is>
      </c>
      <c r="W207">
        <f>HYPERLINK("https://klasma.github.io/Logging_0360/artfynd/A 14093-2022 artfynd.xlsx", "A 14093-2022")</f>
        <v/>
      </c>
      <c r="X207">
        <f>HYPERLINK("https://klasma.github.io/Logging_0360/kartor/A 14093-2022 karta.png", "A 14093-2022")</f>
        <v/>
      </c>
      <c r="Y207">
        <f>HYPERLINK("https://klasma.github.io/Logging_0360/kartor_geotiff/A 14093-2022 georefererad karta.tif", "A 14093-2022")</f>
        <v/>
      </c>
      <c r="AA207">
        <f>HYPERLINK("https://klasma.github.io/Logging_0360/klagomål/A 14093-2022 FSC-klagomål.docx", "A 14093-2022")</f>
        <v/>
      </c>
      <c r="AB207">
        <f>HYPERLINK("https://klasma.github.io/Logging_0360/klagomålsmail/A 14093-2022 FSC-klagomål mail.docx", "A 14093-2022")</f>
        <v/>
      </c>
      <c r="AC207">
        <f>HYPERLINK("https://klasma.github.io/Logging_0360/tillsyn/A 14093-2022 tillsynsbegäran.docx", "A 14093-2022")</f>
        <v/>
      </c>
      <c r="AD207">
        <f>HYPERLINK("https://klasma.github.io/Logging_0360/tillsynsmail/A 14093-2022 tillsynsbegäran mail.docx", "A 14093-2022")</f>
        <v/>
      </c>
    </row>
    <row r="208" ht="15" customHeight="1">
      <c r="A208" t="inlineStr">
        <is>
          <t>A 34147-2022</t>
        </is>
      </c>
      <c r="B208" t="inlineStr">
        <is>
          <t>avverkningsanmälan</t>
        </is>
      </c>
      <c r="C208" t="inlineStr">
        <is>
          <t>Föryngringsavverkning</t>
        </is>
      </c>
      <c r="D208" s="1" t="n">
        <v>44791</v>
      </c>
      <c r="E208" s="1" t="n">
        <v>46309</v>
      </c>
      <c r="F208" t="inlineStr">
        <is>
          <t>UPPSALA LÄN</t>
        </is>
      </c>
      <c r="G208" t="inlineStr">
        <is>
          <t>UPPSALA</t>
        </is>
      </c>
      <c r="I208" t="n">
        <v>1.9</v>
      </c>
      <c r="J208" t="n">
        <v>3</v>
      </c>
      <c r="K208" t="n">
        <v>2</v>
      </c>
      <c r="L208" t="n">
        <v>1</v>
      </c>
      <c r="M208" t="n">
        <v>0</v>
      </c>
      <c r="N208" t="n">
        <v>0</v>
      </c>
      <c r="O208" t="n">
        <v>0</v>
      </c>
      <c r="P208" t="n">
        <v>0</v>
      </c>
      <c r="Q208" t="n">
        <v>1</v>
      </c>
      <c r="R208" t="n">
        <v>0</v>
      </c>
      <c r="S208" t="n">
        <v>6</v>
      </c>
      <c r="T208" t="n">
        <v>6</v>
      </c>
      <c r="U208" t="n">
        <v>4</v>
      </c>
      <c r="V208" s="2" t="inlineStr">
        <is>
          <t>Matt starrbock
Kamjordstjärna
Stor aspticka
Blåsippa
Vanlig groda
Vanlig padda</t>
        </is>
      </c>
      <c r="W208">
        <f>HYPERLINK("https://klasma.github.io/Logging_0380/artfynd/A 34147-2022 artfynd.xlsx", "A 34147-2022")</f>
        <v/>
      </c>
      <c r="X208">
        <f>HYPERLINK("https://klasma.github.io/Logging_0380/kartor/A 34147-2022 karta.png", "A 34147-2022")</f>
        <v/>
      </c>
      <c r="Y208">
        <f>HYPERLINK("https://klasma.github.io/Logging_0380/kartor_geotiff/A 34147-2022 georefererad karta.tif", "A 34147-2022")</f>
        <v/>
      </c>
      <c r="AA208">
        <f>HYPERLINK("https://klasma.github.io/Logging_0380/klagomål/A 34147-2022 FSC-klagomål.docx", "A 34147-2022")</f>
        <v/>
      </c>
      <c r="AB208">
        <f>HYPERLINK("https://klasma.github.io/Logging_0380/klagomålsmail/A 34147-2022 FSC-klagomål mail.docx", "A 34147-2022")</f>
        <v/>
      </c>
      <c r="AC208">
        <f>HYPERLINK("https://klasma.github.io/Logging_0380/tillsyn/A 34147-2022 tillsynsbegäran.docx", "A 34147-2022")</f>
        <v/>
      </c>
      <c r="AD208">
        <f>HYPERLINK("https://klasma.github.io/Logging_0380/tillsynsmail/A 34147-2022 tillsynsbegäran mail.docx", "A 34147-2022")</f>
        <v/>
      </c>
    </row>
    <row r="209" ht="15" customHeight="1">
      <c r="A209" t="inlineStr">
        <is>
          <t>A 8865-2022</t>
        </is>
      </c>
      <c r="B209" t="inlineStr">
        <is>
          <t>avverkningsanmälan</t>
        </is>
      </c>
      <c r="C209" t="inlineStr">
        <is>
          <t>Föryngringsavverkning</t>
        </is>
      </c>
      <c r="D209" s="1" t="n">
        <v>44614</v>
      </c>
      <c r="E209" s="1" t="n">
        <v>46309</v>
      </c>
      <c r="F209" t="inlineStr">
        <is>
          <t>UPPSALA LÄN</t>
        </is>
      </c>
      <c r="G209" t="inlineStr">
        <is>
          <t>UPPSALA</t>
        </is>
      </c>
      <c r="I209" t="n">
        <v>1.1</v>
      </c>
      <c r="J209" t="n">
        <v>0</v>
      </c>
      <c r="K209" t="n">
        <v>4</v>
      </c>
      <c r="L209" t="n">
        <v>1</v>
      </c>
      <c r="M209" t="n">
        <v>1</v>
      </c>
      <c r="N209" t="n">
        <v>0</v>
      </c>
      <c r="O209" t="n">
        <v>0</v>
      </c>
      <c r="P209" t="n">
        <v>0</v>
      </c>
      <c r="Q209" t="n">
        <v>2</v>
      </c>
      <c r="R209" t="n">
        <v>1</v>
      </c>
      <c r="S209" t="n">
        <v>6</v>
      </c>
      <c r="T209" t="n">
        <v>6</v>
      </c>
      <c r="U209" t="n">
        <v>0</v>
      </c>
      <c r="V209" s="2" t="inlineStr">
        <is>
          <t>Linddyna
Gulprickig vaxskivling
Maskfingersvamp
Narrtagging
Plattad jordtunga
Sprödvaxing</t>
        </is>
      </c>
      <c r="W209">
        <f>HYPERLINK("https://klasma.github.io/Logging_0380/artfynd/A 8865-2022 artfynd.xlsx", "A 8865-2022")</f>
        <v/>
      </c>
      <c r="X209">
        <f>HYPERLINK("https://klasma.github.io/Logging_0380/kartor/A 8865-2022 karta.png", "A 8865-2022")</f>
        <v/>
      </c>
      <c r="Y209">
        <f>HYPERLINK("https://klasma.github.io/Logging_0380/kartor_geotiff/A 8865-2022 georefererad karta.tif", "A 8865-2022")</f>
        <v/>
      </c>
      <c r="AA209">
        <f>HYPERLINK("https://klasma.github.io/Logging_0380/klagomål/A 8865-2022 FSC-klagomål.docx", "A 8865-2022")</f>
        <v/>
      </c>
      <c r="AB209">
        <f>HYPERLINK("https://klasma.github.io/Logging_0380/klagomålsmail/A 8865-2022 FSC-klagomål mail.docx", "A 8865-2022")</f>
        <v/>
      </c>
      <c r="AC209">
        <f>HYPERLINK("https://klasma.github.io/Logging_0380/tillsyn/A 8865-2022 tillsynsbegäran.docx", "A 8865-2022")</f>
        <v/>
      </c>
      <c r="AD209">
        <f>HYPERLINK("https://klasma.github.io/Logging_0380/tillsynsmail/A 8865-2022 tillsynsbegäran mail.docx", "A 8865-2022")</f>
        <v/>
      </c>
    </row>
    <row r="210" ht="15" customHeight="1">
      <c r="A210" t="inlineStr">
        <is>
          <t>A 32140-2022</t>
        </is>
      </c>
      <c r="B210" t="inlineStr">
        <is>
          <t>avverkningsanmälan</t>
        </is>
      </c>
      <c r="C210" t="inlineStr">
        <is>
          <t>Föryngringsavverkning</t>
        </is>
      </c>
      <c r="D210" s="1" t="n">
        <v>44779</v>
      </c>
      <c r="E210" s="1" t="n">
        <v>46309</v>
      </c>
      <c r="F210" t="inlineStr">
        <is>
          <t>UPPSALA LÄN</t>
        </is>
      </c>
      <c r="G210" t="inlineStr">
        <is>
          <t>ÖSTHAMMAR</t>
        </is>
      </c>
      <c r="I210" t="n">
        <v>1.7</v>
      </c>
      <c r="J210" t="n">
        <v>3</v>
      </c>
      <c r="K210" t="n">
        <v>1</v>
      </c>
      <c r="L210" t="n">
        <v>2</v>
      </c>
      <c r="M210" t="n">
        <v>1</v>
      </c>
      <c r="N210" t="n">
        <v>0</v>
      </c>
      <c r="O210" t="n">
        <v>0</v>
      </c>
      <c r="P210" t="n">
        <v>0</v>
      </c>
      <c r="Q210" t="n">
        <v>3</v>
      </c>
      <c r="R210" t="n">
        <v>1</v>
      </c>
      <c r="S210" t="n">
        <v>6</v>
      </c>
      <c r="T210" t="n">
        <v>30</v>
      </c>
      <c r="U210" t="n">
        <v>30</v>
      </c>
      <c r="V210" s="2" t="inlineStr">
        <is>
          <t>Knärot
Fjällig taggsvamp s.str.
Skarp dropptaggsvamp
Svavelriska
Blåsippa
Spillkråka</t>
        </is>
      </c>
      <c r="W210">
        <f>HYPERLINK("https://klasma.github.io/Logging_0382/artfynd/A 32140-2022 artfynd.xlsx", "A 32140-2022")</f>
        <v/>
      </c>
      <c r="X210">
        <f>HYPERLINK("https://klasma.github.io/Logging_0382/kartor/A 32140-2022 karta.png", "A 32140-2022")</f>
        <v/>
      </c>
      <c r="Y210">
        <f>HYPERLINK("https://klasma.github.io/Logging_0382/kartor_geotiff/A 32140-2022 georefererad karta.tif", "A 32140-2022")</f>
        <v/>
      </c>
      <c r="Z210">
        <f>HYPERLINK("https://klasma.github.io/Logging_0382/knärot/A 32140-2022 karta knärot.png", "A 32140-2022")</f>
        <v/>
      </c>
      <c r="AA210">
        <f>HYPERLINK("https://klasma.github.io/Logging_0382/klagomål/A 32140-2022 FSC-klagomål.docx", "A 32140-2022")</f>
        <v/>
      </c>
      <c r="AB210">
        <f>HYPERLINK("https://klasma.github.io/Logging_0382/klagomålsmail/A 32140-2022 FSC-klagomål mail.docx", "A 32140-2022")</f>
        <v/>
      </c>
      <c r="AC210">
        <f>HYPERLINK("https://klasma.github.io/Logging_0382/tillsyn/A 32140-2022 tillsynsbegäran.docx", "A 32140-2022")</f>
        <v/>
      </c>
      <c r="AD210">
        <f>HYPERLINK("https://klasma.github.io/Logging_0382/tillsynsmail/A 32140-2022 tillsynsbegäran mail.docx", "A 32140-2022")</f>
        <v/>
      </c>
      <c r="AE210">
        <f>HYPERLINK("https://klasma.github.io/Logging_0382/fåglar/A 32140-2022 prioriterade fågelarter.docx", "A 32140-2022")</f>
        <v/>
      </c>
    </row>
    <row r="211" ht="15" customHeight="1">
      <c r="A211" t="inlineStr">
        <is>
          <t>A 48687-2023</t>
        </is>
      </c>
      <c r="B211" t="inlineStr">
        <is>
          <t>avverkningsanmälan</t>
        </is>
      </c>
      <c r="C211" t="inlineStr">
        <is>
          <t>Föryngringsavverkning</t>
        </is>
      </c>
      <c r="D211" s="1" t="n">
        <v>45208</v>
      </c>
      <c r="E211" s="1" t="n">
        <v>46309</v>
      </c>
      <c r="F211" t="inlineStr">
        <is>
          <t>UPPSALA LÄN</t>
        </is>
      </c>
      <c r="G211" t="inlineStr">
        <is>
          <t>TIERP</t>
        </is>
      </c>
      <c r="H211" t="inlineStr">
        <is>
          <t>Bergvik skog öst AB</t>
        </is>
      </c>
      <c r="I211" t="n">
        <v>2.6</v>
      </c>
      <c r="J211" t="n">
        <v>5</v>
      </c>
      <c r="K211" t="n">
        <v>1</v>
      </c>
      <c r="L211" t="n">
        <v>4</v>
      </c>
      <c r="M211" t="n">
        <v>0</v>
      </c>
      <c r="N211" t="n">
        <v>0</v>
      </c>
      <c r="O211" t="n">
        <v>0</v>
      </c>
      <c r="P211" t="n">
        <v>0</v>
      </c>
      <c r="Q211" t="n">
        <v>4</v>
      </c>
      <c r="R211" t="n">
        <v>0</v>
      </c>
      <c r="S211" t="n">
        <v>6</v>
      </c>
      <c r="T211" t="n">
        <v>10</v>
      </c>
      <c r="U211" t="n">
        <v>5</v>
      </c>
      <c r="V211" s="2" t="inlineStr">
        <is>
          <t>Gulsparv
Järnsparv
Klasefibbla
Rödvingetrast
Skogsknipprot
Kungsfågel</t>
        </is>
      </c>
      <c r="W211">
        <f>HYPERLINK("https://klasma.github.io/Logging_0360/artfynd/A 48687-2023 artfynd.xlsx", "A 48687-2023")</f>
        <v/>
      </c>
      <c r="X211">
        <f>HYPERLINK("https://klasma.github.io/Logging_0360/kartor/A 48687-2023 karta.png", "A 48687-2023")</f>
        <v/>
      </c>
      <c r="Y211">
        <f>HYPERLINK("https://klasma.github.io/Logging_0360/kartor_geotiff/A 48687-2023 georefererad karta.tif", "A 48687-2023")</f>
        <v/>
      </c>
      <c r="AA211">
        <f>HYPERLINK("https://klasma.github.io/Logging_0360/klagomål/A 48687-2023 FSC-klagomål.docx", "A 48687-2023")</f>
        <v/>
      </c>
      <c r="AB211">
        <f>HYPERLINK("https://klasma.github.io/Logging_0360/klagomålsmail/A 48687-2023 FSC-klagomål mail.docx", "A 48687-2023")</f>
        <v/>
      </c>
      <c r="AC211">
        <f>HYPERLINK("https://klasma.github.io/Logging_0360/tillsyn/A 48687-2023 tillsynsbegäran.docx", "A 48687-2023")</f>
        <v/>
      </c>
      <c r="AD211">
        <f>HYPERLINK("https://klasma.github.io/Logging_0360/tillsynsmail/A 48687-2023 tillsynsbegäran mail.docx", "A 48687-2023")</f>
        <v/>
      </c>
      <c r="AE211">
        <f>HYPERLINK("https://klasma.github.io/Logging_0360/fåglar/A 48687-2023 prioriterade fågelarter.docx", "A 48687-2023")</f>
        <v/>
      </c>
    </row>
    <row r="212" ht="15" customHeight="1">
      <c r="A212" t="inlineStr">
        <is>
          <t>A 8323-2023</t>
        </is>
      </c>
      <c r="B212" t="inlineStr">
        <is>
          <t>avverkningsanmälan</t>
        </is>
      </c>
      <c r="C212" t="inlineStr">
        <is>
          <t>Föryngringsavverkning</t>
        </is>
      </c>
      <c r="D212" s="1" t="n">
        <v>44974</v>
      </c>
      <c r="E212" s="1" t="n">
        <v>46309</v>
      </c>
      <c r="F212" t="inlineStr">
        <is>
          <t>UPPSALA LÄN</t>
        </is>
      </c>
      <c r="G212" t="inlineStr">
        <is>
          <t>UPPSALA</t>
        </is>
      </c>
      <c r="I212" t="n">
        <v>9.4</v>
      </c>
      <c r="J212" t="n">
        <v>3</v>
      </c>
      <c r="K212" t="n">
        <v>2</v>
      </c>
      <c r="L212" t="n">
        <v>1</v>
      </c>
      <c r="M212" t="n">
        <v>0</v>
      </c>
      <c r="N212" t="n">
        <v>0</v>
      </c>
      <c r="O212" t="n">
        <v>0</v>
      </c>
      <c r="P212" t="n">
        <v>0</v>
      </c>
      <c r="Q212" t="n">
        <v>1</v>
      </c>
      <c r="R212" t="n">
        <v>0</v>
      </c>
      <c r="S212" t="n">
        <v>6</v>
      </c>
      <c r="T212" t="n">
        <v>6</v>
      </c>
      <c r="U212" t="n">
        <v>5</v>
      </c>
      <c r="V212" s="2" t="inlineStr">
        <is>
          <t>Tallkötticka
Blodticka
Grönpyrola
Tjäder
Vanlig groda
Revlummer</t>
        </is>
      </c>
      <c r="W212">
        <f>HYPERLINK("https://klasma.github.io/Logging_0380/artfynd/A 8323-2023 artfynd.xlsx", "A 8323-2023")</f>
        <v/>
      </c>
      <c r="X212">
        <f>HYPERLINK("https://klasma.github.io/Logging_0380/kartor/A 8323-2023 karta.png", "A 8323-2023")</f>
        <v/>
      </c>
      <c r="Y212">
        <f>HYPERLINK("https://klasma.github.io/Logging_0380/kartor_geotiff/A 8323-2023 georefererad karta.tif", "A 8323-2023")</f>
        <v/>
      </c>
      <c r="AA212">
        <f>HYPERLINK("https://klasma.github.io/Logging_0380/klagomål/A 8323-2023 FSC-klagomål.docx", "A 8323-2023")</f>
        <v/>
      </c>
      <c r="AB212">
        <f>HYPERLINK("https://klasma.github.io/Logging_0380/klagomålsmail/A 8323-2023 FSC-klagomål mail.docx", "A 8323-2023")</f>
        <v/>
      </c>
      <c r="AC212">
        <f>HYPERLINK("https://klasma.github.io/Logging_0380/tillsyn/A 8323-2023 tillsynsbegäran.docx", "A 8323-2023")</f>
        <v/>
      </c>
      <c r="AD212">
        <f>HYPERLINK("https://klasma.github.io/Logging_0380/tillsynsmail/A 8323-2023 tillsynsbegäran mail.docx", "A 8323-2023")</f>
        <v/>
      </c>
      <c r="AE212">
        <f>HYPERLINK("https://klasma.github.io/Logging_0380/fåglar/A 8323-2023 prioriterade fågelarter.docx", "A 8323-2023")</f>
        <v/>
      </c>
    </row>
    <row r="213" ht="15" customHeight="1">
      <c r="A213" t="inlineStr">
        <is>
          <t>A 8507-2023</t>
        </is>
      </c>
      <c r="B213" t="inlineStr">
        <is>
          <t>avverkningsanmälan</t>
        </is>
      </c>
      <c r="C213" t="inlineStr">
        <is>
          <t>Föryngringsavverkning</t>
        </is>
      </c>
      <c r="D213" s="1" t="n">
        <v>44977</v>
      </c>
      <c r="E213" s="1" t="n">
        <v>46309</v>
      </c>
      <c r="F213" t="inlineStr">
        <is>
          <t>UPPSALA LÄN</t>
        </is>
      </c>
      <c r="G213" t="inlineStr">
        <is>
          <t>TIERP</t>
        </is>
      </c>
      <c r="H213" t="inlineStr">
        <is>
          <t>Bergvik skog väst AB</t>
        </is>
      </c>
      <c r="I213" t="n">
        <v>7.6</v>
      </c>
      <c r="J213" t="n">
        <v>1</v>
      </c>
      <c r="K213" t="n">
        <v>0</v>
      </c>
      <c r="L213" t="n">
        <v>4</v>
      </c>
      <c r="M213" t="n">
        <v>0</v>
      </c>
      <c r="N213" t="n">
        <v>1</v>
      </c>
      <c r="O213" t="n">
        <v>0</v>
      </c>
      <c r="P213" t="n">
        <v>0</v>
      </c>
      <c r="Q213" t="n">
        <v>5</v>
      </c>
      <c r="R213" t="n">
        <v>1</v>
      </c>
      <c r="S213" t="n">
        <v>6</v>
      </c>
      <c r="T213" t="n">
        <v>15</v>
      </c>
      <c r="U213" t="n">
        <v>13</v>
      </c>
      <c r="V213" s="2" t="inlineStr">
        <is>
          <t>Violgubbe
Dofttaggsvamp
Dropptaggsvamp
Flattoppad klubbsvamp
Orange taggsvamp
Spillkråka</t>
        </is>
      </c>
      <c r="W213">
        <f>HYPERLINK("https://klasma.github.io/Logging_0360/artfynd/A 8507-2023 artfynd.xlsx", "A 8507-2023")</f>
        <v/>
      </c>
      <c r="X213">
        <f>HYPERLINK("https://klasma.github.io/Logging_0360/kartor/A 8507-2023 karta.png", "A 8507-2023")</f>
        <v/>
      </c>
      <c r="Y213">
        <f>HYPERLINK("https://klasma.github.io/Logging_0360/kartor_geotiff/A 8507-2023 georefererad karta.tif", "A 8507-2023")</f>
        <v/>
      </c>
      <c r="AA213">
        <f>HYPERLINK("https://klasma.github.io/Logging_0360/klagomål/A 8507-2023 FSC-klagomål.docx", "A 8507-2023")</f>
        <v/>
      </c>
      <c r="AB213">
        <f>HYPERLINK("https://klasma.github.io/Logging_0360/klagomålsmail/A 8507-2023 FSC-klagomål mail.docx", "A 8507-2023")</f>
        <v/>
      </c>
      <c r="AC213">
        <f>HYPERLINK("https://klasma.github.io/Logging_0360/tillsyn/A 8507-2023 tillsynsbegäran.docx", "A 8507-2023")</f>
        <v/>
      </c>
      <c r="AD213">
        <f>HYPERLINK("https://klasma.github.io/Logging_0360/tillsynsmail/A 8507-2023 tillsynsbegäran mail.docx", "A 8507-2023")</f>
        <v/>
      </c>
      <c r="AE213">
        <f>HYPERLINK("https://klasma.github.io/Logging_0360/fåglar/A 8507-2023 prioriterade fågelarter.docx", "A 8507-2023")</f>
        <v/>
      </c>
    </row>
    <row r="214" ht="15" customHeight="1">
      <c r="A214" t="inlineStr">
        <is>
          <t>A 19258-2026</t>
        </is>
      </c>
      <c r="B214" t="inlineStr">
        <is>
          <t>avverkningsanmälan</t>
        </is>
      </c>
      <c r="C214" t="inlineStr">
        <is>
          <t>Föryngringsavverkning</t>
        </is>
      </c>
      <c r="D214" s="1" t="n">
        <v>46132</v>
      </c>
      <c r="E214" s="1" t="n">
        <v>46309</v>
      </c>
      <c r="F214" t="inlineStr">
        <is>
          <t>UPPSALA LÄN</t>
        </is>
      </c>
      <c r="G214" t="inlineStr">
        <is>
          <t>ÖSTHAMMAR</t>
        </is>
      </c>
      <c r="H214" t="inlineStr">
        <is>
          <t>Naturvårdsverket</t>
        </is>
      </c>
      <c r="I214" t="n">
        <v>18.6</v>
      </c>
      <c r="J214" t="n">
        <v>0</v>
      </c>
      <c r="K214" t="n">
        <v>4</v>
      </c>
      <c r="L214" t="n">
        <v>2</v>
      </c>
      <c r="M214" t="n">
        <v>0</v>
      </c>
      <c r="N214" t="n">
        <v>0</v>
      </c>
      <c r="O214" t="n">
        <v>0</v>
      </c>
      <c r="P214" t="n">
        <v>0</v>
      </c>
      <c r="Q214" t="n">
        <v>2</v>
      </c>
      <c r="R214" t="n">
        <v>0</v>
      </c>
      <c r="S214" t="n">
        <v>6</v>
      </c>
      <c r="T214" t="n">
        <v>7</v>
      </c>
      <c r="U214" t="n">
        <v>7</v>
      </c>
      <c r="V214" s="2" t="inlineStr">
        <is>
          <t>Fjällig taggsvamp s.str.
Skarp dropptaggsvamp
Granbarkgnagare
Grönpyrola
Stubbspretmossa
Svavelriska</t>
        </is>
      </c>
      <c r="W214">
        <f>HYPERLINK("https://klasma.github.io/Logging_0382/artfynd/A 19258-2026 artfynd.xlsx", "A 19258-2026")</f>
        <v/>
      </c>
      <c r="X214">
        <f>HYPERLINK("https://klasma.github.io/Logging_0382/kartor/A 19258-2026 karta.png", "A 19258-2026")</f>
        <v/>
      </c>
      <c r="Y214">
        <f>HYPERLINK("https://klasma.github.io/Logging_0382/kartor_geotiff/A 19258-2026 georefererad karta.tif", "A 19258-2026")</f>
        <v/>
      </c>
      <c r="AA214">
        <f>HYPERLINK("https://klasma.github.io/Logging_0382/klagomål/A 19258-2026 FSC-klagomål.docx", "A 19258-2026")</f>
        <v/>
      </c>
      <c r="AB214">
        <f>HYPERLINK("https://klasma.github.io/Logging_0382/klagomålsmail/A 19258-2026 FSC-klagomål mail.docx", "A 19258-2026")</f>
        <v/>
      </c>
      <c r="AC214">
        <f>HYPERLINK("https://klasma.github.io/Logging_0382/tillsyn/A 19258-2026 tillsynsbegäran.docx", "A 19258-2026")</f>
        <v/>
      </c>
      <c r="AD214">
        <f>HYPERLINK("https://klasma.github.io/Logging_0382/tillsynsmail/A 19258-2026 tillsynsbegäran mail.docx", "A 19258-2026")</f>
        <v/>
      </c>
    </row>
    <row r="215" ht="15" customHeight="1">
      <c r="A215" t="inlineStr">
        <is>
          <t>A 6602-2023</t>
        </is>
      </c>
      <c r="B215" t="inlineStr">
        <is>
          <t>avverkningsanmälan</t>
        </is>
      </c>
      <c r="C215" t="inlineStr">
        <is>
          <t>Föryngringsavverkning</t>
        </is>
      </c>
      <c r="D215" s="1" t="n">
        <v>44966</v>
      </c>
      <c r="E215" s="1" t="n">
        <v>46309</v>
      </c>
      <c r="F215" t="inlineStr">
        <is>
          <t>UPPSALA LÄN</t>
        </is>
      </c>
      <c r="G215" t="inlineStr">
        <is>
          <t>UPPSALA</t>
        </is>
      </c>
      <c r="H215" t="inlineStr">
        <is>
          <t>Allmännings- och besparingsskogar</t>
        </is>
      </c>
      <c r="I215" t="n">
        <v>20.2</v>
      </c>
      <c r="J215" t="n">
        <v>1</v>
      </c>
      <c r="K215" t="n">
        <v>3</v>
      </c>
      <c r="L215" t="n">
        <v>2</v>
      </c>
      <c r="M215" t="n">
        <v>0</v>
      </c>
      <c r="N215" t="n">
        <v>0</v>
      </c>
      <c r="O215" t="n">
        <v>0</v>
      </c>
      <c r="P215" t="n">
        <v>0</v>
      </c>
      <c r="Q215" t="n">
        <v>2</v>
      </c>
      <c r="R215" t="n">
        <v>0</v>
      </c>
      <c r="S215" t="n">
        <v>6</v>
      </c>
      <c r="T215" t="n">
        <v>11</v>
      </c>
      <c r="U215" t="n">
        <v>0</v>
      </c>
      <c r="V215" s="2" t="inlineStr">
        <is>
          <t>Gullpudra
Vårärt
Stubbspretmossa
Svart trolldruva
Trubbfjädermossa
Blåsippa</t>
        </is>
      </c>
      <c r="W215">
        <f>HYPERLINK("https://klasma.github.io/Logging_0380/artfynd/A 6602-2023 artfynd.xlsx", "A 6602-2023")</f>
        <v/>
      </c>
      <c r="X215">
        <f>HYPERLINK("https://klasma.github.io/Logging_0380/kartor/A 6602-2023 karta.png", "A 6602-2023")</f>
        <v/>
      </c>
      <c r="Y215">
        <f>HYPERLINK("https://klasma.github.io/Logging_0380/kartor_geotiff/A 6602-2023 georefererad karta.tif", "A 6602-2023")</f>
        <v/>
      </c>
      <c r="AA215">
        <f>HYPERLINK("https://klasma.github.io/Logging_0380/klagomål/A 6602-2023 FSC-klagomål.docx", "A 6602-2023")</f>
        <v/>
      </c>
      <c r="AB215">
        <f>HYPERLINK("https://klasma.github.io/Logging_0380/klagomålsmail/A 6602-2023 FSC-klagomål mail.docx", "A 6602-2023")</f>
        <v/>
      </c>
      <c r="AC215">
        <f>HYPERLINK("https://klasma.github.io/Logging_0380/tillsyn/A 6602-2023 tillsynsbegäran.docx", "A 6602-2023")</f>
        <v/>
      </c>
      <c r="AD215">
        <f>HYPERLINK("https://klasma.github.io/Logging_0380/tillsynsmail/A 6602-2023 tillsynsbegäran mail.docx", "A 6602-2023")</f>
        <v/>
      </c>
    </row>
    <row r="216" ht="15" customHeight="1">
      <c r="A216" t="inlineStr">
        <is>
          <t>A 22010-2025</t>
        </is>
      </c>
      <c r="B216" t="inlineStr">
        <is>
          <t>avverkningsanmälan</t>
        </is>
      </c>
      <c r="C216" t="inlineStr">
        <is>
          <t>Föryngringsavverkning</t>
        </is>
      </c>
      <c r="D216" s="1" t="n">
        <v>45784</v>
      </c>
      <c r="E216" s="1" t="n">
        <v>46309</v>
      </c>
      <c r="F216" t="inlineStr">
        <is>
          <t>UPPSALA LÄN</t>
        </is>
      </c>
      <c r="G216" t="inlineStr">
        <is>
          <t>HÅBO</t>
        </is>
      </c>
      <c r="H216" t="inlineStr">
        <is>
          <t>Kyrkan</t>
        </is>
      </c>
      <c r="I216" t="n">
        <v>2.8</v>
      </c>
      <c r="J216" t="n">
        <v>1</v>
      </c>
      <c r="K216" t="n">
        <v>0</v>
      </c>
      <c r="L216" t="n">
        <v>5</v>
      </c>
      <c r="M216" t="n">
        <v>1</v>
      </c>
      <c r="N216" t="n">
        <v>0</v>
      </c>
      <c r="O216" t="n">
        <v>0</v>
      </c>
      <c r="P216" t="n">
        <v>0</v>
      </c>
      <c r="Q216" t="n">
        <v>6</v>
      </c>
      <c r="R216" t="n">
        <v>1</v>
      </c>
      <c r="S216" t="n">
        <v>6</v>
      </c>
      <c r="T216" t="n">
        <v>9</v>
      </c>
      <c r="U216" t="n">
        <v>0</v>
      </c>
      <c r="V216" s="2" t="inlineStr">
        <is>
          <t>Backsippa
Axveronika
Backtimjan
Flentimotej
Sminkrot
Vårärt</t>
        </is>
      </c>
      <c r="W216">
        <f>HYPERLINK("https://klasma.github.io/Logging_0305/artfynd/A 22010-2025 artfynd.xlsx", "A 22010-2025")</f>
        <v/>
      </c>
      <c r="X216">
        <f>HYPERLINK("https://klasma.github.io/Logging_0305/kartor/A 22010-2025 karta.png", "A 22010-2025")</f>
        <v/>
      </c>
      <c r="Y216">
        <f>HYPERLINK("https://klasma.github.io/Logging_0305/kartor_geotiff/A 22010-2025 georefererad karta.tif", "A 22010-2025")</f>
        <v/>
      </c>
      <c r="AA216">
        <f>HYPERLINK("https://klasma.github.io/Logging_0305/klagomål/A 22010-2025 FSC-klagomål.docx", "A 22010-2025")</f>
        <v/>
      </c>
      <c r="AB216">
        <f>HYPERLINK("https://klasma.github.io/Logging_0305/klagomålsmail/A 22010-2025 FSC-klagomål mail.docx", "A 22010-2025")</f>
        <v/>
      </c>
      <c r="AC216">
        <f>HYPERLINK("https://klasma.github.io/Logging_0305/tillsyn/A 22010-2025 tillsynsbegäran.docx", "A 22010-2025")</f>
        <v/>
      </c>
      <c r="AD216">
        <f>HYPERLINK("https://klasma.github.io/Logging_0305/tillsynsmail/A 22010-2025 tillsynsbegäran mail.docx", "A 22010-2025")</f>
        <v/>
      </c>
    </row>
    <row r="217" ht="15" customHeight="1">
      <c r="A217" t="inlineStr">
        <is>
          <t>A 24563-2022</t>
        </is>
      </c>
      <c r="B217" t="inlineStr">
        <is>
          <t>avverkningsanmälan</t>
        </is>
      </c>
      <c r="C217" t="inlineStr">
        <is>
          <t>Föryngringsavverkning</t>
        </is>
      </c>
      <c r="D217" s="1" t="n">
        <v>44727</v>
      </c>
      <c r="E217" s="1" t="n">
        <v>46309</v>
      </c>
      <c r="F217" t="inlineStr">
        <is>
          <t>UPPSALA LÄN</t>
        </is>
      </c>
      <c r="G217" t="inlineStr">
        <is>
          <t>ÖSTHAMMAR</t>
        </is>
      </c>
      <c r="I217" t="n">
        <v>7.4</v>
      </c>
      <c r="J217" t="n">
        <v>0</v>
      </c>
      <c r="K217" t="n">
        <v>4</v>
      </c>
      <c r="L217" t="n">
        <v>0</v>
      </c>
      <c r="M217" t="n">
        <v>1</v>
      </c>
      <c r="N217" t="n">
        <v>1</v>
      </c>
      <c r="O217" t="n">
        <v>0</v>
      </c>
      <c r="P217" t="n">
        <v>0</v>
      </c>
      <c r="Q217" t="n">
        <v>2</v>
      </c>
      <c r="R217" t="n">
        <v>2</v>
      </c>
      <c r="S217" t="n">
        <v>6</v>
      </c>
      <c r="T217" t="n">
        <v>10</v>
      </c>
      <c r="U217" t="n">
        <v>0</v>
      </c>
      <c r="V217" s="2" t="inlineStr">
        <is>
          <t>Koppartaggsvamp
Gul lammticka
Anisspindling
Kamjordstjärna
Olivspindling
Rödgul trumpetsvamp</t>
        </is>
      </c>
      <c r="W217">
        <f>HYPERLINK("https://klasma.github.io/Logging_0382/artfynd/A 24563-2022 artfynd.xlsx", "A 24563-2022")</f>
        <v/>
      </c>
      <c r="X217">
        <f>HYPERLINK("https://klasma.github.io/Logging_0382/kartor/A 24563-2022 karta.png", "A 24563-2022")</f>
        <v/>
      </c>
      <c r="Y217">
        <f>HYPERLINK("https://klasma.github.io/Logging_0382/kartor_geotiff/A 24563-2022 georefererad karta.tif", "A 24563-2022")</f>
        <v/>
      </c>
      <c r="AA217">
        <f>HYPERLINK("https://klasma.github.io/Logging_0382/klagomål/A 24563-2022 FSC-klagomål.docx", "A 24563-2022")</f>
        <v/>
      </c>
      <c r="AB217">
        <f>HYPERLINK("https://klasma.github.io/Logging_0382/klagomålsmail/A 24563-2022 FSC-klagomål mail.docx", "A 24563-2022")</f>
        <v/>
      </c>
      <c r="AC217">
        <f>HYPERLINK("https://klasma.github.io/Logging_0382/tillsyn/A 24563-2022 tillsynsbegäran.docx", "A 24563-2022")</f>
        <v/>
      </c>
      <c r="AD217">
        <f>HYPERLINK("https://klasma.github.io/Logging_0382/tillsynsmail/A 24563-2022 tillsynsbegäran mail.docx", "A 24563-2022")</f>
        <v/>
      </c>
    </row>
    <row r="218" ht="15" customHeight="1">
      <c r="A218" t="inlineStr">
        <is>
          <t>A 21717-2026</t>
        </is>
      </c>
      <c r="B218" t="inlineStr">
        <is>
          <t>avverkningsanmälan</t>
        </is>
      </c>
      <c r="C218" t="inlineStr">
        <is>
          <t>Föryngringsavverkning</t>
        </is>
      </c>
      <c r="D218" s="1" t="n">
        <v>46149</v>
      </c>
      <c r="E218" s="1" t="n">
        <v>46309</v>
      </c>
      <c r="F218" t="inlineStr">
        <is>
          <t>UPPSALA LÄN</t>
        </is>
      </c>
      <c r="G218" t="inlineStr">
        <is>
          <t>HEBY</t>
        </is>
      </c>
      <c r="I218" t="n">
        <v>14.1</v>
      </c>
      <c r="J218" t="n">
        <v>1</v>
      </c>
      <c r="K218" t="n">
        <v>2</v>
      </c>
      <c r="L218" t="n">
        <v>2</v>
      </c>
      <c r="M218" t="n">
        <v>1</v>
      </c>
      <c r="N218" t="n">
        <v>0</v>
      </c>
      <c r="O218" t="n">
        <v>0</v>
      </c>
      <c r="P218" t="n">
        <v>0</v>
      </c>
      <c r="Q218" t="n">
        <v>3</v>
      </c>
      <c r="R218" t="n">
        <v>1</v>
      </c>
      <c r="S218" t="n">
        <v>6</v>
      </c>
      <c r="T218" t="n">
        <v>8</v>
      </c>
      <c r="U218" t="n">
        <v>3</v>
      </c>
      <c r="V218" s="2" t="inlineStr">
        <is>
          <t>Rotfingersvamp
Motaggsvamp
Tvåfläckig kvickbagge
Grönpyrola
Plattlummer
Fönsterlav</t>
        </is>
      </c>
      <c r="W218">
        <f>HYPERLINK("https://klasma.github.io/Logging_0331/artfynd/A 21717-2026 artfynd.xlsx", "A 21717-2026")</f>
        <v/>
      </c>
      <c r="X218">
        <f>HYPERLINK("https://klasma.github.io/Logging_0331/kartor/A 21717-2026 karta.png", "A 21717-2026")</f>
        <v/>
      </c>
      <c r="Y218">
        <f>HYPERLINK("https://klasma.github.io/Logging_0331/kartor_geotiff/A 21717-2026 georefererad karta.tif", "A 21717-2026")</f>
        <v/>
      </c>
      <c r="Z218">
        <f>HYPERLINK("https://klasma.github.io/Logging_0331/knärot/A 21717-2026 karta knärot.png", "A 21717-2026")</f>
        <v/>
      </c>
      <c r="AA218">
        <f>HYPERLINK("https://klasma.github.io/Logging_0331/klagomål/A 21717-2026 FSC-klagomål.docx", "A 21717-2026")</f>
        <v/>
      </c>
      <c r="AB218">
        <f>HYPERLINK("https://klasma.github.io/Logging_0331/klagomålsmail/A 21717-2026 FSC-klagomål mail.docx", "A 21717-2026")</f>
        <v/>
      </c>
      <c r="AC218">
        <f>HYPERLINK("https://klasma.github.io/Logging_0331/tillsyn/A 21717-2026 tillsynsbegäran.docx", "A 21717-2026")</f>
        <v/>
      </c>
      <c r="AD218">
        <f>HYPERLINK("https://klasma.github.io/Logging_0331/tillsynsmail/A 21717-2026 tillsynsbegäran mail.docx", "A 21717-2026")</f>
        <v/>
      </c>
    </row>
    <row r="219" ht="15" customHeight="1">
      <c r="A219" t="inlineStr">
        <is>
          <t>A 48277-2023</t>
        </is>
      </c>
      <c r="B219" t="inlineStr">
        <is>
          <t>avverkningsanmälan</t>
        </is>
      </c>
      <c r="C219" t="inlineStr">
        <is>
          <t>Föryngringsavverkning</t>
        </is>
      </c>
      <c r="D219" s="1" t="n">
        <v>45205</v>
      </c>
      <c r="E219" s="1" t="n">
        <v>46309</v>
      </c>
      <c r="F219" t="inlineStr">
        <is>
          <t>UPPSALA LÄN</t>
        </is>
      </c>
      <c r="G219" t="inlineStr">
        <is>
          <t>ÖSTHAMMAR</t>
        </is>
      </c>
      <c r="I219" t="n">
        <v>4.2</v>
      </c>
      <c r="J219" t="n">
        <v>2</v>
      </c>
      <c r="K219" t="n">
        <v>2</v>
      </c>
      <c r="L219" t="n">
        <v>2</v>
      </c>
      <c r="M219" t="n">
        <v>1</v>
      </c>
      <c r="N219" t="n">
        <v>0</v>
      </c>
      <c r="O219" t="n">
        <v>0</v>
      </c>
      <c r="P219" t="n">
        <v>0</v>
      </c>
      <c r="Q219" t="n">
        <v>3</v>
      </c>
      <c r="R219" t="n">
        <v>1</v>
      </c>
      <c r="S219" t="n">
        <v>6</v>
      </c>
      <c r="T219" t="n">
        <v>10</v>
      </c>
      <c r="U219" t="n">
        <v>5</v>
      </c>
      <c r="V219" s="2" t="inlineStr">
        <is>
          <t>Gul lammticka
Odörspindling
Sårläka
Nästrot
Zontaggsvamp
Gröngöling</t>
        </is>
      </c>
      <c r="W219">
        <f>HYPERLINK("https://klasma.github.io/Logging_0382/artfynd/A 48277-2023 artfynd.xlsx", "A 48277-2023")</f>
        <v/>
      </c>
      <c r="X219">
        <f>HYPERLINK("https://klasma.github.io/Logging_0382/kartor/A 48277-2023 karta.png", "A 48277-2023")</f>
        <v/>
      </c>
      <c r="Y219">
        <f>HYPERLINK("https://klasma.github.io/Logging_0382/kartor_geotiff/A 48277-2023 georefererad karta.tif", "A 48277-2023")</f>
        <v/>
      </c>
      <c r="AA219">
        <f>HYPERLINK("https://klasma.github.io/Logging_0382/klagomål/A 48277-2023 FSC-klagomål.docx", "A 48277-2023")</f>
        <v/>
      </c>
      <c r="AB219">
        <f>HYPERLINK("https://klasma.github.io/Logging_0382/klagomålsmail/A 48277-2023 FSC-klagomål mail.docx", "A 48277-2023")</f>
        <v/>
      </c>
      <c r="AC219">
        <f>HYPERLINK("https://klasma.github.io/Logging_0382/tillsyn/A 48277-2023 tillsynsbegäran.docx", "A 48277-2023")</f>
        <v/>
      </c>
      <c r="AD219">
        <f>HYPERLINK("https://klasma.github.io/Logging_0382/tillsynsmail/A 48277-2023 tillsynsbegäran mail.docx", "A 48277-2023")</f>
        <v/>
      </c>
    </row>
    <row r="220" ht="15" customHeight="1">
      <c r="A220" t="inlineStr">
        <is>
          <t>A 26552-2022</t>
        </is>
      </c>
      <c r="B220" t="inlineStr">
        <is>
          <t>avverkningsanmälan</t>
        </is>
      </c>
      <c r="C220" t="inlineStr">
        <is>
          <t>Föryngringsavverkning</t>
        </is>
      </c>
      <c r="D220" s="1" t="n">
        <v>44739</v>
      </c>
      <c r="E220" s="1" t="n">
        <v>46309</v>
      </c>
      <c r="F220" t="inlineStr">
        <is>
          <t>UPPSALA LÄN</t>
        </is>
      </c>
      <c r="G220" t="inlineStr">
        <is>
          <t>ÖSTHAMMAR</t>
        </is>
      </c>
      <c r="I220" t="n">
        <v>2.2</v>
      </c>
      <c r="J220" t="n">
        <v>6</v>
      </c>
      <c r="K220" t="n">
        <v>0</v>
      </c>
      <c r="L220" t="n">
        <v>3</v>
      </c>
      <c r="M220" t="n">
        <v>0</v>
      </c>
      <c r="N220" t="n">
        <v>0</v>
      </c>
      <c r="O220" t="n">
        <v>0</v>
      </c>
      <c r="P220" t="n">
        <v>0</v>
      </c>
      <c r="Q220" t="n">
        <v>3</v>
      </c>
      <c r="R220" t="n">
        <v>0</v>
      </c>
      <c r="S220" t="n">
        <v>6</v>
      </c>
      <c r="T220" t="n">
        <v>6</v>
      </c>
      <c r="U220" t="n">
        <v>4</v>
      </c>
      <c r="V220" s="2" t="inlineStr">
        <is>
          <t>Grönsångare
Nordfladdermus
Sädesärla
Mindre flugsnappare
Dvärgpipistrell
Vattenfladdermus</t>
        </is>
      </c>
      <c r="W220">
        <f>HYPERLINK("https://klasma.github.io/Logging_0382/artfynd/A 26552-2022 artfynd.xlsx", "A 26552-2022")</f>
        <v/>
      </c>
      <c r="X220">
        <f>HYPERLINK("https://klasma.github.io/Logging_0382/kartor/A 26552-2022 karta.png", "A 26552-2022")</f>
        <v/>
      </c>
      <c r="Y220">
        <f>HYPERLINK("https://klasma.github.io/Logging_0382/kartor_geotiff/A 26552-2022 georefererad karta.tif", "A 26552-2022")</f>
        <v/>
      </c>
      <c r="AA220">
        <f>HYPERLINK("https://klasma.github.io/Logging_0382/klagomål/A 26552-2022 FSC-klagomål.docx", "A 26552-2022")</f>
        <v/>
      </c>
      <c r="AB220">
        <f>HYPERLINK("https://klasma.github.io/Logging_0382/klagomålsmail/A 26552-2022 FSC-klagomål mail.docx", "A 26552-2022")</f>
        <v/>
      </c>
      <c r="AC220">
        <f>HYPERLINK("https://klasma.github.io/Logging_0382/tillsyn/A 26552-2022 tillsynsbegäran.docx", "A 26552-2022")</f>
        <v/>
      </c>
      <c r="AD220">
        <f>HYPERLINK("https://klasma.github.io/Logging_0382/tillsynsmail/A 26552-2022 tillsynsbegäran mail.docx", "A 26552-2022")</f>
        <v/>
      </c>
      <c r="AE220">
        <f>HYPERLINK("https://klasma.github.io/Logging_0382/fåglar/A 26552-2022 prioriterade fågelarter.docx", "A 26552-2022")</f>
        <v/>
      </c>
    </row>
    <row r="221" ht="15" customHeight="1">
      <c r="A221" t="inlineStr">
        <is>
          <t>A 55492-2023</t>
        </is>
      </c>
      <c r="B221" t="inlineStr">
        <is>
          <t>avverkningsanmälan</t>
        </is>
      </c>
      <c r="C221" t="inlineStr">
        <is>
          <t>Föryngringsavverkning</t>
        </is>
      </c>
      <c r="D221" s="1" t="n">
        <v>45238</v>
      </c>
      <c r="E221" s="1" t="n">
        <v>46309</v>
      </c>
      <c r="F221" t="inlineStr">
        <is>
          <t>UPPSALA LÄN</t>
        </is>
      </c>
      <c r="G221" t="inlineStr">
        <is>
          <t>ÖSTHAMMAR</t>
        </is>
      </c>
      <c r="I221" t="n">
        <v>3.1</v>
      </c>
      <c r="J221" t="n">
        <v>4</v>
      </c>
      <c r="K221" t="n">
        <v>2</v>
      </c>
      <c r="L221" t="n">
        <v>1</v>
      </c>
      <c r="M221" t="n">
        <v>1</v>
      </c>
      <c r="N221" t="n">
        <v>1</v>
      </c>
      <c r="O221" t="n">
        <v>0</v>
      </c>
      <c r="P221" t="n">
        <v>0</v>
      </c>
      <c r="Q221" t="n">
        <v>3</v>
      </c>
      <c r="R221" t="n">
        <v>2</v>
      </c>
      <c r="S221" t="n">
        <v>6</v>
      </c>
      <c r="T221" t="n">
        <v>23</v>
      </c>
      <c r="U221" t="n">
        <v>20</v>
      </c>
      <c r="V221" s="2" t="inlineStr">
        <is>
          <t>Violgubbe
Knärot
Orange taggsvamp
Skogsknipprot
Tvåblad
Fläcknycklar</t>
        </is>
      </c>
      <c r="W221">
        <f>HYPERLINK("https://klasma.github.io/Logging_0382/artfynd/A 55492-2023 artfynd.xlsx", "A 55492-2023")</f>
        <v/>
      </c>
      <c r="X221">
        <f>HYPERLINK("https://klasma.github.io/Logging_0382/kartor/A 55492-2023 karta.png", "A 55492-2023")</f>
        <v/>
      </c>
      <c r="Y221">
        <f>HYPERLINK("https://klasma.github.io/Logging_0382/kartor_geotiff/A 55492-2023 georefererad karta.tif", "A 55492-2023")</f>
        <v/>
      </c>
      <c r="Z221">
        <f>HYPERLINK("https://klasma.github.io/Logging_0382/knärot/A 55492-2023 karta knärot.png", "A 55492-2023")</f>
        <v/>
      </c>
      <c r="AA221">
        <f>HYPERLINK("https://klasma.github.io/Logging_0382/klagomål/A 55492-2023 FSC-klagomål.docx", "A 55492-2023")</f>
        <v/>
      </c>
      <c r="AB221">
        <f>HYPERLINK("https://klasma.github.io/Logging_0382/klagomålsmail/A 55492-2023 FSC-klagomål mail.docx", "A 55492-2023")</f>
        <v/>
      </c>
      <c r="AC221">
        <f>HYPERLINK("https://klasma.github.io/Logging_0382/tillsyn/A 55492-2023 tillsynsbegäran.docx", "A 55492-2023")</f>
        <v/>
      </c>
      <c r="AD221">
        <f>HYPERLINK("https://klasma.github.io/Logging_0382/tillsynsmail/A 55492-2023 tillsynsbegäran mail.docx", "A 55492-2023")</f>
        <v/>
      </c>
    </row>
    <row r="222" ht="15" customHeight="1">
      <c r="A222" t="inlineStr">
        <is>
          <t>A 10853-2025</t>
        </is>
      </c>
      <c r="B222" t="inlineStr">
        <is>
          <t>avverkningsanmälan</t>
        </is>
      </c>
      <c r="C222" t="inlineStr">
        <is>
          <t>Föryngringsavverkning</t>
        </is>
      </c>
      <c r="D222" s="1" t="n">
        <v>45722</v>
      </c>
      <c r="E222" s="1" t="n">
        <v>46309</v>
      </c>
      <c r="F222" t="inlineStr">
        <is>
          <t>UPPSALA LÄN</t>
        </is>
      </c>
      <c r="G222" t="inlineStr">
        <is>
          <t>TIERP</t>
        </is>
      </c>
      <c r="H222" t="inlineStr">
        <is>
          <t>Bergvik skog öst AB</t>
        </is>
      </c>
      <c r="I222" t="n">
        <v>2.2</v>
      </c>
      <c r="J222" t="n">
        <v>4</v>
      </c>
      <c r="K222" t="n">
        <v>4</v>
      </c>
      <c r="L222" t="n">
        <v>0</v>
      </c>
      <c r="M222" t="n">
        <v>0</v>
      </c>
      <c r="N222" t="n">
        <v>0</v>
      </c>
      <c r="O222" t="n">
        <v>0</v>
      </c>
      <c r="P222" t="n">
        <v>0</v>
      </c>
      <c r="Q222" t="n">
        <v>0</v>
      </c>
      <c r="R222" t="n">
        <v>0</v>
      </c>
      <c r="S222" t="n">
        <v>6</v>
      </c>
      <c r="T222" t="n">
        <v>10</v>
      </c>
      <c r="U222" t="n">
        <v>0</v>
      </c>
      <c r="V222" s="2" t="inlineStr">
        <is>
          <t>Rödgul trumpetsvamp
Skogsknipprot
Tibast
Tvåblad
Blåsippa
Fläcknycklar</t>
        </is>
      </c>
      <c r="W222">
        <f>HYPERLINK("https://klasma.github.io/Logging_0360/artfynd/A 10853-2025 artfynd.xlsx", "A 10853-2025")</f>
        <v/>
      </c>
      <c r="X222">
        <f>HYPERLINK("https://klasma.github.io/Logging_0360/kartor/A 10853-2025 karta.png", "A 10853-2025")</f>
        <v/>
      </c>
      <c r="Y222">
        <f>HYPERLINK("https://klasma.github.io/Logging_0360/kartor_geotiff/A 10853-2025 georefererad karta.tif", "A 10853-2025")</f>
        <v/>
      </c>
      <c r="AA222">
        <f>HYPERLINK("https://klasma.github.io/Logging_0360/klagomål/A 10853-2025 FSC-klagomål.docx", "A 10853-2025")</f>
        <v/>
      </c>
      <c r="AB222">
        <f>HYPERLINK("https://klasma.github.io/Logging_0360/klagomålsmail/A 10853-2025 FSC-klagomål mail.docx", "A 10853-2025")</f>
        <v/>
      </c>
      <c r="AC222">
        <f>HYPERLINK("https://klasma.github.io/Logging_0360/tillsyn/A 10853-2025 tillsynsbegäran.docx", "A 10853-2025")</f>
        <v/>
      </c>
      <c r="AD222">
        <f>HYPERLINK("https://klasma.github.io/Logging_0360/tillsynsmail/A 10853-2025 tillsynsbegäran mail.docx", "A 10853-2025")</f>
        <v/>
      </c>
    </row>
    <row r="223" ht="15" customHeight="1">
      <c r="A223" t="inlineStr">
        <is>
          <t>A 62137-2022</t>
        </is>
      </c>
      <c r="B223" t="inlineStr">
        <is>
          <t>avverkningsanmälan</t>
        </is>
      </c>
      <c r="C223" t="inlineStr">
        <is>
          <t>Föryngringsavverkning</t>
        </is>
      </c>
      <c r="D223" s="1" t="n">
        <v>44914</v>
      </c>
      <c r="E223" s="1" t="n">
        <v>46309</v>
      </c>
      <c r="F223" t="inlineStr">
        <is>
          <t>UPPSALA LÄN</t>
        </is>
      </c>
      <c r="G223" t="inlineStr">
        <is>
          <t>HEBY</t>
        </is>
      </c>
      <c r="I223" t="n">
        <v>5.3</v>
      </c>
      <c r="J223" t="n">
        <v>1</v>
      </c>
      <c r="K223" t="n">
        <v>4</v>
      </c>
      <c r="L223" t="n">
        <v>1</v>
      </c>
      <c r="M223" t="n">
        <v>1</v>
      </c>
      <c r="N223" t="n">
        <v>0</v>
      </c>
      <c r="O223" t="n">
        <v>0</v>
      </c>
      <c r="P223" t="n">
        <v>0</v>
      </c>
      <c r="Q223" t="n">
        <v>2</v>
      </c>
      <c r="R223" t="n">
        <v>1</v>
      </c>
      <c r="S223" t="n">
        <v>6</v>
      </c>
      <c r="T223" t="n">
        <v>15</v>
      </c>
      <c r="U223" t="n">
        <v>6</v>
      </c>
      <c r="V223" s="2" t="inlineStr">
        <is>
          <t>Knärot
Ullticka
Grovticka
Grönpyrola
Trådticka
Vedticka</t>
        </is>
      </c>
      <c r="W223">
        <f>HYPERLINK("https://klasma.github.io/Logging_0331/artfynd/A 62137-2022 artfynd.xlsx", "A 62137-2022")</f>
        <v/>
      </c>
      <c r="X223">
        <f>HYPERLINK("https://klasma.github.io/Logging_0331/kartor/A 62137-2022 karta.png", "A 62137-2022")</f>
        <v/>
      </c>
      <c r="Y223">
        <f>HYPERLINK("https://klasma.github.io/Logging_0331/kartor_geotiff/A 62137-2022 georefererad karta.tif", "A 62137-2022")</f>
        <v/>
      </c>
      <c r="Z223">
        <f>HYPERLINK("https://klasma.github.io/Logging_0331/knärot/A 62137-2022 karta knärot.png", "A 62137-2022")</f>
        <v/>
      </c>
      <c r="AA223">
        <f>HYPERLINK("https://klasma.github.io/Logging_0331/klagomål/A 62137-2022 FSC-klagomål.docx", "A 62137-2022")</f>
        <v/>
      </c>
      <c r="AB223">
        <f>HYPERLINK("https://klasma.github.io/Logging_0331/klagomålsmail/A 62137-2022 FSC-klagomål mail.docx", "A 62137-2022")</f>
        <v/>
      </c>
      <c r="AC223">
        <f>HYPERLINK("https://klasma.github.io/Logging_0331/tillsyn/A 62137-2022 tillsynsbegäran.docx", "A 62137-2022")</f>
        <v/>
      </c>
      <c r="AD223">
        <f>HYPERLINK("https://klasma.github.io/Logging_0331/tillsynsmail/A 62137-2022 tillsynsbegäran mail.docx", "A 62137-2022")</f>
        <v/>
      </c>
    </row>
    <row r="224" ht="15" customHeight="1">
      <c r="A224" t="inlineStr">
        <is>
          <t>A 36501-2026</t>
        </is>
      </c>
      <c r="B224" t="inlineStr">
        <is>
          <t>avverkningsanmälan</t>
        </is>
      </c>
      <c r="C224" t="inlineStr">
        <is>
          <t>Föryngringsavverkning</t>
        </is>
      </c>
      <c r="D224" s="1" t="n">
        <v>46269</v>
      </c>
      <c r="E224" s="1" t="n">
        <v>46309</v>
      </c>
      <c r="F224" t="inlineStr">
        <is>
          <t>UPPSALA LÄN</t>
        </is>
      </c>
      <c r="G224" t="inlineStr">
        <is>
          <t>ENKÖPING</t>
        </is>
      </c>
      <c r="H224" t="inlineStr">
        <is>
          <t>Allmännings- och besparingsskogar</t>
        </is>
      </c>
      <c r="I224" t="n">
        <v>8.6</v>
      </c>
      <c r="J224" t="n">
        <v>0</v>
      </c>
      <c r="K224" t="n">
        <v>3</v>
      </c>
      <c r="L224" t="n">
        <v>2</v>
      </c>
      <c r="M224" t="n">
        <v>0</v>
      </c>
      <c r="N224" t="n">
        <v>1</v>
      </c>
      <c r="O224" t="n">
        <v>0</v>
      </c>
      <c r="P224" t="n">
        <v>0</v>
      </c>
      <c r="Q224" t="n">
        <v>3</v>
      </c>
      <c r="R224" t="n">
        <v>1</v>
      </c>
      <c r="S224" t="n">
        <v>6</v>
      </c>
      <c r="T224" t="n">
        <v>9</v>
      </c>
      <c r="U224" t="n">
        <v>0</v>
      </c>
      <c r="V224" s="2" t="inlineStr">
        <is>
          <t>Almrostöra
Kandelabersvamp
Tallticka
Aspvedgnagare
Fällmossa
Hasselticka</t>
        </is>
      </c>
      <c r="W224">
        <f>HYPERLINK("https://klasma.github.io/Logging_0381/artfynd/A 36501-2026 artfynd.xlsx", "A 36501-2026")</f>
        <v/>
      </c>
      <c r="X224">
        <f>HYPERLINK("https://klasma.github.io/Logging_0381/kartor/A 36501-2026 karta.png", "A 36501-2026")</f>
        <v/>
      </c>
      <c r="Y224">
        <f>HYPERLINK("https://klasma.github.io/Logging_0381/kartor_geotiff/A 36501-2026 georefererad karta.tif", "A 36501-2026")</f>
        <v/>
      </c>
      <c r="AA224">
        <f>HYPERLINK("https://klasma.github.io/Logging_0381/klagomål/A 36501-2026 FSC-klagomål.docx", "A 36501-2026")</f>
        <v/>
      </c>
      <c r="AB224">
        <f>HYPERLINK("https://klasma.github.io/Logging_0381/klagomålsmail/A 36501-2026 FSC-klagomål mail.docx", "A 36501-2026")</f>
        <v/>
      </c>
      <c r="AC224">
        <f>HYPERLINK("https://klasma.github.io/Logging_0381/tillsyn/A 36501-2026 tillsynsbegäran.docx", "A 36501-2026")</f>
        <v/>
      </c>
      <c r="AD224">
        <f>HYPERLINK("https://klasma.github.io/Logging_0381/tillsynsmail/A 36501-2026 tillsynsbegäran mail.docx", "A 36501-2026")</f>
        <v/>
      </c>
    </row>
    <row r="225" ht="15" customHeight="1">
      <c r="A225" t="inlineStr">
        <is>
          <t>A 27625-2023</t>
        </is>
      </c>
      <c r="B225" t="inlineStr">
        <is>
          <t>avverkningsanmälan</t>
        </is>
      </c>
      <c r="C225" t="inlineStr">
        <is>
          <t>Föryngringsavverkning</t>
        </is>
      </c>
      <c r="D225" s="1" t="n">
        <v>45097</v>
      </c>
      <c r="E225" s="1" t="n">
        <v>46309</v>
      </c>
      <c r="F225" t="inlineStr">
        <is>
          <t>UPPSALA LÄN</t>
        </is>
      </c>
      <c r="G225" t="inlineStr">
        <is>
          <t>UPPSALA</t>
        </is>
      </c>
      <c r="I225" t="n">
        <v>6</v>
      </c>
      <c r="J225" t="n">
        <v>5</v>
      </c>
      <c r="K225" t="n">
        <v>1</v>
      </c>
      <c r="L225" t="n">
        <v>0</v>
      </c>
      <c r="M225" t="n">
        <v>0</v>
      </c>
      <c r="N225" t="n">
        <v>0</v>
      </c>
      <c r="O225" t="n">
        <v>0</v>
      </c>
      <c r="P225" t="n">
        <v>0</v>
      </c>
      <c r="Q225" t="n">
        <v>0</v>
      </c>
      <c r="R225" t="n">
        <v>0</v>
      </c>
      <c r="S225" t="n">
        <v>6</v>
      </c>
      <c r="T225" t="n">
        <v>6</v>
      </c>
      <c r="U225" t="n">
        <v>6</v>
      </c>
      <c r="V225" s="2" t="inlineStr">
        <is>
          <t>Fällmossa
Blåsippa
Spillkråka
Gröngöling
Törnskata
Skogsödla</t>
        </is>
      </c>
      <c r="W225">
        <f>HYPERLINK("https://klasma.github.io/Logging_0380/artfynd/A 27625-2023 artfynd.xlsx", "A 27625-2023")</f>
        <v/>
      </c>
      <c r="X225">
        <f>HYPERLINK("https://klasma.github.io/Logging_0380/kartor/A 27625-2023 karta.png", "A 27625-2023")</f>
        <v/>
      </c>
      <c r="Y225">
        <f>HYPERLINK("https://klasma.github.io/Logging_0380/kartor_geotiff/A 27625-2023 georefererad karta.tif", "A 27625-2023")</f>
        <v/>
      </c>
      <c r="AA225">
        <f>HYPERLINK("https://klasma.github.io/Logging_0380/klagomål/A 27625-2023 FSC-klagomål.docx", "A 27625-2023")</f>
        <v/>
      </c>
      <c r="AB225">
        <f>HYPERLINK("https://klasma.github.io/Logging_0380/klagomålsmail/A 27625-2023 FSC-klagomål mail.docx", "A 27625-2023")</f>
        <v/>
      </c>
      <c r="AC225">
        <f>HYPERLINK("https://klasma.github.io/Logging_0380/tillsyn/A 27625-2023 tillsynsbegäran.docx", "A 27625-2023")</f>
        <v/>
      </c>
      <c r="AD225">
        <f>HYPERLINK("https://klasma.github.io/Logging_0380/tillsynsmail/A 27625-2023 tillsynsbegäran mail.docx", "A 27625-2023")</f>
        <v/>
      </c>
      <c r="AE225">
        <f>HYPERLINK("https://klasma.github.io/Logging_0380/fåglar/A 27625-2023 prioriterade fågelarter.docx", "A 27625-2023")</f>
        <v/>
      </c>
    </row>
    <row r="226" ht="15" customHeight="1">
      <c r="A226" t="inlineStr">
        <is>
          <t>A 22534-2026</t>
        </is>
      </c>
      <c r="B226" t="inlineStr">
        <is>
          <t>avverkningsanmälan</t>
        </is>
      </c>
      <c r="C226" t="inlineStr">
        <is>
          <t>Föryngringsavverkning</t>
        </is>
      </c>
      <c r="D226" s="1" t="n">
        <v>46155</v>
      </c>
      <c r="E226" s="1" t="n">
        <v>46309</v>
      </c>
      <c r="F226" t="inlineStr">
        <is>
          <t>UPPSALA LÄN</t>
        </is>
      </c>
      <c r="G226" t="inlineStr">
        <is>
          <t>UPPSALA</t>
        </is>
      </c>
      <c r="H226" t="inlineStr">
        <is>
          <t>Allmännings- och besparingsskogar</t>
        </is>
      </c>
      <c r="I226" t="n">
        <v>9.199999999999999</v>
      </c>
      <c r="J226" t="n">
        <v>2</v>
      </c>
      <c r="K226" t="n">
        <v>3</v>
      </c>
      <c r="L226" t="n">
        <v>1</v>
      </c>
      <c r="M226" t="n">
        <v>1</v>
      </c>
      <c r="N226" t="n">
        <v>0</v>
      </c>
      <c r="O226" t="n">
        <v>0</v>
      </c>
      <c r="P226" t="n">
        <v>0</v>
      </c>
      <c r="Q226" t="n">
        <v>2</v>
      </c>
      <c r="R226" t="n">
        <v>1</v>
      </c>
      <c r="S226" t="n">
        <v>6</v>
      </c>
      <c r="T226" t="n">
        <v>23</v>
      </c>
      <c r="U226" t="n">
        <v>23</v>
      </c>
      <c r="V226" s="2" t="inlineStr">
        <is>
          <t>Knärot
Vedtrappmossa
Björksplintborre
Granbarkgnagare
Vågbandad barkbock
Spillkråka</t>
        </is>
      </c>
      <c r="W226">
        <f>HYPERLINK("https://klasma.github.io/Logging_0380/artfynd/A 22534-2026 artfynd.xlsx", "A 22534-2026")</f>
        <v/>
      </c>
      <c r="X226">
        <f>HYPERLINK("https://klasma.github.io/Logging_0380/kartor/A 22534-2026 karta.png", "A 22534-2026")</f>
        <v/>
      </c>
      <c r="Y226">
        <f>HYPERLINK("https://klasma.github.io/Logging_0380/kartor_geotiff/A 22534-2026 georefererad karta.tif", "A 22534-2026")</f>
        <v/>
      </c>
      <c r="Z226">
        <f>HYPERLINK("https://klasma.github.io/Logging_0380/knärot/A 22534-2026 karta knärot.png", "A 22534-2026")</f>
        <v/>
      </c>
      <c r="AA226">
        <f>HYPERLINK("https://klasma.github.io/Logging_0380/klagomål/A 22534-2026 FSC-klagomål.docx", "A 22534-2026")</f>
        <v/>
      </c>
      <c r="AB226">
        <f>HYPERLINK("https://klasma.github.io/Logging_0380/klagomålsmail/A 22534-2026 FSC-klagomål mail.docx", "A 22534-2026")</f>
        <v/>
      </c>
      <c r="AC226">
        <f>HYPERLINK("https://klasma.github.io/Logging_0380/tillsyn/A 22534-2026 tillsynsbegäran.docx", "A 22534-2026")</f>
        <v/>
      </c>
      <c r="AD226">
        <f>HYPERLINK("https://klasma.github.io/Logging_0380/tillsynsmail/A 22534-2026 tillsynsbegäran mail.docx", "A 22534-2026")</f>
        <v/>
      </c>
      <c r="AE226">
        <f>HYPERLINK("https://klasma.github.io/Logging_0380/fåglar/A 22534-2026 prioriterade fågelarter.docx", "A 22534-2026")</f>
        <v/>
      </c>
    </row>
    <row r="227" ht="15" customHeight="1">
      <c r="A227" t="inlineStr">
        <is>
          <t>A 56075-2023</t>
        </is>
      </c>
      <c r="B227" t="inlineStr">
        <is>
          <t>avverkningsanmälan</t>
        </is>
      </c>
      <c r="C227" t="inlineStr">
        <is>
          <t>Föryngringsavverkning</t>
        </is>
      </c>
      <c r="D227" s="1" t="n">
        <v>45240</v>
      </c>
      <c r="E227" s="1" t="n">
        <v>46309</v>
      </c>
      <c r="F227" t="inlineStr">
        <is>
          <t>UPPSALA LÄN</t>
        </is>
      </c>
      <c r="G227" t="inlineStr">
        <is>
          <t>HEBY</t>
        </is>
      </c>
      <c r="I227" t="n">
        <v>3.8</v>
      </c>
      <c r="J227" t="n">
        <v>1</v>
      </c>
      <c r="K227" t="n">
        <v>2</v>
      </c>
      <c r="L227" t="n">
        <v>3</v>
      </c>
      <c r="M227" t="n">
        <v>0</v>
      </c>
      <c r="N227" t="n">
        <v>0</v>
      </c>
      <c r="O227" t="n">
        <v>0</v>
      </c>
      <c r="P227" t="n">
        <v>0</v>
      </c>
      <c r="Q227" t="n">
        <v>3</v>
      </c>
      <c r="R227" t="n">
        <v>0</v>
      </c>
      <c r="S227" t="n">
        <v>6</v>
      </c>
      <c r="T227" t="n">
        <v>9</v>
      </c>
      <c r="U227" t="n">
        <v>0</v>
      </c>
      <c r="V227" s="2" t="inlineStr">
        <is>
          <t>Grönhjon
Ullticka
Vedtrappmossa
Jättesvampmal
Rostfläck
Blåsippa</t>
        </is>
      </c>
      <c r="W227">
        <f>HYPERLINK("https://klasma.github.io/Logging_0331/artfynd/A 56075-2023 artfynd.xlsx", "A 56075-2023")</f>
        <v/>
      </c>
      <c r="X227">
        <f>HYPERLINK("https://klasma.github.io/Logging_0331/kartor/A 56075-2023 karta.png", "A 56075-2023")</f>
        <v/>
      </c>
      <c r="Y227">
        <f>HYPERLINK("https://klasma.github.io/Logging_0331/kartor_geotiff/A 56075-2023 georefererad karta.tif", "A 56075-2023")</f>
        <v/>
      </c>
      <c r="AA227">
        <f>HYPERLINK("https://klasma.github.io/Logging_0331/klagomål/A 56075-2023 FSC-klagomål.docx", "A 56075-2023")</f>
        <v/>
      </c>
      <c r="AB227">
        <f>HYPERLINK("https://klasma.github.io/Logging_0331/klagomålsmail/A 56075-2023 FSC-klagomål mail.docx", "A 56075-2023")</f>
        <v/>
      </c>
      <c r="AC227">
        <f>HYPERLINK("https://klasma.github.io/Logging_0331/tillsyn/A 56075-2023 tillsynsbegäran.docx", "A 56075-2023")</f>
        <v/>
      </c>
      <c r="AD227">
        <f>HYPERLINK("https://klasma.github.io/Logging_0331/tillsynsmail/A 56075-2023 tillsynsbegäran mail.docx", "A 56075-2023")</f>
        <v/>
      </c>
    </row>
    <row r="228" ht="15" customHeight="1">
      <c r="A228" t="inlineStr">
        <is>
          <t>A 21712-2026</t>
        </is>
      </c>
      <c r="B228" t="inlineStr">
        <is>
          <t>avverkningsanmälan</t>
        </is>
      </c>
      <c r="C228" t="inlineStr">
        <is>
          <t>Föryngringsavverkning</t>
        </is>
      </c>
      <c r="D228" s="1" t="n">
        <v>46149</v>
      </c>
      <c r="E228" s="1" t="n">
        <v>46309</v>
      </c>
      <c r="F228" t="inlineStr">
        <is>
          <t>UPPSALA LÄN</t>
        </is>
      </c>
      <c r="G228" t="inlineStr">
        <is>
          <t>HEBY</t>
        </is>
      </c>
      <c r="I228" t="n">
        <v>6.3</v>
      </c>
      <c r="J228" t="n">
        <v>2</v>
      </c>
      <c r="K228" t="n">
        <v>0</v>
      </c>
      <c r="L228" t="n">
        <v>0</v>
      </c>
      <c r="M228" t="n">
        <v>1</v>
      </c>
      <c r="N228" t="n">
        <v>0</v>
      </c>
      <c r="O228" t="n">
        <v>0</v>
      </c>
      <c r="P228" t="n">
        <v>0</v>
      </c>
      <c r="Q228" t="n">
        <v>1</v>
      </c>
      <c r="R228" t="n">
        <v>1</v>
      </c>
      <c r="S228" t="n">
        <v>6</v>
      </c>
      <c r="T228" t="n">
        <v>9</v>
      </c>
      <c r="U228" t="n">
        <v>8</v>
      </c>
      <c r="V228" s="2" t="inlineStr">
        <is>
          <t>Mindre bastardsvärmare
Blåsippa
Ekbräken
Kransmossa
Mattlummer
Ormbär</t>
        </is>
      </c>
      <c r="W228">
        <f>HYPERLINK("https://klasma.github.io/Logging_0331/artfynd/A 21712-2026 artfynd.xlsx", "A 21712-2026")</f>
        <v/>
      </c>
      <c r="X228">
        <f>HYPERLINK("https://klasma.github.io/Logging_0331/kartor/A 21712-2026 karta.png", "A 21712-2026")</f>
        <v/>
      </c>
      <c r="Y228">
        <f>HYPERLINK("https://klasma.github.io/Logging_0331/kartor_geotiff/A 21712-2026 georefererad karta.tif", "A 21712-2026")</f>
        <v/>
      </c>
      <c r="AA228">
        <f>HYPERLINK("https://klasma.github.io/Logging_0331/klagomål/A 21712-2026 FSC-klagomål.docx", "A 21712-2026")</f>
        <v/>
      </c>
      <c r="AB228">
        <f>HYPERLINK("https://klasma.github.io/Logging_0331/klagomålsmail/A 21712-2026 FSC-klagomål mail.docx", "A 21712-2026")</f>
        <v/>
      </c>
      <c r="AC228">
        <f>HYPERLINK("https://klasma.github.io/Logging_0331/tillsyn/A 21712-2026 tillsynsbegäran.docx", "A 21712-2026")</f>
        <v/>
      </c>
      <c r="AD228">
        <f>HYPERLINK("https://klasma.github.io/Logging_0331/tillsynsmail/A 21712-2026 tillsynsbegäran mail.docx", "A 21712-2026")</f>
        <v/>
      </c>
    </row>
    <row r="229" ht="15" customHeight="1">
      <c r="A229" t="inlineStr">
        <is>
          <t>A 35395-2026</t>
        </is>
      </c>
      <c r="B229" t="inlineStr">
        <is>
          <t>avverkningsanmälan</t>
        </is>
      </c>
      <c r="C229" t="inlineStr">
        <is>
          <t>Föryngringsavverkning</t>
        </is>
      </c>
      <c r="D229" s="1" t="n">
        <v>46261</v>
      </c>
      <c r="E229" s="1" t="n">
        <v>46309</v>
      </c>
      <c r="F229" t="inlineStr">
        <is>
          <t>UPPSALA LÄN</t>
        </is>
      </c>
      <c r="G229" t="inlineStr">
        <is>
          <t>KNIVSTA</t>
        </is>
      </c>
      <c r="H229" t="inlineStr">
        <is>
          <t>Holmen skog AB</t>
        </is>
      </c>
      <c r="I229" t="n">
        <v>7.4</v>
      </c>
      <c r="J229" t="n">
        <v>1</v>
      </c>
      <c r="K229" t="n">
        <v>2</v>
      </c>
      <c r="L229" t="n">
        <v>2</v>
      </c>
      <c r="M229" t="n">
        <v>0</v>
      </c>
      <c r="N229" t="n">
        <v>0</v>
      </c>
      <c r="O229" t="n">
        <v>0</v>
      </c>
      <c r="P229" t="n">
        <v>0</v>
      </c>
      <c r="Q229" t="n">
        <v>2</v>
      </c>
      <c r="R229" t="n">
        <v>0</v>
      </c>
      <c r="S229" t="n">
        <v>6</v>
      </c>
      <c r="T229" t="n">
        <v>12</v>
      </c>
      <c r="U229" t="n">
        <v>12</v>
      </c>
      <c r="V229" s="2" t="inlineStr">
        <is>
          <t>Spinnfingersvamp
Ullticka
Blodticka
Vedticka
Kransmossa
Tofsmes</t>
        </is>
      </c>
      <c r="W229">
        <f>HYPERLINK("https://klasma.github.io/Logging_0330/artfynd/A 35395-2026 artfynd.xlsx", "A 35395-2026")</f>
        <v/>
      </c>
      <c r="X229">
        <f>HYPERLINK("https://klasma.github.io/Logging_0330/kartor/A 35395-2026 karta.png", "A 35395-2026")</f>
        <v/>
      </c>
      <c r="Y229">
        <f>HYPERLINK("https://klasma.github.io/Logging_0330/kartor_geotiff/A 35395-2026 georefererad karta.tif", "A 35395-2026")</f>
        <v/>
      </c>
      <c r="AA229">
        <f>HYPERLINK("https://klasma.github.io/Logging_0330/klagomål/A 35395-2026 FSC-klagomål.docx", "A 35395-2026")</f>
        <v/>
      </c>
      <c r="AB229">
        <f>HYPERLINK("https://klasma.github.io/Logging_0330/klagomålsmail/A 35395-2026 FSC-klagomål mail.docx", "A 35395-2026")</f>
        <v/>
      </c>
      <c r="AC229">
        <f>HYPERLINK("https://klasma.github.io/Logging_0330/tillsyn/A 35395-2026 tillsynsbegäran.docx", "A 35395-2026")</f>
        <v/>
      </c>
      <c r="AD229">
        <f>HYPERLINK("https://klasma.github.io/Logging_0330/tillsynsmail/A 35395-2026 tillsynsbegäran mail.docx", "A 35395-2026")</f>
        <v/>
      </c>
    </row>
    <row r="230" ht="15" customHeight="1">
      <c r="A230" t="inlineStr">
        <is>
          <t>A 41955-2026</t>
        </is>
      </c>
      <c r="B230" t="inlineStr">
        <is>
          <t>avverkningsanmälan</t>
        </is>
      </c>
      <c r="C230" t="inlineStr">
        <is>
          <t>Föryngringsavverkning</t>
        </is>
      </c>
      <c r="D230" s="1" t="n">
        <v>46303</v>
      </c>
      <c r="E230" s="1" t="n">
        <v>46309</v>
      </c>
      <c r="F230" t="inlineStr">
        <is>
          <t>UPPSALA LÄN</t>
        </is>
      </c>
      <c r="G230" t="inlineStr">
        <is>
          <t>UPPSALA</t>
        </is>
      </c>
      <c r="I230" t="n">
        <v>1.8</v>
      </c>
      <c r="J230" t="n">
        <v>1</v>
      </c>
      <c r="K230" t="n">
        <v>1</v>
      </c>
      <c r="L230" t="n">
        <v>4</v>
      </c>
      <c r="M230" t="n">
        <v>0</v>
      </c>
      <c r="N230" t="n">
        <v>0</v>
      </c>
      <c r="O230" t="n">
        <v>0</v>
      </c>
      <c r="P230" t="n">
        <v>0</v>
      </c>
      <c r="Q230" t="n">
        <v>4</v>
      </c>
      <c r="R230" t="n">
        <v>0</v>
      </c>
      <c r="S230" t="n">
        <v>6</v>
      </c>
      <c r="T230" t="n">
        <v>7</v>
      </c>
      <c r="U230" t="n">
        <v>0</v>
      </c>
      <c r="V230" s="2" t="inlineStr">
        <is>
          <t>Rosenfingersvamp
Rutskinn
Smalvingad blombock
Vedtrappmossa
Kantarellvaxing
Tjäder</t>
        </is>
      </c>
      <c r="W230">
        <f>HYPERLINK("https://klasma.github.io/Logging_0380/artfynd/A 41955-2026 artfynd.xlsx", "A 41955-2026")</f>
        <v/>
      </c>
      <c r="X230">
        <f>HYPERLINK("https://klasma.github.io/Logging_0380/kartor/A 41955-2026 karta.png", "A 41955-2026")</f>
        <v/>
      </c>
      <c r="Y230">
        <f>HYPERLINK("https://klasma.github.io/Logging_0380/kartor_geotiff/A 41955-2026 georefererad karta.tif", "A 41955-2026")</f>
        <v/>
      </c>
      <c r="AA230">
        <f>HYPERLINK("https://klasma.github.io/Logging_0380/klagomål/A 41955-2026 FSC-klagomål.docx", "A 41955-2026")</f>
        <v/>
      </c>
      <c r="AB230">
        <f>HYPERLINK("https://klasma.github.io/Logging_0380/klagomålsmail/A 41955-2026 FSC-klagomål mail.docx", "A 41955-2026")</f>
        <v/>
      </c>
      <c r="AC230">
        <f>HYPERLINK("https://klasma.github.io/Logging_0380/tillsyn/A 41955-2026 tillsynsbegäran.docx", "A 41955-2026")</f>
        <v/>
      </c>
      <c r="AD230">
        <f>HYPERLINK("https://klasma.github.io/Logging_0380/tillsynsmail/A 41955-2026 tillsynsbegäran mail.docx", "A 41955-2026")</f>
        <v/>
      </c>
      <c r="AE230">
        <f>HYPERLINK("https://klasma.github.io/Logging_0380/fåglar/A 41955-2026 prioriterade fågelarter.docx", "A 41955-2026")</f>
        <v/>
      </c>
    </row>
    <row r="231" ht="15" customHeight="1">
      <c r="A231" t="inlineStr">
        <is>
          <t>S 3400-2025</t>
        </is>
      </c>
      <c r="B231" t="inlineStr">
        <is>
          <t>samrådsanmälan</t>
        </is>
      </c>
      <c r="C231" t="inlineStr">
        <is>
          <t>Skogsgödsling</t>
        </is>
      </c>
      <c r="D231" s="1" t="n">
        <v>45994</v>
      </c>
      <c r="E231" s="1" t="n">
        <v>46309</v>
      </c>
      <c r="F231" t="inlineStr">
        <is>
          <t>UPPSALA LÄN</t>
        </is>
      </c>
      <c r="G231" t="inlineStr">
        <is>
          <t>KNIVSTA</t>
        </is>
      </c>
      <c r="H231" t="inlineStr">
        <is>
          <t>Holmen skog AB</t>
        </is>
      </c>
      <c r="I231" t="n">
        <v>158.5</v>
      </c>
      <c r="J231" t="n">
        <v>1</v>
      </c>
      <c r="K231" t="n">
        <v>4</v>
      </c>
      <c r="L231" t="n">
        <v>0</v>
      </c>
      <c r="M231" t="n">
        <v>1</v>
      </c>
      <c r="N231" t="n">
        <v>0</v>
      </c>
      <c r="O231" t="n">
        <v>0</v>
      </c>
      <c r="P231" t="n">
        <v>0</v>
      </c>
      <c r="Q231" t="n">
        <v>1</v>
      </c>
      <c r="R231" t="n">
        <v>1</v>
      </c>
      <c r="S231" t="n">
        <v>6</v>
      </c>
      <c r="T231" t="n">
        <v>7</v>
      </c>
      <c r="U231" t="n">
        <v>0</v>
      </c>
      <c r="V231" s="2" t="inlineStr">
        <is>
          <t>Mindre bastardsvärmare
Grönpyrola
Ljus vedstrit
Mörk vedstrit
Vanlig flatbagge
Tjäder</t>
        </is>
      </c>
      <c r="W231">
        <f>HYPERLINK("https://klasma.github.io/Logging_0330/artfynd/S 3400-2025 artfynd.xlsx", "S 3400-2025")</f>
        <v/>
      </c>
      <c r="X231">
        <f>HYPERLINK("https://klasma.github.io/Logging_0330/kartor/S 3400-2025 karta.png", "S 3400-2025")</f>
        <v/>
      </c>
      <c r="Y231">
        <f>HYPERLINK("https://klasma.github.io/Logging_0330/kartor_geotiff/S 3400-2025 georefererad karta.tif", "S 3400-2025")</f>
        <v/>
      </c>
      <c r="AA231">
        <f>HYPERLINK("https://klasma.github.io/Logging_0330/klagomål/S 3400-2025 FSC-klagomål.docx", "S 3400-2025")</f>
        <v/>
      </c>
      <c r="AB231">
        <f>HYPERLINK("https://klasma.github.io/Logging_0330/klagomålsmail/S 3400-2025 FSC-klagomål mail.docx", "S 3400-2025")</f>
        <v/>
      </c>
      <c r="AC231">
        <f>HYPERLINK("https://klasma.github.io/Logging_0330/tillsyn/S 3400-2025 tillsynsbegäran.docx", "S 3400-2025")</f>
        <v/>
      </c>
      <c r="AD231">
        <f>HYPERLINK("https://klasma.github.io/Logging_0330/tillsynsmail/S 3400-2025 tillsynsbegäran mail.docx", "S 3400-2025")</f>
        <v/>
      </c>
      <c r="AE231">
        <f>HYPERLINK("https://klasma.github.io/Logging_0330/fåglar/S 3400-2025 prioriterade fågelarter.docx", "S 3400-2025")</f>
        <v/>
      </c>
    </row>
    <row r="232" ht="15" customHeight="1">
      <c r="A232" t="inlineStr">
        <is>
          <t>S 945-2026</t>
        </is>
      </c>
      <c r="B232" t="inlineStr">
        <is>
          <t>samrådsanmälan</t>
        </is>
      </c>
      <c r="C232" t="inlineStr">
        <is>
          <t>Annan skogsbruksåtgärd</t>
        </is>
      </c>
      <c r="D232" s="1" t="n">
        <v>46112</v>
      </c>
      <c r="E232" s="1" t="n">
        <v>46309</v>
      </c>
      <c r="F232" t="inlineStr">
        <is>
          <t>UPPSALA LÄN</t>
        </is>
      </c>
      <c r="G232" t="inlineStr">
        <is>
          <t>ENKÖPING</t>
        </is>
      </c>
      <c r="H232" t="inlineStr">
        <is>
          <t>Övriga statliga verk och myndigheter</t>
        </is>
      </c>
      <c r="I232" t="n">
        <v>4.2</v>
      </c>
      <c r="J232" t="n">
        <v>3</v>
      </c>
      <c r="K232" t="n">
        <v>1</v>
      </c>
      <c r="L232" t="n">
        <v>2</v>
      </c>
      <c r="M232" t="n">
        <v>0</v>
      </c>
      <c r="N232" t="n">
        <v>3</v>
      </c>
      <c r="O232" t="n">
        <v>0</v>
      </c>
      <c r="P232" t="n">
        <v>0</v>
      </c>
      <c r="Q232" t="n">
        <v>5</v>
      </c>
      <c r="R232" t="n">
        <v>3</v>
      </c>
      <c r="S232" t="n">
        <v>6</v>
      </c>
      <c r="T232" t="n">
        <v>14</v>
      </c>
      <c r="U232" t="n">
        <v>1</v>
      </c>
      <c r="V232" s="2" t="inlineStr">
        <is>
          <t>Bombmurkla
Grusnejlika
Läkeögontröst
Fjällig taggsvamp s.str.
Stor vårtrattskivling
Grön sköldmossa</t>
        </is>
      </c>
      <c r="W232">
        <f>HYPERLINK("https://klasma.github.io/Logging_0381/artfynd/S 945-2026 artfynd.xlsx", "S 945-2026")</f>
        <v/>
      </c>
      <c r="X232">
        <f>HYPERLINK("https://klasma.github.io/Logging_0381/kartor/S 945-2026 karta.png", "S 945-2026")</f>
        <v/>
      </c>
      <c r="Y232">
        <f>HYPERLINK("https://klasma.github.io/Logging_0381/kartor_geotiff/S 945-2026 georefererad karta.tif", "S 945-2026")</f>
        <v/>
      </c>
      <c r="AA232">
        <f>HYPERLINK("https://klasma.github.io/Logging_0381/klagomål/S 945-2026 FSC-klagomål.docx", "S 945-2026")</f>
        <v/>
      </c>
      <c r="AB232">
        <f>HYPERLINK("https://klasma.github.io/Logging_0381/klagomålsmail/S 945-2026 FSC-klagomål mail.docx", "S 945-2026")</f>
        <v/>
      </c>
      <c r="AC232">
        <f>HYPERLINK("https://klasma.github.io/Logging_0381/tillsyn/S 945-2026 tillsynsbegäran.docx", "S 945-2026")</f>
        <v/>
      </c>
      <c r="AD232">
        <f>HYPERLINK("https://klasma.github.io/Logging_0381/tillsynsmail/S 945-2026 tillsynsbegäran mail.docx", "S 945-2026")</f>
        <v/>
      </c>
    </row>
    <row r="233" ht="15" customHeight="1">
      <c r="A233" t="inlineStr">
        <is>
          <t>A 39763-2022</t>
        </is>
      </c>
      <c r="B233" t="inlineStr">
        <is>
          <t>avverkningsanmälan</t>
        </is>
      </c>
      <c r="C233" t="inlineStr">
        <is>
          <t>Föryngringsavverkning</t>
        </is>
      </c>
      <c r="D233" s="1" t="n">
        <v>44819</v>
      </c>
      <c r="E233" s="1" t="n">
        <v>46309</v>
      </c>
      <c r="F233" t="inlineStr">
        <is>
          <t>UPPSALA LÄN</t>
        </is>
      </c>
      <c r="G233" t="inlineStr">
        <is>
          <t>ÖSTHAMMAR</t>
        </is>
      </c>
      <c r="I233" t="n">
        <v>7</v>
      </c>
      <c r="J233" t="n">
        <v>1</v>
      </c>
      <c r="K233" t="n">
        <v>0</v>
      </c>
      <c r="L233" t="n">
        <v>3</v>
      </c>
      <c r="M233" t="n">
        <v>1</v>
      </c>
      <c r="N233" t="n">
        <v>1</v>
      </c>
      <c r="O233" t="n">
        <v>0</v>
      </c>
      <c r="P233" t="n">
        <v>0</v>
      </c>
      <c r="Q233" t="n">
        <v>5</v>
      </c>
      <c r="R233" t="n">
        <v>2</v>
      </c>
      <c r="S233" t="n">
        <v>5</v>
      </c>
      <c r="T233" t="n">
        <v>7</v>
      </c>
      <c r="U233" t="n">
        <v>0</v>
      </c>
      <c r="V233" s="2" t="inlineStr">
        <is>
          <t>Violgubbe
Knärot
Blek fingersvamp
Fjällig taggsvamp s.str.
Orange taggsvamp</t>
        </is>
      </c>
      <c r="W233">
        <f>HYPERLINK("https://klasma.github.io/Logging_0382/artfynd/A 39763-2022 artfynd.xlsx", "A 39763-2022")</f>
        <v/>
      </c>
      <c r="X233">
        <f>HYPERLINK("https://klasma.github.io/Logging_0382/kartor/A 39763-2022 karta.png", "A 39763-2022")</f>
        <v/>
      </c>
      <c r="Y233">
        <f>HYPERLINK("https://klasma.github.io/Logging_0382/kartor_geotiff/A 39763-2022 georefererad karta.tif", "A 39763-2022")</f>
        <v/>
      </c>
      <c r="Z233">
        <f>HYPERLINK("https://klasma.github.io/Logging_0382/knärot/A 39763-2022 karta knärot.png", "A 39763-2022")</f>
        <v/>
      </c>
      <c r="AA233">
        <f>HYPERLINK("https://klasma.github.io/Logging_0382/klagomål/A 39763-2022 FSC-klagomål.docx", "A 39763-2022")</f>
        <v/>
      </c>
      <c r="AB233">
        <f>HYPERLINK("https://klasma.github.io/Logging_0382/klagomålsmail/A 39763-2022 FSC-klagomål mail.docx", "A 39763-2022")</f>
        <v/>
      </c>
      <c r="AC233">
        <f>HYPERLINK("https://klasma.github.io/Logging_0382/tillsyn/A 39763-2022 tillsynsbegäran.docx", "A 39763-2022")</f>
        <v/>
      </c>
      <c r="AD233">
        <f>HYPERLINK("https://klasma.github.io/Logging_0382/tillsynsmail/A 39763-2022 tillsynsbegäran mail.docx", "A 39763-2022")</f>
        <v/>
      </c>
    </row>
    <row r="234" ht="15" customHeight="1">
      <c r="A234" t="inlineStr">
        <is>
          <t>A 64564-2021</t>
        </is>
      </c>
      <c r="B234" t="inlineStr">
        <is>
          <t>avverkningsanmälan</t>
        </is>
      </c>
      <c r="C234" t="inlineStr">
        <is>
          <t>Föryngringsavverkning</t>
        </is>
      </c>
      <c r="D234" s="1" t="n">
        <v>44511</v>
      </c>
      <c r="E234" s="1" t="n">
        <v>46309</v>
      </c>
      <c r="F234" t="inlineStr">
        <is>
          <t>UPPSALA LÄN</t>
        </is>
      </c>
      <c r="G234" t="inlineStr">
        <is>
          <t>ÖSTHAMMAR</t>
        </is>
      </c>
      <c r="I234" t="n">
        <v>7.2</v>
      </c>
      <c r="J234" t="n">
        <v>1</v>
      </c>
      <c r="K234" t="n">
        <v>2</v>
      </c>
      <c r="L234" t="n">
        <v>1</v>
      </c>
      <c r="M234" t="n">
        <v>0</v>
      </c>
      <c r="N234" t="n">
        <v>1</v>
      </c>
      <c r="O234" t="n">
        <v>0</v>
      </c>
      <c r="P234" t="n">
        <v>0</v>
      </c>
      <c r="Q234" t="n">
        <v>2</v>
      </c>
      <c r="R234" t="n">
        <v>1</v>
      </c>
      <c r="S234" t="n">
        <v>5</v>
      </c>
      <c r="T234" t="n">
        <v>7</v>
      </c>
      <c r="U234" t="n">
        <v>6</v>
      </c>
      <c r="V234" s="2" t="inlineStr">
        <is>
          <t>Violgubbe
Gultoppig fingersvamp
Kalktallört
Rödgul trumpetsvamp
Tjäder</t>
        </is>
      </c>
      <c r="W234">
        <f>HYPERLINK("https://klasma.github.io/Logging_0382/artfynd/A 64564-2021 artfynd.xlsx", "A 64564-2021")</f>
        <v/>
      </c>
      <c r="X234">
        <f>HYPERLINK("https://klasma.github.io/Logging_0382/kartor/A 64564-2021 karta.png", "A 64564-2021")</f>
        <v/>
      </c>
      <c r="Y234">
        <f>HYPERLINK("https://klasma.github.io/Logging_0382/kartor_geotiff/A 64564-2021 georefererad karta.tif", "A 64564-2021")</f>
        <v/>
      </c>
      <c r="AA234">
        <f>HYPERLINK("https://klasma.github.io/Logging_0382/klagomål/A 64564-2021 FSC-klagomål.docx", "A 64564-2021")</f>
        <v/>
      </c>
      <c r="AB234">
        <f>HYPERLINK("https://klasma.github.io/Logging_0382/klagomålsmail/A 64564-2021 FSC-klagomål mail.docx", "A 64564-2021")</f>
        <v/>
      </c>
      <c r="AC234">
        <f>HYPERLINK("https://klasma.github.io/Logging_0382/tillsyn/A 64564-2021 tillsynsbegäran.docx", "A 64564-2021")</f>
        <v/>
      </c>
      <c r="AD234">
        <f>HYPERLINK("https://klasma.github.io/Logging_0382/tillsynsmail/A 64564-2021 tillsynsbegäran mail.docx", "A 64564-2021")</f>
        <v/>
      </c>
      <c r="AE234">
        <f>HYPERLINK("https://klasma.github.io/Logging_0382/fåglar/A 64564-2021 prioriterade fågelarter.docx", "A 64564-2021")</f>
        <v/>
      </c>
    </row>
    <row r="235" ht="15" customHeight="1">
      <c r="A235" t="inlineStr">
        <is>
          <t>A 2711-2022</t>
        </is>
      </c>
      <c r="B235" t="inlineStr">
        <is>
          <t>avverkningsanmälan</t>
        </is>
      </c>
      <c r="C235" t="inlineStr">
        <is>
          <t>Föryngringsavverkning</t>
        </is>
      </c>
      <c r="D235" s="1" t="n">
        <v>44552</v>
      </c>
      <c r="E235" s="1" t="n">
        <v>46309</v>
      </c>
      <c r="F235" t="inlineStr">
        <is>
          <t>UPPSALA LÄN</t>
        </is>
      </c>
      <c r="G235" t="inlineStr">
        <is>
          <t>ENKÖPING</t>
        </is>
      </c>
      <c r="H235" t="inlineStr">
        <is>
          <t>Kommuner</t>
        </is>
      </c>
      <c r="I235" t="n">
        <v>2</v>
      </c>
      <c r="J235" t="n">
        <v>0</v>
      </c>
      <c r="K235" t="n">
        <v>2</v>
      </c>
      <c r="L235" t="n">
        <v>2</v>
      </c>
      <c r="M235" t="n">
        <v>1</v>
      </c>
      <c r="N235" t="n">
        <v>0</v>
      </c>
      <c r="O235" t="n">
        <v>0</v>
      </c>
      <c r="P235" t="n">
        <v>0</v>
      </c>
      <c r="Q235" t="n">
        <v>3</v>
      </c>
      <c r="R235" t="n">
        <v>1</v>
      </c>
      <c r="S235" t="n">
        <v>5</v>
      </c>
      <c r="T235" t="n">
        <v>6</v>
      </c>
      <c r="U235" t="n">
        <v>0</v>
      </c>
      <c r="V235" s="2" t="inlineStr">
        <is>
          <t>Grangråticka
Skarp dropptaggsvamp
Ullticka
Rödgul trumpetsvamp
Strimspindling</t>
        </is>
      </c>
      <c r="W235">
        <f>HYPERLINK("https://klasma.github.io/Logging_0381/artfynd/A 2711-2022 artfynd.xlsx", "A 2711-2022")</f>
        <v/>
      </c>
      <c r="X235">
        <f>HYPERLINK("https://klasma.github.io/Logging_0381/kartor/A 2711-2022 karta.png", "A 2711-2022")</f>
        <v/>
      </c>
      <c r="Y235">
        <f>HYPERLINK("https://klasma.github.io/Logging_0381/kartor_geotiff/A 2711-2022 georefererad karta.tif", "A 2711-2022")</f>
        <v/>
      </c>
      <c r="AA235">
        <f>HYPERLINK("https://klasma.github.io/Logging_0381/klagomål/A 2711-2022 FSC-klagomål.docx", "A 2711-2022")</f>
        <v/>
      </c>
      <c r="AB235">
        <f>HYPERLINK("https://klasma.github.io/Logging_0381/klagomålsmail/A 2711-2022 FSC-klagomål mail.docx", "A 2711-2022")</f>
        <v/>
      </c>
      <c r="AC235">
        <f>HYPERLINK("https://klasma.github.io/Logging_0381/tillsyn/A 2711-2022 tillsynsbegäran.docx", "A 2711-2022")</f>
        <v/>
      </c>
      <c r="AD235">
        <f>HYPERLINK("https://klasma.github.io/Logging_0381/tillsynsmail/A 2711-2022 tillsynsbegäran mail.docx", "A 2711-2022")</f>
        <v/>
      </c>
    </row>
    <row r="236" ht="15" customHeight="1">
      <c r="A236" t="inlineStr">
        <is>
          <t>A 23324-2022</t>
        </is>
      </c>
      <c r="B236" t="inlineStr">
        <is>
          <t>avverkningsanmälan</t>
        </is>
      </c>
      <c r="C236" t="inlineStr">
        <is>
          <t>Föryngringsavverkning</t>
        </is>
      </c>
      <c r="D236" s="1" t="n">
        <v>44720</v>
      </c>
      <c r="E236" s="1" t="n">
        <v>46309</v>
      </c>
      <c r="F236" t="inlineStr">
        <is>
          <t>UPPSALA LÄN</t>
        </is>
      </c>
      <c r="G236" t="inlineStr">
        <is>
          <t>UPPSALA</t>
        </is>
      </c>
      <c r="I236" t="n">
        <v>1.5</v>
      </c>
      <c r="J236" t="n">
        <v>1</v>
      </c>
      <c r="K236" t="n">
        <v>3</v>
      </c>
      <c r="L236" t="n">
        <v>1</v>
      </c>
      <c r="M236" t="n">
        <v>0</v>
      </c>
      <c r="N236" t="n">
        <v>0</v>
      </c>
      <c r="O236" t="n">
        <v>0</v>
      </c>
      <c r="P236" t="n">
        <v>0</v>
      </c>
      <c r="Q236" t="n">
        <v>1</v>
      </c>
      <c r="R236" t="n">
        <v>0</v>
      </c>
      <c r="S236" t="n">
        <v>5</v>
      </c>
      <c r="T236" t="n">
        <v>7</v>
      </c>
      <c r="U236" t="n">
        <v>7</v>
      </c>
      <c r="V236" s="2" t="inlineStr">
        <is>
          <t>Vårärt
Fällmossa
Hasselticka
Svart trolldruva
Blåsippa</t>
        </is>
      </c>
      <c r="W236">
        <f>HYPERLINK("https://klasma.github.io/Logging_0380/artfynd/A 23324-2022 artfynd.xlsx", "A 23324-2022")</f>
        <v/>
      </c>
      <c r="X236">
        <f>HYPERLINK("https://klasma.github.io/Logging_0380/kartor/A 23324-2022 karta.png", "A 23324-2022")</f>
        <v/>
      </c>
      <c r="Y236">
        <f>HYPERLINK("https://klasma.github.io/Logging_0380/kartor_geotiff/A 23324-2022 georefererad karta.tif", "A 23324-2022")</f>
        <v/>
      </c>
      <c r="AA236">
        <f>HYPERLINK("https://klasma.github.io/Logging_0380/klagomål/A 23324-2022 FSC-klagomål.docx", "A 23324-2022")</f>
        <v/>
      </c>
      <c r="AB236">
        <f>HYPERLINK("https://klasma.github.io/Logging_0380/klagomålsmail/A 23324-2022 FSC-klagomål mail.docx", "A 23324-2022")</f>
        <v/>
      </c>
      <c r="AC236">
        <f>HYPERLINK("https://klasma.github.io/Logging_0380/tillsyn/A 23324-2022 tillsynsbegäran.docx", "A 23324-2022")</f>
        <v/>
      </c>
      <c r="AD236">
        <f>HYPERLINK("https://klasma.github.io/Logging_0380/tillsynsmail/A 23324-2022 tillsynsbegäran mail.docx", "A 23324-2022")</f>
        <v/>
      </c>
    </row>
    <row r="237" ht="15" customHeight="1">
      <c r="A237" t="inlineStr">
        <is>
          <t>A 18150-2022</t>
        </is>
      </c>
      <c r="B237" t="inlineStr">
        <is>
          <t>avverkningsanmälan</t>
        </is>
      </c>
      <c r="C237" t="inlineStr">
        <is>
          <t>Föryngringsavverkning</t>
        </is>
      </c>
      <c r="D237" s="1" t="n">
        <v>44684</v>
      </c>
      <c r="E237" s="1" t="n">
        <v>46309</v>
      </c>
      <c r="F237" t="inlineStr">
        <is>
          <t>UPPSALA LÄN</t>
        </is>
      </c>
      <c r="G237" t="inlineStr">
        <is>
          <t>ÖSTHAMMAR</t>
        </is>
      </c>
      <c r="I237" t="n">
        <v>0.8</v>
      </c>
      <c r="J237" t="n">
        <v>4</v>
      </c>
      <c r="K237" t="n">
        <v>1</v>
      </c>
      <c r="L237" t="n">
        <v>1</v>
      </c>
      <c r="M237" t="n">
        <v>1</v>
      </c>
      <c r="N237" t="n">
        <v>0</v>
      </c>
      <c r="O237" t="n">
        <v>0</v>
      </c>
      <c r="P237" t="n">
        <v>0</v>
      </c>
      <c r="Q237" t="n">
        <v>2</v>
      </c>
      <c r="R237" t="n">
        <v>1</v>
      </c>
      <c r="S237" t="n">
        <v>5</v>
      </c>
      <c r="T237" t="n">
        <v>12</v>
      </c>
      <c r="U237" t="n">
        <v>12</v>
      </c>
      <c r="V237" s="2" t="inlineStr">
        <is>
          <t>Knärot
Talltita
Bronshjon
Blåsippa
Spillkråka</t>
        </is>
      </c>
      <c r="W237">
        <f>HYPERLINK("https://klasma.github.io/Logging_0382/artfynd/A 18150-2022 artfynd.xlsx", "A 18150-2022")</f>
        <v/>
      </c>
      <c r="X237">
        <f>HYPERLINK("https://klasma.github.io/Logging_0382/kartor/A 18150-2022 karta.png", "A 18150-2022")</f>
        <v/>
      </c>
      <c r="Y237">
        <f>HYPERLINK("https://klasma.github.io/Logging_0382/kartor_geotiff/A 18150-2022 georefererad karta.tif", "A 18150-2022")</f>
        <v/>
      </c>
      <c r="Z237">
        <f>HYPERLINK("https://klasma.github.io/Logging_0382/knärot/A 18150-2022 karta knärot.png", "A 18150-2022")</f>
        <v/>
      </c>
      <c r="AA237">
        <f>HYPERLINK("https://klasma.github.io/Logging_0382/klagomål/A 18150-2022 FSC-klagomål.docx", "A 18150-2022")</f>
        <v/>
      </c>
      <c r="AB237">
        <f>HYPERLINK("https://klasma.github.io/Logging_0382/klagomålsmail/A 18150-2022 FSC-klagomål mail.docx", "A 18150-2022")</f>
        <v/>
      </c>
      <c r="AC237">
        <f>HYPERLINK("https://klasma.github.io/Logging_0382/tillsyn/A 18150-2022 tillsynsbegäran.docx", "A 18150-2022")</f>
        <v/>
      </c>
      <c r="AD237">
        <f>HYPERLINK("https://klasma.github.io/Logging_0382/tillsynsmail/A 18150-2022 tillsynsbegäran mail.docx", "A 18150-2022")</f>
        <v/>
      </c>
      <c r="AE237">
        <f>HYPERLINK("https://klasma.github.io/Logging_0382/fåglar/A 18150-2022 prioriterade fågelarter.docx", "A 18150-2022")</f>
        <v/>
      </c>
    </row>
    <row r="238" ht="15" customHeight="1">
      <c r="A238" t="inlineStr">
        <is>
          <t>A 31572-2023</t>
        </is>
      </c>
      <c r="B238" t="inlineStr">
        <is>
          <t>avverkningsanmälan</t>
        </is>
      </c>
      <c r="C238" t="inlineStr">
        <is>
          <t>Föryngringsavverkning</t>
        </is>
      </c>
      <c r="D238" s="1" t="n">
        <v>45117</v>
      </c>
      <c r="E238" s="1" t="n">
        <v>46309</v>
      </c>
      <c r="F238" t="inlineStr">
        <is>
          <t>UPPSALA LÄN</t>
        </is>
      </c>
      <c r="G238" t="inlineStr">
        <is>
          <t>HEBY</t>
        </is>
      </c>
      <c r="I238" t="n">
        <v>6.1</v>
      </c>
      <c r="J238" t="n">
        <v>2</v>
      </c>
      <c r="K238" t="n">
        <v>3</v>
      </c>
      <c r="L238" t="n">
        <v>0</v>
      </c>
      <c r="M238" t="n">
        <v>1</v>
      </c>
      <c r="N238" t="n">
        <v>0</v>
      </c>
      <c r="O238" t="n">
        <v>0</v>
      </c>
      <c r="P238" t="n">
        <v>0</v>
      </c>
      <c r="Q238" t="n">
        <v>1</v>
      </c>
      <c r="R238" t="n">
        <v>1</v>
      </c>
      <c r="S238" t="n">
        <v>5</v>
      </c>
      <c r="T238" t="n">
        <v>13</v>
      </c>
      <c r="U238" t="n">
        <v>13</v>
      </c>
      <c r="V238" s="2" t="inlineStr">
        <is>
          <t>Knärot
Grönpyrola
Norrlandslav
Vedticka
Fläcknycklar</t>
        </is>
      </c>
      <c r="W238">
        <f>HYPERLINK("https://klasma.github.io/Logging_0331/artfynd/A 31572-2023 artfynd.xlsx", "A 31572-2023")</f>
        <v/>
      </c>
      <c r="X238">
        <f>HYPERLINK("https://klasma.github.io/Logging_0331/kartor/A 31572-2023 karta.png", "A 31572-2023")</f>
        <v/>
      </c>
      <c r="Y238">
        <f>HYPERLINK("https://klasma.github.io/Logging_0331/kartor_geotiff/A 31572-2023 georefererad karta.tif", "A 31572-2023")</f>
        <v/>
      </c>
      <c r="Z238">
        <f>HYPERLINK("https://klasma.github.io/Logging_0331/knärot/A 31572-2023 karta knärot.png", "A 31572-2023")</f>
        <v/>
      </c>
      <c r="AA238">
        <f>HYPERLINK("https://klasma.github.io/Logging_0331/klagomål/A 31572-2023 FSC-klagomål.docx", "A 31572-2023")</f>
        <v/>
      </c>
      <c r="AB238">
        <f>HYPERLINK("https://klasma.github.io/Logging_0331/klagomålsmail/A 31572-2023 FSC-klagomål mail.docx", "A 31572-2023")</f>
        <v/>
      </c>
      <c r="AC238">
        <f>HYPERLINK("https://klasma.github.io/Logging_0331/tillsyn/A 31572-2023 tillsynsbegäran.docx", "A 31572-2023")</f>
        <v/>
      </c>
      <c r="AD238">
        <f>HYPERLINK("https://klasma.github.io/Logging_0331/tillsynsmail/A 31572-2023 tillsynsbegäran mail.docx", "A 31572-2023")</f>
        <v/>
      </c>
    </row>
    <row r="239" ht="15" customHeight="1">
      <c r="A239" t="inlineStr">
        <is>
          <t>A 73325-2021</t>
        </is>
      </c>
      <c r="B239" t="inlineStr">
        <is>
          <t>avverkningsanmälan</t>
        </is>
      </c>
      <c r="C239" t="inlineStr">
        <is>
          <t>Föryngringsavverkning</t>
        </is>
      </c>
      <c r="D239" s="1" t="n">
        <v>44551</v>
      </c>
      <c r="E239" s="1" t="n">
        <v>46309</v>
      </c>
      <c r="F239" t="inlineStr">
        <is>
          <t>UPPSALA LÄN</t>
        </is>
      </c>
      <c r="G239" t="inlineStr">
        <is>
          <t>TIERP</t>
        </is>
      </c>
      <c r="I239" t="n">
        <v>3.7</v>
      </c>
      <c r="J239" t="n">
        <v>0</v>
      </c>
      <c r="K239" t="n">
        <v>1</v>
      </c>
      <c r="L239" t="n">
        <v>2</v>
      </c>
      <c r="M239" t="n">
        <v>1</v>
      </c>
      <c r="N239" t="n">
        <v>1</v>
      </c>
      <c r="O239" t="n">
        <v>0</v>
      </c>
      <c r="P239" t="n">
        <v>0</v>
      </c>
      <c r="Q239" t="n">
        <v>4</v>
      </c>
      <c r="R239" t="n">
        <v>2</v>
      </c>
      <c r="S239" t="n">
        <v>5</v>
      </c>
      <c r="T239" t="n">
        <v>5</v>
      </c>
      <c r="U239" t="n">
        <v>1</v>
      </c>
      <c r="V239" s="2" t="inlineStr">
        <is>
          <t>Koppartaggsvamp
Taggfingersvamp
Kattfotslav
Äggspindling
Rödgul trumpetsvamp</t>
        </is>
      </c>
      <c r="W239">
        <f>HYPERLINK("https://klasma.github.io/Logging_0360/artfynd/A 73325-2021 artfynd.xlsx", "A 73325-2021")</f>
        <v/>
      </c>
      <c r="X239">
        <f>HYPERLINK("https://klasma.github.io/Logging_0360/kartor/A 73325-2021 karta.png", "A 73325-2021")</f>
        <v/>
      </c>
      <c r="Y239">
        <f>HYPERLINK("https://klasma.github.io/Logging_0360/kartor_geotiff/A 73325-2021 georefererad karta.tif", "A 73325-2021")</f>
        <v/>
      </c>
      <c r="AA239">
        <f>HYPERLINK("https://klasma.github.io/Logging_0360/klagomål/A 73325-2021 FSC-klagomål.docx", "A 73325-2021")</f>
        <v/>
      </c>
      <c r="AB239">
        <f>HYPERLINK("https://klasma.github.io/Logging_0360/klagomålsmail/A 73325-2021 FSC-klagomål mail.docx", "A 73325-2021")</f>
        <v/>
      </c>
      <c r="AC239">
        <f>HYPERLINK("https://klasma.github.io/Logging_0360/tillsyn/A 73325-2021 tillsynsbegäran.docx", "A 73325-2021")</f>
        <v/>
      </c>
      <c r="AD239">
        <f>HYPERLINK("https://klasma.github.io/Logging_0360/tillsynsmail/A 73325-2021 tillsynsbegäran mail.docx", "A 73325-2021")</f>
        <v/>
      </c>
    </row>
    <row r="240" ht="15" customHeight="1">
      <c r="A240" t="inlineStr">
        <is>
          <t>A 17004-2024</t>
        </is>
      </c>
      <c r="B240" t="inlineStr">
        <is>
          <t>avverkningsanmälan</t>
        </is>
      </c>
      <c r="C240" t="inlineStr">
        <is>
          <t>Föryngringsavverkning</t>
        </is>
      </c>
      <c r="D240" s="1" t="n">
        <v>45412</v>
      </c>
      <c r="E240" s="1" t="n">
        <v>46309</v>
      </c>
      <c r="F240" t="inlineStr">
        <is>
          <t>UPPSALA LÄN</t>
        </is>
      </c>
      <c r="G240" t="inlineStr">
        <is>
          <t>ÖSTHAMMAR</t>
        </is>
      </c>
      <c r="H240" t="inlineStr">
        <is>
          <t>Bergvik skog öst AB</t>
        </is>
      </c>
      <c r="I240" t="n">
        <v>24.4</v>
      </c>
      <c r="J240" t="n">
        <v>1</v>
      </c>
      <c r="K240" t="n">
        <v>3</v>
      </c>
      <c r="L240" t="n">
        <v>0</v>
      </c>
      <c r="M240" t="n">
        <v>0</v>
      </c>
      <c r="N240" t="n">
        <v>1</v>
      </c>
      <c r="O240" t="n">
        <v>0</v>
      </c>
      <c r="P240" t="n">
        <v>0</v>
      </c>
      <c r="Q240" t="n">
        <v>1</v>
      </c>
      <c r="R240" t="n">
        <v>1</v>
      </c>
      <c r="S240" t="n">
        <v>5</v>
      </c>
      <c r="T240" t="n">
        <v>5</v>
      </c>
      <c r="U240" t="n">
        <v>0</v>
      </c>
      <c r="V240" s="2" t="inlineStr">
        <is>
          <t>Skogsalm
Myskmadra
Strävlosta
Underviol
Blåsippa</t>
        </is>
      </c>
      <c r="W240">
        <f>HYPERLINK("https://klasma.github.io/Logging_0382/artfynd/A 17004-2024 artfynd.xlsx", "A 17004-2024")</f>
        <v/>
      </c>
      <c r="X240">
        <f>HYPERLINK("https://klasma.github.io/Logging_0382/kartor/A 17004-2024 karta.png", "A 17004-2024")</f>
        <v/>
      </c>
      <c r="Y240">
        <f>HYPERLINK("https://klasma.github.io/Logging_0382/kartor_geotiff/A 17004-2024 georefererad karta.tif", "A 17004-2024")</f>
        <v/>
      </c>
      <c r="AA240">
        <f>HYPERLINK("https://klasma.github.io/Logging_0382/klagomål/A 17004-2024 FSC-klagomål.docx", "A 17004-2024")</f>
        <v/>
      </c>
      <c r="AB240">
        <f>HYPERLINK("https://klasma.github.io/Logging_0382/klagomålsmail/A 17004-2024 FSC-klagomål mail.docx", "A 17004-2024")</f>
        <v/>
      </c>
      <c r="AC240">
        <f>HYPERLINK("https://klasma.github.io/Logging_0382/tillsyn/A 17004-2024 tillsynsbegäran.docx", "A 17004-2024")</f>
        <v/>
      </c>
      <c r="AD240">
        <f>HYPERLINK("https://klasma.github.io/Logging_0382/tillsynsmail/A 17004-2024 tillsynsbegäran mail.docx", "A 17004-2024")</f>
        <v/>
      </c>
    </row>
    <row r="241" ht="15" customHeight="1">
      <c r="A241" t="inlineStr">
        <is>
          <t>A 28876-2025</t>
        </is>
      </c>
      <c r="B241" t="inlineStr">
        <is>
          <t>avverkningsanmälan</t>
        </is>
      </c>
      <c r="C241" t="inlineStr">
        <is>
          <t>Föryngringsavverkning</t>
        </is>
      </c>
      <c r="D241" s="1" t="n">
        <v>45820</v>
      </c>
      <c r="E241" s="1" t="n">
        <v>46309</v>
      </c>
      <c r="F241" t="inlineStr">
        <is>
          <t>UPPSALA LÄN</t>
        </is>
      </c>
      <c r="G241" t="inlineStr">
        <is>
          <t>UPPSALA</t>
        </is>
      </c>
      <c r="I241" t="n">
        <v>4</v>
      </c>
      <c r="J241" t="n">
        <v>1</v>
      </c>
      <c r="K241" t="n">
        <v>2</v>
      </c>
      <c r="L241" t="n">
        <v>2</v>
      </c>
      <c r="M241" t="n">
        <v>0</v>
      </c>
      <c r="N241" t="n">
        <v>0</v>
      </c>
      <c r="O241" t="n">
        <v>0</v>
      </c>
      <c r="P241" t="n">
        <v>0</v>
      </c>
      <c r="Q241" t="n">
        <v>2</v>
      </c>
      <c r="R241" t="n">
        <v>0</v>
      </c>
      <c r="S241" t="n">
        <v>5</v>
      </c>
      <c r="T241" t="n">
        <v>5</v>
      </c>
      <c r="U241" t="n">
        <v>5</v>
      </c>
      <c r="V241" s="2" t="inlineStr">
        <is>
          <t>Rynkskinn
Ullticka
Vedticka
Vågbandad barkbock
Blåsippa</t>
        </is>
      </c>
      <c r="W241">
        <f>HYPERLINK("https://klasma.github.io/Logging_0380/artfynd/A 28876-2025 artfynd.xlsx", "A 28876-2025")</f>
        <v/>
      </c>
      <c r="X241">
        <f>HYPERLINK("https://klasma.github.io/Logging_0380/kartor/A 28876-2025 karta.png", "A 28876-2025")</f>
        <v/>
      </c>
      <c r="Y241">
        <f>HYPERLINK("https://klasma.github.io/Logging_0380/kartor_geotiff/A 28876-2025 georefererad karta.tif", "A 28876-2025")</f>
        <v/>
      </c>
      <c r="AA241">
        <f>HYPERLINK("https://klasma.github.io/Logging_0380/klagomål/A 28876-2025 FSC-klagomål.docx", "A 28876-2025")</f>
        <v/>
      </c>
      <c r="AB241">
        <f>HYPERLINK("https://klasma.github.io/Logging_0380/klagomålsmail/A 28876-2025 FSC-klagomål mail.docx", "A 28876-2025")</f>
        <v/>
      </c>
      <c r="AC241">
        <f>HYPERLINK("https://klasma.github.io/Logging_0380/tillsyn/A 28876-2025 tillsynsbegäran.docx", "A 28876-2025")</f>
        <v/>
      </c>
      <c r="AD241">
        <f>HYPERLINK("https://klasma.github.io/Logging_0380/tillsynsmail/A 28876-2025 tillsynsbegäran mail.docx", "A 28876-2025")</f>
        <v/>
      </c>
    </row>
    <row r="242" ht="15" customHeight="1">
      <c r="A242" t="inlineStr">
        <is>
          <t>A 52650-2022</t>
        </is>
      </c>
      <c r="B242" t="inlineStr">
        <is>
          <t>avverkningsanmälan</t>
        </is>
      </c>
      <c r="C242" t="inlineStr">
        <is>
          <t>Föryngringsavverkning</t>
        </is>
      </c>
      <c r="D242" s="1" t="n">
        <v>44874</v>
      </c>
      <c r="E242" s="1" t="n">
        <v>46309</v>
      </c>
      <c r="F242" t="inlineStr">
        <is>
          <t>UPPSALA LÄN</t>
        </is>
      </c>
      <c r="G242" t="inlineStr">
        <is>
          <t>ÖSTHAMMAR</t>
        </is>
      </c>
      <c r="H242" t="inlineStr">
        <is>
          <t>Bergvik skog öst AB</t>
        </is>
      </c>
      <c r="I242" t="n">
        <v>0.4</v>
      </c>
      <c r="J242" t="n">
        <v>5</v>
      </c>
      <c r="K242" t="n">
        <v>0</v>
      </c>
      <c r="L242" t="n">
        <v>2</v>
      </c>
      <c r="M242" t="n">
        <v>0</v>
      </c>
      <c r="N242" t="n">
        <v>0</v>
      </c>
      <c r="O242" t="n">
        <v>0</v>
      </c>
      <c r="P242" t="n">
        <v>0</v>
      </c>
      <c r="Q242" t="n">
        <v>2</v>
      </c>
      <c r="R242" t="n">
        <v>0</v>
      </c>
      <c r="S242" t="n">
        <v>5</v>
      </c>
      <c r="T242" t="n">
        <v>5</v>
      </c>
      <c r="U242" t="n">
        <v>0</v>
      </c>
      <c r="V242" s="2" t="inlineStr">
        <is>
          <t>Enkelbeckasin
Gulsparv
Grönsiska
Kungsfågel
Sångsvan</t>
        </is>
      </c>
      <c r="W242">
        <f>HYPERLINK("https://klasma.github.io/Logging_0382/artfynd/A 52650-2022 artfynd.xlsx", "A 52650-2022")</f>
        <v/>
      </c>
      <c r="X242">
        <f>HYPERLINK("https://klasma.github.io/Logging_0382/kartor/A 52650-2022 karta.png", "A 52650-2022")</f>
        <v/>
      </c>
      <c r="Y242">
        <f>HYPERLINK("https://klasma.github.io/Logging_0382/kartor_geotiff/A 52650-2022 georefererad karta.tif", "A 52650-2022")</f>
        <v/>
      </c>
      <c r="AA242">
        <f>HYPERLINK("https://klasma.github.io/Logging_0382/klagomål/A 52650-2022 FSC-klagomål.docx", "A 52650-2022")</f>
        <v/>
      </c>
      <c r="AB242">
        <f>HYPERLINK("https://klasma.github.io/Logging_0382/klagomålsmail/A 52650-2022 FSC-klagomål mail.docx", "A 52650-2022")</f>
        <v/>
      </c>
      <c r="AC242">
        <f>HYPERLINK("https://klasma.github.io/Logging_0382/tillsyn/A 52650-2022 tillsynsbegäran.docx", "A 52650-2022")</f>
        <v/>
      </c>
      <c r="AD242">
        <f>HYPERLINK("https://klasma.github.io/Logging_0382/tillsynsmail/A 52650-2022 tillsynsbegäran mail.docx", "A 52650-2022")</f>
        <v/>
      </c>
      <c r="AE242">
        <f>HYPERLINK("https://klasma.github.io/Logging_0382/fåglar/A 52650-2022 prioriterade fågelarter.docx", "A 52650-2022")</f>
        <v/>
      </c>
    </row>
    <row r="243" ht="15" customHeight="1">
      <c r="A243" t="inlineStr">
        <is>
          <t>A 33180-2025</t>
        </is>
      </c>
      <c r="B243" t="inlineStr">
        <is>
          <t>avverkningsanmälan</t>
        </is>
      </c>
      <c r="C243" t="inlineStr">
        <is>
          <t>Föryngringsavverkning</t>
        </is>
      </c>
      <c r="D243" s="1" t="n">
        <v>45840</v>
      </c>
      <c r="E243" s="1" t="n">
        <v>46309</v>
      </c>
      <c r="F243" t="inlineStr">
        <is>
          <t>UPPSALA LÄN</t>
        </is>
      </c>
      <c r="G243" t="inlineStr">
        <is>
          <t>TIERP</t>
        </is>
      </c>
      <c r="I243" t="n">
        <v>0.8</v>
      </c>
      <c r="J243" t="n">
        <v>0</v>
      </c>
      <c r="K243" t="n">
        <v>3</v>
      </c>
      <c r="L243" t="n">
        <v>2</v>
      </c>
      <c r="M243" t="n">
        <v>0</v>
      </c>
      <c r="N243" t="n">
        <v>0</v>
      </c>
      <c r="O243" t="n">
        <v>0</v>
      </c>
      <c r="P243" t="n">
        <v>0</v>
      </c>
      <c r="Q243" t="n">
        <v>2</v>
      </c>
      <c r="R243" t="n">
        <v>0</v>
      </c>
      <c r="S243" t="n">
        <v>5</v>
      </c>
      <c r="T243" t="n">
        <v>10</v>
      </c>
      <c r="U243" t="n">
        <v>0</v>
      </c>
      <c r="V243" s="2" t="inlineStr">
        <is>
          <t>Månlåsbräken
Oxtungssvamp
Brun nållav
Gulpudrad spiklav
Sotlav</t>
        </is>
      </c>
      <c r="W243">
        <f>HYPERLINK("https://klasma.github.io/Logging_0360/artfynd/A 33180-2025 artfynd.xlsx", "A 33180-2025")</f>
        <v/>
      </c>
      <c r="X243">
        <f>HYPERLINK("https://klasma.github.io/Logging_0360/kartor/A 33180-2025 karta.png", "A 33180-2025")</f>
        <v/>
      </c>
      <c r="Y243">
        <f>HYPERLINK("https://klasma.github.io/Logging_0360/kartor_geotiff/A 33180-2025 georefererad karta.tif", "A 33180-2025")</f>
        <v/>
      </c>
      <c r="AA243">
        <f>HYPERLINK("https://klasma.github.io/Logging_0360/klagomål/A 33180-2025 FSC-klagomål.docx", "A 33180-2025")</f>
        <v/>
      </c>
      <c r="AB243">
        <f>HYPERLINK("https://klasma.github.io/Logging_0360/klagomålsmail/A 33180-2025 FSC-klagomål mail.docx", "A 33180-2025")</f>
        <v/>
      </c>
      <c r="AC243">
        <f>HYPERLINK("https://klasma.github.io/Logging_0360/tillsyn/A 33180-2025 tillsynsbegäran.docx", "A 33180-2025")</f>
        <v/>
      </c>
      <c r="AD243">
        <f>HYPERLINK("https://klasma.github.io/Logging_0360/tillsynsmail/A 33180-2025 tillsynsbegäran mail.docx", "A 33180-2025")</f>
        <v/>
      </c>
    </row>
    <row r="244" ht="15" customHeight="1">
      <c r="A244" t="inlineStr">
        <is>
          <t>A 29803-2023</t>
        </is>
      </c>
      <c r="B244" t="inlineStr">
        <is>
          <t>avverkningsanmälan</t>
        </is>
      </c>
      <c r="C244" t="inlineStr">
        <is>
          <t>Avverkning för att bevara och utveckla /försöksver</t>
        </is>
      </c>
      <c r="D244" s="1" t="n">
        <v>45107</v>
      </c>
      <c r="E244" s="1" t="n">
        <v>46309</v>
      </c>
      <c r="F244" t="inlineStr">
        <is>
          <t>UPPSALA LÄN</t>
        </is>
      </c>
      <c r="G244" t="inlineStr">
        <is>
          <t>UPPSALA</t>
        </is>
      </c>
      <c r="I244" t="n">
        <v>2.5</v>
      </c>
      <c r="J244" t="n">
        <v>0</v>
      </c>
      <c r="K244" t="n">
        <v>2</v>
      </c>
      <c r="L244" t="n">
        <v>3</v>
      </c>
      <c r="M244" t="n">
        <v>0</v>
      </c>
      <c r="N244" t="n">
        <v>0</v>
      </c>
      <c r="O244" t="n">
        <v>0</v>
      </c>
      <c r="P244" t="n">
        <v>0</v>
      </c>
      <c r="Q244" t="n">
        <v>3</v>
      </c>
      <c r="R244" t="n">
        <v>0</v>
      </c>
      <c r="S244" t="n">
        <v>5</v>
      </c>
      <c r="T244" t="n">
        <v>12</v>
      </c>
      <c r="U244" t="n">
        <v>12</v>
      </c>
      <c r="V244" s="2" t="inlineStr">
        <is>
          <t>Barrviolspindling
Fjällig taggsvamp s.str.
Flattoppad klubbsvamp
Blomkålssvamp
Svavelriska</t>
        </is>
      </c>
      <c r="W244">
        <f>HYPERLINK("https://klasma.github.io/Logging_0380/artfynd/A 29803-2023 artfynd.xlsx", "A 29803-2023")</f>
        <v/>
      </c>
      <c r="X244">
        <f>HYPERLINK("https://klasma.github.io/Logging_0380/kartor/A 29803-2023 karta.png", "A 29803-2023")</f>
        <v/>
      </c>
      <c r="Y244">
        <f>HYPERLINK("https://klasma.github.io/Logging_0380/kartor_geotiff/A 29803-2023 georefererad karta.tif", "A 29803-2023")</f>
        <v/>
      </c>
      <c r="AA244">
        <f>HYPERLINK("https://klasma.github.io/Logging_0380/klagomål/A 29803-2023 FSC-klagomål.docx", "A 29803-2023")</f>
        <v/>
      </c>
      <c r="AB244">
        <f>HYPERLINK("https://klasma.github.io/Logging_0380/klagomålsmail/A 29803-2023 FSC-klagomål mail.docx", "A 29803-2023")</f>
        <v/>
      </c>
      <c r="AC244">
        <f>HYPERLINK("https://klasma.github.io/Logging_0380/tillsyn/A 29803-2023 tillsynsbegäran.docx", "A 29803-2023")</f>
        <v/>
      </c>
      <c r="AD244">
        <f>HYPERLINK("https://klasma.github.io/Logging_0380/tillsynsmail/A 29803-2023 tillsynsbegäran mail.docx", "A 29803-2023")</f>
        <v/>
      </c>
    </row>
    <row r="245" ht="15" customHeight="1">
      <c r="A245" t="inlineStr">
        <is>
          <t>A 58369-2025</t>
        </is>
      </c>
      <c r="B245" t="inlineStr">
        <is>
          <t>avverkningsanmälan</t>
        </is>
      </c>
      <c r="C245" t="inlineStr">
        <is>
          <t>Föryngringsavverkning</t>
        </is>
      </c>
      <c r="D245" s="1" t="n">
        <v>45985</v>
      </c>
      <c r="E245" s="1" t="n">
        <v>46309</v>
      </c>
      <c r="F245" t="inlineStr">
        <is>
          <t>UPPSALA LÄN</t>
        </is>
      </c>
      <c r="G245" t="inlineStr">
        <is>
          <t>HEBY</t>
        </is>
      </c>
      <c r="I245" t="n">
        <v>4.6</v>
      </c>
      <c r="J245" t="n">
        <v>2</v>
      </c>
      <c r="K245" t="n">
        <v>3</v>
      </c>
      <c r="L245" t="n">
        <v>0</v>
      </c>
      <c r="M245" t="n">
        <v>0</v>
      </c>
      <c r="N245" t="n">
        <v>0</v>
      </c>
      <c r="O245" t="n">
        <v>0</v>
      </c>
      <c r="P245" t="n">
        <v>0</v>
      </c>
      <c r="Q245" t="n">
        <v>0</v>
      </c>
      <c r="R245" t="n">
        <v>0</v>
      </c>
      <c r="S245" t="n">
        <v>5</v>
      </c>
      <c r="T245" t="n">
        <v>5</v>
      </c>
      <c r="U245" t="n">
        <v>4</v>
      </c>
      <c r="V245" s="2" t="inlineStr">
        <is>
          <t>Myskbock
Noshornsoxe
Större träfjäril
Spillkråka
Vanlig padda</t>
        </is>
      </c>
      <c r="W245">
        <f>HYPERLINK("https://klasma.github.io/Logging_0331/artfynd/A 58369-2025 artfynd.xlsx", "A 58369-2025")</f>
        <v/>
      </c>
      <c r="X245">
        <f>HYPERLINK("https://klasma.github.io/Logging_0331/kartor/A 58369-2025 karta.png", "A 58369-2025")</f>
        <v/>
      </c>
      <c r="Y245">
        <f>HYPERLINK("https://klasma.github.io/Logging_0331/kartor_geotiff/A 58369-2025 georefererad karta.tif", "A 58369-2025")</f>
        <v/>
      </c>
      <c r="AA245">
        <f>HYPERLINK("https://klasma.github.io/Logging_0331/klagomål/A 58369-2025 FSC-klagomål.docx", "A 58369-2025")</f>
        <v/>
      </c>
      <c r="AB245">
        <f>HYPERLINK("https://klasma.github.io/Logging_0331/klagomålsmail/A 58369-2025 FSC-klagomål mail.docx", "A 58369-2025")</f>
        <v/>
      </c>
      <c r="AC245">
        <f>HYPERLINK("https://klasma.github.io/Logging_0331/tillsyn/A 58369-2025 tillsynsbegäran.docx", "A 58369-2025")</f>
        <v/>
      </c>
      <c r="AD245">
        <f>HYPERLINK("https://klasma.github.io/Logging_0331/tillsynsmail/A 58369-2025 tillsynsbegäran mail.docx", "A 58369-2025")</f>
        <v/>
      </c>
      <c r="AE245">
        <f>HYPERLINK("https://klasma.github.io/Logging_0331/fåglar/A 58369-2025 prioriterade fågelarter.docx", "A 58369-2025")</f>
        <v/>
      </c>
    </row>
    <row r="246" ht="15" customHeight="1">
      <c r="A246" t="inlineStr">
        <is>
          <t>A 31552-2023</t>
        </is>
      </c>
      <c r="B246" t="inlineStr">
        <is>
          <t>avverkningsanmälan</t>
        </is>
      </c>
      <c r="C246" t="inlineStr">
        <is>
          <t>Föryngringsavverkning</t>
        </is>
      </c>
      <c r="D246" s="1" t="n">
        <v>45104</v>
      </c>
      <c r="E246" s="1" t="n">
        <v>46309</v>
      </c>
      <c r="F246" t="inlineStr">
        <is>
          <t>UPPSALA LÄN</t>
        </is>
      </c>
      <c r="G246" t="inlineStr">
        <is>
          <t>ENKÖPING</t>
        </is>
      </c>
      <c r="I246" t="n">
        <v>2.6</v>
      </c>
      <c r="J246" t="n">
        <v>2</v>
      </c>
      <c r="K246" t="n">
        <v>2</v>
      </c>
      <c r="L246" t="n">
        <v>1</v>
      </c>
      <c r="M246" t="n">
        <v>0</v>
      </c>
      <c r="N246" t="n">
        <v>1</v>
      </c>
      <c r="O246" t="n">
        <v>0</v>
      </c>
      <c r="P246" t="n">
        <v>0</v>
      </c>
      <c r="Q246" t="n">
        <v>2</v>
      </c>
      <c r="R246" t="n">
        <v>1</v>
      </c>
      <c r="S246" t="n">
        <v>5</v>
      </c>
      <c r="T246" t="n">
        <v>28</v>
      </c>
      <c r="U246" t="n">
        <v>8</v>
      </c>
      <c r="V246" s="2" t="inlineStr">
        <is>
          <t>Bombmurkla
Fyrflikig jordstjärna
Grön sköldmossa
Grönpyrola
Kransmossa</t>
        </is>
      </c>
      <c r="W246">
        <f>HYPERLINK("https://klasma.github.io/Logging_0381/artfynd/A 31552-2023 artfynd.xlsx", "A 31552-2023")</f>
        <v/>
      </c>
      <c r="X246">
        <f>HYPERLINK("https://klasma.github.io/Logging_0381/kartor/A 31552-2023 karta.png", "A 31552-2023")</f>
        <v/>
      </c>
      <c r="Y246">
        <f>HYPERLINK("https://klasma.github.io/Logging_0381/kartor_geotiff/A 31552-2023 georefererad karta.tif", "A 31552-2023")</f>
        <v/>
      </c>
      <c r="AA246">
        <f>HYPERLINK("https://klasma.github.io/Logging_0381/klagomål/A 31552-2023 FSC-klagomål.docx", "A 31552-2023")</f>
        <v/>
      </c>
      <c r="AB246">
        <f>HYPERLINK("https://klasma.github.io/Logging_0381/klagomålsmail/A 31552-2023 FSC-klagomål mail.docx", "A 31552-2023")</f>
        <v/>
      </c>
      <c r="AC246">
        <f>HYPERLINK("https://klasma.github.io/Logging_0381/tillsyn/A 31552-2023 tillsynsbegäran.docx", "A 31552-2023")</f>
        <v/>
      </c>
      <c r="AD246">
        <f>HYPERLINK("https://klasma.github.io/Logging_0381/tillsynsmail/A 31552-2023 tillsynsbegäran mail.docx", "A 31552-2023")</f>
        <v/>
      </c>
    </row>
    <row r="247" ht="15" customHeight="1">
      <c r="A247" t="inlineStr">
        <is>
          <t>A 25179-2023</t>
        </is>
      </c>
      <c r="B247" t="inlineStr">
        <is>
          <t>avverkningsanmälan</t>
        </is>
      </c>
      <c r="C247" t="inlineStr">
        <is>
          <t>Avverkning för annat ändamål</t>
        </is>
      </c>
      <c r="D247" s="1" t="n">
        <v>45078</v>
      </c>
      <c r="E247" s="1" t="n">
        <v>46309</v>
      </c>
      <c r="F247" t="inlineStr">
        <is>
          <t>UPPSALA LÄN</t>
        </is>
      </c>
      <c r="G247" t="inlineStr">
        <is>
          <t>ÖSTHAMMAR</t>
        </is>
      </c>
      <c r="I247" t="n">
        <v>3.2</v>
      </c>
      <c r="J247" t="n">
        <v>0</v>
      </c>
      <c r="K247" t="n">
        <v>1</v>
      </c>
      <c r="L247" t="n">
        <v>2</v>
      </c>
      <c r="M247" t="n">
        <v>1</v>
      </c>
      <c r="N247" t="n">
        <v>1</v>
      </c>
      <c r="O247" t="n">
        <v>0</v>
      </c>
      <c r="P247" t="n">
        <v>0</v>
      </c>
      <c r="Q247" t="n">
        <v>4</v>
      </c>
      <c r="R247" t="n">
        <v>2</v>
      </c>
      <c r="S247" t="n">
        <v>5</v>
      </c>
      <c r="T247" t="n">
        <v>5</v>
      </c>
      <c r="U247" t="n">
        <v>0</v>
      </c>
      <c r="V247" s="2" t="inlineStr">
        <is>
          <t>Spricktaggsvamp
Grangråticka
Dropptaggsvamp
Grantaggsvamp
Brandmusseron</t>
        </is>
      </c>
      <c r="W247">
        <f>HYPERLINK("https://klasma.github.io/Logging_0382/artfynd/A 25179-2023 artfynd.xlsx", "A 25179-2023")</f>
        <v/>
      </c>
      <c r="X247">
        <f>HYPERLINK("https://klasma.github.io/Logging_0382/kartor/A 25179-2023 karta.png", "A 25179-2023")</f>
        <v/>
      </c>
      <c r="Y247">
        <f>HYPERLINK("https://klasma.github.io/Logging_0382/kartor_geotiff/A 25179-2023 georefererad karta.tif", "A 25179-2023")</f>
        <v/>
      </c>
      <c r="AA247">
        <f>HYPERLINK("https://klasma.github.io/Logging_0382/klagomål/A 25179-2023 FSC-klagomål.docx", "A 25179-2023")</f>
        <v/>
      </c>
      <c r="AB247">
        <f>HYPERLINK("https://klasma.github.io/Logging_0382/klagomålsmail/A 25179-2023 FSC-klagomål mail.docx", "A 25179-2023")</f>
        <v/>
      </c>
      <c r="AC247">
        <f>HYPERLINK("https://klasma.github.io/Logging_0382/tillsyn/A 25179-2023 tillsynsbegäran.docx", "A 25179-2023")</f>
        <v/>
      </c>
      <c r="AD247">
        <f>HYPERLINK("https://klasma.github.io/Logging_0382/tillsynsmail/A 25179-2023 tillsynsbegäran mail.docx", "A 25179-2023")</f>
        <v/>
      </c>
    </row>
    <row r="248" ht="15" customHeight="1">
      <c r="A248" t="inlineStr">
        <is>
          <t>A 12958-2026</t>
        </is>
      </c>
      <c r="B248" t="inlineStr">
        <is>
          <t>avverkningsanmälan</t>
        </is>
      </c>
      <c r="C248" t="inlineStr">
        <is>
          <t>Föryngringsavverkning</t>
        </is>
      </c>
      <c r="D248" s="1" t="n">
        <v>46092</v>
      </c>
      <c r="E248" s="1" t="n">
        <v>46309</v>
      </c>
      <c r="F248" t="inlineStr">
        <is>
          <t>UPPSALA LÄN</t>
        </is>
      </c>
      <c r="G248" t="inlineStr">
        <is>
          <t>KNIVSTA</t>
        </is>
      </c>
      <c r="H248" t="inlineStr">
        <is>
          <t>Holmen skog AB</t>
        </is>
      </c>
      <c r="I248" t="n">
        <v>3.8</v>
      </c>
      <c r="J248" t="n">
        <v>1</v>
      </c>
      <c r="K248" t="n">
        <v>2</v>
      </c>
      <c r="L248" t="n">
        <v>2</v>
      </c>
      <c r="M248" t="n">
        <v>0</v>
      </c>
      <c r="N248" t="n">
        <v>0</v>
      </c>
      <c r="O248" t="n">
        <v>0</v>
      </c>
      <c r="P248" t="n">
        <v>0</v>
      </c>
      <c r="Q248" t="n">
        <v>2</v>
      </c>
      <c r="R248" t="n">
        <v>0</v>
      </c>
      <c r="S248" t="n">
        <v>5</v>
      </c>
      <c r="T248" t="n">
        <v>5</v>
      </c>
      <c r="U248" t="n">
        <v>5</v>
      </c>
      <c r="V248" s="2" t="inlineStr">
        <is>
          <t>Tallkötticka
Ullticka
Blodticka
Vågbandad barkbock
Tjäder</t>
        </is>
      </c>
      <c r="W248">
        <f>HYPERLINK("https://klasma.github.io/Logging_0330/artfynd/A 12958-2026 artfynd.xlsx", "A 12958-2026")</f>
        <v/>
      </c>
      <c r="X248">
        <f>HYPERLINK("https://klasma.github.io/Logging_0330/kartor/A 12958-2026 karta.png", "A 12958-2026")</f>
        <v/>
      </c>
      <c r="Y248">
        <f>HYPERLINK("https://klasma.github.io/Logging_0330/kartor_geotiff/A 12958-2026 georefererad karta.tif", "A 12958-2026")</f>
        <v/>
      </c>
      <c r="AA248">
        <f>HYPERLINK("https://klasma.github.io/Logging_0330/klagomål/A 12958-2026 FSC-klagomål.docx", "A 12958-2026")</f>
        <v/>
      </c>
      <c r="AB248">
        <f>HYPERLINK("https://klasma.github.io/Logging_0330/klagomålsmail/A 12958-2026 FSC-klagomål mail.docx", "A 12958-2026")</f>
        <v/>
      </c>
      <c r="AC248">
        <f>HYPERLINK("https://klasma.github.io/Logging_0330/tillsyn/A 12958-2026 tillsynsbegäran.docx", "A 12958-2026")</f>
        <v/>
      </c>
      <c r="AD248">
        <f>HYPERLINK("https://klasma.github.io/Logging_0330/tillsynsmail/A 12958-2026 tillsynsbegäran mail.docx", "A 12958-2026")</f>
        <v/>
      </c>
      <c r="AE248">
        <f>HYPERLINK("https://klasma.github.io/Logging_0330/fåglar/A 12958-2026 prioriterade fågelarter.docx", "A 12958-2026")</f>
        <v/>
      </c>
    </row>
    <row r="249" ht="15" customHeight="1">
      <c r="A249" t="inlineStr">
        <is>
          <t>A 63026-2025</t>
        </is>
      </c>
      <c r="B249" t="inlineStr">
        <is>
          <t>avverkningsanmälan</t>
        </is>
      </c>
      <c r="C249" t="inlineStr">
        <is>
          <t>Föryngringsavverkning</t>
        </is>
      </c>
      <c r="D249" s="1" t="n">
        <v>46009</v>
      </c>
      <c r="E249" s="1" t="n">
        <v>46309</v>
      </c>
      <c r="F249" t="inlineStr">
        <is>
          <t>UPPSALA LÄN</t>
        </is>
      </c>
      <c r="G249" t="inlineStr">
        <is>
          <t>UPPSALA</t>
        </is>
      </c>
      <c r="I249" t="n">
        <v>1.1</v>
      </c>
      <c r="J249" t="n">
        <v>2</v>
      </c>
      <c r="K249" t="n">
        <v>1</v>
      </c>
      <c r="L249" t="n">
        <v>2</v>
      </c>
      <c r="M249" t="n">
        <v>0</v>
      </c>
      <c r="N249" t="n">
        <v>0</v>
      </c>
      <c r="O249" t="n">
        <v>0</v>
      </c>
      <c r="P249" t="n">
        <v>0</v>
      </c>
      <c r="Q249" t="n">
        <v>2</v>
      </c>
      <c r="R249" t="n">
        <v>0</v>
      </c>
      <c r="S249" t="n">
        <v>5</v>
      </c>
      <c r="T249" t="n">
        <v>6</v>
      </c>
      <c r="U249" t="n">
        <v>5</v>
      </c>
      <c r="V249" s="2" t="inlineStr">
        <is>
          <t>Rynkskinn
Ullticka
Jättesvampmal
Spillkråka
Revlummer</t>
        </is>
      </c>
      <c r="W249">
        <f>HYPERLINK("https://klasma.github.io/Logging_0380/artfynd/A 63026-2025 artfynd.xlsx", "A 63026-2025")</f>
        <v/>
      </c>
      <c r="X249">
        <f>HYPERLINK("https://klasma.github.io/Logging_0380/kartor/A 63026-2025 karta.png", "A 63026-2025")</f>
        <v/>
      </c>
      <c r="Y249">
        <f>HYPERLINK("https://klasma.github.io/Logging_0380/kartor_geotiff/A 63026-2025 georefererad karta.tif", "A 63026-2025")</f>
        <v/>
      </c>
      <c r="AA249">
        <f>HYPERLINK("https://klasma.github.io/Logging_0380/klagomål/A 63026-2025 FSC-klagomål.docx", "A 63026-2025")</f>
        <v/>
      </c>
      <c r="AB249">
        <f>HYPERLINK("https://klasma.github.io/Logging_0380/klagomålsmail/A 63026-2025 FSC-klagomål mail.docx", "A 63026-2025")</f>
        <v/>
      </c>
      <c r="AC249">
        <f>HYPERLINK("https://klasma.github.io/Logging_0380/tillsyn/A 63026-2025 tillsynsbegäran.docx", "A 63026-2025")</f>
        <v/>
      </c>
      <c r="AD249">
        <f>HYPERLINK("https://klasma.github.io/Logging_0380/tillsynsmail/A 63026-2025 tillsynsbegäran mail.docx", "A 63026-2025")</f>
        <v/>
      </c>
      <c r="AE249">
        <f>HYPERLINK("https://klasma.github.io/Logging_0380/fåglar/A 63026-2025 prioriterade fågelarter.docx", "A 63026-2025")</f>
        <v/>
      </c>
    </row>
    <row r="250" ht="15" customHeight="1">
      <c r="A250" t="inlineStr">
        <is>
          <t>A 43056-2025</t>
        </is>
      </c>
      <c r="B250" t="inlineStr">
        <is>
          <t>avverkningsanmälan</t>
        </is>
      </c>
      <c r="C250" t="inlineStr">
        <is>
          <t>Föryngringsavverkning</t>
        </is>
      </c>
      <c r="D250" s="1" t="n">
        <v>45909</v>
      </c>
      <c r="E250" s="1" t="n">
        <v>46309</v>
      </c>
      <c r="F250" t="inlineStr">
        <is>
          <t>UPPSALA LÄN</t>
        </is>
      </c>
      <c r="G250" t="inlineStr">
        <is>
          <t>UPPSALA</t>
        </is>
      </c>
      <c r="H250" t="inlineStr">
        <is>
          <t>Allmännings- och besparingsskogar</t>
        </is>
      </c>
      <c r="I250" t="n">
        <v>11.8</v>
      </c>
      <c r="J250" t="n">
        <v>2</v>
      </c>
      <c r="K250" t="n">
        <v>1</v>
      </c>
      <c r="L250" t="n">
        <v>3</v>
      </c>
      <c r="M250" t="n">
        <v>0</v>
      </c>
      <c r="N250" t="n">
        <v>0</v>
      </c>
      <c r="O250" t="n">
        <v>0</v>
      </c>
      <c r="P250" t="n">
        <v>0</v>
      </c>
      <c r="Q250" t="n">
        <v>3</v>
      </c>
      <c r="R250" t="n">
        <v>0</v>
      </c>
      <c r="S250" t="n">
        <v>5</v>
      </c>
      <c r="T250" t="n">
        <v>12</v>
      </c>
      <c r="U250" t="n">
        <v>12</v>
      </c>
      <c r="V250" s="2" t="inlineStr">
        <is>
          <t>Rynkskinn
Sparvuggla
Ullticka
Trådticka
Spillkråka</t>
        </is>
      </c>
      <c r="W250">
        <f>HYPERLINK("https://klasma.github.io/Logging_0380/artfynd/A 43056-2025 artfynd.xlsx", "A 43056-2025")</f>
        <v/>
      </c>
      <c r="X250">
        <f>HYPERLINK("https://klasma.github.io/Logging_0380/kartor/A 43056-2025 karta.png", "A 43056-2025")</f>
        <v/>
      </c>
      <c r="Y250">
        <f>HYPERLINK("https://klasma.github.io/Logging_0380/kartor_geotiff/A 43056-2025 georefererad karta.tif", "A 43056-2025")</f>
        <v/>
      </c>
      <c r="AA250">
        <f>HYPERLINK("https://klasma.github.io/Logging_0380/klagomål/A 43056-2025 FSC-klagomål.docx", "A 43056-2025")</f>
        <v/>
      </c>
      <c r="AB250">
        <f>HYPERLINK("https://klasma.github.io/Logging_0380/klagomålsmail/A 43056-2025 FSC-klagomål mail.docx", "A 43056-2025")</f>
        <v/>
      </c>
      <c r="AC250">
        <f>HYPERLINK("https://klasma.github.io/Logging_0380/tillsyn/A 43056-2025 tillsynsbegäran.docx", "A 43056-2025")</f>
        <v/>
      </c>
      <c r="AD250">
        <f>HYPERLINK("https://klasma.github.io/Logging_0380/tillsynsmail/A 43056-2025 tillsynsbegäran mail.docx", "A 43056-2025")</f>
        <v/>
      </c>
      <c r="AE250">
        <f>HYPERLINK("https://klasma.github.io/Logging_0380/fåglar/A 43056-2025 prioriterade fågelarter.docx", "A 43056-2025")</f>
        <v/>
      </c>
    </row>
    <row r="251" ht="15" customHeight="1">
      <c r="A251" t="inlineStr">
        <is>
          <t>A 10612-2025</t>
        </is>
      </c>
      <c r="B251" t="inlineStr">
        <is>
          <t>avverkningsanmälan</t>
        </is>
      </c>
      <c r="C251" t="inlineStr">
        <is>
          <t>Föryngringsavverkning</t>
        </is>
      </c>
      <c r="D251" s="1" t="n">
        <v>45721</v>
      </c>
      <c r="E251" s="1" t="n">
        <v>46309</v>
      </c>
      <c r="F251" t="inlineStr">
        <is>
          <t>UPPSALA LÄN</t>
        </is>
      </c>
      <c r="G251" t="inlineStr">
        <is>
          <t>UPPSALA</t>
        </is>
      </c>
      <c r="I251" t="n">
        <v>3.5</v>
      </c>
      <c r="J251" t="n">
        <v>5</v>
      </c>
      <c r="K251" t="n">
        <v>0</v>
      </c>
      <c r="L251" t="n">
        <v>3</v>
      </c>
      <c r="M251" t="n">
        <v>0</v>
      </c>
      <c r="N251" t="n">
        <v>0</v>
      </c>
      <c r="O251" t="n">
        <v>0</v>
      </c>
      <c r="P251" t="n">
        <v>0</v>
      </c>
      <c r="Q251" t="n">
        <v>3</v>
      </c>
      <c r="R251" t="n">
        <v>0</v>
      </c>
      <c r="S251" t="n">
        <v>5</v>
      </c>
      <c r="T251" t="n">
        <v>12</v>
      </c>
      <c r="U251" t="n">
        <v>0</v>
      </c>
      <c r="V251" s="2" t="inlineStr">
        <is>
          <t>Brunlångöra
Fransfladdermus
Nordfladdermus
Dvärgpipistrell
Större brunfladdermus</t>
        </is>
      </c>
      <c r="W251">
        <f>HYPERLINK("https://klasma.github.io/Logging_0380/artfynd/A 10612-2025 artfynd.xlsx", "A 10612-2025")</f>
        <v/>
      </c>
      <c r="X251">
        <f>HYPERLINK("https://klasma.github.io/Logging_0380/kartor/A 10612-2025 karta.png", "A 10612-2025")</f>
        <v/>
      </c>
      <c r="Y251">
        <f>HYPERLINK("https://klasma.github.io/Logging_0380/kartor_geotiff/A 10612-2025 georefererad karta.tif", "A 10612-2025")</f>
        <v/>
      </c>
      <c r="AA251">
        <f>HYPERLINK("https://klasma.github.io/Logging_0380/klagomål/A 10612-2025 FSC-klagomål.docx", "A 10612-2025")</f>
        <v/>
      </c>
      <c r="AB251">
        <f>HYPERLINK("https://klasma.github.io/Logging_0380/klagomålsmail/A 10612-2025 FSC-klagomål mail.docx", "A 10612-2025")</f>
        <v/>
      </c>
      <c r="AC251">
        <f>HYPERLINK("https://klasma.github.io/Logging_0380/tillsyn/A 10612-2025 tillsynsbegäran.docx", "A 10612-2025")</f>
        <v/>
      </c>
      <c r="AD251">
        <f>HYPERLINK("https://klasma.github.io/Logging_0380/tillsynsmail/A 10612-2025 tillsynsbegäran mail.docx", "A 10612-2025")</f>
        <v/>
      </c>
    </row>
    <row r="252" ht="15" customHeight="1">
      <c r="A252" t="inlineStr">
        <is>
          <t>A 16733-2025</t>
        </is>
      </c>
      <c r="B252" t="inlineStr">
        <is>
          <t>avverkningsanmälan</t>
        </is>
      </c>
      <c r="C252" t="inlineStr">
        <is>
          <t>Föryngringsavverkning</t>
        </is>
      </c>
      <c r="D252" s="1" t="n">
        <v>45754</v>
      </c>
      <c r="E252" s="1" t="n">
        <v>46309</v>
      </c>
      <c r="F252" t="inlineStr">
        <is>
          <t>UPPSALA LÄN</t>
        </is>
      </c>
      <c r="G252" t="inlineStr">
        <is>
          <t>TIERP</t>
        </is>
      </c>
      <c r="H252" t="inlineStr">
        <is>
          <t>Bergvik skog väst AB</t>
        </is>
      </c>
      <c r="I252" t="n">
        <v>4.5</v>
      </c>
      <c r="J252" t="n">
        <v>0</v>
      </c>
      <c r="K252" t="n">
        <v>2</v>
      </c>
      <c r="L252" t="n">
        <v>3</v>
      </c>
      <c r="M252" t="n">
        <v>0</v>
      </c>
      <c r="N252" t="n">
        <v>0</v>
      </c>
      <c r="O252" t="n">
        <v>0</v>
      </c>
      <c r="P252" t="n">
        <v>0</v>
      </c>
      <c r="Q252" t="n">
        <v>3</v>
      </c>
      <c r="R252" t="n">
        <v>0</v>
      </c>
      <c r="S252" t="n">
        <v>5</v>
      </c>
      <c r="T252" t="n">
        <v>10</v>
      </c>
      <c r="U252" t="n">
        <v>0</v>
      </c>
      <c r="V252" s="2" t="inlineStr">
        <is>
          <t>Ekticka
Rutskinn
Rödbrun blekspik
Gulpudrad spiklav
Hasselticka</t>
        </is>
      </c>
      <c r="W252">
        <f>HYPERLINK("https://klasma.github.io/Logging_0360/artfynd/A 16733-2025 artfynd.xlsx", "A 16733-2025")</f>
        <v/>
      </c>
      <c r="X252">
        <f>HYPERLINK("https://klasma.github.io/Logging_0360/kartor/A 16733-2025 karta.png", "A 16733-2025")</f>
        <v/>
      </c>
      <c r="Y252">
        <f>HYPERLINK("https://klasma.github.io/Logging_0360/kartor_geotiff/A 16733-2025 georefererad karta.tif", "A 16733-2025")</f>
        <v/>
      </c>
      <c r="AA252">
        <f>HYPERLINK("https://klasma.github.io/Logging_0360/klagomål/A 16733-2025 FSC-klagomål.docx", "A 16733-2025")</f>
        <v/>
      </c>
      <c r="AB252">
        <f>HYPERLINK("https://klasma.github.io/Logging_0360/klagomålsmail/A 16733-2025 FSC-klagomål mail.docx", "A 16733-2025")</f>
        <v/>
      </c>
      <c r="AC252">
        <f>HYPERLINK("https://klasma.github.io/Logging_0360/tillsyn/A 16733-2025 tillsynsbegäran.docx", "A 16733-2025")</f>
        <v/>
      </c>
      <c r="AD252">
        <f>HYPERLINK("https://klasma.github.io/Logging_0360/tillsynsmail/A 16733-2025 tillsynsbegäran mail.docx", "A 16733-2025")</f>
        <v/>
      </c>
    </row>
    <row r="253" ht="15" customHeight="1">
      <c r="A253" t="inlineStr">
        <is>
          <t>A 22563-2026</t>
        </is>
      </c>
      <c r="B253" t="inlineStr">
        <is>
          <t>avverkningsanmälan</t>
        </is>
      </c>
      <c r="C253" t="inlineStr">
        <is>
          <t>Föryngringsavverkning</t>
        </is>
      </c>
      <c r="D253" s="1" t="n">
        <v>46155</v>
      </c>
      <c r="E253" s="1" t="n">
        <v>46309</v>
      </c>
      <c r="F253" t="inlineStr">
        <is>
          <t>UPPSALA LÄN</t>
        </is>
      </c>
      <c r="G253" t="inlineStr">
        <is>
          <t>ÄLVKARLEBY</t>
        </is>
      </c>
      <c r="H253" t="inlineStr">
        <is>
          <t>Bergvik skog öst AB</t>
        </is>
      </c>
      <c r="I253" t="n">
        <v>3.5</v>
      </c>
      <c r="J253" t="n">
        <v>1</v>
      </c>
      <c r="K253" t="n">
        <v>3</v>
      </c>
      <c r="L253" t="n">
        <v>2</v>
      </c>
      <c r="M253" t="n">
        <v>0</v>
      </c>
      <c r="N253" t="n">
        <v>0</v>
      </c>
      <c r="O253" t="n">
        <v>0</v>
      </c>
      <c r="P253" t="n">
        <v>0</v>
      </c>
      <c r="Q253" t="n">
        <v>2</v>
      </c>
      <c r="R253" t="n">
        <v>0</v>
      </c>
      <c r="S253" t="n">
        <v>5</v>
      </c>
      <c r="T253" t="n">
        <v>5</v>
      </c>
      <c r="U253" t="n">
        <v>0</v>
      </c>
      <c r="V253" s="2" t="inlineStr">
        <is>
          <t>Backruta
Klasefibbla
Nästrot
Scharlakansskål
Tibast</t>
        </is>
      </c>
      <c r="W253">
        <f>HYPERLINK("https://klasma.github.io/Logging_0319/artfynd/A 22563-2026 artfynd.xlsx", "A 22563-2026")</f>
        <v/>
      </c>
      <c r="X253">
        <f>HYPERLINK("https://klasma.github.io/Logging_0319/kartor/A 22563-2026 karta.png", "A 22563-2026")</f>
        <v/>
      </c>
      <c r="Y253">
        <f>HYPERLINK("https://klasma.github.io/Logging_0319/kartor_geotiff/A 22563-2026 georefererad karta.tif", "A 22563-2026")</f>
        <v/>
      </c>
      <c r="AA253">
        <f>HYPERLINK("https://klasma.github.io/Logging_0319/klagomål/A 22563-2026 FSC-klagomål.docx", "A 22563-2026")</f>
        <v/>
      </c>
      <c r="AB253">
        <f>HYPERLINK("https://klasma.github.io/Logging_0319/klagomålsmail/A 22563-2026 FSC-klagomål mail.docx", "A 22563-2026")</f>
        <v/>
      </c>
      <c r="AC253">
        <f>HYPERLINK("https://klasma.github.io/Logging_0319/tillsyn/A 22563-2026 tillsynsbegäran.docx", "A 22563-2026")</f>
        <v/>
      </c>
      <c r="AD253">
        <f>HYPERLINK("https://klasma.github.io/Logging_0319/tillsynsmail/A 22563-2026 tillsynsbegäran mail.docx", "A 22563-2026")</f>
        <v/>
      </c>
    </row>
    <row r="254" ht="15" customHeight="1">
      <c r="A254" t="inlineStr">
        <is>
          <t>A 29679-2023</t>
        </is>
      </c>
      <c r="B254" t="inlineStr">
        <is>
          <t>avverkningsanmälan</t>
        </is>
      </c>
      <c r="C254" t="inlineStr">
        <is>
          <t>Avverkning för att bevara och utveckla /försöksver</t>
        </is>
      </c>
      <c r="D254" s="1" t="n">
        <v>45107</v>
      </c>
      <c r="E254" s="1" t="n">
        <v>46309</v>
      </c>
      <c r="F254" t="inlineStr">
        <is>
          <t>UPPSALA LÄN</t>
        </is>
      </c>
      <c r="G254" t="inlineStr">
        <is>
          <t>ÖSTHAMMAR</t>
        </is>
      </c>
      <c r="H254" t="inlineStr">
        <is>
          <t>Övriga Aktiebolag</t>
        </is>
      </c>
      <c r="I254" t="n">
        <v>7.3</v>
      </c>
      <c r="J254" t="n">
        <v>1</v>
      </c>
      <c r="K254" t="n">
        <v>0</v>
      </c>
      <c r="L254" t="n">
        <v>2</v>
      </c>
      <c r="M254" t="n">
        <v>2</v>
      </c>
      <c r="N254" t="n">
        <v>0</v>
      </c>
      <c r="O254" t="n">
        <v>0</v>
      </c>
      <c r="P254" t="n">
        <v>0</v>
      </c>
      <c r="Q254" t="n">
        <v>4</v>
      </c>
      <c r="R254" t="n">
        <v>2</v>
      </c>
      <c r="S254" t="n">
        <v>5</v>
      </c>
      <c r="T254" t="n">
        <v>5</v>
      </c>
      <c r="U254" t="n">
        <v>1</v>
      </c>
      <c r="V254" s="2" t="inlineStr">
        <is>
          <t>Granrotspindling
Lammticka
Reliktbock
Vintertagging
Vanlig padda</t>
        </is>
      </c>
      <c r="W254">
        <f>HYPERLINK("https://klasma.github.io/Logging_0382/artfynd/A 29679-2023 artfynd.xlsx", "A 29679-2023")</f>
        <v/>
      </c>
      <c r="X254">
        <f>HYPERLINK("https://klasma.github.io/Logging_0382/kartor/A 29679-2023 karta.png", "A 29679-2023")</f>
        <v/>
      </c>
      <c r="Y254">
        <f>HYPERLINK("https://klasma.github.io/Logging_0382/kartor_geotiff/A 29679-2023 georefererad karta.tif", "A 29679-2023")</f>
        <v/>
      </c>
      <c r="AA254">
        <f>HYPERLINK("https://klasma.github.io/Logging_0382/klagomål/A 29679-2023 FSC-klagomål.docx", "A 29679-2023")</f>
        <v/>
      </c>
      <c r="AB254">
        <f>HYPERLINK("https://klasma.github.io/Logging_0382/klagomålsmail/A 29679-2023 FSC-klagomål mail.docx", "A 29679-2023")</f>
        <v/>
      </c>
      <c r="AC254">
        <f>HYPERLINK("https://klasma.github.io/Logging_0382/tillsyn/A 29679-2023 tillsynsbegäran.docx", "A 29679-2023")</f>
        <v/>
      </c>
      <c r="AD254">
        <f>HYPERLINK("https://klasma.github.io/Logging_0382/tillsynsmail/A 29679-2023 tillsynsbegäran mail.docx", "A 29679-2023")</f>
        <v/>
      </c>
    </row>
    <row r="255" ht="15" customHeight="1">
      <c r="A255" t="inlineStr">
        <is>
          <t>A 24797-2022</t>
        </is>
      </c>
      <c r="B255" t="inlineStr">
        <is>
          <t>avverkningsanmälan</t>
        </is>
      </c>
      <c r="C255" t="inlineStr">
        <is>
          <t>Föryngringsavverkning</t>
        </is>
      </c>
      <c r="D255" s="1" t="n">
        <v>44728</v>
      </c>
      <c r="E255" s="1" t="n">
        <v>46309</v>
      </c>
      <c r="F255" t="inlineStr">
        <is>
          <t>UPPSALA LÄN</t>
        </is>
      </c>
      <c r="G255" t="inlineStr">
        <is>
          <t>ÖSTHAMMAR</t>
        </is>
      </c>
      <c r="H255" t="inlineStr">
        <is>
          <t>Sveaskog</t>
        </is>
      </c>
      <c r="I255" t="n">
        <v>1.7</v>
      </c>
      <c r="J255" t="n">
        <v>5</v>
      </c>
      <c r="K255" t="n">
        <v>0</v>
      </c>
      <c r="L255" t="n">
        <v>1</v>
      </c>
      <c r="M255" t="n">
        <v>2</v>
      </c>
      <c r="N255" t="n">
        <v>0</v>
      </c>
      <c r="O255" t="n">
        <v>0</v>
      </c>
      <c r="P255" t="n">
        <v>0</v>
      </c>
      <c r="Q255" t="n">
        <v>3</v>
      </c>
      <c r="R255" t="n">
        <v>2</v>
      </c>
      <c r="S255" t="n">
        <v>5</v>
      </c>
      <c r="T255" t="n">
        <v>7</v>
      </c>
      <c r="U255" t="n">
        <v>0</v>
      </c>
      <c r="V255" s="2" t="inlineStr">
        <is>
          <t>Stare
Tofsvipa
Gulsparv
Buskskvätta
Svartvit flugsnappare</t>
        </is>
      </c>
      <c r="W255">
        <f>HYPERLINK("https://klasma.github.io/Logging_0382/artfynd/A 24797-2022 artfynd.xlsx", "A 24797-2022")</f>
        <v/>
      </c>
      <c r="X255">
        <f>HYPERLINK("https://klasma.github.io/Logging_0382/kartor/A 24797-2022 karta.png", "A 24797-2022")</f>
        <v/>
      </c>
      <c r="Y255">
        <f>HYPERLINK("https://klasma.github.io/Logging_0382/kartor_geotiff/A 24797-2022 georefererad karta.tif", "A 24797-2022")</f>
        <v/>
      </c>
      <c r="AA255">
        <f>HYPERLINK("https://klasma.github.io/Logging_0382/klagomål/A 24797-2022 FSC-klagomål.docx", "A 24797-2022")</f>
        <v/>
      </c>
      <c r="AB255">
        <f>HYPERLINK("https://klasma.github.io/Logging_0382/klagomålsmail/A 24797-2022 FSC-klagomål mail.docx", "A 24797-2022")</f>
        <v/>
      </c>
      <c r="AC255">
        <f>HYPERLINK("https://klasma.github.io/Logging_0382/tillsyn/A 24797-2022 tillsynsbegäran.docx", "A 24797-2022")</f>
        <v/>
      </c>
      <c r="AD255">
        <f>HYPERLINK("https://klasma.github.io/Logging_0382/tillsynsmail/A 24797-2022 tillsynsbegäran mail.docx", "A 24797-2022")</f>
        <v/>
      </c>
      <c r="AE255">
        <f>HYPERLINK("https://klasma.github.io/Logging_0382/fåglar/A 24797-2022 prioriterade fågelarter.docx", "A 24797-2022")</f>
        <v/>
      </c>
    </row>
    <row r="256" ht="15" customHeight="1">
      <c r="A256" t="inlineStr">
        <is>
          <t>A 17101-2023</t>
        </is>
      </c>
      <c r="B256" t="inlineStr">
        <is>
          <t>avverkningsanmälan</t>
        </is>
      </c>
      <c r="C256" t="inlineStr">
        <is>
          <t>Föryngringsavverkning</t>
        </is>
      </c>
      <c r="D256" s="1" t="n">
        <v>45034</v>
      </c>
      <c r="E256" s="1" t="n">
        <v>46309</v>
      </c>
      <c r="F256" t="inlineStr">
        <is>
          <t>UPPSALA LÄN</t>
        </is>
      </c>
      <c r="G256" t="inlineStr">
        <is>
          <t>KNIVSTA</t>
        </is>
      </c>
      <c r="I256" t="n">
        <v>4.2</v>
      </c>
      <c r="J256" t="n">
        <v>3</v>
      </c>
      <c r="K256" t="n">
        <v>2</v>
      </c>
      <c r="L256" t="n">
        <v>3</v>
      </c>
      <c r="M256" t="n">
        <v>0</v>
      </c>
      <c r="N256" t="n">
        <v>0</v>
      </c>
      <c r="O256" t="n">
        <v>0</v>
      </c>
      <c r="P256" t="n">
        <v>0</v>
      </c>
      <c r="Q256" t="n">
        <v>3</v>
      </c>
      <c r="R256" t="n">
        <v>0</v>
      </c>
      <c r="S256" t="n">
        <v>5</v>
      </c>
      <c r="T256" t="n">
        <v>5</v>
      </c>
      <c r="U256" t="n">
        <v>4</v>
      </c>
      <c r="V256" s="2" t="inlineStr">
        <is>
          <t>Entita
Mindre hackspett
Ullticka
Grön sköldmossa
Trådticka</t>
        </is>
      </c>
      <c r="W256">
        <f>HYPERLINK("https://klasma.github.io/Logging_0330/artfynd/A 17101-2023 artfynd.xlsx", "A 17101-2023")</f>
        <v/>
      </c>
      <c r="X256">
        <f>HYPERLINK("https://klasma.github.io/Logging_0330/kartor/A 17101-2023 karta.png", "A 17101-2023")</f>
        <v/>
      </c>
      <c r="Y256">
        <f>HYPERLINK("https://klasma.github.io/Logging_0330/kartor_geotiff/A 17101-2023 georefererad karta.tif", "A 17101-2023")</f>
        <v/>
      </c>
      <c r="AA256">
        <f>HYPERLINK("https://klasma.github.io/Logging_0330/klagomål/A 17101-2023 FSC-klagomål.docx", "A 17101-2023")</f>
        <v/>
      </c>
      <c r="AB256">
        <f>HYPERLINK("https://klasma.github.io/Logging_0330/klagomålsmail/A 17101-2023 FSC-klagomål mail.docx", "A 17101-2023")</f>
        <v/>
      </c>
      <c r="AC256">
        <f>HYPERLINK("https://klasma.github.io/Logging_0330/tillsyn/A 17101-2023 tillsynsbegäran.docx", "A 17101-2023")</f>
        <v/>
      </c>
      <c r="AD256">
        <f>HYPERLINK("https://klasma.github.io/Logging_0330/tillsynsmail/A 17101-2023 tillsynsbegäran mail.docx", "A 17101-2023")</f>
        <v/>
      </c>
      <c r="AE256">
        <f>HYPERLINK("https://klasma.github.io/Logging_0330/fåglar/A 17101-2023 prioriterade fågelarter.docx", "A 17101-2023")</f>
        <v/>
      </c>
    </row>
    <row r="257" ht="15" customHeight="1">
      <c r="A257" t="inlineStr">
        <is>
          <t>A 29320-2026</t>
        </is>
      </c>
      <c r="B257" t="inlineStr">
        <is>
          <t>avverkningsanmälan</t>
        </is>
      </c>
      <c r="C257" t="inlineStr">
        <is>
          <t>Föryngringsavverkning</t>
        </is>
      </c>
      <c r="D257" s="1" t="n">
        <v>46202</v>
      </c>
      <c r="E257" s="1" t="n">
        <v>46309</v>
      </c>
      <c r="F257" t="inlineStr">
        <is>
          <t>UPPSALA LÄN</t>
        </is>
      </c>
      <c r="G257" t="inlineStr">
        <is>
          <t>TIERP</t>
        </is>
      </c>
      <c r="H257" t="inlineStr">
        <is>
          <t>Bergvik skog öst AB</t>
        </is>
      </c>
      <c r="I257" t="n">
        <v>3.2</v>
      </c>
      <c r="J257" t="n">
        <v>5</v>
      </c>
      <c r="K257" t="n">
        <v>0</v>
      </c>
      <c r="L257" t="n">
        <v>0</v>
      </c>
      <c r="M257" t="n">
        <v>0</v>
      </c>
      <c r="N257" t="n">
        <v>1</v>
      </c>
      <c r="O257" t="n">
        <v>0</v>
      </c>
      <c r="P257" t="n">
        <v>0</v>
      </c>
      <c r="Q257" t="n">
        <v>1</v>
      </c>
      <c r="R257" t="n">
        <v>1</v>
      </c>
      <c r="S257" t="n">
        <v>5</v>
      </c>
      <c r="T257" t="n">
        <v>47</v>
      </c>
      <c r="U257" t="n">
        <v>1</v>
      </c>
      <c r="V257" s="2" t="inlineStr">
        <is>
          <t>Hornuggla
Huggorm
Skogsödla
Vanlig padda
Vanlig snok</t>
        </is>
      </c>
      <c r="W257">
        <f>HYPERLINK("https://klasma.github.io/Logging_0360/artfynd/A 29320-2026 artfynd.xlsx", "A 29320-2026")</f>
        <v/>
      </c>
      <c r="X257">
        <f>HYPERLINK("https://klasma.github.io/Logging_0360/kartor/A 29320-2026 karta.png", "A 29320-2026")</f>
        <v/>
      </c>
      <c r="Y257">
        <f>HYPERLINK("https://klasma.github.io/Logging_0360/kartor_geotiff/A 29320-2026 georefererad karta.tif", "A 29320-2026")</f>
        <v/>
      </c>
      <c r="AA257">
        <f>HYPERLINK("https://klasma.github.io/Logging_0360/klagomål/A 29320-2026 FSC-klagomål.docx", "A 29320-2026")</f>
        <v/>
      </c>
      <c r="AB257">
        <f>HYPERLINK("https://klasma.github.io/Logging_0360/klagomålsmail/A 29320-2026 FSC-klagomål mail.docx", "A 29320-2026")</f>
        <v/>
      </c>
      <c r="AC257">
        <f>HYPERLINK("https://klasma.github.io/Logging_0360/tillsyn/A 29320-2026 tillsynsbegäran.docx", "A 29320-2026")</f>
        <v/>
      </c>
      <c r="AD257">
        <f>HYPERLINK("https://klasma.github.io/Logging_0360/tillsynsmail/A 29320-2026 tillsynsbegäran mail.docx", "A 29320-2026")</f>
        <v/>
      </c>
      <c r="AE257">
        <f>HYPERLINK("https://klasma.github.io/Logging_0360/fåglar/A 29320-2026 prioriterade fågelarter.docx", "A 29320-2026")</f>
        <v/>
      </c>
    </row>
    <row r="258" ht="15" customHeight="1">
      <c r="A258" t="inlineStr">
        <is>
          <t>A 45851-2022</t>
        </is>
      </c>
      <c r="B258" t="inlineStr">
        <is>
          <t>avverkningsanmälan</t>
        </is>
      </c>
      <c r="C258" t="inlineStr">
        <is>
          <t>Föryngringsavverkning</t>
        </is>
      </c>
      <c r="D258" s="1" t="n">
        <v>44846</v>
      </c>
      <c r="E258" s="1" t="n">
        <v>46309</v>
      </c>
      <c r="F258" t="inlineStr">
        <is>
          <t>UPPSALA LÄN</t>
        </is>
      </c>
      <c r="G258" t="inlineStr">
        <is>
          <t>TIERP</t>
        </is>
      </c>
      <c r="I258" t="n">
        <v>2.6</v>
      </c>
      <c r="J258" t="n">
        <v>0</v>
      </c>
      <c r="K258" t="n">
        <v>3</v>
      </c>
      <c r="L258" t="n">
        <v>1</v>
      </c>
      <c r="M258" t="n">
        <v>1</v>
      </c>
      <c r="N258" t="n">
        <v>0</v>
      </c>
      <c r="O258" t="n">
        <v>0</v>
      </c>
      <c r="P258" t="n">
        <v>0</v>
      </c>
      <c r="Q258" t="n">
        <v>2</v>
      </c>
      <c r="R258" t="n">
        <v>1</v>
      </c>
      <c r="S258" t="n">
        <v>5</v>
      </c>
      <c r="T258" t="n">
        <v>5</v>
      </c>
      <c r="U258" t="n">
        <v>0</v>
      </c>
      <c r="V258" s="2" t="inlineStr">
        <is>
          <t>Duvspindling
Äggspindling
Olivspindling
Rödgul trumpetsvamp
Svavelriska</t>
        </is>
      </c>
      <c r="W258">
        <f>HYPERLINK("https://klasma.github.io/Logging_0360/artfynd/A 45851-2022 artfynd.xlsx", "A 45851-2022")</f>
        <v/>
      </c>
      <c r="X258">
        <f>HYPERLINK("https://klasma.github.io/Logging_0360/kartor/A 45851-2022 karta.png", "A 45851-2022")</f>
        <v/>
      </c>
      <c r="Y258">
        <f>HYPERLINK("https://klasma.github.io/Logging_0360/kartor_geotiff/A 45851-2022 georefererad karta.tif", "A 45851-2022")</f>
        <v/>
      </c>
      <c r="AA258">
        <f>HYPERLINK("https://klasma.github.io/Logging_0360/klagomål/A 45851-2022 FSC-klagomål.docx", "A 45851-2022")</f>
        <v/>
      </c>
      <c r="AB258">
        <f>HYPERLINK("https://klasma.github.io/Logging_0360/klagomålsmail/A 45851-2022 FSC-klagomål mail.docx", "A 45851-2022")</f>
        <v/>
      </c>
      <c r="AC258">
        <f>HYPERLINK("https://klasma.github.io/Logging_0360/tillsyn/A 45851-2022 tillsynsbegäran.docx", "A 45851-2022")</f>
        <v/>
      </c>
      <c r="AD258">
        <f>HYPERLINK("https://klasma.github.io/Logging_0360/tillsynsmail/A 45851-2022 tillsynsbegäran mail.docx", "A 45851-2022")</f>
        <v/>
      </c>
    </row>
    <row r="259" ht="15" customHeight="1">
      <c r="A259" t="inlineStr">
        <is>
          <t>A 53870-2025</t>
        </is>
      </c>
      <c r="B259" t="inlineStr">
        <is>
          <t>avverkningsanmälan</t>
        </is>
      </c>
      <c r="C259" t="inlineStr">
        <is>
          <t>Föryngringsavverkning</t>
        </is>
      </c>
      <c r="D259" s="1" t="n">
        <v>45961</v>
      </c>
      <c r="E259" s="1" t="n">
        <v>46309</v>
      </c>
      <c r="F259" t="inlineStr">
        <is>
          <t>UPPSALA LÄN</t>
        </is>
      </c>
      <c r="G259" t="inlineStr">
        <is>
          <t>UPPSALA</t>
        </is>
      </c>
      <c r="I259" t="n">
        <v>2.3</v>
      </c>
      <c r="J259" t="n">
        <v>3</v>
      </c>
      <c r="K259" t="n">
        <v>0</v>
      </c>
      <c r="L259" t="n">
        <v>2</v>
      </c>
      <c r="M259" t="n">
        <v>1</v>
      </c>
      <c r="N259" t="n">
        <v>0</v>
      </c>
      <c r="O259" t="n">
        <v>0</v>
      </c>
      <c r="P259" t="n">
        <v>0</v>
      </c>
      <c r="Q259" t="n">
        <v>3</v>
      </c>
      <c r="R259" t="n">
        <v>1</v>
      </c>
      <c r="S259" t="n">
        <v>5</v>
      </c>
      <c r="T259" t="n">
        <v>11</v>
      </c>
      <c r="U259" t="n">
        <v>11</v>
      </c>
      <c r="V259" s="2" t="inlineStr">
        <is>
          <t>Knärot
Vedtrappmossa
Vitplätt
Spillkråka
Revlummer</t>
        </is>
      </c>
      <c r="W259">
        <f>HYPERLINK("https://klasma.github.io/Logging_0380/artfynd/A 53870-2025 artfynd.xlsx", "A 53870-2025")</f>
        <v/>
      </c>
      <c r="X259">
        <f>HYPERLINK("https://klasma.github.io/Logging_0380/kartor/A 53870-2025 karta.png", "A 53870-2025")</f>
        <v/>
      </c>
      <c r="Y259">
        <f>HYPERLINK("https://klasma.github.io/Logging_0380/kartor_geotiff/A 53870-2025 georefererad karta.tif", "A 53870-2025")</f>
        <v/>
      </c>
      <c r="Z259">
        <f>HYPERLINK("https://klasma.github.io/Logging_0380/knärot/A 53870-2025 karta knärot.png", "A 53870-2025")</f>
        <v/>
      </c>
      <c r="AA259">
        <f>HYPERLINK("https://klasma.github.io/Logging_0380/klagomål/A 53870-2025 FSC-klagomål.docx", "A 53870-2025")</f>
        <v/>
      </c>
      <c r="AB259">
        <f>HYPERLINK("https://klasma.github.io/Logging_0380/klagomålsmail/A 53870-2025 FSC-klagomål mail.docx", "A 53870-2025")</f>
        <v/>
      </c>
      <c r="AC259">
        <f>HYPERLINK("https://klasma.github.io/Logging_0380/tillsyn/A 53870-2025 tillsynsbegäran.docx", "A 53870-2025")</f>
        <v/>
      </c>
      <c r="AD259">
        <f>HYPERLINK("https://klasma.github.io/Logging_0380/tillsynsmail/A 53870-2025 tillsynsbegäran mail.docx", "A 53870-2025")</f>
        <v/>
      </c>
      <c r="AE259">
        <f>HYPERLINK("https://klasma.github.io/Logging_0380/fåglar/A 53870-2025 prioriterade fågelarter.docx", "A 53870-2025")</f>
        <v/>
      </c>
    </row>
    <row r="260" ht="15" customHeight="1">
      <c r="A260" t="inlineStr">
        <is>
          <t>A 67855-2021</t>
        </is>
      </c>
      <c r="B260" t="inlineStr">
        <is>
          <t>avverkningsanmälan</t>
        </is>
      </c>
      <c r="C260" t="inlineStr">
        <is>
          <t>Föryngringsavverkning</t>
        </is>
      </c>
      <c r="D260" s="1" t="n">
        <v>44525</v>
      </c>
      <c r="E260" s="1" t="n">
        <v>46309</v>
      </c>
      <c r="F260" t="inlineStr">
        <is>
          <t>UPPSALA LÄN</t>
        </is>
      </c>
      <c r="G260" t="inlineStr">
        <is>
          <t>ÖSTHAMMAR</t>
        </is>
      </c>
      <c r="I260" t="n">
        <v>7.5</v>
      </c>
      <c r="J260" t="n">
        <v>0</v>
      </c>
      <c r="K260" t="n">
        <v>5</v>
      </c>
      <c r="L260" t="n">
        <v>0</v>
      </c>
      <c r="M260" t="n">
        <v>0</v>
      </c>
      <c r="N260" t="n">
        <v>0</v>
      </c>
      <c r="O260" t="n">
        <v>0</v>
      </c>
      <c r="P260" t="n">
        <v>0</v>
      </c>
      <c r="Q260" t="n">
        <v>0</v>
      </c>
      <c r="R260" t="n">
        <v>0</v>
      </c>
      <c r="S260" t="n">
        <v>5</v>
      </c>
      <c r="T260" t="n">
        <v>7</v>
      </c>
      <c r="U260" t="n">
        <v>0</v>
      </c>
      <c r="V260" s="2" t="inlineStr">
        <is>
          <t>Fransig jordstjärna
Guldkremla
Kamjordstjärna
Platt fjädermossa
Svavelriska</t>
        </is>
      </c>
      <c r="W260">
        <f>HYPERLINK("https://klasma.github.io/Logging_0382/artfynd/A 67855-2021 artfynd.xlsx", "A 67855-2021")</f>
        <v/>
      </c>
      <c r="X260">
        <f>HYPERLINK("https://klasma.github.io/Logging_0382/kartor/A 67855-2021 karta.png", "A 67855-2021")</f>
        <v/>
      </c>
      <c r="Y260">
        <f>HYPERLINK("https://klasma.github.io/Logging_0382/kartor_geotiff/A 67855-2021 georefererad karta.tif", "A 67855-2021")</f>
        <v/>
      </c>
      <c r="AA260">
        <f>HYPERLINK("https://klasma.github.io/Logging_0382/klagomål/A 67855-2021 FSC-klagomål.docx", "A 67855-2021")</f>
        <v/>
      </c>
      <c r="AB260">
        <f>HYPERLINK("https://klasma.github.io/Logging_0382/klagomålsmail/A 67855-2021 FSC-klagomål mail.docx", "A 67855-2021")</f>
        <v/>
      </c>
      <c r="AC260">
        <f>HYPERLINK("https://klasma.github.io/Logging_0382/tillsyn/A 67855-2021 tillsynsbegäran.docx", "A 67855-2021")</f>
        <v/>
      </c>
      <c r="AD260">
        <f>HYPERLINK("https://klasma.github.io/Logging_0382/tillsynsmail/A 67855-2021 tillsynsbegäran mail.docx", "A 67855-2021")</f>
        <v/>
      </c>
    </row>
    <row r="261" ht="15" customHeight="1">
      <c r="A261" t="inlineStr">
        <is>
          <t>A 36934-2026</t>
        </is>
      </c>
      <c r="B261" t="inlineStr">
        <is>
          <t>avverkningsanmälan</t>
        </is>
      </c>
      <c r="C261" t="inlineStr">
        <is>
          <t>Föryngringsavverkning</t>
        </is>
      </c>
      <c r="D261" s="1" t="n">
        <v>46273</v>
      </c>
      <c r="E261" s="1" t="n">
        <v>46309</v>
      </c>
      <c r="F261" t="inlineStr">
        <is>
          <t>UPPSALA LÄN</t>
        </is>
      </c>
      <c r="G261" t="inlineStr">
        <is>
          <t>HÅBO</t>
        </is>
      </c>
      <c r="H261" t="inlineStr">
        <is>
          <t>Kyrkan</t>
        </is>
      </c>
      <c r="I261" t="n">
        <v>2.6</v>
      </c>
      <c r="J261" t="n">
        <v>2</v>
      </c>
      <c r="K261" t="n">
        <v>2</v>
      </c>
      <c r="L261" t="n">
        <v>0</v>
      </c>
      <c r="M261" t="n">
        <v>0</v>
      </c>
      <c r="N261" t="n">
        <v>0</v>
      </c>
      <c r="O261" t="n">
        <v>0</v>
      </c>
      <c r="P261" t="n">
        <v>0</v>
      </c>
      <c r="Q261" t="n">
        <v>0</v>
      </c>
      <c r="R261" t="n">
        <v>0</v>
      </c>
      <c r="S261" t="n">
        <v>5</v>
      </c>
      <c r="T261" t="n">
        <v>6</v>
      </c>
      <c r="U261" t="n">
        <v>6</v>
      </c>
      <c r="V261" s="2" t="inlineStr">
        <is>
          <t>Bronshjon
Stubbspretmossa
Kransmossa
Spillkråka
Tofsmes</t>
        </is>
      </c>
      <c r="W261">
        <f>HYPERLINK("https://klasma.github.io/Logging_0305/artfynd/A 36934-2026 artfynd.xlsx", "A 36934-2026")</f>
        <v/>
      </c>
      <c r="X261">
        <f>HYPERLINK("https://klasma.github.io/Logging_0305/kartor/A 36934-2026 karta.png", "A 36934-2026")</f>
        <v/>
      </c>
      <c r="Y261">
        <f>HYPERLINK("https://klasma.github.io/Logging_0305/kartor_geotiff/A 36934-2026 georefererad karta.tif", "A 36934-2026")</f>
        <v/>
      </c>
      <c r="AA261">
        <f>HYPERLINK("https://klasma.github.io/Logging_0305/klagomål/A 36934-2026 FSC-klagomål.docx", "A 36934-2026")</f>
        <v/>
      </c>
      <c r="AB261">
        <f>HYPERLINK("https://klasma.github.io/Logging_0305/klagomålsmail/A 36934-2026 FSC-klagomål mail.docx", "A 36934-2026")</f>
        <v/>
      </c>
      <c r="AC261">
        <f>HYPERLINK("https://klasma.github.io/Logging_0305/tillsyn/A 36934-2026 tillsynsbegäran.docx", "A 36934-2026")</f>
        <v/>
      </c>
      <c r="AD261">
        <f>HYPERLINK("https://klasma.github.io/Logging_0305/tillsynsmail/A 36934-2026 tillsynsbegäran mail.docx", "A 36934-2026")</f>
        <v/>
      </c>
      <c r="AE261">
        <f>HYPERLINK("https://klasma.github.io/Logging_0305/fåglar/A 36934-2026 prioriterade fågelarter.docx", "A 36934-2026")</f>
        <v/>
      </c>
    </row>
    <row r="262" ht="15" customHeight="1">
      <c r="A262" t="inlineStr">
        <is>
          <t>A 1988-2022</t>
        </is>
      </c>
      <c r="B262" t="inlineStr">
        <is>
          <t>avverkningsanmälan</t>
        </is>
      </c>
      <c r="C262" t="inlineStr">
        <is>
          <t>Föryngringsavverkning</t>
        </is>
      </c>
      <c r="D262" s="1" t="n">
        <v>44575</v>
      </c>
      <c r="E262" s="1" t="n">
        <v>46309</v>
      </c>
      <c r="F262" t="inlineStr">
        <is>
          <t>UPPSALA LÄN</t>
        </is>
      </c>
      <c r="G262" t="inlineStr">
        <is>
          <t>ENKÖPING</t>
        </is>
      </c>
      <c r="I262" t="n">
        <v>5.7</v>
      </c>
      <c r="J262" t="n">
        <v>0</v>
      </c>
      <c r="K262" t="n">
        <v>1</v>
      </c>
      <c r="L262" t="n">
        <v>2</v>
      </c>
      <c r="M262" t="n">
        <v>0</v>
      </c>
      <c r="N262" t="n">
        <v>2</v>
      </c>
      <c r="O262" t="n">
        <v>0</v>
      </c>
      <c r="P262" t="n">
        <v>0</v>
      </c>
      <c r="Q262" t="n">
        <v>4</v>
      </c>
      <c r="R262" t="n">
        <v>2</v>
      </c>
      <c r="S262" t="n">
        <v>5</v>
      </c>
      <c r="T262" t="n">
        <v>11</v>
      </c>
      <c r="U262" t="n">
        <v>0</v>
      </c>
      <c r="V262" s="2" t="inlineStr">
        <is>
          <t>Ask
Skogsalm
Fyrflikig jordstjärna
Ängsskära
Svart trolldruva</t>
        </is>
      </c>
      <c r="W262">
        <f>HYPERLINK("https://klasma.github.io/Logging_0381/artfynd/A 1988-2022 artfynd.xlsx", "A 1988-2022")</f>
        <v/>
      </c>
      <c r="X262">
        <f>HYPERLINK("https://klasma.github.io/Logging_0381/kartor/A 1988-2022 karta.png", "A 1988-2022")</f>
        <v/>
      </c>
      <c r="Y262">
        <f>HYPERLINK("https://klasma.github.io/Logging_0381/kartor_geotiff/A 1988-2022 georefererad karta.tif", "A 1988-2022")</f>
        <v/>
      </c>
      <c r="AA262">
        <f>HYPERLINK("https://klasma.github.io/Logging_0381/klagomål/A 1988-2022 FSC-klagomål.docx", "A 1988-2022")</f>
        <v/>
      </c>
      <c r="AB262">
        <f>HYPERLINK("https://klasma.github.io/Logging_0381/klagomålsmail/A 1988-2022 FSC-klagomål mail.docx", "A 1988-2022")</f>
        <v/>
      </c>
      <c r="AC262">
        <f>HYPERLINK("https://klasma.github.io/Logging_0381/tillsyn/A 1988-2022 tillsynsbegäran.docx", "A 1988-2022")</f>
        <v/>
      </c>
      <c r="AD262">
        <f>HYPERLINK("https://klasma.github.io/Logging_0381/tillsynsmail/A 1988-2022 tillsynsbegäran mail.docx", "A 1988-2022")</f>
        <v/>
      </c>
    </row>
    <row r="263" ht="15" customHeight="1">
      <c r="A263" t="inlineStr">
        <is>
          <t>A 32038-2026</t>
        </is>
      </c>
      <c r="B263" t="inlineStr">
        <is>
          <t>avverkningsanmälan</t>
        </is>
      </c>
      <c r="C263" t="inlineStr">
        <is>
          <t>Föryngringsavverkning</t>
        </is>
      </c>
      <c r="D263" s="1" t="n">
        <v>46233</v>
      </c>
      <c r="E263" s="1" t="n">
        <v>46309</v>
      </c>
      <c r="F263" t="inlineStr">
        <is>
          <t>UPPSALA LÄN</t>
        </is>
      </c>
      <c r="G263" t="inlineStr">
        <is>
          <t>ENKÖPING</t>
        </is>
      </c>
      <c r="I263" t="n">
        <v>7.4</v>
      </c>
      <c r="J263" t="n">
        <v>1</v>
      </c>
      <c r="K263" t="n">
        <v>2</v>
      </c>
      <c r="L263" t="n">
        <v>2</v>
      </c>
      <c r="M263" t="n">
        <v>0</v>
      </c>
      <c r="N263" t="n">
        <v>0</v>
      </c>
      <c r="O263" t="n">
        <v>0</v>
      </c>
      <c r="P263" t="n">
        <v>0</v>
      </c>
      <c r="Q263" t="n">
        <v>2</v>
      </c>
      <c r="R263" t="n">
        <v>0</v>
      </c>
      <c r="S263" t="n">
        <v>5</v>
      </c>
      <c r="T263" t="n">
        <v>8</v>
      </c>
      <c r="U263" t="n">
        <v>8</v>
      </c>
      <c r="V263" s="2" t="inlineStr">
        <is>
          <t>Rynkskinn
Vedtrappmossa
Bårdlav
Trubbfjädermossa
Blåsippa</t>
        </is>
      </c>
      <c r="W263">
        <f>HYPERLINK("https://klasma.github.io/Logging_0381/artfynd/A 32038-2026 artfynd.xlsx", "A 32038-2026")</f>
        <v/>
      </c>
      <c r="X263">
        <f>HYPERLINK("https://klasma.github.io/Logging_0381/kartor/A 32038-2026 karta.png", "A 32038-2026")</f>
        <v/>
      </c>
      <c r="Y263">
        <f>HYPERLINK("https://klasma.github.io/Logging_0381/kartor_geotiff/A 32038-2026 georefererad karta.tif", "A 32038-2026")</f>
        <v/>
      </c>
      <c r="AA263">
        <f>HYPERLINK("https://klasma.github.io/Logging_0381/klagomål/A 32038-2026 FSC-klagomål.docx", "A 32038-2026")</f>
        <v/>
      </c>
      <c r="AB263">
        <f>HYPERLINK("https://klasma.github.io/Logging_0381/klagomålsmail/A 32038-2026 FSC-klagomål mail.docx", "A 32038-2026")</f>
        <v/>
      </c>
      <c r="AC263">
        <f>HYPERLINK("https://klasma.github.io/Logging_0381/tillsyn/A 32038-2026 tillsynsbegäran.docx", "A 32038-2026")</f>
        <v/>
      </c>
      <c r="AD263">
        <f>HYPERLINK("https://klasma.github.io/Logging_0381/tillsynsmail/A 32038-2026 tillsynsbegäran mail.docx", "A 32038-2026")</f>
        <v/>
      </c>
    </row>
    <row r="264" ht="15" customHeight="1">
      <c r="A264" t="inlineStr">
        <is>
          <t>A 33464-2026</t>
        </is>
      </c>
      <c r="B264" t="inlineStr">
        <is>
          <t>avverkningsanmälan</t>
        </is>
      </c>
      <c r="C264" t="inlineStr">
        <is>
          <t>Föryngringsavverkning</t>
        </is>
      </c>
      <c r="D264" s="1" t="n">
        <v>46247</v>
      </c>
      <c r="E264" s="1" t="n">
        <v>46309</v>
      </c>
      <c r="F264" t="inlineStr">
        <is>
          <t>UPPSALA LÄN</t>
        </is>
      </c>
      <c r="G264" t="inlineStr">
        <is>
          <t>ÄLVKARLEBY</t>
        </is>
      </c>
      <c r="H264" t="inlineStr">
        <is>
          <t>Bergvik skog väst AB</t>
        </is>
      </c>
      <c r="I264" t="n">
        <v>5.1</v>
      </c>
      <c r="J264" t="n">
        <v>1</v>
      </c>
      <c r="K264" t="n">
        <v>1</v>
      </c>
      <c r="L264" t="n">
        <v>3</v>
      </c>
      <c r="M264" t="n">
        <v>1</v>
      </c>
      <c r="N264" t="n">
        <v>0</v>
      </c>
      <c r="O264" t="n">
        <v>0</v>
      </c>
      <c r="P264" t="n">
        <v>0</v>
      </c>
      <c r="Q264" t="n">
        <v>4</v>
      </c>
      <c r="R264" t="n">
        <v>1</v>
      </c>
      <c r="S264" t="n">
        <v>5</v>
      </c>
      <c r="T264" t="n">
        <v>6</v>
      </c>
      <c r="U264" t="n">
        <v>0</v>
      </c>
      <c r="V264" s="2" t="inlineStr">
        <is>
          <t>Skrovlig taggsvamp
Grantaggsvamp
Motaggsvamp
Orange taggsvamp
Skogsknipprot</t>
        </is>
      </c>
      <c r="W264">
        <f>HYPERLINK("https://klasma.github.io/Logging_0319/artfynd/A 33464-2026 artfynd.xlsx", "A 33464-2026")</f>
        <v/>
      </c>
      <c r="X264">
        <f>HYPERLINK("https://klasma.github.io/Logging_0319/kartor/A 33464-2026 karta.png", "A 33464-2026")</f>
        <v/>
      </c>
      <c r="Y264">
        <f>HYPERLINK("https://klasma.github.io/Logging_0319/kartor_geotiff/A 33464-2026 georefererad karta.tif", "A 33464-2026")</f>
        <v/>
      </c>
      <c r="AA264">
        <f>HYPERLINK("https://klasma.github.io/Logging_0319/klagomål/A 33464-2026 FSC-klagomål.docx", "A 33464-2026")</f>
        <v/>
      </c>
      <c r="AB264">
        <f>HYPERLINK("https://klasma.github.io/Logging_0319/klagomålsmail/A 33464-2026 FSC-klagomål mail.docx", "A 33464-2026")</f>
        <v/>
      </c>
      <c r="AC264">
        <f>HYPERLINK("https://klasma.github.io/Logging_0319/tillsyn/A 33464-2026 tillsynsbegäran.docx", "A 33464-2026")</f>
        <v/>
      </c>
      <c r="AD264">
        <f>HYPERLINK("https://klasma.github.io/Logging_0319/tillsynsmail/A 33464-2026 tillsynsbegäran mail.docx", "A 33464-2026")</f>
        <v/>
      </c>
    </row>
    <row r="265" ht="15" customHeight="1">
      <c r="A265" t="inlineStr">
        <is>
          <t>A 53851-2025</t>
        </is>
      </c>
      <c r="B265" t="inlineStr">
        <is>
          <t>avverkningsanmälan</t>
        </is>
      </c>
      <c r="C265" t="inlineStr">
        <is>
          <t>Föryngringsavverkning</t>
        </is>
      </c>
      <c r="D265" s="1" t="n">
        <v>45961</v>
      </c>
      <c r="E265" s="1" t="n">
        <v>46309</v>
      </c>
      <c r="F265" t="inlineStr">
        <is>
          <t>UPPSALA LÄN</t>
        </is>
      </c>
      <c r="G265" t="inlineStr">
        <is>
          <t>UPPSALA</t>
        </is>
      </c>
      <c r="I265" t="n">
        <v>2.6</v>
      </c>
      <c r="J265" t="n">
        <v>3</v>
      </c>
      <c r="K265" t="n">
        <v>1</v>
      </c>
      <c r="L265" t="n">
        <v>1</v>
      </c>
      <c r="M265" t="n">
        <v>1</v>
      </c>
      <c r="N265" t="n">
        <v>0</v>
      </c>
      <c r="O265" t="n">
        <v>0</v>
      </c>
      <c r="P265" t="n">
        <v>0</v>
      </c>
      <c r="Q265" t="n">
        <v>2</v>
      </c>
      <c r="R265" t="n">
        <v>1</v>
      </c>
      <c r="S265" t="n">
        <v>5</v>
      </c>
      <c r="T265" t="n">
        <v>26</v>
      </c>
      <c r="U265" t="n">
        <v>26</v>
      </c>
      <c r="V265" s="2" t="inlineStr">
        <is>
          <t>Knärot
Vedtrappmossa
Jättesvampmal
Spillkråka
Revlummer</t>
        </is>
      </c>
      <c r="W265">
        <f>HYPERLINK("https://klasma.github.io/Logging_0380/artfynd/A 53851-2025 artfynd.xlsx", "A 53851-2025")</f>
        <v/>
      </c>
      <c r="X265">
        <f>HYPERLINK("https://klasma.github.io/Logging_0380/kartor/A 53851-2025 karta.png", "A 53851-2025")</f>
        <v/>
      </c>
      <c r="Y265">
        <f>HYPERLINK("https://klasma.github.io/Logging_0380/kartor_geotiff/A 53851-2025 georefererad karta.tif", "A 53851-2025")</f>
        <v/>
      </c>
      <c r="Z265">
        <f>HYPERLINK("https://klasma.github.io/Logging_0380/knärot/A 53851-2025 karta knärot.png", "A 53851-2025")</f>
        <v/>
      </c>
      <c r="AA265">
        <f>HYPERLINK("https://klasma.github.io/Logging_0380/klagomål/A 53851-2025 FSC-klagomål.docx", "A 53851-2025")</f>
        <v/>
      </c>
      <c r="AB265">
        <f>HYPERLINK("https://klasma.github.io/Logging_0380/klagomålsmail/A 53851-2025 FSC-klagomål mail.docx", "A 53851-2025")</f>
        <v/>
      </c>
      <c r="AC265">
        <f>HYPERLINK("https://klasma.github.io/Logging_0380/tillsyn/A 53851-2025 tillsynsbegäran.docx", "A 53851-2025")</f>
        <v/>
      </c>
      <c r="AD265">
        <f>HYPERLINK("https://klasma.github.io/Logging_0380/tillsynsmail/A 53851-2025 tillsynsbegäran mail.docx", "A 53851-2025")</f>
        <v/>
      </c>
      <c r="AE265">
        <f>HYPERLINK("https://klasma.github.io/Logging_0380/fåglar/A 53851-2025 prioriterade fågelarter.docx", "A 53851-2025")</f>
        <v/>
      </c>
    </row>
    <row r="266" ht="15" customHeight="1">
      <c r="A266" t="inlineStr">
        <is>
          <t>A 4521-2024</t>
        </is>
      </c>
      <c r="B266" t="inlineStr">
        <is>
          <t>avverkningsanmälan</t>
        </is>
      </c>
      <c r="C266" t="inlineStr">
        <is>
          <t>Föryngringsavverkning</t>
        </is>
      </c>
      <c r="D266" s="1" t="n">
        <v>45327</v>
      </c>
      <c r="E266" s="1" t="n">
        <v>46309</v>
      </c>
      <c r="F266" t="inlineStr">
        <is>
          <t>UPPSALA LÄN</t>
        </is>
      </c>
      <c r="G266" t="inlineStr">
        <is>
          <t>HÅBO</t>
        </is>
      </c>
      <c r="I266" t="n">
        <v>17.4</v>
      </c>
      <c r="J266" t="n">
        <v>1</v>
      </c>
      <c r="K266" t="n">
        <v>2</v>
      </c>
      <c r="L266" t="n">
        <v>2</v>
      </c>
      <c r="M266" t="n">
        <v>0</v>
      </c>
      <c r="N266" t="n">
        <v>1</v>
      </c>
      <c r="O266" t="n">
        <v>0</v>
      </c>
      <c r="P266" t="n">
        <v>0</v>
      </c>
      <c r="Q266" t="n">
        <v>3</v>
      </c>
      <c r="R266" t="n">
        <v>1</v>
      </c>
      <c r="S266" t="n">
        <v>5</v>
      </c>
      <c r="T266" t="n">
        <v>5</v>
      </c>
      <c r="U266" t="n">
        <v>3</v>
      </c>
      <c r="V266" s="2" t="inlineStr">
        <is>
          <t>Ask
Fjällig taggsvamp s.str.
Talltita
Bronshjon
Lönnlav</t>
        </is>
      </c>
      <c r="W266">
        <f>HYPERLINK("https://klasma.github.io/Logging_0305/artfynd/A 4521-2024 artfynd.xlsx", "A 4521-2024")</f>
        <v/>
      </c>
      <c r="X266">
        <f>HYPERLINK("https://klasma.github.io/Logging_0305/kartor/A 4521-2024 karta.png", "A 4521-2024")</f>
        <v/>
      </c>
      <c r="Y266">
        <f>HYPERLINK("https://klasma.github.io/Logging_0305/kartor_geotiff/A 4521-2024 georefererad karta.tif", "A 4521-2024")</f>
        <v/>
      </c>
      <c r="AA266">
        <f>HYPERLINK("https://klasma.github.io/Logging_0305/klagomål/A 4521-2024 FSC-klagomål.docx", "A 4521-2024")</f>
        <v/>
      </c>
      <c r="AB266">
        <f>HYPERLINK("https://klasma.github.io/Logging_0305/klagomålsmail/A 4521-2024 FSC-klagomål mail.docx", "A 4521-2024")</f>
        <v/>
      </c>
      <c r="AC266">
        <f>HYPERLINK("https://klasma.github.io/Logging_0305/tillsyn/A 4521-2024 tillsynsbegäran.docx", "A 4521-2024")</f>
        <v/>
      </c>
      <c r="AD266">
        <f>HYPERLINK("https://klasma.github.io/Logging_0305/tillsynsmail/A 4521-2024 tillsynsbegäran mail.docx", "A 4521-2024")</f>
        <v/>
      </c>
      <c r="AE266">
        <f>HYPERLINK("https://klasma.github.io/Logging_0305/fåglar/A 4521-2024 prioriterade fågelarter.docx", "A 4521-2024")</f>
        <v/>
      </c>
    </row>
    <row r="267" ht="15" customHeight="1">
      <c r="A267" t="inlineStr">
        <is>
          <t>A 4610-2025</t>
        </is>
      </c>
      <c r="B267" t="inlineStr">
        <is>
          <t>avverkningsanmälan</t>
        </is>
      </c>
      <c r="C267" t="inlineStr">
        <is>
          <t>Föryngringsavverkning</t>
        </is>
      </c>
      <c r="D267" s="1" t="n">
        <v>45687</v>
      </c>
      <c r="E267" s="1" t="n">
        <v>46309</v>
      </c>
      <c r="F267" t="inlineStr">
        <is>
          <t>UPPSALA LÄN</t>
        </is>
      </c>
      <c r="G267" t="inlineStr">
        <is>
          <t>HEBY</t>
        </is>
      </c>
      <c r="I267" t="n">
        <v>25.1</v>
      </c>
      <c r="J267" t="n">
        <v>0</v>
      </c>
      <c r="K267" t="n">
        <v>3</v>
      </c>
      <c r="L267" t="n">
        <v>1</v>
      </c>
      <c r="M267" t="n">
        <v>0</v>
      </c>
      <c r="N267" t="n">
        <v>0</v>
      </c>
      <c r="O267" t="n">
        <v>0</v>
      </c>
      <c r="P267" t="n">
        <v>0</v>
      </c>
      <c r="Q267" t="n">
        <v>1</v>
      </c>
      <c r="R267" t="n">
        <v>0</v>
      </c>
      <c r="S267" t="n">
        <v>5</v>
      </c>
      <c r="T267" t="n">
        <v>14</v>
      </c>
      <c r="U267" t="n">
        <v>5</v>
      </c>
      <c r="V267" s="2" t="inlineStr">
        <is>
          <t>Större flatbagge
Granbräken
Gulnål
Jättesvampmal
Rankstarr</t>
        </is>
      </c>
      <c r="W267">
        <f>HYPERLINK("https://klasma.github.io/Logging_0331/artfynd/A 4610-2025 artfynd.xlsx", "A 4610-2025")</f>
        <v/>
      </c>
      <c r="X267">
        <f>HYPERLINK("https://klasma.github.io/Logging_0331/kartor/A 4610-2025 karta.png", "A 4610-2025")</f>
        <v/>
      </c>
      <c r="Y267">
        <f>HYPERLINK("https://klasma.github.io/Logging_0331/kartor_geotiff/A 4610-2025 georefererad karta.tif", "A 4610-2025")</f>
        <v/>
      </c>
      <c r="AA267">
        <f>HYPERLINK("https://klasma.github.io/Logging_0331/klagomål/A 4610-2025 FSC-klagomål.docx", "A 4610-2025")</f>
        <v/>
      </c>
      <c r="AB267">
        <f>HYPERLINK("https://klasma.github.io/Logging_0331/klagomålsmail/A 4610-2025 FSC-klagomål mail.docx", "A 4610-2025")</f>
        <v/>
      </c>
      <c r="AC267">
        <f>HYPERLINK("https://klasma.github.io/Logging_0331/tillsyn/A 4610-2025 tillsynsbegäran.docx", "A 4610-2025")</f>
        <v/>
      </c>
      <c r="AD267">
        <f>HYPERLINK("https://klasma.github.io/Logging_0331/tillsynsmail/A 4610-2025 tillsynsbegäran mail.docx", "A 4610-2025")</f>
        <v/>
      </c>
    </row>
    <row r="268" ht="15" customHeight="1">
      <c r="A268" t="inlineStr">
        <is>
          <t>A 40589-2026</t>
        </is>
      </c>
      <c r="B268" t="inlineStr">
        <is>
          <t>avverkningsanmälan</t>
        </is>
      </c>
      <c r="C268" t="inlineStr">
        <is>
          <t>Föryngringsavverkning</t>
        </is>
      </c>
      <c r="D268" s="1" t="n">
        <v>46295</v>
      </c>
      <c r="E268" s="1" t="n">
        <v>46309</v>
      </c>
      <c r="F268" t="inlineStr">
        <is>
          <t>UPPSALA LÄN</t>
        </is>
      </c>
      <c r="G268" t="inlineStr">
        <is>
          <t>TIERP</t>
        </is>
      </c>
      <c r="I268" t="n">
        <v>3.2</v>
      </c>
      <c r="J268" t="n">
        <v>0</v>
      </c>
      <c r="K268" t="n">
        <v>2</v>
      </c>
      <c r="L268" t="n">
        <v>2</v>
      </c>
      <c r="M268" t="n">
        <v>1</v>
      </c>
      <c r="N268" t="n">
        <v>0</v>
      </c>
      <c r="O268" t="n">
        <v>0</v>
      </c>
      <c r="P268" t="n">
        <v>0</v>
      </c>
      <c r="Q268" t="n">
        <v>3</v>
      </c>
      <c r="R268" t="n">
        <v>1</v>
      </c>
      <c r="S268" t="n">
        <v>5</v>
      </c>
      <c r="T268" t="n">
        <v>6</v>
      </c>
      <c r="U268" t="n">
        <v>0</v>
      </c>
      <c r="V268" s="2" t="inlineStr">
        <is>
          <t>Taggfingersvamp
Orange taggsvamp
Skarp dropptaggsvamp
Rödgul trumpetsvamp
Strimspindling</t>
        </is>
      </c>
      <c r="W268">
        <f>HYPERLINK("https://klasma.github.io/Logging_0360/artfynd/A 40589-2026 artfynd.xlsx", "A 40589-2026")</f>
        <v/>
      </c>
      <c r="X268">
        <f>HYPERLINK("https://klasma.github.io/Logging_0360/kartor/A 40589-2026 karta.png", "A 40589-2026")</f>
        <v/>
      </c>
      <c r="Y268">
        <f>HYPERLINK("https://klasma.github.io/Logging_0360/kartor_geotiff/A 40589-2026 georefererad karta.tif", "A 40589-2026")</f>
        <v/>
      </c>
      <c r="AA268">
        <f>HYPERLINK("https://klasma.github.io/Logging_0360/klagomål/A 40589-2026 FSC-klagomål.docx", "A 40589-2026")</f>
        <v/>
      </c>
      <c r="AB268">
        <f>HYPERLINK("https://klasma.github.io/Logging_0360/klagomålsmail/A 40589-2026 FSC-klagomål mail.docx", "A 40589-2026")</f>
        <v/>
      </c>
      <c r="AC268">
        <f>HYPERLINK("https://klasma.github.io/Logging_0360/tillsyn/A 40589-2026 tillsynsbegäran.docx", "A 40589-2026")</f>
        <v/>
      </c>
      <c r="AD268">
        <f>HYPERLINK("https://klasma.github.io/Logging_0360/tillsynsmail/A 40589-2026 tillsynsbegäran mail.docx", "A 40589-2026")</f>
        <v/>
      </c>
    </row>
    <row r="269" ht="15" customHeight="1">
      <c r="A269" t="inlineStr">
        <is>
          <t>A 34404-2026</t>
        </is>
      </c>
      <c r="B269" t="inlineStr">
        <is>
          <t>avverkningsanmälan</t>
        </is>
      </c>
      <c r="C269" t="inlineStr">
        <is>
          <t>Föryngringsavverkning</t>
        </is>
      </c>
      <c r="D269" s="1" t="n">
        <v>46254</v>
      </c>
      <c r="E269" s="1" t="n">
        <v>46309</v>
      </c>
      <c r="F269" t="inlineStr">
        <is>
          <t>UPPSALA LÄN</t>
        </is>
      </c>
      <c r="G269" t="inlineStr">
        <is>
          <t>HEBY</t>
        </is>
      </c>
      <c r="H269" t="inlineStr">
        <is>
          <t>Kyrkan</t>
        </is>
      </c>
      <c r="I269" t="n">
        <v>1.8</v>
      </c>
      <c r="J269" t="n">
        <v>4</v>
      </c>
      <c r="K269" t="n">
        <v>0</v>
      </c>
      <c r="L269" t="n">
        <v>1</v>
      </c>
      <c r="M269" t="n">
        <v>0</v>
      </c>
      <c r="N269" t="n">
        <v>0</v>
      </c>
      <c r="O269" t="n">
        <v>0</v>
      </c>
      <c r="P269" t="n">
        <v>0</v>
      </c>
      <c r="Q269" t="n">
        <v>1</v>
      </c>
      <c r="R269" t="n">
        <v>0</v>
      </c>
      <c r="S269" t="n">
        <v>5</v>
      </c>
      <c r="T269" t="n">
        <v>5</v>
      </c>
      <c r="U269" t="n">
        <v>0</v>
      </c>
      <c r="V269" s="2" t="inlineStr">
        <is>
          <t>Brunklöver
Mattlummer
Spillkråka
Grönsiska
Kungsfågel</t>
        </is>
      </c>
      <c r="W269">
        <f>HYPERLINK("https://klasma.github.io/Logging_0331/artfynd/A 34404-2026 artfynd.xlsx", "A 34404-2026")</f>
        <v/>
      </c>
      <c r="X269">
        <f>HYPERLINK("https://klasma.github.io/Logging_0331/kartor/A 34404-2026 karta.png", "A 34404-2026")</f>
        <v/>
      </c>
      <c r="Y269">
        <f>HYPERLINK("https://klasma.github.io/Logging_0331/kartor_geotiff/A 34404-2026 georefererad karta.tif", "A 34404-2026")</f>
        <v/>
      </c>
      <c r="AA269">
        <f>HYPERLINK("https://klasma.github.io/Logging_0331/klagomål/A 34404-2026 FSC-klagomål.docx", "A 34404-2026")</f>
        <v/>
      </c>
      <c r="AB269">
        <f>HYPERLINK("https://klasma.github.io/Logging_0331/klagomålsmail/A 34404-2026 FSC-klagomål mail.docx", "A 34404-2026")</f>
        <v/>
      </c>
      <c r="AC269">
        <f>HYPERLINK("https://klasma.github.io/Logging_0331/tillsyn/A 34404-2026 tillsynsbegäran.docx", "A 34404-2026")</f>
        <v/>
      </c>
      <c r="AD269">
        <f>HYPERLINK("https://klasma.github.io/Logging_0331/tillsynsmail/A 34404-2026 tillsynsbegäran mail.docx", "A 34404-2026")</f>
        <v/>
      </c>
      <c r="AE269">
        <f>HYPERLINK("https://klasma.github.io/Logging_0331/fåglar/A 34404-2026 prioriterade fågelarter.docx", "A 34404-2026")</f>
        <v/>
      </c>
    </row>
    <row r="270" ht="15" customHeight="1">
      <c r="A270" t="inlineStr">
        <is>
          <t>A 34604-2026</t>
        </is>
      </c>
      <c r="B270" t="inlineStr">
        <is>
          <t>avverkningsanmälan</t>
        </is>
      </c>
      <c r="C270" t="inlineStr">
        <is>
          <t>Föryngringsavverkning</t>
        </is>
      </c>
      <c r="D270" s="1" t="n">
        <v>46255</v>
      </c>
      <c r="E270" s="1" t="n">
        <v>46309</v>
      </c>
      <c r="F270" t="inlineStr">
        <is>
          <t>UPPSALA LÄN</t>
        </is>
      </c>
      <c r="G270" t="inlineStr">
        <is>
          <t>KNIVSTA</t>
        </is>
      </c>
      <c r="H270" t="inlineStr">
        <is>
          <t>Holmen skog AB</t>
        </is>
      </c>
      <c r="I270" t="n">
        <v>7.6</v>
      </c>
      <c r="J270" t="n">
        <v>3</v>
      </c>
      <c r="K270" t="n">
        <v>0</v>
      </c>
      <c r="L270" t="n">
        <v>1</v>
      </c>
      <c r="M270" t="n">
        <v>0</v>
      </c>
      <c r="N270" t="n">
        <v>0</v>
      </c>
      <c r="O270" t="n">
        <v>0</v>
      </c>
      <c r="P270" t="n">
        <v>0</v>
      </c>
      <c r="Q270" t="n">
        <v>1</v>
      </c>
      <c r="R270" t="n">
        <v>0</v>
      </c>
      <c r="S270" t="n">
        <v>5</v>
      </c>
      <c r="T270" t="n">
        <v>11</v>
      </c>
      <c r="U270" t="n">
        <v>11</v>
      </c>
      <c r="V270" s="2" t="inlineStr">
        <is>
          <t>Motaggsvamp
Blåsippa
Kransmossa
Tjäder
Lopplummer (aggregat)</t>
        </is>
      </c>
      <c r="W270">
        <f>HYPERLINK("https://klasma.github.io/Logging_0330/artfynd/A 34604-2026 artfynd.xlsx", "A 34604-2026")</f>
        <v/>
      </c>
      <c r="X270">
        <f>HYPERLINK("https://klasma.github.io/Logging_0330/kartor/A 34604-2026 karta.png", "A 34604-2026")</f>
        <v/>
      </c>
      <c r="Y270">
        <f>HYPERLINK("https://klasma.github.io/Logging_0330/kartor_geotiff/A 34604-2026 georefererad karta.tif", "A 34604-2026")</f>
        <v/>
      </c>
      <c r="AA270">
        <f>HYPERLINK("https://klasma.github.io/Logging_0330/klagomål/A 34604-2026 FSC-klagomål.docx", "A 34604-2026")</f>
        <v/>
      </c>
      <c r="AB270">
        <f>HYPERLINK("https://klasma.github.io/Logging_0330/klagomålsmail/A 34604-2026 FSC-klagomål mail.docx", "A 34604-2026")</f>
        <v/>
      </c>
      <c r="AC270">
        <f>HYPERLINK("https://klasma.github.io/Logging_0330/tillsyn/A 34604-2026 tillsynsbegäran.docx", "A 34604-2026")</f>
        <v/>
      </c>
      <c r="AD270">
        <f>HYPERLINK("https://klasma.github.io/Logging_0330/tillsynsmail/A 34604-2026 tillsynsbegäran mail.docx", "A 34604-2026")</f>
        <v/>
      </c>
      <c r="AE270">
        <f>HYPERLINK("https://klasma.github.io/Logging_0330/fåglar/A 34604-2026 prioriterade fågelarter.docx", "A 34604-2026")</f>
        <v/>
      </c>
    </row>
    <row r="271" ht="15" customHeight="1">
      <c r="A271" t="inlineStr">
        <is>
          <t>A 23899-2026</t>
        </is>
      </c>
      <c r="B271" t="inlineStr">
        <is>
          <t>avverkningsanmälan</t>
        </is>
      </c>
      <c r="C271" t="inlineStr">
        <is>
          <t>Föryngringsavverkning</t>
        </is>
      </c>
      <c r="D271" s="1" t="n">
        <v>46167</v>
      </c>
      <c r="E271" s="1" t="n">
        <v>46309</v>
      </c>
      <c r="F271" t="inlineStr">
        <is>
          <t>UPPSALA LÄN</t>
        </is>
      </c>
      <c r="G271" t="inlineStr">
        <is>
          <t>UPPSALA</t>
        </is>
      </c>
      <c r="H271" t="inlineStr">
        <is>
          <t>Holmen skog AB</t>
        </is>
      </c>
      <c r="I271" t="n">
        <v>3.4</v>
      </c>
      <c r="J271" t="n">
        <v>2</v>
      </c>
      <c r="K271" t="n">
        <v>3</v>
      </c>
      <c r="L271" t="n">
        <v>1</v>
      </c>
      <c r="M271" t="n">
        <v>0</v>
      </c>
      <c r="N271" t="n">
        <v>0</v>
      </c>
      <c r="O271" t="n">
        <v>0</v>
      </c>
      <c r="P271" t="n">
        <v>0</v>
      </c>
      <c r="Q271" t="n">
        <v>1</v>
      </c>
      <c r="R271" t="n">
        <v>0</v>
      </c>
      <c r="S271" t="n">
        <v>5</v>
      </c>
      <c r="T271" t="n">
        <v>6</v>
      </c>
      <c r="U271" t="n">
        <v>0</v>
      </c>
      <c r="V271" s="2" t="inlineStr">
        <is>
          <t>Ullticka
Grön sköldmossa
Vanlig flatbagge
Vedticka
Vanlig padda</t>
        </is>
      </c>
      <c r="W271">
        <f>HYPERLINK("https://klasma.github.io/Logging_0380/artfynd/A 23899-2026 artfynd.xlsx", "A 23899-2026")</f>
        <v/>
      </c>
      <c r="X271">
        <f>HYPERLINK("https://klasma.github.io/Logging_0380/kartor/A 23899-2026 karta.png", "A 23899-2026")</f>
        <v/>
      </c>
      <c r="Y271">
        <f>HYPERLINK("https://klasma.github.io/Logging_0380/kartor_geotiff/A 23899-2026 georefererad karta.tif", "A 23899-2026")</f>
        <v/>
      </c>
      <c r="AA271">
        <f>HYPERLINK("https://klasma.github.io/Logging_0380/klagomål/A 23899-2026 FSC-klagomål.docx", "A 23899-2026")</f>
        <v/>
      </c>
      <c r="AB271">
        <f>HYPERLINK("https://klasma.github.io/Logging_0380/klagomålsmail/A 23899-2026 FSC-klagomål mail.docx", "A 23899-2026")</f>
        <v/>
      </c>
      <c r="AC271">
        <f>HYPERLINK("https://klasma.github.io/Logging_0380/tillsyn/A 23899-2026 tillsynsbegäran.docx", "A 23899-2026")</f>
        <v/>
      </c>
      <c r="AD271">
        <f>HYPERLINK("https://klasma.github.io/Logging_0380/tillsynsmail/A 23899-2026 tillsynsbegäran mail.docx", "A 23899-2026")</f>
        <v/>
      </c>
    </row>
    <row r="272" ht="15" customHeight="1">
      <c r="A272" t="inlineStr">
        <is>
          <t>A 35734-2026</t>
        </is>
      </c>
      <c r="B272" t="inlineStr">
        <is>
          <t>avverkningsanmälan</t>
        </is>
      </c>
      <c r="C272" t="inlineStr">
        <is>
          <t>Föryngringsavverkning</t>
        </is>
      </c>
      <c r="D272" s="1" t="n">
        <v>46265</v>
      </c>
      <c r="E272" s="1" t="n">
        <v>46309</v>
      </c>
      <c r="F272" t="inlineStr">
        <is>
          <t>UPPSALA LÄN</t>
        </is>
      </c>
      <c r="G272" t="inlineStr">
        <is>
          <t>ÖSTHAMMAR</t>
        </is>
      </c>
      <c r="I272" t="n">
        <v>1.5</v>
      </c>
      <c r="J272" t="n">
        <v>0</v>
      </c>
      <c r="K272" t="n">
        <v>2</v>
      </c>
      <c r="L272" t="n">
        <v>2</v>
      </c>
      <c r="M272" t="n">
        <v>1</v>
      </c>
      <c r="N272" t="n">
        <v>0</v>
      </c>
      <c r="O272" t="n">
        <v>0</v>
      </c>
      <c r="P272" t="n">
        <v>0</v>
      </c>
      <c r="Q272" t="n">
        <v>3</v>
      </c>
      <c r="R272" t="n">
        <v>1</v>
      </c>
      <c r="S272" t="n">
        <v>5</v>
      </c>
      <c r="T272" t="n">
        <v>7</v>
      </c>
      <c r="U272" t="n">
        <v>0</v>
      </c>
      <c r="V272" s="2" t="inlineStr">
        <is>
          <t>Kopparspindling
Fjällig taggsvamp s.str.
Skarp dropptaggsvamp
Olivspindling
Rödgul trumpetsvamp</t>
        </is>
      </c>
      <c r="W272">
        <f>HYPERLINK("https://klasma.github.io/Logging_0382/artfynd/A 35734-2026 artfynd.xlsx", "A 35734-2026")</f>
        <v/>
      </c>
      <c r="X272">
        <f>HYPERLINK("https://klasma.github.io/Logging_0382/kartor/A 35734-2026 karta.png", "A 35734-2026")</f>
        <v/>
      </c>
      <c r="Y272">
        <f>HYPERLINK("https://klasma.github.io/Logging_0382/kartor_geotiff/A 35734-2026 georefererad karta.tif", "A 35734-2026")</f>
        <v/>
      </c>
      <c r="AA272">
        <f>HYPERLINK("https://klasma.github.io/Logging_0382/klagomål/A 35734-2026 FSC-klagomål.docx", "A 35734-2026")</f>
        <v/>
      </c>
      <c r="AB272">
        <f>HYPERLINK("https://klasma.github.io/Logging_0382/klagomålsmail/A 35734-2026 FSC-klagomål mail.docx", "A 35734-2026")</f>
        <v/>
      </c>
      <c r="AC272">
        <f>HYPERLINK("https://klasma.github.io/Logging_0382/tillsyn/A 35734-2026 tillsynsbegäran.docx", "A 35734-2026")</f>
        <v/>
      </c>
      <c r="AD272">
        <f>HYPERLINK("https://klasma.github.io/Logging_0382/tillsynsmail/A 35734-2026 tillsynsbegäran mail.docx", "A 35734-2026")</f>
        <v/>
      </c>
    </row>
    <row r="273" ht="15" customHeight="1">
      <c r="A273" t="inlineStr">
        <is>
          <t>S 400-2022</t>
        </is>
      </c>
      <c r="B273" t="inlineStr">
        <is>
          <t>samrådsanmälan</t>
        </is>
      </c>
      <c r="C273" t="inlineStr">
        <is>
          <t>Skogsgödsling</t>
        </is>
      </c>
      <c r="D273" s="1" t="n">
        <v>44585</v>
      </c>
      <c r="E273" s="1" t="n">
        <v>46309</v>
      </c>
      <c r="F273" t="inlineStr">
        <is>
          <t>UPPSALA LÄN</t>
        </is>
      </c>
      <c r="G273" t="inlineStr">
        <is>
          <t>HEBY</t>
        </is>
      </c>
      <c r="H273" t="inlineStr">
        <is>
          <t>Bergvik skog väst AB</t>
        </is>
      </c>
      <c r="I273" t="n">
        <v>115.5</v>
      </c>
      <c r="J273" t="n">
        <v>4</v>
      </c>
      <c r="K273" t="n">
        <v>1</v>
      </c>
      <c r="L273" t="n">
        <v>2</v>
      </c>
      <c r="M273" t="n">
        <v>1</v>
      </c>
      <c r="N273" t="n">
        <v>1</v>
      </c>
      <c r="O273" t="n">
        <v>0</v>
      </c>
      <c r="P273" t="n">
        <v>0</v>
      </c>
      <c r="Q273" t="n">
        <v>4</v>
      </c>
      <c r="R273" t="n">
        <v>2</v>
      </c>
      <c r="S273" t="n">
        <v>5</v>
      </c>
      <c r="T273" t="n">
        <v>32</v>
      </c>
      <c r="U273" t="n">
        <v>2</v>
      </c>
      <c r="V273" s="2" t="inlineStr">
        <is>
          <t>Mosippa
Knärot
Mellanlummer
Motaggsvamp
Plattlummer</t>
        </is>
      </c>
      <c r="W273">
        <f>HYPERLINK("https://klasma.github.io/Logging_0331/artfynd/S 400-2022 artfynd.xlsx", "S 400-2022")</f>
        <v/>
      </c>
      <c r="X273">
        <f>HYPERLINK("https://klasma.github.io/Logging_0331/kartor/S 400-2022 karta.png", "S 400-2022")</f>
        <v/>
      </c>
      <c r="Y273">
        <f>HYPERLINK("https://klasma.github.io/Logging_0331/kartor_geotiff/S 400-2022 georefererad karta.tif", "S 400-2022")</f>
        <v/>
      </c>
      <c r="Z273">
        <f>HYPERLINK("https://klasma.github.io/Logging_0331/knärot/S 400-2022 karta knärot.png", "S 400-2022")</f>
        <v/>
      </c>
      <c r="AA273">
        <f>HYPERLINK("https://klasma.github.io/Logging_0331/klagomål/S 400-2022 FSC-klagomål.docx", "S 400-2022")</f>
        <v/>
      </c>
      <c r="AB273">
        <f>HYPERLINK("https://klasma.github.io/Logging_0331/klagomålsmail/S 400-2022 FSC-klagomål mail.docx", "S 400-2022")</f>
        <v/>
      </c>
      <c r="AC273">
        <f>HYPERLINK("https://klasma.github.io/Logging_0331/tillsyn/S 400-2022 tillsynsbegäran.docx", "S 400-2022")</f>
        <v/>
      </c>
      <c r="AD273">
        <f>HYPERLINK("https://klasma.github.io/Logging_0331/tillsynsmail/S 400-2022 tillsynsbegäran mail.docx", "S 400-2022")</f>
        <v/>
      </c>
    </row>
    <row r="274" ht="15" customHeight="1">
      <c r="A274" t="inlineStr">
        <is>
          <t>S 4507-2023</t>
        </is>
      </c>
      <c r="B274" t="inlineStr">
        <is>
          <t>samrådsanmälan</t>
        </is>
      </c>
      <c r="C274" t="inlineStr">
        <is>
          <t>Skogsgödsling</t>
        </is>
      </c>
      <c r="D274" s="1" t="n">
        <v>45274</v>
      </c>
      <c r="E274" s="1" t="n">
        <v>46309</v>
      </c>
      <c r="F274" t="inlineStr">
        <is>
          <t>UPPSALA LÄN</t>
        </is>
      </c>
      <c r="G274" t="inlineStr">
        <is>
          <t>ÄLVKARLEBY</t>
        </is>
      </c>
      <c r="H274" t="inlineStr">
        <is>
          <t>Bergvik skog väst AB</t>
        </is>
      </c>
      <c r="I274" t="n">
        <v>11.4</v>
      </c>
      <c r="J274" t="n">
        <v>2</v>
      </c>
      <c r="K274" t="n">
        <v>0</v>
      </c>
      <c r="L274" t="n">
        <v>0</v>
      </c>
      <c r="M274" t="n">
        <v>2</v>
      </c>
      <c r="N274" t="n">
        <v>1</v>
      </c>
      <c r="O274" t="n">
        <v>0</v>
      </c>
      <c r="P274" t="n">
        <v>0</v>
      </c>
      <c r="Q274" t="n">
        <v>3</v>
      </c>
      <c r="R274" t="n">
        <v>3</v>
      </c>
      <c r="S274" t="n">
        <v>5</v>
      </c>
      <c r="T274" t="n">
        <v>11</v>
      </c>
      <c r="U274" t="n">
        <v>7</v>
      </c>
      <c r="V274" s="2" t="inlineStr">
        <is>
          <t>Stor bockrot
Kattunvisslare
Mindre bastardsvärmare
Vanlig padda
Fläcknycklar</t>
        </is>
      </c>
      <c r="W274">
        <f>HYPERLINK("https://klasma.github.io/Logging_0319/artfynd/S 4507-2023 artfynd.xlsx", "S 4507-2023")</f>
        <v/>
      </c>
      <c r="X274">
        <f>HYPERLINK("https://klasma.github.io/Logging_0319/kartor/S 4507-2023 karta.png", "S 4507-2023")</f>
        <v/>
      </c>
      <c r="Y274">
        <f>HYPERLINK("https://klasma.github.io/Logging_0319/kartor_geotiff/S 4507-2023 georefererad karta.tif", "S 4507-2023")</f>
        <v/>
      </c>
      <c r="AA274">
        <f>HYPERLINK("https://klasma.github.io/Logging_0319/klagomål/S 4507-2023 FSC-klagomål.docx", "S 4507-2023")</f>
        <v/>
      </c>
      <c r="AB274">
        <f>HYPERLINK("https://klasma.github.io/Logging_0319/klagomålsmail/S 4507-2023 FSC-klagomål mail.docx", "S 4507-2023")</f>
        <v/>
      </c>
      <c r="AC274">
        <f>HYPERLINK("https://klasma.github.io/Logging_0319/tillsyn/S 4507-2023 tillsynsbegäran.docx", "S 4507-2023")</f>
        <v/>
      </c>
      <c r="AD274">
        <f>HYPERLINK("https://klasma.github.io/Logging_0319/tillsynsmail/S 4507-2023 tillsynsbegäran mail.docx", "S 4507-2023")</f>
        <v/>
      </c>
    </row>
    <row r="275" ht="15" customHeight="1">
      <c r="A275" t="inlineStr">
        <is>
          <t>S 2316-2023</t>
        </is>
      </c>
      <c r="B275" t="inlineStr">
        <is>
          <t>samrådsanmälan</t>
        </is>
      </c>
      <c r="C275" t="inlineStr">
        <is>
          <t>Annan skogsbruksåtgärd</t>
        </is>
      </c>
      <c r="D275" s="1" t="n">
        <v>45104</v>
      </c>
      <c r="E275" s="1" t="n">
        <v>46309</v>
      </c>
      <c r="F275" t="inlineStr">
        <is>
          <t>UPPSALA LÄN</t>
        </is>
      </c>
      <c r="G275" t="inlineStr">
        <is>
          <t>ENKÖPING</t>
        </is>
      </c>
      <c r="I275" t="n">
        <v>2.6</v>
      </c>
      <c r="J275" t="n">
        <v>2</v>
      </c>
      <c r="K275" t="n">
        <v>2</v>
      </c>
      <c r="L275" t="n">
        <v>1</v>
      </c>
      <c r="M275" t="n">
        <v>0</v>
      </c>
      <c r="N275" t="n">
        <v>1</v>
      </c>
      <c r="O275" t="n">
        <v>0</v>
      </c>
      <c r="P275" t="n">
        <v>0</v>
      </c>
      <c r="Q275" t="n">
        <v>2</v>
      </c>
      <c r="R275" t="n">
        <v>1</v>
      </c>
      <c r="S275" t="n">
        <v>5</v>
      </c>
      <c r="T275" t="n">
        <v>28</v>
      </c>
      <c r="U275" t="n">
        <v>8</v>
      </c>
      <c r="V275" s="2" t="inlineStr">
        <is>
          <t>Bombmurkla
Fyrflikig jordstjärna
Grön sköldmossa
Grönpyrola
Kransmossa</t>
        </is>
      </c>
      <c r="W275">
        <f>HYPERLINK("https://klasma.github.io/Logging_0381/artfynd/S 2316-2023 artfynd.xlsx", "S 2316-2023")</f>
        <v/>
      </c>
      <c r="X275">
        <f>HYPERLINK("https://klasma.github.io/Logging_0381/kartor/S 2316-2023 karta.png", "S 2316-2023")</f>
        <v/>
      </c>
      <c r="Y275">
        <f>HYPERLINK("https://klasma.github.io/Logging_0381/kartor_geotiff/S 2316-2023 georefererad karta.tif", "S 2316-2023")</f>
        <v/>
      </c>
      <c r="AA275">
        <f>HYPERLINK("https://klasma.github.io/Logging_0381/klagomål/S 2316-2023 FSC-klagomål.docx", "S 2316-2023")</f>
        <v/>
      </c>
      <c r="AB275">
        <f>HYPERLINK("https://klasma.github.io/Logging_0381/klagomålsmail/S 2316-2023 FSC-klagomål mail.docx", "S 2316-2023")</f>
        <v/>
      </c>
      <c r="AC275">
        <f>HYPERLINK("https://klasma.github.io/Logging_0381/tillsyn/S 2316-2023 tillsynsbegäran.docx", "S 2316-2023")</f>
        <v/>
      </c>
      <c r="AD275">
        <f>HYPERLINK("https://klasma.github.io/Logging_0381/tillsynsmail/S 2316-2023 tillsynsbegäran mail.docx", "S 2316-2023")</f>
        <v/>
      </c>
    </row>
    <row r="276" ht="15" customHeight="1">
      <c r="A276" t="inlineStr">
        <is>
          <t>S 193-2024</t>
        </is>
      </c>
      <c r="B276" t="inlineStr">
        <is>
          <t>samrådsanmälan</t>
        </is>
      </c>
      <c r="C276" t="inlineStr">
        <is>
          <t>Skogsgödsling</t>
        </is>
      </c>
      <c r="D276" s="1" t="n">
        <v>45315</v>
      </c>
      <c r="E276" s="1" t="n">
        <v>46309</v>
      </c>
      <c r="F276" t="inlineStr">
        <is>
          <t>UPPSALA LÄN</t>
        </is>
      </c>
      <c r="G276" t="inlineStr">
        <is>
          <t>ÖSTHAMMAR</t>
        </is>
      </c>
      <c r="H276" t="inlineStr">
        <is>
          <t>Bergvik skog öst AB</t>
        </is>
      </c>
      <c r="I276" t="n">
        <v>316.6</v>
      </c>
      <c r="J276" t="n">
        <v>4</v>
      </c>
      <c r="K276" t="n">
        <v>0</v>
      </c>
      <c r="L276" t="n">
        <v>0</v>
      </c>
      <c r="M276" t="n">
        <v>0</v>
      </c>
      <c r="N276" t="n">
        <v>0</v>
      </c>
      <c r="O276" t="n">
        <v>0</v>
      </c>
      <c r="P276" t="n">
        <v>0</v>
      </c>
      <c r="Q276" t="n">
        <v>0</v>
      </c>
      <c r="R276" t="n">
        <v>0</v>
      </c>
      <c r="S276" t="n">
        <v>5</v>
      </c>
      <c r="T276" t="n">
        <v>5</v>
      </c>
      <c r="U276" t="n">
        <v>2</v>
      </c>
      <c r="V276" s="2" t="inlineStr">
        <is>
          <t>Blåsippa
Kärrbräken
Mattlummer
Vanlig padda
Fläcknycklar</t>
        </is>
      </c>
      <c r="W276">
        <f>HYPERLINK("https://klasma.github.io/Logging_0382/artfynd/S 193-2024 artfynd.xlsx", "S 193-2024")</f>
        <v/>
      </c>
      <c r="X276">
        <f>HYPERLINK("https://klasma.github.io/Logging_0382/kartor/S 193-2024 karta.png", "S 193-2024")</f>
        <v/>
      </c>
      <c r="Y276">
        <f>HYPERLINK("https://klasma.github.io/Logging_0382/kartor_geotiff/S 193-2024 georefererad karta.tif", "S 193-2024")</f>
        <v/>
      </c>
      <c r="AA276">
        <f>HYPERLINK("https://klasma.github.io/Logging_0382/klagomål/S 193-2024 FSC-klagomål.docx", "S 193-2024")</f>
        <v/>
      </c>
      <c r="AB276">
        <f>HYPERLINK("https://klasma.github.io/Logging_0382/klagomålsmail/S 193-2024 FSC-klagomål mail.docx", "S 193-2024")</f>
        <v/>
      </c>
      <c r="AC276">
        <f>HYPERLINK("https://klasma.github.io/Logging_0382/tillsyn/S 193-2024 tillsynsbegäran.docx", "S 193-2024")</f>
        <v/>
      </c>
      <c r="AD276">
        <f>HYPERLINK("https://klasma.github.io/Logging_0382/tillsynsmail/S 193-2024 tillsynsbegäran mail.docx", "S 193-2024")</f>
        <v/>
      </c>
    </row>
    <row r="277" ht="15" customHeight="1">
      <c r="A277" t="inlineStr">
        <is>
          <t>S 3398-2025</t>
        </is>
      </c>
      <c r="B277" t="inlineStr">
        <is>
          <t>samrådsanmälan</t>
        </is>
      </c>
      <c r="C277" t="inlineStr">
        <is>
          <t>Skogsgödsling</t>
        </is>
      </c>
      <c r="D277" s="1" t="n">
        <v>45994</v>
      </c>
      <c r="E277" s="1" t="n">
        <v>46309</v>
      </c>
      <c r="F277" t="inlineStr">
        <is>
          <t>UPPSALA LÄN</t>
        </is>
      </c>
      <c r="G277" t="inlineStr">
        <is>
          <t>UPPSALA</t>
        </is>
      </c>
      <c r="H277" t="inlineStr">
        <is>
          <t>Holmen skog AB</t>
        </is>
      </c>
      <c r="I277" t="n">
        <v>127.9</v>
      </c>
      <c r="J277" t="n">
        <v>1</v>
      </c>
      <c r="K277" t="n">
        <v>1</v>
      </c>
      <c r="L277" t="n">
        <v>3</v>
      </c>
      <c r="M277" t="n">
        <v>0</v>
      </c>
      <c r="N277" t="n">
        <v>0</v>
      </c>
      <c r="O277" t="n">
        <v>0</v>
      </c>
      <c r="P277" t="n">
        <v>0</v>
      </c>
      <c r="Q277" t="n">
        <v>3</v>
      </c>
      <c r="R277" t="n">
        <v>0</v>
      </c>
      <c r="S277" t="n">
        <v>5</v>
      </c>
      <c r="T277" t="n">
        <v>5</v>
      </c>
      <c r="U277" t="n">
        <v>1</v>
      </c>
      <c r="V277" s="2" t="inlineStr">
        <is>
          <t>Gullklöver
Gullpudra
Sumpviol
Rävticka
Havsörn</t>
        </is>
      </c>
      <c r="W277">
        <f>HYPERLINK("https://klasma.github.io/Logging_0380/artfynd/S 3398-2025 artfynd.xlsx", "S 3398-2025")</f>
        <v/>
      </c>
      <c r="X277">
        <f>HYPERLINK("https://klasma.github.io/Logging_0380/kartor/S 3398-2025 karta.png", "S 3398-2025")</f>
        <v/>
      </c>
      <c r="Y277">
        <f>HYPERLINK("https://klasma.github.io/Logging_0380/kartor_geotiff/S 3398-2025 georefererad karta.tif", "S 3398-2025")</f>
        <v/>
      </c>
      <c r="AA277">
        <f>HYPERLINK("https://klasma.github.io/Logging_0380/klagomål/S 3398-2025 FSC-klagomål.docx", "S 3398-2025")</f>
        <v/>
      </c>
      <c r="AB277">
        <f>HYPERLINK("https://klasma.github.io/Logging_0380/klagomålsmail/S 3398-2025 FSC-klagomål mail.docx", "S 3398-2025")</f>
        <v/>
      </c>
      <c r="AC277">
        <f>HYPERLINK("https://klasma.github.io/Logging_0380/tillsyn/S 3398-2025 tillsynsbegäran.docx", "S 3398-2025")</f>
        <v/>
      </c>
      <c r="AD277">
        <f>HYPERLINK("https://klasma.github.io/Logging_0380/tillsynsmail/S 3398-2025 tillsynsbegäran mail.docx", "S 3398-2025")</f>
        <v/>
      </c>
      <c r="AE277">
        <f>HYPERLINK("https://klasma.github.io/Logging_0380/fåglar/S 3398-2025 prioriterade fågelarter.docx", "S 3398-2025")</f>
        <v/>
      </c>
    </row>
    <row r="278" ht="15" customHeight="1">
      <c r="A278" t="inlineStr">
        <is>
          <t>S 678-2026</t>
        </is>
      </c>
      <c r="B278" t="inlineStr">
        <is>
          <t>samrådsanmälan</t>
        </is>
      </c>
      <c r="C278" t="inlineStr">
        <is>
          <t>Skogsgödsling</t>
        </is>
      </c>
      <c r="D278" s="1" t="n">
        <v>46089</v>
      </c>
      <c r="E278" s="1" t="n">
        <v>46309</v>
      </c>
      <c r="F278" t="inlineStr">
        <is>
          <t>UPPSALA LÄN</t>
        </is>
      </c>
      <c r="G278" t="inlineStr">
        <is>
          <t>TIERP</t>
        </is>
      </c>
      <c r="H278" t="inlineStr">
        <is>
          <t>Bergvik skog öst AB</t>
        </is>
      </c>
      <c r="I278" t="n">
        <v>17.4</v>
      </c>
      <c r="J278" t="n">
        <v>3</v>
      </c>
      <c r="K278" t="n">
        <v>1</v>
      </c>
      <c r="L278" t="n">
        <v>2</v>
      </c>
      <c r="M278" t="n">
        <v>0</v>
      </c>
      <c r="N278" t="n">
        <v>0</v>
      </c>
      <c r="O278" t="n">
        <v>0</v>
      </c>
      <c r="P278" t="n">
        <v>0</v>
      </c>
      <c r="Q278" t="n">
        <v>2</v>
      </c>
      <c r="R278" t="n">
        <v>0</v>
      </c>
      <c r="S278" t="n">
        <v>5</v>
      </c>
      <c r="T278" t="n">
        <v>6</v>
      </c>
      <c r="U278" t="n">
        <v>0</v>
      </c>
      <c r="V278" s="2" t="inlineStr">
        <is>
          <t>Talltita
Vedtrappmossa
Granbräken
Kungsfågel
Revlummer</t>
        </is>
      </c>
      <c r="W278">
        <f>HYPERLINK("https://klasma.github.io/Logging_0360/artfynd/S 678-2026 artfynd.xlsx", "S 678-2026")</f>
        <v/>
      </c>
      <c r="X278">
        <f>HYPERLINK("https://klasma.github.io/Logging_0360/kartor/S 678-2026 karta.png", "S 678-2026")</f>
        <v/>
      </c>
      <c r="Y278">
        <f>HYPERLINK("https://klasma.github.io/Logging_0360/kartor_geotiff/S 678-2026 georefererad karta.tif", "S 678-2026")</f>
        <v/>
      </c>
      <c r="Z278">
        <f>HYPERLINK("https://klasma.github.io/Logging_0360/knärot/S 678-2026 karta knärot.png", "S 678-2026")</f>
        <v/>
      </c>
      <c r="AA278">
        <f>HYPERLINK("https://klasma.github.io/Logging_0360/klagomål/S 678-2026 FSC-klagomål.docx", "S 678-2026")</f>
        <v/>
      </c>
      <c r="AB278">
        <f>HYPERLINK("https://klasma.github.io/Logging_0360/klagomålsmail/S 678-2026 FSC-klagomål mail.docx", "S 678-2026")</f>
        <v/>
      </c>
      <c r="AC278">
        <f>HYPERLINK("https://klasma.github.io/Logging_0360/tillsyn/S 678-2026 tillsynsbegäran.docx", "S 678-2026")</f>
        <v/>
      </c>
      <c r="AD278">
        <f>HYPERLINK("https://klasma.github.io/Logging_0360/tillsynsmail/S 678-2026 tillsynsbegäran mail.docx", "S 678-2026")</f>
        <v/>
      </c>
      <c r="AE278">
        <f>HYPERLINK("https://klasma.github.io/Logging_0360/fåglar/S 678-2026 prioriterade fågelarter.docx", "S 678-2026")</f>
        <v/>
      </c>
    </row>
    <row r="279" ht="15" customHeight="1">
      <c r="A279" t="inlineStr">
        <is>
          <t>A 68998-2021</t>
        </is>
      </c>
      <c r="B279" t="inlineStr">
        <is>
          <t>avverkningsanmälan</t>
        </is>
      </c>
      <c r="C279" t="inlineStr">
        <is>
          <t>Föryngringsavverkning</t>
        </is>
      </c>
      <c r="D279" s="1" t="n">
        <v>44530</v>
      </c>
      <c r="E279" s="1" t="n">
        <v>46309</v>
      </c>
      <c r="F279" t="inlineStr">
        <is>
          <t>UPPSALA LÄN</t>
        </is>
      </c>
      <c r="G279" t="inlineStr">
        <is>
          <t>ENKÖPING</t>
        </is>
      </c>
      <c r="I279" t="n">
        <v>16.2</v>
      </c>
      <c r="J279" t="n">
        <v>1</v>
      </c>
      <c r="K279" t="n">
        <v>1</v>
      </c>
      <c r="L279" t="n">
        <v>2</v>
      </c>
      <c r="M279" t="n">
        <v>0</v>
      </c>
      <c r="N279" t="n">
        <v>0</v>
      </c>
      <c r="O279" t="n">
        <v>0</v>
      </c>
      <c r="P279" t="n">
        <v>0</v>
      </c>
      <c r="Q279" t="n">
        <v>2</v>
      </c>
      <c r="R279" t="n">
        <v>0</v>
      </c>
      <c r="S279" t="n">
        <v>4</v>
      </c>
      <c r="T279" t="n">
        <v>4</v>
      </c>
      <c r="U279" t="n">
        <v>4</v>
      </c>
      <c r="V279" s="2" t="inlineStr">
        <is>
          <t>Krusfrö
Svinrot
Svart trolldruva
Nattviol</t>
        </is>
      </c>
      <c r="W279">
        <f>HYPERLINK("https://klasma.github.io/Logging_0381/artfynd/A 68998-2021 artfynd.xlsx", "A 68998-2021")</f>
        <v/>
      </c>
      <c r="X279">
        <f>HYPERLINK("https://klasma.github.io/Logging_0381/kartor/A 68998-2021 karta.png", "A 68998-2021")</f>
        <v/>
      </c>
      <c r="Y279">
        <f>HYPERLINK("https://klasma.github.io/Logging_0381/kartor_geotiff/A 68998-2021 georefererad karta.tif", "A 68998-2021")</f>
        <v/>
      </c>
      <c r="AA279">
        <f>HYPERLINK("https://klasma.github.io/Logging_0381/klagomål/A 68998-2021 FSC-klagomål.docx", "A 68998-2021")</f>
        <v/>
      </c>
      <c r="AB279">
        <f>HYPERLINK("https://klasma.github.io/Logging_0381/klagomålsmail/A 68998-2021 FSC-klagomål mail.docx", "A 68998-2021")</f>
        <v/>
      </c>
      <c r="AC279">
        <f>HYPERLINK("https://klasma.github.io/Logging_0381/tillsyn/A 68998-2021 tillsynsbegäran.docx", "A 68998-2021")</f>
        <v/>
      </c>
      <c r="AD279">
        <f>HYPERLINK("https://klasma.github.io/Logging_0381/tillsynsmail/A 68998-2021 tillsynsbegäran mail.docx", "A 68998-2021")</f>
        <v/>
      </c>
    </row>
    <row r="280" ht="15" customHeight="1">
      <c r="A280" t="inlineStr">
        <is>
          <t>A 8475-2022</t>
        </is>
      </c>
      <c r="B280" t="inlineStr">
        <is>
          <t>avverkningsanmälan</t>
        </is>
      </c>
      <c r="C280" t="inlineStr">
        <is>
          <t>Föryngringsavverkning</t>
        </is>
      </c>
      <c r="D280" s="1" t="n">
        <v>44610</v>
      </c>
      <c r="E280" s="1" t="n">
        <v>46309</v>
      </c>
      <c r="F280" t="inlineStr">
        <is>
          <t>UPPSALA LÄN</t>
        </is>
      </c>
      <c r="G280" t="inlineStr">
        <is>
          <t>UPPSALA</t>
        </is>
      </c>
      <c r="H280" t="inlineStr">
        <is>
          <t>Allmännings- och besparingsskogar</t>
        </is>
      </c>
      <c r="I280" t="n">
        <v>32.7</v>
      </c>
      <c r="J280" t="n">
        <v>2</v>
      </c>
      <c r="K280" t="n">
        <v>1</v>
      </c>
      <c r="L280" t="n">
        <v>2</v>
      </c>
      <c r="M280" t="n">
        <v>0</v>
      </c>
      <c r="N280" t="n">
        <v>0</v>
      </c>
      <c r="O280" t="n">
        <v>0</v>
      </c>
      <c r="P280" t="n">
        <v>0</v>
      </c>
      <c r="Q280" t="n">
        <v>2</v>
      </c>
      <c r="R280" t="n">
        <v>0</v>
      </c>
      <c r="S280" t="n">
        <v>4</v>
      </c>
      <c r="T280" t="n">
        <v>7</v>
      </c>
      <c r="U280" t="n">
        <v>7</v>
      </c>
      <c r="V280" s="2" t="inlineStr">
        <is>
          <t>Talltita
Vedtrappmossa
Björksplintborre
Tjäder</t>
        </is>
      </c>
      <c r="W280">
        <f>HYPERLINK("https://klasma.github.io/Logging_0380/artfynd/A 8475-2022 artfynd.xlsx", "A 8475-2022")</f>
        <v/>
      </c>
      <c r="X280">
        <f>HYPERLINK("https://klasma.github.io/Logging_0380/kartor/A 8475-2022 karta.png", "A 8475-2022")</f>
        <v/>
      </c>
      <c r="Y280">
        <f>HYPERLINK("https://klasma.github.io/Logging_0380/kartor_geotiff/A 8475-2022 georefererad karta.tif", "A 8475-2022")</f>
        <v/>
      </c>
      <c r="AA280">
        <f>HYPERLINK("https://klasma.github.io/Logging_0380/klagomål/A 8475-2022 FSC-klagomål.docx", "A 8475-2022")</f>
        <v/>
      </c>
      <c r="AB280">
        <f>HYPERLINK("https://klasma.github.io/Logging_0380/klagomålsmail/A 8475-2022 FSC-klagomål mail.docx", "A 8475-2022")</f>
        <v/>
      </c>
      <c r="AC280">
        <f>HYPERLINK("https://klasma.github.io/Logging_0380/tillsyn/A 8475-2022 tillsynsbegäran.docx", "A 8475-2022")</f>
        <v/>
      </c>
      <c r="AD280">
        <f>HYPERLINK("https://klasma.github.io/Logging_0380/tillsynsmail/A 8475-2022 tillsynsbegäran mail.docx", "A 8475-2022")</f>
        <v/>
      </c>
      <c r="AE280">
        <f>HYPERLINK("https://klasma.github.io/Logging_0380/fåglar/A 8475-2022 prioriterade fågelarter.docx", "A 8475-2022")</f>
        <v/>
      </c>
    </row>
    <row r="281" ht="15" customHeight="1">
      <c r="A281" t="inlineStr">
        <is>
          <t>A 23153-2022</t>
        </is>
      </c>
      <c r="B281" t="inlineStr">
        <is>
          <t>avverkningsanmälan</t>
        </is>
      </c>
      <c r="C281" t="inlineStr">
        <is>
          <t>Föryngringsavverkning</t>
        </is>
      </c>
      <c r="D281" s="1" t="n">
        <v>44719</v>
      </c>
      <c r="E281" s="1" t="n">
        <v>46309</v>
      </c>
      <c r="F281" t="inlineStr">
        <is>
          <t>UPPSALA LÄN</t>
        </is>
      </c>
      <c r="G281" t="inlineStr">
        <is>
          <t>UPPSALA</t>
        </is>
      </c>
      <c r="I281" t="n">
        <v>5.4</v>
      </c>
      <c r="J281" t="n">
        <v>0</v>
      </c>
      <c r="K281" t="n">
        <v>3</v>
      </c>
      <c r="L281" t="n">
        <v>1</v>
      </c>
      <c r="M281" t="n">
        <v>0</v>
      </c>
      <c r="N281" t="n">
        <v>0</v>
      </c>
      <c r="O281" t="n">
        <v>0</v>
      </c>
      <c r="P281" t="n">
        <v>0</v>
      </c>
      <c r="Q281" t="n">
        <v>1</v>
      </c>
      <c r="R281" t="n">
        <v>0</v>
      </c>
      <c r="S281" t="n">
        <v>4</v>
      </c>
      <c r="T281" t="n">
        <v>7</v>
      </c>
      <c r="U281" t="n">
        <v>0</v>
      </c>
      <c r="V281" s="2" t="inlineStr">
        <is>
          <t>Större flatbagge
Bronshjon
Thomsons trägnagare
Trådticka</t>
        </is>
      </c>
      <c r="W281">
        <f>HYPERLINK("https://klasma.github.io/Logging_0380/artfynd/A 23153-2022 artfynd.xlsx", "A 23153-2022")</f>
        <v/>
      </c>
      <c r="X281">
        <f>HYPERLINK("https://klasma.github.io/Logging_0380/kartor/A 23153-2022 karta.png", "A 23153-2022")</f>
        <v/>
      </c>
      <c r="Y281">
        <f>HYPERLINK("https://klasma.github.io/Logging_0380/kartor_geotiff/A 23153-2022 georefererad karta.tif", "A 23153-2022")</f>
        <v/>
      </c>
      <c r="AA281">
        <f>HYPERLINK("https://klasma.github.io/Logging_0380/klagomål/A 23153-2022 FSC-klagomål.docx", "A 23153-2022")</f>
        <v/>
      </c>
      <c r="AB281">
        <f>HYPERLINK("https://klasma.github.io/Logging_0380/klagomålsmail/A 23153-2022 FSC-klagomål mail.docx", "A 23153-2022")</f>
        <v/>
      </c>
      <c r="AC281">
        <f>HYPERLINK("https://klasma.github.io/Logging_0380/tillsyn/A 23153-2022 tillsynsbegäran.docx", "A 23153-2022")</f>
        <v/>
      </c>
      <c r="AD281">
        <f>HYPERLINK("https://klasma.github.io/Logging_0380/tillsynsmail/A 23153-2022 tillsynsbegäran mail.docx", "A 23153-2022")</f>
        <v/>
      </c>
    </row>
    <row r="282" ht="15" customHeight="1">
      <c r="A282" t="inlineStr">
        <is>
          <t>A 1396-2022</t>
        </is>
      </c>
      <c r="B282" t="inlineStr">
        <is>
          <t>avverkningsanmälan</t>
        </is>
      </c>
      <c r="C282" t="inlineStr">
        <is>
          <t>Föryngringsavverkning</t>
        </is>
      </c>
      <c r="D282" s="1" t="n">
        <v>44573</v>
      </c>
      <c r="E282" s="1" t="n">
        <v>46309</v>
      </c>
      <c r="F282" t="inlineStr">
        <is>
          <t>UPPSALA LÄN</t>
        </is>
      </c>
      <c r="G282" t="inlineStr">
        <is>
          <t>HEBY</t>
        </is>
      </c>
      <c r="H282" t="inlineStr">
        <is>
          <t>Allmännings- och besparingsskogar</t>
        </is>
      </c>
      <c r="I282" t="n">
        <v>2</v>
      </c>
      <c r="J282" t="n">
        <v>4</v>
      </c>
      <c r="K282" t="n">
        <v>0</v>
      </c>
      <c r="L282" t="n">
        <v>0</v>
      </c>
      <c r="M282" t="n">
        <v>0</v>
      </c>
      <c r="N282" t="n">
        <v>0</v>
      </c>
      <c r="O282" t="n">
        <v>0</v>
      </c>
      <c r="P282" t="n">
        <v>0</v>
      </c>
      <c r="Q282" t="n">
        <v>0</v>
      </c>
      <c r="R282" t="n">
        <v>0</v>
      </c>
      <c r="S282" t="n">
        <v>4</v>
      </c>
      <c r="T282" t="n">
        <v>4</v>
      </c>
      <c r="U282" t="n">
        <v>4</v>
      </c>
      <c r="V282" s="2" t="inlineStr">
        <is>
          <t>Orre
Åkergroda
Vanlig groda
Vanlig padda</t>
        </is>
      </c>
      <c r="W282">
        <f>HYPERLINK("https://klasma.github.io/Logging_0331/artfynd/A 1396-2022 artfynd.xlsx", "A 1396-2022")</f>
        <v/>
      </c>
      <c r="X282">
        <f>HYPERLINK("https://klasma.github.io/Logging_0331/kartor/A 1396-2022 karta.png", "A 1396-2022")</f>
        <v/>
      </c>
      <c r="Y282">
        <f>HYPERLINK("https://klasma.github.io/Logging_0331/kartor_geotiff/A 1396-2022 georefererad karta.tif", "A 1396-2022")</f>
        <v/>
      </c>
      <c r="AA282">
        <f>HYPERLINK("https://klasma.github.io/Logging_0331/klagomål/A 1396-2022 FSC-klagomål.docx", "A 1396-2022")</f>
        <v/>
      </c>
      <c r="AB282">
        <f>HYPERLINK("https://klasma.github.io/Logging_0331/klagomålsmail/A 1396-2022 FSC-klagomål mail.docx", "A 1396-2022")</f>
        <v/>
      </c>
      <c r="AC282">
        <f>HYPERLINK("https://klasma.github.io/Logging_0331/tillsyn/A 1396-2022 tillsynsbegäran.docx", "A 1396-2022")</f>
        <v/>
      </c>
      <c r="AD282">
        <f>HYPERLINK("https://klasma.github.io/Logging_0331/tillsynsmail/A 1396-2022 tillsynsbegäran mail.docx", "A 1396-2022")</f>
        <v/>
      </c>
      <c r="AE282">
        <f>HYPERLINK("https://klasma.github.io/Logging_0331/fåglar/A 1396-2022 prioriterade fågelarter.docx", "A 1396-2022")</f>
        <v/>
      </c>
    </row>
    <row r="283" ht="15" customHeight="1">
      <c r="A283" t="inlineStr">
        <is>
          <t>A 15956-2022</t>
        </is>
      </c>
      <c r="B283" t="inlineStr">
        <is>
          <t>avverkningsanmälan</t>
        </is>
      </c>
      <c r="C283" t="inlineStr">
        <is>
          <t>Föryngringsavverkning</t>
        </is>
      </c>
      <c r="D283" s="1" t="n">
        <v>44664</v>
      </c>
      <c r="E283" s="1" t="n">
        <v>46309</v>
      </c>
      <c r="F283" t="inlineStr">
        <is>
          <t>UPPSALA LÄN</t>
        </is>
      </c>
      <c r="G283" t="inlineStr">
        <is>
          <t>UPPSALA</t>
        </is>
      </c>
      <c r="I283" t="n">
        <v>0.8</v>
      </c>
      <c r="J283" t="n">
        <v>0</v>
      </c>
      <c r="K283" t="n">
        <v>1</v>
      </c>
      <c r="L283" t="n">
        <v>2</v>
      </c>
      <c r="M283" t="n">
        <v>0</v>
      </c>
      <c r="N283" t="n">
        <v>1</v>
      </c>
      <c r="O283" t="n">
        <v>0</v>
      </c>
      <c r="P283" t="n">
        <v>0</v>
      </c>
      <c r="Q283" t="n">
        <v>3</v>
      </c>
      <c r="R283" t="n">
        <v>1</v>
      </c>
      <c r="S283" t="n">
        <v>4</v>
      </c>
      <c r="T283" t="n">
        <v>6</v>
      </c>
      <c r="U283" t="n">
        <v>0</v>
      </c>
      <c r="V283" s="2" t="inlineStr">
        <is>
          <t>Koppartaggsvamp
Gultoppig fingersvamp
Orange taggsvamp
Mandelriska</t>
        </is>
      </c>
      <c r="W283">
        <f>HYPERLINK("https://klasma.github.io/Logging_0380/artfynd/A 15956-2022 artfynd.xlsx", "A 15956-2022")</f>
        <v/>
      </c>
      <c r="X283">
        <f>HYPERLINK("https://klasma.github.io/Logging_0380/kartor/A 15956-2022 karta.png", "A 15956-2022")</f>
        <v/>
      </c>
      <c r="Y283">
        <f>HYPERLINK("https://klasma.github.io/Logging_0380/kartor_geotiff/A 15956-2022 georefererad karta.tif", "A 15956-2022")</f>
        <v/>
      </c>
      <c r="AA283">
        <f>HYPERLINK("https://klasma.github.io/Logging_0380/klagomål/A 15956-2022 FSC-klagomål.docx", "A 15956-2022")</f>
        <v/>
      </c>
      <c r="AB283">
        <f>HYPERLINK("https://klasma.github.io/Logging_0380/klagomålsmail/A 15956-2022 FSC-klagomål mail.docx", "A 15956-2022")</f>
        <v/>
      </c>
      <c r="AC283">
        <f>HYPERLINK("https://klasma.github.io/Logging_0380/tillsyn/A 15956-2022 tillsynsbegäran.docx", "A 15956-2022")</f>
        <v/>
      </c>
      <c r="AD283">
        <f>HYPERLINK("https://klasma.github.io/Logging_0380/tillsynsmail/A 15956-2022 tillsynsbegäran mail.docx", "A 15956-2022")</f>
        <v/>
      </c>
    </row>
    <row r="284" ht="15" customHeight="1">
      <c r="A284" t="inlineStr">
        <is>
          <t>A 55066-2022</t>
        </is>
      </c>
      <c r="B284" t="inlineStr">
        <is>
          <t>avverkningsanmälan</t>
        </is>
      </c>
      <c r="C284" t="inlineStr">
        <is>
          <t>Föryngringsavverkning</t>
        </is>
      </c>
      <c r="D284" s="1" t="n">
        <v>44886</v>
      </c>
      <c r="E284" s="1" t="n">
        <v>46309</v>
      </c>
      <c r="F284" t="inlineStr">
        <is>
          <t>UPPSALA LÄN</t>
        </is>
      </c>
      <c r="G284" t="inlineStr">
        <is>
          <t>UPPSALA</t>
        </is>
      </c>
      <c r="I284" t="n">
        <v>0.4</v>
      </c>
      <c r="J284" t="n">
        <v>0</v>
      </c>
      <c r="K284" t="n">
        <v>1</v>
      </c>
      <c r="L284" t="n">
        <v>2</v>
      </c>
      <c r="M284" t="n">
        <v>0</v>
      </c>
      <c r="N284" t="n">
        <v>1</v>
      </c>
      <c r="O284" t="n">
        <v>0</v>
      </c>
      <c r="P284" t="n">
        <v>0</v>
      </c>
      <c r="Q284" t="n">
        <v>3</v>
      </c>
      <c r="R284" t="n">
        <v>1</v>
      </c>
      <c r="S284" t="n">
        <v>4</v>
      </c>
      <c r="T284" t="n">
        <v>8</v>
      </c>
      <c r="U284" t="n">
        <v>0</v>
      </c>
      <c r="V284" s="2" t="inlineStr">
        <is>
          <t>Violgubbe
Fjällig taggsvamp s.str.
Orange taggsvamp
Korallblylav</t>
        </is>
      </c>
      <c r="W284">
        <f>HYPERLINK("https://klasma.github.io/Logging_0380/artfynd/A 55066-2022 artfynd.xlsx", "A 55066-2022")</f>
        <v/>
      </c>
      <c r="X284">
        <f>HYPERLINK("https://klasma.github.io/Logging_0380/kartor/A 55066-2022 karta.png", "A 55066-2022")</f>
        <v/>
      </c>
      <c r="Y284">
        <f>HYPERLINK("https://klasma.github.io/Logging_0380/kartor_geotiff/A 55066-2022 georefererad karta.tif", "A 55066-2022")</f>
        <v/>
      </c>
      <c r="AA284">
        <f>HYPERLINK("https://klasma.github.io/Logging_0380/klagomål/A 55066-2022 FSC-klagomål.docx", "A 55066-2022")</f>
        <v/>
      </c>
      <c r="AB284">
        <f>HYPERLINK("https://klasma.github.io/Logging_0380/klagomålsmail/A 55066-2022 FSC-klagomål mail.docx", "A 55066-2022")</f>
        <v/>
      </c>
      <c r="AC284">
        <f>HYPERLINK("https://klasma.github.io/Logging_0380/tillsyn/A 55066-2022 tillsynsbegäran.docx", "A 55066-2022")</f>
        <v/>
      </c>
      <c r="AD284">
        <f>HYPERLINK("https://klasma.github.io/Logging_0380/tillsynsmail/A 55066-2022 tillsynsbegäran mail.docx", "A 55066-2022")</f>
        <v/>
      </c>
    </row>
    <row r="285" ht="15" customHeight="1">
      <c r="A285" t="inlineStr">
        <is>
          <t>A 62278-2025</t>
        </is>
      </c>
      <c r="B285" t="inlineStr">
        <is>
          <t>avverkningsanmälan</t>
        </is>
      </c>
      <c r="C285" t="inlineStr">
        <is>
          <t>Föryngringsavverkning</t>
        </is>
      </c>
      <c r="D285" s="1" t="n">
        <v>46006</v>
      </c>
      <c r="E285" s="1" t="n">
        <v>46309</v>
      </c>
      <c r="F285" t="inlineStr">
        <is>
          <t>UPPSALA LÄN</t>
        </is>
      </c>
      <c r="G285" t="inlineStr">
        <is>
          <t>ÄLVKARLEBY</t>
        </is>
      </c>
      <c r="H285" t="inlineStr">
        <is>
          <t>Bergvik skog väst AB</t>
        </is>
      </c>
      <c r="I285" t="n">
        <v>6.3</v>
      </c>
      <c r="J285" t="n">
        <v>1</v>
      </c>
      <c r="K285" t="n">
        <v>0</v>
      </c>
      <c r="L285" t="n">
        <v>3</v>
      </c>
      <c r="M285" t="n">
        <v>1</v>
      </c>
      <c r="N285" t="n">
        <v>0</v>
      </c>
      <c r="O285" t="n">
        <v>0</v>
      </c>
      <c r="P285" t="n">
        <v>0</v>
      </c>
      <c r="Q285" t="n">
        <v>4</v>
      </c>
      <c r="R285" t="n">
        <v>1</v>
      </c>
      <c r="S285" t="n">
        <v>4</v>
      </c>
      <c r="T285" t="n">
        <v>6</v>
      </c>
      <c r="U285" t="n">
        <v>0</v>
      </c>
      <c r="V285" s="2" t="inlineStr">
        <is>
          <t>Knärot
Rökfingersvamp
Vanlig sandviol
Vårstarr</t>
        </is>
      </c>
      <c r="W285">
        <f>HYPERLINK("https://klasma.github.io/Logging_0319/artfynd/A 62278-2025 artfynd.xlsx", "A 62278-2025")</f>
        <v/>
      </c>
      <c r="X285">
        <f>HYPERLINK("https://klasma.github.io/Logging_0319/kartor/A 62278-2025 karta.png", "A 62278-2025")</f>
        <v/>
      </c>
      <c r="Y285">
        <f>HYPERLINK("https://klasma.github.io/Logging_0319/kartor_geotiff/A 62278-2025 georefererad karta.tif", "A 62278-2025")</f>
        <v/>
      </c>
      <c r="Z285">
        <f>HYPERLINK("https://klasma.github.io/Logging_0319/knärot/A 62278-2025 karta knärot.png", "A 62278-2025")</f>
        <v/>
      </c>
      <c r="AA285">
        <f>HYPERLINK("https://klasma.github.io/Logging_0319/klagomål/A 62278-2025 FSC-klagomål.docx", "A 62278-2025")</f>
        <v/>
      </c>
      <c r="AB285">
        <f>HYPERLINK("https://klasma.github.io/Logging_0319/klagomålsmail/A 62278-2025 FSC-klagomål mail.docx", "A 62278-2025")</f>
        <v/>
      </c>
      <c r="AC285">
        <f>HYPERLINK("https://klasma.github.io/Logging_0319/tillsyn/A 62278-2025 tillsynsbegäran.docx", "A 62278-2025")</f>
        <v/>
      </c>
      <c r="AD285">
        <f>HYPERLINK("https://klasma.github.io/Logging_0319/tillsynsmail/A 62278-2025 tillsynsbegäran mail.docx", "A 62278-2025")</f>
        <v/>
      </c>
    </row>
    <row r="286" ht="15" customHeight="1">
      <c r="A286" t="inlineStr">
        <is>
          <t>A 38233-2024</t>
        </is>
      </c>
      <c r="B286" t="inlineStr">
        <is>
          <t>avverkningsanmälan</t>
        </is>
      </c>
      <c r="C286" t="inlineStr">
        <is>
          <t>Föryngringsavverkning</t>
        </is>
      </c>
      <c r="D286" s="1" t="n">
        <v>45545</v>
      </c>
      <c r="E286" s="1" t="n">
        <v>46309</v>
      </c>
      <c r="F286" t="inlineStr">
        <is>
          <t>UPPSALA LÄN</t>
        </is>
      </c>
      <c r="G286" t="inlineStr">
        <is>
          <t>ÖSTHAMMAR</t>
        </is>
      </c>
      <c r="I286" t="n">
        <v>3.4</v>
      </c>
      <c r="J286" t="n">
        <v>2</v>
      </c>
      <c r="K286" t="n">
        <v>0</v>
      </c>
      <c r="L286" t="n">
        <v>2</v>
      </c>
      <c r="M286" t="n">
        <v>0</v>
      </c>
      <c r="N286" t="n">
        <v>0</v>
      </c>
      <c r="O286" t="n">
        <v>0</v>
      </c>
      <c r="P286" t="n">
        <v>0</v>
      </c>
      <c r="Q286" t="n">
        <v>2</v>
      </c>
      <c r="R286" t="n">
        <v>0</v>
      </c>
      <c r="S286" t="n">
        <v>4</v>
      </c>
      <c r="T286" t="n">
        <v>5</v>
      </c>
      <c r="U286" t="n">
        <v>0</v>
      </c>
      <c r="V286" s="2" t="inlineStr">
        <is>
          <t>Jungfrulin
Solvända
Blåsippa
Gullviva</t>
        </is>
      </c>
      <c r="W286">
        <f>HYPERLINK("https://klasma.github.io/Logging_0382/artfynd/A 38233-2024 artfynd.xlsx", "A 38233-2024")</f>
        <v/>
      </c>
      <c r="X286">
        <f>HYPERLINK("https://klasma.github.io/Logging_0382/kartor/A 38233-2024 karta.png", "A 38233-2024")</f>
        <v/>
      </c>
      <c r="Y286">
        <f>HYPERLINK("https://klasma.github.io/Logging_0382/kartor_geotiff/A 38233-2024 georefererad karta.tif", "A 38233-2024")</f>
        <v/>
      </c>
      <c r="AA286">
        <f>HYPERLINK("https://klasma.github.io/Logging_0382/klagomål/A 38233-2024 FSC-klagomål.docx", "A 38233-2024")</f>
        <v/>
      </c>
      <c r="AB286">
        <f>HYPERLINK("https://klasma.github.io/Logging_0382/klagomålsmail/A 38233-2024 FSC-klagomål mail.docx", "A 38233-2024")</f>
        <v/>
      </c>
      <c r="AC286">
        <f>HYPERLINK("https://klasma.github.io/Logging_0382/tillsyn/A 38233-2024 tillsynsbegäran.docx", "A 38233-2024")</f>
        <v/>
      </c>
      <c r="AD286">
        <f>HYPERLINK("https://klasma.github.io/Logging_0382/tillsynsmail/A 38233-2024 tillsynsbegäran mail.docx", "A 38233-2024")</f>
        <v/>
      </c>
    </row>
    <row r="287" ht="15" customHeight="1">
      <c r="A287" t="inlineStr">
        <is>
          <t>A 48352-2022</t>
        </is>
      </c>
      <c r="B287" t="inlineStr">
        <is>
          <t>avverkningsanmälan</t>
        </is>
      </c>
      <c r="C287" t="inlineStr">
        <is>
          <t>Föryngringsavverkning</t>
        </is>
      </c>
      <c r="D287" s="1" t="n">
        <v>44858</v>
      </c>
      <c r="E287" s="1" t="n">
        <v>46309</v>
      </c>
      <c r="F287" t="inlineStr">
        <is>
          <t>UPPSALA LÄN</t>
        </is>
      </c>
      <c r="G287" t="inlineStr">
        <is>
          <t>ÖSTHAMMAR</t>
        </is>
      </c>
      <c r="I287" t="n">
        <v>4.8</v>
      </c>
      <c r="J287" t="n">
        <v>0</v>
      </c>
      <c r="K287" t="n">
        <v>2</v>
      </c>
      <c r="L287" t="n">
        <v>2</v>
      </c>
      <c r="M287" t="n">
        <v>0</v>
      </c>
      <c r="N287" t="n">
        <v>0</v>
      </c>
      <c r="O287" t="n">
        <v>0</v>
      </c>
      <c r="P287" t="n">
        <v>0</v>
      </c>
      <c r="Q287" t="n">
        <v>2</v>
      </c>
      <c r="R287" t="n">
        <v>0</v>
      </c>
      <c r="S287" t="n">
        <v>4</v>
      </c>
      <c r="T287" t="n">
        <v>4</v>
      </c>
      <c r="U287" t="n">
        <v>0</v>
      </c>
      <c r="V287" s="2" t="inlineStr">
        <is>
          <t>Gultoppig fingersvamp
Skarp dropptaggsvamp
Anisspindling
Diskvaxskivling</t>
        </is>
      </c>
      <c r="W287">
        <f>HYPERLINK("https://klasma.github.io/Logging_0382/artfynd/A 48352-2022 artfynd.xlsx", "A 48352-2022")</f>
        <v/>
      </c>
      <c r="X287">
        <f>HYPERLINK("https://klasma.github.io/Logging_0382/kartor/A 48352-2022 karta.png", "A 48352-2022")</f>
        <v/>
      </c>
      <c r="Y287">
        <f>HYPERLINK("https://klasma.github.io/Logging_0382/kartor_geotiff/A 48352-2022 georefererad karta.tif", "A 48352-2022")</f>
        <v/>
      </c>
      <c r="AA287">
        <f>HYPERLINK("https://klasma.github.io/Logging_0382/klagomål/A 48352-2022 FSC-klagomål.docx", "A 48352-2022")</f>
        <v/>
      </c>
      <c r="AB287">
        <f>HYPERLINK("https://klasma.github.io/Logging_0382/klagomålsmail/A 48352-2022 FSC-klagomål mail.docx", "A 48352-2022")</f>
        <v/>
      </c>
      <c r="AC287">
        <f>HYPERLINK("https://klasma.github.io/Logging_0382/tillsyn/A 48352-2022 tillsynsbegäran.docx", "A 48352-2022")</f>
        <v/>
      </c>
      <c r="AD287">
        <f>HYPERLINK("https://klasma.github.io/Logging_0382/tillsynsmail/A 48352-2022 tillsynsbegäran mail.docx", "A 48352-2022")</f>
        <v/>
      </c>
    </row>
    <row r="288" ht="15" customHeight="1">
      <c r="A288" t="inlineStr">
        <is>
          <t>A 42581-2025</t>
        </is>
      </c>
      <c r="B288" t="inlineStr">
        <is>
          <t>avverkningsanmälan</t>
        </is>
      </c>
      <c r="C288" t="inlineStr">
        <is>
          <t>Föryngringsavverkning</t>
        </is>
      </c>
      <c r="D288" s="1" t="n">
        <v>45905</v>
      </c>
      <c r="E288" s="1" t="n">
        <v>46309</v>
      </c>
      <c r="F288" t="inlineStr">
        <is>
          <t>UPPSALA LÄN</t>
        </is>
      </c>
      <c r="G288" t="inlineStr">
        <is>
          <t>UPPSALA</t>
        </is>
      </c>
      <c r="H288" t="inlineStr">
        <is>
          <t>Kyrkan</t>
        </is>
      </c>
      <c r="I288" t="n">
        <v>2.3</v>
      </c>
      <c r="J288" t="n">
        <v>0</v>
      </c>
      <c r="K288" t="n">
        <v>2</v>
      </c>
      <c r="L288" t="n">
        <v>2</v>
      </c>
      <c r="M288" t="n">
        <v>0</v>
      </c>
      <c r="N288" t="n">
        <v>0</v>
      </c>
      <c r="O288" t="n">
        <v>0</v>
      </c>
      <c r="P288" t="n">
        <v>0</v>
      </c>
      <c r="Q288" t="n">
        <v>2</v>
      </c>
      <c r="R288" t="n">
        <v>0</v>
      </c>
      <c r="S288" t="n">
        <v>4</v>
      </c>
      <c r="T288" t="n">
        <v>5</v>
      </c>
      <c r="U288" t="n">
        <v>5</v>
      </c>
      <c r="V288" s="2" t="inlineStr">
        <is>
          <t>Dropptaggsvamp
Fjällig taggsvamp s.str.
Svavelriska
Trådticka</t>
        </is>
      </c>
      <c r="W288">
        <f>HYPERLINK("https://klasma.github.io/Logging_0380/artfynd/A 42581-2025 artfynd.xlsx", "A 42581-2025")</f>
        <v/>
      </c>
      <c r="X288">
        <f>HYPERLINK("https://klasma.github.io/Logging_0380/kartor/A 42581-2025 karta.png", "A 42581-2025")</f>
        <v/>
      </c>
      <c r="Y288">
        <f>HYPERLINK("https://klasma.github.io/Logging_0380/kartor_geotiff/A 42581-2025 georefererad karta.tif", "A 42581-2025")</f>
        <v/>
      </c>
      <c r="AA288">
        <f>HYPERLINK("https://klasma.github.io/Logging_0380/klagomål/A 42581-2025 FSC-klagomål.docx", "A 42581-2025")</f>
        <v/>
      </c>
      <c r="AB288">
        <f>HYPERLINK("https://klasma.github.io/Logging_0380/klagomålsmail/A 42581-2025 FSC-klagomål mail.docx", "A 42581-2025")</f>
        <v/>
      </c>
      <c r="AC288">
        <f>HYPERLINK("https://klasma.github.io/Logging_0380/tillsyn/A 42581-2025 tillsynsbegäran.docx", "A 42581-2025")</f>
        <v/>
      </c>
      <c r="AD288">
        <f>HYPERLINK("https://klasma.github.io/Logging_0380/tillsynsmail/A 42581-2025 tillsynsbegäran mail.docx", "A 42581-2025")</f>
        <v/>
      </c>
    </row>
    <row r="289" ht="15" customHeight="1">
      <c r="A289" t="inlineStr">
        <is>
          <t>A 42583-2025</t>
        </is>
      </c>
      <c r="B289" t="inlineStr">
        <is>
          <t>avverkningsanmälan</t>
        </is>
      </c>
      <c r="C289" t="inlineStr">
        <is>
          <t>Föryngringsavverkning</t>
        </is>
      </c>
      <c r="D289" s="1" t="n">
        <v>45905</v>
      </c>
      <c r="E289" s="1" t="n">
        <v>46309</v>
      </c>
      <c r="F289" t="inlineStr">
        <is>
          <t>UPPSALA LÄN</t>
        </is>
      </c>
      <c r="G289" t="inlineStr">
        <is>
          <t>UPPSALA</t>
        </is>
      </c>
      <c r="H289" t="inlineStr">
        <is>
          <t>Kyrkan</t>
        </is>
      </c>
      <c r="I289" t="n">
        <v>2.3</v>
      </c>
      <c r="J289" t="n">
        <v>0</v>
      </c>
      <c r="K289" t="n">
        <v>2</v>
      </c>
      <c r="L289" t="n">
        <v>2</v>
      </c>
      <c r="M289" t="n">
        <v>0</v>
      </c>
      <c r="N289" t="n">
        <v>0</v>
      </c>
      <c r="O289" t="n">
        <v>0</v>
      </c>
      <c r="P289" t="n">
        <v>0</v>
      </c>
      <c r="Q289" t="n">
        <v>2</v>
      </c>
      <c r="R289" t="n">
        <v>0</v>
      </c>
      <c r="S289" t="n">
        <v>4</v>
      </c>
      <c r="T289" t="n">
        <v>5</v>
      </c>
      <c r="U289" t="n">
        <v>5</v>
      </c>
      <c r="V289" s="2" t="inlineStr">
        <is>
          <t>Dropptaggsvamp
Fjällig taggsvamp s.str.
Svavelriska
Trådticka</t>
        </is>
      </c>
      <c r="W289">
        <f>HYPERLINK("https://klasma.github.io/Logging_0380/artfynd/A 42583-2025 artfynd.xlsx", "A 42583-2025")</f>
        <v/>
      </c>
      <c r="X289">
        <f>HYPERLINK("https://klasma.github.io/Logging_0380/kartor/A 42583-2025 karta.png", "A 42583-2025")</f>
        <v/>
      </c>
      <c r="Y289">
        <f>HYPERLINK("https://klasma.github.io/Logging_0380/kartor_geotiff/A 42583-2025 georefererad karta.tif", "A 42583-2025")</f>
        <v/>
      </c>
      <c r="AA289">
        <f>HYPERLINK("https://klasma.github.io/Logging_0380/klagomål/A 42583-2025 FSC-klagomål.docx", "A 42583-2025")</f>
        <v/>
      </c>
      <c r="AB289">
        <f>HYPERLINK("https://klasma.github.io/Logging_0380/klagomålsmail/A 42583-2025 FSC-klagomål mail.docx", "A 42583-2025")</f>
        <v/>
      </c>
      <c r="AC289">
        <f>HYPERLINK("https://klasma.github.io/Logging_0380/tillsyn/A 42583-2025 tillsynsbegäran.docx", "A 42583-2025")</f>
        <v/>
      </c>
      <c r="AD289">
        <f>HYPERLINK("https://klasma.github.io/Logging_0380/tillsynsmail/A 42583-2025 tillsynsbegäran mail.docx", "A 42583-2025")</f>
        <v/>
      </c>
    </row>
    <row r="290" ht="15" customHeight="1">
      <c r="A290" t="inlineStr">
        <is>
          <t>A 35188-2025</t>
        </is>
      </c>
      <c r="B290" t="inlineStr">
        <is>
          <t>avverkningsanmälan</t>
        </is>
      </c>
      <c r="C290" t="inlineStr">
        <is>
          <t>Föryngringsavverkning</t>
        </is>
      </c>
      <c r="D290" s="1" t="n">
        <v>45853</v>
      </c>
      <c r="E290" s="1" t="n">
        <v>46309</v>
      </c>
      <c r="F290" t="inlineStr">
        <is>
          <t>UPPSALA LÄN</t>
        </is>
      </c>
      <c r="G290" t="inlineStr">
        <is>
          <t>TIERP</t>
        </is>
      </c>
      <c r="I290" t="n">
        <v>1.8</v>
      </c>
      <c r="J290" t="n">
        <v>3</v>
      </c>
      <c r="K290" t="n">
        <v>1</v>
      </c>
      <c r="L290" t="n">
        <v>1</v>
      </c>
      <c r="M290" t="n">
        <v>0</v>
      </c>
      <c r="N290" t="n">
        <v>0</v>
      </c>
      <c r="O290" t="n">
        <v>0</v>
      </c>
      <c r="P290" t="n">
        <v>0</v>
      </c>
      <c r="Q290" t="n">
        <v>1</v>
      </c>
      <c r="R290" t="n">
        <v>0</v>
      </c>
      <c r="S290" t="n">
        <v>4</v>
      </c>
      <c r="T290" t="n">
        <v>4</v>
      </c>
      <c r="U290" t="n">
        <v>4</v>
      </c>
      <c r="V290" s="2" t="inlineStr">
        <is>
          <t>Klasefibbla
Skogsknipprot
Fläcknycklar
Gullviva</t>
        </is>
      </c>
      <c r="W290">
        <f>HYPERLINK("https://klasma.github.io/Logging_0360/artfynd/A 35188-2025 artfynd.xlsx", "A 35188-2025")</f>
        <v/>
      </c>
      <c r="X290">
        <f>HYPERLINK("https://klasma.github.io/Logging_0360/kartor/A 35188-2025 karta.png", "A 35188-2025")</f>
        <v/>
      </c>
      <c r="Y290">
        <f>HYPERLINK("https://klasma.github.io/Logging_0360/kartor_geotiff/A 35188-2025 georefererad karta.tif", "A 35188-2025")</f>
        <v/>
      </c>
      <c r="AA290">
        <f>HYPERLINK("https://klasma.github.io/Logging_0360/klagomål/A 35188-2025 FSC-klagomål.docx", "A 35188-2025")</f>
        <v/>
      </c>
      <c r="AB290">
        <f>HYPERLINK("https://klasma.github.io/Logging_0360/klagomålsmail/A 35188-2025 FSC-klagomål mail.docx", "A 35188-2025")</f>
        <v/>
      </c>
      <c r="AC290">
        <f>HYPERLINK("https://klasma.github.io/Logging_0360/tillsyn/A 35188-2025 tillsynsbegäran.docx", "A 35188-2025")</f>
        <v/>
      </c>
      <c r="AD290">
        <f>HYPERLINK("https://klasma.github.io/Logging_0360/tillsynsmail/A 35188-2025 tillsynsbegäran mail.docx", "A 35188-2025")</f>
        <v/>
      </c>
    </row>
    <row r="291" ht="15" customHeight="1">
      <c r="A291" t="inlineStr">
        <is>
          <t>A 32296-2025</t>
        </is>
      </c>
      <c r="B291" t="inlineStr">
        <is>
          <t>avverkningsanmälan</t>
        </is>
      </c>
      <c r="C291" t="inlineStr">
        <is>
          <t>Föryngringsavverkning</t>
        </is>
      </c>
      <c r="D291" s="1" t="n">
        <v>45835</v>
      </c>
      <c r="E291" s="1" t="n">
        <v>46309</v>
      </c>
      <c r="F291" t="inlineStr">
        <is>
          <t>UPPSALA LÄN</t>
        </is>
      </c>
      <c r="G291" t="inlineStr">
        <is>
          <t>TIERP</t>
        </is>
      </c>
      <c r="H291" t="inlineStr">
        <is>
          <t>Bergvik skog väst AB</t>
        </is>
      </c>
      <c r="I291" t="n">
        <v>0.8</v>
      </c>
      <c r="J291" t="n">
        <v>4</v>
      </c>
      <c r="K291" t="n">
        <v>0</v>
      </c>
      <c r="L291" t="n">
        <v>2</v>
      </c>
      <c r="M291" t="n">
        <v>0</v>
      </c>
      <c r="N291" t="n">
        <v>0</v>
      </c>
      <c r="O291" t="n">
        <v>0</v>
      </c>
      <c r="P291" t="n">
        <v>0</v>
      </c>
      <c r="Q291" t="n">
        <v>2</v>
      </c>
      <c r="R291" t="n">
        <v>0</v>
      </c>
      <c r="S291" t="n">
        <v>4</v>
      </c>
      <c r="T291" t="n">
        <v>4</v>
      </c>
      <c r="U291" t="n">
        <v>0</v>
      </c>
      <c r="V291" s="2" t="inlineStr">
        <is>
          <t>Enkelbeckasin
Rödvingetrast
Kungsfågel
Orre</t>
        </is>
      </c>
      <c r="W291">
        <f>HYPERLINK("https://klasma.github.io/Logging_0360/artfynd/A 32296-2025 artfynd.xlsx", "A 32296-2025")</f>
        <v/>
      </c>
      <c r="X291">
        <f>HYPERLINK("https://klasma.github.io/Logging_0360/kartor/A 32296-2025 karta.png", "A 32296-2025")</f>
        <v/>
      </c>
      <c r="Y291">
        <f>HYPERLINK("https://klasma.github.io/Logging_0360/kartor_geotiff/A 32296-2025 georefererad karta.tif", "A 32296-2025")</f>
        <v/>
      </c>
      <c r="AA291">
        <f>HYPERLINK("https://klasma.github.io/Logging_0360/klagomål/A 32296-2025 FSC-klagomål.docx", "A 32296-2025")</f>
        <v/>
      </c>
      <c r="AB291">
        <f>HYPERLINK("https://klasma.github.io/Logging_0360/klagomålsmail/A 32296-2025 FSC-klagomål mail.docx", "A 32296-2025")</f>
        <v/>
      </c>
      <c r="AC291">
        <f>HYPERLINK("https://klasma.github.io/Logging_0360/tillsyn/A 32296-2025 tillsynsbegäran.docx", "A 32296-2025")</f>
        <v/>
      </c>
      <c r="AD291">
        <f>HYPERLINK("https://klasma.github.io/Logging_0360/tillsynsmail/A 32296-2025 tillsynsbegäran mail.docx", "A 32296-2025")</f>
        <v/>
      </c>
      <c r="AE291">
        <f>HYPERLINK("https://klasma.github.io/Logging_0360/fåglar/A 32296-2025 prioriterade fågelarter.docx", "A 32296-2025")</f>
        <v/>
      </c>
    </row>
    <row r="292" ht="15" customHeight="1">
      <c r="A292" t="inlineStr">
        <is>
          <t>A 11409-2025</t>
        </is>
      </c>
      <c r="B292" t="inlineStr">
        <is>
          <t>avverkningsanmälan</t>
        </is>
      </c>
      <c r="C292" t="inlineStr">
        <is>
          <t>Avverkning för annat ändamål</t>
        </is>
      </c>
      <c r="D292" s="1" t="n">
        <v>45726</v>
      </c>
      <c r="E292" s="1" t="n">
        <v>46309</v>
      </c>
      <c r="F292" t="inlineStr">
        <is>
          <t>UPPSALA LÄN</t>
        </is>
      </c>
      <c r="G292" t="inlineStr">
        <is>
          <t>UPPSALA</t>
        </is>
      </c>
      <c r="I292" t="n">
        <v>0.3</v>
      </c>
      <c r="J292" t="n">
        <v>0</v>
      </c>
      <c r="K292" t="n">
        <v>0</v>
      </c>
      <c r="L292" t="n">
        <v>3</v>
      </c>
      <c r="M292" t="n">
        <v>1</v>
      </c>
      <c r="N292" t="n">
        <v>0</v>
      </c>
      <c r="O292" t="n">
        <v>0</v>
      </c>
      <c r="P292" t="n">
        <v>0</v>
      </c>
      <c r="Q292" t="n">
        <v>4</v>
      </c>
      <c r="R292" t="n">
        <v>1</v>
      </c>
      <c r="S292" t="n">
        <v>4</v>
      </c>
      <c r="T292" t="n">
        <v>4</v>
      </c>
      <c r="U292" t="n">
        <v>0</v>
      </c>
      <c r="V292" s="2" t="inlineStr">
        <is>
          <t>Gulvit blekspik
Rynkskinn
Svartöra
Tagglergeting</t>
        </is>
      </c>
      <c r="W292">
        <f>HYPERLINK("https://klasma.github.io/Logging_0380/artfynd/A 11409-2025 artfynd.xlsx", "A 11409-2025")</f>
        <v/>
      </c>
      <c r="X292">
        <f>HYPERLINK("https://klasma.github.io/Logging_0380/kartor/A 11409-2025 karta.png", "A 11409-2025")</f>
        <v/>
      </c>
      <c r="Y292">
        <f>HYPERLINK("https://klasma.github.io/Logging_0380/kartor_geotiff/A 11409-2025 georefererad karta.tif", "A 11409-2025")</f>
        <v/>
      </c>
      <c r="AA292">
        <f>HYPERLINK("https://klasma.github.io/Logging_0380/klagomål/A 11409-2025 FSC-klagomål.docx", "A 11409-2025")</f>
        <v/>
      </c>
      <c r="AB292">
        <f>HYPERLINK("https://klasma.github.io/Logging_0380/klagomålsmail/A 11409-2025 FSC-klagomål mail.docx", "A 11409-2025")</f>
        <v/>
      </c>
      <c r="AC292">
        <f>HYPERLINK("https://klasma.github.io/Logging_0380/tillsyn/A 11409-2025 tillsynsbegäran.docx", "A 11409-2025")</f>
        <v/>
      </c>
      <c r="AD292">
        <f>HYPERLINK("https://klasma.github.io/Logging_0380/tillsynsmail/A 11409-2025 tillsynsbegäran mail.docx", "A 11409-2025")</f>
        <v/>
      </c>
    </row>
    <row r="293" ht="15" customHeight="1">
      <c r="A293" t="inlineStr">
        <is>
          <t>A 12424-2024</t>
        </is>
      </c>
      <c r="B293" t="inlineStr">
        <is>
          <t>avverkningsanmälan</t>
        </is>
      </c>
      <c r="C293" t="inlineStr">
        <is>
          <t>Föryngringsavverkning</t>
        </is>
      </c>
      <c r="D293" s="1" t="n">
        <v>45379</v>
      </c>
      <c r="E293" s="1" t="n">
        <v>46309</v>
      </c>
      <c r="F293" t="inlineStr">
        <is>
          <t>UPPSALA LÄN</t>
        </is>
      </c>
      <c r="G293" t="inlineStr">
        <is>
          <t>TIERP</t>
        </is>
      </c>
      <c r="I293" t="n">
        <v>11.6</v>
      </c>
      <c r="J293" t="n">
        <v>0</v>
      </c>
      <c r="K293" t="n">
        <v>2</v>
      </c>
      <c r="L293" t="n">
        <v>1</v>
      </c>
      <c r="M293" t="n">
        <v>0</v>
      </c>
      <c r="N293" t="n">
        <v>1</v>
      </c>
      <c r="O293" t="n">
        <v>0</v>
      </c>
      <c r="P293" t="n">
        <v>0</v>
      </c>
      <c r="Q293" t="n">
        <v>2</v>
      </c>
      <c r="R293" t="n">
        <v>1</v>
      </c>
      <c r="S293" t="n">
        <v>4</v>
      </c>
      <c r="T293" t="n">
        <v>4</v>
      </c>
      <c r="U293" t="n">
        <v>0</v>
      </c>
      <c r="V293" s="2" t="inlineStr">
        <is>
          <t>Violgubbe
Fyrflikig jordstjärna
Anisspindling
Olivspindling</t>
        </is>
      </c>
      <c r="W293">
        <f>HYPERLINK("https://klasma.github.io/Logging_0360/artfynd/A 12424-2024 artfynd.xlsx", "A 12424-2024")</f>
        <v/>
      </c>
      <c r="X293">
        <f>HYPERLINK("https://klasma.github.io/Logging_0360/kartor/A 12424-2024 karta.png", "A 12424-2024")</f>
        <v/>
      </c>
      <c r="Y293">
        <f>HYPERLINK("https://klasma.github.io/Logging_0360/kartor_geotiff/A 12424-2024 georefererad karta.tif", "A 12424-2024")</f>
        <v/>
      </c>
      <c r="AA293">
        <f>HYPERLINK("https://klasma.github.io/Logging_0360/klagomål/A 12424-2024 FSC-klagomål.docx", "A 12424-2024")</f>
        <v/>
      </c>
      <c r="AB293">
        <f>HYPERLINK("https://klasma.github.io/Logging_0360/klagomålsmail/A 12424-2024 FSC-klagomål mail.docx", "A 12424-2024")</f>
        <v/>
      </c>
      <c r="AC293">
        <f>HYPERLINK("https://klasma.github.io/Logging_0360/tillsyn/A 12424-2024 tillsynsbegäran.docx", "A 12424-2024")</f>
        <v/>
      </c>
      <c r="AD293">
        <f>HYPERLINK("https://klasma.github.io/Logging_0360/tillsynsmail/A 12424-2024 tillsynsbegäran mail.docx", "A 12424-2024")</f>
        <v/>
      </c>
    </row>
    <row r="294" ht="15" customHeight="1">
      <c r="A294" t="inlineStr">
        <is>
          <t>A 4714-2026</t>
        </is>
      </c>
      <c r="B294" t="inlineStr">
        <is>
          <t>avverkningsanmälan</t>
        </is>
      </c>
      <c r="C294" t="inlineStr">
        <is>
          <t>Avverkning för att bevara och utveckla /försöksver</t>
        </is>
      </c>
      <c r="D294" s="1" t="n">
        <v>46048</v>
      </c>
      <c r="E294" s="1" t="n">
        <v>46309</v>
      </c>
      <c r="F294" t="inlineStr">
        <is>
          <t>UPPSALA LÄN</t>
        </is>
      </c>
      <c r="G294" t="inlineStr">
        <is>
          <t>ÖSTHAMMAR</t>
        </is>
      </c>
      <c r="I294" t="n">
        <v>6.3</v>
      </c>
      <c r="J294" t="n">
        <v>2</v>
      </c>
      <c r="K294" t="n">
        <v>1</v>
      </c>
      <c r="L294" t="n">
        <v>3</v>
      </c>
      <c r="M294" t="n">
        <v>0</v>
      </c>
      <c r="N294" t="n">
        <v>0</v>
      </c>
      <c r="O294" t="n">
        <v>0</v>
      </c>
      <c r="P294" t="n">
        <v>0</v>
      </c>
      <c r="Q294" t="n">
        <v>3</v>
      </c>
      <c r="R294" t="n">
        <v>0</v>
      </c>
      <c r="S294" t="n">
        <v>4</v>
      </c>
      <c r="T294" t="n">
        <v>5</v>
      </c>
      <c r="U294" t="n">
        <v>0</v>
      </c>
      <c r="V294" s="2" t="inlineStr">
        <is>
          <t>Kattfotslav
Nordfladdermus
Sårläka
Spindelblomster</t>
        </is>
      </c>
      <c r="W294">
        <f>HYPERLINK("https://klasma.github.io/Logging_0382/artfynd/A 4714-2026 artfynd.xlsx", "A 4714-2026")</f>
        <v/>
      </c>
      <c r="X294">
        <f>HYPERLINK("https://klasma.github.io/Logging_0382/kartor/A 4714-2026 karta.png", "A 4714-2026")</f>
        <v/>
      </c>
      <c r="Y294">
        <f>HYPERLINK("https://klasma.github.io/Logging_0382/kartor_geotiff/A 4714-2026 georefererad karta.tif", "A 4714-2026")</f>
        <v/>
      </c>
      <c r="AA294">
        <f>HYPERLINK("https://klasma.github.io/Logging_0382/klagomål/A 4714-2026 FSC-klagomål.docx", "A 4714-2026")</f>
        <v/>
      </c>
      <c r="AB294">
        <f>HYPERLINK("https://klasma.github.io/Logging_0382/klagomålsmail/A 4714-2026 FSC-klagomål mail.docx", "A 4714-2026")</f>
        <v/>
      </c>
      <c r="AC294">
        <f>HYPERLINK("https://klasma.github.io/Logging_0382/tillsyn/A 4714-2026 tillsynsbegäran.docx", "A 4714-2026")</f>
        <v/>
      </c>
      <c r="AD294">
        <f>HYPERLINK("https://klasma.github.io/Logging_0382/tillsynsmail/A 4714-2026 tillsynsbegäran mail.docx", "A 4714-2026")</f>
        <v/>
      </c>
    </row>
    <row r="295" ht="15" customHeight="1">
      <c r="A295" t="inlineStr">
        <is>
          <t>A 9354-2026</t>
        </is>
      </c>
      <c r="B295" t="inlineStr">
        <is>
          <t>avverkningsanmälan</t>
        </is>
      </c>
      <c r="C295" t="inlineStr">
        <is>
          <t>Avverkning för annat ändamål</t>
        </is>
      </c>
      <c r="D295" s="1" t="n">
        <v>46070</v>
      </c>
      <c r="E295" s="1" t="n">
        <v>46309</v>
      </c>
      <c r="F295" t="inlineStr">
        <is>
          <t>UPPSALA LÄN</t>
        </is>
      </c>
      <c r="G295" t="inlineStr">
        <is>
          <t>HEBY</t>
        </is>
      </c>
      <c r="I295" t="n">
        <v>9.6</v>
      </c>
      <c r="J295" t="n">
        <v>2</v>
      </c>
      <c r="K295" t="n">
        <v>0</v>
      </c>
      <c r="L295" t="n">
        <v>1</v>
      </c>
      <c r="M295" t="n">
        <v>0</v>
      </c>
      <c r="N295" t="n">
        <v>1</v>
      </c>
      <c r="O295" t="n">
        <v>0</v>
      </c>
      <c r="P295" t="n">
        <v>0</v>
      </c>
      <c r="Q295" t="n">
        <v>2</v>
      </c>
      <c r="R295" t="n">
        <v>1</v>
      </c>
      <c r="S295" t="n">
        <v>4</v>
      </c>
      <c r="T295" t="n">
        <v>4</v>
      </c>
      <c r="U295" t="n">
        <v>0</v>
      </c>
      <c r="V295" s="2" t="inlineStr">
        <is>
          <t>Ask
Vårstarr
Blåsippa
Gullviva</t>
        </is>
      </c>
      <c r="W295">
        <f>HYPERLINK("https://klasma.github.io/Logging_0331/artfynd/A 9354-2026 artfynd.xlsx", "A 9354-2026")</f>
        <v/>
      </c>
      <c r="X295">
        <f>HYPERLINK("https://klasma.github.io/Logging_0331/kartor/A 9354-2026 karta.png", "A 9354-2026")</f>
        <v/>
      </c>
      <c r="Y295">
        <f>HYPERLINK("https://klasma.github.io/Logging_0331/kartor_geotiff/A 9354-2026 georefererad karta.tif", "A 9354-2026")</f>
        <v/>
      </c>
      <c r="AA295">
        <f>HYPERLINK("https://klasma.github.io/Logging_0331/klagomål/A 9354-2026 FSC-klagomål.docx", "A 9354-2026")</f>
        <v/>
      </c>
      <c r="AB295">
        <f>HYPERLINK("https://klasma.github.io/Logging_0331/klagomålsmail/A 9354-2026 FSC-klagomål mail.docx", "A 9354-2026")</f>
        <v/>
      </c>
      <c r="AC295">
        <f>HYPERLINK("https://klasma.github.io/Logging_0331/tillsyn/A 9354-2026 tillsynsbegäran.docx", "A 9354-2026")</f>
        <v/>
      </c>
      <c r="AD295">
        <f>HYPERLINK("https://klasma.github.io/Logging_0331/tillsynsmail/A 9354-2026 tillsynsbegäran mail.docx", "A 9354-2026")</f>
        <v/>
      </c>
    </row>
    <row r="296" ht="15" customHeight="1">
      <c r="A296" t="inlineStr">
        <is>
          <t>A 58480-2025</t>
        </is>
      </c>
      <c r="B296" t="inlineStr">
        <is>
          <t>avverkningsanmälan</t>
        </is>
      </c>
      <c r="C296" t="inlineStr">
        <is>
          <t>Föryngringsavverkning</t>
        </is>
      </c>
      <c r="D296" s="1" t="n">
        <v>45985</v>
      </c>
      <c r="E296" s="1" t="n">
        <v>46309</v>
      </c>
      <c r="F296" t="inlineStr">
        <is>
          <t>UPPSALA LÄN</t>
        </is>
      </c>
      <c r="G296" t="inlineStr">
        <is>
          <t>ÄLVKARLEBY</t>
        </is>
      </c>
      <c r="H296" t="inlineStr">
        <is>
          <t>Bergvik skog väst AB</t>
        </is>
      </c>
      <c r="I296" t="n">
        <v>4.1</v>
      </c>
      <c r="J296" t="n">
        <v>1</v>
      </c>
      <c r="K296" t="n">
        <v>3</v>
      </c>
      <c r="L296" t="n">
        <v>0</v>
      </c>
      <c r="M296" t="n">
        <v>1</v>
      </c>
      <c r="N296" t="n">
        <v>0</v>
      </c>
      <c r="O296" t="n">
        <v>0</v>
      </c>
      <c r="P296" t="n">
        <v>0</v>
      </c>
      <c r="Q296" t="n">
        <v>1</v>
      </c>
      <c r="R296" t="n">
        <v>1</v>
      </c>
      <c r="S296" t="n">
        <v>4</v>
      </c>
      <c r="T296" t="n">
        <v>9</v>
      </c>
      <c r="U296" t="n">
        <v>3</v>
      </c>
      <c r="V296" s="2" t="inlineStr">
        <is>
          <t>Knärot
Svart trolldruva
Tibast
Vätteros</t>
        </is>
      </c>
      <c r="W296">
        <f>HYPERLINK("https://klasma.github.io/Logging_0319/artfynd/A 58480-2025 artfynd.xlsx", "A 58480-2025")</f>
        <v/>
      </c>
      <c r="X296">
        <f>HYPERLINK("https://klasma.github.io/Logging_0319/kartor/A 58480-2025 karta.png", "A 58480-2025")</f>
        <v/>
      </c>
      <c r="Y296">
        <f>HYPERLINK("https://klasma.github.io/Logging_0319/kartor_geotiff/A 58480-2025 georefererad karta.tif", "A 58480-2025")</f>
        <v/>
      </c>
      <c r="Z296">
        <f>HYPERLINK("https://klasma.github.io/Logging_0319/knärot/A 58480-2025 karta knärot.png", "A 58480-2025")</f>
        <v/>
      </c>
      <c r="AA296">
        <f>HYPERLINK("https://klasma.github.io/Logging_0319/klagomål/A 58480-2025 FSC-klagomål.docx", "A 58480-2025")</f>
        <v/>
      </c>
      <c r="AB296">
        <f>HYPERLINK("https://klasma.github.io/Logging_0319/klagomålsmail/A 58480-2025 FSC-klagomål mail.docx", "A 58480-2025")</f>
        <v/>
      </c>
      <c r="AC296">
        <f>HYPERLINK("https://klasma.github.io/Logging_0319/tillsyn/A 58480-2025 tillsynsbegäran.docx", "A 58480-2025")</f>
        <v/>
      </c>
      <c r="AD296">
        <f>HYPERLINK("https://klasma.github.io/Logging_0319/tillsynsmail/A 58480-2025 tillsynsbegäran mail.docx", "A 58480-2025")</f>
        <v/>
      </c>
    </row>
    <row r="297" ht="15" customHeight="1">
      <c r="A297" t="inlineStr">
        <is>
          <t>A 17748-2025</t>
        </is>
      </c>
      <c r="B297" t="inlineStr">
        <is>
          <t>avverkningsanmälan</t>
        </is>
      </c>
      <c r="C297" t="inlineStr">
        <is>
          <t>Föryngringsavverkning</t>
        </is>
      </c>
      <c r="D297" s="1" t="n">
        <v>45758</v>
      </c>
      <c r="E297" s="1" t="n">
        <v>46309</v>
      </c>
      <c r="F297" t="inlineStr">
        <is>
          <t>UPPSALA LÄN</t>
        </is>
      </c>
      <c r="G297" t="inlineStr">
        <is>
          <t>TIERP</t>
        </is>
      </c>
      <c r="H297" t="inlineStr">
        <is>
          <t>Bergvik skog öst AB</t>
        </is>
      </c>
      <c r="I297" t="n">
        <v>9.800000000000001</v>
      </c>
      <c r="J297" t="n">
        <v>2</v>
      </c>
      <c r="K297" t="n">
        <v>2</v>
      </c>
      <c r="L297" t="n">
        <v>1</v>
      </c>
      <c r="M297" t="n">
        <v>0</v>
      </c>
      <c r="N297" t="n">
        <v>0</v>
      </c>
      <c r="O297" t="n">
        <v>0</v>
      </c>
      <c r="P297" t="n">
        <v>0</v>
      </c>
      <c r="Q297" t="n">
        <v>1</v>
      </c>
      <c r="R297" t="n">
        <v>0</v>
      </c>
      <c r="S297" t="n">
        <v>4</v>
      </c>
      <c r="T297" t="n">
        <v>4</v>
      </c>
      <c r="U297" t="n">
        <v>1</v>
      </c>
      <c r="V297" s="2" t="inlineStr">
        <is>
          <t>Svart skogssnigel
Opalfingersvamp
Skogsknipprot
Nattviol</t>
        </is>
      </c>
      <c r="W297">
        <f>HYPERLINK("https://klasma.github.io/Logging_0360/artfynd/A 17748-2025 artfynd.xlsx", "A 17748-2025")</f>
        <v/>
      </c>
      <c r="X297">
        <f>HYPERLINK("https://klasma.github.io/Logging_0360/kartor/A 17748-2025 karta.png", "A 17748-2025")</f>
        <v/>
      </c>
      <c r="Y297">
        <f>HYPERLINK("https://klasma.github.io/Logging_0360/kartor_geotiff/A 17748-2025 georefererad karta.tif", "A 17748-2025")</f>
        <v/>
      </c>
      <c r="AA297">
        <f>HYPERLINK("https://klasma.github.io/Logging_0360/klagomål/A 17748-2025 FSC-klagomål.docx", "A 17748-2025")</f>
        <v/>
      </c>
      <c r="AB297">
        <f>HYPERLINK("https://klasma.github.io/Logging_0360/klagomålsmail/A 17748-2025 FSC-klagomål mail.docx", "A 17748-2025")</f>
        <v/>
      </c>
      <c r="AC297">
        <f>HYPERLINK("https://klasma.github.io/Logging_0360/tillsyn/A 17748-2025 tillsynsbegäran.docx", "A 17748-2025")</f>
        <v/>
      </c>
      <c r="AD297">
        <f>HYPERLINK("https://klasma.github.io/Logging_0360/tillsynsmail/A 17748-2025 tillsynsbegäran mail.docx", "A 17748-2025")</f>
        <v/>
      </c>
    </row>
    <row r="298" ht="15" customHeight="1">
      <c r="A298" t="inlineStr">
        <is>
          <t>A 59993-2025</t>
        </is>
      </c>
      <c r="B298" t="inlineStr">
        <is>
          <t>avverkningsanmälan</t>
        </is>
      </c>
      <c r="C298" t="inlineStr">
        <is>
          <t>Avverkning för att bevara och utveckla /försöksver</t>
        </is>
      </c>
      <c r="D298" s="1" t="n">
        <v>45993</v>
      </c>
      <c r="E298" s="1" t="n">
        <v>46309</v>
      </c>
      <c r="F298" t="inlineStr">
        <is>
          <t>UPPSALA LÄN</t>
        </is>
      </c>
      <c r="G298" t="inlineStr">
        <is>
          <t>ÄLVKARLEBY</t>
        </is>
      </c>
      <c r="H298" t="inlineStr">
        <is>
          <t>Bergvik skog väst AB</t>
        </is>
      </c>
      <c r="I298" t="n">
        <v>18.6</v>
      </c>
      <c r="J298" t="n">
        <v>1</v>
      </c>
      <c r="K298" t="n">
        <v>2</v>
      </c>
      <c r="L298" t="n">
        <v>2</v>
      </c>
      <c r="M298" t="n">
        <v>0</v>
      </c>
      <c r="N298" t="n">
        <v>0</v>
      </c>
      <c r="O298" t="n">
        <v>0</v>
      </c>
      <c r="P298" t="n">
        <v>0</v>
      </c>
      <c r="Q298" t="n">
        <v>2</v>
      </c>
      <c r="R298" t="n">
        <v>0</v>
      </c>
      <c r="S298" t="n">
        <v>4</v>
      </c>
      <c r="T298" t="n">
        <v>14</v>
      </c>
      <c r="U298" t="n">
        <v>3</v>
      </c>
      <c r="V298" s="2" t="inlineStr">
        <is>
          <t>Fjällig taggsvamp s.str.
Vårärt
Skogsknipprot
Svavelriska</t>
        </is>
      </c>
      <c r="W298">
        <f>HYPERLINK("https://klasma.github.io/Logging_0319/artfynd/A 59993-2025 artfynd.xlsx", "A 59993-2025")</f>
        <v/>
      </c>
      <c r="X298">
        <f>HYPERLINK("https://klasma.github.io/Logging_0319/kartor/A 59993-2025 karta.png", "A 59993-2025")</f>
        <v/>
      </c>
      <c r="Y298">
        <f>HYPERLINK("https://klasma.github.io/Logging_0319/kartor_geotiff/A 59993-2025 georefererad karta.tif", "A 59993-2025")</f>
        <v/>
      </c>
      <c r="AA298">
        <f>HYPERLINK("https://klasma.github.io/Logging_0319/klagomål/A 59993-2025 FSC-klagomål.docx", "A 59993-2025")</f>
        <v/>
      </c>
      <c r="AB298">
        <f>HYPERLINK("https://klasma.github.io/Logging_0319/klagomålsmail/A 59993-2025 FSC-klagomål mail.docx", "A 59993-2025")</f>
        <v/>
      </c>
      <c r="AC298">
        <f>HYPERLINK("https://klasma.github.io/Logging_0319/tillsyn/A 59993-2025 tillsynsbegäran.docx", "A 59993-2025")</f>
        <v/>
      </c>
      <c r="AD298">
        <f>HYPERLINK("https://klasma.github.io/Logging_0319/tillsynsmail/A 59993-2025 tillsynsbegäran mail.docx", "A 59993-2025")</f>
        <v/>
      </c>
    </row>
    <row r="299" ht="15" customHeight="1">
      <c r="A299" t="inlineStr">
        <is>
          <t>A 60889-2025</t>
        </is>
      </c>
      <c r="B299" t="inlineStr">
        <is>
          <t>avverkningsanmälan</t>
        </is>
      </c>
      <c r="C299" t="inlineStr">
        <is>
          <t>Föryngringsavverkning</t>
        </is>
      </c>
      <c r="D299" s="1" t="n">
        <v>45999</v>
      </c>
      <c r="E299" s="1" t="n">
        <v>46309</v>
      </c>
      <c r="F299" t="inlineStr">
        <is>
          <t>UPPSALA LÄN</t>
        </is>
      </c>
      <c r="G299" t="inlineStr">
        <is>
          <t>ÖSTHAMMAR</t>
        </is>
      </c>
      <c r="I299" t="n">
        <v>10.8</v>
      </c>
      <c r="J299" t="n">
        <v>0</v>
      </c>
      <c r="K299" t="n">
        <v>1</v>
      </c>
      <c r="L299" t="n">
        <v>3</v>
      </c>
      <c r="M299" t="n">
        <v>0</v>
      </c>
      <c r="N299" t="n">
        <v>0</v>
      </c>
      <c r="O299" t="n">
        <v>0</v>
      </c>
      <c r="P299" t="n">
        <v>0</v>
      </c>
      <c r="Q299" t="n">
        <v>3</v>
      </c>
      <c r="R299" t="n">
        <v>0</v>
      </c>
      <c r="S299" t="n">
        <v>4</v>
      </c>
      <c r="T299" t="n">
        <v>4</v>
      </c>
      <c r="U299" t="n">
        <v>0</v>
      </c>
      <c r="V299" s="2" t="inlineStr">
        <is>
          <t>Fjällig taggsvamp s.str.
Skarp dropptaggsvamp
Sårläka
Guldkremla</t>
        </is>
      </c>
      <c r="W299">
        <f>HYPERLINK("https://klasma.github.io/Logging_0382/artfynd/A 60889-2025 artfynd.xlsx", "A 60889-2025")</f>
        <v/>
      </c>
      <c r="X299">
        <f>HYPERLINK("https://klasma.github.io/Logging_0382/kartor/A 60889-2025 karta.png", "A 60889-2025")</f>
        <v/>
      </c>
      <c r="Y299">
        <f>HYPERLINK("https://klasma.github.io/Logging_0382/kartor_geotiff/A 60889-2025 georefererad karta.tif", "A 60889-2025")</f>
        <v/>
      </c>
      <c r="AA299">
        <f>HYPERLINK("https://klasma.github.io/Logging_0382/klagomål/A 60889-2025 FSC-klagomål.docx", "A 60889-2025")</f>
        <v/>
      </c>
      <c r="AB299">
        <f>HYPERLINK("https://klasma.github.io/Logging_0382/klagomålsmail/A 60889-2025 FSC-klagomål mail.docx", "A 60889-2025")</f>
        <v/>
      </c>
      <c r="AC299">
        <f>HYPERLINK("https://klasma.github.io/Logging_0382/tillsyn/A 60889-2025 tillsynsbegäran.docx", "A 60889-2025")</f>
        <v/>
      </c>
      <c r="AD299">
        <f>HYPERLINK("https://klasma.github.io/Logging_0382/tillsynsmail/A 60889-2025 tillsynsbegäran mail.docx", "A 60889-2025")</f>
        <v/>
      </c>
    </row>
    <row r="300" ht="15" customHeight="1">
      <c r="A300" t="inlineStr">
        <is>
          <t>A 60829-2025</t>
        </is>
      </c>
      <c r="B300" t="inlineStr">
        <is>
          <t>avverkningsanmälan</t>
        </is>
      </c>
      <c r="C300" t="inlineStr">
        <is>
          <t>Avverkning för att bevara och utveckla /försöksver</t>
        </is>
      </c>
      <c r="D300" s="1" t="n">
        <v>45999</v>
      </c>
      <c r="E300" s="1" t="n">
        <v>46309</v>
      </c>
      <c r="F300" t="inlineStr">
        <is>
          <t>UPPSALA LÄN</t>
        </is>
      </c>
      <c r="G300" t="inlineStr">
        <is>
          <t>ÄLVKARLEBY</t>
        </is>
      </c>
      <c r="H300" t="inlineStr">
        <is>
          <t>Bergvik skog väst AB</t>
        </is>
      </c>
      <c r="I300" t="n">
        <v>5.5</v>
      </c>
      <c r="J300" t="n">
        <v>1</v>
      </c>
      <c r="K300" t="n">
        <v>1</v>
      </c>
      <c r="L300" t="n">
        <v>3</v>
      </c>
      <c r="M300" t="n">
        <v>0</v>
      </c>
      <c r="N300" t="n">
        <v>0</v>
      </c>
      <c r="O300" t="n">
        <v>0</v>
      </c>
      <c r="P300" t="n">
        <v>0</v>
      </c>
      <c r="Q300" t="n">
        <v>3</v>
      </c>
      <c r="R300" t="n">
        <v>0</v>
      </c>
      <c r="S300" t="n">
        <v>4</v>
      </c>
      <c r="T300" t="n">
        <v>4</v>
      </c>
      <c r="U300" t="n">
        <v>3</v>
      </c>
      <c r="V300" s="2" t="inlineStr">
        <is>
          <t>Fjällig taggsvamp s.str.
Sparvuggla
Vårärt
Svavelriska</t>
        </is>
      </c>
      <c r="W300">
        <f>HYPERLINK("https://klasma.github.io/Logging_0319/artfynd/A 60829-2025 artfynd.xlsx", "A 60829-2025")</f>
        <v/>
      </c>
      <c r="X300">
        <f>HYPERLINK("https://klasma.github.io/Logging_0319/kartor/A 60829-2025 karta.png", "A 60829-2025")</f>
        <v/>
      </c>
      <c r="Y300">
        <f>HYPERLINK("https://klasma.github.io/Logging_0319/kartor_geotiff/A 60829-2025 georefererad karta.tif", "A 60829-2025")</f>
        <v/>
      </c>
      <c r="AA300">
        <f>HYPERLINK("https://klasma.github.io/Logging_0319/klagomål/A 60829-2025 FSC-klagomål.docx", "A 60829-2025")</f>
        <v/>
      </c>
      <c r="AB300">
        <f>HYPERLINK("https://klasma.github.io/Logging_0319/klagomålsmail/A 60829-2025 FSC-klagomål mail.docx", "A 60829-2025")</f>
        <v/>
      </c>
      <c r="AC300">
        <f>HYPERLINK("https://klasma.github.io/Logging_0319/tillsyn/A 60829-2025 tillsynsbegäran.docx", "A 60829-2025")</f>
        <v/>
      </c>
      <c r="AD300">
        <f>HYPERLINK("https://klasma.github.io/Logging_0319/tillsynsmail/A 60829-2025 tillsynsbegäran mail.docx", "A 60829-2025")</f>
        <v/>
      </c>
      <c r="AE300">
        <f>HYPERLINK("https://klasma.github.io/Logging_0319/fåglar/A 60829-2025 prioriterade fågelarter.docx", "A 60829-2025")</f>
        <v/>
      </c>
    </row>
    <row r="301" ht="15" customHeight="1">
      <c r="A301" t="inlineStr">
        <is>
          <t>A 54831-2025</t>
        </is>
      </c>
      <c r="B301" t="inlineStr">
        <is>
          <t>avverkningsanmälan</t>
        </is>
      </c>
      <c r="C301" t="inlineStr">
        <is>
          <t>Föryngringsavverkning</t>
        </is>
      </c>
      <c r="D301" s="1" t="n">
        <v>45966</v>
      </c>
      <c r="E301" s="1" t="n">
        <v>46309</v>
      </c>
      <c r="F301" t="inlineStr">
        <is>
          <t>UPPSALA LÄN</t>
        </is>
      </c>
      <c r="G301" t="inlineStr">
        <is>
          <t>TIERP</t>
        </is>
      </c>
      <c r="H301" t="inlineStr">
        <is>
          <t>Bergvik skog öst AB</t>
        </is>
      </c>
      <c r="I301" t="n">
        <v>5.3</v>
      </c>
      <c r="J301" t="n">
        <v>2</v>
      </c>
      <c r="K301" t="n">
        <v>1</v>
      </c>
      <c r="L301" t="n">
        <v>1</v>
      </c>
      <c r="M301" t="n">
        <v>0</v>
      </c>
      <c r="N301" t="n">
        <v>0</v>
      </c>
      <c r="O301" t="n">
        <v>0</v>
      </c>
      <c r="P301" t="n">
        <v>0</v>
      </c>
      <c r="Q301" t="n">
        <v>1</v>
      </c>
      <c r="R301" t="n">
        <v>0</v>
      </c>
      <c r="S301" t="n">
        <v>4</v>
      </c>
      <c r="T301" t="n">
        <v>6</v>
      </c>
      <c r="U301" t="n">
        <v>3</v>
      </c>
      <c r="V301" s="2" t="inlineStr">
        <is>
          <t>Ullticka
Blodticka
Spillkråka
Tjäder</t>
        </is>
      </c>
      <c r="W301">
        <f>HYPERLINK("https://klasma.github.io/Logging_0360/artfynd/A 54831-2025 artfynd.xlsx", "A 54831-2025")</f>
        <v/>
      </c>
      <c r="X301">
        <f>HYPERLINK("https://klasma.github.io/Logging_0360/kartor/A 54831-2025 karta.png", "A 54831-2025")</f>
        <v/>
      </c>
      <c r="Y301">
        <f>HYPERLINK("https://klasma.github.io/Logging_0360/kartor_geotiff/A 54831-2025 georefererad karta.tif", "A 54831-2025")</f>
        <v/>
      </c>
      <c r="AA301">
        <f>HYPERLINK("https://klasma.github.io/Logging_0360/klagomål/A 54831-2025 FSC-klagomål.docx", "A 54831-2025")</f>
        <v/>
      </c>
      <c r="AB301">
        <f>HYPERLINK("https://klasma.github.io/Logging_0360/klagomålsmail/A 54831-2025 FSC-klagomål mail.docx", "A 54831-2025")</f>
        <v/>
      </c>
      <c r="AC301">
        <f>HYPERLINK("https://klasma.github.io/Logging_0360/tillsyn/A 54831-2025 tillsynsbegäran.docx", "A 54831-2025")</f>
        <v/>
      </c>
      <c r="AD301">
        <f>HYPERLINK("https://klasma.github.io/Logging_0360/tillsynsmail/A 54831-2025 tillsynsbegäran mail.docx", "A 54831-2025")</f>
        <v/>
      </c>
      <c r="AE301">
        <f>HYPERLINK("https://klasma.github.io/Logging_0360/fåglar/A 54831-2025 prioriterade fågelarter.docx", "A 54831-2025")</f>
        <v/>
      </c>
    </row>
    <row r="302" ht="15" customHeight="1">
      <c r="A302" t="inlineStr">
        <is>
          <t>A 61374-2025</t>
        </is>
      </c>
      <c r="B302" t="inlineStr">
        <is>
          <t>avverkningsanmälan</t>
        </is>
      </c>
      <c r="C302" t="inlineStr">
        <is>
          <t>Föryngringsavverkning</t>
        </is>
      </c>
      <c r="D302" s="1" t="n">
        <v>46001</v>
      </c>
      <c r="E302" s="1" t="n">
        <v>46309</v>
      </c>
      <c r="F302" t="inlineStr">
        <is>
          <t>UPPSALA LÄN</t>
        </is>
      </c>
      <c r="G302" t="inlineStr">
        <is>
          <t>UPPSALA</t>
        </is>
      </c>
      <c r="H302" t="inlineStr">
        <is>
          <t>Holmen skog AB</t>
        </is>
      </c>
      <c r="I302" t="n">
        <v>6.2</v>
      </c>
      <c r="J302" t="n">
        <v>0</v>
      </c>
      <c r="K302" t="n">
        <v>1</v>
      </c>
      <c r="L302" t="n">
        <v>1</v>
      </c>
      <c r="M302" t="n">
        <v>1</v>
      </c>
      <c r="N302" t="n">
        <v>1</v>
      </c>
      <c r="O302" t="n">
        <v>0</v>
      </c>
      <c r="P302" t="n">
        <v>0</v>
      </c>
      <c r="Q302" t="n">
        <v>3</v>
      </c>
      <c r="R302" t="n">
        <v>2</v>
      </c>
      <c r="S302" t="n">
        <v>4</v>
      </c>
      <c r="T302" t="n">
        <v>5</v>
      </c>
      <c r="U302" t="n">
        <v>0</v>
      </c>
      <c r="V302" s="2" t="inlineStr">
        <is>
          <t>Ask
Gulvit blekspik
Lunglav
Tibast</t>
        </is>
      </c>
      <c r="W302">
        <f>HYPERLINK("https://klasma.github.io/Logging_0380/artfynd/A 61374-2025 artfynd.xlsx", "A 61374-2025")</f>
        <v/>
      </c>
      <c r="X302">
        <f>HYPERLINK("https://klasma.github.io/Logging_0380/kartor/A 61374-2025 karta.png", "A 61374-2025")</f>
        <v/>
      </c>
      <c r="Y302">
        <f>HYPERLINK("https://klasma.github.io/Logging_0380/kartor_geotiff/A 61374-2025 georefererad karta.tif", "A 61374-2025")</f>
        <v/>
      </c>
      <c r="AA302">
        <f>HYPERLINK("https://klasma.github.io/Logging_0380/klagomål/A 61374-2025 FSC-klagomål.docx", "A 61374-2025")</f>
        <v/>
      </c>
      <c r="AB302">
        <f>HYPERLINK("https://klasma.github.io/Logging_0380/klagomålsmail/A 61374-2025 FSC-klagomål mail.docx", "A 61374-2025")</f>
        <v/>
      </c>
      <c r="AC302">
        <f>HYPERLINK("https://klasma.github.io/Logging_0380/tillsyn/A 61374-2025 tillsynsbegäran.docx", "A 61374-2025")</f>
        <v/>
      </c>
      <c r="AD302">
        <f>HYPERLINK("https://klasma.github.io/Logging_0380/tillsynsmail/A 61374-2025 tillsynsbegäran mail.docx", "A 61374-2025")</f>
        <v/>
      </c>
    </row>
    <row r="303" ht="15" customHeight="1">
      <c r="A303" t="inlineStr">
        <is>
          <t>A 14774-2023</t>
        </is>
      </c>
      <c r="B303" t="inlineStr">
        <is>
          <t>avverkningsanmälan</t>
        </is>
      </c>
      <c r="C303" t="inlineStr">
        <is>
          <t>Föryngringsavverkning</t>
        </is>
      </c>
      <c r="D303" s="1" t="n">
        <v>45014</v>
      </c>
      <c r="E303" s="1" t="n">
        <v>46309</v>
      </c>
      <c r="F303" t="inlineStr">
        <is>
          <t>UPPSALA LÄN</t>
        </is>
      </c>
      <c r="G303" t="inlineStr">
        <is>
          <t>HEBY</t>
        </is>
      </c>
      <c r="I303" t="n">
        <v>5.1</v>
      </c>
      <c r="J303" t="n">
        <v>2</v>
      </c>
      <c r="K303" t="n">
        <v>2</v>
      </c>
      <c r="L303" t="n">
        <v>1</v>
      </c>
      <c r="M303" t="n">
        <v>0</v>
      </c>
      <c r="N303" t="n">
        <v>0</v>
      </c>
      <c r="O303" t="n">
        <v>0</v>
      </c>
      <c r="P303" t="n">
        <v>0</v>
      </c>
      <c r="Q303" t="n">
        <v>1</v>
      </c>
      <c r="R303" t="n">
        <v>0</v>
      </c>
      <c r="S303" t="n">
        <v>4</v>
      </c>
      <c r="T303" t="n">
        <v>8</v>
      </c>
      <c r="U303" t="n">
        <v>0</v>
      </c>
      <c r="V303" s="2" t="inlineStr">
        <is>
          <t>Vårärt
Grön sköldmossa
Stubbspretmossa
Blåsippa</t>
        </is>
      </c>
      <c r="W303">
        <f>HYPERLINK("https://klasma.github.io/Logging_0331/artfynd/A 14774-2023 artfynd.xlsx", "A 14774-2023")</f>
        <v/>
      </c>
      <c r="X303">
        <f>HYPERLINK("https://klasma.github.io/Logging_0331/kartor/A 14774-2023 karta.png", "A 14774-2023")</f>
        <v/>
      </c>
      <c r="Y303">
        <f>HYPERLINK("https://klasma.github.io/Logging_0331/kartor_geotiff/A 14774-2023 georefererad karta.tif", "A 14774-2023")</f>
        <v/>
      </c>
      <c r="AA303">
        <f>HYPERLINK("https://klasma.github.io/Logging_0331/klagomål/A 14774-2023 FSC-klagomål.docx", "A 14774-2023")</f>
        <v/>
      </c>
      <c r="AB303">
        <f>HYPERLINK("https://klasma.github.io/Logging_0331/klagomålsmail/A 14774-2023 FSC-klagomål mail.docx", "A 14774-2023")</f>
        <v/>
      </c>
      <c r="AC303">
        <f>HYPERLINK("https://klasma.github.io/Logging_0331/tillsyn/A 14774-2023 tillsynsbegäran.docx", "A 14774-2023")</f>
        <v/>
      </c>
      <c r="AD303">
        <f>HYPERLINK("https://klasma.github.io/Logging_0331/tillsynsmail/A 14774-2023 tillsynsbegäran mail.docx", "A 14774-2023")</f>
        <v/>
      </c>
    </row>
    <row r="304" ht="15" customHeight="1">
      <c r="A304" t="inlineStr">
        <is>
          <t>A 30090-2024</t>
        </is>
      </c>
      <c r="B304" t="inlineStr">
        <is>
          <t>avverkningsanmälan</t>
        </is>
      </c>
      <c r="C304" t="inlineStr">
        <is>
          <t>Föryngringsavverkning</t>
        </is>
      </c>
      <c r="D304" s="1" t="n">
        <v>45485</v>
      </c>
      <c r="E304" s="1" t="n">
        <v>46309</v>
      </c>
      <c r="F304" t="inlineStr">
        <is>
          <t>UPPSALA LÄN</t>
        </is>
      </c>
      <c r="G304" t="inlineStr">
        <is>
          <t>HEBY</t>
        </is>
      </c>
      <c r="H304" t="inlineStr">
        <is>
          <t>Bergvik skog väst AB</t>
        </is>
      </c>
      <c r="I304" t="n">
        <v>2.1</v>
      </c>
      <c r="J304" t="n">
        <v>0</v>
      </c>
      <c r="K304" t="n">
        <v>3</v>
      </c>
      <c r="L304" t="n">
        <v>0</v>
      </c>
      <c r="M304" t="n">
        <v>1</v>
      </c>
      <c r="N304" t="n">
        <v>0</v>
      </c>
      <c r="O304" t="n">
        <v>0</v>
      </c>
      <c r="P304" t="n">
        <v>0</v>
      </c>
      <c r="Q304" t="n">
        <v>1</v>
      </c>
      <c r="R304" t="n">
        <v>1</v>
      </c>
      <c r="S304" t="n">
        <v>4</v>
      </c>
      <c r="T304" t="n">
        <v>4</v>
      </c>
      <c r="U304" t="n">
        <v>0</v>
      </c>
      <c r="V304" s="2" t="inlineStr">
        <is>
          <t>Aspsplintbock
Aspvedgnagare
Björksplintborre
Jättesvampmal</t>
        </is>
      </c>
      <c r="W304">
        <f>HYPERLINK("https://klasma.github.io/Logging_0331/artfynd/A 30090-2024 artfynd.xlsx", "A 30090-2024")</f>
        <v/>
      </c>
      <c r="X304">
        <f>HYPERLINK("https://klasma.github.io/Logging_0331/kartor/A 30090-2024 karta.png", "A 30090-2024")</f>
        <v/>
      </c>
      <c r="Y304">
        <f>HYPERLINK("https://klasma.github.io/Logging_0331/kartor_geotiff/A 30090-2024 georefererad karta.tif", "A 30090-2024")</f>
        <v/>
      </c>
      <c r="AA304">
        <f>HYPERLINK("https://klasma.github.io/Logging_0331/klagomål/A 30090-2024 FSC-klagomål.docx", "A 30090-2024")</f>
        <v/>
      </c>
      <c r="AB304">
        <f>HYPERLINK("https://klasma.github.io/Logging_0331/klagomålsmail/A 30090-2024 FSC-klagomål mail.docx", "A 30090-2024")</f>
        <v/>
      </c>
      <c r="AC304">
        <f>HYPERLINK("https://klasma.github.io/Logging_0331/tillsyn/A 30090-2024 tillsynsbegäran.docx", "A 30090-2024")</f>
        <v/>
      </c>
      <c r="AD304">
        <f>HYPERLINK("https://klasma.github.io/Logging_0331/tillsynsmail/A 30090-2024 tillsynsbegäran mail.docx", "A 30090-2024")</f>
        <v/>
      </c>
    </row>
    <row r="305" ht="15" customHeight="1">
      <c r="A305" t="inlineStr">
        <is>
          <t>A 2524-2026</t>
        </is>
      </c>
      <c r="B305" t="inlineStr">
        <is>
          <t>avverkningsanmälan</t>
        </is>
      </c>
      <c r="C305" t="inlineStr">
        <is>
          <t>Föryngringsavverkning</t>
        </is>
      </c>
      <c r="D305" s="1" t="n">
        <v>46037</v>
      </c>
      <c r="E305" s="1" t="n">
        <v>46309</v>
      </c>
      <c r="F305" t="inlineStr">
        <is>
          <t>UPPSALA LÄN</t>
        </is>
      </c>
      <c r="G305" t="inlineStr">
        <is>
          <t>UPPSALA</t>
        </is>
      </c>
      <c r="H305" t="inlineStr">
        <is>
          <t>Allmännings- och besparingsskogar</t>
        </is>
      </c>
      <c r="I305" t="n">
        <v>13.4</v>
      </c>
      <c r="J305" t="n">
        <v>2</v>
      </c>
      <c r="K305" t="n">
        <v>1</v>
      </c>
      <c r="L305" t="n">
        <v>1</v>
      </c>
      <c r="M305" t="n">
        <v>0</v>
      </c>
      <c r="N305" t="n">
        <v>0</v>
      </c>
      <c r="O305" t="n">
        <v>0</v>
      </c>
      <c r="P305" t="n">
        <v>0</v>
      </c>
      <c r="Q305" t="n">
        <v>1</v>
      </c>
      <c r="R305" t="n">
        <v>0</v>
      </c>
      <c r="S305" t="n">
        <v>4</v>
      </c>
      <c r="T305" t="n">
        <v>4</v>
      </c>
      <c r="U305" t="n">
        <v>4</v>
      </c>
      <c r="V305" s="2" t="inlineStr">
        <is>
          <t>Vågticka
Blodticka
Spillkråka
Tjäder</t>
        </is>
      </c>
      <c r="W305">
        <f>HYPERLINK("https://klasma.github.io/Logging_0380/artfynd/A 2524-2026 artfynd.xlsx", "A 2524-2026")</f>
        <v/>
      </c>
      <c r="X305">
        <f>HYPERLINK("https://klasma.github.io/Logging_0380/kartor/A 2524-2026 karta.png", "A 2524-2026")</f>
        <v/>
      </c>
      <c r="Y305">
        <f>HYPERLINK("https://klasma.github.io/Logging_0380/kartor_geotiff/A 2524-2026 georefererad karta.tif", "A 2524-2026")</f>
        <v/>
      </c>
      <c r="AA305">
        <f>HYPERLINK("https://klasma.github.io/Logging_0380/klagomål/A 2524-2026 FSC-klagomål.docx", "A 2524-2026")</f>
        <v/>
      </c>
      <c r="AB305">
        <f>HYPERLINK("https://klasma.github.io/Logging_0380/klagomålsmail/A 2524-2026 FSC-klagomål mail.docx", "A 2524-2026")</f>
        <v/>
      </c>
      <c r="AC305">
        <f>HYPERLINK("https://klasma.github.io/Logging_0380/tillsyn/A 2524-2026 tillsynsbegäran.docx", "A 2524-2026")</f>
        <v/>
      </c>
      <c r="AD305">
        <f>HYPERLINK("https://klasma.github.io/Logging_0380/tillsynsmail/A 2524-2026 tillsynsbegäran mail.docx", "A 2524-2026")</f>
        <v/>
      </c>
      <c r="AE305">
        <f>HYPERLINK("https://klasma.github.io/Logging_0380/fåglar/A 2524-2026 prioriterade fågelarter.docx", "A 2524-2026")</f>
        <v/>
      </c>
    </row>
    <row r="306" ht="15" customHeight="1">
      <c r="A306" t="inlineStr">
        <is>
          <t>A 44525-2022</t>
        </is>
      </c>
      <c r="B306" t="inlineStr">
        <is>
          <t>avverkningsanmälan</t>
        </is>
      </c>
      <c r="C306" t="inlineStr">
        <is>
          <t>Föryngringsavverkning</t>
        </is>
      </c>
      <c r="D306" s="1" t="n">
        <v>44840</v>
      </c>
      <c r="E306" s="1" t="n">
        <v>46309</v>
      </c>
      <c r="F306" t="inlineStr">
        <is>
          <t>UPPSALA LÄN</t>
        </is>
      </c>
      <c r="G306" t="inlineStr">
        <is>
          <t>HEBY</t>
        </is>
      </c>
      <c r="I306" t="n">
        <v>1.8</v>
      </c>
      <c r="J306" t="n">
        <v>1</v>
      </c>
      <c r="K306" t="n">
        <v>3</v>
      </c>
      <c r="L306" t="n">
        <v>0</v>
      </c>
      <c r="M306" t="n">
        <v>1</v>
      </c>
      <c r="N306" t="n">
        <v>0</v>
      </c>
      <c r="O306" t="n">
        <v>0</v>
      </c>
      <c r="P306" t="n">
        <v>0</v>
      </c>
      <c r="Q306" t="n">
        <v>1</v>
      </c>
      <c r="R306" t="n">
        <v>1</v>
      </c>
      <c r="S306" t="n">
        <v>4</v>
      </c>
      <c r="T306" t="n">
        <v>4</v>
      </c>
      <c r="U306" t="n">
        <v>0</v>
      </c>
      <c r="V306" s="2" t="inlineStr">
        <is>
          <t>Knärot
Bronshjon
Thomsons trägnagare
Vedticka</t>
        </is>
      </c>
      <c r="W306">
        <f>HYPERLINK("https://klasma.github.io/Logging_0331/artfynd/A 44525-2022 artfynd.xlsx", "A 44525-2022")</f>
        <v/>
      </c>
      <c r="X306">
        <f>HYPERLINK("https://klasma.github.io/Logging_0331/kartor/A 44525-2022 karta.png", "A 44525-2022")</f>
        <v/>
      </c>
      <c r="Y306">
        <f>HYPERLINK("https://klasma.github.io/Logging_0331/kartor_geotiff/A 44525-2022 georefererad karta.tif", "A 44525-2022")</f>
        <v/>
      </c>
      <c r="Z306">
        <f>HYPERLINK("https://klasma.github.io/Logging_0331/knärot/A 44525-2022 karta knärot.png", "A 44525-2022")</f>
        <v/>
      </c>
      <c r="AA306">
        <f>HYPERLINK("https://klasma.github.io/Logging_0331/klagomål/A 44525-2022 FSC-klagomål.docx", "A 44525-2022")</f>
        <v/>
      </c>
      <c r="AB306">
        <f>HYPERLINK("https://klasma.github.io/Logging_0331/klagomålsmail/A 44525-2022 FSC-klagomål mail.docx", "A 44525-2022")</f>
        <v/>
      </c>
      <c r="AC306">
        <f>HYPERLINK("https://klasma.github.io/Logging_0331/tillsyn/A 44525-2022 tillsynsbegäran.docx", "A 44525-2022")</f>
        <v/>
      </c>
      <c r="AD306">
        <f>HYPERLINK("https://klasma.github.io/Logging_0331/tillsynsmail/A 44525-2022 tillsynsbegäran mail.docx", "A 44525-2022")</f>
        <v/>
      </c>
    </row>
    <row r="307" ht="15" customHeight="1">
      <c r="A307" t="inlineStr">
        <is>
          <t>A 22287-2023</t>
        </is>
      </c>
      <c r="B307" t="inlineStr">
        <is>
          <t>avverkningsanmälan</t>
        </is>
      </c>
      <c r="C307" t="inlineStr">
        <is>
          <t>Föryngringsavverkning</t>
        </is>
      </c>
      <c r="D307" s="1" t="n">
        <v>45070</v>
      </c>
      <c r="E307" s="1" t="n">
        <v>46309</v>
      </c>
      <c r="F307" t="inlineStr">
        <is>
          <t>UPPSALA LÄN</t>
        </is>
      </c>
      <c r="G307" t="inlineStr">
        <is>
          <t>ÖSTHAMMAR</t>
        </is>
      </c>
      <c r="I307" t="n">
        <v>6.3</v>
      </c>
      <c r="J307" t="n">
        <v>2</v>
      </c>
      <c r="K307" t="n">
        <v>2</v>
      </c>
      <c r="L307" t="n">
        <v>1</v>
      </c>
      <c r="M307" t="n">
        <v>0</v>
      </c>
      <c r="N307" t="n">
        <v>0</v>
      </c>
      <c r="O307" t="n">
        <v>0</v>
      </c>
      <c r="P307" t="n">
        <v>0</v>
      </c>
      <c r="Q307" t="n">
        <v>1</v>
      </c>
      <c r="R307" t="n">
        <v>0</v>
      </c>
      <c r="S307" t="n">
        <v>4</v>
      </c>
      <c r="T307" t="n">
        <v>6</v>
      </c>
      <c r="U307" t="n">
        <v>6</v>
      </c>
      <c r="V307" s="2" t="inlineStr">
        <is>
          <t>Vårärt
Guckusko
Rödgul trumpetsvamp
Blåsippa</t>
        </is>
      </c>
      <c r="W307">
        <f>HYPERLINK("https://klasma.github.io/Logging_0382/artfynd/A 22287-2023 artfynd.xlsx", "A 22287-2023")</f>
        <v/>
      </c>
      <c r="X307">
        <f>HYPERLINK("https://klasma.github.io/Logging_0382/kartor/A 22287-2023 karta.png", "A 22287-2023")</f>
        <v/>
      </c>
      <c r="Y307">
        <f>HYPERLINK("https://klasma.github.io/Logging_0382/kartor_geotiff/A 22287-2023 georefererad karta.tif", "A 22287-2023")</f>
        <v/>
      </c>
      <c r="AA307">
        <f>HYPERLINK("https://klasma.github.io/Logging_0382/klagomål/A 22287-2023 FSC-klagomål.docx", "A 22287-2023")</f>
        <v/>
      </c>
      <c r="AB307">
        <f>HYPERLINK("https://klasma.github.io/Logging_0382/klagomålsmail/A 22287-2023 FSC-klagomål mail.docx", "A 22287-2023")</f>
        <v/>
      </c>
      <c r="AC307">
        <f>HYPERLINK("https://klasma.github.io/Logging_0382/tillsyn/A 22287-2023 tillsynsbegäran.docx", "A 22287-2023")</f>
        <v/>
      </c>
      <c r="AD307">
        <f>HYPERLINK("https://klasma.github.io/Logging_0382/tillsynsmail/A 22287-2023 tillsynsbegäran mail.docx", "A 22287-2023")</f>
        <v/>
      </c>
    </row>
    <row r="308" ht="15" customHeight="1">
      <c r="A308" t="inlineStr">
        <is>
          <t>A 17577-2026</t>
        </is>
      </c>
      <c r="B308" t="inlineStr">
        <is>
          <t>avverkningsanmälan</t>
        </is>
      </c>
      <c r="C308" t="inlineStr">
        <is>
          <t>Föryngringsavverkning</t>
        </is>
      </c>
      <c r="D308" s="1" t="n">
        <v>46121</v>
      </c>
      <c r="E308" s="1" t="n">
        <v>46309</v>
      </c>
      <c r="F308" t="inlineStr">
        <is>
          <t>UPPSALA LÄN</t>
        </is>
      </c>
      <c r="G308" t="inlineStr">
        <is>
          <t>TIERP</t>
        </is>
      </c>
      <c r="H308" t="inlineStr">
        <is>
          <t>Bergvik skog öst AB</t>
        </is>
      </c>
      <c r="I308" t="n">
        <v>21.5</v>
      </c>
      <c r="J308" t="n">
        <v>2</v>
      </c>
      <c r="K308" t="n">
        <v>2</v>
      </c>
      <c r="L308" t="n">
        <v>0</v>
      </c>
      <c r="M308" t="n">
        <v>1</v>
      </c>
      <c r="N308" t="n">
        <v>0</v>
      </c>
      <c r="O308" t="n">
        <v>0</v>
      </c>
      <c r="P308" t="n">
        <v>0</v>
      </c>
      <c r="Q308" t="n">
        <v>1</v>
      </c>
      <c r="R308" t="n">
        <v>1</v>
      </c>
      <c r="S308" t="n">
        <v>4</v>
      </c>
      <c r="T308" t="n">
        <v>4</v>
      </c>
      <c r="U308" t="n">
        <v>0</v>
      </c>
      <c r="V308" s="2" t="inlineStr">
        <is>
          <t>Väddnätfjäril
Gullgröppa
Tibast
Fläcknycklar</t>
        </is>
      </c>
      <c r="W308">
        <f>HYPERLINK("https://klasma.github.io/Logging_0360/artfynd/A 17577-2026 artfynd.xlsx", "A 17577-2026")</f>
        <v/>
      </c>
      <c r="X308">
        <f>HYPERLINK("https://klasma.github.io/Logging_0360/kartor/A 17577-2026 karta.png", "A 17577-2026")</f>
        <v/>
      </c>
      <c r="Y308">
        <f>HYPERLINK("https://klasma.github.io/Logging_0360/kartor_geotiff/A 17577-2026 georefererad karta.tif", "A 17577-2026")</f>
        <v/>
      </c>
      <c r="AA308">
        <f>HYPERLINK("https://klasma.github.io/Logging_0360/klagomål/A 17577-2026 FSC-klagomål.docx", "A 17577-2026")</f>
        <v/>
      </c>
      <c r="AB308">
        <f>HYPERLINK("https://klasma.github.io/Logging_0360/klagomålsmail/A 17577-2026 FSC-klagomål mail.docx", "A 17577-2026")</f>
        <v/>
      </c>
      <c r="AC308">
        <f>HYPERLINK("https://klasma.github.io/Logging_0360/tillsyn/A 17577-2026 tillsynsbegäran.docx", "A 17577-2026")</f>
        <v/>
      </c>
      <c r="AD308">
        <f>HYPERLINK("https://klasma.github.io/Logging_0360/tillsynsmail/A 17577-2026 tillsynsbegäran mail.docx", "A 17577-2026")</f>
        <v/>
      </c>
    </row>
    <row r="309" ht="15" customHeight="1">
      <c r="A309" t="inlineStr">
        <is>
          <t>A 49015-2022</t>
        </is>
      </c>
      <c r="B309" t="inlineStr">
        <is>
          <t>avverkningsanmälan</t>
        </is>
      </c>
      <c r="C309" t="inlineStr">
        <is>
          <t>Föryngringsavverkning</t>
        </is>
      </c>
      <c r="D309" s="1" t="n">
        <v>44855</v>
      </c>
      <c r="E309" s="1" t="n">
        <v>46309</v>
      </c>
      <c r="F309" t="inlineStr">
        <is>
          <t>UPPSALA LÄN</t>
        </is>
      </c>
      <c r="G309" t="inlineStr">
        <is>
          <t>UPPSALA</t>
        </is>
      </c>
      <c r="H309" t="inlineStr">
        <is>
          <t>Kommuner</t>
        </is>
      </c>
      <c r="I309" t="n">
        <v>4.5</v>
      </c>
      <c r="J309" t="n">
        <v>0</v>
      </c>
      <c r="K309" t="n">
        <v>2</v>
      </c>
      <c r="L309" t="n">
        <v>2</v>
      </c>
      <c r="M309" t="n">
        <v>0</v>
      </c>
      <c r="N309" t="n">
        <v>0</v>
      </c>
      <c r="O309" t="n">
        <v>0</v>
      </c>
      <c r="P309" t="n">
        <v>0</v>
      </c>
      <c r="Q309" t="n">
        <v>2</v>
      </c>
      <c r="R309" t="n">
        <v>0</v>
      </c>
      <c r="S309" t="n">
        <v>4</v>
      </c>
      <c r="T309" t="n">
        <v>4</v>
      </c>
      <c r="U309" t="n">
        <v>0</v>
      </c>
      <c r="V309" s="2" t="inlineStr">
        <is>
          <t>Harticka
Vedtrappmossa
Fällmossa
Korallblylav</t>
        </is>
      </c>
      <c r="W309">
        <f>HYPERLINK("https://klasma.github.io/Logging_0380/artfynd/A 49015-2022 artfynd.xlsx", "A 49015-2022")</f>
        <v/>
      </c>
      <c r="X309">
        <f>HYPERLINK("https://klasma.github.io/Logging_0380/kartor/A 49015-2022 karta.png", "A 49015-2022")</f>
        <v/>
      </c>
      <c r="Y309">
        <f>HYPERLINK("https://klasma.github.io/Logging_0380/kartor_geotiff/A 49015-2022 georefererad karta.tif", "A 49015-2022")</f>
        <v/>
      </c>
      <c r="AA309">
        <f>HYPERLINK("https://klasma.github.io/Logging_0380/klagomål/A 49015-2022 FSC-klagomål.docx", "A 49015-2022")</f>
        <v/>
      </c>
      <c r="AB309">
        <f>HYPERLINK("https://klasma.github.io/Logging_0380/klagomålsmail/A 49015-2022 FSC-klagomål mail.docx", "A 49015-2022")</f>
        <v/>
      </c>
      <c r="AC309">
        <f>HYPERLINK("https://klasma.github.io/Logging_0380/tillsyn/A 49015-2022 tillsynsbegäran.docx", "A 49015-2022")</f>
        <v/>
      </c>
      <c r="AD309">
        <f>HYPERLINK("https://klasma.github.io/Logging_0380/tillsynsmail/A 49015-2022 tillsynsbegäran mail.docx", "A 49015-2022")</f>
        <v/>
      </c>
    </row>
    <row r="310" ht="15" customHeight="1">
      <c r="A310" t="inlineStr">
        <is>
          <t>A 39741-2023</t>
        </is>
      </c>
      <c r="B310" t="inlineStr">
        <is>
          <t>avverkningsanmälan</t>
        </is>
      </c>
      <c r="C310" t="inlineStr">
        <is>
          <t>Föryngringsavverkning</t>
        </is>
      </c>
      <c r="D310" s="1" t="n">
        <v>45167</v>
      </c>
      <c r="E310" s="1" t="n">
        <v>46309</v>
      </c>
      <c r="F310" t="inlineStr">
        <is>
          <t>UPPSALA LÄN</t>
        </is>
      </c>
      <c r="G310" t="inlineStr">
        <is>
          <t>UPPSALA</t>
        </is>
      </c>
      <c r="I310" t="n">
        <v>5.6</v>
      </c>
      <c r="J310" t="n">
        <v>4</v>
      </c>
      <c r="K310" t="n">
        <v>0</v>
      </c>
      <c r="L310" t="n">
        <v>2</v>
      </c>
      <c r="M310" t="n">
        <v>0</v>
      </c>
      <c r="N310" t="n">
        <v>0</v>
      </c>
      <c r="O310" t="n">
        <v>0</v>
      </c>
      <c r="P310" t="n">
        <v>0</v>
      </c>
      <c r="Q310" t="n">
        <v>2</v>
      </c>
      <c r="R310" t="n">
        <v>0</v>
      </c>
      <c r="S310" t="n">
        <v>4</v>
      </c>
      <c r="T310" t="n">
        <v>5</v>
      </c>
      <c r="U310" t="n">
        <v>5</v>
      </c>
      <c r="V310" s="2" t="inlineStr">
        <is>
          <t>Entita
Järnsparv
Bergfink
Grönsiska</t>
        </is>
      </c>
      <c r="W310">
        <f>HYPERLINK("https://klasma.github.io/Logging_0380/artfynd/A 39741-2023 artfynd.xlsx", "A 39741-2023")</f>
        <v/>
      </c>
      <c r="X310">
        <f>HYPERLINK("https://klasma.github.io/Logging_0380/kartor/A 39741-2023 karta.png", "A 39741-2023")</f>
        <v/>
      </c>
      <c r="Y310">
        <f>HYPERLINK("https://klasma.github.io/Logging_0380/kartor_geotiff/A 39741-2023 georefererad karta.tif", "A 39741-2023")</f>
        <v/>
      </c>
      <c r="AA310">
        <f>HYPERLINK("https://klasma.github.io/Logging_0380/klagomål/A 39741-2023 FSC-klagomål.docx", "A 39741-2023")</f>
        <v/>
      </c>
      <c r="AB310">
        <f>HYPERLINK("https://klasma.github.io/Logging_0380/klagomålsmail/A 39741-2023 FSC-klagomål mail.docx", "A 39741-2023")</f>
        <v/>
      </c>
      <c r="AC310">
        <f>HYPERLINK("https://klasma.github.io/Logging_0380/tillsyn/A 39741-2023 tillsynsbegäran.docx", "A 39741-2023")</f>
        <v/>
      </c>
      <c r="AD310">
        <f>HYPERLINK("https://klasma.github.io/Logging_0380/tillsynsmail/A 39741-2023 tillsynsbegäran mail.docx", "A 39741-2023")</f>
        <v/>
      </c>
      <c r="AE310">
        <f>HYPERLINK("https://klasma.github.io/Logging_0380/fåglar/A 39741-2023 prioriterade fågelarter.docx", "A 39741-2023")</f>
        <v/>
      </c>
    </row>
    <row r="311" ht="15" customHeight="1">
      <c r="A311" t="inlineStr">
        <is>
          <t>A 22440-2026</t>
        </is>
      </c>
      <c r="B311" t="inlineStr">
        <is>
          <t>avverkningsanmälan</t>
        </is>
      </c>
      <c r="C311" t="inlineStr">
        <is>
          <t>Föryngringsavverkning</t>
        </is>
      </c>
      <c r="D311" s="1" t="n">
        <v>46155</v>
      </c>
      <c r="E311" s="1" t="n">
        <v>46309</v>
      </c>
      <c r="F311" t="inlineStr">
        <is>
          <t>UPPSALA LÄN</t>
        </is>
      </c>
      <c r="G311" t="inlineStr">
        <is>
          <t>UPPSALA</t>
        </is>
      </c>
      <c r="H311" t="inlineStr">
        <is>
          <t>Kyrkan</t>
        </is>
      </c>
      <c r="I311" t="n">
        <v>1</v>
      </c>
      <c r="J311" t="n">
        <v>3</v>
      </c>
      <c r="K311" t="n">
        <v>0</v>
      </c>
      <c r="L311" t="n">
        <v>1</v>
      </c>
      <c r="M311" t="n">
        <v>1</v>
      </c>
      <c r="N311" t="n">
        <v>0</v>
      </c>
      <c r="O311" t="n">
        <v>0</v>
      </c>
      <c r="P311" t="n">
        <v>0</v>
      </c>
      <c r="Q311" t="n">
        <v>2</v>
      </c>
      <c r="R311" t="n">
        <v>1</v>
      </c>
      <c r="S311" t="n">
        <v>4</v>
      </c>
      <c r="T311" t="n">
        <v>8</v>
      </c>
      <c r="U311" t="n">
        <v>8</v>
      </c>
      <c r="V311" s="2" t="inlineStr">
        <is>
          <t>Knärot
Tallticka
Spillkråka
Revlummer</t>
        </is>
      </c>
      <c r="W311">
        <f>HYPERLINK("https://klasma.github.io/Logging_0380/artfynd/A 22440-2026 artfynd.xlsx", "A 22440-2026")</f>
        <v/>
      </c>
      <c r="X311">
        <f>HYPERLINK("https://klasma.github.io/Logging_0380/kartor/A 22440-2026 karta.png", "A 22440-2026")</f>
        <v/>
      </c>
      <c r="Y311">
        <f>HYPERLINK("https://klasma.github.io/Logging_0380/kartor_geotiff/A 22440-2026 georefererad karta.tif", "A 22440-2026")</f>
        <v/>
      </c>
      <c r="Z311">
        <f>HYPERLINK("https://klasma.github.io/Logging_0380/knärot/A 22440-2026 karta knärot.png", "A 22440-2026")</f>
        <v/>
      </c>
      <c r="AA311">
        <f>HYPERLINK("https://klasma.github.io/Logging_0380/klagomål/A 22440-2026 FSC-klagomål.docx", "A 22440-2026")</f>
        <v/>
      </c>
      <c r="AB311">
        <f>HYPERLINK("https://klasma.github.io/Logging_0380/klagomålsmail/A 22440-2026 FSC-klagomål mail.docx", "A 22440-2026")</f>
        <v/>
      </c>
      <c r="AC311">
        <f>HYPERLINK("https://klasma.github.io/Logging_0380/tillsyn/A 22440-2026 tillsynsbegäran.docx", "A 22440-2026")</f>
        <v/>
      </c>
      <c r="AD311">
        <f>HYPERLINK("https://klasma.github.io/Logging_0380/tillsynsmail/A 22440-2026 tillsynsbegäran mail.docx", "A 22440-2026")</f>
        <v/>
      </c>
      <c r="AE311">
        <f>HYPERLINK("https://klasma.github.io/Logging_0380/fåglar/A 22440-2026 prioriterade fågelarter.docx", "A 22440-2026")</f>
        <v/>
      </c>
    </row>
    <row r="312" ht="15" customHeight="1">
      <c r="A312" t="inlineStr">
        <is>
          <t>A 23133-2026</t>
        </is>
      </c>
      <c r="B312" t="inlineStr">
        <is>
          <t>avverkningsanmälan</t>
        </is>
      </c>
      <c r="C312" t="inlineStr">
        <is>
          <t>Föryngringsavverkning</t>
        </is>
      </c>
      <c r="D312" s="1" t="n">
        <v>46161</v>
      </c>
      <c r="E312" s="1" t="n">
        <v>46309</v>
      </c>
      <c r="F312" t="inlineStr">
        <is>
          <t>UPPSALA LÄN</t>
        </is>
      </c>
      <c r="G312" t="inlineStr">
        <is>
          <t>TIERP</t>
        </is>
      </c>
      <c r="H312" t="inlineStr">
        <is>
          <t>Bergvik skog öst AB</t>
        </is>
      </c>
      <c r="I312" t="n">
        <v>0.2</v>
      </c>
      <c r="J312" t="n">
        <v>1</v>
      </c>
      <c r="K312" t="n">
        <v>1</v>
      </c>
      <c r="L312" t="n">
        <v>0</v>
      </c>
      <c r="M312" t="n">
        <v>0</v>
      </c>
      <c r="N312" t="n">
        <v>2</v>
      </c>
      <c r="O312" t="n">
        <v>0</v>
      </c>
      <c r="P312" t="n">
        <v>0</v>
      </c>
      <c r="Q312" t="n">
        <v>2</v>
      </c>
      <c r="R312" t="n">
        <v>2</v>
      </c>
      <c r="S312" t="n">
        <v>4</v>
      </c>
      <c r="T312" t="n">
        <v>4</v>
      </c>
      <c r="U312" t="n">
        <v>0</v>
      </c>
      <c r="V312" s="2" t="inlineStr">
        <is>
          <t>Ask
Skogsalm
Brandticka
Blåsippa</t>
        </is>
      </c>
      <c r="W312">
        <f>HYPERLINK("https://klasma.github.io/Logging_0360/artfynd/A 23133-2026 artfynd.xlsx", "A 23133-2026")</f>
        <v/>
      </c>
      <c r="X312">
        <f>HYPERLINK("https://klasma.github.io/Logging_0360/kartor/A 23133-2026 karta.png", "A 23133-2026")</f>
        <v/>
      </c>
      <c r="Y312">
        <f>HYPERLINK("https://klasma.github.io/Logging_0360/kartor_geotiff/A 23133-2026 georefererad karta.tif", "A 23133-2026")</f>
        <v/>
      </c>
      <c r="AA312">
        <f>HYPERLINK("https://klasma.github.io/Logging_0360/klagomål/A 23133-2026 FSC-klagomål.docx", "A 23133-2026")</f>
        <v/>
      </c>
      <c r="AB312">
        <f>HYPERLINK("https://klasma.github.io/Logging_0360/klagomålsmail/A 23133-2026 FSC-klagomål mail.docx", "A 23133-2026")</f>
        <v/>
      </c>
      <c r="AC312">
        <f>HYPERLINK("https://klasma.github.io/Logging_0360/tillsyn/A 23133-2026 tillsynsbegäran.docx", "A 23133-2026")</f>
        <v/>
      </c>
      <c r="AD312">
        <f>HYPERLINK("https://klasma.github.io/Logging_0360/tillsynsmail/A 23133-2026 tillsynsbegäran mail.docx", "A 23133-2026")</f>
        <v/>
      </c>
    </row>
    <row r="313" ht="15" customHeight="1">
      <c r="A313" t="inlineStr">
        <is>
          <t>A 51733-2023</t>
        </is>
      </c>
      <c r="B313" t="inlineStr">
        <is>
          <t>avverkningsanmälan</t>
        </is>
      </c>
      <c r="C313" t="inlineStr">
        <is>
          <t>Föryngringsavverkning</t>
        </is>
      </c>
      <c r="D313" s="1" t="n">
        <v>45222</v>
      </c>
      <c r="E313" s="1" t="n">
        <v>46309</v>
      </c>
      <c r="F313" t="inlineStr">
        <is>
          <t>UPPSALA LÄN</t>
        </is>
      </c>
      <c r="G313" t="inlineStr">
        <is>
          <t>HEBY</t>
        </is>
      </c>
      <c r="H313" t="inlineStr">
        <is>
          <t>Allmännings- och besparingsskogar</t>
        </is>
      </c>
      <c r="I313" t="n">
        <v>17.7</v>
      </c>
      <c r="J313" t="n">
        <v>4</v>
      </c>
      <c r="K313" t="n">
        <v>0</v>
      </c>
      <c r="L313" t="n">
        <v>0</v>
      </c>
      <c r="M313" t="n">
        <v>1</v>
      </c>
      <c r="N313" t="n">
        <v>0</v>
      </c>
      <c r="O313" t="n">
        <v>0</v>
      </c>
      <c r="P313" t="n">
        <v>0</v>
      </c>
      <c r="Q313" t="n">
        <v>1</v>
      </c>
      <c r="R313" t="n">
        <v>1</v>
      </c>
      <c r="S313" t="n">
        <v>4</v>
      </c>
      <c r="T313" t="n">
        <v>14</v>
      </c>
      <c r="U313" t="n">
        <v>14</v>
      </c>
      <c r="V313" s="2" t="inlineStr">
        <is>
          <t>Knärot
Blåsippa
Lopplummer (aggregat)
Revlummer</t>
        </is>
      </c>
      <c r="W313">
        <f>HYPERLINK("https://klasma.github.io/Logging_0331/artfynd/A 51733-2023 artfynd.xlsx", "A 51733-2023")</f>
        <v/>
      </c>
      <c r="X313">
        <f>HYPERLINK("https://klasma.github.io/Logging_0331/kartor/A 51733-2023 karta.png", "A 51733-2023")</f>
        <v/>
      </c>
      <c r="Y313">
        <f>HYPERLINK("https://klasma.github.io/Logging_0331/kartor_geotiff/A 51733-2023 georefererad karta.tif", "A 51733-2023")</f>
        <v/>
      </c>
      <c r="Z313">
        <f>HYPERLINK("https://klasma.github.io/Logging_0331/knärot/A 51733-2023 karta knärot.png", "A 51733-2023")</f>
        <v/>
      </c>
      <c r="AA313">
        <f>HYPERLINK("https://klasma.github.io/Logging_0331/klagomål/A 51733-2023 FSC-klagomål.docx", "A 51733-2023")</f>
        <v/>
      </c>
      <c r="AB313">
        <f>HYPERLINK("https://klasma.github.io/Logging_0331/klagomålsmail/A 51733-2023 FSC-klagomål mail.docx", "A 51733-2023")</f>
        <v/>
      </c>
      <c r="AC313">
        <f>HYPERLINK("https://klasma.github.io/Logging_0331/tillsyn/A 51733-2023 tillsynsbegäran.docx", "A 51733-2023")</f>
        <v/>
      </c>
      <c r="AD313">
        <f>HYPERLINK("https://klasma.github.io/Logging_0331/tillsynsmail/A 51733-2023 tillsynsbegäran mail.docx", "A 51733-2023")</f>
        <v/>
      </c>
    </row>
    <row r="314" ht="15" customHeight="1">
      <c r="A314" t="inlineStr">
        <is>
          <t>A 9553-2025</t>
        </is>
      </c>
      <c r="B314" t="inlineStr">
        <is>
          <t>avverkningsanmälan</t>
        </is>
      </c>
      <c r="C314" t="inlineStr">
        <is>
          <t>Föryngringsavverkning</t>
        </is>
      </c>
      <c r="D314" s="1" t="n">
        <v>45715</v>
      </c>
      <c r="E314" s="1" t="n">
        <v>46309</v>
      </c>
      <c r="F314" t="inlineStr">
        <is>
          <t>UPPSALA LÄN</t>
        </is>
      </c>
      <c r="G314" t="inlineStr">
        <is>
          <t>KNIVSTA</t>
        </is>
      </c>
      <c r="I314" t="n">
        <v>3.5</v>
      </c>
      <c r="J314" t="n">
        <v>1</v>
      </c>
      <c r="K314" t="n">
        <v>1</v>
      </c>
      <c r="L314" t="n">
        <v>1</v>
      </c>
      <c r="M314" t="n">
        <v>1</v>
      </c>
      <c r="N314" t="n">
        <v>0</v>
      </c>
      <c r="O314" t="n">
        <v>0</v>
      </c>
      <c r="P314" t="n">
        <v>0</v>
      </c>
      <c r="Q314" t="n">
        <v>2</v>
      </c>
      <c r="R314" t="n">
        <v>1</v>
      </c>
      <c r="S314" t="n">
        <v>4</v>
      </c>
      <c r="T314" t="n">
        <v>5</v>
      </c>
      <c r="U314" t="n">
        <v>1</v>
      </c>
      <c r="V314" s="2" t="inlineStr">
        <is>
          <t>Gulvit blekspik
Veckticka
Fällmossa
Nattviol</t>
        </is>
      </c>
      <c r="W314">
        <f>HYPERLINK("https://klasma.github.io/Logging_0330/artfynd/A 9553-2025 artfynd.xlsx", "A 9553-2025")</f>
        <v/>
      </c>
      <c r="X314">
        <f>HYPERLINK("https://klasma.github.io/Logging_0330/kartor/A 9553-2025 karta.png", "A 9553-2025")</f>
        <v/>
      </c>
      <c r="Y314">
        <f>HYPERLINK("https://klasma.github.io/Logging_0330/kartor_geotiff/A 9553-2025 georefererad karta.tif", "A 9553-2025")</f>
        <v/>
      </c>
      <c r="AA314">
        <f>HYPERLINK("https://klasma.github.io/Logging_0330/klagomål/A 9553-2025 FSC-klagomål.docx", "A 9553-2025")</f>
        <v/>
      </c>
      <c r="AB314">
        <f>HYPERLINK("https://klasma.github.io/Logging_0330/klagomålsmail/A 9553-2025 FSC-klagomål mail.docx", "A 9553-2025")</f>
        <v/>
      </c>
      <c r="AC314">
        <f>HYPERLINK("https://klasma.github.io/Logging_0330/tillsyn/A 9553-2025 tillsynsbegäran.docx", "A 9553-2025")</f>
        <v/>
      </c>
      <c r="AD314">
        <f>HYPERLINK("https://klasma.github.io/Logging_0330/tillsynsmail/A 9553-2025 tillsynsbegäran mail.docx", "A 9553-2025")</f>
        <v/>
      </c>
    </row>
    <row r="315" ht="15" customHeight="1">
      <c r="A315" t="inlineStr">
        <is>
          <t>A 36561-2022</t>
        </is>
      </c>
      <c r="B315" t="inlineStr">
        <is>
          <t>avverkningsanmälan</t>
        </is>
      </c>
      <c r="C315" t="inlineStr">
        <is>
          <t>Föryngringsavverkning</t>
        </is>
      </c>
      <c r="D315" s="1" t="n">
        <v>44804</v>
      </c>
      <c r="E315" s="1" t="n">
        <v>46309</v>
      </c>
      <c r="F315" t="inlineStr">
        <is>
          <t>UPPSALA LÄN</t>
        </is>
      </c>
      <c r="G315" t="inlineStr">
        <is>
          <t>TIERP</t>
        </is>
      </c>
      <c r="I315" t="n">
        <v>4.6</v>
      </c>
      <c r="J315" t="n">
        <v>3</v>
      </c>
      <c r="K315" t="n">
        <v>0</v>
      </c>
      <c r="L315" t="n">
        <v>1</v>
      </c>
      <c r="M315" t="n">
        <v>0</v>
      </c>
      <c r="N315" t="n">
        <v>0</v>
      </c>
      <c r="O315" t="n">
        <v>0</v>
      </c>
      <c r="P315" t="n">
        <v>0</v>
      </c>
      <c r="Q315" t="n">
        <v>1</v>
      </c>
      <c r="R315" t="n">
        <v>0</v>
      </c>
      <c r="S315" t="n">
        <v>4</v>
      </c>
      <c r="T315" t="n">
        <v>4</v>
      </c>
      <c r="U315" t="n">
        <v>0</v>
      </c>
      <c r="V315" s="2" t="inlineStr">
        <is>
          <t>Jungfrulin
Mattlummer
Fläcknycklar
Revlummer</t>
        </is>
      </c>
      <c r="W315">
        <f>HYPERLINK("https://klasma.github.io/Logging_0360/artfynd/A 36561-2022 artfynd.xlsx", "A 36561-2022")</f>
        <v/>
      </c>
      <c r="X315">
        <f>HYPERLINK("https://klasma.github.io/Logging_0360/kartor/A 36561-2022 karta.png", "A 36561-2022")</f>
        <v/>
      </c>
      <c r="Y315">
        <f>HYPERLINK("https://klasma.github.io/Logging_0360/kartor_geotiff/A 36561-2022 georefererad karta.tif", "A 36561-2022")</f>
        <v/>
      </c>
      <c r="AA315">
        <f>HYPERLINK("https://klasma.github.io/Logging_0360/klagomål/A 36561-2022 FSC-klagomål.docx", "A 36561-2022")</f>
        <v/>
      </c>
      <c r="AB315">
        <f>HYPERLINK("https://klasma.github.io/Logging_0360/klagomålsmail/A 36561-2022 FSC-klagomål mail.docx", "A 36561-2022")</f>
        <v/>
      </c>
      <c r="AC315">
        <f>HYPERLINK("https://klasma.github.io/Logging_0360/tillsyn/A 36561-2022 tillsynsbegäran.docx", "A 36561-2022")</f>
        <v/>
      </c>
      <c r="AD315">
        <f>HYPERLINK("https://klasma.github.io/Logging_0360/tillsynsmail/A 36561-2022 tillsynsbegäran mail.docx", "A 36561-2022")</f>
        <v/>
      </c>
    </row>
    <row r="316" ht="15" customHeight="1">
      <c r="A316" t="inlineStr">
        <is>
          <t>A 60038-2021</t>
        </is>
      </c>
      <c r="B316" t="inlineStr">
        <is>
          <t>avverkningsanmälan</t>
        </is>
      </c>
      <c r="C316" t="inlineStr">
        <is>
          <t>Föryngringsavverkning</t>
        </is>
      </c>
      <c r="D316" s="1" t="n">
        <v>44495</v>
      </c>
      <c r="E316" s="1" t="n">
        <v>46309</v>
      </c>
      <c r="F316" t="inlineStr">
        <is>
          <t>UPPSALA LÄN</t>
        </is>
      </c>
      <c r="G316" t="inlineStr">
        <is>
          <t>UPPSALA</t>
        </is>
      </c>
      <c r="I316" t="n">
        <v>1.2</v>
      </c>
      <c r="J316" t="n">
        <v>1</v>
      </c>
      <c r="K316" t="n">
        <v>1</v>
      </c>
      <c r="L316" t="n">
        <v>2</v>
      </c>
      <c r="M316" t="n">
        <v>0</v>
      </c>
      <c r="N316" t="n">
        <v>0</v>
      </c>
      <c r="O316" t="n">
        <v>0</v>
      </c>
      <c r="P316" t="n">
        <v>0</v>
      </c>
      <c r="Q316" t="n">
        <v>2</v>
      </c>
      <c r="R316" t="n">
        <v>0</v>
      </c>
      <c r="S316" t="n">
        <v>4</v>
      </c>
      <c r="T316" t="n">
        <v>5</v>
      </c>
      <c r="U316" t="n">
        <v>5</v>
      </c>
      <c r="V316" s="2" t="inlineStr">
        <is>
          <t>Rynkskinn
Ullticka
Fällmossa
Blåsippa</t>
        </is>
      </c>
      <c r="W316">
        <f>HYPERLINK("https://klasma.github.io/Logging_0380/artfynd/A 60038-2021 artfynd.xlsx", "A 60038-2021")</f>
        <v/>
      </c>
      <c r="X316">
        <f>HYPERLINK("https://klasma.github.io/Logging_0380/kartor/A 60038-2021 karta.png", "A 60038-2021")</f>
        <v/>
      </c>
      <c r="Y316">
        <f>HYPERLINK("https://klasma.github.io/Logging_0380/kartor_geotiff/A 60038-2021 georefererad karta.tif", "A 60038-2021")</f>
        <v/>
      </c>
      <c r="AA316">
        <f>HYPERLINK("https://klasma.github.io/Logging_0380/klagomål/A 60038-2021 FSC-klagomål.docx", "A 60038-2021")</f>
        <v/>
      </c>
      <c r="AB316">
        <f>HYPERLINK("https://klasma.github.io/Logging_0380/klagomålsmail/A 60038-2021 FSC-klagomål mail.docx", "A 60038-2021")</f>
        <v/>
      </c>
      <c r="AC316">
        <f>HYPERLINK("https://klasma.github.io/Logging_0380/tillsyn/A 60038-2021 tillsynsbegäran.docx", "A 60038-2021")</f>
        <v/>
      </c>
      <c r="AD316">
        <f>HYPERLINK("https://klasma.github.io/Logging_0380/tillsynsmail/A 60038-2021 tillsynsbegäran mail.docx", "A 60038-2021")</f>
        <v/>
      </c>
    </row>
    <row r="317" ht="15" customHeight="1">
      <c r="A317" t="inlineStr">
        <is>
          <t>A 58546-2025</t>
        </is>
      </c>
      <c r="B317" t="inlineStr">
        <is>
          <t>avverkningsanmälan</t>
        </is>
      </c>
      <c r="C317" t="inlineStr">
        <is>
          <t>Föryngringsavverkning</t>
        </is>
      </c>
      <c r="D317" s="1" t="n">
        <v>45985</v>
      </c>
      <c r="E317" s="1" t="n">
        <v>46309</v>
      </c>
      <c r="F317" t="inlineStr">
        <is>
          <t>UPPSALA LÄN</t>
        </is>
      </c>
      <c r="G317" t="inlineStr">
        <is>
          <t>UPPSALA</t>
        </is>
      </c>
      <c r="I317" t="n">
        <v>0.6</v>
      </c>
      <c r="J317" t="n">
        <v>2</v>
      </c>
      <c r="K317" t="n">
        <v>1</v>
      </c>
      <c r="L317" t="n">
        <v>1</v>
      </c>
      <c r="M317" t="n">
        <v>1</v>
      </c>
      <c r="N317" t="n">
        <v>0</v>
      </c>
      <c r="O317" t="n">
        <v>0</v>
      </c>
      <c r="P317" t="n">
        <v>0</v>
      </c>
      <c r="Q317" t="n">
        <v>2</v>
      </c>
      <c r="R317" t="n">
        <v>1</v>
      </c>
      <c r="S317" t="n">
        <v>4</v>
      </c>
      <c r="T317" t="n">
        <v>13</v>
      </c>
      <c r="U317" t="n">
        <v>13</v>
      </c>
      <c r="V317" s="2" t="inlineStr">
        <is>
          <t>Knärot
Vedtrappmossa
Rödgul trumpetsvamp
Revlummer</t>
        </is>
      </c>
      <c r="W317">
        <f>HYPERLINK("https://klasma.github.io/Logging_0380/artfynd/A 58546-2025 artfynd.xlsx", "A 58546-2025")</f>
        <v/>
      </c>
      <c r="X317">
        <f>HYPERLINK("https://klasma.github.io/Logging_0380/kartor/A 58546-2025 karta.png", "A 58546-2025")</f>
        <v/>
      </c>
      <c r="Y317">
        <f>HYPERLINK("https://klasma.github.io/Logging_0380/kartor_geotiff/A 58546-2025 georefererad karta.tif", "A 58546-2025")</f>
        <v/>
      </c>
      <c r="Z317">
        <f>HYPERLINK("https://klasma.github.io/Logging_0380/knärot/A 58546-2025 karta knärot.png", "A 58546-2025")</f>
        <v/>
      </c>
      <c r="AA317">
        <f>HYPERLINK("https://klasma.github.io/Logging_0380/klagomål/A 58546-2025 FSC-klagomål.docx", "A 58546-2025")</f>
        <v/>
      </c>
      <c r="AB317">
        <f>HYPERLINK("https://klasma.github.io/Logging_0380/klagomålsmail/A 58546-2025 FSC-klagomål mail.docx", "A 58546-2025")</f>
        <v/>
      </c>
      <c r="AC317">
        <f>HYPERLINK("https://klasma.github.io/Logging_0380/tillsyn/A 58546-2025 tillsynsbegäran.docx", "A 58546-2025")</f>
        <v/>
      </c>
      <c r="AD317">
        <f>HYPERLINK("https://klasma.github.io/Logging_0380/tillsynsmail/A 58546-2025 tillsynsbegäran mail.docx", "A 58546-2025")</f>
        <v/>
      </c>
    </row>
    <row r="318" ht="15" customHeight="1">
      <c r="A318" t="inlineStr">
        <is>
          <t>A 9683-2023</t>
        </is>
      </c>
      <c r="B318" t="inlineStr">
        <is>
          <t>avverkningsanmälan</t>
        </is>
      </c>
      <c r="C318" t="inlineStr">
        <is>
          <t>Föryngringsavverkning</t>
        </is>
      </c>
      <c r="D318" s="1" t="n">
        <v>44984</v>
      </c>
      <c r="E318" s="1" t="n">
        <v>46309</v>
      </c>
      <c r="F318" t="inlineStr">
        <is>
          <t>UPPSALA LÄN</t>
        </is>
      </c>
      <c r="G318" t="inlineStr">
        <is>
          <t>ÖSTHAMMAR</t>
        </is>
      </c>
      <c r="I318" t="n">
        <v>4</v>
      </c>
      <c r="J318" t="n">
        <v>3</v>
      </c>
      <c r="K318" t="n">
        <v>1</v>
      </c>
      <c r="L318" t="n">
        <v>1</v>
      </c>
      <c r="M318" t="n">
        <v>0</v>
      </c>
      <c r="N318" t="n">
        <v>0</v>
      </c>
      <c r="O318" t="n">
        <v>0</v>
      </c>
      <c r="P318" t="n">
        <v>0</v>
      </c>
      <c r="Q318" t="n">
        <v>1</v>
      </c>
      <c r="R318" t="n">
        <v>0</v>
      </c>
      <c r="S318" t="n">
        <v>4</v>
      </c>
      <c r="T318" t="n">
        <v>8</v>
      </c>
      <c r="U318" t="n">
        <v>2</v>
      </c>
      <c r="V318" s="2" t="inlineStr">
        <is>
          <t>Solvända
Tvåblad
Blåsippa
Gullviva</t>
        </is>
      </c>
      <c r="W318">
        <f>HYPERLINK("https://klasma.github.io/Logging_0382/artfynd/A 9683-2023 artfynd.xlsx", "A 9683-2023")</f>
        <v/>
      </c>
      <c r="X318">
        <f>HYPERLINK("https://klasma.github.io/Logging_0382/kartor/A 9683-2023 karta.png", "A 9683-2023")</f>
        <v/>
      </c>
      <c r="Y318">
        <f>HYPERLINK("https://klasma.github.io/Logging_0382/kartor_geotiff/A 9683-2023 georefererad karta.tif", "A 9683-2023")</f>
        <v/>
      </c>
      <c r="AA318">
        <f>HYPERLINK("https://klasma.github.io/Logging_0382/klagomål/A 9683-2023 FSC-klagomål.docx", "A 9683-2023")</f>
        <v/>
      </c>
      <c r="AB318">
        <f>HYPERLINK("https://klasma.github.io/Logging_0382/klagomålsmail/A 9683-2023 FSC-klagomål mail.docx", "A 9683-2023")</f>
        <v/>
      </c>
      <c r="AC318">
        <f>HYPERLINK("https://klasma.github.io/Logging_0382/tillsyn/A 9683-2023 tillsynsbegäran.docx", "A 9683-2023")</f>
        <v/>
      </c>
      <c r="AD318">
        <f>HYPERLINK("https://klasma.github.io/Logging_0382/tillsynsmail/A 9683-2023 tillsynsbegäran mail.docx", "A 9683-2023")</f>
        <v/>
      </c>
    </row>
    <row r="319" ht="15" customHeight="1">
      <c r="A319" t="inlineStr">
        <is>
          <t>A 11217-2024</t>
        </is>
      </c>
      <c r="B319" t="inlineStr">
        <is>
          <t>avverkningsanmälan</t>
        </is>
      </c>
      <c r="C319" t="inlineStr">
        <is>
          <t>Föryngringsavverkning</t>
        </is>
      </c>
      <c r="D319" s="1" t="n">
        <v>45371</v>
      </c>
      <c r="E319" s="1" t="n">
        <v>46309</v>
      </c>
      <c r="F319" t="inlineStr">
        <is>
          <t>UPPSALA LÄN</t>
        </is>
      </c>
      <c r="G319" t="inlineStr">
        <is>
          <t>UPPSALA</t>
        </is>
      </c>
      <c r="H319" t="inlineStr">
        <is>
          <t>Kommuner</t>
        </is>
      </c>
      <c r="I319" t="n">
        <v>1.5</v>
      </c>
      <c r="J319" t="n">
        <v>1</v>
      </c>
      <c r="K319" t="n">
        <v>4</v>
      </c>
      <c r="L319" t="n">
        <v>0</v>
      </c>
      <c r="M319" t="n">
        <v>0</v>
      </c>
      <c r="N319" t="n">
        <v>0</v>
      </c>
      <c r="O319" t="n">
        <v>0</v>
      </c>
      <c r="P319" t="n">
        <v>0</v>
      </c>
      <c r="Q319" t="n">
        <v>0</v>
      </c>
      <c r="R319" t="n">
        <v>0</v>
      </c>
      <c r="S319" t="n">
        <v>4</v>
      </c>
      <c r="T319" t="n">
        <v>6</v>
      </c>
      <c r="U319" t="n">
        <v>0</v>
      </c>
      <c r="V319" s="2" t="inlineStr">
        <is>
          <t>Fällmossa
Grön sköldmossa
Lönnlav
Stor aspticka</t>
        </is>
      </c>
      <c r="W319">
        <f>HYPERLINK("https://klasma.github.io/Logging_0380/artfynd/A 11217-2024 artfynd.xlsx", "A 11217-2024")</f>
        <v/>
      </c>
      <c r="X319">
        <f>HYPERLINK("https://klasma.github.io/Logging_0380/kartor/A 11217-2024 karta.png", "A 11217-2024")</f>
        <v/>
      </c>
      <c r="Y319">
        <f>HYPERLINK("https://klasma.github.io/Logging_0380/kartor_geotiff/A 11217-2024 georefererad karta.tif", "A 11217-2024")</f>
        <v/>
      </c>
      <c r="AA319">
        <f>HYPERLINK("https://klasma.github.io/Logging_0380/klagomål/A 11217-2024 FSC-klagomål.docx", "A 11217-2024")</f>
        <v/>
      </c>
      <c r="AB319">
        <f>HYPERLINK("https://klasma.github.io/Logging_0380/klagomålsmail/A 11217-2024 FSC-klagomål mail.docx", "A 11217-2024")</f>
        <v/>
      </c>
      <c r="AC319">
        <f>HYPERLINK("https://klasma.github.io/Logging_0380/tillsyn/A 11217-2024 tillsynsbegäran.docx", "A 11217-2024")</f>
        <v/>
      </c>
      <c r="AD319">
        <f>HYPERLINK("https://klasma.github.io/Logging_0380/tillsynsmail/A 11217-2024 tillsynsbegäran mail.docx", "A 11217-2024")</f>
        <v/>
      </c>
    </row>
    <row r="320" ht="15" customHeight="1">
      <c r="A320" t="inlineStr">
        <is>
          <t>A 5700-2024</t>
        </is>
      </c>
      <c r="B320" t="inlineStr">
        <is>
          <t>avverkningsanmälan</t>
        </is>
      </c>
      <c r="C320" t="inlineStr">
        <is>
          <t>Föryngringsavverkning</t>
        </is>
      </c>
      <c r="D320" s="1" t="n">
        <v>45335</v>
      </c>
      <c r="E320" s="1" t="n">
        <v>46309</v>
      </c>
      <c r="F320" t="inlineStr">
        <is>
          <t>UPPSALA LÄN</t>
        </is>
      </c>
      <c r="G320" t="inlineStr">
        <is>
          <t>TIERP</t>
        </is>
      </c>
      <c r="I320" t="n">
        <v>1.6</v>
      </c>
      <c r="J320" t="n">
        <v>2</v>
      </c>
      <c r="K320" t="n">
        <v>1</v>
      </c>
      <c r="L320" t="n">
        <v>2</v>
      </c>
      <c r="M320" t="n">
        <v>0</v>
      </c>
      <c r="N320" t="n">
        <v>0</v>
      </c>
      <c r="O320" t="n">
        <v>0</v>
      </c>
      <c r="P320" t="n">
        <v>0</v>
      </c>
      <c r="Q320" t="n">
        <v>2</v>
      </c>
      <c r="R320" t="n">
        <v>0</v>
      </c>
      <c r="S320" t="n">
        <v>4</v>
      </c>
      <c r="T320" t="n">
        <v>6</v>
      </c>
      <c r="U320" t="n">
        <v>0</v>
      </c>
      <c r="V320" s="2" t="inlineStr">
        <is>
          <t>Vedtrappmossa
Vårärt
Skogsknipprot
Blåsippa</t>
        </is>
      </c>
      <c r="W320">
        <f>HYPERLINK("https://klasma.github.io/Logging_0360/artfynd/A 5700-2024 artfynd.xlsx", "A 5700-2024")</f>
        <v/>
      </c>
      <c r="X320">
        <f>HYPERLINK("https://klasma.github.io/Logging_0360/kartor/A 5700-2024 karta.png", "A 5700-2024")</f>
        <v/>
      </c>
      <c r="Y320">
        <f>HYPERLINK("https://klasma.github.io/Logging_0360/kartor_geotiff/A 5700-2024 georefererad karta.tif", "A 5700-2024")</f>
        <v/>
      </c>
      <c r="AA320">
        <f>HYPERLINK("https://klasma.github.io/Logging_0360/klagomål/A 5700-2024 FSC-klagomål.docx", "A 5700-2024")</f>
        <v/>
      </c>
      <c r="AB320">
        <f>HYPERLINK("https://klasma.github.io/Logging_0360/klagomålsmail/A 5700-2024 FSC-klagomål mail.docx", "A 5700-2024")</f>
        <v/>
      </c>
      <c r="AC320">
        <f>HYPERLINK("https://klasma.github.io/Logging_0360/tillsyn/A 5700-2024 tillsynsbegäran.docx", "A 5700-2024")</f>
        <v/>
      </c>
      <c r="AD320">
        <f>HYPERLINK("https://klasma.github.io/Logging_0360/tillsynsmail/A 5700-2024 tillsynsbegäran mail.docx", "A 5700-2024")</f>
        <v/>
      </c>
    </row>
    <row r="321" ht="15" customHeight="1">
      <c r="A321" t="inlineStr">
        <is>
          <t>A 40038-2026</t>
        </is>
      </c>
      <c r="B321" t="inlineStr">
        <is>
          <t>avverkningsanmälan</t>
        </is>
      </c>
      <c r="C321" t="inlineStr">
        <is>
          <t>Föryngringsavverkning</t>
        </is>
      </c>
      <c r="D321" s="1" t="n">
        <v>46293</v>
      </c>
      <c r="E321" s="1" t="n">
        <v>46309</v>
      </c>
      <c r="F321" t="inlineStr">
        <is>
          <t>UPPSALA LÄN</t>
        </is>
      </c>
      <c r="G321" t="inlineStr">
        <is>
          <t>ÄLVKARLEBY</t>
        </is>
      </c>
      <c r="H321" t="inlineStr">
        <is>
          <t>Bergvik skog väst AB</t>
        </is>
      </c>
      <c r="I321" t="n">
        <v>24.5</v>
      </c>
      <c r="J321" t="n">
        <v>2</v>
      </c>
      <c r="K321" t="n">
        <v>1</v>
      </c>
      <c r="L321" t="n">
        <v>2</v>
      </c>
      <c r="M321" t="n">
        <v>0</v>
      </c>
      <c r="N321" t="n">
        <v>1</v>
      </c>
      <c r="O321" t="n">
        <v>0</v>
      </c>
      <c r="P321" t="n">
        <v>0</v>
      </c>
      <c r="Q321" t="n">
        <v>3</v>
      </c>
      <c r="R321" t="n">
        <v>1</v>
      </c>
      <c r="S321" t="n">
        <v>4</v>
      </c>
      <c r="T321" t="n">
        <v>14</v>
      </c>
      <c r="U321" t="n">
        <v>0</v>
      </c>
      <c r="V321" s="2" t="inlineStr">
        <is>
          <t>Stor bockrot
Månlåsbräken
Nötkråka
Nästrot</t>
        </is>
      </c>
      <c r="W321">
        <f>HYPERLINK("https://klasma.github.io/Logging_0319/artfynd/A 40038-2026 artfynd.xlsx", "A 40038-2026")</f>
        <v/>
      </c>
      <c r="X321">
        <f>HYPERLINK("https://klasma.github.io/Logging_0319/kartor/A 40038-2026 karta.png", "A 40038-2026")</f>
        <v/>
      </c>
      <c r="Y321">
        <f>HYPERLINK("https://klasma.github.io/Logging_0319/kartor_geotiff/A 40038-2026 georefererad karta.tif", "A 40038-2026")</f>
        <v/>
      </c>
      <c r="AA321">
        <f>HYPERLINK("https://klasma.github.io/Logging_0319/klagomål/A 40038-2026 FSC-klagomål.docx", "A 40038-2026")</f>
        <v/>
      </c>
      <c r="AB321">
        <f>HYPERLINK("https://klasma.github.io/Logging_0319/klagomålsmail/A 40038-2026 FSC-klagomål mail.docx", "A 40038-2026")</f>
        <v/>
      </c>
      <c r="AC321">
        <f>HYPERLINK("https://klasma.github.io/Logging_0319/tillsyn/A 40038-2026 tillsynsbegäran.docx", "A 40038-2026")</f>
        <v/>
      </c>
      <c r="AD321">
        <f>HYPERLINK("https://klasma.github.io/Logging_0319/tillsynsmail/A 40038-2026 tillsynsbegäran mail.docx", "A 40038-2026")</f>
        <v/>
      </c>
      <c r="AE321">
        <f>HYPERLINK("https://klasma.github.io/Logging_0319/fåglar/A 40038-2026 prioriterade fågelarter.docx", "A 40038-2026")</f>
        <v/>
      </c>
    </row>
    <row r="322" ht="15" customHeight="1">
      <c r="A322" t="inlineStr">
        <is>
          <t>A 10848-2025</t>
        </is>
      </c>
      <c r="B322" t="inlineStr">
        <is>
          <t>avverkningsanmälan</t>
        </is>
      </c>
      <c r="C322" t="inlineStr">
        <is>
          <t>Föryngringsavverkning</t>
        </is>
      </c>
      <c r="D322" s="1" t="n">
        <v>45722</v>
      </c>
      <c r="E322" s="1" t="n">
        <v>46309</v>
      </c>
      <c r="F322" t="inlineStr">
        <is>
          <t>UPPSALA LÄN</t>
        </is>
      </c>
      <c r="G322" t="inlineStr">
        <is>
          <t>TIERP</t>
        </is>
      </c>
      <c r="H322" t="inlineStr">
        <is>
          <t>Bergvik skog öst AB</t>
        </is>
      </c>
      <c r="I322" t="n">
        <v>1.9</v>
      </c>
      <c r="J322" t="n">
        <v>4</v>
      </c>
      <c r="K322" t="n">
        <v>0</v>
      </c>
      <c r="L322" t="n">
        <v>1</v>
      </c>
      <c r="M322" t="n">
        <v>0</v>
      </c>
      <c r="N322" t="n">
        <v>0</v>
      </c>
      <c r="O322" t="n">
        <v>0</v>
      </c>
      <c r="P322" t="n">
        <v>0</v>
      </c>
      <c r="Q322" t="n">
        <v>1</v>
      </c>
      <c r="R322" t="n">
        <v>0</v>
      </c>
      <c r="S322" t="n">
        <v>4</v>
      </c>
      <c r="T322" t="n">
        <v>11</v>
      </c>
      <c r="U322" t="n">
        <v>0</v>
      </c>
      <c r="V322" s="2" t="inlineStr">
        <is>
          <t>Talltita
Blåsippa
Tjäder
Grönsiska</t>
        </is>
      </c>
      <c r="W322">
        <f>HYPERLINK("https://klasma.github.io/Logging_0360/artfynd/A 10848-2025 artfynd.xlsx", "A 10848-2025")</f>
        <v/>
      </c>
      <c r="X322">
        <f>HYPERLINK("https://klasma.github.io/Logging_0360/kartor/A 10848-2025 karta.png", "A 10848-2025")</f>
        <v/>
      </c>
      <c r="Y322">
        <f>HYPERLINK("https://klasma.github.io/Logging_0360/kartor_geotiff/A 10848-2025 georefererad karta.tif", "A 10848-2025")</f>
        <v/>
      </c>
      <c r="AA322">
        <f>HYPERLINK("https://klasma.github.io/Logging_0360/klagomål/A 10848-2025 FSC-klagomål.docx", "A 10848-2025")</f>
        <v/>
      </c>
      <c r="AB322">
        <f>HYPERLINK("https://klasma.github.io/Logging_0360/klagomålsmail/A 10848-2025 FSC-klagomål mail.docx", "A 10848-2025")</f>
        <v/>
      </c>
      <c r="AC322">
        <f>HYPERLINK("https://klasma.github.io/Logging_0360/tillsyn/A 10848-2025 tillsynsbegäran.docx", "A 10848-2025")</f>
        <v/>
      </c>
      <c r="AD322">
        <f>HYPERLINK("https://klasma.github.io/Logging_0360/tillsynsmail/A 10848-2025 tillsynsbegäran mail.docx", "A 10848-2025")</f>
        <v/>
      </c>
      <c r="AE322">
        <f>HYPERLINK("https://klasma.github.io/Logging_0360/fåglar/A 10848-2025 prioriterade fågelarter.docx", "A 10848-2025")</f>
        <v/>
      </c>
    </row>
    <row r="323" ht="15" customHeight="1">
      <c r="A323" t="inlineStr">
        <is>
          <t>A 40476-2026</t>
        </is>
      </c>
      <c r="B323" t="inlineStr">
        <is>
          <t>avverkningsanmälan</t>
        </is>
      </c>
      <c r="C323" t="inlineStr">
        <is>
          <t>Föryngringsavverkning</t>
        </is>
      </c>
      <c r="D323" s="1" t="n">
        <v>46295</v>
      </c>
      <c r="E323" s="1" t="n">
        <v>46309</v>
      </c>
      <c r="F323" t="inlineStr">
        <is>
          <t>UPPSALA LÄN</t>
        </is>
      </c>
      <c r="G323" t="inlineStr">
        <is>
          <t>ÄLVKARLEBY</t>
        </is>
      </c>
      <c r="H323" t="inlineStr">
        <is>
          <t>Bergvik skog öst AB</t>
        </is>
      </c>
      <c r="I323" t="n">
        <v>11.2</v>
      </c>
      <c r="J323" t="n">
        <v>0</v>
      </c>
      <c r="K323" t="n">
        <v>1</v>
      </c>
      <c r="L323" t="n">
        <v>2</v>
      </c>
      <c r="M323" t="n">
        <v>0</v>
      </c>
      <c r="N323" t="n">
        <v>1</v>
      </c>
      <c r="O323" t="n">
        <v>0</v>
      </c>
      <c r="P323" t="n">
        <v>0</v>
      </c>
      <c r="Q323" t="n">
        <v>3</v>
      </c>
      <c r="R323" t="n">
        <v>1</v>
      </c>
      <c r="S323" t="n">
        <v>4</v>
      </c>
      <c r="T323" t="n">
        <v>4</v>
      </c>
      <c r="U323" t="n">
        <v>0</v>
      </c>
      <c r="V323" s="2" t="inlineStr">
        <is>
          <t>Ask
Platt spretmossa
Vedtrappmossa
Myskmadra</t>
        </is>
      </c>
      <c r="W323">
        <f>HYPERLINK("https://klasma.github.io/Logging_0319/artfynd/A 40476-2026 artfynd.xlsx", "A 40476-2026")</f>
        <v/>
      </c>
      <c r="X323">
        <f>HYPERLINK("https://klasma.github.io/Logging_0319/kartor/A 40476-2026 karta.png", "A 40476-2026")</f>
        <v/>
      </c>
      <c r="Y323">
        <f>HYPERLINK("https://klasma.github.io/Logging_0319/kartor_geotiff/A 40476-2026 georefererad karta.tif", "A 40476-2026")</f>
        <v/>
      </c>
      <c r="AA323">
        <f>HYPERLINK("https://klasma.github.io/Logging_0319/klagomål/A 40476-2026 FSC-klagomål.docx", "A 40476-2026")</f>
        <v/>
      </c>
      <c r="AB323">
        <f>HYPERLINK("https://klasma.github.io/Logging_0319/klagomålsmail/A 40476-2026 FSC-klagomål mail.docx", "A 40476-2026")</f>
        <v/>
      </c>
      <c r="AC323">
        <f>HYPERLINK("https://klasma.github.io/Logging_0319/tillsyn/A 40476-2026 tillsynsbegäran.docx", "A 40476-2026")</f>
        <v/>
      </c>
      <c r="AD323">
        <f>HYPERLINK("https://klasma.github.io/Logging_0319/tillsynsmail/A 40476-2026 tillsynsbegäran mail.docx", "A 40476-2026")</f>
        <v/>
      </c>
    </row>
    <row r="324" ht="15" customHeight="1">
      <c r="A324" t="inlineStr">
        <is>
          <t>A 32785-2023</t>
        </is>
      </c>
      <c r="B324" t="inlineStr">
        <is>
          <t>avverkningsanmälan</t>
        </is>
      </c>
      <c r="C324" t="inlineStr">
        <is>
          <t>Föryngringsavverkning</t>
        </is>
      </c>
      <c r="D324" s="1" t="n">
        <v>45124</v>
      </c>
      <c r="E324" s="1" t="n">
        <v>46309</v>
      </c>
      <c r="F324" t="inlineStr">
        <is>
          <t>UPPSALA LÄN</t>
        </is>
      </c>
      <c r="G324" t="inlineStr">
        <is>
          <t>HEBY</t>
        </is>
      </c>
      <c r="I324" t="n">
        <v>3.1</v>
      </c>
      <c r="J324" t="n">
        <v>3</v>
      </c>
      <c r="K324" t="n">
        <v>0</v>
      </c>
      <c r="L324" t="n">
        <v>1</v>
      </c>
      <c r="M324" t="n">
        <v>1</v>
      </c>
      <c r="N324" t="n">
        <v>0</v>
      </c>
      <c r="O324" t="n">
        <v>0</v>
      </c>
      <c r="P324" t="n">
        <v>0</v>
      </c>
      <c r="Q324" t="n">
        <v>2</v>
      </c>
      <c r="R324" t="n">
        <v>1</v>
      </c>
      <c r="S324" t="n">
        <v>4</v>
      </c>
      <c r="T324" t="n">
        <v>5</v>
      </c>
      <c r="U324" t="n">
        <v>3</v>
      </c>
      <c r="V324" s="2" t="inlineStr">
        <is>
          <t>Garnlav
Talltita
Spillkråka
Huggorm</t>
        </is>
      </c>
      <c r="W324">
        <f>HYPERLINK("https://klasma.github.io/Logging_0331/artfynd/A 32785-2023 artfynd.xlsx", "A 32785-2023")</f>
        <v/>
      </c>
      <c r="X324">
        <f>HYPERLINK("https://klasma.github.io/Logging_0331/kartor/A 32785-2023 karta.png", "A 32785-2023")</f>
        <v/>
      </c>
      <c r="Y324">
        <f>HYPERLINK("https://klasma.github.io/Logging_0331/kartor_geotiff/A 32785-2023 georefererad karta.tif", "A 32785-2023")</f>
        <v/>
      </c>
      <c r="AA324">
        <f>HYPERLINK("https://klasma.github.io/Logging_0331/klagomål/A 32785-2023 FSC-klagomål.docx", "A 32785-2023")</f>
        <v/>
      </c>
      <c r="AB324">
        <f>HYPERLINK("https://klasma.github.io/Logging_0331/klagomålsmail/A 32785-2023 FSC-klagomål mail.docx", "A 32785-2023")</f>
        <v/>
      </c>
      <c r="AC324">
        <f>HYPERLINK("https://klasma.github.io/Logging_0331/tillsyn/A 32785-2023 tillsynsbegäran.docx", "A 32785-2023")</f>
        <v/>
      </c>
      <c r="AD324">
        <f>HYPERLINK("https://klasma.github.io/Logging_0331/tillsynsmail/A 32785-2023 tillsynsbegäran mail.docx", "A 32785-2023")</f>
        <v/>
      </c>
      <c r="AE324">
        <f>HYPERLINK("https://klasma.github.io/Logging_0331/fåglar/A 32785-2023 prioriterade fågelarter.docx", "A 32785-2023")</f>
        <v/>
      </c>
    </row>
    <row r="325" ht="15" customHeight="1">
      <c r="A325" t="inlineStr">
        <is>
          <t>A 34567-2026</t>
        </is>
      </c>
      <c r="B325" t="inlineStr">
        <is>
          <t>avverkningsanmälan</t>
        </is>
      </c>
      <c r="C325" t="inlineStr">
        <is>
          <t>Föryngringsavverkning</t>
        </is>
      </c>
      <c r="D325" s="1" t="n">
        <v>46255</v>
      </c>
      <c r="E325" s="1" t="n">
        <v>46309</v>
      </c>
      <c r="F325" t="inlineStr">
        <is>
          <t>UPPSALA LÄN</t>
        </is>
      </c>
      <c r="G325" t="inlineStr">
        <is>
          <t>ENKÖPING</t>
        </is>
      </c>
      <c r="I325" t="n">
        <v>4.9</v>
      </c>
      <c r="J325" t="n">
        <v>0</v>
      </c>
      <c r="K325" t="n">
        <v>2</v>
      </c>
      <c r="L325" t="n">
        <v>2</v>
      </c>
      <c r="M325" t="n">
        <v>0</v>
      </c>
      <c r="N325" t="n">
        <v>0</v>
      </c>
      <c r="O325" t="n">
        <v>0</v>
      </c>
      <c r="P325" t="n">
        <v>0</v>
      </c>
      <c r="Q325" t="n">
        <v>2</v>
      </c>
      <c r="R325" t="n">
        <v>0</v>
      </c>
      <c r="S325" t="n">
        <v>4</v>
      </c>
      <c r="T325" t="n">
        <v>4</v>
      </c>
      <c r="U325" t="n">
        <v>0</v>
      </c>
      <c r="V325" s="2" t="inlineStr">
        <is>
          <t>Apelsinticka
Tallticka
Blåmossa
Granbarkgnagare</t>
        </is>
      </c>
      <c r="W325">
        <f>HYPERLINK("https://klasma.github.io/Logging_0381/artfynd/A 34567-2026 artfynd.xlsx", "A 34567-2026")</f>
        <v/>
      </c>
      <c r="X325">
        <f>HYPERLINK("https://klasma.github.io/Logging_0381/kartor/A 34567-2026 karta.png", "A 34567-2026")</f>
        <v/>
      </c>
      <c r="Y325">
        <f>HYPERLINK("https://klasma.github.io/Logging_0381/kartor_geotiff/A 34567-2026 georefererad karta.tif", "A 34567-2026")</f>
        <v/>
      </c>
      <c r="AA325">
        <f>HYPERLINK("https://klasma.github.io/Logging_0381/klagomål/A 34567-2026 FSC-klagomål.docx", "A 34567-2026")</f>
        <v/>
      </c>
      <c r="AB325">
        <f>HYPERLINK("https://klasma.github.io/Logging_0381/klagomålsmail/A 34567-2026 FSC-klagomål mail.docx", "A 34567-2026")</f>
        <v/>
      </c>
      <c r="AC325">
        <f>HYPERLINK("https://klasma.github.io/Logging_0381/tillsyn/A 34567-2026 tillsynsbegäran.docx", "A 34567-2026")</f>
        <v/>
      </c>
      <c r="AD325">
        <f>HYPERLINK("https://klasma.github.io/Logging_0381/tillsynsmail/A 34567-2026 tillsynsbegäran mail.docx", "A 34567-2026")</f>
        <v/>
      </c>
    </row>
    <row r="326" ht="15" customHeight="1">
      <c r="A326" t="inlineStr">
        <is>
          <t>A 34753-2026</t>
        </is>
      </c>
      <c r="B326" t="inlineStr">
        <is>
          <t>avverkningsanmälan</t>
        </is>
      </c>
      <c r="C326" t="inlineStr">
        <is>
          <t>Föryngringsavverkning</t>
        </is>
      </c>
      <c r="D326" s="1" t="n">
        <v>46255</v>
      </c>
      <c r="E326" s="1" t="n">
        <v>46309</v>
      </c>
      <c r="F326" t="inlineStr">
        <is>
          <t>UPPSALA LÄN</t>
        </is>
      </c>
      <c r="G326" t="inlineStr">
        <is>
          <t>ENKÖPING</t>
        </is>
      </c>
      <c r="I326" t="n">
        <v>1.6</v>
      </c>
      <c r="J326" t="n">
        <v>0</v>
      </c>
      <c r="K326" t="n">
        <v>1</v>
      </c>
      <c r="L326" t="n">
        <v>3</v>
      </c>
      <c r="M326" t="n">
        <v>0</v>
      </c>
      <c r="N326" t="n">
        <v>0</v>
      </c>
      <c r="O326" t="n">
        <v>0</v>
      </c>
      <c r="P326" t="n">
        <v>0</v>
      </c>
      <c r="Q326" t="n">
        <v>3</v>
      </c>
      <c r="R326" t="n">
        <v>0</v>
      </c>
      <c r="S326" t="n">
        <v>4</v>
      </c>
      <c r="T326" t="n">
        <v>4</v>
      </c>
      <c r="U326" t="n">
        <v>0</v>
      </c>
      <c r="V326" s="2" t="inlineStr">
        <is>
          <t>Kandelabersvamp
Tallticka
Veckticka
Blomkålssvamp</t>
        </is>
      </c>
      <c r="W326">
        <f>HYPERLINK("https://klasma.github.io/Logging_0381/artfynd/A 34753-2026 artfynd.xlsx", "A 34753-2026")</f>
        <v/>
      </c>
      <c r="X326">
        <f>HYPERLINK("https://klasma.github.io/Logging_0381/kartor/A 34753-2026 karta.png", "A 34753-2026")</f>
        <v/>
      </c>
      <c r="Y326">
        <f>HYPERLINK("https://klasma.github.io/Logging_0381/kartor_geotiff/A 34753-2026 georefererad karta.tif", "A 34753-2026")</f>
        <v/>
      </c>
      <c r="AA326">
        <f>HYPERLINK("https://klasma.github.io/Logging_0381/klagomål/A 34753-2026 FSC-klagomål.docx", "A 34753-2026")</f>
        <v/>
      </c>
      <c r="AB326">
        <f>HYPERLINK("https://klasma.github.io/Logging_0381/klagomålsmail/A 34753-2026 FSC-klagomål mail.docx", "A 34753-2026")</f>
        <v/>
      </c>
      <c r="AC326">
        <f>HYPERLINK("https://klasma.github.io/Logging_0381/tillsyn/A 34753-2026 tillsynsbegäran.docx", "A 34753-2026")</f>
        <v/>
      </c>
      <c r="AD326">
        <f>HYPERLINK("https://klasma.github.io/Logging_0381/tillsynsmail/A 34753-2026 tillsynsbegäran mail.docx", "A 34753-2026")</f>
        <v/>
      </c>
    </row>
    <row r="327" ht="15" customHeight="1">
      <c r="A327" t="inlineStr">
        <is>
          <t>A 62004-2025</t>
        </is>
      </c>
      <c r="B327" t="inlineStr">
        <is>
          <t>avverkningsanmälan</t>
        </is>
      </c>
      <c r="C327" t="inlineStr">
        <is>
          <t>Föryngringsavverkning</t>
        </is>
      </c>
      <c r="D327" s="1" t="n">
        <v>46003</v>
      </c>
      <c r="E327" s="1" t="n">
        <v>46309</v>
      </c>
      <c r="F327" t="inlineStr">
        <is>
          <t>UPPSALA LÄN</t>
        </is>
      </c>
      <c r="G327" t="inlineStr">
        <is>
          <t>UPPSALA</t>
        </is>
      </c>
      <c r="I327" t="n">
        <v>7.2</v>
      </c>
      <c r="J327" t="n">
        <v>3</v>
      </c>
      <c r="K327" t="n">
        <v>0</v>
      </c>
      <c r="L327" t="n">
        <v>1</v>
      </c>
      <c r="M327" t="n">
        <v>1</v>
      </c>
      <c r="N327" t="n">
        <v>0</v>
      </c>
      <c r="O327" t="n">
        <v>0</v>
      </c>
      <c r="P327" t="n">
        <v>0</v>
      </c>
      <c r="Q327" t="n">
        <v>2</v>
      </c>
      <c r="R327" t="n">
        <v>1</v>
      </c>
      <c r="S327" t="n">
        <v>4</v>
      </c>
      <c r="T327" t="n">
        <v>27</v>
      </c>
      <c r="U327" t="n">
        <v>27</v>
      </c>
      <c r="V327" s="2" t="inlineStr">
        <is>
          <t>Knärot
Vedtrappmossa
Spillkråka
Revlummer</t>
        </is>
      </c>
      <c r="W327">
        <f>HYPERLINK("https://klasma.github.io/Logging_0380/artfynd/A 62004-2025 artfynd.xlsx", "A 62004-2025")</f>
        <v/>
      </c>
      <c r="X327">
        <f>HYPERLINK("https://klasma.github.io/Logging_0380/kartor/A 62004-2025 karta.png", "A 62004-2025")</f>
        <v/>
      </c>
      <c r="Y327">
        <f>HYPERLINK("https://klasma.github.io/Logging_0380/kartor_geotiff/A 62004-2025 georefererad karta.tif", "A 62004-2025")</f>
        <v/>
      </c>
      <c r="Z327">
        <f>HYPERLINK("https://klasma.github.io/Logging_0380/knärot/A 62004-2025 karta knärot.png", "A 62004-2025")</f>
        <v/>
      </c>
      <c r="AA327">
        <f>HYPERLINK("https://klasma.github.io/Logging_0380/klagomål/A 62004-2025 FSC-klagomål.docx", "A 62004-2025")</f>
        <v/>
      </c>
      <c r="AB327">
        <f>HYPERLINK("https://klasma.github.io/Logging_0380/klagomålsmail/A 62004-2025 FSC-klagomål mail.docx", "A 62004-2025")</f>
        <v/>
      </c>
      <c r="AC327">
        <f>HYPERLINK("https://klasma.github.io/Logging_0380/tillsyn/A 62004-2025 tillsynsbegäran.docx", "A 62004-2025")</f>
        <v/>
      </c>
      <c r="AD327">
        <f>HYPERLINK("https://klasma.github.io/Logging_0380/tillsynsmail/A 62004-2025 tillsynsbegäran mail.docx", "A 62004-2025")</f>
        <v/>
      </c>
      <c r="AE327">
        <f>HYPERLINK("https://klasma.github.io/Logging_0380/fåglar/A 62004-2025 prioriterade fågelarter.docx", "A 62004-2025")</f>
        <v/>
      </c>
    </row>
    <row r="328" ht="15" customHeight="1">
      <c r="A328" t="inlineStr">
        <is>
          <t>A 35713-2026</t>
        </is>
      </c>
      <c r="B328" t="inlineStr">
        <is>
          <t>avverkningsanmälan</t>
        </is>
      </c>
      <c r="C328" t="inlineStr">
        <is>
          <t>Föryngringsavverkning</t>
        </is>
      </c>
      <c r="D328" s="1" t="n">
        <v>46265</v>
      </c>
      <c r="E328" s="1" t="n">
        <v>46309</v>
      </c>
      <c r="F328" t="inlineStr">
        <is>
          <t>UPPSALA LÄN</t>
        </is>
      </c>
      <c r="G328" t="inlineStr">
        <is>
          <t>ENKÖPING</t>
        </is>
      </c>
      <c r="H328" t="inlineStr">
        <is>
          <t>Övriga statliga verk och myndigheter</t>
        </is>
      </c>
      <c r="I328" t="n">
        <v>2.8</v>
      </c>
      <c r="J328" t="n">
        <v>1</v>
      </c>
      <c r="K328" t="n">
        <v>1</v>
      </c>
      <c r="L328" t="n">
        <v>2</v>
      </c>
      <c r="M328" t="n">
        <v>1</v>
      </c>
      <c r="N328" t="n">
        <v>0</v>
      </c>
      <c r="O328" t="n">
        <v>0</v>
      </c>
      <c r="P328" t="n">
        <v>0</v>
      </c>
      <c r="Q328" t="n">
        <v>3</v>
      </c>
      <c r="R328" t="n">
        <v>1</v>
      </c>
      <c r="S328" t="n">
        <v>4</v>
      </c>
      <c r="T328" t="n">
        <v>6</v>
      </c>
      <c r="U328" t="n">
        <v>0</v>
      </c>
      <c r="V328" s="2" t="inlineStr">
        <is>
          <t>Knärot
Tallticka
Vintertagging
Granbarkgnagare</t>
        </is>
      </c>
      <c r="W328">
        <f>HYPERLINK("https://klasma.github.io/Logging_0381/artfynd/A 35713-2026 artfynd.xlsx", "A 35713-2026")</f>
        <v/>
      </c>
      <c r="X328">
        <f>HYPERLINK("https://klasma.github.io/Logging_0381/kartor/A 35713-2026 karta.png", "A 35713-2026")</f>
        <v/>
      </c>
      <c r="Y328">
        <f>HYPERLINK("https://klasma.github.io/Logging_0381/kartor_geotiff/A 35713-2026 georefererad karta.tif", "A 35713-2026")</f>
        <v/>
      </c>
      <c r="Z328">
        <f>HYPERLINK("https://klasma.github.io/Logging_0381/knärot/A 35713-2026 karta knärot.png", "A 35713-2026")</f>
        <v/>
      </c>
      <c r="AA328">
        <f>HYPERLINK("https://klasma.github.io/Logging_0381/klagomål/A 35713-2026 FSC-klagomål.docx", "A 35713-2026")</f>
        <v/>
      </c>
      <c r="AB328">
        <f>HYPERLINK("https://klasma.github.io/Logging_0381/klagomålsmail/A 35713-2026 FSC-klagomål mail.docx", "A 35713-2026")</f>
        <v/>
      </c>
      <c r="AC328">
        <f>HYPERLINK("https://klasma.github.io/Logging_0381/tillsyn/A 35713-2026 tillsynsbegäran.docx", "A 35713-2026")</f>
        <v/>
      </c>
      <c r="AD328">
        <f>HYPERLINK("https://klasma.github.io/Logging_0381/tillsynsmail/A 35713-2026 tillsynsbegäran mail.docx", "A 35713-2026")</f>
        <v/>
      </c>
    </row>
    <row r="329" ht="15" customHeight="1">
      <c r="A329" t="inlineStr">
        <is>
          <t>A 35531-2026</t>
        </is>
      </c>
      <c r="B329" t="inlineStr">
        <is>
          <t>avverkningsanmälan</t>
        </is>
      </c>
      <c r="C329" t="inlineStr">
        <is>
          <t>Föryngringsavverkning</t>
        </is>
      </c>
      <c r="D329" s="1" t="n">
        <v>46262</v>
      </c>
      <c r="E329" s="1" t="n">
        <v>46309</v>
      </c>
      <c r="F329" t="inlineStr">
        <is>
          <t>UPPSALA LÄN</t>
        </is>
      </c>
      <c r="G329" t="inlineStr">
        <is>
          <t>TIERP</t>
        </is>
      </c>
      <c r="H329" t="inlineStr">
        <is>
          <t>Bergvik skog öst AB</t>
        </is>
      </c>
      <c r="I329" t="n">
        <v>1.1</v>
      </c>
      <c r="J329" t="n">
        <v>1</v>
      </c>
      <c r="K329" t="n">
        <v>2</v>
      </c>
      <c r="L329" t="n">
        <v>1</v>
      </c>
      <c r="M329" t="n">
        <v>1</v>
      </c>
      <c r="N329" t="n">
        <v>0</v>
      </c>
      <c r="O329" t="n">
        <v>0</v>
      </c>
      <c r="P329" t="n">
        <v>0</v>
      </c>
      <c r="Q329" t="n">
        <v>2</v>
      </c>
      <c r="R329" t="n">
        <v>1</v>
      </c>
      <c r="S329" t="n">
        <v>4</v>
      </c>
      <c r="T329" t="n">
        <v>7</v>
      </c>
      <c r="U329" t="n">
        <v>0</v>
      </c>
      <c r="V329" s="2" t="inlineStr">
        <is>
          <t>Fältgentiana
Fjällig taggsvamp s.str.
Gräsull
Guckusko</t>
        </is>
      </c>
      <c r="W329">
        <f>HYPERLINK("https://klasma.github.io/Logging_0360/artfynd/A 35531-2026 artfynd.xlsx", "A 35531-2026")</f>
        <v/>
      </c>
      <c r="X329">
        <f>HYPERLINK("https://klasma.github.io/Logging_0360/kartor/A 35531-2026 karta.png", "A 35531-2026")</f>
        <v/>
      </c>
      <c r="Y329">
        <f>HYPERLINK("https://klasma.github.io/Logging_0360/kartor_geotiff/A 35531-2026 georefererad karta.tif", "A 35531-2026")</f>
        <v/>
      </c>
      <c r="AA329">
        <f>HYPERLINK("https://klasma.github.io/Logging_0360/klagomål/A 35531-2026 FSC-klagomål.docx", "A 35531-2026")</f>
        <v/>
      </c>
      <c r="AB329">
        <f>HYPERLINK("https://klasma.github.io/Logging_0360/klagomålsmail/A 35531-2026 FSC-klagomål mail.docx", "A 35531-2026")</f>
        <v/>
      </c>
      <c r="AC329">
        <f>HYPERLINK("https://klasma.github.io/Logging_0360/tillsyn/A 35531-2026 tillsynsbegäran.docx", "A 35531-2026")</f>
        <v/>
      </c>
      <c r="AD329">
        <f>HYPERLINK("https://klasma.github.io/Logging_0360/tillsynsmail/A 35531-2026 tillsynsbegäran mail.docx", "A 35531-2026")</f>
        <v/>
      </c>
    </row>
    <row r="330" ht="15" customHeight="1">
      <c r="A330" t="inlineStr">
        <is>
          <t>S 521-2022</t>
        </is>
      </c>
      <c r="B330" t="inlineStr">
        <is>
          <t>samrådsanmälan</t>
        </is>
      </c>
      <c r="C330" t="inlineStr">
        <is>
          <t>Skogsgödsling</t>
        </is>
      </c>
      <c r="D330" s="1" t="n">
        <v>44588</v>
      </c>
      <c r="E330" s="1" t="n">
        <v>46309</v>
      </c>
      <c r="F330" t="inlineStr">
        <is>
          <t>UPPSALA LÄN</t>
        </is>
      </c>
      <c r="G330" t="inlineStr">
        <is>
          <t>UPPSALA</t>
        </is>
      </c>
      <c r="H330" t="inlineStr">
        <is>
          <t>Bergvik skog öst AB</t>
        </is>
      </c>
      <c r="I330" t="n">
        <v>163.8</v>
      </c>
      <c r="J330" t="n">
        <v>3</v>
      </c>
      <c r="K330" t="n">
        <v>1</v>
      </c>
      <c r="L330" t="n">
        <v>1</v>
      </c>
      <c r="M330" t="n">
        <v>0</v>
      </c>
      <c r="N330" t="n">
        <v>0</v>
      </c>
      <c r="O330" t="n">
        <v>0</v>
      </c>
      <c r="P330" t="n">
        <v>0</v>
      </c>
      <c r="Q330" t="n">
        <v>1</v>
      </c>
      <c r="R330" t="n">
        <v>0</v>
      </c>
      <c r="S330" t="n">
        <v>4</v>
      </c>
      <c r="T330" t="n">
        <v>27</v>
      </c>
      <c r="U330" t="n">
        <v>27</v>
      </c>
      <c r="V330" s="2" t="inlineStr">
        <is>
          <t>Talltita
Grönpyrola
Spillkråka
Tjäder</t>
        </is>
      </c>
      <c r="W330">
        <f>HYPERLINK("https://klasma.github.io/Logging_0380/artfynd/S 521-2022 artfynd.xlsx", "S 521-2022")</f>
        <v/>
      </c>
      <c r="X330">
        <f>HYPERLINK("https://klasma.github.io/Logging_0380/kartor/S 521-2022 karta.png", "S 521-2022")</f>
        <v/>
      </c>
      <c r="Y330">
        <f>HYPERLINK("https://klasma.github.io/Logging_0380/kartor_geotiff/S 521-2022 georefererad karta.tif", "S 521-2022")</f>
        <v/>
      </c>
      <c r="AA330">
        <f>HYPERLINK("https://klasma.github.io/Logging_0380/klagomål/S 521-2022 FSC-klagomål.docx", "S 521-2022")</f>
        <v/>
      </c>
      <c r="AB330">
        <f>HYPERLINK("https://klasma.github.io/Logging_0380/klagomålsmail/S 521-2022 FSC-klagomål mail.docx", "S 521-2022")</f>
        <v/>
      </c>
      <c r="AC330">
        <f>HYPERLINK("https://klasma.github.io/Logging_0380/tillsyn/S 521-2022 tillsynsbegäran.docx", "S 521-2022")</f>
        <v/>
      </c>
      <c r="AD330">
        <f>HYPERLINK("https://klasma.github.io/Logging_0380/tillsynsmail/S 521-2022 tillsynsbegäran mail.docx", "S 521-2022")</f>
        <v/>
      </c>
      <c r="AE330">
        <f>HYPERLINK("https://klasma.github.io/Logging_0380/fåglar/S 521-2022 prioriterade fågelarter.docx", "S 521-2022")</f>
        <v/>
      </c>
    </row>
    <row r="331" ht="15" customHeight="1">
      <c r="A331" t="inlineStr">
        <is>
          <t>S 491-2022</t>
        </is>
      </c>
      <c r="B331" t="inlineStr">
        <is>
          <t>samrådsanmälan</t>
        </is>
      </c>
      <c r="C331" t="inlineStr">
        <is>
          <t>Skogsgödsling</t>
        </is>
      </c>
      <c r="D331" s="1" t="n">
        <v>44587</v>
      </c>
      <c r="E331" s="1" t="n">
        <v>46309</v>
      </c>
      <c r="F331" t="inlineStr">
        <is>
          <t>UPPSALA LÄN</t>
        </is>
      </c>
      <c r="G331" t="inlineStr">
        <is>
          <t>TIERP</t>
        </is>
      </c>
      <c r="H331" t="inlineStr">
        <is>
          <t>Bergvik skog öst AB</t>
        </is>
      </c>
      <c r="I331" t="n">
        <v>180.2</v>
      </c>
      <c r="J331" t="n">
        <v>3</v>
      </c>
      <c r="K331" t="n">
        <v>1</v>
      </c>
      <c r="L331" t="n">
        <v>1</v>
      </c>
      <c r="M331" t="n">
        <v>0</v>
      </c>
      <c r="N331" t="n">
        <v>0</v>
      </c>
      <c r="O331" t="n">
        <v>0</v>
      </c>
      <c r="P331" t="n">
        <v>0</v>
      </c>
      <c r="Q331" t="n">
        <v>1</v>
      </c>
      <c r="R331" t="n">
        <v>0</v>
      </c>
      <c r="S331" t="n">
        <v>4</v>
      </c>
      <c r="T331" t="n">
        <v>4</v>
      </c>
      <c r="U331" t="n">
        <v>2</v>
      </c>
      <c r="V331" s="2" t="inlineStr">
        <is>
          <t>Talltita
Rödgul trumpetsvamp
Mattlummer
Tjäder</t>
        </is>
      </c>
      <c r="W331">
        <f>HYPERLINK("https://klasma.github.io/Logging_0360/artfynd/S 491-2022 artfynd.xlsx", "S 491-2022")</f>
        <v/>
      </c>
      <c r="X331">
        <f>HYPERLINK("https://klasma.github.io/Logging_0360/kartor/S 491-2022 karta.png", "S 491-2022")</f>
        <v/>
      </c>
      <c r="Y331">
        <f>HYPERLINK("https://klasma.github.io/Logging_0360/kartor_geotiff/S 491-2022 georefererad karta.tif", "S 491-2022")</f>
        <v/>
      </c>
      <c r="AA331">
        <f>HYPERLINK("https://klasma.github.io/Logging_0360/klagomål/S 491-2022 FSC-klagomål.docx", "S 491-2022")</f>
        <v/>
      </c>
      <c r="AB331">
        <f>HYPERLINK("https://klasma.github.io/Logging_0360/klagomålsmail/S 491-2022 FSC-klagomål mail.docx", "S 491-2022")</f>
        <v/>
      </c>
      <c r="AC331">
        <f>HYPERLINK("https://klasma.github.io/Logging_0360/tillsyn/S 491-2022 tillsynsbegäran.docx", "S 491-2022")</f>
        <v/>
      </c>
      <c r="AD331">
        <f>HYPERLINK("https://klasma.github.io/Logging_0360/tillsynsmail/S 491-2022 tillsynsbegäran mail.docx", "S 491-2022")</f>
        <v/>
      </c>
      <c r="AE331">
        <f>HYPERLINK("https://klasma.github.io/Logging_0360/fåglar/S 491-2022 prioriterade fågelarter.docx", "S 491-2022")</f>
        <v/>
      </c>
    </row>
    <row r="332" ht="15" customHeight="1">
      <c r="A332" t="inlineStr">
        <is>
          <t>S 413-2025</t>
        </is>
      </c>
      <c r="B332" t="inlineStr">
        <is>
          <t>samrådsanmälan</t>
        </is>
      </c>
      <c r="C332" t="inlineStr">
        <is>
          <t>Skogsgödsling</t>
        </is>
      </c>
      <c r="D332" s="1" t="n">
        <v>45699</v>
      </c>
      <c r="E332" s="1" t="n">
        <v>46309</v>
      </c>
      <c r="F332" t="inlineStr">
        <is>
          <t>UPPSALA LÄN</t>
        </is>
      </c>
      <c r="G332" t="inlineStr">
        <is>
          <t>ÖSTHAMMAR</t>
        </is>
      </c>
      <c r="H332" t="inlineStr">
        <is>
          <t>Bergvik skog öst AB</t>
        </is>
      </c>
      <c r="I332" t="n">
        <v>187.3</v>
      </c>
      <c r="J332" t="n">
        <v>1</v>
      </c>
      <c r="K332" t="n">
        <v>2</v>
      </c>
      <c r="L332" t="n">
        <v>1</v>
      </c>
      <c r="M332" t="n">
        <v>0</v>
      </c>
      <c r="N332" t="n">
        <v>0</v>
      </c>
      <c r="O332" t="n">
        <v>0</v>
      </c>
      <c r="P332" t="n">
        <v>0</v>
      </c>
      <c r="Q332" t="n">
        <v>1</v>
      </c>
      <c r="R332" t="n">
        <v>0</v>
      </c>
      <c r="S332" t="n">
        <v>4</v>
      </c>
      <c r="T332" t="n">
        <v>6</v>
      </c>
      <c r="U332" t="n">
        <v>0</v>
      </c>
      <c r="V332" s="2" t="inlineStr">
        <is>
          <t>Vedtrappmossa
Flagellkvastmossa
Skogshakmossa
Grönvit nattviol</t>
        </is>
      </c>
      <c r="W332">
        <f>HYPERLINK("https://klasma.github.io/Logging_0382/artfynd/S 413-2025 artfynd.xlsx", "S 413-2025")</f>
        <v/>
      </c>
      <c r="X332">
        <f>HYPERLINK("https://klasma.github.io/Logging_0382/kartor/S 413-2025 karta.png", "S 413-2025")</f>
        <v/>
      </c>
      <c r="Y332">
        <f>HYPERLINK("https://klasma.github.io/Logging_0382/kartor_geotiff/S 413-2025 georefererad karta.tif", "S 413-2025")</f>
        <v/>
      </c>
      <c r="AA332">
        <f>HYPERLINK("https://klasma.github.io/Logging_0382/klagomål/S 413-2025 FSC-klagomål.docx", "S 413-2025")</f>
        <v/>
      </c>
      <c r="AB332">
        <f>HYPERLINK("https://klasma.github.io/Logging_0382/klagomålsmail/S 413-2025 FSC-klagomål mail.docx", "S 413-2025")</f>
        <v/>
      </c>
      <c r="AC332">
        <f>HYPERLINK("https://klasma.github.io/Logging_0382/tillsyn/S 413-2025 tillsynsbegäran.docx", "S 413-2025")</f>
        <v/>
      </c>
      <c r="AD332">
        <f>HYPERLINK("https://klasma.github.io/Logging_0382/tillsynsmail/S 413-2025 tillsynsbegäran mail.docx", "S 413-2025")</f>
        <v/>
      </c>
    </row>
    <row r="333" ht="15" customHeight="1">
      <c r="A333" t="inlineStr">
        <is>
          <t>S 4467-2022</t>
        </is>
      </c>
      <c r="B333" t="inlineStr">
        <is>
          <t>samrådsanmälan</t>
        </is>
      </c>
      <c r="C333" t="inlineStr">
        <is>
          <t>Annan skogsbruksåtgärd</t>
        </is>
      </c>
      <c r="D333" s="1" t="n">
        <v>44788</v>
      </c>
      <c r="E333" s="1" t="n">
        <v>46309</v>
      </c>
      <c r="F333" t="inlineStr">
        <is>
          <t>UPPSALA LÄN</t>
        </is>
      </c>
      <c r="G333" t="inlineStr">
        <is>
          <t>HEBY</t>
        </is>
      </c>
      <c r="I333" t="n">
        <v>3.6</v>
      </c>
      <c r="J333" t="n">
        <v>0</v>
      </c>
      <c r="K333" t="n">
        <v>3</v>
      </c>
      <c r="L333" t="n">
        <v>1</v>
      </c>
      <c r="M333" t="n">
        <v>0</v>
      </c>
      <c r="N333" t="n">
        <v>0</v>
      </c>
      <c r="O333" t="n">
        <v>0</v>
      </c>
      <c r="P333" t="n">
        <v>0</v>
      </c>
      <c r="Q333" t="n">
        <v>1</v>
      </c>
      <c r="R333" t="n">
        <v>0</v>
      </c>
      <c r="S333" t="n">
        <v>4</v>
      </c>
      <c r="T333" t="n">
        <v>8</v>
      </c>
      <c r="U333" t="n">
        <v>0</v>
      </c>
      <c r="V333" s="2" t="inlineStr">
        <is>
          <t>Ullticka
Bronshjon
Granbarkgnagare
Vedticka</t>
        </is>
      </c>
      <c r="W333">
        <f>HYPERLINK("https://klasma.github.io/Logging_0331/artfynd/S 4467-2022 artfynd.xlsx", "S 4467-2022")</f>
        <v/>
      </c>
      <c r="X333">
        <f>HYPERLINK("https://klasma.github.io/Logging_0331/kartor/S 4467-2022 karta.png", "S 4467-2022")</f>
        <v/>
      </c>
      <c r="Y333">
        <f>HYPERLINK("https://klasma.github.io/Logging_0331/kartor_geotiff/S 4467-2022 georefererad karta.tif", "S 4467-2022")</f>
        <v/>
      </c>
      <c r="AA333">
        <f>HYPERLINK("https://klasma.github.io/Logging_0331/klagomål/S 4467-2022 FSC-klagomål.docx", "S 4467-2022")</f>
        <v/>
      </c>
      <c r="AB333">
        <f>HYPERLINK("https://klasma.github.io/Logging_0331/klagomålsmail/S 4467-2022 FSC-klagomål mail.docx", "S 4467-2022")</f>
        <v/>
      </c>
      <c r="AC333">
        <f>HYPERLINK("https://klasma.github.io/Logging_0331/tillsyn/S 4467-2022 tillsynsbegäran.docx", "S 4467-2022")</f>
        <v/>
      </c>
      <c r="AD333">
        <f>HYPERLINK("https://klasma.github.io/Logging_0331/tillsynsmail/S 4467-2022 tillsynsbegäran mail.docx", "S 4467-2022")</f>
        <v/>
      </c>
    </row>
    <row r="334" ht="15" customHeight="1">
      <c r="A334" t="inlineStr">
        <is>
          <t>S 2413-2023</t>
        </is>
      </c>
      <c r="B334" t="inlineStr">
        <is>
          <t>samrådsanmälan</t>
        </is>
      </c>
      <c r="C334" t="inlineStr">
        <is>
          <t>Annan skogsbruksåtgärd</t>
        </is>
      </c>
      <c r="D334" s="1" t="n">
        <v>45112</v>
      </c>
      <c r="E334" s="1" t="n">
        <v>46309</v>
      </c>
      <c r="F334" t="inlineStr">
        <is>
          <t>UPPSALA LÄN</t>
        </is>
      </c>
      <c r="G334" t="inlineStr">
        <is>
          <t>HEBY</t>
        </is>
      </c>
      <c r="H334" t="inlineStr">
        <is>
          <t>Bergvik skog väst AB</t>
        </is>
      </c>
      <c r="I334" t="n">
        <v>9.699999999999999</v>
      </c>
      <c r="J334" t="n">
        <v>1</v>
      </c>
      <c r="K334" t="n">
        <v>2</v>
      </c>
      <c r="L334" t="n">
        <v>0</v>
      </c>
      <c r="M334" t="n">
        <v>1</v>
      </c>
      <c r="N334" t="n">
        <v>0</v>
      </c>
      <c r="O334" t="n">
        <v>0</v>
      </c>
      <c r="P334" t="n">
        <v>0</v>
      </c>
      <c r="Q334" t="n">
        <v>1</v>
      </c>
      <c r="R334" t="n">
        <v>1</v>
      </c>
      <c r="S334" t="n">
        <v>4</v>
      </c>
      <c r="T334" t="n">
        <v>5</v>
      </c>
      <c r="U334" t="n">
        <v>5</v>
      </c>
      <c r="V334" s="2" t="inlineStr">
        <is>
          <t>Aspgelélav
Skinnlav
Vedticka
Blåsippa</t>
        </is>
      </c>
      <c r="W334">
        <f>HYPERLINK("https://klasma.github.io/Logging_0331/artfynd/S 2413-2023 artfynd.xlsx", "S 2413-2023")</f>
        <v/>
      </c>
      <c r="X334">
        <f>HYPERLINK("https://klasma.github.io/Logging_0331/kartor/S 2413-2023 karta.png", "S 2413-2023")</f>
        <v/>
      </c>
      <c r="Y334">
        <f>HYPERLINK("https://klasma.github.io/Logging_0331/kartor_geotiff/S 2413-2023 georefererad karta.tif", "S 2413-2023")</f>
        <v/>
      </c>
      <c r="AA334">
        <f>HYPERLINK("https://klasma.github.io/Logging_0331/klagomål/S 2413-2023 FSC-klagomål.docx", "S 2413-2023")</f>
        <v/>
      </c>
      <c r="AB334">
        <f>HYPERLINK("https://klasma.github.io/Logging_0331/klagomålsmail/S 2413-2023 FSC-klagomål mail.docx", "S 2413-2023")</f>
        <v/>
      </c>
      <c r="AC334">
        <f>HYPERLINK("https://klasma.github.io/Logging_0331/tillsyn/S 2413-2023 tillsynsbegäran.docx", "S 2413-2023")</f>
        <v/>
      </c>
      <c r="AD334">
        <f>HYPERLINK("https://klasma.github.io/Logging_0331/tillsynsmail/S 2413-2023 tillsynsbegäran mail.docx", "S 2413-2023")</f>
        <v/>
      </c>
    </row>
    <row r="335" ht="15" customHeight="1">
      <c r="A335" t="inlineStr">
        <is>
          <t>S 1089-2024</t>
        </is>
      </c>
      <c r="B335" t="inlineStr">
        <is>
          <t>samrådsanmälan</t>
        </is>
      </c>
      <c r="C335" t="inlineStr">
        <is>
          <t>Annan skogsbruksåtgärd</t>
        </is>
      </c>
      <c r="D335" s="1" t="n">
        <v>45390</v>
      </c>
      <c r="E335" s="1" t="n">
        <v>46309</v>
      </c>
      <c r="F335" t="inlineStr">
        <is>
          <t>UPPSALA LÄN</t>
        </is>
      </c>
      <c r="G335" t="inlineStr">
        <is>
          <t>ÖSTHAMMAR</t>
        </is>
      </c>
      <c r="H335" t="inlineStr">
        <is>
          <t>Bergvik skog öst AB</t>
        </is>
      </c>
      <c r="I335" t="n">
        <v>4.4</v>
      </c>
      <c r="J335" t="n">
        <v>0</v>
      </c>
      <c r="K335" t="n">
        <v>3</v>
      </c>
      <c r="L335" t="n">
        <v>1</v>
      </c>
      <c r="M335" t="n">
        <v>0</v>
      </c>
      <c r="N335" t="n">
        <v>0</v>
      </c>
      <c r="O335" t="n">
        <v>0</v>
      </c>
      <c r="P335" t="n">
        <v>0</v>
      </c>
      <c r="Q335" t="n">
        <v>1</v>
      </c>
      <c r="R335" t="n">
        <v>0</v>
      </c>
      <c r="S335" t="n">
        <v>4</v>
      </c>
      <c r="T335" t="n">
        <v>4</v>
      </c>
      <c r="U335" t="n">
        <v>0</v>
      </c>
      <c r="V335" s="2" t="inlineStr">
        <is>
          <t>Vårärt
Korallblylav
Skinnlav
Stor aspticka</t>
        </is>
      </c>
      <c r="W335">
        <f>HYPERLINK("https://klasma.github.io/Logging_0382/artfynd/S 1089-2024 artfynd.xlsx", "S 1089-2024")</f>
        <v/>
      </c>
      <c r="X335">
        <f>HYPERLINK("https://klasma.github.io/Logging_0382/kartor/S 1089-2024 karta.png", "S 1089-2024")</f>
        <v/>
      </c>
      <c r="Y335">
        <f>HYPERLINK("https://klasma.github.io/Logging_0382/kartor_geotiff/S 1089-2024 georefererad karta.tif", "S 1089-2024")</f>
        <v/>
      </c>
      <c r="AA335">
        <f>HYPERLINK("https://klasma.github.io/Logging_0382/klagomål/S 1089-2024 FSC-klagomål.docx", "S 1089-2024")</f>
        <v/>
      </c>
      <c r="AB335">
        <f>HYPERLINK("https://klasma.github.io/Logging_0382/klagomålsmail/S 1089-2024 FSC-klagomål mail.docx", "S 1089-2024")</f>
        <v/>
      </c>
      <c r="AC335">
        <f>HYPERLINK("https://klasma.github.io/Logging_0382/tillsyn/S 1089-2024 tillsynsbegäran.docx", "S 1089-2024")</f>
        <v/>
      </c>
      <c r="AD335">
        <f>HYPERLINK("https://klasma.github.io/Logging_0382/tillsynsmail/S 1089-2024 tillsynsbegäran mail.docx", "S 1089-2024")</f>
        <v/>
      </c>
    </row>
    <row r="336" ht="15" customHeight="1">
      <c r="A336" t="inlineStr">
        <is>
          <t>A 73903-2021</t>
        </is>
      </c>
      <c r="B336" t="inlineStr">
        <is>
          <t>avverkningsanmälan</t>
        </is>
      </c>
      <c r="C336" t="inlineStr">
        <is>
          <t>Föryngringsavverkning</t>
        </is>
      </c>
      <c r="D336" s="1" t="n">
        <v>44552</v>
      </c>
      <c r="E336" s="1" t="n">
        <v>46309</v>
      </c>
      <c r="F336" t="inlineStr">
        <is>
          <t>UPPSALA LÄN</t>
        </is>
      </c>
      <c r="G336" t="inlineStr">
        <is>
          <t>ENKÖPING</t>
        </is>
      </c>
      <c r="H336" t="inlineStr">
        <is>
          <t>Kommuner</t>
        </is>
      </c>
      <c r="I336" t="n">
        <v>3.1</v>
      </c>
      <c r="J336" t="n">
        <v>0</v>
      </c>
      <c r="K336" t="n">
        <v>0</v>
      </c>
      <c r="L336" t="n">
        <v>3</v>
      </c>
      <c r="M336" t="n">
        <v>0</v>
      </c>
      <c r="N336" t="n">
        <v>0</v>
      </c>
      <c r="O336" t="n">
        <v>0</v>
      </c>
      <c r="P336" t="n">
        <v>0</v>
      </c>
      <c r="Q336" t="n">
        <v>3</v>
      </c>
      <c r="R336" t="n">
        <v>0</v>
      </c>
      <c r="S336" t="n">
        <v>3</v>
      </c>
      <c r="T336" t="n">
        <v>20</v>
      </c>
      <c r="U336" t="n">
        <v>18</v>
      </c>
      <c r="V336" s="2" t="inlineStr">
        <is>
          <t>Orange taggsvamp
Rynkskinn
Ullticka</t>
        </is>
      </c>
      <c r="W336">
        <f>HYPERLINK("https://klasma.github.io/Logging_0381/artfynd/A 73903-2021 artfynd.xlsx", "A 73903-2021")</f>
        <v/>
      </c>
      <c r="X336">
        <f>HYPERLINK("https://klasma.github.io/Logging_0381/kartor/A 73903-2021 karta.png", "A 73903-2021")</f>
        <v/>
      </c>
      <c r="Y336">
        <f>HYPERLINK("https://klasma.github.io/Logging_0381/kartor_geotiff/A 73903-2021 georefererad karta.tif", "A 73903-2021")</f>
        <v/>
      </c>
      <c r="AA336">
        <f>HYPERLINK("https://klasma.github.io/Logging_0381/klagomål/A 73903-2021 FSC-klagomål.docx", "A 73903-2021")</f>
        <v/>
      </c>
      <c r="AB336">
        <f>HYPERLINK("https://klasma.github.io/Logging_0381/klagomålsmail/A 73903-2021 FSC-klagomål mail.docx", "A 73903-2021")</f>
        <v/>
      </c>
      <c r="AC336">
        <f>HYPERLINK("https://klasma.github.io/Logging_0381/tillsyn/A 73903-2021 tillsynsbegäran.docx", "A 73903-2021")</f>
        <v/>
      </c>
      <c r="AD336">
        <f>HYPERLINK("https://klasma.github.io/Logging_0381/tillsynsmail/A 73903-2021 tillsynsbegäran mail.docx", "A 73903-2021")</f>
        <v/>
      </c>
    </row>
    <row r="337" ht="15" customHeight="1">
      <c r="A337" t="inlineStr">
        <is>
          <t>A 26239-2022</t>
        </is>
      </c>
      <c r="B337" t="inlineStr">
        <is>
          <t>avverkningsanmälan</t>
        </is>
      </c>
      <c r="C337" t="inlineStr">
        <is>
          <t>Föryngringsavverkning</t>
        </is>
      </c>
      <c r="D337" s="1" t="n">
        <v>44735</v>
      </c>
      <c r="E337" s="1" t="n">
        <v>46309</v>
      </c>
      <c r="F337" t="inlineStr">
        <is>
          <t>UPPSALA LÄN</t>
        </is>
      </c>
      <c r="G337" t="inlineStr">
        <is>
          <t>KNIVSTA</t>
        </is>
      </c>
      <c r="I337" t="n">
        <v>4.4</v>
      </c>
      <c r="J337" t="n">
        <v>3</v>
      </c>
      <c r="K337" t="n">
        <v>0</v>
      </c>
      <c r="L337" t="n">
        <v>1</v>
      </c>
      <c r="M337" t="n">
        <v>1</v>
      </c>
      <c r="N337" t="n">
        <v>0</v>
      </c>
      <c r="O337" t="n">
        <v>0</v>
      </c>
      <c r="P337" t="n">
        <v>0</v>
      </c>
      <c r="Q337" t="n">
        <v>2</v>
      </c>
      <c r="R337" t="n">
        <v>1</v>
      </c>
      <c r="S337" t="n">
        <v>3</v>
      </c>
      <c r="T337" t="n">
        <v>4</v>
      </c>
      <c r="U337" t="n">
        <v>4</v>
      </c>
      <c r="V337" s="2" t="inlineStr">
        <is>
          <t>Grönfink
Järnsparv
Grönsiska</t>
        </is>
      </c>
      <c r="W337">
        <f>HYPERLINK("https://klasma.github.io/Logging_0330/artfynd/A 26239-2022 artfynd.xlsx", "A 26239-2022")</f>
        <v/>
      </c>
      <c r="X337">
        <f>HYPERLINK("https://klasma.github.io/Logging_0330/kartor/A 26239-2022 karta.png", "A 26239-2022")</f>
        <v/>
      </c>
      <c r="Y337">
        <f>HYPERLINK("https://klasma.github.io/Logging_0330/kartor_geotiff/A 26239-2022 georefererad karta.tif", "A 26239-2022")</f>
        <v/>
      </c>
      <c r="AA337">
        <f>HYPERLINK("https://klasma.github.io/Logging_0330/klagomål/A 26239-2022 FSC-klagomål.docx", "A 26239-2022")</f>
        <v/>
      </c>
      <c r="AB337">
        <f>HYPERLINK("https://klasma.github.io/Logging_0330/klagomålsmail/A 26239-2022 FSC-klagomål mail.docx", "A 26239-2022")</f>
        <v/>
      </c>
      <c r="AC337">
        <f>HYPERLINK("https://klasma.github.io/Logging_0330/tillsyn/A 26239-2022 tillsynsbegäran.docx", "A 26239-2022")</f>
        <v/>
      </c>
      <c r="AD337">
        <f>HYPERLINK("https://klasma.github.io/Logging_0330/tillsynsmail/A 26239-2022 tillsynsbegäran mail.docx", "A 26239-2022")</f>
        <v/>
      </c>
      <c r="AE337">
        <f>HYPERLINK("https://klasma.github.io/Logging_0330/fåglar/A 26239-2022 prioriterade fågelarter.docx", "A 26239-2022")</f>
        <v/>
      </c>
    </row>
    <row r="338" ht="15" customHeight="1">
      <c r="A338" t="inlineStr">
        <is>
          <t>A 46086-2022</t>
        </is>
      </c>
      <c r="B338" t="inlineStr">
        <is>
          <t>avverkningsanmälan</t>
        </is>
      </c>
      <c r="C338" t="inlineStr">
        <is>
          <t>Föryngringsavverkning</t>
        </is>
      </c>
      <c r="D338" s="1" t="n">
        <v>44847</v>
      </c>
      <c r="E338" s="1" t="n">
        <v>46309</v>
      </c>
      <c r="F338" t="inlineStr">
        <is>
          <t>UPPSALA LÄN</t>
        </is>
      </c>
      <c r="G338" t="inlineStr">
        <is>
          <t>HEBY</t>
        </is>
      </c>
      <c r="I338" t="n">
        <v>3.3</v>
      </c>
      <c r="J338" t="n">
        <v>2</v>
      </c>
      <c r="K338" t="n">
        <v>0</v>
      </c>
      <c r="L338" t="n">
        <v>0</v>
      </c>
      <c r="M338" t="n">
        <v>2</v>
      </c>
      <c r="N338" t="n">
        <v>0</v>
      </c>
      <c r="O338" t="n">
        <v>0</v>
      </c>
      <c r="P338" t="n">
        <v>0</v>
      </c>
      <c r="Q338" t="n">
        <v>2</v>
      </c>
      <c r="R338" t="n">
        <v>2</v>
      </c>
      <c r="S338" t="n">
        <v>3</v>
      </c>
      <c r="T338" t="n">
        <v>8</v>
      </c>
      <c r="U338" t="n">
        <v>1</v>
      </c>
      <c r="V338" s="2" t="inlineStr">
        <is>
          <t>Garnlav
Knärot
Fläcknycklar</t>
        </is>
      </c>
      <c r="W338">
        <f>HYPERLINK("https://klasma.github.io/Logging_0331/artfynd/A 46086-2022 artfynd.xlsx", "A 46086-2022")</f>
        <v/>
      </c>
      <c r="X338">
        <f>HYPERLINK("https://klasma.github.io/Logging_0331/kartor/A 46086-2022 karta.png", "A 46086-2022")</f>
        <v/>
      </c>
      <c r="Y338">
        <f>HYPERLINK("https://klasma.github.io/Logging_0331/kartor_geotiff/A 46086-2022 georefererad karta.tif", "A 46086-2022")</f>
        <v/>
      </c>
      <c r="Z338">
        <f>HYPERLINK("https://klasma.github.io/Logging_0331/knärot/A 46086-2022 karta knärot.png", "A 46086-2022")</f>
        <v/>
      </c>
      <c r="AA338">
        <f>HYPERLINK("https://klasma.github.io/Logging_0331/klagomål/A 46086-2022 FSC-klagomål.docx", "A 46086-2022")</f>
        <v/>
      </c>
      <c r="AB338">
        <f>HYPERLINK("https://klasma.github.io/Logging_0331/klagomålsmail/A 46086-2022 FSC-klagomål mail.docx", "A 46086-2022")</f>
        <v/>
      </c>
      <c r="AC338">
        <f>HYPERLINK("https://klasma.github.io/Logging_0331/tillsyn/A 46086-2022 tillsynsbegäran.docx", "A 46086-2022")</f>
        <v/>
      </c>
      <c r="AD338">
        <f>HYPERLINK("https://klasma.github.io/Logging_0331/tillsynsmail/A 46086-2022 tillsynsbegäran mail.docx", "A 46086-2022")</f>
        <v/>
      </c>
    </row>
    <row r="339" ht="15" customHeight="1">
      <c r="A339" t="inlineStr">
        <is>
          <t>A 67664-2021</t>
        </is>
      </c>
      <c r="B339" t="inlineStr">
        <is>
          <t>avverkningsanmälan</t>
        </is>
      </c>
      <c r="C339" t="inlineStr">
        <is>
          <t>Föryngringsavverkning</t>
        </is>
      </c>
      <c r="D339" s="1" t="n">
        <v>44524</v>
      </c>
      <c r="E339" s="1" t="n">
        <v>46309</v>
      </c>
      <c r="F339" t="inlineStr">
        <is>
          <t>UPPSALA LÄN</t>
        </is>
      </c>
      <c r="G339" t="inlineStr">
        <is>
          <t>HEBY</t>
        </is>
      </c>
      <c r="I339" t="n">
        <v>4.8</v>
      </c>
      <c r="J339" t="n">
        <v>0</v>
      </c>
      <c r="K339" t="n">
        <v>0</v>
      </c>
      <c r="L339" t="n">
        <v>3</v>
      </c>
      <c r="M339" t="n">
        <v>0</v>
      </c>
      <c r="N339" t="n">
        <v>0</v>
      </c>
      <c r="O339" t="n">
        <v>0</v>
      </c>
      <c r="P339" t="n">
        <v>0</v>
      </c>
      <c r="Q339" t="n">
        <v>3</v>
      </c>
      <c r="R339" t="n">
        <v>0</v>
      </c>
      <c r="S339" t="n">
        <v>3</v>
      </c>
      <c r="T339" t="n">
        <v>3</v>
      </c>
      <c r="U339" t="n">
        <v>3</v>
      </c>
      <c r="V339" s="2" t="inlineStr">
        <is>
          <t>Gullpudra
Rynkskinn
Ullticka</t>
        </is>
      </c>
      <c r="W339">
        <f>HYPERLINK("https://klasma.github.io/Logging_0331/artfynd/A 67664-2021 artfynd.xlsx", "A 67664-2021")</f>
        <v/>
      </c>
      <c r="X339">
        <f>HYPERLINK("https://klasma.github.io/Logging_0331/kartor/A 67664-2021 karta.png", "A 67664-2021")</f>
        <v/>
      </c>
      <c r="Y339">
        <f>HYPERLINK("https://klasma.github.io/Logging_0331/kartor_geotiff/A 67664-2021 georefererad karta.tif", "A 67664-2021")</f>
        <v/>
      </c>
      <c r="AA339">
        <f>HYPERLINK("https://klasma.github.io/Logging_0331/klagomål/A 67664-2021 FSC-klagomål.docx", "A 67664-2021")</f>
        <v/>
      </c>
      <c r="AB339">
        <f>HYPERLINK("https://klasma.github.io/Logging_0331/klagomålsmail/A 67664-2021 FSC-klagomål mail.docx", "A 67664-2021")</f>
        <v/>
      </c>
      <c r="AC339">
        <f>HYPERLINK("https://klasma.github.io/Logging_0331/tillsyn/A 67664-2021 tillsynsbegäran.docx", "A 67664-2021")</f>
        <v/>
      </c>
      <c r="AD339">
        <f>HYPERLINK("https://klasma.github.io/Logging_0331/tillsynsmail/A 67664-2021 tillsynsbegäran mail.docx", "A 67664-2021")</f>
        <v/>
      </c>
    </row>
    <row r="340" ht="15" customHeight="1">
      <c r="A340" t="inlineStr">
        <is>
          <t>A 52651-2022</t>
        </is>
      </c>
      <c r="B340" t="inlineStr">
        <is>
          <t>avverkningsanmälan</t>
        </is>
      </c>
      <c r="C340" t="inlineStr">
        <is>
          <t>Föryngringsavverkning</t>
        </is>
      </c>
      <c r="D340" s="1" t="n">
        <v>44874</v>
      </c>
      <c r="E340" s="1" t="n">
        <v>46309</v>
      </c>
      <c r="F340" t="inlineStr">
        <is>
          <t>UPPSALA LÄN</t>
        </is>
      </c>
      <c r="G340" t="inlineStr">
        <is>
          <t>ÖSTHAMMAR</t>
        </is>
      </c>
      <c r="H340" t="inlineStr">
        <is>
          <t>Bergvik skog öst AB</t>
        </is>
      </c>
      <c r="I340" t="n">
        <v>0.6</v>
      </c>
      <c r="J340" t="n">
        <v>3</v>
      </c>
      <c r="K340" t="n">
        <v>0</v>
      </c>
      <c r="L340" t="n">
        <v>1</v>
      </c>
      <c r="M340" t="n">
        <v>0</v>
      </c>
      <c r="N340" t="n">
        <v>0</v>
      </c>
      <c r="O340" t="n">
        <v>0</v>
      </c>
      <c r="P340" t="n">
        <v>0</v>
      </c>
      <c r="Q340" t="n">
        <v>1</v>
      </c>
      <c r="R340" t="n">
        <v>0</v>
      </c>
      <c r="S340" t="n">
        <v>3</v>
      </c>
      <c r="T340" t="n">
        <v>3</v>
      </c>
      <c r="U340" t="n">
        <v>0</v>
      </c>
      <c r="V340" s="2" t="inlineStr">
        <is>
          <t>Järnsparv
Kungsfågel
Svartvit flugsnappare</t>
        </is>
      </c>
      <c r="W340">
        <f>HYPERLINK("https://klasma.github.io/Logging_0382/artfynd/A 52651-2022 artfynd.xlsx", "A 52651-2022")</f>
        <v/>
      </c>
      <c r="X340">
        <f>HYPERLINK("https://klasma.github.io/Logging_0382/kartor/A 52651-2022 karta.png", "A 52651-2022")</f>
        <v/>
      </c>
      <c r="Y340">
        <f>HYPERLINK("https://klasma.github.io/Logging_0382/kartor_geotiff/A 52651-2022 georefererad karta.tif", "A 52651-2022")</f>
        <v/>
      </c>
      <c r="AA340">
        <f>HYPERLINK("https://klasma.github.io/Logging_0382/klagomål/A 52651-2022 FSC-klagomål.docx", "A 52651-2022")</f>
        <v/>
      </c>
      <c r="AB340">
        <f>HYPERLINK("https://klasma.github.io/Logging_0382/klagomålsmail/A 52651-2022 FSC-klagomål mail.docx", "A 52651-2022")</f>
        <v/>
      </c>
      <c r="AC340">
        <f>HYPERLINK("https://klasma.github.io/Logging_0382/tillsyn/A 52651-2022 tillsynsbegäran.docx", "A 52651-2022")</f>
        <v/>
      </c>
      <c r="AD340">
        <f>HYPERLINK("https://klasma.github.io/Logging_0382/tillsynsmail/A 52651-2022 tillsynsbegäran mail.docx", "A 52651-2022")</f>
        <v/>
      </c>
      <c r="AE340">
        <f>HYPERLINK("https://klasma.github.io/Logging_0382/fåglar/A 52651-2022 prioriterade fågelarter.docx", "A 52651-2022")</f>
        <v/>
      </c>
    </row>
    <row r="341" ht="15" customHeight="1">
      <c r="A341" t="inlineStr">
        <is>
          <t>A 11385-2024</t>
        </is>
      </c>
      <c r="B341" t="inlineStr">
        <is>
          <t>avverkningsanmälan</t>
        </is>
      </c>
      <c r="C341" t="inlineStr">
        <is>
          <t>Föryngringsavverkning</t>
        </is>
      </c>
      <c r="D341" s="1" t="n">
        <v>45372</v>
      </c>
      <c r="E341" s="1" t="n">
        <v>46309</v>
      </c>
      <c r="F341" t="inlineStr">
        <is>
          <t>UPPSALA LÄN</t>
        </is>
      </c>
      <c r="G341" t="inlineStr">
        <is>
          <t>ÖSTHAMMAR</t>
        </is>
      </c>
      <c r="I341" t="n">
        <v>1.1</v>
      </c>
      <c r="J341" t="n">
        <v>2</v>
      </c>
      <c r="K341" t="n">
        <v>2</v>
      </c>
      <c r="L341" t="n">
        <v>1</v>
      </c>
      <c r="M341" t="n">
        <v>0</v>
      </c>
      <c r="N341" t="n">
        <v>0</v>
      </c>
      <c r="O341" t="n">
        <v>0</v>
      </c>
      <c r="P341" t="n">
        <v>0</v>
      </c>
      <c r="Q341" t="n">
        <v>1</v>
      </c>
      <c r="R341" t="n">
        <v>0</v>
      </c>
      <c r="S341" t="n">
        <v>3</v>
      </c>
      <c r="T341" t="n">
        <v>4</v>
      </c>
      <c r="U341" t="n">
        <v>4</v>
      </c>
      <c r="V341" s="2" t="inlineStr">
        <is>
          <t>Solvända
Skogsknipprot
Tvåblad</t>
        </is>
      </c>
      <c r="W341">
        <f>HYPERLINK("https://klasma.github.io/Logging_0382/artfynd/A 11385-2024 artfynd.xlsx", "A 11385-2024")</f>
        <v/>
      </c>
      <c r="X341">
        <f>HYPERLINK("https://klasma.github.io/Logging_0382/kartor/A 11385-2024 karta.png", "A 11385-2024")</f>
        <v/>
      </c>
      <c r="Y341">
        <f>HYPERLINK("https://klasma.github.io/Logging_0382/kartor_geotiff/A 11385-2024 georefererad karta.tif", "A 11385-2024")</f>
        <v/>
      </c>
      <c r="AA341">
        <f>HYPERLINK("https://klasma.github.io/Logging_0382/klagomål/A 11385-2024 FSC-klagomål.docx", "A 11385-2024")</f>
        <v/>
      </c>
      <c r="AB341">
        <f>HYPERLINK("https://klasma.github.io/Logging_0382/klagomålsmail/A 11385-2024 FSC-klagomål mail.docx", "A 11385-2024")</f>
        <v/>
      </c>
      <c r="AC341">
        <f>HYPERLINK("https://klasma.github.io/Logging_0382/tillsyn/A 11385-2024 tillsynsbegäran.docx", "A 11385-2024")</f>
        <v/>
      </c>
      <c r="AD341">
        <f>HYPERLINK("https://klasma.github.io/Logging_0382/tillsynsmail/A 11385-2024 tillsynsbegäran mail.docx", "A 11385-2024")</f>
        <v/>
      </c>
    </row>
    <row r="342" ht="15" customHeight="1">
      <c r="A342" t="inlineStr">
        <is>
          <t>A 24606-2024</t>
        </is>
      </c>
      <c r="B342" t="inlineStr">
        <is>
          <t>avverkningsanmälan</t>
        </is>
      </c>
      <c r="C342" t="inlineStr">
        <is>
          <t>Föryngringsavverkning</t>
        </is>
      </c>
      <c r="D342" s="1" t="n">
        <v>45460</v>
      </c>
      <c r="E342" s="1" t="n">
        <v>46309</v>
      </c>
      <c r="F342" t="inlineStr">
        <is>
          <t>UPPSALA LÄN</t>
        </is>
      </c>
      <c r="G342" t="inlineStr">
        <is>
          <t>ÖSTHAMMAR</t>
        </is>
      </c>
      <c r="H342" t="inlineStr">
        <is>
          <t>Bergvik skog öst AB</t>
        </is>
      </c>
      <c r="I342" t="n">
        <v>2.9</v>
      </c>
      <c r="J342" t="n">
        <v>0</v>
      </c>
      <c r="K342" t="n">
        <v>1</v>
      </c>
      <c r="L342" t="n">
        <v>1</v>
      </c>
      <c r="M342" t="n">
        <v>0</v>
      </c>
      <c r="N342" t="n">
        <v>1</v>
      </c>
      <c r="O342" t="n">
        <v>0</v>
      </c>
      <c r="P342" t="n">
        <v>0</v>
      </c>
      <c r="Q342" t="n">
        <v>2</v>
      </c>
      <c r="R342" t="n">
        <v>1</v>
      </c>
      <c r="S342" t="n">
        <v>3</v>
      </c>
      <c r="T342" t="n">
        <v>3</v>
      </c>
      <c r="U342" t="n">
        <v>0</v>
      </c>
      <c r="V342" s="2" t="inlineStr">
        <is>
          <t>Violgubbe
Dofttaggsvamp
Zontaggsvamp</t>
        </is>
      </c>
      <c r="W342">
        <f>HYPERLINK("https://klasma.github.io/Logging_0382/artfynd/A 24606-2024 artfynd.xlsx", "A 24606-2024")</f>
        <v/>
      </c>
      <c r="X342">
        <f>HYPERLINK("https://klasma.github.io/Logging_0382/kartor/A 24606-2024 karta.png", "A 24606-2024")</f>
        <v/>
      </c>
      <c r="Y342">
        <f>HYPERLINK("https://klasma.github.io/Logging_0382/kartor_geotiff/A 24606-2024 georefererad karta.tif", "A 24606-2024")</f>
        <v/>
      </c>
      <c r="AA342">
        <f>HYPERLINK("https://klasma.github.io/Logging_0382/klagomål/A 24606-2024 FSC-klagomål.docx", "A 24606-2024")</f>
        <v/>
      </c>
      <c r="AB342">
        <f>HYPERLINK("https://klasma.github.io/Logging_0382/klagomålsmail/A 24606-2024 FSC-klagomål mail.docx", "A 24606-2024")</f>
        <v/>
      </c>
      <c r="AC342">
        <f>HYPERLINK("https://klasma.github.io/Logging_0382/tillsyn/A 24606-2024 tillsynsbegäran.docx", "A 24606-2024")</f>
        <v/>
      </c>
      <c r="AD342">
        <f>HYPERLINK("https://klasma.github.io/Logging_0382/tillsynsmail/A 24606-2024 tillsynsbegäran mail.docx", "A 24606-2024")</f>
        <v/>
      </c>
    </row>
    <row r="343" ht="15" customHeight="1">
      <c r="A343" t="inlineStr">
        <is>
          <t>A 2332-2024</t>
        </is>
      </c>
      <c r="B343" t="inlineStr">
        <is>
          <t>avverkningsanmälan</t>
        </is>
      </c>
      <c r="C343" t="inlineStr">
        <is>
          <t>Föryngringsavverkning</t>
        </is>
      </c>
      <c r="D343" s="1" t="n">
        <v>45310</v>
      </c>
      <c r="E343" s="1" t="n">
        <v>46309</v>
      </c>
      <c r="F343" t="inlineStr">
        <is>
          <t>UPPSALA LÄN</t>
        </is>
      </c>
      <c r="G343" t="inlineStr">
        <is>
          <t>TIERP</t>
        </is>
      </c>
      <c r="I343" t="n">
        <v>3.7</v>
      </c>
      <c r="J343" t="n">
        <v>3</v>
      </c>
      <c r="K343" t="n">
        <v>0</v>
      </c>
      <c r="L343" t="n">
        <v>1</v>
      </c>
      <c r="M343" t="n">
        <v>0</v>
      </c>
      <c r="N343" t="n">
        <v>0</v>
      </c>
      <c r="O343" t="n">
        <v>0</v>
      </c>
      <c r="P343" t="n">
        <v>0</v>
      </c>
      <c r="Q343" t="n">
        <v>1</v>
      </c>
      <c r="R343" t="n">
        <v>0</v>
      </c>
      <c r="S343" t="n">
        <v>3</v>
      </c>
      <c r="T343" t="n">
        <v>3</v>
      </c>
      <c r="U343" t="n">
        <v>0</v>
      </c>
      <c r="V343" s="2" t="inlineStr">
        <is>
          <t>Talltita
Grönsiska
Kungsfågel</t>
        </is>
      </c>
      <c r="W343">
        <f>HYPERLINK("https://klasma.github.io/Logging_0360/artfynd/A 2332-2024 artfynd.xlsx", "A 2332-2024")</f>
        <v/>
      </c>
      <c r="X343">
        <f>HYPERLINK("https://klasma.github.io/Logging_0360/kartor/A 2332-2024 karta.png", "A 2332-2024")</f>
        <v/>
      </c>
      <c r="Y343">
        <f>HYPERLINK("https://klasma.github.io/Logging_0360/kartor_geotiff/A 2332-2024 georefererad karta.tif", "A 2332-2024")</f>
        <v/>
      </c>
      <c r="AA343">
        <f>HYPERLINK("https://klasma.github.io/Logging_0360/klagomål/A 2332-2024 FSC-klagomål.docx", "A 2332-2024")</f>
        <v/>
      </c>
      <c r="AB343">
        <f>HYPERLINK("https://klasma.github.io/Logging_0360/klagomålsmail/A 2332-2024 FSC-klagomål mail.docx", "A 2332-2024")</f>
        <v/>
      </c>
      <c r="AC343">
        <f>HYPERLINK("https://klasma.github.io/Logging_0360/tillsyn/A 2332-2024 tillsynsbegäran.docx", "A 2332-2024")</f>
        <v/>
      </c>
      <c r="AD343">
        <f>HYPERLINK("https://klasma.github.io/Logging_0360/tillsynsmail/A 2332-2024 tillsynsbegäran mail.docx", "A 2332-2024")</f>
        <v/>
      </c>
      <c r="AE343">
        <f>HYPERLINK("https://klasma.github.io/Logging_0360/fåglar/A 2332-2024 prioriterade fågelarter.docx", "A 2332-2024")</f>
        <v/>
      </c>
    </row>
    <row r="344" ht="15" customHeight="1">
      <c r="A344" t="inlineStr">
        <is>
          <t>A 25013-2025</t>
        </is>
      </c>
      <c r="B344" t="inlineStr">
        <is>
          <t>avverkningsanmälan</t>
        </is>
      </c>
      <c r="C344" t="inlineStr">
        <is>
          <t>Föryngringsavverkning</t>
        </is>
      </c>
      <c r="D344" s="1" t="n">
        <v>45799</v>
      </c>
      <c r="E344" s="1" t="n">
        <v>46309</v>
      </c>
      <c r="F344" t="inlineStr">
        <is>
          <t>UPPSALA LÄN</t>
        </is>
      </c>
      <c r="G344" t="inlineStr">
        <is>
          <t>TIERP</t>
        </is>
      </c>
      <c r="I344" t="n">
        <v>0.5</v>
      </c>
      <c r="J344" t="n">
        <v>0</v>
      </c>
      <c r="K344" t="n">
        <v>1</v>
      </c>
      <c r="L344" t="n">
        <v>0</v>
      </c>
      <c r="M344" t="n">
        <v>1</v>
      </c>
      <c r="N344" t="n">
        <v>1</v>
      </c>
      <c r="O344" t="n">
        <v>0</v>
      </c>
      <c r="P344" t="n">
        <v>0</v>
      </c>
      <c r="Q344" t="n">
        <v>2</v>
      </c>
      <c r="R344" t="n">
        <v>2</v>
      </c>
      <c r="S344" t="n">
        <v>3</v>
      </c>
      <c r="T344" t="n">
        <v>4</v>
      </c>
      <c r="U344" t="n">
        <v>0</v>
      </c>
      <c r="V344" s="2" t="inlineStr">
        <is>
          <t>Violgubbe
Gul taggsvamp
Rödgul trumpetsvamp</t>
        </is>
      </c>
      <c r="W344">
        <f>HYPERLINK("https://klasma.github.io/Logging_0360/artfynd/A 25013-2025 artfynd.xlsx", "A 25013-2025")</f>
        <v/>
      </c>
      <c r="X344">
        <f>HYPERLINK("https://klasma.github.io/Logging_0360/kartor/A 25013-2025 karta.png", "A 25013-2025")</f>
        <v/>
      </c>
      <c r="Y344">
        <f>HYPERLINK("https://klasma.github.io/Logging_0360/kartor_geotiff/A 25013-2025 georefererad karta.tif", "A 25013-2025")</f>
        <v/>
      </c>
      <c r="AA344">
        <f>HYPERLINK("https://klasma.github.io/Logging_0360/klagomål/A 25013-2025 FSC-klagomål.docx", "A 25013-2025")</f>
        <v/>
      </c>
      <c r="AB344">
        <f>HYPERLINK("https://klasma.github.io/Logging_0360/klagomålsmail/A 25013-2025 FSC-klagomål mail.docx", "A 25013-2025")</f>
        <v/>
      </c>
      <c r="AC344">
        <f>HYPERLINK("https://klasma.github.io/Logging_0360/tillsyn/A 25013-2025 tillsynsbegäran.docx", "A 25013-2025")</f>
        <v/>
      </c>
      <c r="AD344">
        <f>HYPERLINK("https://klasma.github.io/Logging_0360/tillsynsmail/A 25013-2025 tillsynsbegäran mail.docx", "A 25013-2025")</f>
        <v/>
      </c>
    </row>
    <row r="345" ht="15" customHeight="1">
      <c r="A345" t="inlineStr">
        <is>
          <t>A 63172-2023</t>
        </is>
      </c>
      <c r="B345" t="inlineStr">
        <is>
          <t>avverkningsanmälan</t>
        </is>
      </c>
      <c r="C345" t="inlineStr">
        <is>
          <t>Föryngringsavverkning</t>
        </is>
      </c>
      <c r="D345" s="1" t="n">
        <v>45273</v>
      </c>
      <c r="E345" s="1" t="n">
        <v>46309</v>
      </c>
      <c r="F345" t="inlineStr">
        <is>
          <t>UPPSALA LÄN</t>
        </is>
      </c>
      <c r="G345" t="inlineStr">
        <is>
          <t>UPPSALA</t>
        </is>
      </c>
      <c r="I345" t="n">
        <v>1.8</v>
      </c>
      <c r="J345" t="n">
        <v>1</v>
      </c>
      <c r="K345" t="n">
        <v>1</v>
      </c>
      <c r="L345" t="n">
        <v>1</v>
      </c>
      <c r="M345" t="n">
        <v>0</v>
      </c>
      <c r="N345" t="n">
        <v>0</v>
      </c>
      <c r="O345" t="n">
        <v>0</v>
      </c>
      <c r="P345" t="n">
        <v>0</v>
      </c>
      <c r="Q345" t="n">
        <v>1</v>
      </c>
      <c r="R345" t="n">
        <v>0</v>
      </c>
      <c r="S345" t="n">
        <v>3</v>
      </c>
      <c r="T345" t="n">
        <v>3</v>
      </c>
      <c r="U345" t="n">
        <v>1</v>
      </c>
      <c r="V345" s="2" t="inlineStr">
        <is>
          <t>Tallticka
Ögonpyrola
Törnskata</t>
        </is>
      </c>
      <c r="W345">
        <f>HYPERLINK("https://klasma.github.io/Logging_0380/artfynd/A 63172-2023 artfynd.xlsx", "A 63172-2023")</f>
        <v/>
      </c>
      <c r="X345">
        <f>HYPERLINK("https://klasma.github.io/Logging_0380/kartor/A 63172-2023 karta.png", "A 63172-2023")</f>
        <v/>
      </c>
      <c r="Y345">
        <f>HYPERLINK("https://klasma.github.io/Logging_0380/kartor_geotiff/A 63172-2023 georefererad karta.tif", "A 63172-2023")</f>
        <v/>
      </c>
      <c r="AA345">
        <f>HYPERLINK("https://klasma.github.io/Logging_0380/klagomål/A 63172-2023 FSC-klagomål.docx", "A 63172-2023")</f>
        <v/>
      </c>
      <c r="AB345">
        <f>HYPERLINK("https://klasma.github.io/Logging_0380/klagomålsmail/A 63172-2023 FSC-klagomål mail.docx", "A 63172-2023")</f>
        <v/>
      </c>
      <c r="AC345">
        <f>HYPERLINK("https://klasma.github.io/Logging_0380/tillsyn/A 63172-2023 tillsynsbegäran.docx", "A 63172-2023")</f>
        <v/>
      </c>
      <c r="AD345">
        <f>HYPERLINK("https://klasma.github.io/Logging_0380/tillsynsmail/A 63172-2023 tillsynsbegäran mail.docx", "A 63172-2023")</f>
        <v/>
      </c>
      <c r="AE345">
        <f>HYPERLINK("https://klasma.github.io/Logging_0380/fåglar/A 63172-2023 prioriterade fågelarter.docx", "A 63172-2023")</f>
        <v/>
      </c>
    </row>
    <row r="346" ht="15" customHeight="1">
      <c r="A346" t="inlineStr">
        <is>
          <t>A 25660-2025</t>
        </is>
      </c>
      <c r="B346" t="inlineStr">
        <is>
          <t>avverkningsanmälan</t>
        </is>
      </c>
      <c r="C346" t="inlineStr">
        <is>
          <t>Föryngringsavverkning</t>
        </is>
      </c>
      <c r="D346" s="1" t="n">
        <v>45803</v>
      </c>
      <c r="E346" s="1" t="n">
        <v>46309</v>
      </c>
      <c r="F346" t="inlineStr">
        <is>
          <t>UPPSALA LÄN</t>
        </is>
      </c>
      <c r="G346" t="inlineStr">
        <is>
          <t>UPPSALA</t>
        </is>
      </c>
      <c r="H346" t="inlineStr">
        <is>
          <t>Holmen skog AB</t>
        </is>
      </c>
      <c r="I346" t="n">
        <v>4.8</v>
      </c>
      <c r="J346" t="n">
        <v>1</v>
      </c>
      <c r="K346" t="n">
        <v>2</v>
      </c>
      <c r="L346" t="n">
        <v>0</v>
      </c>
      <c r="M346" t="n">
        <v>0</v>
      </c>
      <c r="N346" t="n">
        <v>0</v>
      </c>
      <c r="O346" t="n">
        <v>0</v>
      </c>
      <c r="P346" t="n">
        <v>0</v>
      </c>
      <c r="Q346" t="n">
        <v>0</v>
      </c>
      <c r="R346" t="n">
        <v>0</v>
      </c>
      <c r="S346" t="n">
        <v>3</v>
      </c>
      <c r="T346" t="n">
        <v>3</v>
      </c>
      <c r="U346" t="n">
        <v>1</v>
      </c>
      <c r="V346" s="2" t="inlineStr">
        <is>
          <t>Mindre märgborre
Skogshakmossa
Blåsippa</t>
        </is>
      </c>
      <c r="W346">
        <f>HYPERLINK("https://klasma.github.io/Logging_0380/artfynd/A 25660-2025 artfynd.xlsx", "A 25660-2025")</f>
        <v/>
      </c>
      <c r="X346">
        <f>HYPERLINK("https://klasma.github.io/Logging_0380/kartor/A 25660-2025 karta.png", "A 25660-2025")</f>
        <v/>
      </c>
      <c r="Y346">
        <f>HYPERLINK("https://klasma.github.io/Logging_0380/kartor_geotiff/A 25660-2025 georefererad karta.tif", "A 25660-2025")</f>
        <v/>
      </c>
      <c r="AA346">
        <f>HYPERLINK("https://klasma.github.io/Logging_0380/klagomål/A 25660-2025 FSC-klagomål.docx", "A 25660-2025")</f>
        <v/>
      </c>
      <c r="AB346">
        <f>HYPERLINK("https://klasma.github.io/Logging_0380/klagomålsmail/A 25660-2025 FSC-klagomål mail.docx", "A 25660-2025")</f>
        <v/>
      </c>
      <c r="AC346">
        <f>HYPERLINK("https://klasma.github.io/Logging_0380/tillsyn/A 25660-2025 tillsynsbegäran.docx", "A 25660-2025")</f>
        <v/>
      </c>
      <c r="AD346">
        <f>HYPERLINK("https://klasma.github.io/Logging_0380/tillsynsmail/A 25660-2025 tillsynsbegäran mail.docx", "A 25660-2025")</f>
        <v/>
      </c>
    </row>
    <row r="347" ht="15" customHeight="1">
      <c r="A347" t="inlineStr">
        <is>
          <t>A 3304-2025</t>
        </is>
      </c>
      <c r="B347" t="inlineStr">
        <is>
          <t>avverkningsanmälan</t>
        </is>
      </c>
      <c r="C347" t="inlineStr">
        <is>
          <t>Avverkning för annat ändamål</t>
        </is>
      </c>
      <c r="D347" s="1" t="n">
        <v>45679</v>
      </c>
      <c r="E347" s="1" t="n">
        <v>46309</v>
      </c>
      <c r="F347" t="inlineStr">
        <is>
          <t>UPPSALA LÄN</t>
        </is>
      </c>
      <c r="G347" t="inlineStr">
        <is>
          <t>UPPSALA</t>
        </is>
      </c>
      <c r="H347" t="inlineStr">
        <is>
          <t>Övriga statliga verk och myndigheter</t>
        </is>
      </c>
      <c r="I347" t="n">
        <v>3.8</v>
      </c>
      <c r="J347" t="n">
        <v>3</v>
      </c>
      <c r="K347" t="n">
        <v>0</v>
      </c>
      <c r="L347" t="n">
        <v>1</v>
      </c>
      <c r="M347" t="n">
        <v>0</v>
      </c>
      <c r="N347" t="n">
        <v>0</v>
      </c>
      <c r="O347" t="n">
        <v>0</v>
      </c>
      <c r="P347" t="n">
        <v>0</v>
      </c>
      <c r="Q347" t="n">
        <v>1</v>
      </c>
      <c r="R347" t="n">
        <v>0</v>
      </c>
      <c r="S347" t="n">
        <v>3</v>
      </c>
      <c r="T347" t="n">
        <v>5</v>
      </c>
      <c r="U347" t="n">
        <v>0</v>
      </c>
      <c r="V347" s="2" t="inlineStr">
        <is>
          <t>Nordfladdermus
Blåsippa
Dvärgpipistrell</t>
        </is>
      </c>
      <c r="W347">
        <f>HYPERLINK("https://klasma.github.io/Logging_0380/artfynd/A 3304-2025 artfynd.xlsx", "A 3304-2025")</f>
        <v/>
      </c>
      <c r="X347">
        <f>HYPERLINK("https://klasma.github.io/Logging_0380/kartor/A 3304-2025 karta.png", "A 3304-2025")</f>
        <v/>
      </c>
      <c r="Y347">
        <f>HYPERLINK("https://klasma.github.io/Logging_0380/kartor_geotiff/A 3304-2025 georefererad karta.tif", "A 3304-2025")</f>
        <v/>
      </c>
      <c r="AA347">
        <f>HYPERLINK("https://klasma.github.io/Logging_0380/klagomål/A 3304-2025 FSC-klagomål.docx", "A 3304-2025")</f>
        <v/>
      </c>
      <c r="AB347">
        <f>HYPERLINK("https://klasma.github.io/Logging_0380/klagomålsmail/A 3304-2025 FSC-klagomål mail.docx", "A 3304-2025")</f>
        <v/>
      </c>
      <c r="AC347">
        <f>HYPERLINK("https://klasma.github.io/Logging_0380/tillsyn/A 3304-2025 tillsynsbegäran.docx", "A 3304-2025")</f>
        <v/>
      </c>
      <c r="AD347">
        <f>HYPERLINK("https://klasma.github.io/Logging_0380/tillsynsmail/A 3304-2025 tillsynsbegäran mail.docx", "A 3304-2025")</f>
        <v/>
      </c>
    </row>
    <row r="348" ht="15" customHeight="1">
      <c r="A348" t="inlineStr">
        <is>
          <t>A 42363-2025</t>
        </is>
      </c>
      <c r="B348" t="inlineStr">
        <is>
          <t>avverkningsanmälan</t>
        </is>
      </c>
      <c r="C348" t="inlineStr">
        <is>
          <t>Föryngringsavverkning</t>
        </is>
      </c>
      <c r="D348" s="1" t="n">
        <v>45905</v>
      </c>
      <c r="E348" s="1" t="n">
        <v>46309</v>
      </c>
      <c r="F348" t="inlineStr">
        <is>
          <t>UPPSALA LÄN</t>
        </is>
      </c>
      <c r="G348" t="inlineStr">
        <is>
          <t>TIERP</t>
        </is>
      </c>
      <c r="I348" t="n">
        <v>8.4</v>
      </c>
      <c r="J348" t="n">
        <v>1</v>
      </c>
      <c r="K348" t="n">
        <v>0</v>
      </c>
      <c r="L348" t="n">
        <v>2</v>
      </c>
      <c r="M348" t="n">
        <v>0</v>
      </c>
      <c r="N348" t="n">
        <v>0</v>
      </c>
      <c r="O348" t="n">
        <v>0</v>
      </c>
      <c r="P348" t="n">
        <v>0</v>
      </c>
      <c r="Q348" t="n">
        <v>2</v>
      </c>
      <c r="R348" t="n">
        <v>0</v>
      </c>
      <c r="S348" t="n">
        <v>3</v>
      </c>
      <c r="T348" t="n">
        <v>4</v>
      </c>
      <c r="U348" t="n">
        <v>0</v>
      </c>
      <c r="V348" s="2" t="inlineStr">
        <is>
          <t>Rynkskinn
Ullticka
Spillkråka</t>
        </is>
      </c>
      <c r="W348">
        <f>HYPERLINK("https://klasma.github.io/Logging_0360/artfynd/A 42363-2025 artfynd.xlsx", "A 42363-2025")</f>
        <v/>
      </c>
      <c r="X348">
        <f>HYPERLINK("https://klasma.github.io/Logging_0360/kartor/A 42363-2025 karta.png", "A 42363-2025")</f>
        <v/>
      </c>
      <c r="Y348">
        <f>HYPERLINK("https://klasma.github.io/Logging_0360/kartor_geotiff/A 42363-2025 georefererad karta.tif", "A 42363-2025")</f>
        <v/>
      </c>
      <c r="AA348">
        <f>HYPERLINK("https://klasma.github.io/Logging_0360/klagomål/A 42363-2025 FSC-klagomål.docx", "A 42363-2025")</f>
        <v/>
      </c>
      <c r="AB348">
        <f>HYPERLINK("https://klasma.github.io/Logging_0360/klagomålsmail/A 42363-2025 FSC-klagomål mail.docx", "A 42363-2025")</f>
        <v/>
      </c>
      <c r="AC348">
        <f>HYPERLINK("https://klasma.github.io/Logging_0360/tillsyn/A 42363-2025 tillsynsbegäran.docx", "A 42363-2025")</f>
        <v/>
      </c>
      <c r="AD348">
        <f>HYPERLINK("https://klasma.github.io/Logging_0360/tillsynsmail/A 42363-2025 tillsynsbegäran mail.docx", "A 42363-2025")</f>
        <v/>
      </c>
      <c r="AE348">
        <f>HYPERLINK("https://klasma.github.io/Logging_0360/fåglar/A 42363-2025 prioriterade fågelarter.docx", "A 42363-2025")</f>
        <v/>
      </c>
    </row>
    <row r="349" ht="15" customHeight="1">
      <c r="A349" t="inlineStr">
        <is>
          <t>A 52092-2022</t>
        </is>
      </c>
      <c r="B349" t="inlineStr">
        <is>
          <t>avverkningsanmälan</t>
        </is>
      </c>
      <c r="C349" t="inlineStr">
        <is>
          <t>Föryngringsavverkning</t>
        </is>
      </c>
      <c r="D349" s="1" t="n">
        <v>44873</v>
      </c>
      <c r="E349" s="1" t="n">
        <v>46309</v>
      </c>
      <c r="F349" t="inlineStr">
        <is>
          <t>UPPSALA LÄN</t>
        </is>
      </c>
      <c r="G349" t="inlineStr">
        <is>
          <t>ENKÖPING</t>
        </is>
      </c>
      <c r="I349" t="n">
        <v>2.4</v>
      </c>
      <c r="J349" t="n">
        <v>1</v>
      </c>
      <c r="K349" t="n">
        <v>0</v>
      </c>
      <c r="L349" t="n">
        <v>2</v>
      </c>
      <c r="M349" t="n">
        <v>0</v>
      </c>
      <c r="N349" t="n">
        <v>1</v>
      </c>
      <c r="O349" t="n">
        <v>0</v>
      </c>
      <c r="P349" t="n">
        <v>0</v>
      </c>
      <c r="Q349" t="n">
        <v>3</v>
      </c>
      <c r="R349" t="n">
        <v>1</v>
      </c>
      <c r="S349" t="n">
        <v>3</v>
      </c>
      <c r="T349" t="n">
        <v>6</v>
      </c>
      <c r="U349" t="n">
        <v>0</v>
      </c>
      <c r="V349" s="2" t="inlineStr">
        <is>
          <t>Bombmurkla
Fyrflikig jordstjärna
Ullticka</t>
        </is>
      </c>
      <c r="W349">
        <f>HYPERLINK("https://klasma.github.io/Logging_0381/artfynd/A 52092-2022 artfynd.xlsx", "A 52092-2022")</f>
        <v/>
      </c>
      <c r="X349">
        <f>HYPERLINK("https://klasma.github.io/Logging_0381/kartor/A 52092-2022 karta.png", "A 52092-2022")</f>
        <v/>
      </c>
      <c r="Y349">
        <f>HYPERLINK("https://klasma.github.io/Logging_0381/kartor_geotiff/A 52092-2022 georefererad karta.tif", "A 52092-2022")</f>
        <v/>
      </c>
      <c r="AA349">
        <f>HYPERLINK("https://klasma.github.io/Logging_0381/klagomål/A 52092-2022 FSC-klagomål.docx", "A 52092-2022")</f>
        <v/>
      </c>
      <c r="AB349">
        <f>HYPERLINK("https://klasma.github.io/Logging_0381/klagomålsmail/A 52092-2022 FSC-klagomål mail.docx", "A 52092-2022")</f>
        <v/>
      </c>
      <c r="AC349">
        <f>HYPERLINK("https://klasma.github.io/Logging_0381/tillsyn/A 52092-2022 tillsynsbegäran.docx", "A 52092-2022")</f>
        <v/>
      </c>
      <c r="AD349">
        <f>HYPERLINK("https://klasma.github.io/Logging_0381/tillsynsmail/A 52092-2022 tillsynsbegäran mail.docx", "A 52092-2022")</f>
        <v/>
      </c>
    </row>
    <row r="350" ht="15" customHeight="1">
      <c r="A350" t="inlineStr">
        <is>
          <t>A 58906-2021</t>
        </is>
      </c>
      <c r="B350" t="inlineStr">
        <is>
          <t>avverkningsanmälan</t>
        </is>
      </c>
      <c r="C350" t="inlineStr">
        <is>
          <t>Föryngringsavverkning</t>
        </is>
      </c>
      <c r="D350" s="1" t="n">
        <v>44489</v>
      </c>
      <c r="E350" s="1" t="n">
        <v>46309</v>
      </c>
      <c r="F350" t="inlineStr">
        <is>
          <t>UPPSALA LÄN</t>
        </is>
      </c>
      <c r="G350" t="inlineStr">
        <is>
          <t>UPPSALA</t>
        </is>
      </c>
      <c r="I350" t="n">
        <v>8.6</v>
      </c>
      <c r="J350" t="n">
        <v>2</v>
      </c>
      <c r="K350" t="n">
        <v>0</v>
      </c>
      <c r="L350" t="n">
        <v>2</v>
      </c>
      <c r="M350" t="n">
        <v>0</v>
      </c>
      <c r="N350" t="n">
        <v>0</v>
      </c>
      <c r="O350" t="n">
        <v>0</v>
      </c>
      <c r="P350" t="n">
        <v>0</v>
      </c>
      <c r="Q350" t="n">
        <v>2</v>
      </c>
      <c r="R350" t="n">
        <v>0</v>
      </c>
      <c r="S350" t="n">
        <v>3</v>
      </c>
      <c r="T350" t="n">
        <v>4</v>
      </c>
      <c r="U350" t="n">
        <v>3</v>
      </c>
      <c r="V350" s="2" t="inlineStr">
        <is>
          <t>Talltita
Ullticka
Tjäder</t>
        </is>
      </c>
      <c r="W350">
        <f>HYPERLINK("https://klasma.github.io/Logging_0380/artfynd/A 58906-2021 artfynd.xlsx", "A 58906-2021")</f>
        <v/>
      </c>
      <c r="X350">
        <f>HYPERLINK("https://klasma.github.io/Logging_0380/kartor/A 58906-2021 karta.png", "A 58906-2021")</f>
        <v/>
      </c>
      <c r="Y350">
        <f>HYPERLINK("https://klasma.github.io/Logging_0380/kartor_geotiff/A 58906-2021 georefererad karta.tif", "A 58906-2021")</f>
        <v/>
      </c>
      <c r="AA350">
        <f>HYPERLINK("https://klasma.github.io/Logging_0380/klagomål/A 58906-2021 FSC-klagomål.docx", "A 58906-2021")</f>
        <v/>
      </c>
      <c r="AB350">
        <f>HYPERLINK("https://klasma.github.io/Logging_0380/klagomålsmail/A 58906-2021 FSC-klagomål mail.docx", "A 58906-2021")</f>
        <v/>
      </c>
      <c r="AC350">
        <f>HYPERLINK("https://klasma.github.io/Logging_0380/tillsyn/A 58906-2021 tillsynsbegäran.docx", "A 58906-2021")</f>
        <v/>
      </c>
      <c r="AD350">
        <f>HYPERLINK("https://klasma.github.io/Logging_0380/tillsynsmail/A 58906-2021 tillsynsbegäran mail.docx", "A 58906-2021")</f>
        <v/>
      </c>
      <c r="AE350">
        <f>HYPERLINK("https://klasma.github.io/Logging_0380/fåglar/A 58906-2021 prioriterade fågelarter.docx", "A 58906-2021")</f>
        <v/>
      </c>
    </row>
    <row r="351" ht="15" customHeight="1">
      <c r="A351" t="inlineStr">
        <is>
          <t>A 35197-2025</t>
        </is>
      </c>
      <c r="B351" t="inlineStr">
        <is>
          <t>avverkningsanmälan</t>
        </is>
      </c>
      <c r="C351" t="inlineStr">
        <is>
          <t>Avverkning för annat ändamål</t>
        </is>
      </c>
      <c r="D351" s="1" t="n">
        <v>45853</v>
      </c>
      <c r="E351" s="1" t="n">
        <v>46309</v>
      </c>
      <c r="F351" t="inlineStr">
        <is>
          <t>UPPSALA LÄN</t>
        </is>
      </c>
      <c r="G351" t="inlineStr">
        <is>
          <t>HÅBO</t>
        </is>
      </c>
      <c r="I351" t="n">
        <v>0.9</v>
      </c>
      <c r="J351" t="n">
        <v>1</v>
      </c>
      <c r="K351" t="n">
        <v>0</v>
      </c>
      <c r="L351" t="n">
        <v>3</v>
      </c>
      <c r="M351" t="n">
        <v>0</v>
      </c>
      <c r="N351" t="n">
        <v>0</v>
      </c>
      <c r="O351" t="n">
        <v>0</v>
      </c>
      <c r="P351" t="n">
        <v>0</v>
      </c>
      <c r="Q351" t="n">
        <v>3</v>
      </c>
      <c r="R351" t="n">
        <v>0</v>
      </c>
      <c r="S351" t="n">
        <v>3</v>
      </c>
      <c r="T351" t="n">
        <v>5</v>
      </c>
      <c r="U351" t="n">
        <v>0</v>
      </c>
      <c r="V351" s="2" t="inlineStr">
        <is>
          <t>Grönsångare
Tallticka
Vintertagging</t>
        </is>
      </c>
      <c r="W351">
        <f>HYPERLINK("https://klasma.github.io/Logging_0305/artfynd/A 35197-2025 artfynd.xlsx", "A 35197-2025")</f>
        <v/>
      </c>
      <c r="X351">
        <f>HYPERLINK("https://klasma.github.io/Logging_0305/kartor/A 35197-2025 karta.png", "A 35197-2025")</f>
        <v/>
      </c>
      <c r="Y351">
        <f>HYPERLINK("https://klasma.github.io/Logging_0305/kartor_geotiff/A 35197-2025 georefererad karta.tif", "A 35197-2025")</f>
        <v/>
      </c>
      <c r="AA351">
        <f>HYPERLINK("https://klasma.github.io/Logging_0305/klagomål/A 35197-2025 FSC-klagomål.docx", "A 35197-2025")</f>
        <v/>
      </c>
      <c r="AB351">
        <f>HYPERLINK("https://klasma.github.io/Logging_0305/klagomålsmail/A 35197-2025 FSC-klagomål mail.docx", "A 35197-2025")</f>
        <v/>
      </c>
      <c r="AC351">
        <f>HYPERLINK("https://klasma.github.io/Logging_0305/tillsyn/A 35197-2025 tillsynsbegäran.docx", "A 35197-2025")</f>
        <v/>
      </c>
      <c r="AD351">
        <f>HYPERLINK("https://klasma.github.io/Logging_0305/tillsynsmail/A 35197-2025 tillsynsbegäran mail.docx", "A 35197-2025")</f>
        <v/>
      </c>
      <c r="AE351">
        <f>HYPERLINK("https://klasma.github.io/Logging_0305/fåglar/A 35197-2025 prioriterade fågelarter.docx", "A 35197-2025")</f>
        <v/>
      </c>
    </row>
    <row r="352" ht="15" customHeight="1">
      <c r="A352" t="inlineStr">
        <is>
          <t>A 140-2024</t>
        </is>
      </c>
      <c r="B352" t="inlineStr">
        <is>
          <t>avverkningsanmälan</t>
        </is>
      </c>
      <c r="C352" t="inlineStr">
        <is>
          <t>Föryngringsavverkning</t>
        </is>
      </c>
      <c r="D352" s="1" t="n">
        <v>45294</v>
      </c>
      <c r="E352" s="1" t="n">
        <v>46309</v>
      </c>
      <c r="F352" t="inlineStr">
        <is>
          <t>UPPSALA LÄN</t>
        </is>
      </c>
      <c r="G352" t="inlineStr">
        <is>
          <t>TIERP</t>
        </is>
      </c>
      <c r="I352" t="n">
        <v>2.9</v>
      </c>
      <c r="J352" t="n">
        <v>3</v>
      </c>
      <c r="K352" t="n">
        <v>0</v>
      </c>
      <c r="L352" t="n">
        <v>1</v>
      </c>
      <c r="M352" t="n">
        <v>0</v>
      </c>
      <c r="N352" t="n">
        <v>0</v>
      </c>
      <c r="O352" t="n">
        <v>0</v>
      </c>
      <c r="P352" t="n">
        <v>0</v>
      </c>
      <c r="Q352" t="n">
        <v>1</v>
      </c>
      <c r="R352" t="n">
        <v>0</v>
      </c>
      <c r="S352" t="n">
        <v>3</v>
      </c>
      <c r="T352" t="n">
        <v>4</v>
      </c>
      <c r="U352" t="n">
        <v>0</v>
      </c>
      <c r="V352" s="2" t="inlineStr">
        <is>
          <t>Gulsparv
Kungsfågel
Ärtsångare</t>
        </is>
      </c>
      <c r="W352">
        <f>HYPERLINK("https://klasma.github.io/Logging_0360/artfynd/A 140-2024 artfynd.xlsx", "A 140-2024")</f>
        <v/>
      </c>
      <c r="X352">
        <f>HYPERLINK("https://klasma.github.io/Logging_0360/kartor/A 140-2024 karta.png", "A 140-2024")</f>
        <v/>
      </c>
      <c r="Y352">
        <f>HYPERLINK("https://klasma.github.io/Logging_0360/kartor_geotiff/A 140-2024 georefererad karta.tif", "A 140-2024")</f>
        <v/>
      </c>
      <c r="AA352">
        <f>HYPERLINK("https://klasma.github.io/Logging_0360/klagomål/A 140-2024 FSC-klagomål.docx", "A 140-2024")</f>
        <v/>
      </c>
      <c r="AB352">
        <f>HYPERLINK("https://klasma.github.io/Logging_0360/klagomålsmail/A 140-2024 FSC-klagomål mail.docx", "A 140-2024")</f>
        <v/>
      </c>
      <c r="AC352">
        <f>HYPERLINK("https://klasma.github.io/Logging_0360/tillsyn/A 140-2024 tillsynsbegäran.docx", "A 140-2024")</f>
        <v/>
      </c>
      <c r="AD352">
        <f>HYPERLINK("https://klasma.github.io/Logging_0360/tillsynsmail/A 140-2024 tillsynsbegäran mail.docx", "A 140-2024")</f>
        <v/>
      </c>
      <c r="AE352">
        <f>HYPERLINK("https://klasma.github.io/Logging_0360/fåglar/A 140-2024 prioriterade fågelarter.docx", "A 140-2024")</f>
        <v/>
      </c>
    </row>
    <row r="353" ht="15" customHeight="1">
      <c r="A353" t="inlineStr">
        <is>
          <t>A 60898-2025</t>
        </is>
      </c>
      <c r="B353" t="inlineStr">
        <is>
          <t>avverkningsanmälan</t>
        </is>
      </c>
      <c r="C353" t="inlineStr">
        <is>
          <t>Föryngringsavverkning</t>
        </is>
      </c>
      <c r="D353" s="1" t="n">
        <v>45999</v>
      </c>
      <c r="E353" s="1" t="n">
        <v>46309</v>
      </c>
      <c r="F353" t="inlineStr">
        <is>
          <t>UPPSALA LÄN</t>
        </is>
      </c>
      <c r="G353" t="inlineStr">
        <is>
          <t>ÖSTHAMMAR</t>
        </is>
      </c>
      <c r="I353" t="n">
        <v>3.9</v>
      </c>
      <c r="J353" t="n">
        <v>0</v>
      </c>
      <c r="K353" t="n">
        <v>2</v>
      </c>
      <c r="L353" t="n">
        <v>1</v>
      </c>
      <c r="M353" t="n">
        <v>0</v>
      </c>
      <c r="N353" t="n">
        <v>0</v>
      </c>
      <c r="O353" t="n">
        <v>0</v>
      </c>
      <c r="P353" t="n">
        <v>0</v>
      </c>
      <c r="Q353" t="n">
        <v>1</v>
      </c>
      <c r="R353" t="n">
        <v>0</v>
      </c>
      <c r="S353" t="n">
        <v>3</v>
      </c>
      <c r="T353" t="n">
        <v>6</v>
      </c>
      <c r="U353" t="n">
        <v>0</v>
      </c>
      <c r="V353" s="2" t="inlineStr">
        <is>
          <t>Gullpudra
Anisspindling
Svavelriska</t>
        </is>
      </c>
      <c r="W353">
        <f>HYPERLINK("https://klasma.github.io/Logging_0382/artfynd/A 60898-2025 artfynd.xlsx", "A 60898-2025")</f>
        <v/>
      </c>
      <c r="X353">
        <f>HYPERLINK("https://klasma.github.io/Logging_0382/kartor/A 60898-2025 karta.png", "A 60898-2025")</f>
        <v/>
      </c>
      <c r="Y353">
        <f>HYPERLINK("https://klasma.github.io/Logging_0382/kartor_geotiff/A 60898-2025 georefererad karta.tif", "A 60898-2025")</f>
        <v/>
      </c>
      <c r="AA353">
        <f>HYPERLINK("https://klasma.github.io/Logging_0382/klagomål/A 60898-2025 FSC-klagomål.docx", "A 60898-2025")</f>
        <v/>
      </c>
      <c r="AB353">
        <f>HYPERLINK("https://klasma.github.io/Logging_0382/klagomålsmail/A 60898-2025 FSC-klagomål mail.docx", "A 60898-2025")</f>
        <v/>
      </c>
      <c r="AC353">
        <f>HYPERLINK("https://klasma.github.io/Logging_0382/tillsyn/A 60898-2025 tillsynsbegäran.docx", "A 60898-2025")</f>
        <v/>
      </c>
      <c r="AD353">
        <f>HYPERLINK("https://klasma.github.io/Logging_0382/tillsynsmail/A 60898-2025 tillsynsbegäran mail.docx", "A 60898-2025")</f>
        <v/>
      </c>
    </row>
    <row r="354" ht="15" customHeight="1">
      <c r="A354" t="inlineStr">
        <is>
          <t>A 9493-2026</t>
        </is>
      </c>
      <c r="B354" t="inlineStr">
        <is>
          <t>avverkningsanmälan</t>
        </is>
      </c>
      <c r="C354" t="inlineStr">
        <is>
          <t>Föryngringsavverkning</t>
        </is>
      </c>
      <c r="D354" s="1" t="n">
        <v>46071</v>
      </c>
      <c r="E354" s="1" t="n">
        <v>46309</v>
      </c>
      <c r="F354" t="inlineStr">
        <is>
          <t>UPPSALA LÄN</t>
        </is>
      </c>
      <c r="G354" t="inlineStr">
        <is>
          <t>TIERP</t>
        </is>
      </c>
      <c r="I354" t="n">
        <v>4.5</v>
      </c>
      <c r="J354" t="n">
        <v>2</v>
      </c>
      <c r="K354" t="n">
        <v>0</v>
      </c>
      <c r="L354" t="n">
        <v>1</v>
      </c>
      <c r="M354" t="n">
        <v>0</v>
      </c>
      <c r="N354" t="n">
        <v>0</v>
      </c>
      <c r="O354" t="n">
        <v>0</v>
      </c>
      <c r="P354" t="n">
        <v>0</v>
      </c>
      <c r="Q354" t="n">
        <v>1</v>
      </c>
      <c r="R354" t="n">
        <v>0</v>
      </c>
      <c r="S354" t="n">
        <v>3</v>
      </c>
      <c r="T354" t="n">
        <v>7</v>
      </c>
      <c r="U354" t="n">
        <v>0</v>
      </c>
      <c r="V354" s="2" t="inlineStr">
        <is>
          <t>Klasefibbla
Fläcknycklar
Ängsnycklar</t>
        </is>
      </c>
      <c r="W354">
        <f>HYPERLINK("https://klasma.github.io/Logging_0360/artfynd/A 9493-2026 artfynd.xlsx", "A 9493-2026")</f>
        <v/>
      </c>
      <c r="X354">
        <f>HYPERLINK("https://klasma.github.io/Logging_0360/kartor/A 9493-2026 karta.png", "A 9493-2026")</f>
        <v/>
      </c>
      <c r="Y354">
        <f>HYPERLINK("https://klasma.github.io/Logging_0360/kartor_geotiff/A 9493-2026 georefererad karta.tif", "A 9493-2026")</f>
        <v/>
      </c>
      <c r="AA354">
        <f>HYPERLINK("https://klasma.github.io/Logging_0360/klagomål/A 9493-2026 FSC-klagomål.docx", "A 9493-2026")</f>
        <v/>
      </c>
      <c r="AB354">
        <f>HYPERLINK("https://klasma.github.io/Logging_0360/klagomålsmail/A 9493-2026 FSC-klagomål mail.docx", "A 9493-2026")</f>
        <v/>
      </c>
      <c r="AC354">
        <f>HYPERLINK("https://klasma.github.io/Logging_0360/tillsyn/A 9493-2026 tillsynsbegäran.docx", "A 9493-2026")</f>
        <v/>
      </c>
      <c r="AD354">
        <f>HYPERLINK("https://klasma.github.io/Logging_0360/tillsynsmail/A 9493-2026 tillsynsbegäran mail.docx", "A 9493-2026")</f>
        <v/>
      </c>
    </row>
    <row r="355" ht="15" customHeight="1">
      <c r="A355" t="inlineStr">
        <is>
          <t>A 61693-2025</t>
        </is>
      </c>
      <c r="B355" t="inlineStr">
        <is>
          <t>avverkningsanmälan</t>
        </is>
      </c>
      <c r="C355" t="inlineStr">
        <is>
          <t>Föryngringsavverkning</t>
        </is>
      </c>
      <c r="D355" s="1" t="n">
        <v>46002</v>
      </c>
      <c r="E355" s="1" t="n">
        <v>46309</v>
      </c>
      <c r="F355" t="inlineStr">
        <is>
          <t>UPPSALA LÄN</t>
        </is>
      </c>
      <c r="G355" t="inlineStr">
        <is>
          <t>ÄLVKARLEBY</t>
        </is>
      </c>
      <c r="H355" t="inlineStr">
        <is>
          <t>Bergvik skog öst AB</t>
        </is>
      </c>
      <c r="I355" t="n">
        <v>9.199999999999999</v>
      </c>
      <c r="J355" t="n">
        <v>0</v>
      </c>
      <c r="K355" t="n">
        <v>1</v>
      </c>
      <c r="L355" t="n">
        <v>2</v>
      </c>
      <c r="M355" t="n">
        <v>0</v>
      </c>
      <c r="N355" t="n">
        <v>0</v>
      </c>
      <c r="O355" t="n">
        <v>0</v>
      </c>
      <c r="P355" t="n">
        <v>0</v>
      </c>
      <c r="Q355" t="n">
        <v>2</v>
      </c>
      <c r="R355" t="n">
        <v>0</v>
      </c>
      <c r="S355" t="n">
        <v>3</v>
      </c>
      <c r="T355" t="n">
        <v>4</v>
      </c>
      <c r="U355" t="n">
        <v>4</v>
      </c>
      <c r="V355" s="2" t="inlineStr">
        <is>
          <t>Sårläka
Vedtrappmossa
Brandticka</t>
        </is>
      </c>
      <c r="W355">
        <f>HYPERLINK("https://klasma.github.io/Logging_0319/artfynd/A 61693-2025 artfynd.xlsx", "A 61693-2025")</f>
        <v/>
      </c>
      <c r="X355">
        <f>HYPERLINK("https://klasma.github.io/Logging_0319/kartor/A 61693-2025 karta.png", "A 61693-2025")</f>
        <v/>
      </c>
      <c r="Y355">
        <f>HYPERLINK("https://klasma.github.io/Logging_0319/kartor_geotiff/A 61693-2025 georefererad karta.tif", "A 61693-2025")</f>
        <v/>
      </c>
      <c r="AA355">
        <f>HYPERLINK("https://klasma.github.io/Logging_0319/klagomål/A 61693-2025 FSC-klagomål.docx", "A 61693-2025")</f>
        <v/>
      </c>
      <c r="AB355">
        <f>HYPERLINK("https://klasma.github.io/Logging_0319/klagomålsmail/A 61693-2025 FSC-klagomål mail.docx", "A 61693-2025")</f>
        <v/>
      </c>
      <c r="AC355">
        <f>HYPERLINK("https://klasma.github.io/Logging_0319/tillsyn/A 61693-2025 tillsynsbegäran.docx", "A 61693-2025")</f>
        <v/>
      </c>
      <c r="AD355">
        <f>HYPERLINK("https://klasma.github.io/Logging_0319/tillsynsmail/A 61693-2025 tillsynsbegäran mail.docx", "A 61693-2025")</f>
        <v/>
      </c>
    </row>
    <row r="356" ht="15" customHeight="1">
      <c r="A356" t="inlineStr">
        <is>
          <t>A 54835-2025</t>
        </is>
      </c>
      <c r="B356" t="inlineStr">
        <is>
          <t>avverkningsanmälan</t>
        </is>
      </c>
      <c r="C356" t="inlineStr">
        <is>
          <t>Föryngringsavverkning</t>
        </is>
      </c>
      <c r="D356" s="1" t="n">
        <v>45966</v>
      </c>
      <c r="E356" s="1" t="n">
        <v>46309</v>
      </c>
      <c r="F356" t="inlineStr">
        <is>
          <t>UPPSALA LÄN</t>
        </is>
      </c>
      <c r="G356" t="inlineStr">
        <is>
          <t>TIERP</t>
        </is>
      </c>
      <c r="H356" t="inlineStr">
        <is>
          <t>Bergvik skog öst AB</t>
        </is>
      </c>
      <c r="I356" t="n">
        <v>2.8</v>
      </c>
      <c r="J356" t="n">
        <v>3</v>
      </c>
      <c r="K356" t="n">
        <v>0</v>
      </c>
      <c r="L356" t="n">
        <v>0</v>
      </c>
      <c r="M356" t="n">
        <v>1</v>
      </c>
      <c r="N356" t="n">
        <v>0</v>
      </c>
      <c r="O356" t="n">
        <v>0</v>
      </c>
      <c r="P356" t="n">
        <v>0</v>
      </c>
      <c r="Q356" t="n">
        <v>1</v>
      </c>
      <c r="R356" t="n">
        <v>1</v>
      </c>
      <c r="S356" t="n">
        <v>3</v>
      </c>
      <c r="T356" t="n">
        <v>3</v>
      </c>
      <c r="U356" t="n">
        <v>2</v>
      </c>
      <c r="V356" s="2" t="inlineStr">
        <is>
          <t>Knärot
Spillkråka
Tjäder</t>
        </is>
      </c>
      <c r="W356">
        <f>HYPERLINK("https://klasma.github.io/Logging_0360/artfynd/A 54835-2025 artfynd.xlsx", "A 54835-2025")</f>
        <v/>
      </c>
      <c r="X356">
        <f>HYPERLINK("https://klasma.github.io/Logging_0360/kartor/A 54835-2025 karta.png", "A 54835-2025")</f>
        <v/>
      </c>
      <c r="Y356">
        <f>HYPERLINK("https://klasma.github.io/Logging_0360/kartor_geotiff/A 54835-2025 georefererad karta.tif", "A 54835-2025")</f>
        <v/>
      </c>
      <c r="Z356">
        <f>HYPERLINK("https://klasma.github.io/Logging_0360/knärot/A 54835-2025 karta knärot.png", "A 54835-2025")</f>
        <v/>
      </c>
      <c r="AA356">
        <f>HYPERLINK("https://klasma.github.io/Logging_0360/klagomål/A 54835-2025 FSC-klagomål.docx", "A 54835-2025")</f>
        <v/>
      </c>
      <c r="AB356">
        <f>HYPERLINK("https://klasma.github.io/Logging_0360/klagomålsmail/A 54835-2025 FSC-klagomål mail.docx", "A 54835-2025")</f>
        <v/>
      </c>
      <c r="AC356">
        <f>HYPERLINK("https://klasma.github.io/Logging_0360/tillsyn/A 54835-2025 tillsynsbegäran.docx", "A 54835-2025")</f>
        <v/>
      </c>
      <c r="AD356">
        <f>HYPERLINK("https://klasma.github.io/Logging_0360/tillsynsmail/A 54835-2025 tillsynsbegäran mail.docx", "A 54835-2025")</f>
        <v/>
      </c>
      <c r="AE356">
        <f>HYPERLINK("https://klasma.github.io/Logging_0360/fåglar/A 54835-2025 prioriterade fågelarter.docx", "A 54835-2025")</f>
        <v/>
      </c>
    </row>
    <row r="357" ht="15" customHeight="1">
      <c r="A357" t="inlineStr">
        <is>
          <t>A 54537-2025</t>
        </is>
      </c>
      <c r="B357" t="inlineStr">
        <is>
          <t>avverkningsanmälan</t>
        </is>
      </c>
      <c r="C357" t="inlineStr">
        <is>
          <t>Föryngringsavverkning</t>
        </is>
      </c>
      <c r="D357" s="1" t="n">
        <v>45965</v>
      </c>
      <c r="E357" s="1" t="n">
        <v>46309</v>
      </c>
      <c r="F357" t="inlineStr">
        <is>
          <t>UPPSALA LÄN</t>
        </is>
      </c>
      <c r="G357" t="inlineStr">
        <is>
          <t>TIERP</t>
        </is>
      </c>
      <c r="H357" t="inlineStr">
        <is>
          <t>Bergvik skog öst AB</t>
        </is>
      </c>
      <c r="I357" t="n">
        <v>4.8</v>
      </c>
      <c r="J357" t="n">
        <v>0</v>
      </c>
      <c r="K357" t="n">
        <v>2</v>
      </c>
      <c r="L357" t="n">
        <v>0</v>
      </c>
      <c r="M357" t="n">
        <v>1</v>
      </c>
      <c r="N357" t="n">
        <v>0</v>
      </c>
      <c r="O357" t="n">
        <v>0</v>
      </c>
      <c r="P357" t="n">
        <v>0</v>
      </c>
      <c r="Q357" t="n">
        <v>1</v>
      </c>
      <c r="R357" t="n">
        <v>1</v>
      </c>
      <c r="S357" t="n">
        <v>3</v>
      </c>
      <c r="T357" t="n">
        <v>3</v>
      </c>
      <c r="U357" t="n">
        <v>3</v>
      </c>
      <c r="V357" s="2" t="inlineStr">
        <is>
          <t>Garnlav
Flagellkvastmossa
Vågbandad barkbock</t>
        </is>
      </c>
      <c r="W357">
        <f>HYPERLINK("https://klasma.github.io/Logging_0360/artfynd/A 54537-2025 artfynd.xlsx", "A 54537-2025")</f>
        <v/>
      </c>
      <c r="X357">
        <f>HYPERLINK("https://klasma.github.io/Logging_0360/kartor/A 54537-2025 karta.png", "A 54537-2025")</f>
        <v/>
      </c>
      <c r="Y357">
        <f>HYPERLINK("https://klasma.github.io/Logging_0360/kartor_geotiff/A 54537-2025 georefererad karta.tif", "A 54537-2025")</f>
        <v/>
      </c>
      <c r="AA357">
        <f>HYPERLINK("https://klasma.github.io/Logging_0360/klagomål/A 54537-2025 FSC-klagomål.docx", "A 54537-2025")</f>
        <v/>
      </c>
      <c r="AB357">
        <f>HYPERLINK("https://klasma.github.io/Logging_0360/klagomålsmail/A 54537-2025 FSC-klagomål mail.docx", "A 54537-2025")</f>
        <v/>
      </c>
      <c r="AC357">
        <f>HYPERLINK("https://klasma.github.io/Logging_0360/tillsyn/A 54537-2025 tillsynsbegäran.docx", "A 54537-2025")</f>
        <v/>
      </c>
      <c r="AD357">
        <f>HYPERLINK("https://klasma.github.io/Logging_0360/tillsynsmail/A 54537-2025 tillsynsbegäran mail.docx", "A 54537-2025")</f>
        <v/>
      </c>
    </row>
    <row r="358" ht="15" customHeight="1">
      <c r="A358" t="inlineStr">
        <is>
          <t>A 61685-2025</t>
        </is>
      </c>
      <c r="B358" t="inlineStr">
        <is>
          <t>avverkningsanmälan</t>
        </is>
      </c>
      <c r="C358" t="inlineStr">
        <is>
          <t>Föryngringsavverkning</t>
        </is>
      </c>
      <c r="D358" s="1" t="n">
        <v>46002</v>
      </c>
      <c r="E358" s="1" t="n">
        <v>46309</v>
      </c>
      <c r="F358" t="inlineStr">
        <is>
          <t>UPPSALA LÄN</t>
        </is>
      </c>
      <c r="G358" t="inlineStr">
        <is>
          <t>ÄLVKARLEBY</t>
        </is>
      </c>
      <c r="H358" t="inlineStr">
        <is>
          <t>Bergvik skog öst AB</t>
        </is>
      </c>
      <c r="I358" t="n">
        <v>1</v>
      </c>
      <c r="J358" t="n">
        <v>2</v>
      </c>
      <c r="K358" t="n">
        <v>1</v>
      </c>
      <c r="L358" t="n">
        <v>1</v>
      </c>
      <c r="M358" t="n">
        <v>0</v>
      </c>
      <c r="N358" t="n">
        <v>0</v>
      </c>
      <c r="O358" t="n">
        <v>0</v>
      </c>
      <c r="P358" t="n">
        <v>0</v>
      </c>
      <c r="Q358" t="n">
        <v>1</v>
      </c>
      <c r="R358" t="n">
        <v>0</v>
      </c>
      <c r="S358" t="n">
        <v>3</v>
      </c>
      <c r="T358" t="n">
        <v>3</v>
      </c>
      <c r="U358" t="n">
        <v>0</v>
      </c>
      <c r="V358" s="2" t="inlineStr">
        <is>
          <t>Klasefibbla
Tvåblad
Kärrknipprot</t>
        </is>
      </c>
      <c r="W358">
        <f>HYPERLINK("https://klasma.github.io/Logging_0319/artfynd/A 61685-2025 artfynd.xlsx", "A 61685-2025")</f>
        <v/>
      </c>
      <c r="X358">
        <f>HYPERLINK("https://klasma.github.io/Logging_0319/kartor/A 61685-2025 karta.png", "A 61685-2025")</f>
        <v/>
      </c>
      <c r="Y358">
        <f>HYPERLINK("https://klasma.github.io/Logging_0319/kartor_geotiff/A 61685-2025 georefererad karta.tif", "A 61685-2025")</f>
        <v/>
      </c>
      <c r="AA358">
        <f>HYPERLINK("https://klasma.github.io/Logging_0319/klagomål/A 61685-2025 FSC-klagomål.docx", "A 61685-2025")</f>
        <v/>
      </c>
      <c r="AB358">
        <f>HYPERLINK("https://klasma.github.io/Logging_0319/klagomålsmail/A 61685-2025 FSC-klagomål mail.docx", "A 61685-2025")</f>
        <v/>
      </c>
      <c r="AC358">
        <f>HYPERLINK("https://klasma.github.io/Logging_0319/tillsyn/A 61685-2025 tillsynsbegäran.docx", "A 61685-2025")</f>
        <v/>
      </c>
      <c r="AD358">
        <f>HYPERLINK("https://klasma.github.io/Logging_0319/tillsynsmail/A 61685-2025 tillsynsbegäran mail.docx", "A 61685-2025")</f>
        <v/>
      </c>
    </row>
    <row r="359" ht="15" customHeight="1">
      <c r="A359" t="inlineStr">
        <is>
          <t>A 34979-2023</t>
        </is>
      </c>
      <c r="B359" t="inlineStr">
        <is>
          <t>avverkningsanmälan</t>
        </is>
      </c>
      <c r="C359" t="inlineStr">
        <is>
          <t>Föryngringsavverkning</t>
        </is>
      </c>
      <c r="D359" s="1" t="n">
        <v>45142</v>
      </c>
      <c r="E359" s="1" t="n">
        <v>46309</v>
      </c>
      <c r="F359" t="inlineStr">
        <is>
          <t>UPPSALA LÄN</t>
        </is>
      </c>
      <c r="G359" t="inlineStr">
        <is>
          <t>TIERP</t>
        </is>
      </c>
      <c r="H359" t="inlineStr">
        <is>
          <t>Bergvik skog öst AB</t>
        </is>
      </c>
      <c r="I359" t="n">
        <v>1.2</v>
      </c>
      <c r="J359" t="n">
        <v>1</v>
      </c>
      <c r="K359" t="n">
        <v>1</v>
      </c>
      <c r="L359" t="n">
        <v>1</v>
      </c>
      <c r="M359" t="n">
        <v>0</v>
      </c>
      <c r="N359" t="n">
        <v>0</v>
      </c>
      <c r="O359" t="n">
        <v>0</v>
      </c>
      <c r="P359" t="n">
        <v>0</v>
      </c>
      <c r="Q359" t="n">
        <v>1</v>
      </c>
      <c r="R359" t="n">
        <v>0</v>
      </c>
      <c r="S359" t="n">
        <v>3</v>
      </c>
      <c r="T359" t="n">
        <v>3</v>
      </c>
      <c r="U359" t="n">
        <v>2</v>
      </c>
      <c r="V359" s="2" t="inlineStr">
        <is>
          <t>Fjällig taggsvamp s.str.
Vedticka
Kungsfågel</t>
        </is>
      </c>
      <c r="W359">
        <f>HYPERLINK("https://klasma.github.io/Logging_0360/artfynd/A 34979-2023 artfynd.xlsx", "A 34979-2023")</f>
        <v/>
      </c>
      <c r="X359">
        <f>HYPERLINK("https://klasma.github.io/Logging_0360/kartor/A 34979-2023 karta.png", "A 34979-2023")</f>
        <v/>
      </c>
      <c r="Y359">
        <f>HYPERLINK("https://klasma.github.io/Logging_0360/kartor_geotiff/A 34979-2023 georefererad karta.tif", "A 34979-2023")</f>
        <v/>
      </c>
      <c r="AA359">
        <f>HYPERLINK("https://klasma.github.io/Logging_0360/klagomål/A 34979-2023 FSC-klagomål.docx", "A 34979-2023")</f>
        <v/>
      </c>
      <c r="AB359">
        <f>HYPERLINK("https://klasma.github.io/Logging_0360/klagomålsmail/A 34979-2023 FSC-klagomål mail.docx", "A 34979-2023")</f>
        <v/>
      </c>
      <c r="AC359">
        <f>HYPERLINK("https://klasma.github.io/Logging_0360/tillsyn/A 34979-2023 tillsynsbegäran.docx", "A 34979-2023")</f>
        <v/>
      </c>
      <c r="AD359">
        <f>HYPERLINK("https://klasma.github.io/Logging_0360/tillsynsmail/A 34979-2023 tillsynsbegäran mail.docx", "A 34979-2023")</f>
        <v/>
      </c>
    </row>
    <row r="360" ht="15" customHeight="1">
      <c r="A360" t="inlineStr">
        <is>
          <t>A 13085-2026</t>
        </is>
      </c>
      <c r="B360" t="inlineStr">
        <is>
          <t>avverkningsanmälan</t>
        </is>
      </c>
      <c r="C360" t="inlineStr">
        <is>
          <t>Föryngringsavverkning</t>
        </is>
      </c>
      <c r="D360" s="1" t="n">
        <v>46093</v>
      </c>
      <c r="E360" s="1" t="n">
        <v>46309</v>
      </c>
      <c r="F360" t="inlineStr">
        <is>
          <t>UPPSALA LÄN</t>
        </is>
      </c>
      <c r="G360" t="inlineStr">
        <is>
          <t>UPPSALA</t>
        </is>
      </c>
      <c r="I360" t="n">
        <v>2.2</v>
      </c>
      <c r="J360" t="n">
        <v>1</v>
      </c>
      <c r="K360" t="n">
        <v>1</v>
      </c>
      <c r="L360" t="n">
        <v>1</v>
      </c>
      <c r="M360" t="n">
        <v>0</v>
      </c>
      <c r="N360" t="n">
        <v>0</v>
      </c>
      <c r="O360" t="n">
        <v>0</v>
      </c>
      <c r="P360" t="n">
        <v>0</v>
      </c>
      <c r="Q360" t="n">
        <v>1</v>
      </c>
      <c r="R360" t="n">
        <v>0</v>
      </c>
      <c r="S360" t="n">
        <v>3</v>
      </c>
      <c r="T360" t="n">
        <v>6</v>
      </c>
      <c r="U360" t="n">
        <v>0</v>
      </c>
      <c r="V360" s="2" t="inlineStr">
        <is>
          <t>Vårärt
Svart trolldruva
Blåsippa</t>
        </is>
      </c>
      <c r="W360">
        <f>HYPERLINK("https://klasma.github.io/Logging_0380/artfynd/A 13085-2026 artfynd.xlsx", "A 13085-2026")</f>
        <v/>
      </c>
      <c r="X360">
        <f>HYPERLINK("https://klasma.github.io/Logging_0380/kartor/A 13085-2026 karta.png", "A 13085-2026")</f>
        <v/>
      </c>
      <c r="Y360">
        <f>HYPERLINK("https://klasma.github.io/Logging_0380/kartor_geotiff/A 13085-2026 georefererad karta.tif", "A 13085-2026")</f>
        <v/>
      </c>
      <c r="AA360">
        <f>HYPERLINK("https://klasma.github.io/Logging_0380/klagomål/A 13085-2026 FSC-klagomål.docx", "A 13085-2026")</f>
        <v/>
      </c>
      <c r="AB360">
        <f>HYPERLINK("https://klasma.github.io/Logging_0380/klagomålsmail/A 13085-2026 FSC-klagomål mail.docx", "A 13085-2026")</f>
        <v/>
      </c>
      <c r="AC360">
        <f>HYPERLINK("https://klasma.github.io/Logging_0380/tillsyn/A 13085-2026 tillsynsbegäran.docx", "A 13085-2026")</f>
        <v/>
      </c>
      <c r="AD360">
        <f>HYPERLINK("https://klasma.github.io/Logging_0380/tillsynsmail/A 13085-2026 tillsynsbegäran mail.docx", "A 13085-2026")</f>
        <v/>
      </c>
    </row>
    <row r="361" ht="15" customHeight="1">
      <c r="A361" t="inlineStr">
        <is>
          <t>A 21700-2024</t>
        </is>
      </c>
      <c r="B361" t="inlineStr">
        <is>
          <t>avverkningsanmälan</t>
        </is>
      </c>
      <c r="C361" t="inlineStr">
        <is>
          <t>Föryngringsavverkning</t>
        </is>
      </c>
      <c r="D361" s="1" t="n">
        <v>45442</v>
      </c>
      <c r="E361" s="1" t="n">
        <v>46309</v>
      </c>
      <c r="F361" t="inlineStr">
        <is>
          <t>UPPSALA LÄN</t>
        </is>
      </c>
      <c r="G361" t="inlineStr">
        <is>
          <t>ÄLVKARLEBY</t>
        </is>
      </c>
      <c r="H361" t="inlineStr">
        <is>
          <t>Bergvik skog väst AB</t>
        </is>
      </c>
      <c r="I361" t="n">
        <v>1.1</v>
      </c>
      <c r="J361" t="n">
        <v>0</v>
      </c>
      <c r="K361" t="n">
        <v>1</v>
      </c>
      <c r="L361" t="n">
        <v>1</v>
      </c>
      <c r="M361" t="n">
        <v>1</v>
      </c>
      <c r="N361" t="n">
        <v>0</v>
      </c>
      <c r="O361" t="n">
        <v>0</v>
      </c>
      <c r="P361" t="n">
        <v>0</v>
      </c>
      <c r="Q361" t="n">
        <v>2</v>
      </c>
      <c r="R361" t="n">
        <v>1</v>
      </c>
      <c r="S361" t="n">
        <v>3</v>
      </c>
      <c r="T361" t="n">
        <v>3</v>
      </c>
      <c r="U361" t="n">
        <v>1</v>
      </c>
      <c r="V361" s="2" t="inlineStr">
        <is>
          <t>Töcknig trymal
Skuggorangelav
Scharlakansvårskål agg.</t>
        </is>
      </c>
      <c r="W361">
        <f>HYPERLINK("https://klasma.github.io/Logging_0319/artfynd/A 21700-2024 artfynd.xlsx", "A 21700-2024")</f>
        <v/>
      </c>
      <c r="X361">
        <f>HYPERLINK("https://klasma.github.io/Logging_0319/kartor/A 21700-2024 karta.png", "A 21700-2024")</f>
        <v/>
      </c>
      <c r="Y361">
        <f>HYPERLINK("https://klasma.github.io/Logging_0319/kartor_geotiff/A 21700-2024 georefererad karta.tif", "A 21700-2024")</f>
        <v/>
      </c>
      <c r="AA361">
        <f>HYPERLINK("https://klasma.github.io/Logging_0319/klagomål/A 21700-2024 FSC-klagomål.docx", "A 21700-2024")</f>
        <v/>
      </c>
      <c r="AB361">
        <f>HYPERLINK("https://klasma.github.io/Logging_0319/klagomålsmail/A 21700-2024 FSC-klagomål mail.docx", "A 21700-2024")</f>
        <v/>
      </c>
      <c r="AC361">
        <f>HYPERLINK("https://klasma.github.io/Logging_0319/tillsyn/A 21700-2024 tillsynsbegäran.docx", "A 21700-2024")</f>
        <v/>
      </c>
      <c r="AD361">
        <f>HYPERLINK("https://klasma.github.io/Logging_0319/tillsynsmail/A 21700-2024 tillsynsbegäran mail.docx", "A 21700-2024")</f>
        <v/>
      </c>
    </row>
    <row r="362" ht="15" customHeight="1">
      <c r="A362" t="inlineStr">
        <is>
          <t>A 14635-2026</t>
        </is>
      </c>
      <c r="B362" t="inlineStr">
        <is>
          <t>avverkningsanmälan</t>
        </is>
      </c>
      <c r="C362" t="inlineStr">
        <is>
          <t>Föryngringsavverkning</t>
        </is>
      </c>
      <c r="D362" s="1" t="n">
        <v>46101</v>
      </c>
      <c r="E362" s="1" t="n">
        <v>46309</v>
      </c>
      <c r="F362" t="inlineStr">
        <is>
          <t>UPPSALA LÄN</t>
        </is>
      </c>
      <c r="G362" t="inlineStr">
        <is>
          <t>TIERP</t>
        </is>
      </c>
      <c r="H362" t="inlineStr">
        <is>
          <t>Kyrkan</t>
        </is>
      </c>
      <c r="I362" t="n">
        <v>6.5</v>
      </c>
      <c r="J362" t="n">
        <v>3</v>
      </c>
      <c r="K362" t="n">
        <v>1</v>
      </c>
      <c r="L362" t="n">
        <v>1</v>
      </c>
      <c r="M362" t="n">
        <v>0</v>
      </c>
      <c r="N362" t="n">
        <v>0</v>
      </c>
      <c r="O362" t="n">
        <v>0</v>
      </c>
      <c r="P362" t="n">
        <v>0</v>
      </c>
      <c r="Q362" t="n">
        <v>1</v>
      </c>
      <c r="R362" t="n">
        <v>0</v>
      </c>
      <c r="S362" t="n">
        <v>3</v>
      </c>
      <c r="T362" t="n">
        <v>3</v>
      </c>
      <c r="U362" t="n">
        <v>0</v>
      </c>
      <c r="V362" s="2" t="inlineStr">
        <is>
          <t>Gulsparv
Tvåblad
Ängsnycklar</t>
        </is>
      </c>
      <c r="W362">
        <f>HYPERLINK("https://klasma.github.io/Logging_0360/artfynd/A 14635-2026 artfynd.xlsx", "A 14635-2026")</f>
        <v/>
      </c>
      <c r="X362">
        <f>HYPERLINK("https://klasma.github.io/Logging_0360/kartor/A 14635-2026 karta.png", "A 14635-2026")</f>
        <v/>
      </c>
      <c r="Y362">
        <f>HYPERLINK("https://klasma.github.io/Logging_0360/kartor_geotiff/A 14635-2026 georefererad karta.tif", "A 14635-2026")</f>
        <v/>
      </c>
      <c r="AA362">
        <f>HYPERLINK("https://klasma.github.io/Logging_0360/klagomål/A 14635-2026 FSC-klagomål.docx", "A 14635-2026")</f>
        <v/>
      </c>
      <c r="AB362">
        <f>HYPERLINK("https://klasma.github.io/Logging_0360/klagomålsmail/A 14635-2026 FSC-klagomål mail.docx", "A 14635-2026")</f>
        <v/>
      </c>
      <c r="AC362">
        <f>HYPERLINK("https://klasma.github.io/Logging_0360/tillsyn/A 14635-2026 tillsynsbegäran.docx", "A 14635-2026")</f>
        <v/>
      </c>
      <c r="AD362">
        <f>HYPERLINK("https://klasma.github.io/Logging_0360/tillsynsmail/A 14635-2026 tillsynsbegäran mail.docx", "A 14635-2026")</f>
        <v/>
      </c>
      <c r="AE362">
        <f>HYPERLINK("https://klasma.github.io/Logging_0360/fåglar/A 14635-2026 prioriterade fågelarter.docx", "A 14635-2026")</f>
        <v/>
      </c>
    </row>
    <row r="363" ht="15" customHeight="1">
      <c r="A363" t="inlineStr">
        <is>
          <t>A 17694-2026</t>
        </is>
      </c>
      <c r="B363" t="inlineStr">
        <is>
          <t>avverkningsanmälan</t>
        </is>
      </c>
      <c r="C363" t="inlineStr">
        <is>
          <t>Föryngringsavverkning</t>
        </is>
      </c>
      <c r="D363" s="1" t="n">
        <v>46121</v>
      </c>
      <c r="E363" s="1" t="n">
        <v>46309</v>
      </c>
      <c r="F363" t="inlineStr">
        <is>
          <t>UPPSALA LÄN</t>
        </is>
      </c>
      <c r="G363" t="inlineStr">
        <is>
          <t>ÖSTHAMMAR</t>
        </is>
      </c>
      <c r="I363" t="n">
        <v>3.4</v>
      </c>
      <c r="J363" t="n">
        <v>1</v>
      </c>
      <c r="K363" t="n">
        <v>1</v>
      </c>
      <c r="L363" t="n">
        <v>1</v>
      </c>
      <c r="M363" t="n">
        <v>0</v>
      </c>
      <c r="N363" t="n">
        <v>1</v>
      </c>
      <c r="O363" t="n">
        <v>0</v>
      </c>
      <c r="P363" t="n">
        <v>0</v>
      </c>
      <c r="Q363" t="n">
        <v>2</v>
      </c>
      <c r="R363" t="n">
        <v>1</v>
      </c>
      <c r="S363" t="n">
        <v>3</v>
      </c>
      <c r="T363" t="n">
        <v>4</v>
      </c>
      <c r="U363" t="n">
        <v>0</v>
      </c>
      <c r="V363" s="2" t="inlineStr">
        <is>
          <t>Ask
Ängsstarr
Guckusko</t>
        </is>
      </c>
      <c r="W363">
        <f>HYPERLINK("https://klasma.github.io/Logging_0382/artfynd/A 17694-2026 artfynd.xlsx", "A 17694-2026")</f>
        <v/>
      </c>
      <c r="X363">
        <f>HYPERLINK("https://klasma.github.io/Logging_0382/kartor/A 17694-2026 karta.png", "A 17694-2026")</f>
        <v/>
      </c>
      <c r="Y363">
        <f>HYPERLINK("https://klasma.github.io/Logging_0382/kartor_geotiff/A 17694-2026 georefererad karta.tif", "A 17694-2026")</f>
        <v/>
      </c>
      <c r="AA363">
        <f>HYPERLINK("https://klasma.github.io/Logging_0382/klagomål/A 17694-2026 FSC-klagomål.docx", "A 17694-2026")</f>
        <v/>
      </c>
      <c r="AB363">
        <f>HYPERLINK("https://klasma.github.io/Logging_0382/klagomålsmail/A 17694-2026 FSC-klagomål mail.docx", "A 17694-2026")</f>
        <v/>
      </c>
      <c r="AC363">
        <f>HYPERLINK("https://klasma.github.io/Logging_0382/tillsyn/A 17694-2026 tillsynsbegäran.docx", "A 17694-2026")</f>
        <v/>
      </c>
      <c r="AD363">
        <f>HYPERLINK("https://klasma.github.io/Logging_0382/tillsynsmail/A 17694-2026 tillsynsbegäran mail.docx", "A 17694-2026")</f>
        <v/>
      </c>
    </row>
    <row r="364" ht="15" customHeight="1">
      <c r="A364" t="inlineStr">
        <is>
          <t>A 22375-2024</t>
        </is>
      </c>
      <c r="B364" t="inlineStr">
        <is>
          <t>avverkningsanmälan</t>
        </is>
      </c>
      <c r="C364" t="inlineStr">
        <is>
          <t>Föryngringsavverkning</t>
        </is>
      </c>
      <c r="D364" s="1" t="n">
        <v>45446</v>
      </c>
      <c r="E364" s="1" t="n">
        <v>46309</v>
      </c>
      <c r="F364" t="inlineStr">
        <is>
          <t>UPPSALA LÄN</t>
        </is>
      </c>
      <c r="G364" t="inlineStr">
        <is>
          <t>ÖSTHAMMAR</t>
        </is>
      </c>
      <c r="H364" t="inlineStr">
        <is>
          <t>Bergvik skog öst AB</t>
        </is>
      </c>
      <c r="I364" t="n">
        <v>2.2</v>
      </c>
      <c r="J364" t="n">
        <v>0</v>
      </c>
      <c r="K364" t="n">
        <v>0</v>
      </c>
      <c r="L364" t="n">
        <v>1</v>
      </c>
      <c r="M364" t="n">
        <v>2</v>
      </c>
      <c r="N364" t="n">
        <v>0</v>
      </c>
      <c r="O364" t="n">
        <v>0</v>
      </c>
      <c r="P364" t="n">
        <v>0</v>
      </c>
      <c r="Q364" t="n">
        <v>3</v>
      </c>
      <c r="R364" t="n">
        <v>2</v>
      </c>
      <c r="S364" t="n">
        <v>3</v>
      </c>
      <c r="T364" t="n">
        <v>4</v>
      </c>
      <c r="U364" t="n">
        <v>1</v>
      </c>
      <c r="V364" s="2" t="inlineStr">
        <is>
          <t>Mindre bastardsvärmare
Stortimjan
Slåtterfibbla</t>
        </is>
      </c>
      <c r="W364">
        <f>HYPERLINK("https://klasma.github.io/Logging_0382/artfynd/A 22375-2024 artfynd.xlsx", "A 22375-2024")</f>
        <v/>
      </c>
      <c r="X364">
        <f>HYPERLINK("https://klasma.github.io/Logging_0382/kartor/A 22375-2024 karta.png", "A 22375-2024")</f>
        <v/>
      </c>
      <c r="Y364">
        <f>HYPERLINK("https://klasma.github.io/Logging_0382/kartor_geotiff/A 22375-2024 georefererad karta.tif", "A 22375-2024")</f>
        <v/>
      </c>
      <c r="AA364">
        <f>HYPERLINK("https://klasma.github.io/Logging_0382/klagomål/A 22375-2024 FSC-klagomål.docx", "A 22375-2024")</f>
        <v/>
      </c>
      <c r="AB364">
        <f>HYPERLINK("https://klasma.github.io/Logging_0382/klagomålsmail/A 22375-2024 FSC-klagomål mail.docx", "A 22375-2024")</f>
        <v/>
      </c>
      <c r="AC364">
        <f>HYPERLINK("https://klasma.github.io/Logging_0382/tillsyn/A 22375-2024 tillsynsbegäran.docx", "A 22375-2024")</f>
        <v/>
      </c>
      <c r="AD364">
        <f>HYPERLINK("https://klasma.github.io/Logging_0382/tillsynsmail/A 22375-2024 tillsynsbegäran mail.docx", "A 22375-2024")</f>
        <v/>
      </c>
    </row>
    <row r="365" ht="15" customHeight="1">
      <c r="A365" t="inlineStr">
        <is>
          <t>A 58878-2022</t>
        </is>
      </c>
      <c r="B365" t="inlineStr">
        <is>
          <t>avverkningsanmälan</t>
        </is>
      </c>
      <c r="C365" t="inlineStr">
        <is>
          <t>Föryngringsavverkning</t>
        </is>
      </c>
      <c r="D365" s="1" t="n">
        <v>44903</v>
      </c>
      <c r="E365" s="1" t="n">
        <v>46309</v>
      </c>
      <c r="F365" t="inlineStr">
        <is>
          <t>UPPSALA LÄN</t>
        </is>
      </c>
      <c r="G365" t="inlineStr">
        <is>
          <t>ÖSTHAMMAR</t>
        </is>
      </c>
      <c r="I365" t="n">
        <v>0.8</v>
      </c>
      <c r="J365" t="n">
        <v>2</v>
      </c>
      <c r="K365" t="n">
        <v>1</v>
      </c>
      <c r="L365" t="n">
        <v>1</v>
      </c>
      <c r="M365" t="n">
        <v>0</v>
      </c>
      <c r="N365" t="n">
        <v>0</v>
      </c>
      <c r="O365" t="n">
        <v>0</v>
      </c>
      <c r="P365" t="n">
        <v>0</v>
      </c>
      <c r="Q365" t="n">
        <v>1</v>
      </c>
      <c r="R365" t="n">
        <v>0</v>
      </c>
      <c r="S365" t="n">
        <v>3</v>
      </c>
      <c r="T365" t="n">
        <v>7</v>
      </c>
      <c r="U365" t="n">
        <v>1</v>
      </c>
      <c r="V365" s="2" t="inlineStr">
        <is>
          <t>Solvända
Tvåblad
Gullviva</t>
        </is>
      </c>
      <c r="W365">
        <f>HYPERLINK("https://klasma.github.io/Logging_0382/artfynd/A 58878-2022 artfynd.xlsx", "A 58878-2022")</f>
        <v/>
      </c>
      <c r="X365">
        <f>HYPERLINK("https://klasma.github.io/Logging_0382/kartor/A 58878-2022 karta.png", "A 58878-2022")</f>
        <v/>
      </c>
      <c r="Y365">
        <f>HYPERLINK("https://klasma.github.io/Logging_0382/kartor_geotiff/A 58878-2022 georefererad karta.tif", "A 58878-2022")</f>
        <v/>
      </c>
      <c r="AA365">
        <f>HYPERLINK("https://klasma.github.io/Logging_0382/klagomål/A 58878-2022 FSC-klagomål.docx", "A 58878-2022")</f>
        <v/>
      </c>
      <c r="AB365">
        <f>HYPERLINK("https://klasma.github.io/Logging_0382/klagomålsmail/A 58878-2022 FSC-klagomål mail.docx", "A 58878-2022")</f>
        <v/>
      </c>
      <c r="AC365">
        <f>HYPERLINK("https://klasma.github.io/Logging_0382/tillsyn/A 58878-2022 tillsynsbegäran.docx", "A 58878-2022")</f>
        <v/>
      </c>
      <c r="AD365">
        <f>HYPERLINK("https://klasma.github.io/Logging_0382/tillsynsmail/A 58878-2022 tillsynsbegäran mail.docx", "A 58878-2022")</f>
        <v/>
      </c>
    </row>
    <row r="366" ht="15" customHeight="1">
      <c r="A366" t="inlineStr">
        <is>
          <t>A 57793-2022</t>
        </is>
      </c>
      <c r="B366" t="inlineStr">
        <is>
          <t>avverkningsanmälan</t>
        </is>
      </c>
      <c r="C366" t="inlineStr">
        <is>
          <t>Föryngringsavverkning</t>
        </is>
      </c>
      <c r="D366" s="1" t="n">
        <v>44897</v>
      </c>
      <c r="E366" s="1" t="n">
        <v>46309</v>
      </c>
      <c r="F366" t="inlineStr">
        <is>
          <t>UPPSALA LÄN</t>
        </is>
      </c>
      <c r="G366" t="inlineStr">
        <is>
          <t>UPPSALA</t>
        </is>
      </c>
      <c r="I366" t="n">
        <v>2.9</v>
      </c>
      <c r="J366" t="n">
        <v>2</v>
      </c>
      <c r="K366" t="n">
        <v>1</v>
      </c>
      <c r="L366" t="n">
        <v>2</v>
      </c>
      <c r="M366" t="n">
        <v>0</v>
      </c>
      <c r="N366" t="n">
        <v>0</v>
      </c>
      <c r="O366" t="n">
        <v>0</v>
      </c>
      <c r="P366" t="n">
        <v>0</v>
      </c>
      <c r="Q366" t="n">
        <v>2</v>
      </c>
      <c r="R366" t="n">
        <v>0</v>
      </c>
      <c r="S366" t="n">
        <v>3</v>
      </c>
      <c r="T366" t="n">
        <v>3</v>
      </c>
      <c r="U366" t="n">
        <v>0</v>
      </c>
      <c r="V366" s="2" t="inlineStr">
        <is>
          <t>Sparvuggla
Talltita
Blomkålssvamp</t>
        </is>
      </c>
      <c r="W366">
        <f>HYPERLINK("https://klasma.github.io/Logging_0380/artfynd/A 57793-2022 artfynd.xlsx", "A 57793-2022")</f>
        <v/>
      </c>
      <c r="X366">
        <f>HYPERLINK("https://klasma.github.io/Logging_0380/kartor/A 57793-2022 karta.png", "A 57793-2022")</f>
        <v/>
      </c>
      <c r="Y366">
        <f>HYPERLINK("https://klasma.github.io/Logging_0380/kartor_geotiff/A 57793-2022 georefererad karta.tif", "A 57793-2022")</f>
        <v/>
      </c>
      <c r="AA366">
        <f>HYPERLINK("https://klasma.github.io/Logging_0380/klagomål/A 57793-2022 FSC-klagomål.docx", "A 57793-2022")</f>
        <v/>
      </c>
      <c r="AB366">
        <f>HYPERLINK("https://klasma.github.io/Logging_0380/klagomålsmail/A 57793-2022 FSC-klagomål mail.docx", "A 57793-2022")</f>
        <v/>
      </c>
      <c r="AC366">
        <f>HYPERLINK("https://klasma.github.io/Logging_0380/tillsyn/A 57793-2022 tillsynsbegäran.docx", "A 57793-2022")</f>
        <v/>
      </c>
      <c r="AD366">
        <f>HYPERLINK("https://klasma.github.io/Logging_0380/tillsynsmail/A 57793-2022 tillsynsbegäran mail.docx", "A 57793-2022")</f>
        <v/>
      </c>
      <c r="AE366">
        <f>HYPERLINK("https://klasma.github.io/Logging_0380/fåglar/A 57793-2022 prioriterade fågelarter.docx", "A 57793-2022")</f>
        <v/>
      </c>
    </row>
    <row r="367" ht="15" customHeight="1">
      <c r="A367" t="inlineStr">
        <is>
          <t>A 30716-2025</t>
        </is>
      </c>
      <c r="B367" t="inlineStr">
        <is>
          <t>avverkningsanmälan</t>
        </is>
      </c>
      <c r="C367" t="inlineStr">
        <is>
          <t>Föryngringsavverkning</t>
        </is>
      </c>
      <c r="D367" s="1" t="n">
        <v>45831</v>
      </c>
      <c r="E367" s="1" t="n">
        <v>46309</v>
      </c>
      <c r="F367" t="inlineStr">
        <is>
          <t>UPPSALA LÄN</t>
        </is>
      </c>
      <c r="G367" t="inlineStr">
        <is>
          <t>UPPSALA</t>
        </is>
      </c>
      <c r="I367" t="n">
        <v>2.3</v>
      </c>
      <c r="J367" t="n">
        <v>2</v>
      </c>
      <c r="K367" t="n">
        <v>1</v>
      </c>
      <c r="L367" t="n">
        <v>1</v>
      </c>
      <c r="M367" t="n">
        <v>1</v>
      </c>
      <c r="N367" t="n">
        <v>0</v>
      </c>
      <c r="O367" t="n">
        <v>0</v>
      </c>
      <c r="P367" t="n">
        <v>0</v>
      </c>
      <c r="Q367" t="n">
        <v>2</v>
      </c>
      <c r="R367" t="n">
        <v>1</v>
      </c>
      <c r="S367" t="n">
        <v>3</v>
      </c>
      <c r="T367" t="n">
        <v>5</v>
      </c>
      <c r="U367" t="n">
        <v>0</v>
      </c>
      <c r="V367" s="2" t="inlineStr">
        <is>
          <t>Knärot
Talltita
Skinnlav</t>
        </is>
      </c>
      <c r="W367">
        <f>HYPERLINK("https://klasma.github.io/Logging_0380/artfynd/A 30716-2025 artfynd.xlsx", "A 30716-2025")</f>
        <v/>
      </c>
      <c r="X367">
        <f>HYPERLINK("https://klasma.github.io/Logging_0380/kartor/A 30716-2025 karta.png", "A 30716-2025")</f>
        <v/>
      </c>
      <c r="Y367">
        <f>HYPERLINK("https://klasma.github.io/Logging_0380/kartor_geotiff/A 30716-2025 georefererad karta.tif", "A 30716-2025")</f>
        <v/>
      </c>
      <c r="Z367">
        <f>HYPERLINK("https://klasma.github.io/Logging_0380/knärot/A 30716-2025 karta knärot.png", "A 30716-2025")</f>
        <v/>
      </c>
      <c r="AA367">
        <f>HYPERLINK("https://klasma.github.io/Logging_0380/klagomål/A 30716-2025 FSC-klagomål.docx", "A 30716-2025")</f>
        <v/>
      </c>
      <c r="AB367">
        <f>HYPERLINK("https://klasma.github.io/Logging_0380/klagomålsmail/A 30716-2025 FSC-klagomål mail.docx", "A 30716-2025")</f>
        <v/>
      </c>
      <c r="AC367">
        <f>HYPERLINK("https://klasma.github.io/Logging_0380/tillsyn/A 30716-2025 tillsynsbegäran.docx", "A 30716-2025")</f>
        <v/>
      </c>
      <c r="AD367">
        <f>HYPERLINK("https://klasma.github.io/Logging_0380/tillsynsmail/A 30716-2025 tillsynsbegäran mail.docx", "A 30716-2025")</f>
        <v/>
      </c>
      <c r="AE367">
        <f>HYPERLINK("https://klasma.github.io/Logging_0380/fåglar/A 30716-2025 prioriterade fågelarter.docx", "A 30716-2025")</f>
        <v/>
      </c>
    </row>
    <row r="368" ht="15" customHeight="1">
      <c r="A368" t="inlineStr">
        <is>
          <t>A 37417-2023</t>
        </is>
      </c>
      <c r="B368" t="inlineStr">
        <is>
          <t>avverkningsanmälan</t>
        </is>
      </c>
      <c r="C368" t="inlineStr">
        <is>
          <t>Föryngringsavverkning</t>
        </is>
      </c>
      <c r="D368" s="1" t="n">
        <v>45155</v>
      </c>
      <c r="E368" s="1" t="n">
        <v>46309</v>
      </c>
      <c r="F368" t="inlineStr">
        <is>
          <t>UPPSALA LÄN</t>
        </is>
      </c>
      <c r="G368" t="inlineStr">
        <is>
          <t>HÅBO</t>
        </is>
      </c>
      <c r="I368" t="n">
        <v>12.9</v>
      </c>
      <c r="J368" t="n">
        <v>2</v>
      </c>
      <c r="K368" t="n">
        <v>0</v>
      </c>
      <c r="L368" t="n">
        <v>1</v>
      </c>
      <c r="M368" t="n">
        <v>1</v>
      </c>
      <c r="N368" t="n">
        <v>0</v>
      </c>
      <c r="O368" t="n">
        <v>0</v>
      </c>
      <c r="P368" t="n">
        <v>0</v>
      </c>
      <c r="Q368" t="n">
        <v>2</v>
      </c>
      <c r="R368" t="n">
        <v>1</v>
      </c>
      <c r="S368" t="n">
        <v>3</v>
      </c>
      <c r="T368" t="n">
        <v>4</v>
      </c>
      <c r="U368" t="n">
        <v>4</v>
      </c>
      <c r="V368" s="2" t="inlineStr">
        <is>
          <t>Knärot
Ullticka
Blåsippa</t>
        </is>
      </c>
      <c r="W368">
        <f>HYPERLINK("https://klasma.github.io/Logging_0305/artfynd/A 37417-2023 artfynd.xlsx", "A 37417-2023")</f>
        <v/>
      </c>
      <c r="X368">
        <f>HYPERLINK("https://klasma.github.io/Logging_0305/kartor/A 37417-2023 karta.png", "A 37417-2023")</f>
        <v/>
      </c>
      <c r="Y368">
        <f>HYPERLINK("https://klasma.github.io/Logging_0305/kartor_geotiff/A 37417-2023 georefererad karta.tif", "A 37417-2023")</f>
        <v/>
      </c>
      <c r="Z368">
        <f>HYPERLINK("https://klasma.github.io/Logging_0305/knärot/A 37417-2023 karta knärot.png", "A 37417-2023")</f>
        <v/>
      </c>
      <c r="AA368">
        <f>HYPERLINK("https://klasma.github.io/Logging_0305/klagomål/A 37417-2023 FSC-klagomål.docx", "A 37417-2023")</f>
        <v/>
      </c>
      <c r="AB368">
        <f>HYPERLINK("https://klasma.github.io/Logging_0305/klagomålsmail/A 37417-2023 FSC-klagomål mail.docx", "A 37417-2023")</f>
        <v/>
      </c>
      <c r="AC368">
        <f>HYPERLINK("https://klasma.github.io/Logging_0305/tillsyn/A 37417-2023 tillsynsbegäran.docx", "A 37417-2023")</f>
        <v/>
      </c>
      <c r="AD368">
        <f>HYPERLINK("https://klasma.github.io/Logging_0305/tillsynsmail/A 37417-2023 tillsynsbegäran mail.docx", "A 37417-2023")</f>
        <v/>
      </c>
    </row>
    <row r="369" ht="15" customHeight="1">
      <c r="A369" t="inlineStr">
        <is>
          <t>A 17277-2023</t>
        </is>
      </c>
      <c r="B369" t="inlineStr">
        <is>
          <t>avverkningsanmälan</t>
        </is>
      </c>
      <c r="C369" t="inlineStr">
        <is>
          <t>Föryngringsavverkning</t>
        </is>
      </c>
      <c r="D369" s="1" t="n">
        <v>45035</v>
      </c>
      <c r="E369" s="1" t="n">
        <v>46309</v>
      </c>
      <c r="F369" t="inlineStr">
        <is>
          <t>UPPSALA LÄN</t>
        </is>
      </c>
      <c r="G369" t="inlineStr">
        <is>
          <t>UPPSALA</t>
        </is>
      </c>
      <c r="H369" t="inlineStr">
        <is>
          <t>Övriga Aktiebolag</t>
        </is>
      </c>
      <c r="I369" t="n">
        <v>6.1</v>
      </c>
      <c r="J369" t="n">
        <v>3</v>
      </c>
      <c r="K369" t="n">
        <v>0</v>
      </c>
      <c r="L369" t="n">
        <v>1</v>
      </c>
      <c r="M369" t="n">
        <v>0</v>
      </c>
      <c r="N369" t="n">
        <v>0</v>
      </c>
      <c r="O369" t="n">
        <v>0</v>
      </c>
      <c r="P369" t="n">
        <v>0</v>
      </c>
      <c r="Q369" t="n">
        <v>1</v>
      </c>
      <c r="R369" t="n">
        <v>0</v>
      </c>
      <c r="S369" t="n">
        <v>3</v>
      </c>
      <c r="T369" t="n">
        <v>3</v>
      </c>
      <c r="U369" t="n">
        <v>3</v>
      </c>
      <c r="V369" s="2" t="inlineStr">
        <is>
          <t>Duvhök
Slaguggla
Trana</t>
        </is>
      </c>
      <c r="W369">
        <f>HYPERLINK("https://klasma.github.io/Logging_0380/artfynd/A 17277-2023 artfynd.xlsx", "A 17277-2023")</f>
        <v/>
      </c>
      <c r="X369">
        <f>HYPERLINK("https://klasma.github.io/Logging_0380/kartor/A 17277-2023 karta.png", "A 17277-2023")</f>
        <v/>
      </c>
      <c r="Y369">
        <f>HYPERLINK("https://klasma.github.io/Logging_0380/kartor_geotiff/A 17277-2023 georefererad karta.tif", "A 17277-2023")</f>
        <v/>
      </c>
      <c r="AA369">
        <f>HYPERLINK("https://klasma.github.io/Logging_0380/klagomål/A 17277-2023 FSC-klagomål.docx", "A 17277-2023")</f>
        <v/>
      </c>
      <c r="AB369">
        <f>HYPERLINK("https://klasma.github.io/Logging_0380/klagomålsmail/A 17277-2023 FSC-klagomål mail.docx", "A 17277-2023")</f>
        <v/>
      </c>
      <c r="AC369">
        <f>HYPERLINK("https://klasma.github.io/Logging_0380/tillsyn/A 17277-2023 tillsynsbegäran.docx", "A 17277-2023")</f>
        <v/>
      </c>
      <c r="AD369">
        <f>HYPERLINK("https://klasma.github.io/Logging_0380/tillsynsmail/A 17277-2023 tillsynsbegäran mail.docx", "A 17277-2023")</f>
        <v/>
      </c>
      <c r="AE369">
        <f>HYPERLINK("https://klasma.github.io/Logging_0380/fåglar/A 17277-2023 prioriterade fågelarter.docx", "A 17277-2023")</f>
        <v/>
      </c>
    </row>
    <row r="370" ht="15" customHeight="1">
      <c r="A370" t="inlineStr">
        <is>
          <t>A 67005-2021</t>
        </is>
      </c>
      <c r="B370" t="inlineStr">
        <is>
          <t>avverkningsanmälan</t>
        </is>
      </c>
      <c r="C370" t="inlineStr">
        <is>
          <t>Föryngringsavverkning</t>
        </is>
      </c>
      <c r="D370" s="1" t="n">
        <v>44522</v>
      </c>
      <c r="E370" s="1" t="n">
        <v>46309</v>
      </c>
      <c r="F370" t="inlineStr">
        <is>
          <t>UPPSALA LÄN</t>
        </is>
      </c>
      <c r="G370" t="inlineStr">
        <is>
          <t>HÅBO</t>
        </is>
      </c>
      <c r="I370" t="n">
        <v>1.3</v>
      </c>
      <c r="J370" t="n">
        <v>0</v>
      </c>
      <c r="K370" t="n">
        <v>1</v>
      </c>
      <c r="L370" t="n">
        <v>0</v>
      </c>
      <c r="M370" t="n">
        <v>1</v>
      </c>
      <c r="N370" t="n">
        <v>1</v>
      </c>
      <c r="O370" t="n">
        <v>0</v>
      </c>
      <c r="P370" t="n">
        <v>0</v>
      </c>
      <c r="Q370" t="n">
        <v>2</v>
      </c>
      <c r="R370" t="n">
        <v>2</v>
      </c>
      <c r="S370" t="n">
        <v>3</v>
      </c>
      <c r="T370" t="n">
        <v>3</v>
      </c>
      <c r="U370" t="n">
        <v>0</v>
      </c>
      <c r="V370" s="2" t="inlineStr">
        <is>
          <t>Prakttagging
Gulvit blekspik
Lönnlav</t>
        </is>
      </c>
      <c r="W370">
        <f>HYPERLINK("https://klasma.github.io/Logging_0305/artfynd/A 67005-2021 artfynd.xlsx", "A 67005-2021")</f>
        <v/>
      </c>
      <c r="X370">
        <f>HYPERLINK("https://klasma.github.io/Logging_0305/kartor/A 67005-2021 karta.png", "A 67005-2021")</f>
        <v/>
      </c>
      <c r="Y370">
        <f>HYPERLINK("https://klasma.github.io/Logging_0305/kartor_geotiff/A 67005-2021 georefererad karta.tif", "A 67005-2021")</f>
        <v/>
      </c>
      <c r="AA370">
        <f>HYPERLINK("https://klasma.github.io/Logging_0305/klagomål/A 67005-2021 FSC-klagomål.docx", "A 67005-2021")</f>
        <v/>
      </c>
      <c r="AB370">
        <f>HYPERLINK("https://klasma.github.io/Logging_0305/klagomålsmail/A 67005-2021 FSC-klagomål mail.docx", "A 67005-2021")</f>
        <v/>
      </c>
      <c r="AC370">
        <f>HYPERLINK("https://klasma.github.io/Logging_0305/tillsyn/A 67005-2021 tillsynsbegäran.docx", "A 67005-2021")</f>
        <v/>
      </c>
      <c r="AD370">
        <f>HYPERLINK("https://klasma.github.io/Logging_0305/tillsynsmail/A 67005-2021 tillsynsbegäran mail.docx", "A 67005-2021")</f>
        <v/>
      </c>
    </row>
    <row r="371" ht="15" customHeight="1">
      <c r="A371" t="inlineStr">
        <is>
          <t>A 65659-2021</t>
        </is>
      </c>
      <c r="B371" t="inlineStr">
        <is>
          <t>avverkningsanmälan</t>
        </is>
      </c>
      <c r="C371" t="inlineStr">
        <is>
          <t>Föryngringsavverkning</t>
        </is>
      </c>
      <c r="D371" s="1" t="n">
        <v>44516</v>
      </c>
      <c r="E371" s="1" t="n">
        <v>46309</v>
      </c>
      <c r="F371" t="inlineStr">
        <is>
          <t>UPPSALA LÄN</t>
        </is>
      </c>
      <c r="G371" t="inlineStr">
        <is>
          <t>UPPSALA</t>
        </is>
      </c>
      <c r="I371" t="n">
        <v>2.2</v>
      </c>
      <c r="J371" t="n">
        <v>1</v>
      </c>
      <c r="K371" t="n">
        <v>1</v>
      </c>
      <c r="L371" t="n">
        <v>0</v>
      </c>
      <c r="M371" t="n">
        <v>0</v>
      </c>
      <c r="N371" t="n">
        <v>1</v>
      </c>
      <c r="O371" t="n">
        <v>0</v>
      </c>
      <c r="P371" t="n">
        <v>0</v>
      </c>
      <c r="Q371" t="n">
        <v>1</v>
      </c>
      <c r="R371" t="n">
        <v>1</v>
      </c>
      <c r="S371" t="n">
        <v>3</v>
      </c>
      <c r="T371" t="n">
        <v>3</v>
      </c>
      <c r="U371" t="n">
        <v>0</v>
      </c>
      <c r="V371" s="2" t="inlineStr">
        <is>
          <t>Ask
Fällmossa
Blåsippa</t>
        </is>
      </c>
      <c r="W371">
        <f>HYPERLINK("https://klasma.github.io/Logging_0380/artfynd/A 65659-2021 artfynd.xlsx", "A 65659-2021")</f>
        <v/>
      </c>
      <c r="X371">
        <f>HYPERLINK("https://klasma.github.io/Logging_0380/kartor/A 65659-2021 karta.png", "A 65659-2021")</f>
        <v/>
      </c>
      <c r="Y371">
        <f>HYPERLINK("https://klasma.github.io/Logging_0380/kartor_geotiff/A 65659-2021 georefererad karta.tif", "A 65659-2021")</f>
        <v/>
      </c>
      <c r="AA371">
        <f>HYPERLINK("https://klasma.github.io/Logging_0380/klagomål/A 65659-2021 FSC-klagomål.docx", "A 65659-2021")</f>
        <v/>
      </c>
      <c r="AB371">
        <f>HYPERLINK("https://klasma.github.io/Logging_0380/klagomålsmail/A 65659-2021 FSC-klagomål mail.docx", "A 65659-2021")</f>
        <v/>
      </c>
      <c r="AC371">
        <f>HYPERLINK("https://klasma.github.io/Logging_0380/tillsyn/A 65659-2021 tillsynsbegäran.docx", "A 65659-2021")</f>
        <v/>
      </c>
      <c r="AD371">
        <f>HYPERLINK("https://klasma.github.io/Logging_0380/tillsynsmail/A 65659-2021 tillsynsbegäran mail.docx", "A 65659-2021")</f>
        <v/>
      </c>
    </row>
    <row r="372" ht="15" customHeight="1">
      <c r="A372" t="inlineStr">
        <is>
          <t>A 23125-2026</t>
        </is>
      </c>
      <c r="B372" t="inlineStr">
        <is>
          <t>avverkningsanmälan</t>
        </is>
      </c>
      <c r="C372" t="inlineStr">
        <is>
          <t>Föryngringsavverkning</t>
        </is>
      </c>
      <c r="D372" s="1" t="n">
        <v>46161</v>
      </c>
      <c r="E372" s="1" t="n">
        <v>46309</v>
      </c>
      <c r="F372" t="inlineStr">
        <is>
          <t>UPPSALA LÄN</t>
        </is>
      </c>
      <c r="G372" t="inlineStr">
        <is>
          <t>ÖSTHAMMAR</t>
        </is>
      </c>
      <c r="H372" t="inlineStr">
        <is>
          <t>Övriga Aktiebolag</t>
        </is>
      </c>
      <c r="I372" t="n">
        <v>4.4</v>
      </c>
      <c r="J372" t="n">
        <v>1</v>
      </c>
      <c r="K372" t="n">
        <v>2</v>
      </c>
      <c r="L372" t="n">
        <v>0</v>
      </c>
      <c r="M372" t="n">
        <v>0</v>
      </c>
      <c r="N372" t="n">
        <v>0</v>
      </c>
      <c r="O372" t="n">
        <v>0</v>
      </c>
      <c r="P372" t="n">
        <v>0</v>
      </c>
      <c r="Q372" t="n">
        <v>0</v>
      </c>
      <c r="R372" t="n">
        <v>0</v>
      </c>
      <c r="S372" t="n">
        <v>3</v>
      </c>
      <c r="T372" t="n">
        <v>3</v>
      </c>
      <c r="U372" t="n">
        <v>0</v>
      </c>
      <c r="V372" s="2" t="inlineStr">
        <is>
          <t>Blek stjärnmossa
Bårdlav
Blåsippa</t>
        </is>
      </c>
      <c r="W372">
        <f>HYPERLINK("https://klasma.github.io/Logging_0382/artfynd/A 23125-2026 artfynd.xlsx", "A 23125-2026")</f>
        <v/>
      </c>
      <c r="X372">
        <f>HYPERLINK("https://klasma.github.io/Logging_0382/kartor/A 23125-2026 karta.png", "A 23125-2026")</f>
        <v/>
      </c>
      <c r="Y372">
        <f>HYPERLINK("https://klasma.github.io/Logging_0382/kartor_geotiff/A 23125-2026 georefererad karta.tif", "A 23125-2026")</f>
        <v/>
      </c>
      <c r="AA372">
        <f>HYPERLINK("https://klasma.github.io/Logging_0382/klagomål/A 23125-2026 FSC-klagomål.docx", "A 23125-2026")</f>
        <v/>
      </c>
      <c r="AB372">
        <f>HYPERLINK("https://klasma.github.io/Logging_0382/klagomålsmail/A 23125-2026 FSC-klagomål mail.docx", "A 23125-2026")</f>
        <v/>
      </c>
      <c r="AC372">
        <f>HYPERLINK("https://klasma.github.io/Logging_0382/tillsyn/A 23125-2026 tillsynsbegäran.docx", "A 23125-2026")</f>
        <v/>
      </c>
      <c r="AD372">
        <f>HYPERLINK("https://klasma.github.io/Logging_0382/tillsynsmail/A 23125-2026 tillsynsbegäran mail.docx", "A 23125-2026")</f>
        <v/>
      </c>
    </row>
    <row r="373" ht="15" customHeight="1">
      <c r="A373" t="inlineStr">
        <is>
          <t>A 23609-2026</t>
        </is>
      </c>
      <c r="B373" t="inlineStr">
        <is>
          <t>avverkningsanmälan</t>
        </is>
      </c>
      <c r="C373" t="inlineStr">
        <is>
          <t>Föryngringsavverkning</t>
        </is>
      </c>
      <c r="D373" s="1" t="n">
        <v>46163</v>
      </c>
      <c r="E373" s="1" t="n">
        <v>46309</v>
      </c>
      <c r="F373" t="inlineStr">
        <is>
          <t>UPPSALA LÄN</t>
        </is>
      </c>
      <c r="G373" t="inlineStr">
        <is>
          <t>HEBY</t>
        </is>
      </c>
      <c r="I373" t="n">
        <v>12.7</v>
      </c>
      <c r="J373" t="n">
        <v>1</v>
      </c>
      <c r="K373" t="n">
        <v>1</v>
      </c>
      <c r="L373" t="n">
        <v>1</v>
      </c>
      <c r="M373" t="n">
        <v>0</v>
      </c>
      <c r="N373" t="n">
        <v>0</v>
      </c>
      <c r="O373" t="n">
        <v>0</v>
      </c>
      <c r="P373" t="n">
        <v>0</v>
      </c>
      <c r="Q373" t="n">
        <v>1</v>
      </c>
      <c r="R373" t="n">
        <v>0</v>
      </c>
      <c r="S373" t="n">
        <v>3</v>
      </c>
      <c r="T373" t="n">
        <v>3</v>
      </c>
      <c r="U373" t="n">
        <v>3</v>
      </c>
      <c r="V373" s="2" t="inlineStr">
        <is>
          <t>Rynkskinn
Grönpyrola
Mattlummer</t>
        </is>
      </c>
      <c r="W373">
        <f>HYPERLINK("https://klasma.github.io/Logging_0331/artfynd/A 23609-2026 artfynd.xlsx", "A 23609-2026")</f>
        <v/>
      </c>
      <c r="X373">
        <f>HYPERLINK("https://klasma.github.io/Logging_0331/kartor/A 23609-2026 karta.png", "A 23609-2026")</f>
        <v/>
      </c>
      <c r="Y373">
        <f>HYPERLINK("https://klasma.github.io/Logging_0331/kartor_geotiff/A 23609-2026 georefererad karta.tif", "A 23609-2026")</f>
        <v/>
      </c>
      <c r="AA373">
        <f>HYPERLINK("https://klasma.github.io/Logging_0331/klagomål/A 23609-2026 FSC-klagomål.docx", "A 23609-2026")</f>
        <v/>
      </c>
      <c r="AB373">
        <f>HYPERLINK("https://klasma.github.io/Logging_0331/klagomålsmail/A 23609-2026 FSC-klagomål mail.docx", "A 23609-2026")</f>
        <v/>
      </c>
      <c r="AC373">
        <f>HYPERLINK("https://klasma.github.io/Logging_0331/tillsyn/A 23609-2026 tillsynsbegäran.docx", "A 23609-2026")</f>
        <v/>
      </c>
      <c r="AD373">
        <f>HYPERLINK("https://klasma.github.io/Logging_0331/tillsynsmail/A 23609-2026 tillsynsbegäran mail.docx", "A 23609-2026")</f>
        <v/>
      </c>
    </row>
    <row r="374" ht="15" customHeight="1">
      <c r="A374" t="inlineStr">
        <is>
          <t>A 38151-2023</t>
        </is>
      </c>
      <c r="B374" t="inlineStr">
        <is>
          <t>avverkningsanmälan</t>
        </is>
      </c>
      <c r="C374" t="inlineStr">
        <is>
          <t>Föryngringsavverkning</t>
        </is>
      </c>
      <c r="D374" s="1" t="n">
        <v>45160</v>
      </c>
      <c r="E374" s="1" t="n">
        <v>46309</v>
      </c>
      <c r="F374" t="inlineStr">
        <is>
          <t>UPPSALA LÄN</t>
        </is>
      </c>
      <c r="G374" t="inlineStr">
        <is>
          <t>TIERP</t>
        </is>
      </c>
      <c r="I374" t="n">
        <v>1.4</v>
      </c>
      <c r="J374" t="n">
        <v>3</v>
      </c>
      <c r="K374" t="n">
        <v>0</v>
      </c>
      <c r="L374" t="n">
        <v>1</v>
      </c>
      <c r="M374" t="n">
        <v>1</v>
      </c>
      <c r="N374" t="n">
        <v>0</v>
      </c>
      <c r="O374" t="n">
        <v>0</v>
      </c>
      <c r="P374" t="n">
        <v>0</v>
      </c>
      <c r="Q374" t="n">
        <v>2</v>
      </c>
      <c r="R374" t="n">
        <v>1</v>
      </c>
      <c r="S374" t="n">
        <v>3</v>
      </c>
      <c r="T374" t="n">
        <v>3</v>
      </c>
      <c r="U374" t="n">
        <v>0</v>
      </c>
      <c r="V374" s="2" t="inlineStr">
        <is>
          <t>Tornseglare
Nötkråka
Grönsiska</t>
        </is>
      </c>
      <c r="W374">
        <f>HYPERLINK("https://klasma.github.io/Logging_0360/artfynd/A 38151-2023 artfynd.xlsx", "A 38151-2023")</f>
        <v/>
      </c>
      <c r="X374">
        <f>HYPERLINK("https://klasma.github.io/Logging_0360/kartor/A 38151-2023 karta.png", "A 38151-2023")</f>
        <v/>
      </c>
      <c r="Y374">
        <f>HYPERLINK("https://klasma.github.io/Logging_0360/kartor_geotiff/A 38151-2023 georefererad karta.tif", "A 38151-2023")</f>
        <v/>
      </c>
      <c r="AA374">
        <f>HYPERLINK("https://klasma.github.io/Logging_0360/klagomål/A 38151-2023 FSC-klagomål.docx", "A 38151-2023")</f>
        <v/>
      </c>
      <c r="AB374">
        <f>HYPERLINK("https://klasma.github.io/Logging_0360/klagomålsmail/A 38151-2023 FSC-klagomål mail.docx", "A 38151-2023")</f>
        <v/>
      </c>
      <c r="AC374">
        <f>HYPERLINK("https://klasma.github.io/Logging_0360/tillsyn/A 38151-2023 tillsynsbegäran.docx", "A 38151-2023")</f>
        <v/>
      </c>
      <c r="AD374">
        <f>HYPERLINK("https://klasma.github.io/Logging_0360/tillsynsmail/A 38151-2023 tillsynsbegäran mail.docx", "A 38151-2023")</f>
        <v/>
      </c>
      <c r="AE374">
        <f>HYPERLINK("https://klasma.github.io/Logging_0360/fåglar/A 38151-2023 prioriterade fågelarter.docx", "A 38151-2023")</f>
        <v/>
      </c>
    </row>
    <row r="375" ht="15" customHeight="1">
      <c r="A375" t="inlineStr">
        <is>
          <t>A 53208-2023</t>
        </is>
      </c>
      <c r="B375" t="inlineStr">
        <is>
          <t>avverkningsanmälan</t>
        </is>
      </c>
      <c r="C375" t="inlineStr">
        <is>
          <t>Avverkning för annat ändamål</t>
        </is>
      </c>
      <c r="D375" s="1" t="n">
        <v>45226</v>
      </c>
      <c r="E375" s="1" t="n">
        <v>46309</v>
      </c>
      <c r="F375" t="inlineStr">
        <is>
          <t>UPPSALA LÄN</t>
        </is>
      </c>
      <c r="G375" t="inlineStr">
        <is>
          <t>ENKÖPING</t>
        </is>
      </c>
      <c r="I375" t="n">
        <v>4.3</v>
      </c>
      <c r="J375" t="n">
        <v>1</v>
      </c>
      <c r="K375" t="n">
        <v>0</v>
      </c>
      <c r="L375" t="n">
        <v>2</v>
      </c>
      <c r="M375" t="n">
        <v>0</v>
      </c>
      <c r="N375" t="n">
        <v>0</v>
      </c>
      <c r="O375" t="n">
        <v>0</v>
      </c>
      <c r="P375" t="n">
        <v>0</v>
      </c>
      <c r="Q375" t="n">
        <v>2</v>
      </c>
      <c r="R375" t="n">
        <v>0</v>
      </c>
      <c r="S375" t="n">
        <v>3</v>
      </c>
      <c r="T375" t="n">
        <v>3</v>
      </c>
      <c r="U375" t="n">
        <v>0</v>
      </c>
      <c r="V375" s="2" t="inlineStr">
        <is>
          <t>Jungfrulin
Älg
Vanlig padda</t>
        </is>
      </c>
      <c r="W375">
        <f>HYPERLINK("https://klasma.github.io/Logging_0381/artfynd/A 53208-2023 artfynd.xlsx", "A 53208-2023")</f>
        <v/>
      </c>
      <c r="X375">
        <f>HYPERLINK("https://klasma.github.io/Logging_0381/kartor/A 53208-2023 karta.png", "A 53208-2023")</f>
        <v/>
      </c>
      <c r="Y375">
        <f>HYPERLINK("https://klasma.github.io/Logging_0381/kartor_geotiff/A 53208-2023 georefererad karta.tif", "A 53208-2023")</f>
        <v/>
      </c>
      <c r="AA375">
        <f>HYPERLINK("https://klasma.github.io/Logging_0381/klagomål/A 53208-2023 FSC-klagomål.docx", "A 53208-2023")</f>
        <v/>
      </c>
      <c r="AB375">
        <f>HYPERLINK("https://klasma.github.io/Logging_0381/klagomålsmail/A 53208-2023 FSC-klagomål mail.docx", "A 53208-2023")</f>
        <v/>
      </c>
      <c r="AC375">
        <f>HYPERLINK("https://klasma.github.io/Logging_0381/tillsyn/A 53208-2023 tillsynsbegäran.docx", "A 53208-2023")</f>
        <v/>
      </c>
      <c r="AD375">
        <f>HYPERLINK("https://klasma.github.io/Logging_0381/tillsynsmail/A 53208-2023 tillsynsbegäran mail.docx", "A 53208-2023")</f>
        <v/>
      </c>
    </row>
    <row r="376" ht="15" customHeight="1">
      <c r="A376" t="inlineStr">
        <is>
          <t>A 25098-2022</t>
        </is>
      </c>
      <c r="B376" t="inlineStr">
        <is>
          <t>avverkningsanmälan</t>
        </is>
      </c>
      <c r="C376" t="inlineStr">
        <is>
          <t>Föryngringsavverkning</t>
        </is>
      </c>
      <c r="D376" s="1" t="n">
        <v>44729</v>
      </c>
      <c r="E376" s="1" t="n">
        <v>46309</v>
      </c>
      <c r="F376" t="inlineStr">
        <is>
          <t>UPPSALA LÄN</t>
        </is>
      </c>
      <c r="G376" t="inlineStr">
        <is>
          <t>ÖSTHAMMAR</t>
        </is>
      </c>
      <c r="I376" t="n">
        <v>2.9</v>
      </c>
      <c r="J376" t="n">
        <v>3</v>
      </c>
      <c r="K376" t="n">
        <v>0</v>
      </c>
      <c r="L376" t="n">
        <v>1</v>
      </c>
      <c r="M376" t="n">
        <v>0</v>
      </c>
      <c r="N376" t="n">
        <v>0</v>
      </c>
      <c r="O376" t="n">
        <v>0</v>
      </c>
      <c r="P376" t="n">
        <v>0</v>
      </c>
      <c r="Q376" t="n">
        <v>1</v>
      </c>
      <c r="R376" t="n">
        <v>0</v>
      </c>
      <c r="S376" t="n">
        <v>3</v>
      </c>
      <c r="T376" t="n">
        <v>3</v>
      </c>
      <c r="U376" t="n">
        <v>3</v>
      </c>
      <c r="V376" s="2" t="inlineStr">
        <is>
          <t>Mindre hackspett
Blåsippa
Gullviva</t>
        </is>
      </c>
      <c r="W376">
        <f>HYPERLINK("https://klasma.github.io/Logging_0382/artfynd/A 25098-2022 artfynd.xlsx", "A 25098-2022")</f>
        <v/>
      </c>
      <c r="X376">
        <f>HYPERLINK("https://klasma.github.io/Logging_0382/kartor/A 25098-2022 karta.png", "A 25098-2022")</f>
        <v/>
      </c>
      <c r="Y376">
        <f>HYPERLINK("https://klasma.github.io/Logging_0382/kartor_geotiff/A 25098-2022 georefererad karta.tif", "A 25098-2022")</f>
        <v/>
      </c>
      <c r="AA376">
        <f>HYPERLINK("https://klasma.github.io/Logging_0382/klagomål/A 25098-2022 FSC-klagomål.docx", "A 25098-2022")</f>
        <v/>
      </c>
      <c r="AB376">
        <f>HYPERLINK("https://klasma.github.io/Logging_0382/klagomålsmail/A 25098-2022 FSC-klagomål mail.docx", "A 25098-2022")</f>
        <v/>
      </c>
      <c r="AC376">
        <f>HYPERLINK("https://klasma.github.io/Logging_0382/tillsyn/A 25098-2022 tillsynsbegäran.docx", "A 25098-2022")</f>
        <v/>
      </c>
      <c r="AD376">
        <f>HYPERLINK("https://klasma.github.io/Logging_0382/tillsynsmail/A 25098-2022 tillsynsbegäran mail.docx", "A 25098-2022")</f>
        <v/>
      </c>
      <c r="AE376">
        <f>HYPERLINK("https://klasma.github.io/Logging_0382/fåglar/A 25098-2022 prioriterade fågelarter.docx", "A 25098-2022")</f>
        <v/>
      </c>
    </row>
    <row r="377" ht="15" customHeight="1">
      <c r="A377" t="inlineStr">
        <is>
          <t>A 50105-2023</t>
        </is>
      </c>
      <c r="B377" t="inlineStr">
        <is>
          <t>avverkningsanmälan</t>
        </is>
      </c>
      <c r="C377" t="inlineStr">
        <is>
          <t>Föryngringsavverkning</t>
        </is>
      </c>
      <c r="D377" s="1" t="n">
        <v>45215</v>
      </c>
      <c r="E377" s="1" t="n">
        <v>46309</v>
      </c>
      <c r="F377" t="inlineStr">
        <is>
          <t>UPPSALA LÄN</t>
        </is>
      </c>
      <c r="G377" t="inlineStr">
        <is>
          <t>ENKÖPING</t>
        </is>
      </c>
      <c r="I377" t="n">
        <v>8.5</v>
      </c>
      <c r="J377" t="n">
        <v>1</v>
      </c>
      <c r="K377" t="n">
        <v>0</v>
      </c>
      <c r="L377" t="n">
        <v>1</v>
      </c>
      <c r="M377" t="n">
        <v>1</v>
      </c>
      <c r="N377" t="n">
        <v>0</v>
      </c>
      <c r="O377" t="n">
        <v>0</v>
      </c>
      <c r="P377" t="n">
        <v>0</v>
      </c>
      <c r="Q377" t="n">
        <v>2</v>
      </c>
      <c r="R377" t="n">
        <v>1</v>
      </c>
      <c r="S377" t="n">
        <v>3</v>
      </c>
      <c r="T377" t="n">
        <v>3</v>
      </c>
      <c r="U377" t="n">
        <v>0</v>
      </c>
      <c r="V377" s="2" t="inlineStr">
        <is>
          <t>Smalskaftslav
Ullticka
Gröngöling</t>
        </is>
      </c>
      <c r="W377">
        <f>HYPERLINK("https://klasma.github.io/Logging_0381/artfynd/A 50105-2023 artfynd.xlsx", "A 50105-2023")</f>
        <v/>
      </c>
      <c r="X377">
        <f>HYPERLINK("https://klasma.github.io/Logging_0381/kartor/A 50105-2023 karta.png", "A 50105-2023")</f>
        <v/>
      </c>
      <c r="Y377">
        <f>HYPERLINK("https://klasma.github.io/Logging_0381/kartor_geotiff/A 50105-2023 georefererad karta.tif", "A 50105-2023")</f>
        <v/>
      </c>
      <c r="AA377">
        <f>HYPERLINK("https://klasma.github.io/Logging_0381/klagomål/A 50105-2023 FSC-klagomål.docx", "A 50105-2023")</f>
        <v/>
      </c>
      <c r="AB377">
        <f>HYPERLINK("https://klasma.github.io/Logging_0381/klagomålsmail/A 50105-2023 FSC-klagomål mail.docx", "A 50105-2023")</f>
        <v/>
      </c>
      <c r="AC377">
        <f>HYPERLINK("https://klasma.github.io/Logging_0381/tillsyn/A 50105-2023 tillsynsbegäran.docx", "A 50105-2023")</f>
        <v/>
      </c>
      <c r="AD377">
        <f>HYPERLINK("https://klasma.github.io/Logging_0381/tillsynsmail/A 50105-2023 tillsynsbegäran mail.docx", "A 50105-2023")</f>
        <v/>
      </c>
    </row>
    <row r="378" ht="15" customHeight="1">
      <c r="A378" t="inlineStr">
        <is>
          <t>A 27816-2026</t>
        </is>
      </c>
      <c r="B378" t="inlineStr">
        <is>
          <t>avverkningsanmälan</t>
        </is>
      </c>
      <c r="C378" t="inlineStr">
        <is>
          <t>Föryngringsavverkning</t>
        </is>
      </c>
      <c r="D378" s="1" t="n">
        <v>46191</v>
      </c>
      <c r="E378" s="1" t="n">
        <v>46309</v>
      </c>
      <c r="F378" t="inlineStr">
        <is>
          <t>UPPSALA LÄN</t>
        </is>
      </c>
      <c r="G378" t="inlineStr">
        <is>
          <t>UPPSALA</t>
        </is>
      </c>
      <c r="I378" t="n">
        <v>5.5</v>
      </c>
      <c r="J378" t="n">
        <v>0</v>
      </c>
      <c r="K378" t="n">
        <v>2</v>
      </c>
      <c r="L378" t="n">
        <v>1</v>
      </c>
      <c r="M378" t="n">
        <v>0</v>
      </c>
      <c r="N378" t="n">
        <v>0</v>
      </c>
      <c r="O378" t="n">
        <v>0</v>
      </c>
      <c r="P378" t="n">
        <v>0</v>
      </c>
      <c r="Q378" t="n">
        <v>1</v>
      </c>
      <c r="R378" t="n">
        <v>0</v>
      </c>
      <c r="S378" t="n">
        <v>3</v>
      </c>
      <c r="T378" t="n">
        <v>6</v>
      </c>
      <c r="U378" t="n">
        <v>0</v>
      </c>
      <c r="V378" s="2" t="inlineStr">
        <is>
          <t>Vedtrappmossa
Brandticka
Granbräken</t>
        </is>
      </c>
      <c r="W378">
        <f>HYPERLINK("https://klasma.github.io/Logging_0380/artfynd/A 27816-2026 artfynd.xlsx", "A 27816-2026")</f>
        <v/>
      </c>
      <c r="X378">
        <f>HYPERLINK("https://klasma.github.io/Logging_0380/kartor/A 27816-2026 karta.png", "A 27816-2026")</f>
        <v/>
      </c>
      <c r="Y378">
        <f>HYPERLINK("https://klasma.github.io/Logging_0380/kartor_geotiff/A 27816-2026 georefererad karta.tif", "A 27816-2026")</f>
        <v/>
      </c>
      <c r="AA378">
        <f>HYPERLINK("https://klasma.github.io/Logging_0380/klagomål/A 27816-2026 FSC-klagomål.docx", "A 27816-2026")</f>
        <v/>
      </c>
      <c r="AB378">
        <f>HYPERLINK("https://klasma.github.io/Logging_0380/klagomålsmail/A 27816-2026 FSC-klagomål mail.docx", "A 27816-2026")</f>
        <v/>
      </c>
      <c r="AC378">
        <f>HYPERLINK("https://klasma.github.io/Logging_0380/tillsyn/A 27816-2026 tillsynsbegäran.docx", "A 27816-2026")</f>
        <v/>
      </c>
      <c r="AD378">
        <f>HYPERLINK("https://klasma.github.io/Logging_0380/tillsynsmail/A 27816-2026 tillsynsbegäran mail.docx", "A 27816-2026")</f>
        <v/>
      </c>
    </row>
    <row r="379" ht="15" customHeight="1">
      <c r="A379" t="inlineStr">
        <is>
          <t>A 88-2024</t>
        </is>
      </c>
      <c r="B379" t="inlineStr">
        <is>
          <t>avverkningsanmälan</t>
        </is>
      </c>
      <c r="C379" t="inlineStr">
        <is>
          <t>Avverkning för annat ändamål</t>
        </is>
      </c>
      <c r="D379" s="1" t="n">
        <v>45293</v>
      </c>
      <c r="E379" s="1" t="n">
        <v>46309</v>
      </c>
      <c r="F379" t="inlineStr">
        <is>
          <t>UPPSALA LÄN</t>
        </is>
      </c>
      <c r="G379" t="inlineStr">
        <is>
          <t>UPPSALA</t>
        </is>
      </c>
      <c r="I379" t="n">
        <v>2.1</v>
      </c>
      <c r="J379" t="n">
        <v>0</v>
      </c>
      <c r="K379" t="n">
        <v>1</v>
      </c>
      <c r="L379" t="n">
        <v>1</v>
      </c>
      <c r="M379" t="n">
        <v>0</v>
      </c>
      <c r="N379" t="n">
        <v>1</v>
      </c>
      <c r="O379" t="n">
        <v>0</v>
      </c>
      <c r="P379" t="n">
        <v>0</v>
      </c>
      <c r="Q379" t="n">
        <v>2</v>
      </c>
      <c r="R379" t="n">
        <v>1</v>
      </c>
      <c r="S379" t="n">
        <v>3</v>
      </c>
      <c r="T379" t="n">
        <v>3</v>
      </c>
      <c r="U379" t="n">
        <v>3</v>
      </c>
      <c r="V379" s="2" t="inlineStr">
        <is>
          <t>Ask
Gullklöver
Sotlav</t>
        </is>
      </c>
      <c r="W379">
        <f>HYPERLINK("https://klasma.github.io/Logging_0380/artfynd/A 88-2024 artfynd.xlsx", "A 88-2024")</f>
        <v/>
      </c>
      <c r="X379">
        <f>HYPERLINK("https://klasma.github.io/Logging_0380/kartor/A 88-2024 karta.png", "A 88-2024")</f>
        <v/>
      </c>
      <c r="Y379">
        <f>HYPERLINK("https://klasma.github.io/Logging_0380/kartor_geotiff/A 88-2024 georefererad karta.tif", "A 88-2024")</f>
        <v/>
      </c>
      <c r="AA379">
        <f>HYPERLINK("https://klasma.github.io/Logging_0380/klagomål/A 88-2024 FSC-klagomål.docx", "A 88-2024")</f>
        <v/>
      </c>
      <c r="AB379">
        <f>HYPERLINK("https://klasma.github.io/Logging_0380/klagomålsmail/A 88-2024 FSC-klagomål mail.docx", "A 88-2024")</f>
        <v/>
      </c>
      <c r="AC379">
        <f>HYPERLINK("https://klasma.github.io/Logging_0380/tillsyn/A 88-2024 tillsynsbegäran.docx", "A 88-2024")</f>
        <v/>
      </c>
      <c r="AD379">
        <f>HYPERLINK("https://klasma.github.io/Logging_0380/tillsynsmail/A 88-2024 tillsynsbegäran mail.docx", "A 88-2024")</f>
        <v/>
      </c>
    </row>
    <row r="380" ht="15" customHeight="1">
      <c r="A380" t="inlineStr">
        <is>
          <t>A 15592-2022</t>
        </is>
      </c>
      <c r="B380" t="inlineStr">
        <is>
          <t>avverkningsanmälan</t>
        </is>
      </c>
      <c r="C380" t="inlineStr">
        <is>
          <t>Föryngringsavverkning</t>
        </is>
      </c>
      <c r="D380" s="1" t="n">
        <v>44662</v>
      </c>
      <c r="E380" s="1" t="n">
        <v>46309</v>
      </c>
      <c r="F380" t="inlineStr">
        <is>
          <t>UPPSALA LÄN</t>
        </is>
      </c>
      <c r="G380" t="inlineStr">
        <is>
          <t>TIERP</t>
        </is>
      </c>
      <c r="H380" t="inlineStr">
        <is>
          <t>Bergvik skog väst AB</t>
        </is>
      </c>
      <c r="I380" t="n">
        <v>1.7</v>
      </c>
      <c r="J380" t="n">
        <v>2</v>
      </c>
      <c r="K380" t="n">
        <v>2</v>
      </c>
      <c r="L380" t="n">
        <v>0</v>
      </c>
      <c r="M380" t="n">
        <v>0</v>
      </c>
      <c r="N380" t="n">
        <v>0</v>
      </c>
      <c r="O380" t="n">
        <v>0</v>
      </c>
      <c r="P380" t="n">
        <v>0</v>
      </c>
      <c r="Q380" t="n">
        <v>0</v>
      </c>
      <c r="R380" t="n">
        <v>0</v>
      </c>
      <c r="S380" t="n">
        <v>3</v>
      </c>
      <c r="T380" t="n">
        <v>4</v>
      </c>
      <c r="U380" t="n">
        <v>0</v>
      </c>
      <c r="V380" s="2" t="inlineStr">
        <is>
          <t>Skogsknipprot
Tibast
Blåsippa</t>
        </is>
      </c>
      <c r="W380">
        <f>HYPERLINK("https://klasma.github.io/Logging_0360/artfynd/A 15592-2022 artfynd.xlsx", "A 15592-2022")</f>
        <v/>
      </c>
      <c r="X380">
        <f>HYPERLINK("https://klasma.github.io/Logging_0360/kartor/A 15592-2022 karta.png", "A 15592-2022")</f>
        <v/>
      </c>
      <c r="Y380">
        <f>HYPERLINK("https://klasma.github.io/Logging_0360/kartor_geotiff/A 15592-2022 georefererad karta.tif", "A 15592-2022")</f>
        <v/>
      </c>
      <c r="AA380">
        <f>HYPERLINK("https://klasma.github.io/Logging_0360/klagomål/A 15592-2022 FSC-klagomål.docx", "A 15592-2022")</f>
        <v/>
      </c>
      <c r="AB380">
        <f>HYPERLINK("https://klasma.github.io/Logging_0360/klagomålsmail/A 15592-2022 FSC-klagomål mail.docx", "A 15592-2022")</f>
        <v/>
      </c>
      <c r="AC380">
        <f>HYPERLINK("https://klasma.github.io/Logging_0360/tillsyn/A 15592-2022 tillsynsbegäran.docx", "A 15592-2022")</f>
        <v/>
      </c>
      <c r="AD380">
        <f>HYPERLINK("https://klasma.github.io/Logging_0360/tillsynsmail/A 15592-2022 tillsynsbegäran mail.docx", "A 15592-2022")</f>
        <v/>
      </c>
    </row>
    <row r="381" ht="15" customHeight="1">
      <c r="A381" t="inlineStr">
        <is>
          <t>A 31450-2026</t>
        </is>
      </c>
      <c r="B381" t="inlineStr">
        <is>
          <t>avverkningsanmälan</t>
        </is>
      </c>
      <c r="C381" t="inlineStr">
        <is>
          <t>Föryngringsavverkning</t>
        </is>
      </c>
      <c r="D381" s="1" t="n">
        <v>46217</v>
      </c>
      <c r="E381" s="1" t="n">
        <v>46309</v>
      </c>
      <c r="F381" t="inlineStr">
        <is>
          <t>UPPSALA LÄN</t>
        </is>
      </c>
      <c r="G381" t="inlineStr">
        <is>
          <t>HEBY</t>
        </is>
      </c>
      <c r="H381" t="inlineStr">
        <is>
          <t>Bergvik skog väst AB</t>
        </is>
      </c>
      <c r="I381" t="n">
        <v>27.3</v>
      </c>
      <c r="J381" t="n">
        <v>2</v>
      </c>
      <c r="K381" t="n">
        <v>0</v>
      </c>
      <c r="L381" t="n">
        <v>2</v>
      </c>
      <c r="M381" t="n">
        <v>0</v>
      </c>
      <c r="N381" t="n">
        <v>0</v>
      </c>
      <c r="O381" t="n">
        <v>0</v>
      </c>
      <c r="P381" t="n">
        <v>0</v>
      </c>
      <c r="Q381" t="n">
        <v>2</v>
      </c>
      <c r="R381" t="n">
        <v>0</v>
      </c>
      <c r="S381" t="n">
        <v>3</v>
      </c>
      <c r="T381" t="n">
        <v>4</v>
      </c>
      <c r="U381" t="n">
        <v>0</v>
      </c>
      <c r="V381" s="2" t="inlineStr">
        <is>
          <t>Talltita
Älg
Orre</t>
        </is>
      </c>
      <c r="W381">
        <f>HYPERLINK("https://klasma.github.io/Logging_0331/artfynd/A 31450-2026 artfynd.xlsx", "A 31450-2026")</f>
        <v/>
      </c>
      <c r="X381">
        <f>HYPERLINK("https://klasma.github.io/Logging_0331/kartor/A 31450-2026 karta.png", "A 31450-2026")</f>
        <v/>
      </c>
      <c r="Y381">
        <f>HYPERLINK("https://klasma.github.io/Logging_0331/kartor_geotiff/A 31450-2026 georefererad karta.tif", "A 31450-2026")</f>
        <v/>
      </c>
      <c r="AA381">
        <f>HYPERLINK("https://klasma.github.io/Logging_0331/klagomål/A 31450-2026 FSC-klagomål.docx", "A 31450-2026")</f>
        <v/>
      </c>
      <c r="AB381">
        <f>HYPERLINK("https://klasma.github.io/Logging_0331/klagomålsmail/A 31450-2026 FSC-klagomål mail.docx", "A 31450-2026")</f>
        <v/>
      </c>
      <c r="AC381">
        <f>HYPERLINK("https://klasma.github.io/Logging_0331/tillsyn/A 31450-2026 tillsynsbegäran.docx", "A 31450-2026")</f>
        <v/>
      </c>
      <c r="AD381">
        <f>HYPERLINK("https://klasma.github.io/Logging_0331/tillsynsmail/A 31450-2026 tillsynsbegäran mail.docx", "A 31450-2026")</f>
        <v/>
      </c>
      <c r="AE381">
        <f>HYPERLINK("https://klasma.github.io/Logging_0331/fåglar/A 31450-2026 prioriterade fågelarter.docx", "A 31450-2026")</f>
        <v/>
      </c>
    </row>
    <row r="382" ht="15" customHeight="1">
      <c r="A382" t="inlineStr">
        <is>
          <t>A 36471-2022</t>
        </is>
      </c>
      <c r="B382" t="inlineStr">
        <is>
          <t>avverkningsanmälan</t>
        </is>
      </c>
      <c r="C382" t="inlineStr">
        <is>
          <t>Föryngringsavverkning</t>
        </is>
      </c>
      <c r="D382" s="1" t="n">
        <v>44804</v>
      </c>
      <c r="E382" s="1" t="n">
        <v>46309</v>
      </c>
      <c r="F382" t="inlineStr">
        <is>
          <t>UPPSALA LÄN</t>
        </is>
      </c>
      <c r="G382" t="inlineStr">
        <is>
          <t>UPPSALA</t>
        </is>
      </c>
      <c r="I382" t="n">
        <v>4.2</v>
      </c>
      <c r="J382" t="n">
        <v>0</v>
      </c>
      <c r="K382" t="n">
        <v>3</v>
      </c>
      <c r="L382" t="n">
        <v>0</v>
      </c>
      <c r="M382" t="n">
        <v>0</v>
      </c>
      <c r="N382" t="n">
        <v>0</v>
      </c>
      <c r="O382" t="n">
        <v>0</v>
      </c>
      <c r="P382" t="n">
        <v>0</v>
      </c>
      <c r="Q382" t="n">
        <v>0</v>
      </c>
      <c r="R382" t="n">
        <v>0</v>
      </c>
      <c r="S382" t="n">
        <v>3</v>
      </c>
      <c r="T382" t="n">
        <v>3</v>
      </c>
      <c r="U382" t="n">
        <v>0</v>
      </c>
      <c r="V382" s="2" t="inlineStr">
        <is>
          <t>Bronshjon
Spindelbock
Stor aspticka</t>
        </is>
      </c>
      <c r="W382">
        <f>HYPERLINK("https://klasma.github.io/Logging_0380/artfynd/A 36471-2022 artfynd.xlsx", "A 36471-2022")</f>
        <v/>
      </c>
      <c r="X382">
        <f>HYPERLINK("https://klasma.github.io/Logging_0380/kartor/A 36471-2022 karta.png", "A 36471-2022")</f>
        <v/>
      </c>
      <c r="Y382">
        <f>HYPERLINK("https://klasma.github.io/Logging_0380/kartor_geotiff/A 36471-2022 georefererad karta.tif", "A 36471-2022")</f>
        <v/>
      </c>
      <c r="AA382">
        <f>HYPERLINK("https://klasma.github.io/Logging_0380/klagomål/A 36471-2022 FSC-klagomål.docx", "A 36471-2022")</f>
        <v/>
      </c>
      <c r="AB382">
        <f>HYPERLINK("https://klasma.github.io/Logging_0380/klagomålsmail/A 36471-2022 FSC-klagomål mail.docx", "A 36471-2022")</f>
        <v/>
      </c>
      <c r="AC382">
        <f>HYPERLINK("https://klasma.github.io/Logging_0380/tillsyn/A 36471-2022 tillsynsbegäran.docx", "A 36471-2022")</f>
        <v/>
      </c>
      <c r="AD382">
        <f>HYPERLINK("https://klasma.github.io/Logging_0380/tillsynsmail/A 36471-2022 tillsynsbegäran mail.docx", "A 36471-2022")</f>
        <v/>
      </c>
    </row>
    <row r="383" ht="15" customHeight="1">
      <c r="A383" t="inlineStr">
        <is>
          <t>A 44281-2024</t>
        </is>
      </c>
      <c r="B383" t="inlineStr">
        <is>
          <t>avverkningsanmälan</t>
        </is>
      </c>
      <c r="C383" t="inlineStr">
        <is>
          <t>Avverkning för att bevara och utveckla /försöksver</t>
        </is>
      </c>
      <c r="D383" s="1" t="n">
        <v>45573</v>
      </c>
      <c r="E383" s="1" t="n">
        <v>46309</v>
      </c>
      <c r="F383" t="inlineStr">
        <is>
          <t>UPPSALA LÄN</t>
        </is>
      </c>
      <c r="G383" t="inlineStr">
        <is>
          <t>HEBY</t>
        </is>
      </c>
      <c r="I383" t="n">
        <v>4.8</v>
      </c>
      <c r="J383" t="n">
        <v>0</v>
      </c>
      <c r="K383" t="n">
        <v>0</v>
      </c>
      <c r="L383" t="n">
        <v>3</v>
      </c>
      <c r="M383" t="n">
        <v>0</v>
      </c>
      <c r="N383" t="n">
        <v>0</v>
      </c>
      <c r="O383" t="n">
        <v>0</v>
      </c>
      <c r="P383" t="n">
        <v>0</v>
      </c>
      <c r="Q383" t="n">
        <v>3</v>
      </c>
      <c r="R383" t="n">
        <v>0</v>
      </c>
      <c r="S383" t="n">
        <v>3</v>
      </c>
      <c r="T383" t="n">
        <v>3</v>
      </c>
      <c r="U383" t="n">
        <v>3</v>
      </c>
      <c r="V383" s="2" t="inlineStr">
        <is>
          <t>Amphicyllis globiformis
Granvivel
Skrovlig flatbagge</t>
        </is>
      </c>
      <c r="W383">
        <f>HYPERLINK("https://klasma.github.io/Logging_0331/artfynd/A 44281-2024 artfynd.xlsx", "A 44281-2024")</f>
        <v/>
      </c>
      <c r="X383">
        <f>HYPERLINK("https://klasma.github.io/Logging_0331/kartor/A 44281-2024 karta.png", "A 44281-2024")</f>
        <v/>
      </c>
      <c r="Y383">
        <f>HYPERLINK("https://klasma.github.io/Logging_0331/kartor_geotiff/A 44281-2024 georefererad karta.tif", "A 44281-2024")</f>
        <v/>
      </c>
      <c r="AA383">
        <f>HYPERLINK("https://klasma.github.io/Logging_0331/klagomål/A 44281-2024 FSC-klagomål.docx", "A 44281-2024")</f>
        <v/>
      </c>
      <c r="AB383">
        <f>HYPERLINK("https://klasma.github.io/Logging_0331/klagomålsmail/A 44281-2024 FSC-klagomål mail.docx", "A 44281-2024")</f>
        <v/>
      </c>
      <c r="AC383">
        <f>HYPERLINK("https://klasma.github.io/Logging_0331/tillsyn/A 44281-2024 tillsynsbegäran.docx", "A 44281-2024")</f>
        <v/>
      </c>
      <c r="AD383">
        <f>HYPERLINK("https://klasma.github.io/Logging_0331/tillsynsmail/A 44281-2024 tillsynsbegäran mail.docx", "A 44281-2024")</f>
        <v/>
      </c>
    </row>
    <row r="384" ht="15" customHeight="1">
      <c r="A384" t="inlineStr">
        <is>
          <t>A 54814-2024</t>
        </is>
      </c>
      <c r="B384" t="inlineStr">
        <is>
          <t>avverkningsanmälan</t>
        </is>
      </c>
      <c r="C384" t="inlineStr">
        <is>
          <t>Föryngringsavverkning</t>
        </is>
      </c>
      <c r="D384" s="1" t="n">
        <v>45618</v>
      </c>
      <c r="E384" s="1" t="n">
        <v>46309</v>
      </c>
      <c r="F384" t="inlineStr">
        <is>
          <t>UPPSALA LÄN</t>
        </is>
      </c>
      <c r="G384" t="inlineStr">
        <is>
          <t>HEBY</t>
        </is>
      </c>
      <c r="I384" t="n">
        <v>2.5</v>
      </c>
      <c r="J384" t="n">
        <v>3</v>
      </c>
      <c r="K384" t="n">
        <v>0</v>
      </c>
      <c r="L384" t="n">
        <v>1</v>
      </c>
      <c r="M384" t="n">
        <v>1</v>
      </c>
      <c r="N384" t="n">
        <v>0</v>
      </c>
      <c r="O384" t="n">
        <v>0</v>
      </c>
      <c r="P384" t="n">
        <v>0</v>
      </c>
      <c r="Q384" t="n">
        <v>2</v>
      </c>
      <c r="R384" t="n">
        <v>1</v>
      </c>
      <c r="S384" t="n">
        <v>3</v>
      </c>
      <c r="T384" t="n">
        <v>3</v>
      </c>
      <c r="U384" t="n">
        <v>0</v>
      </c>
      <c r="V384" s="2" t="inlineStr">
        <is>
          <t>Knärot
Talltita
Kungsfågel</t>
        </is>
      </c>
      <c r="W384">
        <f>HYPERLINK("https://klasma.github.io/Logging_0331/artfynd/A 54814-2024 artfynd.xlsx", "A 54814-2024")</f>
        <v/>
      </c>
      <c r="X384">
        <f>HYPERLINK("https://klasma.github.io/Logging_0331/kartor/A 54814-2024 karta.png", "A 54814-2024")</f>
        <v/>
      </c>
      <c r="Y384">
        <f>HYPERLINK("https://klasma.github.io/Logging_0331/kartor_geotiff/A 54814-2024 georefererad karta.tif", "A 54814-2024")</f>
        <v/>
      </c>
      <c r="Z384">
        <f>HYPERLINK("https://klasma.github.io/Logging_0331/knärot/A 54814-2024 karta knärot.png", "A 54814-2024")</f>
        <v/>
      </c>
      <c r="AA384">
        <f>HYPERLINK("https://klasma.github.io/Logging_0331/klagomål/A 54814-2024 FSC-klagomål.docx", "A 54814-2024")</f>
        <v/>
      </c>
      <c r="AB384">
        <f>HYPERLINK("https://klasma.github.io/Logging_0331/klagomålsmail/A 54814-2024 FSC-klagomål mail.docx", "A 54814-2024")</f>
        <v/>
      </c>
      <c r="AC384">
        <f>HYPERLINK("https://klasma.github.io/Logging_0331/tillsyn/A 54814-2024 tillsynsbegäran.docx", "A 54814-2024")</f>
        <v/>
      </c>
      <c r="AD384">
        <f>HYPERLINK("https://klasma.github.io/Logging_0331/tillsynsmail/A 54814-2024 tillsynsbegäran mail.docx", "A 54814-2024")</f>
        <v/>
      </c>
      <c r="AE384">
        <f>HYPERLINK("https://klasma.github.io/Logging_0331/fåglar/A 54814-2024 prioriterade fågelarter.docx", "A 54814-2024")</f>
        <v/>
      </c>
    </row>
    <row r="385" ht="15" customHeight="1">
      <c r="A385" t="inlineStr">
        <is>
          <t>A 38318-2026</t>
        </is>
      </c>
      <c r="B385" t="inlineStr">
        <is>
          <t>avverkningsanmälan</t>
        </is>
      </c>
      <c r="C385" t="inlineStr">
        <is>
          <t>Föryngringsavverkning</t>
        </is>
      </c>
      <c r="D385" s="1" t="n">
        <v>46282</v>
      </c>
      <c r="E385" s="1" t="n">
        <v>46309</v>
      </c>
      <c r="F385" t="inlineStr">
        <is>
          <t>UPPSALA LÄN</t>
        </is>
      </c>
      <c r="G385" t="inlineStr">
        <is>
          <t>ÖSTHAMMAR</t>
        </is>
      </c>
      <c r="H385" t="inlineStr">
        <is>
          <t>Kyrkan</t>
        </is>
      </c>
      <c r="I385" t="n">
        <v>6.4</v>
      </c>
      <c r="J385" t="n">
        <v>2</v>
      </c>
      <c r="K385" t="n">
        <v>1</v>
      </c>
      <c r="L385" t="n">
        <v>1</v>
      </c>
      <c r="M385" t="n">
        <v>0</v>
      </c>
      <c r="N385" t="n">
        <v>0</v>
      </c>
      <c r="O385" t="n">
        <v>0</v>
      </c>
      <c r="P385" t="n">
        <v>0</v>
      </c>
      <c r="Q385" t="n">
        <v>1</v>
      </c>
      <c r="R385" t="n">
        <v>0</v>
      </c>
      <c r="S385" t="n">
        <v>3</v>
      </c>
      <c r="T385" t="n">
        <v>13</v>
      </c>
      <c r="U385" t="n">
        <v>13</v>
      </c>
      <c r="V385" s="2" t="inlineStr">
        <is>
          <t>Vårärt
Skogsknipprot
Blåsippa</t>
        </is>
      </c>
      <c r="W385">
        <f>HYPERLINK("https://klasma.github.io/Logging_0382/artfynd/A 38318-2026 artfynd.xlsx", "A 38318-2026")</f>
        <v/>
      </c>
      <c r="X385">
        <f>HYPERLINK("https://klasma.github.io/Logging_0382/kartor/A 38318-2026 karta.png", "A 38318-2026")</f>
        <v/>
      </c>
      <c r="Y385">
        <f>HYPERLINK("https://klasma.github.io/Logging_0382/kartor_geotiff/A 38318-2026 georefererad karta.tif", "A 38318-2026")</f>
        <v/>
      </c>
      <c r="AA385">
        <f>HYPERLINK("https://klasma.github.io/Logging_0382/klagomål/A 38318-2026 FSC-klagomål.docx", "A 38318-2026")</f>
        <v/>
      </c>
      <c r="AB385">
        <f>HYPERLINK("https://klasma.github.io/Logging_0382/klagomålsmail/A 38318-2026 FSC-klagomål mail.docx", "A 38318-2026")</f>
        <v/>
      </c>
      <c r="AC385">
        <f>HYPERLINK("https://klasma.github.io/Logging_0382/tillsyn/A 38318-2026 tillsynsbegäran.docx", "A 38318-2026")</f>
        <v/>
      </c>
      <c r="AD385">
        <f>HYPERLINK("https://klasma.github.io/Logging_0382/tillsynsmail/A 38318-2026 tillsynsbegäran mail.docx", "A 38318-2026")</f>
        <v/>
      </c>
    </row>
    <row r="386" ht="15" customHeight="1">
      <c r="A386" t="inlineStr">
        <is>
          <t>A 38448-2026</t>
        </is>
      </c>
      <c r="B386" t="inlineStr">
        <is>
          <t>avverkningsanmälan</t>
        </is>
      </c>
      <c r="C386" t="inlineStr">
        <is>
          <t>Föryngringsavverkning</t>
        </is>
      </c>
      <c r="D386" s="1" t="n">
        <v>46282</v>
      </c>
      <c r="E386" s="1" t="n">
        <v>46309</v>
      </c>
      <c r="F386" t="inlineStr">
        <is>
          <t>UPPSALA LÄN</t>
        </is>
      </c>
      <c r="G386" t="inlineStr">
        <is>
          <t>HEBY</t>
        </is>
      </c>
      <c r="H386" t="inlineStr">
        <is>
          <t>Sveaskog</t>
        </is>
      </c>
      <c r="I386" t="n">
        <v>10.1</v>
      </c>
      <c r="J386" t="n">
        <v>0</v>
      </c>
      <c r="K386" t="n">
        <v>2</v>
      </c>
      <c r="L386" t="n">
        <v>1</v>
      </c>
      <c r="M386" t="n">
        <v>0</v>
      </c>
      <c r="N386" t="n">
        <v>0</v>
      </c>
      <c r="O386" t="n">
        <v>0</v>
      </c>
      <c r="P386" t="n">
        <v>0</v>
      </c>
      <c r="Q386" t="n">
        <v>1</v>
      </c>
      <c r="R386" t="n">
        <v>0</v>
      </c>
      <c r="S386" t="n">
        <v>3</v>
      </c>
      <c r="T386" t="n">
        <v>4</v>
      </c>
      <c r="U386" t="n">
        <v>3</v>
      </c>
      <c r="V386" s="2" t="inlineStr">
        <is>
          <t>Ullticka
Grönpyrola
Vedticka</t>
        </is>
      </c>
      <c r="W386">
        <f>HYPERLINK("https://klasma.github.io/Logging_0331/artfynd/A 38448-2026 artfynd.xlsx", "A 38448-2026")</f>
        <v/>
      </c>
      <c r="X386">
        <f>HYPERLINK("https://klasma.github.io/Logging_0331/kartor/A 38448-2026 karta.png", "A 38448-2026")</f>
        <v/>
      </c>
      <c r="Y386">
        <f>HYPERLINK("https://klasma.github.io/Logging_0331/kartor_geotiff/A 38448-2026 georefererad karta.tif", "A 38448-2026")</f>
        <v/>
      </c>
      <c r="AA386">
        <f>HYPERLINK("https://klasma.github.io/Logging_0331/klagomål/A 38448-2026 FSC-klagomål.docx", "A 38448-2026")</f>
        <v/>
      </c>
      <c r="AB386">
        <f>HYPERLINK("https://klasma.github.io/Logging_0331/klagomålsmail/A 38448-2026 FSC-klagomål mail.docx", "A 38448-2026")</f>
        <v/>
      </c>
      <c r="AC386">
        <f>HYPERLINK("https://klasma.github.io/Logging_0331/tillsyn/A 38448-2026 tillsynsbegäran.docx", "A 38448-2026")</f>
        <v/>
      </c>
      <c r="AD386">
        <f>HYPERLINK("https://klasma.github.io/Logging_0331/tillsynsmail/A 38448-2026 tillsynsbegäran mail.docx", "A 38448-2026")</f>
        <v/>
      </c>
    </row>
    <row r="387" ht="15" customHeight="1">
      <c r="A387" t="inlineStr">
        <is>
          <t>A 32107-2026</t>
        </is>
      </c>
      <c r="B387" t="inlineStr">
        <is>
          <t>avverkningsanmälan</t>
        </is>
      </c>
      <c r="C387" t="inlineStr">
        <is>
          <t>Föryngringsavverkning</t>
        </is>
      </c>
      <c r="D387" s="1" t="n">
        <v>46234</v>
      </c>
      <c r="E387" s="1" t="n">
        <v>46309</v>
      </c>
      <c r="F387" t="inlineStr">
        <is>
          <t>UPPSALA LÄN</t>
        </is>
      </c>
      <c r="G387" t="inlineStr">
        <is>
          <t>UPPSALA</t>
        </is>
      </c>
      <c r="I387" t="n">
        <v>5.2</v>
      </c>
      <c r="J387" t="n">
        <v>1</v>
      </c>
      <c r="K387" t="n">
        <v>2</v>
      </c>
      <c r="L387" t="n">
        <v>0</v>
      </c>
      <c r="M387" t="n">
        <v>1</v>
      </c>
      <c r="N387" t="n">
        <v>0</v>
      </c>
      <c r="O387" t="n">
        <v>0</v>
      </c>
      <c r="P387" t="n">
        <v>0</v>
      </c>
      <c r="Q387" t="n">
        <v>1</v>
      </c>
      <c r="R387" t="n">
        <v>1</v>
      </c>
      <c r="S387" t="n">
        <v>3</v>
      </c>
      <c r="T387" t="n">
        <v>4</v>
      </c>
      <c r="U387" t="n">
        <v>0</v>
      </c>
      <c r="V387" s="2" t="inlineStr">
        <is>
          <t>Knärot
Granbräken
Rödgul trumpetsvamp</t>
        </is>
      </c>
      <c r="W387">
        <f>HYPERLINK("https://klasma.github.io/Logging_0380/artfynd/A 32107-2026 artfynd.xlsx", "A 32107-2026")</f>
        <v/>
      </c>
      <c r="X387">
        <f>HYPERLINK("https://klasma.github.io/Logging_0380/kartor/A 32107-2026 karta.png", "A 32107-2026")</f>
        <v/>
      </c>
      <c r="Y387">
        <f>HYPERLINK("https://klasma.github.io/Logging_0380/kartor_geotiff/A 32107-2026 georefererad karta.tif", "A 32107-2026")</f>
        <v/>
      </c>
      <c r="Z387">
        <f>HYPERLINK("https://klasma.github.io/Logging_0380/knärot/A 32107-2026 karta knärot.png", "A 32107-2026")</f>
        <v/>
      </c>
      <c r="AA387">
        <f>HYPERLINK("https://klasma.github.io/Logging_0380/klagomål/A 32107-2026 FSC-klagomål.docx", "A 32107-2026")</f>
        <v/>
      </c>
      <c r="AB387">
        <f>HYPERLINK("https://klasma.github.io/Logging_0380/klagomålsmail/A 32107-2026 FSC-klagomål mail.docx", "A 32107-2026")</f>
        <v/>
      </c>
      <c r="AC387">
        <f>HYPERLINK("https://klasma.github.io/Logging_0380/tillsyn/A 32107-2026 tillsynsbegäran.docx", "A 32107-2026")</f>
        <v/>
      </c>
      <c r="AD387">
        <f>HYPERLINK("https://klasma.github.io/Logging_0380/tillsynsmail/A 32107-2026 tillsynsbegäran mail.docx", "A 32107-2026")</f>
        <v/>
      </c>
    </row>
    <row r="388" ht="15" customHeight="1">
      <c r="A388" t="inlineStr">
        <is>
          <t>A 17947-2022</t>
        </is>
      </c>
      <c r="B388" t="inlineStr">
        <is>
          <t>avverkningsanmälan</t>
        </is>
      </c>
      <c r="C388" t="inlineStr">
        <is>
          <t>Föryngringsavverkning</t>
        </is>
      </c>
      <c r="D388" s="1" t="n">
        <v>44683</v>
      </c>
      <c r="E388" s="1" t="n">
        <v>46309</v>
      </c>
      <c r="F388" t="inlineStr">
        <is>
          <t>UPPSALA LÄN</t>
        </is>
      </c>
      <c r="G388" t="inlineStr">
        <is>
          <t>ÖSTHAMMAR</t>
        </is>
      </c>
      <c r="I388" t="n">
        <v>5.5</v>
      </c>
      <c r="J388" t="n">
        <v>1</v>
      </c>
      <c r="K388" t="n">
        <v>1</v>
      </c>
      <c r="L388" t="n">
        <v>2</v>
      </c>
      <c r="M388" t="n">
        <v>0</v>
      </c>
      <c r="N388" t="n">
        <v>0</v>
      </c>
      <c r="O388" t="n">
        <v>0</v>
      </c>
      <c r="P388" t="n">
        <v>0</v>
      </c>
      <c r="Q388" t="n">
        <v>2</v>
      </c>
      <c r="R388" t="n">
        <v>0</v>
      </c>
      <c r="S388" t="n">
        <v>3</v>
      </c>
      <c r="T388" t="n">
        <v>4</v>
      </c>
      <c r="U388" t="n">
        <v>2</v>
      </c>
      <c r="V388" s="2" t="inlineStr">
        <is>
          <t>Slåtterfibbla
Solvända
Tvåblad</t>
        </is>
      </c>
      <c r="W388">
        <f>HYPERLINK("https://klasma.github.io/Logging_0382/artfynd/A 17947-2022 artfynd.xlsx", "A 17947-2022")</f>
        <v/>
      </c>
      <c r="X388">
        <f>HYPERLINK("https://klasma.github.io/Logging_0382/kartor/A 17947-2022 karta.png", "A 17947-2022")</f>
        <v/>
      </c>
      <c r="Y388">
        <f>HYPERLINK("https://klasma.github.io/Logging_0382/kartor_geotiff/A 17947-2022 georefererad karta.tif", "A 17947-2022")</f>
        <v/>
      </c>
      <c r="AA388">
        <f>HYPERLINK("https://klasma.github.io/Logging_0382/klagomål/A 17947-2022 FSC-klagomål.docx", "A 17947-2022")</f>
        <v/>
      </c>
      <c r="AB388">
        <f>HYPERLINK("https://klasma.github.io/Logging_0382/klagomålsmail/A 17947-2022 FSC-klagomål mail.docx", "A 17947-2022")</f>
        <v/>
      </c>
      <c r="AC388">
        <f>HYPERLINK("https://klasma.github.io/Logging_0382/tillsyn/A 17947-2022 tillsynsbegäran.docx", "A 17947-2022")</f>
        <v/>
      </c>
      <c r="AD388">
        <f>HYPERLINK("https://klasma.github.io/Logging_0382/tillsynsmail/A 17947-2022 tillsynsbegäran mail.docx", "A 17947-2022")</f>
        <v/>
      </c>
    </row>
    <row r="389" ht="15" customHeight="1">
      <c r="A389" t="inlineStr">
        <is>
          <t>A 25943-2023</t>
        </is>
      </c>
      <c r="B389" t="inlineStr">
        <is>
          <t>avverkningsanmälan</t>
        </is>
      </c>
      <c r="C389" t="inlineStr">
        <is>
          <t>Föryngringsavverkning</t>
        </is>
      </c>
      <c r="D389" s="1" t="n">
        <v>45090</v>
      </c>
      <c r="E389" s="1" t="n">
        <v>46309</v>
      </c>
      <c r="F389" t="inlineStr">
        <is>
          <t>UPPSALA LÄN</t>
        </is>
      </c>
      <c r="G389" t="inlineStr">
        <is>
          <t>UPPSALA</t>
        </is>
      </c>
      <c r="H389" t="inlineStr">
        <is>
          <t>Holmen skog AB</t>
        </is>
      </c>
      <c r="I389" t="n">
        <v>2.7</v>
      </c>
      <c r="J389" t="n">
        <v>1</v>
      </c>
      <c r="K389" t="n">
        <v>1</v>
      </c>
      <c r="L389" t="n">
        <v>2</v>
      </c>
      <c r="M389" t="n">
        <v>0</v>
      </c>
      <c r="N389" t="n">
        <v>0</v>
      </c>
      <c r="O389" t="n">
        <v>0</v>
      </c>
      <c r="P389" t="n">
        <v>0</v>
      </c>
      <c r="Q389" t="n">
        <v>2</v>
      </c>
      <c r="R389" t="n">
        <v>0</v>
      </c>
      <c r="S389" t="n">
        <v>3</v>
      </c>
      <c r="T389" t="n">
        <v>3</v>
      </c>
      <c r="U389" t="n">
        <v>1</v>
      </c>
      <c r="V389" s="2" t="inlineStr">
        <is>
          <t>Mindre hackspett
Vedtrappmossa
Vedticka</t>
        </is>
      </c>
      <c r="W389">
        <f>HYPERLINK("https://klasma.github.io/Logging_0380/artfynd/A 25943-2023 artfynd.xlsx", "A 25943-2023")</f>
        <v/>
      </c>
      <c r="X389">
        <f>HYPERLINK("https://klasma.github.io/Logging_0380/kartor/A 25943-2023 karta.png", "A 25943-2023")</f>
        <v/>
      </c>
      <c r="Y389">
        <f>HYPERLINK("https://klasma.github.io/Logging_0380/kartor_geotiff/A 25943-2023 georefererad karta.tif", "A 25943-2023")</f>
        <v/>
      </c>
      <c r="AA389">
        <f>HYPERLINK("https://klasma.github.io/Logging_0380/klagomål/A 25943-2023 FSC-klagomål.docx", "A 25943-2023")</f>
        <v/>
      </c>
      <c r="AB389">
        <f>HYPERLINK("https://klasma.github.io/Logging_0380/klagomålsmail/A 25943-2023 FSC-klagomål mail.docx", "A 25943-2023")</f>
        <v/>
      </c>
      <c r="AC389">
        <f>HYPERLINK("https://klasma.github.io/Logging_0380/tillsyn/A 25943-2023 tillsynsbegäran.docx", "A 25943-2023")</f>
        <v/>
      </c>
      <c r="AD389">
        <f>HYPERLINK("https://klasma.github.io/Logging_0380/tillsynsmail/A 25943-2023 tillsynsbegäran mail.docx", "A 25943-2023")</f>
        <v/>
      </c>
      <c r="AE389">
        <f>HYPERLINK("https://klasma.github.io/Logging_0380/fåglar/A 25943-2023 prioriterade fågelarter.docx", "A 25943-2023")</f>
        <v/>
      </c>
    </row>
    <row r="390" ht="15" customHeight="1">
      <c r="A390" t="inlineStr">
        <is>
          <t>A 4657-2025</t>
        </is>
      </c>
      <c r="B390" t="inlineStr">
        <is>
          <t>avverkningsanmälan</t>
        </is>
      </c>
      <c r="C390" t="inlineStr">
        <is>
          <t>Föryngringsavverkning</t>
        </is>
      </c>
      <c r="D390" s="1" t="n">
        <v>45687</v>
      </c>
      <c r="E390" s="1" t="n">
        <v>46309</v>
      </c>
      <c r="F390" t="inlineStr">
        <is>
          <t>UPPSALA LÄN</t>
        </is>
      </c>
      <c r="G390" t="inlineStr">
        <is>
          <t>UPPSALA</t>
        </is>
      </c>
      <c r="I390" t="n">
        <v>2.9</v>
      </c>
      <c r="J390" t="n">
        <v>2</v>
      </c>
      <c r="K390" t="n">
        <v>0</v>
      </c>
      <c r="L390" t="n">
        <v>2</v>
      </c>
      <c r="M390" t="n">
        <v>0</v>
      </c>
      <c r="N390" t="n">
        <v>0</v>
      </c>
      <c r="O390" t="n">
        <v>0</v>
      </c>
      <c r="P390" t="n">
        <v>0</v>
      </c>
      <c r="Q390" t="n">
        <v>2</v>
      </c>
      <c r="R390" t="n">
        <v>0</v>
      </c>
      <c r="S390" t="n">
        <v>3</v>
      </c>
      <c r="T390" t="n">
        <v>3</v>
      </c>
      <c r="U390" t="n">
        <v>1</v>
      </c>
      <c r="V390" s="2" t="inlineStr">
        <is>
          <t>Grönsångare
Tallticka
Kungsfågel</t>
        </is>
      </c>
      <c r="W390">
        <f>HYPERLINK("https://klasma.github.io/Logging_0380/artfynd/A 4657-2025 artfynd.xlsx", "A 4657-2025")</f>
        <v/>
      </c>
      <c r="X390">
        <f>HYPERLINK("https://klasma.github.io/Logging_0380/kartor/A 4657-2025 karta.png", "A 4657-2025")</f>
        <v/>
      </c>
      <c r="Y390">
        <f>HYPERLINK("https://klasma.github.io/Logging_0380/kartor_geotiff/A 4657-2025 georefererad karta.tif", "A 4657-2025")</f>
        <v/>
      </c>
      <c r="AA390">
        <f>HYPERLINK("https://klasma.github.io/Logging_0380/klagomål/A 4657-2025 FSC-klagomål.docx", "A 4657-2025")</f>
        <v/>
      </c>
      <c r="AB390">
        <f>HYPERLINK("https://klasma.github.io/Logging_0380/klagomålsmail/A 4657-2025 FSC-klagomål mail.docx", "A 4657-2025")</f>
        <v/>
      </c>
      <c r="AC390">
        <f>HYPERLINK("https://klasma.github.io/Logging_0380/tillsyn/A 4657-2025 tillsynsbegäran.docx", "A 4657-2025")</f>
        <v/>
      </c>
      <c r="AD390">
        <f>HYPERLINK("https://klasma.github.io/Logging_0380/tillsynsmail/A 4657-2025 tillsynsbegäran mail.docx", "A 4657-2025")</f>
        <v/>
      </c>
      <c r="AE390">
        <f>HYPERLINK("https://klasma.github.io/Logging_0380/fåglar/A 4657-2025 prioriterade fågelarter.docx", "A 4657-2025")</f>
        <v/>
      </c>
    </row>
    <row r="391" ht="15" customHeight="1">
      <c r="A391" t="inlineStr">
        <is>
          <t>S 708-2023</t>
        </is>
      </c>
      <c r="B391" t="inlineStr">
        <is>
          <t>samrådsanmälan</t>
        </is>
      </c>
      <c r="C391" t="inlineStr">
        <is>
          <t>Annan skogsbruksåtgärd</t>
        </is>
      </c>
      <c r="D391" s="1" t="n">
        <v>44984</v>
      </c>
      <c r="E391" s="1" t="n">
        <v>46309</v>
      </c>
      <c r="F391" t="inlineStr">
        <is>
          <t>UPPSALA LÄN</t>
        </is>
      </c>
      <c r="G391" t="inlineStr">
        <is>
          <t>UPPSALA</t>
        </is>
      </c>
      <c r="I391" t="n">
        <v>9.800000000000001</v>
      </c>
      <c r="J391" t="n">
        <v>1</v>
      </c>
      <c r="K391" t="n">
        <v>0</v>
      </c>
      <c r="L391" t="n">
        <v>1</v>
      </c>
      <c r="M391" t="n">
        <v>1</v>
      </c>
      <c r="N391" t="n">
        <v>0</v>
      </c>
      <c r="O391" t="n">
        <v>0</v>
      </c>
      <c r="P391" t="n">
        <v>0</v>
      </c>
      <c r="Q391" t="n">
        <v>2</v>
      </c>
      <c r="R391" t="n">
        <v>1</v>
      </c>
      <c r="S391" t="n">
        <v>3</v>
      </c>
      <c r="T391" t="n">
        <v>9</v>
      </c>
      <c r="U391" t="n">
        <v>0</v>
      </c>
      <c r="V391" s="2" t="inlineStr">
        <is>
          <t>Aspsplintbock
Mindre aspborre
Blåsippa</t>
        </is>
      </c>
      <c r="W391">
        <f>HYPERLINK("https://klasma.github.io/Logging_0380/artfynd/S 708-2023 artfynd.xlsx", "S 708-2023")</f>
        <v/>
      </c>
      <c r="X391">
        <f>HYPERLINK("https://klasma.github.io/Logging_0380/kartor/S 708-2023 karta.png", "S 708-2023")</f>
        <v/>
      </c>
      <c r="Y391">
        <f>HYPERLINK("https://klasma.github.io/Logging_0380/kartor_geotiff/S 708-2023 georefererad karta.tif", "S 708-2023")</f>
        <v/>
      </c>
      <c r="AA391">
        <f>HYPERLINK("https://klasma.github.io/Logging_0380/klagomål/S 708-2023 FSC-klagomål.docx", "S 708-2023")</f>
        <v/>
      </c>
      <c r="AB391">
        <f>HYPERLINK("https://klasma.github.io/Logging_0380/klagomålsmail/S 708-2023 FSC-klagomål mail.docx", "S 708-2023")</f>
        <v/>
      </c>
      <c r="AC391">
        <f>HYPERLINK("https://klasma.github.io/Logging_0380/tillsyn/S 708-2023 tillsynsbegäran.docx", "S 708-2023")</f>
        <v/>
      </c>
      <c r="AD391">
        <f>HYPERLINK("https://klasma.github.io/Logging_0380/tillsynsmail/S 708-2023 tillsynsbegäran mail.docx", "S 708-2023")</f>
        <v/>
      </c>
    </row>
    <row r="392" ht="15" customHeight="1">
      <c r="A392" t="inlineStr">
        <is>
          <t>S 4995-2024</t>
        </is>
      </c>
      <c r="B392" t="inlineStr">
        <is>
          <t>samrådsanmälan</t>
        </is>
      </c>
      <c r="C392" t="inlineStr">
        <is>
          <t>Annan skogsbruksåtgärd</t>
        </is>
      </c>
      <c r="D392" s="1" t="n">
        <v>45631</v>
      </c>
      <c r="E392" s="1" t="n">
        <v>46309</v>
      </c>
      <c r="F392" t="inlineStr">
        <is>
          <t>UPPSALA LÄN</t>
        </is>
      </c>
      <c r="G392" t="inlineStr">
        <is>
          <t>ENKÖPING</t>
        </is>
      </c>
      <c r="I392" t="n">
        <v>10.4</v>
      </c>
      <c r="J392" t="n">
        <v>0</v>
      </c>
      <c r="K392" t="n">
        <v>2</v>
      </c>
      <c r="L392" t="n">
        <v>1</v>
      </c>
      <c r="M392" t="n">
        <v>0</v>
      </c>
      <c r="N392" t="n">
        <v>0</v>
      </c>
      <c r="O392" t="n">
        <v>0</v>
      </c>
      <c r="P392" t="n">
        <v>0</v>
      </c>
      <c r="Q392" t="n">
        <v>1</v>
      </c>
      <c r="R392" t="n">
        <v>0</v>
      </c>
      <c r="S392" t="n">
        <v>3</v>
      </c>
      <c r="T392" t="n">
        <v>3</v>
      </c>
      <c r="U392" t="n">
        <v>0</v>
      </c>
      <c r="V392" s="2" t="inlineStr">
        <is>
          <t>Jättekamskivling
Gulmjölkig storskål
Spindelbock</t>
        </is>
      </c>
      <c r="W392">
        <f>HYPERLINK("https://klasma.github.io/Logging_0381/artfynd/S 4995-2024 artfynd.xlsx", "S 4995-2024")</f>
        <v/>
      </c>
      <c r="X392">
        <f>HYPERLINK("https://klasma.github.io/Logging_0381/kartor/S 4995-2024 karta.png", "S 4995-2024")</f>
        <v/>
      </c>
      <c r="Y392">
        <f>HYPERLINK("https://klasma.github.io/Logging_0381/kartor_geotiff/S 4995-2024 georefererad karta.tif", "S 4995-2024")</f>
        <v/>
      </c>
      <c r="AA392">
        <f>HYPERLINK("https://klasma.github.io/Logging_0381/klagomål/S 4995-2024 FSC-klagomål.docx", "S 4995-2024")</f>
        <v/>
      </c>
      <c r="AB392">
        <f>HYPERLINK("https://klasma.github.io/Logging_0381/klagomålsmail/S 4995-2024 FSC-klagomål mail.docx", "S 4995-2024")</f>
        <v/>
      </c>
      <c r="AC392">
        <f>HYPERLINK("https://klasma.github.io/Logging_0381/tillsyn/S 4995-2024 tillsynsbegäran.docx", "S 4995-2024")</f>
        <v/>
      </c>
      <c r="AD392">
        <f>HYPERLINK("https://klasma.github.io/Logging_0381/tillsynsmail/S 4995-2024 tillsynsbegäran mail.docx", "S 4995-2024")</f>
        <v/>
      </c>
    </row>
    <row r="393" ht="15" customHeight="1">
      <c r="A393" t="inlineStr">
        <is>
          <t>S 4491-2023</t>
        </is>
      </c>
      <c r="B393" t="inlineStr">
        <is>
          <t>samrådsanmälan</t>
        </is>
      </c>
      <c r="C393" t="inlineStr">
        <is>
          <t>Annan skogsbruksåtgärd</t>
        </is>
      </c>
      <c r="D393" s="1" t="n">
        <v>45274</v>
      </c>
      <c r="E393" s="1" t="n">
        <v>46309</v>
      </c>
      <c r="F393" t="inlineStr">
        <is>
          <t>UPPSALA LÄN</t>
        </is>
      </c>
      <c r="G393" t="inlineStr">
        <is>
          <t>ÖSTHAMMAR</t>
        </is>
      </c>
      <c r="I393" t="n">
        <v>1.8</v>
      </c>
      <c r="J393" t="n">
        <v>0</v>
      </c>
      <c r="K393" t="n">
        <v>1</v>
      </c>
      <c r="L393" t="n">
        <v>1</v>
      </c>
      <c r="M393" t="n">
        <v>0</v>
      </c>
      <c r="N393" t="n">
        <v>1</v>
      </c>
      <c r="O393" t="n">
        <v>0</v>
      </c>
      <c r="P393" t="n">
        <v>0</v>
      </c>
      <c r="Q393" t="n">
        <v>2</v>
      </c>
      <c r="R393" t="n">
        <v>1</v>
      </c>
      <c r="S393" t="n">
        <v>3</v>
      </c>
      <c r="T393" t="n">
        <v>6</v>
      </c>
      <c r="U393" t="n">
        <v>0</v>
      </c>
      <c r="V393" s="2" t="inlineStr">
        <is>
          <t>Violgubbe
Fjällig taggsvamp s.str.
Stor aspticka</t>
        </is>
      </c>
      <c r="W393">
        <f>HYPERLINK("https://klasma.github.io/Logging_0382/artfynd/S 4491-2023 artfynd.xlsx", "S 4491-2023")</f>
        <v/>
      </c>
      <c r="X393">
        <f>HYPERLINK("https://klasma.github.io/Logging_0382/kartor/S 4491-2023 karta.png", "S 4491-2023")</f>
        <v/>
      </c>
      <c r="Y393">
        <f>HYPERLINK("https://klasma.github.io/Logging_0382/kartor_geotiff/S 4491-2023 georefererad karta.tif", "S 4491-2023")</f>
        <v/>
      </c>
      <c r="AA393">
        <f>HYPERLINK("https://klasma.github.io/Logging_0382/klagomål/S 4491-2023 FSC-klagomål.docx", "S 4491-2023")</f>
        <v/>
      </c>
      <c r="AB393">
        <f>HYPERLINK("https://klasma.github.io/Logging_0382/klagomålsmail/S 4491-2023 FSC-klagomål mail.docx", "S 4491-2023")</f>
        <v/>
      </c>
      <c r="AC393">
        <f>HYPERLINK("https://klasma.github.io/Logging_0382/tillsyn/S 4491-2023 tillsynsbegäran.docx", "S 4491-2023")</f>
        <v/>
      </c>
      <c r="AD393">
        <f>HYPERLINK("https://klasma.github.io/Logging_0382/tillsynsmail/S 4491-2023 tillsynsbegäran mail.docx", "S 4491-2023")</f>
        <v/>
      </c>
    </row>
    <row r="394" ht="15" customHeight="1">
      <c r="A394" t="inlineStr">
        <is>
          <t>S 2798-2024</t>
        </is>
      </c>
      <c r="B394" t="inlineStr">
        <is>
          <t>samrådsanmälan</t>
        </is>
      </c>
      <c r="C394" t="inlineStr">
        <is>
          <t>Annan skogsbruksåtgärd</t>
        </is>
      </c>
      <c r="D394" s="1" t="n">
        <v>45485</v>
      </c>
      <c r="E394" s="1" t="n">
        <v>46309</v>
      </c>
      <c r="F394" t="inlineStr">
        <is>
          <t>UPPSALA LÄN</t>
        </is>
      </c>
      <c r="G394" t="inlineStr">
        <is>
          <t>HEBY</t>
        </is>
      </c>
      <c r="H394" t="inlineStr">
        <is>
          <t>Bergvik skog väst AB</t>
        </is>
      </c>
      <c r="I394" t="n">
        <v>7.1</v>
      </c>
      <c r="J394" t="n">
        <v>0</v>
      </c>
      <c r="K394" t="n">
        <v>1</v>
      </c>
      <c r="L394" t="n">
        <v>1</v>
      </c>
      <c r="M394" t="n">
        <v>1</v>
      </c>
      <c r="N394" t="n">
        <v>0</v>
      </c>
      <c r="O394" t="n">
        <v>0</v>
      </c>
      <c r="P394" t="n">
        <v>0</v>
      </c>
      <c r="Q394" t="n">
        <v>2</v>
      </c>
      <c r="R394" t="n">
        <v>1</v>
      </c>
      <c r="S394" t="n">
        <v>3</v>
      </c>
      <c r="T394" t="n">
        <v>5</v>
      </c>
      <c r="U394" t="n">
        <v>0</v>
      </c>
      <c r="V394" s="2" t="inlineStr">
        <is>
          <t>Aspsplintbock
Grönhjon
Noshornsoxe</t>
        </is>
      </c>
      <c r="W394">
        <f>HYPERLINK("https://klasma.github.io/Logging_0331/artfynd/S 2798-2024 artfynd.xlsx", "S 2798-2024")</f>
        <v/>
      </c>
      <c r="X394">
        <f>HYPERLINK("https://klasma.github.io/Logging_0331/kartor/S 2798-2024 karta.png", "S 2798-2024")</f>
        <v/>
      </c>
      <c r="Y394">
        <f>HYPERLINK("https://klasma.github.io/Logging_0331/kartor_geotiff/S 2798-2024 georefererad karta.tif", "S 2798-2024")</f>
        <v/>
      </c>
      <c r="AA394">
        <f>HYPERLINK("https://klasma.github.io/Logging_0331/klagomål/S 2798-2024 FSC-klagomål.docx", "S 2798-2024")</f>
        <v/>
      </c>
      <c r="AB394">
        <f>HYPERLINK("https://klasma.github.io/Logging_0331/klagomålsmail/S 2798-2024 FSC-klagomål mail.docx", "S 2798-2024")</f>
        <v/>
      </c>
      <c r="AC394">
        <f>HYPERLINK("https://klasma.github.io/Logging_0331/tillsyn/S 2798-2024 tillsynsbegäran.docx", "S 2798-2024")</f>
        <v/>
      </c>
      <c r="AD394">
        <f>HYPERLINK("https://klasma.github.io/Logging_0331/tillsynsmail/S 2798-2024 tillsynsbegäran mail.docx", "S 2798-2024")</f>
        <v/>
      </c>
    </row>
    <row r="395" ht="15" customHeight="1">
      <c r="A395" t="inlineStr">
        <is>
          <t>S 2399-2025</t>
        </is>
      </c>
      <c r="B395" t="inlineStr">
        <is>
          <t>samrådsanmälan</t>
        </is>
      </c>
      <c r="C395" t="inlineStr">
        <is>
          <t>Annan skogsbruksåtgärd</t>
        </is>
      </c>
      <c r="D395" s="1" t="n">
        <v>45895</v>
      </c>
      <c r="E395" s="1" t="n">
        <v>46309</v>
      </c>
      <c r="F395" t="inlineStr">
        <is>
          <t>UPPSALA LÄN</t>
        </is>
      </c>
      <c r="G395" t="inlineStr">
        <is>
          <t>ÖSTHAMMAR</t>
        </is>
      </c>
      <c r="I395" t="n">
        <v>1.4</v>
      </c>
      <c r="J395" t="n">
        <v>0</v>
      </c>
      <c r="K395" t="n">
        <v>2</v>
      </c>
      <c r="L395" t="n">
        <v>0</v>
      </c>
      <c r="M395" t="n">
        <v>1</v>
      </c>
      <c r="N395" t="n">
        <v>0</v>
      </c>
      <c r="O395" t="n">
        <v>0</v>
      </c>
      <c r="P395" t="n">
        <v>0</v>
      </c>
      <c r="Q395" t="n">
        <v>1</v>
      </c>
      <c r="R395" t="n">
        <v>1</v>
      </c>
      <c r="S395" t="n">
        <v>3</v>
      </c>
      <c r="T395" t="n">
        <v>3</v>
      </c>
      <c r="U395" t="n">
        <v>0</v>
      </c>
      <c r="V395" s="2" t="inlineStr">
        <is>
          <t>Gul lammticka
Brun klibbskivling
Tibast</t>
        </is>
      </c>
      <c r="W395">
        <f>HYPERLINK("https://klasma.github.io/Logging_0382/artfynd/S 2399-2025 artfynd.xlsx", "S 2399-2025")</f>
        <v/>
      </c>
      <c r="X395">
        <f>HYPERLINK("https://klasma.github.io/Logging_0382/kartor/S 2399-2025 karta.png", "S 2399-2025")</f>
        <v/>
      </c>
      <c r="Y395">
        <f>HYPERLINK("https://klasma.github.io/Logging_0382/kartor_geotiff/S 2399-2025 georefererad karta.tif", "S 2399-2025")</f>
        <v/>
      </c>
      <c r="AA395">
        <f>HYPERLINK("https://klasma.github.io/Logging_0382/klagomål/S 2399-2025 FSC-klagomål.docx", "S 2399-2025")</f>
        <v/>
      </c>
      <c r="AB395">
        <f>HYPERLINK("https://klasma.github.io/Logging_0382/klagomålsmail/S 2399-2025 FSC-klagomål mail.docx", "S 2399-2025")</f>
        <v/>
      </c>
      <c r="AC395">
        <f>HYPERLINK("https://klasma.github.io/Logging_0382/tillsyn/S 2399-2025 tillsynsbegäran.docx", "S 2399-2025")</f>
        <v/>
      </c>
      <c r="AD395">
        <f>HYPERLINK("https://klasma.github.io/Logging_0382/tillsynsmail/S 2399-2025 tillsynsbegäran mail.docx", "S 2399-2025")</f>
        <v/>
      </c>
    </row>
    <row r="396" ht="15" customHeight="1">
      <c r="A396" t="inlineStr">
        <is>
          <t>S 3073-2025</t>
        </is>
      </c>
      <c r="B396" t="inlineStr">
        <is>
          <t>samrådsanmälan</t>
        </is>
      </c>
      <c r="C396" t="inlineStr">
        <is>
          <t>Annan skogsbruksåtgärd</t>
        </is>
      </c>
      <c r="D396" s="1" t="n">
        <v>45964</v>
      </c>
      <c r="E396" s="1" t="n">
        <v>46309</v>
      </c>
      <c r="F396" t="inlineStr">
        <is>
          <t>UPPSALA LÄN</t>
        </is>
      </c>
      <c r="G396" t="inlineStr">
        <is>
          <t>HEBY</t>
        </is>
      </c>
      <c r="I396" t="n">
        <v>0.2</v>
      </c>
      <c r="J396" t="n">
        <v>0</v>
      </c>
      <c r="K396" t="n">
        <v>2</v>
      </c>
      <c r="L396" t="n">
        <v>0</v>
      </c>
      <c r="M396" t="n">
        <v>1</v>
      </c>
      <c r="N396" t="n">
        <v>0</v>
      </c>
      <c r="O396" t="n">
        <v>0</v>
      </c>
      <c r="P396" t="n">
        <v>0</v>
      </c>
      <c r="Q396" t="n">
        <v>1</v>
      </c>
      <c r="R396" t="n">
        <v>1</v>
      </c>
      <c r="S396" t="n">
        <v>3</v>
      </c>
      <c r="T396" t="n">
        <v>4</v>
      </c>
      <c r="U396" t="n">
        <v>0</v>
      </c>
      <c r="V396" s="2" t="inlineStr">
        <is>
          <t>Aspfjädermossa
Skinnlav
Tibast</t>
        </is>
      </c>
      <c r="W396">
        <f>HYPERLINK("https://klasma.github.io/Logging_0331/artfynd/S 3073-2025 artfynd.xlsx", "S 3073-2025")</f>
        <v/>
      </c>
      <c r="X396">
        <f>HYPERLINK("https://klasma.github.io/Logging_0331/kartor/S 3073-2025 karta.png", "S 3073-2025")</f>
        <v/>
      </c>
      <c r="Y396">
        <f>HYPERLINK("https://klasma.github.io/Logging_0331/kartor_geotiff/S 3073-2025 georefererad karta.tif", "S 3073-2025")</f>
        <v/>
      </c>
      <c r="AA396">
        <f>HYPERLINK("https://klasma.github.io/Logging_0331/klagomål/S 3073-2025 FSC-klagomål.docx", "S 3073-2025")</f>
        <v/>
      </c>
      <c r="AB396">
        <f>HYPERLINK("https://klasma.github.io/Logging_0331/klagomålsmail/S 3073-2025 FSC-klagomål mail.docx", "S 3073-2025")</f>
        <v/>
      </c>
      <c r="AC396">
        <f>HYPERLINK("https://klasma.github.io/Logging_0331/tillsyn/S 3073-2025 tillsynsbegäran.docx", "S 3073-2025")</f>
        <v/>
      </c>
      <c r="AD396">
        <f>HYPERLINK("https://klasma.github.io/Logging_0331/tillsynsmail/S 3073-2025 tillsynsbegäran mail.docx", "S 3073-2025")</f>
        <v/>
      </c>
    </row>
    <row r="397" ht="15" customHeight="1">
      <c r="A397" t="inlineStr">
        <is>
          <t>S 752-2026</t>
        </is>
      </c>
      <c r="B397" t="inlineStr">
        <is>
          <t>samrådsanmälan</t>
        </is>
      </c>
      <c r="C397" t="inlineStr">
        <is>
          <t>Skogsgödsling</t>
        </is>
      </c>
      <c r="D397" s="1" t="n">
        <v>46089</v>
      </c>
      <c r="E397" s="1" t="n">
        <v>46309</v>
      </c>
      <c r="F397" t="inlineStr">
        <is>
          <t>UPPSALA LÄN</t>
        </is>
      </c>
      <c r="G397" t="inlineStr">
        <is>
          <t>ÖSTHAMMAR</t>
        </is>
      </c>
      <c r="H397" t="inlineStr">
        <is>
          <t>Bergvik skog öst AB</t>
        </is>
      </c>
      <c r="I397" t="n">
        <v>197.1</v>
      </c>
      <c r="J397" t="n">
        <v>1</v>
      </c>
      <c r="K397" t="n">
        <v>1</v>
      </c>
      <c r="L397" t="n">
        <v>1</v>
      </c>
      <c r="M397" t="n">
        <v>1</v>
      </c>
      <c r="N397" t="n">
        <v>0</v>
      </c>
      <c r="O397" t="n">
        <v>0</v>
      </c>
      <c r="P397" t="n">
        <v>0</v>
      </c>
      <c r="Q397" t="n">
        <v>2</v>
      </c>
      <c r="R397" t="n">
        <v>1</v>
      </c>
      <c r="S397" t="n">
        <v>3</v>
      </c>
      <c r="T397" t="n">
        <v>4</v>
      </c>
      <c r="U397" t="n">
        <v>0</v>
      </c>
      <c r="V397" s="2" t="inlineStr">
        <is>
          <t>Garnlav
Motaggsvamp
Grön sköldmossa</t>
        </is>
      </c>
      <c r="W397">
        <f>HYPERLINK("https://klasma.github.io/Logging_0382/artfynd/S 752-2026 artfynd.xlsx", "S 752-2026")</f>
        <v/>
      </c>
      <c r="X397">
        <f>HYPERLINK("https://klasma.github.io/Logging_0382/kartor/S 752-2026 karta.png", "S 752-2026")</f>
        <v/>
      </c>
      <c r="Y397">
        <f>HYPERLINK("https://klasma.github.io/Logging_0382/kartor_geotiff/S 752-2026 georefererad karta.tif", "S 752-2026")</f>
        <v/>
      </c>
      <c r="AA397">
        <f>HYPERLINK("https://klasma.github.io/Logging_0382/klagomål/S 752-2026 FSC-klagomål.docx", "S 752-2026")</f>
        <v/>
      </c>
      <c r="AB397">
        <f>HYPERLINK("https://klasma.github.io/Logging_0382/klagomålsmail/S 752-2026 FSC-klagomål mail.docx", "S 752-2026")</f>
        <v/>
      </c>
      <c r="AC397">
        <f>HYPERLINK("https://klasma.github.io/Logging_0382/tillsyn/S 752-2026 tillsynsbegäran.docx", "S 752-2026")</f>
        <v/>
      </c>
      <c r="AD397">
        <f>HYPERLINK("https://klasma.github.io/Logging_0382/tillsynsmail/S 752-2026 tillsynsbegäran mail.docx", "S 752-2026")</f>
        <v/>
      </c>
    </row>
    <row r="398" ht="15" customHeight="1">
      <c r="A398" t="inlineStr">
        <is>
          <t>S 1584-2026</t>
        </is>
      </c>
      <c r="B398" t="inlineStr">
        <is>
          <t>samrådsanmälan</t>
        </is>
      </c>
      <c r="C398" t="inlineStr">
        <is>
          <t>Annan skogsbruksåtgärd</t>
        </is>
      </c>
      <c r="D398" s="1" t="n">
        <v>46170</v>
      </c>
      <c r="E398" s="1" t="n">
        <v>46309</v>
      </c>
      <c r="F398" t="inlineStr">
        <is>
          <t>UPPSALA LÄN</t>
        </is>
      </c>
      <c r="G398" t="inlineStr">
        <is>
          <t>ENKÖPING</t>
        </is>
      </c>
      <c r="I398" t="n">
        <v>0.4</v>
      </c>
      <c r="J398" t="n">
        <v>1</v>
      </c>
      <c r="K398" t="n">
        <v>1</v>
      </c>
      <c r="L398" t="n">
        <v>1</v>
      </c>
      <c r="M398" t="n">
        <v>0</v>
      </c>
      <c r="N398" t="n">
        <v>1</v>
      </c>
      <c r="O398" t="n">
        <v>0</v>
      </c>
      <c r="P398" t="n">
        <v>0</v>
      </c>
      <c r="Q398" t="n">
        <v>2</v>
      </c>
      <c r="R398" t="n">
        <v>1</v>
      </c>
      <c r="S398" t="n">
        <v>3</v>
      </c>
      <c r="T398" t="n">
        <v>7</v>
      </c>
      <c r="U398" t="n">
        <v>0</v>
      </c>
      <c r="V398" s="2" t="inlineStr">
        <is>
          <t>Bombmurkla
Fyrflikig jordstjärna
Grönpyrola</t>
        </is>
      </c>
      <c r="W398">
        <f>HYPERLINK("https://klasma.github.io/Logging_0381/artfynd/S 1584-2026 artfynd.xlsx", "S 1584-2026")</f>
        <v/>
      </c>
      <c r="X398">
        <f>HYPERLINK("https://klasma.github.io/Logging_0381/kartor/S 1584-2026 karta.png", "S 1584-2026")</f>
        <v/>
      </c>
      <c r="Y398">
        <f>HYPERLINK("https://klasma.github.io/Logging_0381/kartor_geotiff/S 1584-2026 georefererad karta.tif", "S 1584-2026")</f>
        <v/>
      </c>
      <c r="AA398">
        <f>HYPERLINK("https://klasma.github.io/Logging_0381/klagomål/S 1584-2026 FSC-klagomål.docx", "S 1584-2026")</f>
        <v/>
      </c>
      <c r="AB398">
        <f>HYPERLINK("https://klasma.github.io/Logging_0381/klagomålsmail/S 1584-2026 FSC-klagomål mail.docx", "S 1584-2026")</f>
        <v/>
      </c>
      <c r="AC398">
        <f>HYPERLINK("https://klasma.github.io/Logging_0381/tillsyn/S 1584-2026 tillsynsbegäran.docx", "S 1584-2026")</f>
        <v/>
      </c>
      <c r="AD398">
        <f>HYPERLINK("https://klasma.github.io/Logging_0381/tillsynsmail/S 1584-2026 tillsynsbegäran mail.docx", "S 1584-2026")</f>
        <v/>
      </c>
    </row>
    <row r="399" ht="15" customHeight="1">
      <c r="A399" t="inlineStr">
        <is>
          <t>A 60078-2021</t>
        </is>
      </c>
      <c r="B399" t="inlineStr">
        <is>
          <t>avverkningsanmälan</t>
        </is>
      </c>
      <c r="C399" t="inlineStr">
        <is>
          <t>Föryngringsavverkning</t>
        </is>
      </c>
      <c r="D399" s="1" t="n">
        <v>44495</v>
      </c>
      <c r="E399" s="1" t="n">
        <v>46309</v>
      </c>
      <c r="F399" t="inlineStr">
        <is>
          <t>UPPSALA LÄN</t>
        </is>
      </c>
      <c r="G399" t="inlineStr">
        <is>
          <t>ÖSTHAMMAR</t>
        </is>
      </c>
      <c r="I399" t="n">
        <v>1.1</v>
      </c>
      <c r="J399" t="n">
        <v>0</v>
      </c>
      <c r="K399" t="n">
        <v>0</v>
      </c>
      <c r="L399" t="n">
        <v>1</v>
      </c>
      <c r="M399" t="n">
        <v>0</v>
      </c>
      <c r="N399" t="n">
        <v>1</v>
      </c>
      <c r="O399" t="n">
        <v>0</v>
      </c>
      <c r="P399" t="n">
        <v>0</v>
      </c>
      <c r="Q399" t="n">
        <v>2</v>
      </c>
      <c r="R399" t="n">
        <v>1</v>
      </c>
      <c r="S399" t="n">
        <v>2</v>
      </c>
      <c r="T399" t="n">
        <v>2</v>
      </c>
      <c r="U399" t="n">
        <v>0</v>
      </c>
      <c r="V399" s="2" t="inlineStr">
        <is>
          <t>Violgubbe
Blek fingersvamp</t>
        </is>
      </c>
      <c r="W399">
        <f>HYPERLINK("https://klasma.github.io/Logging_0382/artfynd/A 60078-2021 artfynd.xlsx", "A 60078-2021")</f>
        <v/>
      </c>
      <c r="X399">
        <f>HYPERLINK("https://klasma.github.io/Logging_0382/kartor/A 60078-2021 karta.png", "A 60078-2021")</f>
        <v/>
      </c>
      <c r="Y399">
        <f>HYPERLINK("https://klasma.github.io/Logging_0382/kartor_geotiff/A 60078-2021 georefererad karta.tif", "A 60078-2021")</f>
        <v/>
      </c>
      <c r="AA399">
        <f>HYPERLINK("https://klasma.github.io/Logging_0382/klagomål/A 60078-2021 FSC-klagomål.docx", "A 60078-2021")</f>
        <v/>
      </c>
      <c r="AB399">
        <f>HYPERLINK("https://klasma.github.io/Logging_0382/klagomålsmail/A 60078-2021 FSC-klagomål mail.docx", "A 60078-2021")</f>
        <v/>
      </c>
      <c r="AC399">
        <f>HYPERLINK("https://klasma.github.io/Logging_0382/tillsyn/A 60078-2021 tillsynsbegäran.docx", "A 60078-2021")</f>
        <v/>
      </c>
      <c r="AD399">
        <f>HYPERLINK("https://klasma.github.io/Logging_0382/tillsynsmail/A 60078-2021 tillsynsbegäran mail.docx", "A 60078-2021")</f>
        <v/>
      </c>
    </row>
    <row r="400" ht="15" customHeight="1">
      <c r="A400" t="inlineStr">
        <is>
          <t>A 65165-2021</t>
        </is>
      </c>
      <c r="B400" t="inlineStr">
        <is>
          <t>avverkningsanmälan</t>
        </is>
      </c>
      <c r="C400" t="inlineStr">
        <is>
          <t>Föryngringsavverkning</t>
        </is>
      </c>
      <c r="D400" s="1" t="n">
        <v>44515</v>
      </c>
      <c r="E400" s="1" t="n">
        <v>46309</v>
      </c>
      <c r="F400" t="inlineStr">
        <is>
          <t>UPPSALA LÄN</t>
        </is>
      </c>
      <c r="G400" t="inlineStr">
        <is>
          <t>ÖSTHAMMAR</t>
        </is>
      </c>
      <c r="H400" t="inlineStr">
        <is>
          <t>Sveaskog</t>
        </is>
      </c>
      <c r="I400" t="n">
        <v>2.8</v>
      </c>
      <c r="J400" t="n">
        <v>1</v>
      </c>
      <c r="K400" t="n">
        <v>0</v>
      </c>
      <c r="L400" t="n">
        <v>1</v>
      </c>
      <c r="M400" t="n">
        <v>0</v>
      </c>
      <c r="N400" t="n">
        <v>0</v>
      </c>
      <c r="O400" t="n">
        <v>0</v>
      </c>
      <c r="P400" t="n">
        <v>0</v>
      </c>
      <c r="Q400" t="n">
        <v>1</v>
      </c>
      <c r="R400" t="n">
        <v>0</v>
      </c>
      <c r="S400" t="n">
        <v>2</v>
      </c>
      <c r="T400" t="n">
        <v>3</v>
      </c>
      <c r="U400" t="n">
        <v>3</v>
      </c>
      <c r="V400" s="2" t="inlineStr">
        <is>
          <t>Vedtrappmossa
Spillkråka</t>
        </is>
      </c>
      <c r="W400">
        <f>HYPERLINK("https://klasma.github.io/Logging_0382/artfynd/A 65165-2021 artfynd.xlsx", "A 65165-2021")</f>
        <v/>
      </c>
      <c r="X400">
        <f>HYPERLINK("https://klasma.github.io/Logging_0382/kartor/A 65165-2021 karta.png", "A 65165-2021")</f>
        <v/>
      </c>
      <c r="Y400">
        <f>HYPERLINK("https://klasma.github.io/Logging_0382/kartor_geotiff/A 65165-2021 georefererad karta.tif", "A 65165-2021")</f>
        <v/>
      </c>
      <c r="Z400">
        <f>HYPERLINK("https://klasma.github.io/Logging_0382/knärot/A 65165-2021 karta knärot.png", "A 65165-2021")</f>
        <v/>
      </c>
      <c r="AA400">
        <f>HYPERLINK("https://klasma.github.io/Logging_0382/klagomål/A 65165-2021 FSC-klagomål.docx", "A 65165-2021")</f>
        <v/>
      </c>
      <c r="AB400">
        <f>HYPERLINK("https://klasma.github.io/Logging_0382/klagomålsmail/A 65165-2021 FSC-klagomål mail.docx", "A 65165-2021")</f>
        <v/>
      </c>
      <c r="AC400">
        <f>HYPERLINK("https://klasma.github.io/Logging_0382/tillsyn/A 65165-2021 tillsynsbegäran.docx", "A 65165-2021")</f>
        <v/>
      </c>
      <c r="AD400">
        <f>HYPERLINK("https://klasma.github.io/Logging_0382/tillsynsmail/A 65165-2021 tillsynsbegäran mail.docx", "A 65165-2021")</f>
        <v/>
      </c>
      <c r="AE400">
        <f>HYPERLINK("https://klasma.github.io/Logging_0382/fåglar/A 65165-2021 prioriterade fågelarter.docx", "A 65165-2021")</f>
        <v/>
      </c>
    </row>
    <row r="401" ht="15" customHeight="1">
      <c r="A401" t="inlineStr">
        <is>
          <t>A 47425-2022</t>
        </is>
      </c>
      <c r="B401" t="inlineStr">
        <is>
          <t>avverkningsanmälan</t>
        </is>
      </c>
      <c r="C401" t="inlineStr">
        <is>
          <t>Föryngringsavverkning</t>
        </is>
      </c>
      <c r="D401" s="1" t="n">
        <v>44851</v>
      </c>
      <c r="E401" s="1" t="n">
        <v>46309</v>
      </c>
      <c r="F401" t="inlineStr">
        <is>
          <t>UPPSALA LÄN</t>
        </is>
      </c>
      <c r="G401" t="inlineStr">
        <is>
          <t>HÅBO</t>
        </is>
      </c>
      <c r="I401" t="n">
        <v>1.7</v>
      </c>
      <c r="J401" t="n">
        <v>0</v>
      </c>
      <c r="K401" t="n">
        <v>1</v>
      </c>
      <c r="L401" t="n">
        <v>1</v>
      </c>
      <c r="M401" t="n">
        <v>0</v>
      </c>
      <c r="N401" t="n">
        <v>0</v>
      </c>
      <c r="O401" t="n">
        <v>0</v>
      </c>
      <c r="P401" t="n">
        <v>0</v>
      </c>
      <c r="Q401" t="n">
        <v>1</v>
      </c>
      <c r="R401" t="n">
        <v>0</v>
      </c>
      <c r="S401" t="n">
        <v>2</v>
      </c>
      <c r="T401" t="n">
        <v>2</v>
      </c>
      <c r="U401" t="n">
        <v>0</v>
      </c>
      <c r="V401" s="2" t="inlineStr">
        <is>
          <t>Gul dropplav
Strimspindling</t>
        </is>
      </c>
      <c r="W401">
        <f>HYPERLINK("https://klasma.github.io/Logging_0305/artfynd/A 47425-2022 artfynd.xlsx", "A 47425-2022")</f>
        <v/>
      </c>
      <c r="X401">
        <f>HYPERLINK("https://klasma.github.io/Logging_0305/kartor/A 47425-2022 karta.png", "A 47425-2022")</f>
        <v/>
      </c>
      <c r="Y401">
        <f>HYPERLINK("https://klasma.github.io/Logging_0305/kartor_geotiff/A 47425-2022 georefererad karta.tif", "A 47425-2022")</f>
        <v/>
      </c>
      <c r="AA401">
        <f>HYPERLINK("https://klasma.github.io/Logging_0305/klagomål/A 47425-2022 FSC-klagomål.docx", "A 47425-2022")</f>
        <v/>
      </c>
      <c r="AB401">
        <f>HYPERLINK("https://klasma.github.io/Logging_0305/klagomålsmail/A 47425-2022 FSC-klagomål mail.docx", "A 47425-2022")</f>
        <v/>
      </c>
      <c r="AC401">
        <f>HYPERLINK("https://klasma.github.io/Logging_0305/tillsyn/A 47425-2022 tillsynsbegäran.docx", "A 47425-2022")</f>
        <v/>
      </c>
      <c r="AD401">
        <f>HYPERLINK("https://klasma.github.io/Logging_0305/tillsynsmail/A 47425-2022 tillsynsbegäran mail.docx", "A 47425-2022")</f>
        <v/>
      </c>
    </row>
    <row r="402" ht="15" customHeight="1">
      <c r="A402" t="inlineStr">
        <is>
          <t>A 2168-2022</t>
        </is>
      </c>
      <c r="B402" t="inlineStr">
        <is>
          <t>avverkningsanmälan</t>
        </is>
      </c>
      <c r="C402" t="inlineStr">
        <is>
          <t>Föryngringsavverkning</t>
        </is>
      </c>
      <c r="D402" s="1" t="n">
        <v>44578</v>
      </c>
      <c r="E402" s="1" t="n">
        <v>46309</v>
      </c>
      <c r="F402" t="inlineStr">
        <is>
          <t>UPPSALA LÄN</t>
        </is>
      </c>
      <c r="G402" t="inlineStr">
        <is>
          <t>ÖSTHAMMAR</t>
        </is>
      </c>
      <c r="I402" t="n">
        <v>2.9</v>
      </c>
      <c r="J402" t="n">
        <v>0</v>
      </c>
      <c r="K402" t="n">
        <v>2</v>
      </c>
      <c r="L402" t="n">
        <v>0</v>
      </c>
      <c r="M402" t="n">
        <v>0</v>
      </c>
      <c r="N402" t="n">
        <v>0</v>
      </c>
      <c r="O402" t="n">
        <v>0</v>
      </c>
      <c r="P402" t="n">
        <v>0</v>
      </c>
      <c r="Q402" t="n">
        <v>0</v>
      </c>
      <c r="R402" t="n">
        <v>0</v>
      </c>
      <c r="S402" t="n">
        <v>2</v>
      </c>
      <c r="T402" t="n">
        <v>2</v>
      </c>
      <c r="U402" t="n">
        <v>0</v>
      </c>
      <c r="V402" s="2" t="inlineStr">
        <is>
          <t>Jättesvampmal
Olivspindling</t>
        </is>
      </c>
      <c r="W402">
        <f>HYPERLINK("https://klasma.github.io/Logging_0382/artfynd/A 2168-2022 artfynd.xlsx", "A 2168-2022")</f>
        <v/>
      </c>
      <c r="X402">
        <f>HYPERLINK("https://klasma.github.io/Logging_0382/kartor/A 2168-2022 karta.png", "A 2168-2022")</f>
        <v/>
      </c>
      <c r="Y402">
        <f>HYPERLINK("https://klasma.github.io/Logging_0382/kartor_geotiff/A 2168-2022 georefererad karta.tif", "A 2168-2022")</f>
        <v/>
      </c>
      <c r="AA402">
        <f>HYPERLINK("https://klasma.github.io/Logging_0382/klagomål/A 2168-2022 FSC-klagomål.docx", "A 2168-2022")</f>
        <v/>
      </c>
      <c r="AB402">
        <f>HYPERLINK("https://klasma.github.io/Logging_0382/klagomålsmail/A 2168-2022 FSC-klagomål mail.docx", "A 2168-2022")</f>
        <v/>
      </c>
      <c r="AC402">
        <f>HYPERLINK("https://klasma.github.io/Logging_0382/tillsyn/A 2168-2022 tillsynsbegäran.docx", "A 2168-2022")</f>
        <v/>
      </c>
      <c r="AD402">
        <f>HYPERLINK("https://klasma.github.io/Logging_0382/tillsynsmail/A 2168-2022 tillsynsbegäran mail.docx", "A 2168-2022")</f>
        <v/>
      </c>
    </row>
    <row r="403" ht="15" customHeight="1">
      <c r="A403" t="inlineStr">
        <is>
          <t>A 32064-2022</t>
        </is>
      </c>
      <c r="B403" t="inlineStr">
        <is>
          <t>avverkningsanmälan</t>
        </is>
      </c>
      <c r="C403" t="inlineStr">
        <is>
          <t>Föryngringsavverkning</t>
        </is>
      </c>
      <c r="D403" s="1" t="n">
        <v>44778</v>
      </c>
      <c r="E403" s="1" t="n">
        <v>46309</v>
      </c>
      <c r="F403" t="inlineStr">
        <is>
          <t>UPPSALA LÄN</t>
        </is>
      </c>
      <c r="G403" t="inlineStr">
        <is>
          <t>ÖSTHAMMAR</t>
        </is>
      </c>
      <c r="I403" t="n">
        <v>2.2</v>
      </c>
      <c r="J403" t="n">
        <v>0</v>
      </c>
      <c r="K403" t="n">
        <v>1</v>
      </c>
      <c r="L403" t="n">
        <v>0</v>
      </c>
      <c r="M403" t="n">
        <v>1</v>
      </c>
      <c r="N403" t="n">
        <v>0</v>
      </c>
      <c r="O403" t="n">
        <v>0</v>
      </c>
      <c r="P403" t="n">
        <v>0</v>
      </c>
      <c r="Q403" t="n">
        <v>1</v>
      </c>
      <c r="R403" t="n">
        <v>1</v>
      </c>
      <c r="S403" t="n">
        <v>2</v>
      </c>
      <c r="T403" t="n">
        <v>2</v>
      </c>
      <c r="U403" t="n">
        <v>2</v>
      </c>
      <c r="V403" s="2" t="inlineStr">
        <is>
          <t>Gul lammticka
Olivspindling</t>
        </is>
      </c>
      <c r="W403">
        <f>HYPERLINK("https://klasma.github.io/Logging_0382/artfynd/A 32064-2022 artfynd.xlsx", "A 32064-2022")</f>
        <v/>
      </c>
      <c r="X403">
        <f>HYPERLINK("https://klasma.github.io/Logging_0382/kartor/A 32064-2022 karta.png", "A 32064-2022")</f>
        <v/>
      </c>
      <c r="Y403">
        <f>HYPERLINK("https://klasma.github.io/Logging_0382/kartor_geotiff/A 32064-2022 georefererad karta.tif", "A 32064-2022")</f>
        <v/>
      </c>
      <c r="AA403">
        <f>HYPERLINK("https://klasma.github.io/Logging_0382/klagomål/A 32064-2022 FSC-klagomål.docx", "A 32064-2022")</f>
        <v/>
      </c>
      <c r="AB403">
        <f>HYPERLINK("https://klasma.github.io/Logging_0382/klagomålsmail/A 32064-2022 FSC-klagomål mail.docx", "A 32064-2022")</f>
        <v/>
      </c>
      <c r="AC403">
        <f>HYPERLINK("https://klasma.github.io/Logging_0382/tillsyn/A 32064-2022 tillsynsbegäran.docx", "A 32064-2022")</f>
        <v/>
      </c>
      <c r="AD403">
        <f>HYPERLINK("https://klasma.github.io/Logging_0382/tillsynsmail/A 32064-2022 tillsynsbegäran mail.docx", "A 32064-2022")</f>
        <v/>
      </c>
    </row>
    <row r="404" ht="15" customHeight="1">
      <c r="A404" t="inlineStr">
        <is>
          <t>A 46103-2023</t>
        </is>
      </c>
      <c r="B404" t="inlineStr">
        <is>
          <t>avverkningsanmälan</t>
        </is>
      </c>
      <c r="C404" t="inlineStr">
        <is>
          <t>Föryngringsavverkning</t>
        </is>
      </c>
      <c r="D404" s="1" t="n">
        <v>45190</v>
      </c>
      <c r="E404" s="1" t="n">
        <v>46309</v>
      </c>
      <c r="F404" t="inlineStr">
        <is>
          <t>UPPSALA LÄN</t>
        </is>
      </c>
      <c r="G404" t="inlineStr">
        <is>
          <t>ENKÖPING</t>
        </is>
      </c>
      <c r="I404" t="n">
        <v>4.6</v>
      </c>
      <c r="J404" t="n">
        <v>0</v>
      </c>
      <c r="K404" t="n">
        <v>0</v>
      </c>
      <c r="L404" t="n">
        <v>2</v>
      </c>
      <c r="M404" t="n">
        <v>0</v>
      </c>
      <c r="N404" t="n">
        <v>0</v>
      </c>
      <c r="O404" t="n">
        <v>0</v>
      </c>
      <c r="P404" t="n">
        <v>0</v>
      </c>
      <c r="Q404" t="n">
        <v>2</v>
      </c>
      <c r="R404" t="n">
        <v>0</v>
      </c>
      <c r="S404" t="n">
        <v>2</v>
      </c>
      <c r="T404" t="n">
        <v>4</v>
      </c>
      <c r="U404" t="n">
        <v>0</v>
      </c>
      <c r="V404" s="2" t="inlineStr">
        <is>
          <t>Backklöver
Solvända</t>
        </is>
      </c>
      <c r="W404">
        <f>HYPERLINK("https://klasma.github.io/Logging_0381/artfynd/A 46103-2023 artfynd.xlsx", "A 46103-2023")</f>
        <v/>
      </c>
      <c r="X404">
        <f>HYPERLINK("https://klasma.github.io/Logging_0381/kartor/A 46103-2023 karta.png", "A 46103-2023")</f>
        <v/>
      </c>
      <c r="Y404">
        <f>HYPERLINK("https://klasma.github.io/Logging_0381/kartor_geotiff/A 46103-2023 georefererad karta.tif", "A 46103-2023")</f>
        <v/>
      </c>
      <c r="AA404">
        <f>HYPERLINK("https://klasma.github.io/Logging_0381/klagomål/A 46103-2023 FSC-klagomål.docx", "A 46103-2023")</f>
        <v/>
      </c>
      <c r="AB404">
        <f>HYPERLINK("https://klasma.github.io/Logging_0381/klagomålsmail/A 46103-2023 FSC-klagomål mail.docx", "A 46103-2023")</f>
        <v/>
      </c>
      <c r="AC404">
        <f>HYPERLINK("https://klasma.github.io/Logging_0381/tillsyn/A 46103-2023 tillsynsbegäran.docx", "A 46103-2023")</f>
        <v/>
      </c>
      <c r="AD404">
        <f>HYPERLINK("https://klasma.github.io/Logging_0381/tillsynsmail/A 46103-2023 tillsynsbegäran mail.docx", "A 46103-2023")</f>
        <v/>
      </c>
    </row>
    <row r="405" ht="15" customHeight="1">
      <c r="A405" t="inlineStr">
        <is>
          <t>A 21422-2023</t>
        </is>
      </c>
      <c r="B405" t="inlineStr">
        <is>
          <t>avverkningsanmälan</t>
        </is>
      </c>
      <c r="C405" t="inlineStr">
        <is>
          <t>Föryngringsavverkning</t>
        </is>
      </c>
      <c r="D405" s="1" t="n">
        <v>45063</v>
      </c>
      <c r="E405" s="1" t="n">
        <v>46309</v>
      </c>
      <c r="F405" t="inlineStr">
        <is>
          <t>UPPSALA LÄN</t>
        </is>
      </c>
      <c r="G405" t="inlineStr">
        <is>
          <t>ÖSTHAMMAR</t>
        </is>
      </c>
      <c r="H405" t="inlineStr">
        <is>
          <t>Sveaskog</t>
        </is>
      </c>
      <c r="I405" t="n">
        <v>2.8</v>
      </c>
      <c r="J405" t="n">
        <v>2</v>
      </c>
      <c r="K405" t="n">
        <v>0</v>
      </c>
      <c r="L405" t="n">
        <v>1</v>
      </c>
      <c r="M405" t="n">
        <v>0</v>
      </c>
      <c r="N405" t="n">
        <v>0</v>
      </c>
      <c r="O405" t="n">
        <v>0</v>
      </c>
      <c r="P405" t="n">
        <v>0</v>
      </c>
      <c r="Q405" t="n">
        <v>1</v>
      </c>
      <c r="R405" t="n">
        <v>0</v>
      </c>
      <c r="S405" t="n">
        <v>2</v>
      </c>
      <c r="T405" t="n">
        <v>5</v>
      </c>
      <c r="U405" t="n">
        <v>0</v>
      </c>
      <c r="V405" s="2" t="inlineStr">
        <is>
          <t>Nordfladdermus
Dvärgpipistrell</t>
        </is>
      </c>
      <c r="W405">
        <f>HYPERLINK("https://klasma.github.io/Logging_0382/artfynd/A 21422-2023 artfynd.xlsx", "A 21422-2023")</f>
        <v/>
      </c>
      <c r="X405">
        <f>HYPERLINK("https://klasma.github.io/Logging_0382/kartor/A 21422-2023 karta.png", "A 21422-2023")</f>
        <v/>
      </c>
      <c r="Y405">
        <f>HYPERLINK("https://klasma.github.io/Logging_0382/kartor_geotiff/A 21422-2023 georefererad karta.tif", "A 21422-2023")</f>
        <v/>
      </c>
      <c r="AA405">
        <f>HYPERLINK("https://klasma.github.io/Logging_0382/klagomål/A 21422-2023 FSC-klagomål.docx", "A 21422-2023")</f>
        <v/>
      </c>
      <c r="AB405">
        <f>HYPERLINK("https://klasma.github.io/Logging_0382/klagomålsmail/A 21422-2023 FSC-klagomål mail.docx", "A 21422-2023")</f>
        <v/>
      </c>
      <c r="AC405">
        <f>HYPERLINK("https://klasma.github.io/Logging_0382/tillsyn/A 21422-2023 tillsynsbegäran.docx", "A 21422-2023")</f>
        <v/>
      </c>
      <c r="AD405">
        <f>HYPERLINK("https://klasma.github.io/Logging_0382/tillsynsmail/A 21422-2023 tillsynsbegäran mail.docx", "A 21422-2023")</f>
        <v/>
      </c>
    </row>
    <row r="406" ht="15" customHeight="1">
      <c r="A406" t="inlineStr">
        <is>
          <t>A 18539-2024</t>
        </is>
      </c>
      <c r="B406" t="inlineStr">
        <is>
          <t>avverkningsanmälan</t>
        </is>
      </c>
      <c r="C406" t="inlineStr">
        <is>
          <t>Föryngringsavverkning</t>
        </is>
      </c>
      <c r="D406" s="1" t="n">
        <v>45425</v>
      </c>
      <c r="E406" s="1" t="n">
        <v>46309</v>
      </c>
      <c r="F406" t="inlineStr">
        <is>
          <t>UPPSALA LÄN</t>
        </is>
      </c>
      <c r="G406" t="inlineStr">
        <is>
          <t>ÖSTHAMMAR</t>
        </is>
      </c>
      <c r="I406" t="n">
        <v>4.7</v>
      </c>
      <c r="J406" t="n">
        <v>0</v>
      </c>
      <c r="K406" t="n">
        <v>2</v>
      </c>
      <c r="L406" t="n">
        <v>0</v>
      </c>
      <c r="M406" t="n">
        <v>0</v>
      </c>
      <c r="N406" t="n">
        <v>0</v>
      </c>
      <c r="O406" t="n">
        <v>0</v>
      </c>
      <c r="P406" t="n">
        <v>0</v>
      </c>
      <c r="Q406" t="n">
        <v>0</v>
      </c>
      <c r="R406" t="n">
        <v>0</v>
      </c>
      <c r="S406" t="n">
        <v>2</v>
      </c>
      <c r="T406" t="n">
        <v>3</v>
      </c>
      <c r="U406" t="n">
        <v>3</v>
      </c>
      <c r="V406" s="2" t="inlineStr">
        <is>
          <t>Bronshjon
Vågbandad barkbock</t>
        </is>
      </c>
      <c r="W406">
        <f>HYPERLINK("https://klasma.github.io/Logging_0382/artfynd/A 18539-2024 artfynd.xlsx", "A 18539-2024")</f>
        <v/>
      </c>
      <c r="X406">
        <f>HYPERLINK("https://klasma.github.io/Logging_0382/kartor/A 18539-2024 karta.png", "A 18539-2024")</f>
        <v/>
      </c>
      <c r="Y406">
        <f>HYPERLINK("https://klasma.github.io/Logging_0382/kartor_geotiff/A 18539-2024 georefererad karta.tif", "A 18539-2024")</f>
        <v/>
      </c>
      <c r="AA406">
        <f>HYPERLINK("https://klasma.github.io/Logging_0382/klagomål/A 18539-2024 FSC-klagomål.docx", "A 18539-2024")</f>
        <v/>
      </c>
      <c r="AB406">
        <f>HYPERLINK("https://klasma.github.io/Logging_0382/klagomålsmail/A 18539-2024 FSC-klagomål mail.docx", "A 18539-2024")</f>
        <v/>
      </c>
      <c r="AC406">
        <f>HYPERLINK("https://klasma.github.io/Logging_0382/tillsyn/A 18539-2024 tillsynsbegäran.docx", "A 18539-2024")</f>
        <v/>
      </c>
      <c r="AD406">
        <f>HYPERLINK("https://klasma.github.io/Logging_0382/tillsynsmail/A 18539-2024 tillsynsbegäran mail.docx", "A 18539-2024")</f>
        <v/>
      </c>
    </row>
    <row r="407" ht="15" customHeight="1">
      <c r="A407" t="inlineStr">
        <is>
          <t>A 5750-2023</t>
        </is>
      </c>
      <c r="B407" t="inlineStr">
        <is>
          <t>avverkningsanmälan</t>
        </is>
      </c>
      <c r="C407" t="inlineStr">
        <is>
          <t>Föryngringsavverkning</t>
        </is>
      </c>
      <c r="D407" s="1" t="n">
        <v>44963</v>
      </c>
      <c r="E407" s="1" t="n">
        <v>46309</v>
      </c>
      <c r="F407" t="inlineStr">
        <is>
          <t>UPPSALA LÄN</t>
        </is>
      </c>
      <c r="G407" t="inlineStr">
        <is>
          <t>UPPSALA</t>
        </is>
      </c>
      <c r="I407" t="n">
        <v>13.8</v>
      </c>
      <c r="J407" t="n">
        <v>0</v>
      </c>
      <c r="K407" t="n">
        <v>1</v>
      </c>
      <c r="L407" t="n">
        <v>0</v>
      </c>
      <c r="M407" t="n">
        <v>1</v>
      </c>
      <c r="N407" t="n">
        <v>0</v>
      </c>
      <c r="O407" t="n">
        <v>0</v>
      </c>
      <c r="P407" t="n">
        <v>0</v>
      </c>
      <c r="Q407" t="n">
        <v>1</v>
      </c>
      <c r="R407" t="n">
        <v>1</v>
      </c>
      <c r="S407" t="n">
        <v>2</v>
      </c>
      <c r="T407" t="n">
        <v>3</v>
      </c>
      <c r="U407" t="n">
        <v>1</v>
      </c>
      <c r="V407" s="2" t="inlineStr">
        <is>
          <t>Raggbock
Bårdlav</t>
        </is>
      </c>
      <c r="W407">
        <f>HYPERLINK("https://klasma.github.io/Logging_0380/artfynd/A 5750-2023 artfynd.xlsx", "A 5750-2023")</f>
        <v/>
      </c>
      <c r="X407">
        <f>HYPERLINK("https://klasma.github.io/Logging_0380/kartor/A 5750-2023 karta.png", "A 5750-2023")</f>
        <v/>
      </c>
      <c r="Y407">
        <f>HYPERLINK("https://klasma.github.io/Logging_0380/kartor_geotiff/A 5750-2023 georefererad karta.tif", "A 5750-2023")</f>
        <v/>
      </c>
      <c r="AA407">
        <f>HYPERLINK("https://klasma.github.io/Logging_0380/klagomål/A 5750-2023 FSC-klagomål.docx", "A 5750-2023")</f>
        <v/>
      </c>
      <c r="AB407">
        <f>HYPERLINK("https://klasma.github.io/Logging_0380/klagomålsmail/A 5750-2023 FSC-klagomål mail.docx", "A 5750-2023")</f>
        <v/>
      </c>
      <c r="AC407">
        <f>HYPERLINK("https://klasma.github.io/Logging_0380/tillsyn/A 5750-2023 tillsynsbegäran.docx", "A 5750-2023")</f>
        <v/>
      </c>
      <c r="AD407">
        <f>HYPERLINK("https://klasma.github.io/Logging_0380/tillsynsmail/A 5750-2023 tillsynsbegäran mail.docx", "A 5750-2023")</f>
        <v/>
      </c>
    </row>
    <row r="408" ht="15" customHeight="1">
      <c r="A408" t="inlineStr">
        <is>
          <t>A 2554-2024</t>
        </is>
      </c>
      <c r="B408" t="inlineStr">
        <is>
          <t>avverkningsanmälan</t>
        </is>
      </c>
      <c r="C408" t="inlineStr">
        <is>
          <t>Föryngringsavverkning</t>
        </is>
      </c>
      <c r="D408" s="1" t="n">
        <v>45313</v>
      </c>
      <c r="E408" s="1" t="n">
        <v>46309</v>
      </c>
      <c r="F408" t="inlineStr">
        <is>
          <t>UPPSALA LÄN</t>
        </is>
      </c>
      <c r="G408" t="inlineStr">
        <is>
          <t>HEBY</t>
        </is>
      </c>
      <c r="I408" t="n">
        <v>2.4</v>
      </c>
      <c r="J408" t="n">
        <v>1</v>
      </c>
      <c r="K408" t="n">
        <v>0</v>
      </c>
      <c r="L408" t="n">
        <v>1</v>
      </c>
      <c r="M408" t="n">
        <v>1</v>
      </c>
      <c r="N408" t="n">
        <v>0</v>
      </c>
      <c r="O408" t="n">
        <v>0</v>
      </c>
      <c r="P408" t="n">
        <v>0</v>
      </c>
      <c r="Q408" t="n">
        <v>2</v>
      </c>
      <c r="R408" t="n">
        <v>1</v>
      </c>
      <c r="S408" t="n">
        <v>2</v>
      </c>
      <c r="T408" t="n">
        <v>3</v>
      </c>
      <c r="U408" t="n">
        <v>1</v>
      </c>
      <c r="V408" s="2" t="inlineStr">
        <is>
          <t>Knärot
Motaggsvamp</t>
        </is>
      </c>
      <c r="W408">
        <f>HYPERLINK("https://klasma.github.io/Logging_0331/artfynd/A 2554-2024 artfynd.xlsx", "A 2554-2024")</f>
        <v/>
      </c>
      <c r="X408">
        <f>HYPERLINK("https://klasma.github.io/Logging_0331/kartor/A 2554-2024 karta.png", "A 2554-2024")</f>
        <v/>
      </c>
      <c r="Y408">
        <f>HYPERLINK("https://klasma.github.io/Logging_0331/kartor_geotiff/A 2554-2024 georefererad karta.tif", "A 2554-2024")</f>
        <v/>
      </c>
      <c r="Z408">
        <f>HYPERLINK("https://klasma.github.io/Logging_0331/knärot/A 2554-2024 karta knärot.png", "A 2554-2024")</f>
        <v/>
      </c>
      <c r="AA408">
        <f>HYPERLINK("https://klasma.github.io/Logging_0331/klagomål/A 2554-2024 FSC-klagomål.docx", "A 2554-2024")</f>
        <v/>
      </c>
      <c r="AB408">
        <f>HYPERLINK("https://klasma.github.io/Logging_0331/klagomålsmail/A 2554-2024 FSC-klagomål mail.docx", "A 2554-2024")</f>
        <v/>
      </c>
      <c r="AC408">
        <f>HYPERLINK("https://klasma.github.io/Logging_0331/tillsyn/A 2554-2024 tillsynsbegäran.docx", "A 2554-2024")</f>
        <v/>
      </c>
      <c r="AD408">
        <f>HYPERLINK("https://klasma.github.io/Logging_0331/tillsynsmail/A 2554-2024 tillsynsbegäran mail.docx", "A 2554-2024")</f>
        <v/>
      </c>
    </row>
    <row r="409" ht="15" customHeight="1">
      <c r="A409" t="inlineStr">
        <is>
          <t>A 25729-2024</t>
        </is>
      </c>
      <c r="B409" t="inlineStr">
        <is>
          <t>avverkningsanmälan</t>
        </is>
      </c>
      <c r="C409" t="inlineStr">
        <is>
          <t>Föryngringsavverkning</t>
        </is>
      </c>
      <c r="D409" s="1" t="n">
        <v>45464</v>
      </c>
      <c r="E409" s="1" t="n">
        <v>46309</v>
      </c>
      <c r="F409" t="inlineStr">
        <is>
          <t>UPPSALA LÄN</t>
        </is>
      </c>
      <c r="G409" t="inlineStr">
        <is>
          <t>UPPSALA</t>
        </is>
      </c>
      <c r="I409" t="n">
        <v>22.3</v>
      </c>
      <c r="J409" t="n">
        <v>0</v>
      </c>
      <c r="K409" t="n">
        <v>1</v>
      </c>
      <c r="L409" t="n">
        <v>1</v>
      </c>
      <c r="M409" t="n">
        <v>0</v>
      </c>
      <c r="N409" t="n">
        <v>0</v>
      </c>
      <c r="O409" t="n">
        <v>0</v>
      </c>
      <c r="P409" t="n">
        <v>0</v>
      </c>
      <c r="Q409" t="n">
        <v>1</v>
      </c>
      <c r="R409" t="n">
        <v>0</v>
      </c>
      <c r="S409" t="n">
        <v>2</v>
      </c>
      <c r="T409" t="n">
        <v>2</v>
      </c>
      <c r="U409" t="n">
        <v>0</v>
      </c>
      <c r="V409" s="2" t="inlineStr">
        <is>
          <t>Ullticka
Bronshjon</t>
        </is>
      </c>
      <c r="W409">
        <f>HYPERLINK("https://klasma.github.io/Logging_0380/artfynd/A 25729-2024 artfynd.xlsx", "A 25729-2024")</f>
        <v/>
      </c>
      <c r="X409">
        <f>HYPERLINK("https://klasma.github.io/Logging_0380/kartor/A 25729-2024 karta.png", "A 25729-2024")</f>
        <v/>
      </c>
      <c r="Y409">
        <f>HYPERLINK("https://klasma.github.io/Logging_0380/kartor_geotiff/A 25729-2024 georefererad karta.tif", "A 25729-2024")</f>
        <v/>
      </c>
      <c r="AA409">
        <f>HYPERLINK("https://klasma.github.io/Logging_0380/klagomål/A 25729-2024 FSC-klagomål.docx", "A 25729-2024")</f>
        <v/>
      </c>
      <c r="AB409">
        <f>HYPERLINK("https://klasma.github.io/Logging_0380/klagomålsmail/A 25729-2024 FSC-klagomål mail.docx", "A 25729-2024")</f>
        <v/>
      </c>
      <c r="AC409">
        <f>HYPERLINK("https://klasma.github.io/Logging_0380/tillsyn/A 25729-2024 tillsynsbegäran.docx", "A 25729-2024")</f>
        <v/>
      </c>
      <c r="AD409">
        <f>HYPERLINK("https://klasma.github.io/Logging_0380/tillsynsmail/A 25729-2024 tillsynsbegäran mail.docx", "A 25729-2024")</f>
        <v/>
      </c>
    </row>
    <row r="410" ht="15" customHeight="1">
      <c r="A410" t="inlineStr">
        <is>
          <t>A 54666-2022</t>
        </is>
      </c>
      <c r="B410" t="inlineStr">
        <is>
          <t>avverkningsanmälan</t>
        </is>
      </c>
      <c r="C410" t="inlineStr">
        <is>
          <t>Föryngringsavverkning</t>
        </is>
      </c>
      <c r="D410" s="1" t="n">
        <v>44883</v>
      </c>
      <c r="E410" s="1" t="n">
        <v>46309</v>
      </c>
      <c r="F410" t="inlineStr">
        <is>
          <t>UPPSALA LÄN</t>
        </is>
      </c>
      <c r="G410" t="inlineStr">
        <is>
          <t>ÖSTHAMMAR</t>
        </is>
      </c>
      <c r="I410" t="n">
        <v>14.3</v>
      </c>
      <c r="J410" t="n">
        <v>0</v>
      </c>
      <c r="K410" t="n">
        <v>1</v>
      </c>
      <c r="L410" t="n">
        <v>0</v>
      </c>
      <c r="M410" t="n">
        <v>0</v>
      </c>
      <c r="N410" t="n">
        <v>0</v>
      </c>
      <c r="O410" t="n">
        <v>0</v>
      </c>
      <c r="P410" t="n">
        <v>0</v>
      </c>
      <c r="Q410" t="n">
        <v>0</v>
      </c>
      <c r="R410" t="n">
        <v>0</v>
      </c>
      <c r="S410" t="n">
        <v>2</v>
      </c>
      <c r="T410" t="n">
        <v>2</v>
      </c>
      <c r="U410" t="n">
        <v>1</v>
      </c>
      <c r="V410" s="2" t="inlineStr">
        <is>
          <t>Kamjordstjärna
Repestarr</t>
        </is>
      </c>
      <c r="W410">
        <f>HYPERLINK("https://klasma.github.io/Logging_0382/artfynd/A 54666-2022 artfynd.xlsx", "A 54666-2022")</f>
        <v/>
      </c>
      <c r="X410">
        <f>HYPERLINK("https://klasma.github.io/Logging_0382/kartor/A 54666-2022 karta.png", "A 54666-2022")</f>
        <v/>
      </c>
      <c r="Y410">
        <f>HYPERLINK("https://klasma.github.io/Logging_0382/kartor_geotiff/A 54666-2022 georefererad karta.tif", "A 54666-2022")</f>
        <v/>
      </c>
      <c r="AA410">
        <f>HYPERLINK("https://klasma.github.io/Logging_0382/klagomål/A 54666-2022 FSC-klagomål.docx", "A 54666-2022")</f>
        <v/>
      </c>
      <c r="AB410">
        <f>HYPERLINK("https://klasma.github.io/Logging_0382/klagomålsmail/A 54666-2022 FSC-klagomål mail.docx", "A 54666-2022")</f>
        <v/>
      </c>
      <c r="AC410">
        <f>HYPERLINK("https://klasma.github.io/Logging_0382/tillsyn/A 54666-2022 tillsynsbegäran.docx", "A 54666-2022")</f>
        <v/>
      </c>
      <c r="AD410">
        <f>HYPERLINK("https://klasma.github.io/Logging_0382/tillsynsmail/A 54666-2022 tillsynsbegäran mail.docx", "A 54666-2022")</f>
        <v/>
      </c>
    </row>
    <row r="411" ht="15" customHeight="1">
      <c r="A411" t="inlineStr">
        <is>
          <t>A 19539-2024</t>
        </is>
      </c>
      <c r="B411" t="inlineStr">
        <is>
          <t>avverkningsanmälan</t>
        </is>
      </c>
      <c r="C411" t="inlineStr">
        <is>
          <t>Föryngringsavverkning</t>
        </is>
      </c>
      <c r="D411" s="1" t="n">
        <v>45429</v>
      </c>
      <c r="E411" s="1" t="n">
        <v>46309</v>
      </c>
      <c r="F411" t="inlineStr">
        <is>
          <t>UPPSALA LÄN</t>
        </is>
      </c>
      <c r="G411" t="inlineStr">
        <is>
          <t>UPPSALA</t>
        </is>
      </c>
      <c r="I411" t="n">
        <v>1.9</v>
      </c>
      <c r="J411" t="n">
        <v>2</v>
      </c>
      <c r="K411" t="n">
        <v>0</v>
      </c>
      <c r="L411" t="n">
        <v>1</v>
      </c>
      <c r="M411" t="n">
        <v>1</v>
      </c>
      <c r="N411" t="n">
        <v>0</v>
      </c>
      <c r="O411" t="n">
        <v>0</v>
      </c>
      <c r="P411" t="n">
        <v>0</v>
      </c>
      <c r="Q411" t="n">
        <v>2</v>
      </c>
      <c r="R411" t="n">
        <v>1</v>
      </c>
      <c r="S411" t="n">
        <v>2</v>
      </c>
      <c r="T411" t="n">
        <v>3</v>
      </c>
      <c r="U411" t="n">
        <v>0</v>
      </c>
      <c r="V411" s="2" t="inlineStr">
        <is>
          <t>Grönfink
Gulsparv</t>
        </is>
      </c>
      <c r="W411">
        <f>HYPERLINK("https://klasma.github.io/Logging_0380/artfynd/A 19539-2024 artfynd.xlsx", "A 19539-2024")</f>
        <v/>
      </c>
      <c r="X411">
        <f>HYPERLINK("https://klasma.github.io/Logging_0380/kartor/A 19539-2024 karta.png", "A 19539-2024")</f>
        <v/>
      </c>
      <c r="Y411">
        <f>HYPERLINK("https://klasma.github.io/Logging_0380/kartor_geotiff/A 19539-2024 georefererad karta.tif", "A 19539-2024")</f>
        <v/>
      </c>
      <c r="AA411">
        <f>HYPERLINK("https://klasma.github.io/Logging_0380/klagomål/A 19539-2024 FSC-klagomål.docx", "A 19539-2024")</f>
        <v/>
      </c>
      <c r="AB411">
        <f>HYPERLINK("https://klasma.github.io/Logging_0380/klagomålsmail/A 19539-2024 FSC-klagomål mail.docx", "A 19539-2024")</f>
        <v/>
      </c>
      <c r="AC411">
        <f>HYPERLINK("https://klasma.github.io/Logging_0380/tillsyn/A 19539-2024 tillsynsbegäran.docx", "A 19539-2024")</f>
        <v/>
      </c>
      <c r="AD411">
        <f>HYPERLINK("https://klasma.github.io/Logging_0380/tillsynsmail/A 19539-2024 tillsynsbegäran mail.docx", "A 19539-2024")</f>
        <v/>
      </c>
      <c r="AE411">
        <f>HYPERLINK("https://klasma.github.io/Logging_0380/fåglar/A 19539-2024 prioriterade fågelarter.docx", "A 19539-2024")</f>
        <v/>
      </c>
    </row>
    <row r="412" ht="15" customHeight="1">
      <c r="A412" t="inlineStr">
        <is>
          <t>A 41219-2025</t>
        </is>
      </c>
      <c r="B412" t="inlineStr">
        <is>
          <t>avverkningsanmälan</t>
        </is>
      </c>
      <c r="C412" t="inlineStr">
        <is>
          <t>Föryngringsavverkning</t>
        </is>
      </c>
      <c r="D412" s="1" t="n">
        <v>45898</v>
      </c>
      <c r="E412" s="1" t="n">
        <v>46309</v>
      </c>
      <c r="F412" t="inlineStr">
        <is>
          <t>UPPSALA LÄN</t>
        </is>
      </c>
      <c r="G412" t="inlineStr">
        <is>
          <t>HEBY</t>
        </is>
      </c>
      <c r="H412" t="inlineStr">
        <is>
          <t>Bergvik skog väst AB</t>
        </is>
      </c>
      <c r="I412" t="n">
        <v>22.2</v>
      </c>
      <c r="J412" t="n">
        <v>0</v>
      </c>
      <c r="K412" t="n">
        <v>0</v>
      </c>
      <c r="L412" t="n">
        <v>1</v>
      </c>
      <c r="M412" t="n">
        <v>1</v>
      </c>
      <c r="N412" t="n">
        <v>0</v>
      </c>
      <c r="O412" t="n">
        <v>0</v>
      </c>
      <c r="P412" t="n">
        <v>0</v>
      </c>
      <c r="Q412" t="n">
        <v>2</v>
      </c>
      <c r="R412" t="n">
        <v>1</v>
      </c>
      <c r="S412" t="n">
        <v>2</v>
      </c>
      <c r="T412" t="n">
        <v>8</v>
      </c>
      <c r="U412" t="n">
        <v>0</v>
      </c>
      <c r="V412" s="2" t="inlineStr">
        <is>
          <t>Lammticka
Motaggsvamp</t>
        </is>
      </c>
      <c r="W412">
        <f>HYPERLINK("https://klasma.github.io/Logging_0331/artfynd/A 41219-2025 artfynd.xlsx", "A 41219-2025")</f>
        <v/>
      </c>
      <c r="X412">
        <f>HYPERLINK("https://klasma.github.io/Logging_0331/kartor/A 41219-2025 karta.png", "A 41219-2025")</f>
        <v/>
      </c>
      <c r="Y412">
        <f>HYPERLINK("https://klasma.github.io/Logging_0331/kartor_geotiff/A 41219-2025 georefererad karta.tif", "A 41219-2025")</f>
        <v/>
      </c>
      <c r="AA412">
        <f>HYPERLINK("https://klasma.github.io/Logging_0331/klagomål/A 41219-2025 FSC-klagomål.docx", "A 41219-2025")</f>
        <v/>
      </c>
      <c r="AB412">
        <f>HYPERLINK("https://klasma.github.io/Logging_0331/klagomålsmail/A 41219-2025 FSC-klagomål mail.docx", "A 41219-2025")</f>
        <v/>
      </c>
      <c r="AC412">
        <f>HYPERLINK("https://klasma.github.io/Logging_0331/tillsyn/A 41219-2025 tillsynsbegäran.docx", "A 41219-2025")</f>
        <v/>
      </c>
      <c r="AD412">
        <f>HYPERLINK("https://klasma.github.io/Logging_0331/tillsynsmail/A 41219-2025 tillsynsbegäran mail.docx", "A 41219-2025")</f>
        <v/>
      </c>
    </row>
    <row r="413" ht="15" customHeight="1">
      <c r="A413" t="inlineStr">
        <is>
          <t>A 15739-2025</t>
        </is>
      </c>
      <c r="B413" t="inlineStr">
        <is>
          <t>avverkningsanmälan</t>
        </is>
      </c>
      <c r="C413" t="inlineStr">
        <is>
          <t>Föryngringsavverkning</t>
        </is>
      </c>
      <c r="D413" s="1" t="n">
        <v>45748</v>
      </c>
      <c r="E413" s="1" t="n">
        <v>46309</v>
      </c>
      <c r="F413" t="inlineStr">
        <is>
          <t>UPPSALA LÄN</t>
        </is>
      </c>
      <c r="G413" t="inlineStr">
        <is>
          <t>ÄLVKARLEBY</t>
        </is>
      </c>
      <c r="H413" t="inlineStr">
        <is>
          <t>Kyrkan</t>
        </is>
      </c>
      <c r="I413" t="n">
        <v>2.4</v>
      </c>
      <c r="J413" t="n">
        <v>0</v>
      </c>
      <c r="K413" t="n">
        <v>0</v>
      </c>
      <c r="L413" t="n">
        <v>2</v>
      </c>
      <c r="M413" t="n">
        <v>0</v>
      </c>
      <c r="N413" t="n">
        <v>0</v>
      </c>
      <c r="O413" t="n">
        <v>0</v>
      </c>
      <c r="P413" t="n">
        <v>0</v>
      </c>
      <c r="Q413" t="n">
        <v>2</v>
      </c>
      <c r="R413" t="n">
        <v>0</v>
      </c>
      <c r="S413" t="n">
        <v>2</v>
      </c>
      <c r="T413" t="n">
        <v>7</v>
      </c>
      <c r="U413" t="n">
        <v>0</v>
      </c>
      <c r="V413" s="2" t="inlineStr">
        <is>
          <t>Brunklöver
Slåtterfibbla</t>
        </is>
      </c>
      <c r="W413">
        <f>HYPERLINK("https://klasma.github.io/Logging_0319/artfynd/A 15739-2025 artfynd.xlsx", "A 15739-2025")</f>
        <v/>
      </c>
      <c r="X413">
        <f>HYPERLINK("https://klasma.github.io/Logging_0319/kartor/A 15739-2025 karta.png", "A 15739-2025")</f>
        <v/>
      </c>
      <c r="Y413">
        <f>HYPERLINK("https://klasma.github.io/Logging_0319/kartor_geotiff/A 15739-2025 georefererad karta.tif", "A 15739-2025")</f>
        <v/>
      </c>
      <c r="AA413">
        <f>HYPERLINK("https://klasma.github.io/Logging_0319/klagomål/A 15739-2025 FSC-klagomål.docx", "A 15739-2025")</f>
        <v/>
      </c>
      <c r="AB413">
        <f>HYPERLINK("https://klasma.github.io/Logging_0319/klagomålsmail/A 15739-2025 FSC-klagomål mail.docx", "A 15739-2025")</f>
        <v/>
      </c>
      <c r="AC413">
        <f>HYPERLINK("https://klasma.github.io/Logging_0319/tillsyn/A 15739-2025 tillsynsbegäran.docx", "A 15739-2025")</f>
        <v/>
      </c>
      <c r="AD413">
        <f>HYPERLINK("https://klasma.github.io/Logging_0319/tillsynsmail/A 15739-2025 tillsynsbegäran mail.docx", "A 15739-2025")</f>
        <v/>
      </c>
    </row>
    <row r="414" ht="15" customHeight="1">
      <c r="A414" t="inlineStr">
        <is>
          <t>A 41699-2025</t>
        </is>
      </c>
      <c r="B414" t="inlineStr">
        <is>
          <t>avverkningsanmälan</t>
        </is>
      </c>
      <c r="C414" t="inlineStr">
        <is>
          <t>Föryngringsavverkning</t>
        </is>
      </c>
      <c r="D414" s="1" t="n">
        <v>45902</v>
      </c>
      <c r="E414" s="1" t="n">
        <v>46309</v>
      </c>
      <c r="F414" t="inlineStr">
        <is>
          <t>UPPSALA LÄN</t>
        </is>
      </c>
      <c r="G414" t="inlineStr">
        <is>
          <t>TIERP</t>
        </is>
      </c>
      <c r="I414" t="n">
        <v>1</v>
      </c>
      <c r="J414" t="n">
        <v>0</v>
      </c>
      <c r="K414" t="n">
        <v>1</v>
      </c>
      <c r="L414" t="n">
        <v>0</v>
      </c>
      <c r="M414" t="n">
        <v>1</v>
      </c>
      <c r="N414" t="n">
        <v>0</v>
      </c>
      <c r="O414" t="n">
        <v>0</v>
      </c>
      <c r="P414" t="n">
        <v>0</v>
      </c>
      <c r="Q414" t="n">
        <v>1</v>
      </c>
      <c r="R414" t="n">
        <v>1</v>
      </c>
      <c r="S414" t="n">
        <v>2</v>
      </c>
      <c r="T414" t="n">
        <v>2</v>
      </c>
      <c r="U414" t="n">
        <v>0</v>
      </c>
      <c r="V414" s="2" t="inlineStr">
        <is>
          <t>Duvspindling
Olivspindling</t>
        </is>
      </c>
      <c r="W414">
        <f>HYPERLINK("https://klasma.github.io/Logging_0360/artfynd/A 41699-2025 artfynd.xlsx", "A 41699-2025")</f>
        <v/>
      </c>
      <c r="X414">
        <f>HYPERLINK("https://klasma.github.io/Logging_0360/kartor/A 41699-2025 karta.png", "A 41699-2025")</f>
        <v/>
      </c>
      <c r="Y414">
        <f>HYPERLINK("https://klasma.github.io/Logging_0360/kartor_geotiff/A 41699-2025 georefererad karta.tif", "A 41699-2025")</f>
        <v/>
      </c>
      <c r="AA414">
        <f>HYPERLINK("https://klasma.github.io/Logging_0360/klagomål/A 41699-2025 FSC-klagomål.docx", "A 41699-2025")</f>
        <v/>
      </c>
      <c r="AB414">
        <f>HYPERLINK("https://klasma.github.io/Logging_0360/klagomålsmail/A 41699-2025 FSC-klagomål mail.docx", "A 41699-2025")</f>
        <v/>
      </c>
      <c r="AC414">
        <f>HYPERLINK("https://klasma.github.io/Logging_0360/tillsyn/A 41699-2025 tillsynsbegäran.docx", "A 41699-2025")</f>
        <v/>
      </c>
      <c r="AD414">
        <f>HYPERLINK("https://klasma.github.io/Logging_0360/tillsynsmail/A 41699-2025 tillsynsbegäran mail.docx", "A 41699-2025")</f>
        <v/>
      </c>
    </row>
    <row r="415" ht="15" customHeight="1">
      <c r="A415" t="inlineStr">
        <is>
          <t>A 39018-2024</t>
        </is>
      </c>
      <c r="B415" t="inlineStr">
        <is>
          <t>avverkningsanmälan</t>
        </is>
      </c>
      <c r="C415" t="inlineStr">
        <is>
          <t>Föryngringsavverkning</t>
        </is>
      </c>
      <c r="D415" s="1" t="n">
        <v>45548</v>
      </c>
      <c r="E415" s="1" t="n">
        <v>46309</v>
      </c>
      <c r="F415" t="inlineStr">
        <is>
          <t>UPPSALA LÄN</t>
        </is>
      </c>
      <c r="G415" t="inlineStr">
        <is>
          <t>TIERP</t>
        </is>
      </c>
      <c r="H415" t="inlineStr">
        <is>
          <t>Bergvik skog öst AB</t>
        </is>
      </c>
      <c r="I415" t="n">
        <v>19.1</v>
      </c>
      <c r="J415" t="n">
        <v>2</v>
      </c>
      <c r="K415" t="n">
        <v>0</v>
      </c>
      <c r="L415" t="n">
        <v>2</v>
      </c>
      <c r="M415" t="n">
        <v>0</v>
      </c>
      <c r="N415" t="n">
        <v>0</v>
      </c>
      <c r="O415" t="n">
        <v>0</v>
      </c>
      <c r="P415" t="n">
        <v>0</v>
      </c>
      <c r="Q415" t="n">
        <v>2</v>
      </c>
      <c r="R415" t="n">
        <v>0</v>
      </c>
      <c r="S415" t="n">
        <v>2</v>
      </c>
      <c r="T415" t="n">
        <v>2</v>
      </c>
      <c r="U415" t="n">
        <v>0</v>
      </c>
      <c r="V415" s="2" t="inlineStr">
        <is>
          <t>Rödvingetrast
Talltita</t>
        </is>
      </c>
      <c r="W415">
        <f>HYPERLINK("https://klasma.github.io/Logging_0360/artfynd/A 39018-2024 artfynd.xlsx", "A 39018-2024")</f>
        <v/>
      </c>
      <c r="X415">
        <f>HYPERLINK("https://klasma.github.io/Logging_0360/kartor/A 39018-2024 karta.png", "A 39018-2024")</f>
        <v/>
      </c>
      <c r="Y415">
        <f>HYPERLINK("https://klasma.github.io/Logging_0360/kartor_geotiff/A 39018-2024 georefererad karta.tif", "A 39018-2024")</f>
        <v/>
      </c>
      <c r="AA415">
        <f>HYPERLINK("https://klasma.github.io/Logging_0360/klagomål/A 39018-2024 FSC-klagomål.docx", "A 39018-2024")</f>
        <v/>
      </c>
      <c r="AB415">
        <f>HYPERLINK("https://klasma.github.io/Logging_0360/klagomålsmail/A 39018-2024 FSC-klagomål mail.docx", "A 39018-2024")</f>
        <v/>
      </c>
      <c r="AC415">
        <f>HYPERLINK("https://klasma.github.io/Logging_0360/tillsyn/A 39018-2024 tillsynsbegäran.docx", "A 39018-2024")</f>
        <v/>
      </c>
      <c r="AD415">
        <f>HYPERLINK("https://klasma.github.io/Logging_0360/tillsynsmail/A 39018-2024 tillsynsbegäran mail.docx", "A 39018-2024")</f>
        <v/>
      </c>
      <c r="AE415">
        <f>HYPERLINK("https://klasma.github.io/Logging_0360/fåglar/A 39018-2024 prioriterade fågelarter.docx", "A 39018-2024")</f>
        <v/>
      </c>
    </row>
    <row r="416" ht="15" customHeight="1">
      <c r="A416" t="inlineStr">
        <is>
          <t>A 64540-2023</t>
        </is>
      </c>
      <c r="B416" t="inlineStr">
        <is>
          <t>avverkningsanmälan</t>
        </is>
      </c>
      <c r="C416" t="inlineStr">
        <is>
          <t>Föryngringsavverkning</t>
        </is>
      </c>
      <c r="D416" s="1" t="n">
        <v>45281</v>
      </c>
      <c r="E416" s="1" t="n">
        <v>46309</v>
      </c>
      <c r="F416" t="inlineStr">
        <is>
          <t>UPPSALA LÄN</t>
        </is>
      </c>
      <c r="G416" t="inlineStr">
        <is>
          <t>TIERP</t>
        </is>
      </c>
      <c r="I416" t="n">
        <v>2.3</v>
      </c>
      <c r="J416" t="n">
        <v>0</v>
      </c>
      <c r="K416" t="n">
        <v>1</v>
      </c>
      <c r="L416" t="n">
        <v>1</v>
      </c>
      <c r="M416" t="n">
        <v>0</v>
      </c>
      <c r="N416" t="n">
        <v>0</v>
      </c>
      <c r="O416" t="n">
        <v>0</v>
      </c>
      <c r="P416" t="n">
        <v>0</v>
      </c>
      <c r="Q416" t="n">
        <v>1</v>
      </c>
      <c r="R416" t="n">
        <v>0</v>
      </c>
      <c r="S416" t="n">
        <v>2</v>
      </c>
      <c r="T416" t="n">
        <v>2</v>
      </c>
      <c r="U416" t="n">
        <v>0</v>
      </c>
      <c r="V416" s="2" t="inlineStr">
        <is>
          <t>Flattoppad klubbsvamp
Brandticka</t>
        </is>
      </c>
      <c r="W416">
        <f>HYPERLINK("https://klasma.github.io/Logging_0360/artfynd/A 64540-2023 artfynd.xlsx", "A 64540-2023")</f>
        <v/>
      </c>
      <c r="X416">
        <f>HYPERLINK("https://klasma.github.io/Logging_0360/kartor/A 64540-2023 karta.png", "A 64540-2023")</f>
        <v/>
      </c>
      <c r="Y416">
        <f>HYPERLINK("https://klasma.github.io/Logging_0360/kartor_geotiff/A 64540-2023 georefererad karta.tif", "A 64540-2023")</f>
        <v/>
      </c>
      <c r="AA416">
        <f>HYPERLINK("https://klasma.github.io/Logging_0360/klagomål/A 64540-2023 FSC-klagomål.docx", "A 64540-2023")</f>
        <v/>
      </c>
      <c r="AB416">
        <f>HYPERLINK("https://klasma.github.io/Logging_0360/klagomålsmail/A 64540-2023 FSC-klagomål mail.docx", "A 64540-2023")</f>
        <v/>
      </c>
      <c r="AC416">
        <f>HYPERLINK("https://klasma.github.io/Logging_0360/tillsyn/A 64540-2023 tillsynsbegäran.docx", "A 64540-2023")</f>
        <v/>
      </c>
      <c r="AD416">
        <f>HYPERLINK("https://klasma.github.io/Logging_0360/tillsynsmail/A 64540-2023 tillsynsbegäran mail.docx", "A 64540-2023")</f>
        <v/>
      </c>
    </row>
    <row r="417" ht="15" customHeight="1">
      <c r="A417" t="inlineStr">
        <is>
          <t>A 28223-2025</t>
        </is>
      </c>
      <c r="B417" t="inlineStr">
        <is>
          <t>avverkningsanmälan</t>
        </is>
      </c>
      <c r="C417" t="inlineStr">
        <is>
          <t>Föryngringsavverkning</t>
        </is>
      </c>
      <c r="D417" s="1" t="n">
        <v>45818</v>
      </c>
      <c r="E417" s="1" t="n">
        <v>46309</v>
      </c>
      <c r="F417" t="inlineStr">
        <is>
          <t>UPPSALA LÄN</t>
        </is>
      </c>
      <c r="G417" t="inlineStr">
        <is>
          <t>TIERP</t>
        </is>
      </c>
      <c r="H417" t="inlineStr">
        <is>
          <t>Bergvik skog öst AB</t>
        </is>
      </c>
      <c r="I417" t="n">
        <v>3.8</v>
      </c>
      <c r="J417" t="n">
        <v>1</v>
      </c>
      <c r="K417" t="n">
        <v>0</v>
      </c>
      <c r="L417" t="n">
        <v>2</v>
      </c>
      <c r="M417" t="n">
        <v>0</v>
      </c>
      <c r="N417" t="n">
        <v>0</v>
      </c>
      <c r="O417" t="n">
        <v>0</v>
      </c>
      <c r="P417" t="n">
        <v>0</v>
      </c>
      <c r="Q417" t="n">
        <v>2</v>
      </c>
      <c r="R417" t="n">
        <v>0</v>
      </c>
      <c r="S417" t="n">
        <v>2</v>
      </c>
      <c r="T417" t="n">
        <v>2</v>
      </c>
      <c r="U417" t="n">
        <v>0</v>
      </c>
      <c r="V417" s="2" t="inlineStr">
        <is>
          <t>Rödvingetrast
Vårärt</t>
        </is>
      </c>
      <c r="W417">
        <f>HYPERLINK("https://klasma.github.io/Logging_0360/artfynd/A 28223-2025 artfynd.xlsx", "A 28223-2025")</f>
        <v/>
      </c>
      <c r="X417">
        <f>HYPERLINK("https://klasma.github.io/Logging_0360/kartor/A 28223-2025 karta.png", "A 28223-2025")</f>
        <v/>
      </c>
      <c r="Y417">
        <f>HYPERLINK("https://klasma.github.io/Logging_0360/kartor_geotiff/A 28223-2025 georefererad karta.tif", "A 28223-2025")</f>
        <v/>
      </c>
      <c r="AA417">
        <f>HYPERLINK("https://klasma.github.io/Logging_0360/klagomål/A 28223-2025 FSC-klagomål.docx", "A 28223-2025")</f>
        <v/>
      </c>
      <c r="AB417">
        <f>HYPERLINK("https://klasma.github.io/Logging_0360/klagomålsmail/A 28223-2025 FSC-klagomål mail.docx", "A 28223-2025")</f>
        <v/>
      </c>
      <c r="AC417">
        <f>HYPERLINK("https://klasma.github.io/Logging_0360/tillsyn/A 28223-2025 tillsynsbegäran.docx", "A 28223-2025")</f>
        <v/>
      </c>
      <c r="AD417">
        <f>HYPERLINK("https://klasma.github.io/Logging_0360/tillsynsmail/A 28223-2025 tillsynsbegäran mail.docx", "A 28223-2025")</f>
        <v/>
      </c>
      <c r="AE417">
        <f>HYPERLINK("https://klasma.github.io/Logging_0360/fåglar/A 28223-2025 prioriterade fågelarter.docx", "A 28223-2025")</f>
        <v/>
      </c>
    </row>
    <row r="418" ht="15" customHeight="1">
      <c r="A418" t="inlineStr">
        <is>
          <t>A 58107-2024</t>
        </is>
      </c>
      <c r="B418" t="inlineStr">
        <is>
          <t>avverkningsanmälan</t>
        </is>
      </c>
      <c r="C418" t="inlineStr">
        <is>
          <t>Föryngringsavverkning</t>
        </is>
      </c>
      <c r="D418" s="1" t="n">
        <v>45632</v>
      </c>
      <c r="E418" s="1" t="n">
        <v>46309</v>
      </c>
      <c r="F418" t="inlineStr">
        <is>
          <t>UPPSALA LÄN</t>
        </is>
      </c>
      <c r="G418" t="inlineStr">
        <is>
          <t>TIERP</t>
        </is>
      </c>
      <c r="I418" t="n">
        <v>0.6</v>
      </c>
      <c r="J418" t="n">
        <v>2</v>
      </c>
      <c r="K418" t="n">
        <v>1</v>
      </c>
      <c r="L418" t="n">
        <v>0</v>
      </c>
      <c r="M418" t="n">
        <v>1</v>
      </c>
      <c r="N418" t="n">
        <v>0</v>
      </c>
      <c r="O418" t="n">
        <v>0</v>
      </c>
      <c r="P418" t="n">
        <v>0</v>
      </c>
      <c r="Q418" t="n">
        <v>1</v>
      </c>
      <c r="R418" t="n">
        <v>1</v>
      </c>
      <c r="S418" t="n">
        <v>2</v>
      </c>
      <c r="T418" t="n">
        <v>2</v>
      </c>
      <c r="U418" t="n">
        <v>0</v>
      </c>
      <c r="V418" s="2" t="inlineStr">
        <is>
          <t>Gulyxne
Skogsknipprot</t>
        </is>
      </c>
      <c r="W418">
        <f>HYPERLINK("https://klasma.github.io/Logging_0360/artfynd/A 58107-2024 artfynd.xlsx", "A 58107-2024")</f>
        <v/>
      </c>
      <c r="X418">
        <f>HYPERLINK("https://klasma.github.io/Logging_0360/kartor/A 58107-2024 karta.png", "A 58107-2024")</f>
        <v/>
      </c>
      <c r="Y418">
        <f>HYPERLINK("https://klasma.github.io/Logging_0360/kartor_geotiff/A 58107-2024 georefererad karta.tif", "A 58107-2024")</f>
        <v/>
      </c>
      <c r="AA418">
        <f>HYPERLINK("https://klasma.github.io/Logging_0360/klagomål/A 58107-2024 FSC-klagomål.docx", "A 58107-2024")</f>
        <v/>
      </c>
      <c r="AB418">
        <f>HYPERLINK("https://klasma.github.io/Logging_0360/klagomålsmail/A 58107-2024 FSC-klagomål mail.docx", "A 58107-2024")</f>
        <v/>
      </c>
      <c r="AC418">
        <f>HYPERLINK("https://klasma.github.io/Logging_0360/tillsyn/A 58107-2024 tillsynsbegäran.docx", "A 58107-2024")</f>
        <v/>
      </c>
      <c r="AD418">
        <f>HYPERLINK("https://klasma.github.io/Logging_0360/tillsynsmail/A 58107-2024 tillsynsbegäran mail.docx", "A 58107-2024")</f>
        <v/>
      </c>
    </row>
    <row r="419" ht="15" customHeight="1">
      <c r="A419" t="inlineStr">
        <is>
          <t>A 34859-2025</t>
        </is>
      </c>
      <c r="B419" t="inlineStr">
        <is>
          <t>avverkningsanmälan</t>
        </is>
      </c>
      <c r="C419" t="inlineStr">
        <is>
          <t>Föryngringsavverkning</t>
        </is>
      </c>
      <c r="D419" s="1" t="n">
        <v>45849</v>
      </c>
      <c r="E419" s="1" t="n">
        <v>46309</v>
      </c>
      <c r="F419" t="inlineStr">
        <is>
          <t>UPPSALA LÄN</t>
        </is>
      </c>
      <c r="G419" t="inlineStr">
        <is>
          <t>KNIVSTA</t>
        </is>
      </c>
      <c r="H419" t="inlineStr">
        <is>
          <t>Holmen skog AB</t>
        </is>
      </c>
      <c r="I419" t="n">
        <v>6.1</v>
      </c>
      <c r="J419" t="n">
        <v>0</v>
      </c>
      <c r="K419" t="n">
        <v>2</v>
      </c>
      <c r="L419" t="n">
        <v>0</v>
      </c>
      <c r="M419" t="n">
        <v>0</v>
      </c>
      <c r="N419" t="n">
        <v>0</v>
      </c>
      <c r="O419" t="n">
        <v>0</v>
      </c>
      <c r="P419" t="n">
        <v>0</v>
      </c>
      <c r="Q419" t="n">
        <v>0</v>
      </c>
      <c r="R419" t="n">
        <v>0</v>
      </c>
      <c r="S419" t="n">
        <v>2</v>
      </c>
      <c r="T419" t="n">
        <v>2</v>
      </c>
      <c r="U419" t="n">
        <v>0</v>
      </c>
      <c r="V419" s="2" t="inlineStr">
        <is>
          <t>Mörk husmossa
Rostfläck</t>
        </is>
      </c>
      <c r="W419">
        <f>HYPERLINK("https://klasma.github.io/Logging_0330/artfynd/A 34859-2025 artfynd.xlsx", "A 34859-2025")</f>
        <v/>
      </c>
      <c r="X419">
        <f>HYPERLINK("https://klasma.github.io/Logging_0330/kartor/A 34859-2025 karta.png", "A 34859-2025")</f>
        <v/>
      </c>
      <c r="Y419">
        <f>HYPERLINK("https://klasma.github.io/Logging_0330/kartor_geotiff/A 34859-2025 georefererad karta.tif", "A 34859-2025")</f>
        <v/>
      </c>
      <c r="AA419">
        <f>HYPERLINK("https://klasma.github.io/Logging_0330/klagomål/A 34859-2025 FSC-klagomål.docx", "A 34859-2025")</f>
        <v/>
      </c>
      <c r="AB419">
        <f>HYPERLINK("https://klasma.github.io/Logging_0330/klagomålsmail/A 34859-2025 FSC-klagomål mail.docx", "A 34859-2025")</f>
        <v/>
      </c>
      <c r="AC419">
        <f>HYPERLINK("https://klasma.github.io/Logging_0330/tillsyn/A 34859-2025 tillsynsbegäran.docx", "A 34859-2025")</f>
        <v/>
      </c>
      <c r="AD419">
        <f>HYPERLINK("https://klasma.github.io/Logging_0330/tillsynsmail/A 34859-2025 tillsynsbegäran mail.docx", "A 34859-2025")</f>
        <v/>
      </c>
    </row>
    <row r="420" ht="15" customHeight="1">
      <c r="A420" t="inlineStr">
        <is>
          <t>A 44675-2023</t>
        </is>
      </c>
      <c r="B420" t="inlineStr">
        <is>
          <t>avverkningsanmälan</t>
        </is>
      </c>
      <c r="C420" t="inlineStr">
        <is>
          <t>Föryngringsavverkning</t>
        </is>
      </c>
      <c r="D420" s="1" t="n">
        <v>45189</v>
      </c>
      <c r="E420" s="1" t="n">
        <v>46309</v>
      </c>
      <c r="F420" t="inlineStr">
        <is>
          <t>UPPSALA LÄN</t>
        </is>
      </c>
      <c r="G420" t="inlineStr">
        <is>
          <t>UPPSALA</t>
        </is>
      </c>
      <c r="I420" t="n">
        <v>7.1</v>
      </c>
      <c r="J420" t="n">
        <v>2</v>
      </c>
      <c r="K420" t="n">
        <v>0</v>
      </c>
      <c r="L420" t="n">
        <v>1</v>
      </c>
      <c r="M420" t="n">
        <v>1</v>
      </c>
      <c r="N420" t="n">
        <v>0</v>
      </c>
      <c r="O420" t="n">
        <v>0</v>
      </c>
      <c r="P420" t="n">
        <v>0</v>
      </c>
      <c r="Q420" t="n">
        <v>2</v>
      </c>
      <c r="R420" t="n">
        <v>1</v>
      </c>
      <c r="S420" t="n">
        <v>2</v>
      </c>
      <c r="T420" t="n">
        <v>21</v>
      </c>
      <c r="U420" t="n">
        <v>20</v>
      </c>
      <c r="V420" s="2" t="inlineStr">
        <is>
          <t>Knärot
Talltita</t>
        </is>
      </c>
      <c r="W420">
        <f>HYPERLINK("https://klasma.github.io/Logging_0380/artfynd/A 44675-2023 artfynd.xlsx", "A 44675-2023")</f>
        <v/>
      </c>
      <c r="X420">
        <f>HYPERLINK("https://klasma.github.io/Logging_0380/kartor/A 44675-2023 karta.png", "A 44675-2023")</f>
        <v/>
      </c>
      <c r="Y420">
        <f>HYPERLINK("https://klasma.github.io/Logging_0380/kartor_geotiff/A 44675-2023 georefererad karta.tif", "A 44675-2023")</f>
        <v/>
      </c>
      <c r="Z420">
        <f>HYPERLINK("https://klasma.github.io/Logging_0380/knärot/A 44675-2023 karta knärot.png", "A 44675-2023")</f>
        <v/>
      </c>
      <c r="AA420">
        <f>HYPERLINK("https://klasma.github.io/Logging_0380/klagomål/A 44675-2023 FSC-klagomål.docx", "A 44675-2023")</f>
        <v/>
      </c>
      <c r="AB420">
        <f>HYPERLINK("https://klasma.github.io/Logging_0380/klagomålsmail/A 44675-2023 FSC-klagomål mail.docx", "A 44675-2023")</f>
        <v/>
      </c>
      <c r="AC420">
        <f>HYPERLINK("https://klasma.github.io/Logging_0380/tillsyn/A 44675-2023 tillsynsbegäran.docx", "A 44675-2023")</f>
        <v/>
      </c>
      <c r="AD420">
        <f>HYPERLINK("https://klasma.github.io/Logging_0380/tillsynsmail/A 44675-2023 tillsynsbegäran mail.docx", "A 44675-2023")</f>
        <v/>
      </c>
      <c r="AE420">
        <f>HYPERLINK("https://klasma.github.io/Logging_0380/fåglar/A 44675-2023 prioriterade fågelarter.docx", "A 44675-2023")</f>
        <v/>
      </c>
    </row>
    <row r="421" ht="15" customHeight="1">
      <c r="A421" t="inlineStr">
        <is>
          <t>A 50558-2025</t>
        </is>
      </c>
      <c r="B421" t="inlineStr">
        <is>
          <t>avverkningsanmälan</t>
        </is>
      </c>
      <c r="C421" t="inlineStr">
        <is>
          <t>Avverkning för att bevara och utveckla /försöksver</t>
        </is>
      </c>
      <c r="D421" s="1" t="n">
        <v>45944</v>
      </c>
      <c r="E421" s="1" t="n">
        <v>46309</v>
      </c>
      <c r="F421" t="inlineStr">
        <is>
          <t>UPPSALA LÄN</t>
        </is>
      </c>
      <c r="G421" t="inlineStr">
        <is>
          <t>HEBY</t>
        </is>
      </c>
      <c r="I421" t="n">
        <v>2.2</v>
      </c>
      <c r="J421" t="n">
        <v>1</v>
      </c>
      <c r="K421" t="n">
        <v>1</v>
      </c>
      <c r="L421" t="n">
        <v>0</v>
      </c>
      <c r="M421" t="n">
        <v>0</v>
      </c>
      <c r="N421" t="n">
        <v>0</v>
      </c>
      <c r="O421" t="n">
        <v>0</v>
      </c>
      <c r="P421" t="n">
        <v>0</v>
      </c>
      <c r="Q421" t="n">
        <v>0</v>
      </c>
      <c r="R421" t="n">
        <v>0</v>
      </c>
      <c r="S421" t="n">
        <v>2</v>
      </c>
      <c r="T421" t="n">
        <v>2</v>
      </c>
      <c r="U421" t="n">
        <v>0</v>
      </c>
      <c r="V421" s="2" t="inlineStr">
        <is>
          <t>Thomsons trägnagare
Kungsfågel</t>
        </is>
      </c>
      <c r="W421">
        <f>HYPERLINK("https://klasma.github.io/Logging_0331/artfynd/A 50558-2025 artfynd.xlsx", "A 50558-2025")</f>
        <v/>
      </c>
      <c r="X421">
        <f>HYPERLINK("https://klasma.github.io/Logging_0331/kartor/A 50558-2025 karta.png", "A 50558-2025")</f>
        <v/>
      </c>
      <c r="Y421">
        <f>HYPERLINK("https://klasma.github.io/Logging_0331/kartor_geotiff/A 50558-2025 georefererad karta.tif", "A 50558-2025")</f>
        <v/>
      </c>
      <c r="AA421">
        <f>HYPERLINK("https://klasma.github.io/Logging_0331/klagomål/A 50558-2025 FSC-klagomål.docx", "A 50558-2025")</f>
        <v/>
      </c>
      <c r="AB421">
        <f>HYPERLINK("https://klasma.github.io/Logging_0331/klagomålsmail/A 50558-2025 FSC-klagomål mail.docx", "A 50558-2025")</f>
        <v/>
      </c>
      <c r="AC421">
        <f>HYPERLINK("https://klasma.github.io/Logging_0331/tillsyn/A 50558-2025 tillsynsbegäran.docx", "A 50558-2025")</f>
        <v/>
      </c>
      <c r="AD421">
        <f>HYPERLINK("https://klasma.github.io/Logging_0331/tillsynsmail/A 50558-2025 tillsynsbegäran mail.docx", "A 50558-2025")</f>
        <v/>
      </c>
    </row>
    <row r="422" ht="15" customHeight="1">
      <c r="A422" t="inlineStr">
        <is>
          <t>A 15040-2024</t>
        </is>
      </c>
      <c r="B422" t="inlineStr">
        <is>
          <t>avverkningsanmälan</t>
        </is>
      </c>
      <c r="C422" t="inlineStr">
        <is>
          <t>Föryngringsavverkning</t>
        </is>
      </c>
      <c r="D422" s="1" t="n">
        <v>45399</v>
      </c>
      <c r="E422" s="1" t="n">
        <v>46309</v>
      </c>
      <c r="F422" t="inlineStr">
        <is>
          <t>UPPSALA LÄN</t>
        </is>
      </c>
      <c r="G422" t="inlineStr">
        <is>
          <t>TIERP</t>
        </is>
      </c>
      <c r="I422" t="n">
        <v>7.2</v>
      </c>
      <c r="J422" t="n">
        <v>1</v>
      </c>
      <c r="K422" t="n">
        <v>2</v>
      </c>
      <c r="L422" t="n">
        <v>0</v>
      </c>
      <c r="M422" t="n">
        <v>0</v>
      </c>
      <c r="N422" t="n">
        <v>0</v>
      </c>
      <c r="O422" t="n">
        <v>0</v>
      </c>
      <c r="P422" t="n">
        <v>0</v>
      </c>
      <c r="Q422" t="n">
        <v>0</v>
      </c>
      <c r="R422" t="n">
        <v>0</v>
      </c>
      <c r="S422" t="n">
        <v>2</v>
      </c>
      <c r="T422" t="n">
        <v>2</v>
      </c>
      <c r="U422" t="n">
        <v>2</v>
      </c>
      <c r="V422" s="2" t="inlineStr">
        <is>
          <t>Granbräken
Grönkulla</t>
        </is>
      </c>
      <c r="W422">
        <f>HYPERLINK("https://klasma.github.io/Logging_0360/artfynd/A 15040-2024 artfynd.xlsx", "A 15040-2024")</f>
        <v/>
      </c>
      <c r="X422">
        <f>HYPERLINK("https://klasma.github.io/Logging_0360/kartor/A 15040-2024 karta.png", "A 15040-2024")</f>
        <v/>
      </c>
      <c r="Y422">
        <f>HYPERLINK("https://klasma.github.io/Logging_0360/kartor_geotiff/A 15040-2024 georefererad karta.tif", "A 15040-2024")</f>
        <v/>
      </c>
      <c r="AA422">
        <f>HYPERLINK("https://klasma.github.io/Logging_0360/klagomål/A 15040-2024 FSC-klagomål.docx", "A 15040-2024")</f>
        <v/>
      </c>
      <c r="AB422">
        <f>HYPERLINK("https://klasma.github.io/Logging_0360/klagomålsmail/A 15040-2024 FSC-klagomål mail.docx", "A 15040-2024")</f>
        <v/>
      </c>
      <c r="AC422">
        <f>HYPERLINK("https://klasma.github.io/Logging_0360/tillsyn/A 15040-2024 tillsynsbegäran.docx", "A 15040-2024")</f>
        <v/>
      </c>
      <c r="AD422">
        <f>HYPERLINK("https://klasma.github.io/Logging_0360/tillsynsmail/A 15040-2024 tillsynsbegäran mail.docx", "A 15040-2024")</f>
        <v/>
      </c>
    </row>
    <row r="423" ht="15" customHeight="1">
      <c r="A423" t="inlineStr">
        <is>
          <t>A 51158-2025</t>
        </is>
      </c>
      <c r="B423" t="inlineStr">
        <is>
          <t>avverkningsanmälan</t>
        </is>
      </c>
      <c r="C423" t="inlineStr">
        <is>
          <t>Föryngringsavverkning</t>
        </is>
      </c>
      <c r="D423" s="1" t="n">
        <v>45947</v>
      </c>
      <c r="E423" s="1" t="n">
        <v>46309</v>
      </c>
      <c r="F423" t="inlineStr">
        <is>
          <t>UPPSALA LÄN</t>
        </is>
      </c>
      <c r="G423" t="inlineStr">
        <is>
          <t>UPPSALA</t>
        </is>
      </c>
      <c r="H423" t="inlineStr">
        <is>
          <t>Övriga Aktiebolag</t>
        </is>
      </c>
      <c r="I423" t="n">
        <v>12.1</v>
      </c>
      <c r="J423" t="n">
        <v>0</v>
      </c>
      <c r="K423" t="n">
        <v>0</v>
      </c>
      <c r="L423" t="n">
        <v>0</v>
      </c>
      <c r="M423" t="n">
        <v>0</v>
      </c>
      <c r="N423" t="n">
        <v>0</v>
      </c>
      <c r="O423" t="n">
        <v>0</v>
      </c>
      <c r="P423" t="n">
        <v>0</v>
      </c>
      <c r="Q423" t="n">
        <v>0</v>
      </c>
      <c r="R423" t="n">
        <v>0</v>
      </c>
      <c r="S423" t="n">
        <v>2</v>
      </c>
      <c r="T423" t="n">
        <v>2</v>
      </c>
      <c r="U423" t="n">
        <v>2</v>
      </c>
      <c r="V423" s="2" t="inlineStr">
        <is>
          <t>Liljekonvalj
Vitsippa</t>
        </is>
      </c>
      <c r="W423">
        <f>HYPERLINK("https://klasma.github.io/Logging_0380/artfynd/A 51158-2025 artfynd.xlsx", "A 51158-2025")</f>
        <v/>
      </c>
      <c r="X423">
        <f>HYPERLINK("https://klasma.github.io/Logging_0380/kartor/A 51158-2025 karta.png", "A 51158-2025")</f>
        <v/>
      </c>
      <c r="Y423">
        <f>HYPERLINK("https://klasma.github.io/Logging_0380/kartor_geotiff/A 51158-2025 georefererad karta.tif", "A 51158-2025")</f>
        <v/>
      </c>
      <c r="AA423">
        <f>HYPERLINK("https://klasma.github.io/Logging_0380/klagomål/A 51158-2025 FSC-klagomål.docx", "A 51158-2025")</f>
        <v/>
      </c>
      <c r="AB423">
        <f>HYPERLINK("https://klasma.github.io/Logging_0380/klagomålsmail/A 51158-2025 FSC-klagomål mail.docx", "A 51158-2025")</f>
        <v/>
      </c>
      <c r="AC423">
        <f>HYPERLINK("https://klasma.github.io/Logging_0380/tillsyn/A 51158-2025 tillsynsbegäran.docx", "A 51158-2025")</f>
        <v/>
      </c>
      <c r="AD423">
        <f>HYPERLINK("https://klasma.github.io/Logging_0380/tillsynsmail/A 51158-2025 tillsynsbegäran mail.docx", "A 51158-2025")</f>
        <v/>
      </c>
    </row>
    <row r="424" ht="15" customHeight="1">
      <c r="A424" t="inlineStr">
        <is>
          <t>A 51708-2025</t>
        </is>
      </c>
      <c r="B424" t="inlineStr">
        <is>
          <t>avverkningsanmälan</t>
        </is>
      </c>
      <c r="C424" t="inlineStr">
        <is>
          <t>Föryngringsavverkning</t>
        </is>
      </c>
      <c r="D424" s="1" t="n">
        <v>45951</v>
      </c>
      <c r="E424" s="1" t="n">
        <v>46309</v>
      </c>
      <c r="F424" t="inlineStr">
        <is>
          <t>UPPSALA LÄN</t>
        </is>
      </c>
      <c r="G424" t="inlineStr">
        <is>
          <t>ÖSTHAMMAR</t>
        </is>
      </c>
      <c r="H424" t="inlineStr">
        <is>
          <t>Bergvik skog öst AB</t>
        </is>
      </c>
      <c r="I424" t="n">
        <v>1.3</v>
      </c>
      <c r="J424" t="n">
        <v>2</v>
      </c>
      <c r="K424" t="n">
        <v>0</v>
      </c>
      <c r="L424" t="n">
        <v>0</v>
      </c>
      <c r="M424" t="n">
        <v>1</v>
      </c>
      <c r="N424" t="n">
        <v>0</v>
      </c>
      <c r="O424" t="n">
        <v>0</v>
      </c>
      <c r="P424" t="n">
        <v>0</v>
      </c>
      <c r="Q424" t="n">
        <v>1</v>
      </c>
      <c r="R424" t="n">
        <v>1</v>
      </c>
      <c r="S424" t="n">
        <v>2</v>
      </c>
      <c r="T424" t="n">
        <v>2</v>
      </c>
      <c r="U424" t="n">
        <v>0</v>
      </c>
      <c r="V424" s="2" t="inlineStr">
        <is>
          <t>Tofsvipa
Grönsiska</t>
        </is>
      </c>
      <c r="W424">
        <f>HYPERLINK("https://klasma.github.io/Logging_0382/artfynd/A 51708-2025 artfynd.xlsx", "A 51708-2025")</f>
        <v/>
      </c>
      <c r="X424">
        <f>HYPERLINK("https://klasma.github.io/Logging_0382/kartor/A 51708-2025 karta.png", "A 51708-2025")</f>
        <v/>
      </c>
      <c r="Y424">
        <f>HYPERLINK("https://klasma.github.io/Logging_0382/kartor_geotiff/A 51708-2025 georefererad karta.tif", "A 51708-2025")</f>
        <v/>
      </c>
      <c r="AA424">
        <f>HYPERLINK("https://klasma.github.io/Logging_0382/klagomål/A 51708-2025 FSC-klagomål.docx", "A 51708-2025")</f>
        <v/>
      </c>
      <c r="AB424">
        <f>HYPERLINK("https://klasma.github.io/Logging_0382/klagomålsmail/A 51708-2025 FSC-klagomål mail.docx", "A 51708-2025")</f>
        <v/>
      </c>
      <c r="AC424">
        <f>HYPERLINK("https://klasma.github.io/Logging_0382/tillsyn/A 51708-2025 tillsynsbegäran.docx", "A 51708-2025")</f>
        <v/>
      </c>
      <c r="AD424">
        <f>HYPERLINK("https://klasma.github.io/Logging_0382/tillsynsmail/A 51708-2025 tillsynsbegäran mail.docx", "A 51708-2025")</f>
        <v/>
      </c>
    </row>
    <row r="425" ht="15" customHeight="1">
      <c r="A425" t="inlineStr">
        <is>
          <t>A 46629-2024</t>
        </is>
      </c>
      <c r="B425" t="inlineStr">
        <is>
          <t>avverkningsanmälan</t>
        </is>
      </c>
      <c r="C425" t="inlineStr">
        <is>
          <t>Föryngringsavverkning</t>
        </is>
      </c>
      <c r="D425" s="1" t="n">
        <v>45583</v>
      </c>
      <c r="E425" s="1" t="n">
        <v>46309</v>
      </c>
      <c r="F425" t="inlineStr">
        <is>
          <t>UPPSALA LÄN</t>
        </is>
      </c>
      <c r="G425" t="inlineStr">
        <is>
          <t>ÖSTHAMMAR</t>
        </is>
      </c>
      <c r="H425" t="inlineStr">
        <is>
          <t>Bergvik skog öst AB</t>
        </is>
      </c>
      <c r="I425" t="n">
        <v>0.7</v>
      </c>
      <c r="J425" t="n">
        <v>0</v>
      </c>
      <c r="K425" t="n">
        <v>0</v>
      </c>
      <c r="L425" t="n">
        <v>1</v>
      </c>
      <c r="M425" t="n">
        <v>1</v>
      </c>
      <c r="N425" t="n">
        <v>0</v>
      </c>
      <c r="O425" t="n">
        <v>0</v>
      </c>
      <c r="P425" t="n">
        <v>0</v>
      </c>
      <c r="Q425" t="n">
        <v>2</v>
      </c>
      <c r="R425" t="n">
        <v>1</v>
      </c>
      <c r="S425" t="n">
        <v>2</v>
      </c>
      <c r="T425" t="n">
        <v>2</v>
      </c>
      <c r="U425" t="n">
        <v>0</v>
      </c>
      <c r="V425" s="2" t="inlineStr">
        <is>
          <t>Sexfläckig bastardsvärmare
Slåtterfibbla</t>
        </is>
      </c>
      <c r="W425">
        <f>HYPERLINK("https://klasma.github.io/Logging_0382/artfynd/A 46629-2024 artfynd.xlsx", "A 46629-2024")</f>
        <v/>
      </c>
      <c r="X425">
        <f>HYPERLINK("https://klasma.github.io/Logging_0382/kartor/A 46629-2024 karta.png", "A 46629-2024")</f>
        <v/>
      </c>
      <c r="Y425">
        <f>HYPERLINK("https://klasma.github.io/Logging_0382/kartor_geotiff/A 46629-2024 georefererad karta.tif", "A 46629-2024")</f>
        <v/>
      </c>
      <c r="AA425">
        <f>HYPERLINK("https://klasma.github.io/Logging_0382/klagomål/A 46629-2024 FSC-klagomål.docx", "A 46629-2024")</f>
        <v/>
      </c>
      <c r="AB425">
        <f>HYPERLINK("https://klasma.github.io/Logging_0382/klagomålsmail/A 46629-2024 FSC-klagomål mail.docx", "A 46629-2024")</f>
        <v/>
      </c>
      <c r="AC425">
        <f>HYPERLINK("https://klasma.github.io/Logging_0382/tillsyn/A 46629-2024 tillsynsbegäran.docx", "A 46629-2024")</f>
        <v/>
      </c>
      <c r="AD425">
        <f>HYPERLINK("https://klasma.github.io/Logging_0382/tillsynsmail/A 46629-2024 tillsynsbegäran mail.docx", "A 46629-2024")</f>
        <v/>
      </c>
    </row>
    <row r="426" ht="15" customHeight="1">
      <c r="A426" t="inlineStr">
        <is>
          <t>A 52211-2025</t>
        </is>
      </c>
      <c r="B426" t="inlineStr">
        <is>
          <t>avverkningsanmälan</t>
        </is>
      </c>
      <c r="C426" t="inlineStr">
        <is>
          <t>Föryngringsavverkning</t>
        </is>
      </c>
      <c r="D426" s="1" t="n">
        <v>45953</v>
      </c>
      <c r="E426" s="1" t="n">
        <v>46309</v>
      </c>
      <c r="F426" t="inlineStr">
        <is>
          <t>UPPSALA LÄN</t>
        </is>
      </c>
      <c r="G426" t="inlineStr">
        <is>
          <t>TIERP</t>
        </is>
      </c>
      <c r="H426" t="inlineStr">
        <is>
          <t>Bergvik skog öst AB</t>
        </is>
      </c>
      <c r="I426" t="n">
        <v>7.8</v>
      </c>
      <c r="J426" t="n">
        <v>2</v>
      </c>
      <c r="K426" t="n">
        <v>0</v>
      </c>
      <c r="L426" t="n">
        <v>0</v>
      </c>
      <c r="M426" t="n">
        <v>0</v>
      </c>
      <c r="N426" t="n">
        <v>0</v>
      </c>
      <c r="O426" t="n">
        <v>0</v>
      </c>
      <c r="P426" t="n">
        <v>0</v>
      </c>
      <c r="Q426" t="n">
        <v>0</v>
      </c>
      <c r="R426" t="n">
        <v>0</v>
      </c>
      <c r="S426" t="n">
        <v>2</v>
      </c>
      <c r="T426" t="n">
        <v>4</v>
      </c>
      <c r="U426" t="n">
        <v>0</v>
      </c>
      <c r="V426" s="2" t="inlineStr">
        <is>
          <t>Tjäder
Havsörn</t>
        </is>
      </c>
      <c r="W426">
        <f>HYPERLINK("https://klasma.github.io/Logging_0360/artfynd/A 52211-2025 artfynd.xlsx", "A 52211-2025")</f>
        <v/>
      </c>
      <c r="X426">
        <f>HYPERLINK("https://klasma.github.io/Logging_0360/kartor/A 52211-2025 karta.png", "A 52211-2025")</f>
        <v/>
      </c>
      <c r="Y426">
        <f>HYPERLINK("https://klasma.github.io/Logging_0360/kartor_geotiff/A 52211-2025 georefererad karta.tif", "A 52211-2025")</f>
        <v/>
      </c>
      <c r="AA426">
        <f>HYPERLINK("https://klasma.github.io/Logging_0360/klagomål/A 52211-2025 FSC-klagomål.docx", "A 52211-2025")</f>
        <v/>
      </c>
      <c r="AB426">
        <f>HYPERLINK("https://klasma.github.io/Logging_0360/klagomålsmail/A 52211-2025 FSC-klagomål mail.docx", "A 52211-2025")</f>
        <v/>
      </c>
      <c r="AC426">
        <f>HYPERLINK("https://klasma.github.io/Logging_0360/tillsyn/A 52211-2025 tillsynsbegäran.docx", "A 52211-2025")</f>
        <v/>
      </c>
      <c r="AD426">
        <f>HYPERLINK("https://klasma.github.io/Logging_0360/tillsynsmail/A 52211-2025 tillsynsbegäran mail.docx", "A 52211-2025")</f>
        <v/>
      </c>
      <c r="AE426">
        <f>HYPERLINK("https://klasma.github.io/Logging_0360/fåglar/A 52211-2025 prioriterade fågelarter.docx", "A 52211-2025")</f>
        <v/>
      </c>
    </row>
    <row r="427" ht="15" customHeight="1">
      <c r="A427" t="inlineStr">
        <is>
          <t>A 53589-2025</t>
        </is>
      </c>
      <c r="B427" t="inlineStr">
        <is>
          <t>avverkningsanmälan</t>
        </is>
      </c>
      <c r="C427" t="inlineStr">
        <is>
          <t>Föryngringsavverkning</t>
        </is>
      </c>
      <c r="D427" s="1" t="n">
        <v>45960</v>
      </c>
      <c r="E427" s="1" t="n">
        <v>46309</v>
      </c>
      <c r="F427" t="inlineStr">
        <is>
          <t>UPPSALA LÄN</t>
        </is>
      </c>
      <c r="G427" t="inlineStr">
        <is>
          <t>UPPSALA</t>
        </is>
      </c>
      <c r="I427" t="n">
        <v>9.699999999999999</v>
      </c>
      <c r="J427" t="n">
        <v>1</v>
      </c>
      <c r="K427" t="n">
        <v>0</v>
      </c>
      <c r="L427" t="n">
        <v>1</v>
      </c>
      <c r="M427" t="n">
        <v>0</v>
      </c>
      <c r="N427" t="n">
        <v>0</v>
      </c>
      <c r="O427" t="n">
        <v>0</v>
      </c>
      <c r="P427" t="n">
        <v>0</v>
      </c>
      <c r="Q427" t="n">
        <v>1</v>
      </c>
      <c r="R427" t="n">
        <v>0</v>
      </c>
      <c r="S427" t="n">
        <v>2</v>
      </c>
      <c r="T427" t="n">
        <v>4</v>
      </c>
      <c r="U427" t="n">
        <v>4</v>
      </c>
      <c r="V427" s="2" t="inlineStr">
        <is>
          <t>Vedtrappmossa
Spillkråka</t>
        </is>
      </c>
      <c r="W427">
        <f>HYPERLINK("https://klasma.github.io/Logging_0380/artfynd/A 53589-2025 artfynd.xlsx", "A 53589-2025")</f>
        <v/>
      </c>
      <c r="X427">
        <f>HYPERLINK("https://klasma.github.io/Logging_0380/kartor/A 53589-2025 karta.png", "A 53589-2025")</f>
        <v/>
      </c>
      <c r="Y427">
        <f>HYPERLINK("https://klasma.github.io/Logging_0380/kartor_geotiff/A 53589-2025 georefererad karta.tif", "A 53589-2025")</f>
        <v/>
      </c>
      <c r="AA427">
        <f>HYPERLINK("https://klasma.github.io/Logging_0380/klagomål/A 53589-2025 FSC-klagomål.docx", "A 53589-2025")</f>
        <v/>
      </c>
      <c r="AB427">
        <f>HYPERLINK("https://klasma.github.io/Logging_0380/klagomålsmail/A 53589-2025 FSC-klagomål mail.docx", "A 53589-2025")</f>
        <v/>
      </c>
      <c r="AC427">
        <f>HYPERLINK("https://klasma.github.io/Logging_0380/tillsyn/A 53589-2025 tillsynsbegäran.docx", "A 53589-2025")</f>
        <v/>
      </c>
      <c r="AD427">
        <f>HYPERLINK("https://klasma.github.io/Logging_0380/tillsynsmail/A 53589-2025 tillsynsbegäran mail.docx", "A 53589-2025")</f>
        <v/>
      </c>
      <c r="AE427">
        <f>HYPERLINK("https://klasma.github.io/Logging_0380/fåglar/A 53589-2025 prioriterade fågelarter.docx", "A 53589-2025")</f>
        <v/>
      </c>
    </row>
    <row r="428" ht="15" customHeight="1">
      <c r="A428" t="inlineStr">
        <is>
          <t>A 56972-2022</t>
        </is>
      </c>
      <c r="B428" t="inlineStr">
        <is>
          <t>avverkningsanmälan</t>
        </is>
      </c>
      <c r="C428" t="inlineStr">
        <is>
          <t>Föryngringsavverkning</t>
        </is>
      </c>
      <c r="D428" s="1" t="n">
        <v>44894</v>
      </c>
      <c r="E428" s="1" t="n">
        <v>46309</v>
      </c>
      <c r="F428" t="inlineStr">
        <is>
          <t>UPPSALA LÄN</t>
        </is>
      </c>
      <c r="G428" t="inlineStr">
        <is>
          <t>TIERP</t>
        </is>
      </c>
      <c r="I428" t="n">
        <v>11</v>
      </c>
      <c r="J428" t="n">
        <v>1</v>
      </c>
      <c r="K428" t="n">
        <v>0</v>
      </c>
      <c r="L428" t="n">
        <v>0</v>
      </c>
      <c r="M428" t="n">
        <v>0</v>
      </c>
      <c r="N428" t="n">
        <v>1</v>
      </c>
      <c r="O428" t="n">
        <v>0</v>
      </c>
      <c r="P428" t="n">
        <v>0</v>
      </c>
      <c r="Q428" t="n">
        <v>1</v>
      </c>
      <c r="R428" t="n">
        <v>1</v>
      </c>
      <c r="S428" t="n">
        <v>2</v>
      </c>
      <c r="T428" t="n">
        <v>2</v>
      </c>
      <c r="U428" t="n">
        <v>2</v>
      </c>
      <c r="V428" s="2" t="inlineStr">
        <is>
          <t>Violgubbe
Tjäder</t>
        </is>
      </c>
      <c r="W428">
        <f>HYPERLINK("https://klasma.github.io/Logging_0360/artfynd/A 56972-2022 artfynd.xlsx", "A 56972-2022")</f>
        <v/>
      </c>
      <c r="X428">
        <f>HYPERLINK("https://klasma.github.io/Logging_0360/kartor/A 56972-2022 karta.png", "A 56972-2022")</f>
        <v/>
      </c>
      <c r="Y428">
        <f>HYPERLINK("https://klasma.github.io/Logging_0360/kartor_geotiff/A 56972-2022 georefererad karta.tif", "A 56972-2022")</f>
        <v/>
      </c>
      <c r="AA428">
        <f>HYPERLINK("https://klasma.github.io/Logging_0360/klagomål/A 56972-2022 FSC-klagomål.docx", "A 56972-2022")</f>
        <v/>
      </c>
      <c r="AB428">
        <f>HYPERLINK("https://klasma.github.io/Logging_0360/klagomålsmail/A 56972-2022 FSC-klagomål mail.docx", "A 56972-2022")</f>
        <v/>
      </c>
      <c r="AC428">
        <f>HYPERLINK("https://klasma.github.io/Logging_0360/tillsyn/A 56972-2022 tillsynsbegäran.docx", "A 56972-2022")</f>
        <v/>
      </c>
      <c r="AD428">
        <f>HYPERLINK("https://klasma.github.io/Logging_0360/tillsynsmail/A 56972-2022 tillsynsbegäran mail.docx", "A 56972-2022")</f>
        <v/>
      </c>
      <c r="AE428">
        <f>HYPERLINK("https://klasma.github.io/Logging_0360/fåglar/A 56972-2022 prioriterade fågelarter.docx", "A 56972-2022")</f>
        <v/>
      </c>
    </row>
    <row r="429" ht="15" customHeight="1">
      <c r="A429" t="inlineStr">
        <is>
          <t>A 40662-2023</t>
        </is>
      </c>
      <c r="B429" t="inlineStr">
        <is>
          <t>avverkningsanmälan</t>
        </is>
      </c>
      <c r="C429" t="inlineStr">
        <is>
          <t>Föryngringsavverkning</t>
        </is>
      </c>
      <c r="D429" s="1" t="n">
        <v>45170</v>
      </c>
      <c r="E429" s="1" t="n">
        <v>46309</v>
      </c>
      <c r="F429" t="inlineStr">
        <is>
          <t>UPPSALA LÄN</t>
        </is>
      </c>
      <c r="G429" t="inlineStr">
        <is>
          <t>HEBY</t>
        </is>
      </c>
      <c r="H429" t="inlineStr">
        <is>
          <t>Övriga Aktiebolag</t>
        </is>
      </c>
      <c r="I429" t="n">
        <v>5.7</v>
      </c>
      <c r="J429" t="n">
        <v>2</v>
      </c>
      <c r="K429" t="n">
        <v>0</v>
      </c>
      <c r="L429" t="n">
        <v>0</v>
      </c>
      <c r="M429" t="n">
        <v>1</v>
      </c>
      <c r="N429" t="n">
        <v>0</v>
      </c>
      <c r="O429" t="n">
        <v>0</v>
      </c>
      <c r="P429" t="n">
        <v>0</v>
      </c>
      <c r="Q429" t="n">
        <v>1</v>
      </c>
      <c r="R429" t="n">
        <v>1</v>
      </c>
      <c r="S429" t="n">
        <v>2</v>
      </c>
      <c r="T429" t="n">
        <v>3</v>
      </c>
      <c r="U429" t="n">
        <v>0</v>
      </c>
      <c r="V429" s="2" t="inlineStr">
        <is>
          <t>Knärot
Fläcknycklar</t>
        </is>
      </c>
      <c r="W429">
        <f>HYPERLINK("https://klasma.github.io/Logging_0331/artfynd/A 40662-2023 artfynd.xlsx", "A 40662-2023")</f>
        <v/>
      </c>
      <c r="X429">
        <f>HYPERLINK("https://klasma.github.io/Logging_0331/kartor/A 40662-2023 karta.png", "A 40662-2023")</f>
        <v/>
      </c>
      <c r="Y429">
        <f>HYPERLINK("https://klasma.github.io/Logging_0331/kartor_geotiff/A 40662-2023 georefererad karta.tif", "A 40662-2023")</f>
        <v/>
      </c>
      <c r="Z429">
        <f>HYPERLINK("https://klasma.github.io/Logging_0331/knärot/A 40662-2023 karta knärot.png", "A 40662-2023")</f>
        <v/>
      </c>
      <c r="AA429">
        <f>HYPERLINK("https://klasma.github.io/Logging_0331/klagomål/A 40662-2023 FSC-klagomål.docx", "A 40662-2023")</f>
        <v/>
      </c>
      <c r="AB429">
        <f>HYPERLINK("https://klasma.github.io/Logging_0331/klagomålsmail/A 40662-2023 FSC-klagomål mail.docx", "A 40662-2023")</f>
        <v/>
      </c>
      <c r="AC429">
        <f>HYPERLINK("https://klasma.github.io/Logging_0331/tillsyn/A 40662-2023 tillsynsbegäran.docx", "A 40662-2023")</f>
        <v/>
      </c>
      <c r="AD429">
        <f>HYPERLINK("https://klasma.github.io/Logging_0331/tillsynsmail/A 40662-2023 tillsynsbegäran mail.docx", "A 40662-2023")</f>
        <v/>
      </c>
    </row>
    <row r="430" ht="15" customHeight="1">
      <c r="A430" t="inlineStr">
        <is>
          <t>A 6999-2023</t>
        </is>
      </c>
      <c r="B430" t="inlineStr">
        <is>
          <t>avverkningsanmälan</t>
        </is>
      </c>
      <c r="C430" t="inlineStr">
        <is>
          <t>Föryngringsavverkning</t>
        </is>
      </c>
      <c r="D430" s="1" t="n">
        <v>44967</v>
      </c>
      <c r="E430" s="1" t="n">
        <v>46309</v>
      </c>
      <c r="F430" t="inlineStr">
        <is>
          <t>UPPSALA LÄN</t>
        </is>
      </c>
      <c r="G430" t="inlineStr">
        <is>
          <t>UPPSALA</t>
        </is>
      </c>
      <c r="I430" t="n">
        <v>1</v>
      </c>
      <c r="J430" t="n">
        <v>2</v>
      </c>
      <c r="K430" t="n">
        <v>0</v>
      </c>
      <c r="L430" t="n">
        <v>0</v>
      </c>
      <c r="M430" t="n">
        <v>0</v>
      </c>
      <c r="N430" t="n">
        <v>0</v>
      </c>
      <c r="O430" t="n">
        <v>1</v>
      </c>
      <c r="P430" t="n">
        <v>0</v>
      </c>
      <c r="Q430" t="n">
        <v>1</v>
      </c>
      <c r="R430" t="n">
        <v>1</v>
      </c>
      <c r="S430" t="n">
        <v>2</v>
      </c>
      <c r="T430" t="n">
        <v>2</v>
      </c>
      <c r="U430" t="n">
        <v>2</v>
      </c>
      <c r="V430" s="2" t="inlineStr">
        <is>
          <t>Ortolansparv
Törnskata</t>
        </is>
      </c>
      <c r="W430">
        <f>HYPERLINK("https://klasma.github.io/Logging_0380/artfynd/A 6999-2023 artfynd.xlsx", "A 6999-2023")</f>
        <v/>
      </c>
      <c r="X430">
        <f>HYPERLINK("https://klasma.github.io/Logging_0380/kartor/A 6999-2023 karta.png", "A 6999-2023")</f>
        <v/>
      </c>
      <c r="Y430">
        <f>HYPERLINK("https://klasma.github.io/Logging_0380/kartor_geotiff/A 6999-2023 georefererad karta.tif", "A 6999-2023")</f>
        <v/>
      </c>
      <c r="AA430">
        <f>HYPERLINK("https://klasma.github.io/Logging_0380/klagomål/A 6999-2023 FSC-klagomål.docx", "A 6999-2023")</f>
        <v/>
      </c>
      <c r="AB430">
        <f>HYPERLINK("https://klasma.github.io/Logging_0380/klagomålsmail/A 6999-2023 FSC-klagomål mail.docx", "A 6999-2023")</f>
        <v/>
      </c>
      <c r="AC430">
        <f>HYPERLINK("https://klasma.github.io/Logging_0380/tillsyn/A 6999-2023 tillsynsbegäran.docx", "A 6999-2023")</f>
        <v/>
      </c>
      <c r="AD430">
        <f>HYPERLINK("https://klasma.github.io/Logging_0380/tillsynsmail/A 6999-2023 tillsynsbegäran mail.docx", "A 6999-2023")</f>
        <v/>
      </c>
      <c r="AE430">
        <f>HYPERLINK("https://klasma.github.io/Logging_0380/fåglar/A 6999-2023 prioriterade fågelarter.docx", "A 6999-2023")</f>
        <v/>
      </c>
    </row>
    <row r="431" ht="15" customHeight="1">
      <c r="A431" t="inlineStr">
        <is>
          <t>A 58485-2025</t>
        </is>
      </c>
      <c r="B431" t="inlineStr">
        <is>
          <t>avverkningsanmälan</t>
        </is>
      </c>
      <c r="C431" t="inlineStr">
        <is>
          <t>Föryngringsavverkning</t>
        </is>
      </c>
      <c r="D431" s="1" t="n">
        <v>45985</v>
      </c>
      <c r="E431" s="1" t="n">
        <v>46309</v>
      </c>
      <c r="F431" t="inlineStr">
        <is>
          <t>UPPSALA LÄN</t>
        </is>
      </c>
      <c r="G431" t="inlineStr">
        <is>
          <t>ÄLVKARLEBY</t>
        </is>
      </c>
      <c r="H431" t="inlineStr">
        <is>
          <t>Bergvik skog väst AB</t>
        </is>
      </c>
      <c r="I431" t="n">
        <v>2</v>
      </c>
      <c r="J431" t="n">
        <v>1</v>
      </c>
      <c r="K431" t="n">
        <v>1</v>
      </c>
      <c r="L431" t="n">
        <v>0</v>
      </c>
      <c r="M431" t="n">
        <v>1</v>
      </c>
      <c r="N431" t="n">
        <v>0</v>
      </c>
      <c r="O431" t="n">
        <v>0</v>
      </c>
      <c r="P431" t="n">
        <v>0</v>
      </c>
      <c r="Q431" t="n">
        <v>1</v>
      </c>
      <c r="R431" t="n">
        <v>1</v>
      </c>
      <c r="S431" t="n">
        <v>2</v>
      </c>
      <c r="T431" t="n">
        <v>2</v>
      </c>
      <c r="U431" t="n">
        <v>1</v>
      </c>
      <c r="V431" s="2" t="inlineStr">
        <is>
          <t>Knärot
Myskmadra</t>
        </is>
      </c>
      <c r="W431">
        <f>HYPERLINK("https://klasma.github.io/Logging_0319/artfynd/A 58485-2025 artfynd.xlsx", "A 58485-2025")</f>
        <v/>
      </c>
      <c r="X431">
        <f>HYPERLINK("https://klasma.github.io/Logging_0319/kartor/A 58485-2025 karta.png", "A 58485-2025")</f>
        <v/>
      </c>
      <c r="Y431">
        <f>HYPERLINK("https://klasma.github.io/Logging_0319/kartor_geotiff/A 58485-2025 georefererad karta.tif", "A 58485-2025")</f>
        <v/>
      </c>
      <c r="Z431">
        <f>HYPERLINK("https://klasma.github.io/Logging_0319/knärot/A 58485-2025 karta knärot.png", "A 58485-2025")</f>
        <v/>
      </c>
      <c r="AA431">
        <f>HYPERLINK("https://klasma.github.io/Logging_0319/klagomål/A 58485-2025 FSC-klagomål.docx", "A 58485-2025")</f>
        <v/>
      </c>
      <c r="AB431">
        <f>HYPERLINK("https://klasma.github.io/Logging_0319/klagomålsmail/A 58485-2025 FSC-klagomål mail.docx", "A 58485-2025")</f>
        <v/>
      </c>
      <c r="AC431">
        <f>HYPERLINK("https://klasma.github.io/Logging_0319/tillsyn/A 58485-2025 tillsynsbegäran.docx", "A 58485-2025")</f>
        <v/>
      </c>
      <c r="AD431">
        <f>HYPERLINK("https://klasma.github.io/Logging_0319/tillsynsmail/A 58485-2025 tillsynsbegäran mail.docx", "A 58485-2025")</f>
        <v/>
      </c>
    </row>
    <row r="432" ht="15" customHeight="1">
      <c r="A432" t="inlineStr">
        <is>
          <t>A 59728-2025</t>
        </is>
      </c>
      <c r="B432" t="inlineStr">
        <is>
          <t>avverkningsanmälan</t>
        </is>
      </c>
      <c r="C432" t="inlineStr">
        <is>
          <t>Föryngringsavverkning</t>
        </is>
      </c>
      <c r="D432" s="1" t="n">
        <v>45992</v>
      </c>
      <c r="E432" s="1" t="n">
        <v>46309</v>
      </c>
      <c r="F432" t="inlineStr">
        <is>
          <t>UPPSALA LÄN</t>
        </is>
      </c>
      <c r="G432" t="inlineStr">
        <is>
          <t>HEBY</t>
        </is>
      </c>
      <c r="I432" t="n">
        <v>2.8</v>
      </c>
      <c r="J432" t="n">
        <v>1</v>
      </c>
      <c r="K432" t="n">
        <v>0</v>
      </c>
      <c r="L432" t="n">
        <v>1</v>
      </c>
      <c r="M432" t="n">
        <v>1</v>
      </c>
      <c r="N432" t="n">
        <v>0</v>
      </c>
      <c r="O432" t="n">
        <v>0</v>
      </c>
      <c r="P432" t="n">
        <v>0</v>
      </c>
      <c r="Q432" t="n">
        <v>2</v>
      </c>
      <c r="R432" t="n">
        <v>1</v>
      </c>
      <c r="S432" t="n">
        <v>2</v>
      </c>
      <c r="T432" t="n">
        <v>2</v>
      </c>
      <c r="U432" t="n">
        <v>1</v>
      </c>
      <c r="V432" s="2" t="inlineStr">
        <is>
          <t>Knärot
Motaggsvamp</t>
        </is>
      </c>
      <c r="W432">
        <f>HYPERLINK("https://klasma.github.io/Logging_0331/artfynd/A 59728-2025 artfynd.xlsx", "A 59728-2025")</f>
        <v/>
      </c>
      <c r="X432">
        <f>HYPERLINK("https://klasma.github.io/Logging_0331/kartor/A 59728-2025 karta.png", "A 59728-2025")</f>
        <v/>
      </c>
      <c r="Y432">
        <f>HYPERLINK("https://klasma.github.io/Logging_0331/kartor_geotiff/A 59728-2025 georefererad karta.tif", "A 59728-2025")</f>
        <v/>
      </c>
      <c r="Z432">
        <f>HYPERLINK("https://klasma.github.io/Logging_0331/knärot/A 59728-2025 karta knärot.png", "A 59728-2025")</f>
        <v/>
      </c>
      <c r="AA432">
        <f>HYPERLINK("https://klasma.github.io/Logging_0331/klagomål/A 59728-2025 FSC-klagomål.docx", "A 59728-2025")</f>
        <v/>
      </c>
      <c r="AB432">
        <f>HYPERLINK("https://klasma.github.io/Logging_0331/klagomålsmail/A 59728-2025 FSC-klagomål mail.docx", "A 59728-2025")</f>
        <v/>
      </c>
      <c r="AC432">
        <f>HYPERLINK("https://klasma.github.io/Logging_0331/tillsyn/A 59728-2025 tillsynsbegäran.docx", "A 59728-2025")</f>
        <v/>
      </c>
      <c r="AD432">
        <f>HYPERLINK("https://klasma.github.io/Logging_0331/tillsynsmail/A 59728-2025 tillsynsbegäran mail.docx", "A 59728-2025")</f>
        <v/>
      </c>
    </row>
    <row r="433" ht="15" customHeight="1">
      <c r="A433" t="inlineStr">
        <is>
          <t>A 9147-2026</t>
        </is>
      </c>
      <c r="B433" t="inlineStr">
        <is>
          <t>avverkningsanmälan</t>
        </is>
      </c>
      <c r="C433" t="inlineStr">
        <is>
          <t>Föryngringsavverkning</t>
        </is>
      </c>
      <c r="D433" s="1" t="n">
        <v>46070</v>
      </c>
      <c r="E433" s="1" t="n">
        <v>46309</v>
      </c>
      <c r="F433" t="inlineStr">
        <is>
          <t>UPPSALA LÄN</t>
        </is>
      </c>
      <c r="G433" t="inlineStr">
        <is>
          <t>ENKÖPING</t>
        </is>
      </c>
      <c r="I433" t="n">
        <v>1.6</v>
      </c>
      <c r="J433" t="n">
        <v>0</v>
      </c>
      <c r="K433" t="n">
        <v>0</v>
      </c>
      <c r="L433" t="n">
        <v>2</v>
      </c>
      <c r="M433" t="n">
        <v>0</v>
      </c>
      <c r="N433" t="n">
        <v>0</v>
      </c>
      <c r="O433" t="n">
        <v>0</v>
      </c>
      <c r="P433" t="n">
        <v>0</v>
      </c>
      <c r="Q433" t="n">
        <v>2</v>
      </c>
      <c r="R433" t="n">
        <v>0</v>
      </c>
      <c r="S433" t="n">
        <v>2</v>
      </c>
      <c r="T433" t="n">
        <v>2</v>
      </c>
      <c r="U433" t="n">
        <v>0</v>
      </c>
      <c r="V433" s="2" t="inlineStr">
        <is>
          <t>Dropptaggsvamp
Motaggsvamp</t>
        </is>
      </c>
      <c r="W433">
        <f>HYPERLINK("https://klasma.github.io/Logging_0381/artfynd/A 9147-2026 artfynd.xlsx", "A 9147-2026")</f>
        <v/>
      </c>
      <c r="X433">
        <f>HYPERLINK("https://klasma.github.io/Logging_0381/kartor/A 9147-2026 karta.png", "A 9147-2026")</f>
        <v/>
      </c>
      <c r="Y433">
        <f>HYPERLINK("https://klasma.github.io/Logging_0381/kartor_geotiff/A 9147-2026 georefererad karta.tif", "A 9147-2026")</f>
        <v/>
      </c>
      <c r="AA433">
        <f>HYPERLINK("https://klasma.github.io/Logging_0381/klagomål/A 9147-2026 FSC-klagomål.docx", "A 9147-2026")</f>
        <v/>
      </c>
      <c r="AB433">
        <f>HYPERLINK("https://klasma.github.io/Logging_0381/klagomålsmail/A 9147-2026 FSC-klagomål mail.docx", "A 9147-2026")</f>
        <v/>
      </c>
      <c r="AC433">
        <f>HYPERLINK("https://klasma.github.io/Logging_0381/tillsyn/A 9147-2026 tillsynsbegäran.docx", "A 9147-2026")</f>
        <v/>
      </c>
      <c r="AD433">
        <f>HYPERLINK("https://klasma.github.io/Logging_0381/tillsynsmail/A 9147-2026 tillsynsbegäran mail.docx", "A 9147-2026")</f>
        <v/>
      </c>
    </row>
    <row r="434" ht="15" customHeight="1">
      <c r="A434" t="inlineStr">
        <is>
          <t>A 61400-2025</t>
        </is>
      </c>
      <c r="B434" t="inlineStr">
        <is>
          <t>avverkningsanmälan</t>
        </is>
      </c>
      <c r="C434" t="inlineStr">
        <is>
          <t>Föryngringsavverkning</t>
        </is>
      </c>
      <c r="D434" s="1" t="n">
        <v>46001</v>
      </c>
      <c r="E434" s="1" t="n">
        <v>46309</v>
      </c>
      <c r="F434" t="inlineStr">
        <is>
          <t>UPPSALA LÄN</t>
        </is>
      </c>
      <c r="G434" t="inlineStr">
        <is>
          <t>ÖSTHAMMAR</t>
        </is>
      </c>
      <c r="H434" t="inlineStr">
        <is>
          <t>Naturvårdsverket</t>
        </is>
      </c>
      <c r="I434" t="n">
        <v>10.9</v>
      </c>
      <c r="J434" t="n">
        <v>0</v>
      </c>
      <c r="K434" t="n">
        <v>1</v>
      </c>
      <c r="L434" t="n">
        <v>1</v>
      </c>
      <c r="M434" t="n">
        <v>0</v>
      </c>
      <c r="N434" t="n">
        <v>0</v>
      </c>
      <c r="O434" t="n">
        <v>0</v>
      </c>
      <c r="P434" t="n">
        <v>0</v>
      </c>
      <c r="Q434" t="n">
        <v>1</v>
      </c>
      <c r="R434" t="n">
        <v>0</v>
      </c>
      <c r="S434" t="n">
        <v>2</v>
      </c>
      <c r="T434" t="n">
        <v>5</v>
      </c>
      <c r="U434" t="n">
        <v>5</v>
      </c>
      <c r="V434" s="2" t="inlineStr">
        <is>
          <t>Kattfotslav
Granbarkgnagare</t>
        </is>
      </c>
      <c r="W434">
        <f>HYPERLINK("https://klasma.github.io/Logging_0382/artfynd/A 61400-2025 artfynd.xlsx", "A 61400-2025")</f>
        <v/>
      </c>
      <c r="X434">
        <f>HYPERLINK("https://klasma.github.io/Logging_0382/kartor/A 61400-2025 karta.png", "A 61400-2025")</f>
        <v/>
      </c>
      <c r="Y434">
        <f>HYPERLINK("https://klasma.github.io/Logging_0382/kartor_geotiff/A 61400-2025 georefererad karta.tif", "A 61400-2025")</f>
        <v/>
      </c>
      <c r="AA434">
        <f>HYPERLINK("https://klasma.github.io/Logging_0382/klagomål/A 61400-2025 FSC-klagomål.docx", "A 61400-2025")</f>
        <v/>
      </c>
      <c r="AB434">
        <f>HYPERLINK("https://klasma.github.io/Logging_0382/klagomålsmail/A 61400-2025 FSC-klagomål mail.docx", "A 61400-2025")</f>
        <v/>
      </c>
      <c r="AC434">
        <f>HYPERLINK("https://klasma.github.io/Logging_0382/tillsyn/A 61400-2025 tillsynsbegäran.docx", "A 61400-2025")</f>
        <v/>
      </c>
      <c r="AD434">
        <f>HYPERLINK("https://klasma.github.io/Logging_0382/tillsynsmail/A 61400-2025 tillsynsbegäran mail.docx", "A 61400-2025")</f>
        <v/>
      </c>
    </row>
    <row r="435" ht="15" customHeight="1">
      <c r="A435" t="inlineStr">
        <is>
          <t>A 61768-2025</t>
        </is>
      </c>
      <c r="B435" t="inlineStr">
        <is>
          <t>avverkningsanmälan</t>
        </is>
      </c>
      <c r="C435" t="inlineStr">
        <is>
          <t>Föryngringsavverkning</t>
        </is>
      </c>
      <c r="D435" s="1" t="n">
        <v>46002</v>
      </c>
      <c r="E435" s="1" t="n">
        <v>46309</v>
      </c>
      <c r="F435" t="inlineStr">
        <is>
          <t>UPPSALA LÄN</t>
        </is>
      </c>
      <c r="G435" t="inlineStr">
        <is>
          <t>KNIVSTA</t>
        </is>
      </c>
      <c r="I435" t="n">
        <v>3</v>
      </c>
      <c r="J435" t="n">
        <v>0</v>
      </c>
      <c r="K435" t="n">
        <v>1</v>
      </c>
      <c r="L435" t="n">
        <v>1</v>
      </c>
      <c r="M435" t="n">
        <v>0</v>
      </c>
      <c r="N435" t="n">
        <v>0</v>
      </c>
      <c r="O435" t="n">
        <v>0</v>
      </c>
      <c r="P435" t="n">
        <v>0</v>
      </c>
      <c r="Q435" t="n">
        <v>1</v>
      </c>
      <c r="R435" t="n">
        <v>0</v>
      </c>
      <c r="S435" t="n">
        <v>2</v>
      </c>
      <c r="T435" t="n">
        <v>2</v>
      </c>
      <c r="U435" t="n">
        <v>0</v>
      </c>
      <c r="V435" s="2" t="inlineStr">
        <is>
          <t>Gullpudra
Kamjordstjärna</t>
        </is>
      </c>
      <c r="W435">
        <f>HYPERLINK("https://klasma.github.io/Logging_0330/artfynd/A 61768-2025 artfynd.xlsx", "A 61768-2025")</f>
        <v/>
      </c>
      <c r="X435">
        <f>HYPERLINK("https://klasma.github.io/Logging_0330/kartor/A 61768-2025 karta.png", "A 61768-2025")</f>
        <v/>
      </c>
      <c r="Y435">
        <f>HYPERLINK("https://klasma.github.io/Logging_0330/kartor_geotiff/A 61768-2025 georefererad karta.tif", "A 61768-2025")</f>
        <v/>
      </c>
      <c r="AA435">
        <f>HYPERLINK("https://klasma.github.io/Logging_0330/klagomål/A 61768-2025 FSC-klagomål.docx", "A 61768-2025")</f>
        <v/>
      </c>
      <c r="AB435">
        <f>HYPERLINK("https://klasma.github.io/Logging_0330/klagomålsmail/A 61768-2025 FSC-klagomål mail.docx", "A 61768-2025")</f>
        <v/>
      </c>
      <c r="AC435">
        <f>HYPERLINK("https://klasma.github.io/Logging_0330/tillsyn/A 61768-2025 tillsynsbegäran.docx", "A 61768-2025")</f>
        <v/>
      </c>
      <c r="AD435">
        <f>HYPERLINK("https://klasma.github.io/Logging_0330/tillsynsmail/A 61768-2025 tillsynsbegäran mail.docx", "A 61768-2025")</f>
        <v/>
      </c>
    </row>
    <row r="436" ht="15" customHeight="1">
      <c r="A436" t="inlineStr">
        <is>
          <t>A 23250-2022</t>
        </is>
      </c>
      <c r="B436" t="inlineStr">
        <is>
          <t>avverkningsanmälan</t>
        </is>
      </c>
      <c r="C436" t="inlineStr">
        <is>
          <t>Avverkning för att bevara och utveckla /försöksver</t>
        </is>
      </c>
      <c r="D436" s="1" t="n">
        <v>44719</v>
      </c>
      <c r="E436" s="1" t="n">
        <v>46309</v>
      </c>
      <c r="F436" t="inlineStr">
        <is>
          <t>UPPSALA LÄN</t>
        </is>
      </c>
      <c r="G436" t="inlineStr">
        <is>
          <t>HÅBO</t>
        </is>
      </c>
      <c r="H436" t="inlineStr">
        <is>
          <t>Naturvårdsverket</t>
        </is>
      </c>
      <c r="I436" t="n">
        <v>1</v>
      </c>
      <c r="J436" t="n">
        <v>0</v>
      </c>
      <c r="K436" t="n">
        <v>0</v>
      </c>
      <c r="L436" t="n">
        <v>1</v>
      </c>
      <c r="M436" t="n">
        <v>0</v>
      </c>
      <c r="N436" t="n">
        <v>1</v>
      </c>
      <c r="O436" t="n">
        <v>0</v>
      </c>
      <c r="P436" t="n">
        <v>0</v>
      </c>
      <c r="Q436" t="n">
        <v>2</v>
      </c>
      <c r="R436" t="n">
        <v>1</v>
      </c>
      <c r="S436" t="n">
        <v>2</v>
      </c>
      <c r="T436" t="n">
        <v>2</v>
      </c>
      <c r="U436" t="n">
        <v>0</v>
      </c>
      <c r="V436" s="2" t="inlineStr">
        <is>
          <t>Skogsalm
Rynkskinn</t>
        </is>
      </c>
      <c r="W436">
        <f>HYPERLINK("https://klasma.github.io/Logging_0305/artfynd/A 23250-2022 artfynd.xlsx", "A 23250-2022")</f>
        <v/>
      </c>
      <c r="X436">
        <f>HYPERLINK("https://klasma.github.io/Logging_0305/kartor/A 23250-2022 karta.png", "A 23250-2022")</f>
        <v/>
      </c>
      <c r="Y436">
        <f>HYPERLINK("https://klasma.github.io/Logging_0305/kartor_geotiff/A 23250-2022 georefererad karta.tif", "A 23250-2022")</f>
        <v/>
      </c>
      <c r="AA436">
        <f>HYPERLINK("https://klasma.github.io/Logging_0305/klagomål/A 23250-2022 FSC-klagomål.docx", "A 23250-2022")</f>
        <v/>
      </c>
      <c r="AB436">
        <f>HYPERLINK("https://klasma.github.io/Logging_0305/klagomålsmail/A 23250-2022 FSC-klagomål mail.docx", "A 23250-2022")</f>
        <v/>
      </c>
      <c r="AC436">
        <f>HYPERLINK("https://klasma.github.io/Logging_0305/tillsyn/A 23250-2022 tillsynsbegäran.docx", "A 23250-2022")</f>
        <v/>
      </c>
      <c r="AD436">
        <f>HYPERLINK("https://klasma.github.io/Logging_0305/tillsynsmail/A 23250-2022 tillsynsbegäran mail.docx", "A 23250-2022")</f>
        <v/>
      </c>
    </row>
    <row r="437" ht="15" customHeight="1">
      <c r="A437" t="inlineStr">
        <is>
          <t>A 13004-2026</t>
        </is>
      </c>
      <c r="B437" t="inlineStr">
        <is>
          <t>avverkningsanmälan</t>
        </is>
      </c>
      <c r="C437" t="inlineStr">
        <is>
          <t>Föryngringsavverkning</t>
        </is>
      </c>
      <c r="D437" s="1" t="n">
        <v>46092</v>
      </c>
      <c r="E437" s="1" t="n">
        <v>46309</v>
      </c>
      <c r="F437" t="inlineStr">
        <is>
          <t>UPPSALA LÄN</t>
        </is>
      </c>
      <c r="G437" t="inlineStr">
        <is>
          <t>KNIVSTA</t>
        </is>
      </c>
      <c r="H437" t="inlineStr">
        <is>
          <t>Holmen skog AB</t>
        </is>
      </c>
      <c r="I437" t="n">
        <v>7.8</v>
      </c>
      <c r="J437" t="n">
        <v>2</v>
      </c>
      <c r="K437" t="n">
        <v>0</v>
      </c>
      <c r="L437" t="n">
        <v>0</v>
      </c>
      <c r="M437" t="n">
        <v>1</v>
      </c>
      <c r="N437" t="n">
        <v>0</v>
      </c>
      <c r="O437" t="n">
        <v>0</v>
      </c>
      <c r="P437" t="n">
        <v>0</v>
      </c>
      <c r="Q437" t="n">
        <v>1</v>
      </c>
      <c r="R437" t="n">
        <v>1</v>
      </c>
      <c r="S437" t="n">
        <v>2</v>
      </c>
      <c r="T437" t="n">
        <v>2</v>
      </c>
      <c r="U437" t="n">
        <v>2</v>
      </c>
      <c r="V437" s="2" t="inlineStr">
        <is>
          <t>Knärot
Spillkråka</t>
        </is>
      </c>
      <c r="W437">
        <f>HYPERLINK("https://klasma.github.io/Logging_0330/artfynd/A 13004-2026 artfynd.xlsx", "A 13004-2026")</f>
        <v/>
      </c>
      <c r="X437">
        <f>HYPERLINK("https://klasma.github.io/Logging_0330/kartor/A 13004-2026 karta.png", "A 13004-2026")</f>
        <v/>
      </c>
      <c r="Y437">
        <f>HYPERLINK("https://klasma.github.io/Logging_0330/kartor_geotiff/A 13004-2026 georefererad karta.tif", "A 13004-2026")</f>
        <v/>
      </c>
      <c r="Z437">
        <f>HYPERLINK("https://klasma.github.io/Logging_0330/knärot/A 13004-2026 karta knärot.png", "A 13004-2026")</f>
        <v/>
      </c>
      <c r="AA437">
        <f>HYPERLINK("https://klasma.github.io/Logging_0330/klagomål/A 13004-2026 FSC-klagomål.docx", "A 13004-2026")</f>
        <v/>
      </c>
      <c r="AB437">
        <f>HYPERLINK("https://klasma.github.io/Logging_0330/klagomålsmail/A 13004-2026 FSC-klagomål mail.docx", "A 13004-2026")</f>
        <v/>
      </c>
      <c r="AC437">
        <f>HYPERLINK("https://klasma.github.io/Logging_0330/tillsyn/A 13004-2026 tillsynsbegäran.docx", "A 13004-2026")</f>
        <v/>
      </c>
      <c r="AD437">
        <f>HYPERLINK("https://klasma.github.io/Logging_0330/tillsynsmail/A 13004-2026 tillsynsbegäran mail.docx", "A 13004-2026")</f>
        <v/>
      </c>
      <c r="AE437">
        <f>HYPERLINK("https://klasma.github.io/Logging_0330/fåglar/A 13004-2026 prioriterade fågelarter.docx", "A 13004-2026")</f>
        <v/>
      </c>
    </row>
    <row r="438" ht="15" customHeight="1">
      <c r="A438" t="inlineStr">
        <is>
          <t>A 39933-2023</t>
        </is>
      </c>
      <c r="B438" t="inlineStr">
        <is>
          <t>avverkningsanmälan</t>
        </is>
      </c>
      <c r="C438" t="inlineStr">
        <is>
          <t>Föryngringsavverkning</t>
        </is>
      </c>
      <c r="D438" s="1" t="n">
        <v>45168</v>
      </c>
      <c r="E438" s="1" t="n">
        <v>46309</v>
      </c>
      <c r="F438" t="inlineStr">
        <is>
          <t>UPPSALA LÄN</t>
        </is>
      </c>
      <c r="G438" t="inlineStr">
        <is>
          <t>UPPSALA</t>
        </is>
      </c>
      <c r="H438" t="inlineStr">
        <is>
          <t>Holmen skog AB</t>
        </is>
      </c>
      <c r="I438" t="n">
        <v>6.3</v>
      </c>
      <c r="J438" t="n">
        <v>2</v>
      </c>
      <c r="K438" t="n">
        <v>0</v>
      </c>
      <c r="L438" t="n">
        <v>1</v>
      </c>
      <c r="M438" t="n">
        <v>0</v>
      </c>
      <c r="N438" t="n">
        <v>0</v>
      </c>
      <c r="O438" t="n">
        <v>0</v>
      </c>
      <c r="P438" t="n">
        <v>0</v>
      </c>
      <c r="Q438" t="n">
        <v>1</v>
      </c>
      <c r="R438" t="n">
        <v>0</v>
      </c>
      <c r="S438" t="n">
        <v>2</v>
      </c>
      <c r="T438" t="n">
        <v>2</v>
      </c>
      <c r="U438" t="n">
        <v>0</v>
      </c>
      <c r="V438" s="2" t="inlineStr">
        <is>
          <t>Entita
Spillkråka</t>
        </is>
      </c>
      <c r="W438">
        <f>HYPERLINK("https://klasma.github.io/Logging_0380/artfynd/A 39933-2023 artfynd.xlsx", "A 39933-2023")</f>
        <v/>
      </c>
      <c r="X438">
        <f>HYPERLINK("https://klasma.github.io/Logging_0380/kartor/A 39933-2023 karta.png", "A 39933-2023")</f>
        <v/>
      </c>
      <c r="Y438">
        <f>HYPERLINK("https://klasma.github.io/Logging_0380/kartor_geotiff/A 39933-2023 georefererad karta.tif", "A 39933-2023")</f>
        <v/>
      </c>
      <c r="AA438">
        <f>HYPERLINK("https://klasma.github.io/Logging_0380/klagomål/A 39933-2023 FSC-klagomål.docx", "A 39933-2023")</f>
        <v/>
      </c>
      <c r="AB438">
        <f>HYPERLINK("https://klasma.github.io/Logging_0380/klagomålsmail/A 39933-2023 FSC-klagomål mail.docx", "A 39933-2023")</f>
        <v/>
      </c>
      <c r="AC438">
        <f>HYPERLINK("https://klasma.github.io/Logging_0380/tillsyn/A 39933-2023 tillsynsbegäran.docx", "A 39933-2023")</f>
        <v/>
      </c>
      <c r="AD438">
        <f>HYPERLINK("https://klasma.github.io/Logging_0380/tillsynsmail/A 39933-2023 tillsynsbegäran mail.docx", "A 39933-2023")</f>
        <v/>
      </c>
      <c r="AE438">
        <f>HYPERLINK("https://klasma.github.io/Logging_0380/fåglar/A 39933-2023 prioriterade fågelarter.docx", "A 39933-2023")</f>
        <v/>
      </c>
    </row>
    <row r="439" ht="15" customHeight="1">
      <c r="A439" t="inlineStr">
        <is>
          <t>A 49647-2022</t>
        </is>
      </c>
      <c r="B439" t="inlineStr">
        <is>
          <t>avverkningsanmälan</t>
        </is>
      </c>
      <c r="C439" t="inlineStr">
        <is>
          <t>Föryngringsavverkning</t>
        </is>
      </c>
      <c r="D439" s="1" t="n">
        <v>44862</v>
      </c>
      <c r="E439" s="1" t="n">
        <v>46309</v>
      </c>
      <c r="F439" t="inlineStr">
        <is>
          <t>UPPSALA LÄN</t>
        </is>
      </c>
      <c r="G439" t="inlineStr">
        <is>
          <t>TIERP</t>
        </is>
      </c>
      <c r="H439" t="inlineStr">
        <is>
          <t>Bergvik skog väst AB</t>
        </is>
      </c>
      <c r="I439" t="n">
        <v>1.5</v>
      </c>
      <c r="J439" t="n">
        <v>2</v>
      </c>
      <c r="K439" t="n">
        <v>0</v>
      </c>
      <c r="L439" t="n">
        <v>1</v>
      </c>
      <c r="M439" t="n">
        <v>0</v>
      </c>
      <c r="N439" t="n">
        <v>0</v>
      </c>
      <c r="O439" t="n">
        <v>0</v>
      </c>
      <c r="P439" t="n">
        <v>0</v>
      </c>
      <c r="Q439" t="n">
        <v>1</v>
      </c>
      <c r="R439" t="n">
        <v>0</v>
      </c>
      <c r="S439" t="n">
        <v>2</v>
      </c>
      <c r="T439" t="n">
        <v>2</v>
      </c>
      <c r="U439" t="n">
        <v>2</v>
      </c>
      <c r="V439" s="2" t="inlineStr">
        <is>
          <t>Järnsparv
Kungsfågel</t>
        </is>
      </c>
      <c r="W439">
        <f>HYPERLINK("https://klasma.github.io/Logging_0360/artfynd/A 49647-2022 artfynd.xlsx", "A 49647-2022")</f>
        <v/>
      </c>
      <c r="X439">
        <f>HYPERLINK("https://klasma.github.io/Logging_0360/kartor/A 49647-2022 karta.png", "A 49647-2022")</f>
        <v/>
      </c>
      <c r="Y439">
        <f>HYPERLINK("https://klasma.github.io/Logging_0360/kartor_geotiff/A 49647-2022 georefererad karta.tif", "A 49647-2022")</f>
        <v/>
      </c>
      <c r="AA439">
        <f>HYPERLINK("https://klasma.github.io/Logging_0360/klagomål/A 49647-2022 FSC-klagomål.docx", "A 49647-2022")</f>
        <v/>
      </c>
      <c r="AB439">
        <f>HYPERLINK("https://klasma.github.io/Logging_0360/klagomålsmail/A 49647-2022 FSC-klagomål mail.docx", "A 49647-2022")</f>
        <v/>
      </c>
      <c r="AC439">
        <f>HYPERLINK("https://klasma.github.io/Logging_0360/tillsyn/A 49647-2022 tillsynsbegäran.docx", "A 49647-2022")</f>
        <v/>
      </c>
      <c r="AD439">
        <f>HYPERLINK("https://klasma.github.io/Logging_0360/tillsynsmail/A 49647-2022 tillsynsbegäran mail.docx", "A 49647-2022")</f>
        <v/>
      </c>
      <c r="AE439">
        <f>HYPERLINK("https://klasma.github.io/Logging_0360/fåglar/A 49647-2022 prioriterade fågelarter.docx", "A 49647-2022")</f>
        <v/>
      </c>
    </row>
    <row r="440" ht="15" customHeight="1">
      <c r="A440" t="inlineStr">
        <is>
          <t>A 51935-2023</t>
        </is>
      </c>
      <c r="B440" t="inlineStr">
        <is>
          <t>avverkningsanmälan</t>
        </is>
      </c>
      <c r="C440" t="inlineStr">
        <is>
          <t>Föryngringsavverkning</t>
        </is>
      </c>
      <c r="D440" s="1" t="n">
        <v>45223</v>
      </c>
      <c r="E440" s="1" t="n">
        <v>46309</v>
      </c>
      <c r="F440" t="inlineStr">
        <is>
          <t>UPPSALA LÄN</t>
        </is>
      </c>
      <c r="G440" t="inlineStr">
        <is>
          <t>UPPSALA</t>
        </is>
      </c>
      <c r="I440" t="n">
        <v>4.8</v>
      </c>
      <c r="J440" t="n">
        <v>0</v>
      </c>
      <c r="K440" t="n">
        <v>1</v>
      </c>
      <c r="L440" t="n">
        <v>0</v>
      </c>
      <c r="M440" t="n">
        <v>1</v>
      </c>
      <c r="N440" t="n">
        <v>0</v>
      </c>
      <c r="O440" t="n">
        <v>0</v>
      </c>
      <c r="P440" t="n">
        <v>0</v>
      </c>
      <c r="Q440" t="n">
        <v>1</v>
      </c>
      <c r="R440" t="n">
        <v>1</v>
      </c>
      <c r="S440" t="n">
        <v>2</v>
      </c>
      <c r="T440" t="n">
        <v>2</v>
      </c>
      <c r="U440" t="n">
        <v>1</v>
      </c>
      <c r="V440" s="2" t="inlineStr">
        <is>
          <t>Ekpricklav
Fransig jordstjärna</t>
        </is>
      </c>
      <c r="W440">
        <f>HYPERLINK("https://klasma.github.io/Logging_0380/artfynd/A 51935-2023 artfynd.xlsx", "A 51935-2023")</f>
        <v/>
      </c>
      <c r="X440">
        <f>HYPERLINK("https://klasma.github.io/Logging_0380/kartor/A 51935-2023 karta.png", "A 51935-2023")</f>
        <v/>
      </c>
      <c r="Y440">
        <f>HYPERLINK("https://klasma.github.io/Logging_0380/kartor_geotiff/A 51935-2023 georefererad karta.tif", "A 51935-2023")</f>
        <v/>
      </c>
      <c r="AA440">
        <f>HYPERLINK("https://klasma.github.io/Logging_0380/klagomål/A 51935-2023 FSC-klagomål.docx", "A 51935-2023")</f>
        <v/>
      </c>
      <c r="AB440">
        <f>HYPERLINK("https://klasma.github.io/Logging_0380/klagomålsmail/A 51935-2023 FSC-klagomål mail.docx", "A 51935-2023")</f>
        <v/>
      </c>
      <c r="AC440">
        <f>HYPERLINK("https://klasma.github.io/Logging_0380/tillsyn/A 51935-2023 tillsynsbegäran.docx", "A 51935-2023")</f>
        <v/>
      </c>
      <c r="AD440">
        <f>HYPERLINK("https://klasma.github.io/Logging_0380/tillsynsmail/A 51935-2023 tillsynsbegäran mail.docx", "A 51935-2023")</f>
        <v/>
      </c>
    </row>
    <row r="441" ht="15" customHeight="1">
      <c r="A441" t="inlineStr">
        <is>
          <t>A 18576-2026</t>
        </is>
      </c>
      <c r="B441" t="inlineStr">
        <is>
          <t>avverkningsanmälan</t>
        </is>
      </c>
      <c r="C441" t="inlineStr">
        <is>
          <t>Föryngringsavverkning</t>
        </is>
      </c>
      <c r="D441" s="1" t="n">
        <v>46127</v>
      </c>
      <c r="E441" s="1" t="n">
        <v>46309</v>
      </c>
      <c r="F441" t="inlineStr">
        <is>
          <t>UPPSALA LÄN</t>
        </is>
      </c>
      <c r="G441" t="inlineStr">
        <is>
          <t>KNIVSTA</t>
        </is>
      </c>
      <c r="I441" t="n">
        <v>4.8</v>
      </c>
      <c r="J441" t="n">
        <v>1</v>
      </c>
      <c r="K441" t="n">
        <v>0</v>
      </c>
      <c r="L441" t="n">
        <v>0</v>
      </c>
      <c r="M441" t="n">
        <v>0</v>
      </c>
      <c r="N441" t="n">
        <v>0</v>
      </c>
      <c r="O441" t="n">
        <v>0</v>
      </c>
      <c r="P441" t="n">
        <v>0</v>
      </c>
      <c r="Q441" t="n">
        <v>0</v>
      </c>
      <c r="R441" t="n">
        <v>0</v>
      </c>
      <c r="S441" t="n">
        <v>2</v>
      </c>
      <c r="T441" t="n">
        <v>7</v>
      </c>
      <c r="U441" t="n">
        <v>7</v>
      </c>
      <c r="V441" s="2" t="inlineStr">
        <is>
          <t>Blåsippa
Kransmossa</t>
        </is>
      </c>
      <c r="W441">
        <f>HYPERLINK("https://klasma.github.io/Logging_0330/artfynd/A 18576-2026 artfynd.xlsx", "A 18576-2026")</f>
        <v/>
      </c>
      <c r="X441">
        <f>HYPERLINK("https://klasma.github.io/Logging_0330/kartor/A 18576-2026 karta.png", "A 18576-2026")</f>
        <v/>
      </c>
      <c r="Y441">
        <f>HYPERLINK("https://klasma.github.io/Logging_0330/kartor_geotiff/A 18576-2026 georefererad karta.tif", "A 18576-2026")</f>
        <v/>
      </c>
      <c r="AA441">
        <f>HYPERLINK("https://klasma.github.io/Logging_0330/klagomål/A 18576-2026 FSC-klagomål.docx", "A 18576-2026")</f>
        <v/>
      </c>
      <c r="AB441">
        <f>HYPERLINK("https://klasma.github.io/Logging_0330/klagomålsmail/A 18576-2026 FSC-klagomål mail.docx", "A 18576-2026")</f>
        <v/>
      </c>
      <c r="AC441">
        <f>HYPERLINK("https://klasma.github.io/Logging_0330/tillsyn/A 18576-2026 tillsynsbegäran.docx", "A 18576-2026")</f>
        <v/>
      </c>
      <c r="AD441">
        <f>HYPERLINK("https://klasma.github.io/Logging_0330/tillsynsmail/A 18576-2026 tillsynsbegäran mail.docx", "A 18576-2026")</f>
        <v/>
      </c>
    </row>
    <row r="442" ht="15" customHeight="1">
      <c r="A442" t="inlineStr">
        <is>
          <t>A 29510-2025</t>
        </is>
      </c>
      <c r="B442" t="inlineStr">
        <is>
          <t>avverkningsanmälan</t>
        </is>
      </c>
      <c r="C442" t="inlineStr">
        <is>
          <t>Föryngringsavverkning</t>
        </is>
      </c>
      <c r="D442" s="1" t="n">
        <v>45825</v>
      </c>
      <c r="E442" s="1" t="n">
        <v>46309</v>
      </c>
      <c r="F442" t="inlineStr">
        <is>
          <t>UPPSALA LÄN</t>
        </is>
      </c>
      <c r="G442" t="inlineStr">
        <is>
          <t>ENKÖPING</t>
        </is>
      </c>
      <c r="I442" t="n">
        <v>2.4</v>
      </c>
      <c r="J442" t="n">
        <v>1</v>
      </c>
      <c r="K442" t="n">
        <v>0</v>
      </c>
      <c r="L442" t="n">
        <v>0</v>
      </c>
      <c r="M442" t="n">
        <v>1</v>
      </c>
      <c r="N442" t="n">
        <v>0</v>
      </c>
      <c r="O442" t="n">
        <v>0</v>
      </c>
      <c r="P442" t="n">
        <v>0</v>
      </c>
      <c r="Q442" t="n">
        <v>1</v>
      </c>
      <c r="R442" t="n">
        <v>1</v>
      </c>
      <c r="S442" t="n">
        <v>2</v>
      </c>
      <c r="T442" t="n">
        <v>2</v>
      </c>
      <c r="U442" t="n">
        <v>1</v>
      </c>
      <c r="V442" s="2" t="inlineStr">
        <is>
          <t>Toppjungfrulin
Blåsippa</t>
        </is>
      </c>
      <c r="W442">
        <f>HYPERLINK("https://klasma.github.io/Logging_0381/artfynd/A 29510-2025 artfynd.xlsx", "A 29510-2025")</f>
        <v/>
      </c>
      <c r="X442">
        <f>HYPERLINK("https://klasma.github.io/Logging_0381/kartor/A 29510-2025 karta.png", "A 29510-2025")</f>
        <v/>
      </c>
      <c r="Y442">
        <f>HYPERLINK("https://klasma.github.io/Logging_0381/kartor_geotiff/A 29510-2025 georefererad karta.tif", "A 29510-2025")</f>
        <v/>
      </c>
      <c r="AA442">
        <f>HYPERLINK("https://klasma.github.io/Logging_0381/klagomål/A 29510-2025 FSC-klagomål.docx", "A 29510-2025")</f>
        <v/>
      </c>
      <c r="AB442">
        <f>HYPERLINK("https://klasma.github.io/Logging_0381/klagomålsmail/A 29510-2025 FSC-klagomål mail.docx", "A 29510-2025")</f>
        <v/>
      </c>
      <c r="AC442">
        <f>HYPERLINK("https://klasma.github.io/Logging_0381/tillsyn/A 29510-2025 tillsynsbegäran.docx", "A 29510-2025")</f>
        <v/>
      </c>
      <c r="AD442">
        <f>HYPERLINK("https://klasma.github.io/Logging_0381/tillsynsmail/A 29510-2025 tillsynsbegäran mail.docx", "A 29510-2025")</f>
        <v/>
      </c>
    </row>
    <row r="443" ht="15" customHeight="1">
      <c r="A443" t="inlineStr">
        <is>
          <t>A 13066-2024</t>
        </is>
      </c>
      <c r="B443" t="inlineStr">
        <is>
          <t>avverkningsanmälan</t>
        </is>
      </c>
      <c r="C443" t="inlineStr">
        <is>
          <t>Föryngringsavverkning</t>
        </is>
      </c>
      <c r="D443" s="1" t="n">
        <v>45385</v>
      </c>
      <c r="E443" s="1" t="n">
        <v>46309</v>
      </c>
      <c r="F443" t="inlineStr">
        <is>
          <t>UPPSALA LÄN</t>
        </is>
      </c>
      <c r="G443" t="inlineStr">
        <is>
          <t>TIERP</t>
        </is>
      </c>
      <c r="H443" t="inlineStr">
        <is>
          <t>Bergvik skog öst AB</t>
        </is>
      </c>
      <c r="I443" t="n">
        <v>8.699999999999999</v>
      </c>
      <c r="J443" t="n">
        <v>0</v>
      </c>
      <c r="K443" t="n">
        <v>0</v>
      </c>
      <c r="L443" t="n">
        <v>1</v>
      </c>
      <c r="M443" t="n">
        <v>1</v>
      </c>
      <c r="N443" t="n">
        <v>0</v>
      </c>
      <c r="O443" t="n">
        <v>0</v>
      </c>
      <c r="P443" t="n">
        <v>0</v>
      </c>
      <c r="Q443" t="n">
        <v>2</v>
      </c>
      <c r="R443" t="n">
        <v>1</v>
      </c>
      <c r="S443" t="n">
        <v>2</v>
      </c>
      <c r="T443" t="n">
        <v>2</v>
      </c>
      <c r="U443" t="n">
        <v>0</v>
      </c>
      <c r="V443" s="2" t="inlineStr">
        <is>
          <t>Silverblåvinge
Skogsklocka</t>
        </is>
      </c>
      <c r="W443">
        <f>HYPERLINK("https://klasma.github.io/Logging_0360/artfynd/A 13066-2024 artfynd.xlsx", "A 13066-2024")</f>
        <v/>
      </c>
      <c r="X443">
        <f>HYPERLINK("https://klasma.github.io/Logging_0360/kartor/A 13066-2024 karta.png", "A 13066-2024")</f>
        <v/>
      </c>
      <c r="Y443">
        <f>HYPERLINK("https://klasma.github.io/Logging_0360/kartor_geotiff/A 13066-2024 georefererad karta.tif", "A 13066-2024")</f>
        <v/>
      </c>
      <c r="AA443">
        <f>HYPERLINK("https://klasma.github.io/Logging_0360/klagomål/A 13066-2024 FSC-klagomål.docx", "A 13066-2024")</f>
        <v/>
      </c>
      <c r="AB443">
        <f>HYPERLINK("https://klasma.github.io/Logging_0360/klagomålsmail/A 13066-2024 FSC-klagomål mail.docx", "A 13066-2024")</f>
        <v/>
      </c>
      <c r="AC443">
        <f>HYPERLINK("https://klasma.github.io/Logging_0360/tillsyn/A 13066-2024 tillsynsbegäran.docx", "A 13066-2024")</f>
        <v/>
      </c>
      <c r="AD443">
        <f>HYPERLINK("https://klasma.github.io/Logging_0360/tillsynsmail/A 13066-2024 tillsynsbegäran mail.docx", "A 13066-2024")</f>
        <v/>
      </c>
    </row>
    <row r="444" ht="15" customHeight="1">
      <c r="A444" t="inlineStr">
        <is>
          <t>A 20509-2026</t>
        </is>
      </c>
      <c r="B444" t="inlineStr">
        <is>
          <t>avverkningsanmälan</t>
        </is>
      </c>
      <c r="C444" t="inlineStr">
        <is>
          <t>Föryngringsavverkning</t>
        </is>
      </c>
      <c r="D444" s="1" t="n">
        <v>46140</v>
      </c>
      <c r="E444" s="1" t="n">
        <v>46309</v>
      </c>
      <c r="F444" t="inlineStr">
        <is>
          <t>UPPSALA LÄN</t>
        </is>
      </c>
      <c r="G444" t="inlineStr">
        <is>
          <t>HEBY</t>
        </is>
      </c>
      <c r="H444" t="inlineStr">
        <is>
          <t>Övriga Aktiebolag</t>
        </is>
      </c>
      <c r="I444" t="n">
        <v>1.8</v>
      </c>
      <c r="J444" t="n">
        <v>1</v>
      </c>
      <c r="K444" t="n">
        <v>1</v>
      </c>
      <c r="L444" t="n">
        <v>1</v>
      </c>
      <c r="M444" t="n">
        <v>0</v>
      </c>
      <c r="N444" t="n">
        <v>0</v>
      </c>
      <c r="O444" t="n">
        <v>0</v>
      </c>
      <c r="P444" t="n">
        <v>0</v>
      </c>
      <c r="Q444" t="n">
        <v>1</v>
      </c>
      <c r="R444" t="n">
        <v>0</v>
      </c>
      <c r="S444" t="n">
        <v>2</v>
      </c>
      <c r="T444" t="n">
        <v>4</v>
      </c>
      <c r="U444" t="n">
        <v>0</v>
      </c>
      <c r="V444" s="2" t="inlineStr">
        <is>
          <t>Motaggsvamp
Plattlummer</t>
        </is>
      </c>
      <c r="W444">
        <f>HYPERLINK("https://klasma.github.io/Logging_0331/artfynd/A 20509-2026 artfynd.xlsx", "A 20509-2026")</f>
        <v/>
      </c>
      <c r="X444">
        <f>HYPERLINK("https://klasma.github.io/Logging_0331/kartor/A 20509-2026 karta.png", "A 20509-2026")</f>
        <v/>
      </c>
      <c r="Y444">
        <f>HYPERLINK("https://klasma.github.io/Logging_0331/kartor_geotiff/A 20509-2026 georefererad karta.tif", "A 20509-2026")</f>
        <v/>
      </c>
      <c r="AA444">
        <f>HYPERLINK("https://klasma.github.io/Logging_0331/klagomål/A 20509-2026 FSC-klagomål.docx", "A 20509-2026")</f>
        <v/>
      </c>
      <c r="AB444">
        <f>HYPERLINK("https://klasma.github.io/Logging_0331/klagomålsmail/A 20509-2026 FSC-klagomål mail.docx", "A 20509-2026")</f>
        <v/>
      </c>
      <c r="AC444">
        <f>HYPERLINK("https://klasma.github.io/Logging_0331/tillsyn/A 20509-2026 tillsynsbegäran.docx", "A 20509-2026")</f>
        <v/>
      </c>
      <c r="AD444">
        <f>HYPERLINK("https://klasma.github.io/Logging_0331/tillsynsmail/A 20509-2026 tillsynsbegäran mail.docx", "A 20509-2026")</f>
        <v/>
      </c>
    </row>
    <row r="445" ht="15" customHeight="1">
      <c r="A445" t="inlineStr">
        <is>
          <t>A 20871-2026</t>
        </is>
      </c>
      <c r="B445" t="inlineStr">
        <is>
          <t>avverkningsanmälan</t>
        </is>
      </c>
      <c r="C445" t="inlineStr">
        <is>
          <t>Föryngringsavverkning</t>
        </is>
      </c>
      <c r="D445" s="1" t="n">
        <v>46142</v>
      </c>
      <c r="E445" s="1" t="n">
        <v>46309</v>
      </c>
      <c r="F445" t="inlineStr">
        <is>
          <t>UPPSALA LÄN</t>
        </is>
      </c>
      <c r="G445" t="inlineStr">
        <is>
          <t>ÖSTHAMMAR</t>
        </is>
      </c>
      <c r="H445" t="inlineStr">
        <is>
          <t>Övriga Aktiebolag</t>
        </is>
      </c>
      <c r="I445" t="n">
        <v>6.2</v>
      </c>
      <c r="J445" t="n">
        <v>0</v>
      </c>
      <c r="K445" t="n">
        <v>0</v>
      </c>
      <c r="L445" t="n">
        <v>2</v>
      </c>
      <c r="M445" t="n">
        <v>0</v>
      </c>
      <c r="N445" t="n">
        <v>0</v>
      </c>
      <c r="O445" t="n">
        <v>0</v>
      </c>
      <c r="P445" t="n">
        <v>0</v>
      </c>
      <c r="Q445" t="n">
        <v>2</v>
      </c>
      <c r="R445" t="n">
        <v>0</v>
      </c>
      <c r="S445" t="n">
        <v>2</v>
      </c>
      <c r="T445" t="n">
        <v>3</v>
      </c>
      <c r="U445" t="n">
        <v>0</v>
      </c>
      <c r="V445" s="2" t="inlineStr">
        <is>
          <t>Klasefibbla
Slåtterfibbla</t>
        </is>
      </c>
      <c r="W445">
        <f>HYPERLINK("https://klasma.github.io/Logging_0382/artfynd/A 20871-2026 artfynd.xlsx", "A 20871-2026")</f>
        <v/>
      </c>
      <c r="X445">
        <f>HYPERLINK("https://klasma.github.io/Logging_0382/kartor/A 20871-2026 karta.png", "A 20871-2026")</f>
        <v/>
      </c>
      <c r="Y445">
        <f>HYPERLINK("https://klasma.github.io/Logging_0382/kartor_geotiff/A 20871-2026 georefererad karta.tif", "A 20871-2026")</f>
        <v/>
      </c>
      <c r="AA445">
        <f>HYPERLINK("https://klasma.github.io/Logging_0382/klagomål/A 20871-2026 FSC-klagomål.docx", "A 20871-2026")</f>
        <v/>
      </c>
      <c r="AB445">
        <f>HYPERLINK("https://klasma.github.io/Logging_0382/klagomålsmail/A 20871-2026 FSC-klagomål mail.docx", "A 20871-2026")</f>
        <v/>
      </c>
      <c r="AC445">
        <f>HYPERLINK("https://klasma.github.io/Logging_0382/tillsyn/A 20871-2026 tillsynsbegäran.docx", "A 20871-2026")</f>
        <v/>
      </c>
      <c r="AD445">
        <f>HYPERLINK("https://klasma.github.io/Logging_0382/tillsynsmail/A 20871-2026 tillsynsbegäran mail.docx", "A 20871-2026")</f>
        <v/>
      </c>
    </row>
    <row r="446" ht="15" customHeight="1">
      <c r="A446" t="inlineStr">
        <is>
          <t>A 13279-2022</t>
        </is>
      </c>
      <c r="B446" t="inlineStr">
        <is>
          <t>avverkningsanmälan</t>
        </is>
      </c>
      <c r="C446" t="inlineStr">
        <is>
          <t>Föryngringsavverkning</t>
        </is>
      </c>
      <c r="D446" s="1" t="n">
        <v>44644</v>
      </c>
      <c r="E446" s="1" t="n">
        <v>46309</v>
      </c>
      <c r="F446" t="inlineStr">
        <is>
          <t>UPPSALA LÄN</t>
        </is>
      </c>
      <c r="G446" t="inlineStr">
        <is>
          <t>ÖSTHAMMAR</t>
        </is>
      </c>
      <c r="I446" t="n">
        <v>1.4</v>
      </c>
      <c r="J446" t="n">
        <v>2</v>
      </c>
      <c r="K446" t="n">
        <v>1</v>
      </c>
      <c r="L446" t="n">
        <v>0</v>
      </c>
      <c r="M446" t="n">
        <v>0</v>
      </c>
      <c r="N446" t="n">
        <v>0</v>
      </c>
      <c r="O446" t="n">
        <v>0</v>
      </c>
      <c r="P446" t="n">
        <v>0</v>
      </c>
      <c r="Q446" t="n">
        <v>0</v>
      </c>
      <c r="R446" t="n">
        <v>0</v>
      </c>
      <c r="S446" t="n">
        <v>2</v>
      </c>
      <c r="T446" t="n">
        <v>7</v>
      </c>
      <c r="U446" t="n">
        <v>0</v>
      </c>
      <c r="V446" s="2" t="inlineStr">
        <is>
          <t>Tvåblad
Gullviva</t>
        </is>
      </c>
      <c r="W446">
        <f>HYPERLINK("https://klasma.github.io/Logging_0382/artfynd/A 13279-2022 artfynd.xlsx", "A 13279-2022")</f>
        <v/>
      </c>
      <c r="X446">
        <f>HYPERLINK("https://klasma.github.io/Logging_0382/kartor/A 13279-2022 karta.png", "A 13279-2022")</f>
        <v/>
      </c>
      <c r="Y446">
        <f>HYPERLINK("https://klasma.github.io/Logging_0382/kartor_geotiff/A 13279-2022 georefererad karta.tif", "A 13279-2022")</f>
        <v/>
      </c>
      <c r="AA446">
        <f>HYPERLINK("https://klasma.github.io/Logging_0382/klagomål/A 13279-2022 FSC-klagomål.docx", "A 13279-2022")</f>
        <v/>
      </c>
      <c r="AB446">
        <f>HYPERLINK("https://klasma.github.io/Logging_0382/klagomålsmail/A 13279-2022 FSC-klagomål mail.docx", "A 13279-2022")</f>
        <v/>
      </c>
      <c r="AC446">
        <f>HYPERLINK("https://klasma.github.io/Logging_0382/tillsyn/A 13279-2022 tillsynsbegäran.docx", "A 13279-2022")</f>
        <v/>
      </c>
      <c r="AD446">
        <f>HYPERLINK("https://klasma.github.io/Logging_0382/tillsynsmail/A 13279-2022 tillsynsbegäran mail.docx", "A 13279-2022")</f>
        <v/>
      </c>
    </row>
    <row r="447" ht="15" customHeight="1">
      <c r="A447" t="inlineStr">
        <is>
          <t>A 45116-2023</t>
        </is>
      </c>
      <c r="B447" t="inlineStr">
        <is>
          <t>avverkningsanmälan</t>
        </is>
      </c>
      <c r="C447" t="inlineStr">
        <is>
          <t>Föryngringsavverkning</t>
        </is>
      </c>
      <c r="D447" s="1" t="n">
        <v>45191</v>
      </c>
      <c r="E447" s="1" t="n">
        <v>46309</v>
      </c>
      <c r="F447" t="inlineStr">
        <is>
          <t>UPPSALA LÄN</t>
        </is>
      </c>
      <c r="G447" t="inlineStr">
        <is>
          <t>ENKÖPING</t>
        </is>
      </c>
      <c r="I447" t="n">
        <v>2</v>
      </c>
      <c r="J447" t="n">
        <v>0</v>
      </c>
      <c r="K447" t="n">
        <v>1</v>
      </c>
      <c r="L447" t="n">
        <v>0</v>
      </c>
      <c r="M447" t="n">
        <v>1</v>
      </c>
      <c r="N447" t="n">
        <v>0</v>
      </c>
      <c r="O447" t="n">
        <v>0</v>
      </c>
      <c r="P447" t="n">
        <v>0</v>
      </c>
      <c r="Q447" t="n">
        <v>1</v>
      </c>
      <c r="R447" t="n">
        <v>1</v>
      </c>
      <c r="S447" t="n">
        <v>2</v>
      </c>
      <c r="T447" t="n">
        <v>2</v>
      </c>
      <c r="U447" t="n">
        <v>0</v>
      </c>
      <c r="V447" s="2" t="inlineStr">
        <is>
          <t>Mindre bastardsvärmare
Rävticka</t>
        </is>
      </c>
      <c r="W447">
        <f>HYPERLINK("https://klasma.github.io/Logging_0381/artfynd/A 45116-2023 artfynd.xlsx", "A 45116-2023")</f>
        <v/>
      </c>
      <c r="X447">
        <f>HYPERLINK("https://klasma.github.io/Logging_0381/kartor/A 45116-2023 karta.png", "A 45116-2023")</f>
        <v/>
      </c>
      <c r="Y447">
        <f>HYPERLINK("https://klasma.github.io/Logging_0381/kartor_geotiff/A 45116-2023 georefererad karta.tif", "A 45116-2023")</f>
        <v/>
      </c>
      <c r="AA447">
        <f>HYPERLINK("https://klasma.github.io/Logging_0381/klagomål/A 45116-2023 FSC-klagomål.docx", "A 45116-2023")</f>
        <v/>
      </c>
      <c r="AB447">
        <f>HYPERLINK("https://klasma.github.io/Logging_0381/klagomålsmail/A 45116-2023 FSC-klagomål mail.docx", "A 45116-2023")</f>
        <v/>
      </c>
      <c r="AC447">
        <f>HYPERLINK("https://klasma.github.io/Logging_0381/tillsyn/A 45116-2023 tillsynsbegäran.docx", "A 45116-2023")</f>
        <v/>
      </c>
      <c r="AD447">
        <f>HYPERLINK("https://klasma.github.io/Logging_0381/tillsynsmail/A 45116-2023 tillsynsbegäran mail.docx", "A 45116-2023")</f>
        <v/>
      </c>
    </row>
    <row r="448" ht="15" customHeight="1">
      <c r="A448" t="inlineStr">
        <is>
          <t>A 14859-2025</t>
        </is>
      </c>
      <c r="B448" t="inlineStr">
        <is>
          <t>avverkningsanmälan</t>
        </is>
      </c>
      <c r="C448" t="inlineStr">
        <is>
          <t>Föryngringsavverkning</t>
        </is>
      </c>
      <c r="D448" s="1" t="n">
        <v>45743</v>
      </c>
      <c r="E448" s="1" t="n">
        <v>46309</v>
      </c>
      <c r="F448" t="inlineStr">
        <is>
          <t>UPPSALA LÄN</t>
        </is>
      </c>
      <c r="G448" t="inlineStr">
        <is>
          <t>ÖSTHAMMAR</t>
        </is>
      </c>
      <c r="I448" t="n">
        <v>1.1</v>
      </c>
      <c r="J448" t="n">
        <v>0</v>
      </c>
      <c r="K448" t="n">
        <v>0</v>
      </c>
      <c r="L448" t="n">
        <v>2</v>
      </c>
      <c r="M448" t="n">
        <v>0</v>
      </c>
      <c r="N448" t="n">
        <v>0</v>
      </c>
      <c r="O448" t="n">
        <v>0</v>
      </c>
      <c r="P448" t="n">
        <v>0</v>
      </c>
      <c r="Q448" t="n">
        <v>2</v>
      </c>
      <c r="R448" t="n">
        <v>0</v>
      </c>
      <c r="S448" t="n">
        <v>2</v>
      </c>
      <c r="T448" t="n">
        <v>2</v>
      </c>
      <c r="U448" t="n">
        <v>0</v>
      </c>
      <c r="V448" s="2" t="inlineStr">
        <is>
          <t>Klasefibbla
Solvända</t>
        </is>
      </c>
      <c r="W448">
        <f>HYPERLINK("https://klasma.github.io/Logging_0382/artfynd/A 14859-2025 artfynd.xlsx", "A 14859-2025")</f>
        <v/>
      </c>
      <c r="X448">
        <f>HYPERLINK("https://klasma.github.io/Logging_0382/kartor/A 14859-2025 karta.png", "A 14859-2025")</f>
        <v/>
      </c>
      <c r="Y448">
        <f>HYPERLINK("https://klasma.github.io/Logging_0382/kartor_geotiff/A 14859-2025 georefererad karta.tif", "A 14859-2025")</f>
        <v/>
      </c>
      <c r="AA448">
        <f>HYPERLINK("https://klasma.github.io/Logging_0382/klagomål/A 14859-2025 FSC-klagomål.docx", "A 14859-2025")</f>
        <v/>
      </c>
      <c r="AB448">
        <f>HYPERLINK("https://klasma.github.io/Logging_0382/klagomålsmail/A 14859-2025 FSC-klagomål mail.docx", "A 14859-2025")</f>
        <v/>
      </c>
      <c r="AC448">
        <f>HYPERLINK("https://klasma.github.io/Logging_0382/tillsyn/A 14859-2025 tillsynsbegäran.docx", "A 14859-2025")</f>
        <v/>
      </c>
      <c r="AD448">
        <f>HYPERLINK("https://klasma.github.io/Logging_0382/tillsynsmail/A 14859-2025 tillsynsbegäran mail.docx", "A 14859-2025")</f>
        <v/>
      </c>
    </row>
    <row r="449" ht="15" customHeight="1">
      <c r="A449" t="inlineStr">
        <is>
          <t>A 25632-2026</t>
        </is>
      </c>
      <c r="B449" t="inlineStr">
        <is>
          <t>avverkningsanmälan</t>
        </is>
      </c>
      <c r="C449" t="inlineStr">
        <is>
          <t>Föryngringsavverkning</t>
        </is>
      </c>
      <c r="D449" s="1" t="n">
        <v>46177</v>
      </c>
      <c r="E449" s="1" t="n">
        <v>46309</v>
      </c>
      <c r="F449" t="inlineStr">
        <is>
          <t>UPPSALA LÄN</t>
        </is>
      </c>
      <c r="G449" t="inlineStr">
        <is>
          <t>HEBY</t>
        </is>
      </c>
      <c r="I449" t="n">
        <v>10.2</v>
      </c>
      <c r="J449" t="n">
        <v>2</v>
      </c>
      <c r="K449" t="n">
        <v>0</v>
      </c>
      <c r="L449" t="n">
        <v>0</v>
      </c>
      <c r="M449" t="n">
        <v>0</v>
      </c>
      <c r="N449" t="n">
        <v>0</v>
      </c>
      <c r="O449" t="n">
        <v>0</v>
      </c>
      <c r="P449" t="n">
        <v>0</v>
      </c>
      <c r="Q449" t="n">
        <v>0</v>
      </c>
      <c r="R449" t="n">
        <v>0</v>
      </c>
      <c r="S449" t="n">
        <v>2</v>
      </c>
      <c r="T449" t="n">
        <v>2</v>
      </c>
      <c r="U449" t="n">
        <v>0</v>
      </c>
      <c r="V449" s="2" t="inlineStr">
        <is>
          <t>Tjäder
Havsörn</t>
        </is>
      </c>
      <c r="W449">
        <f>HYPERLINK("https://klasma.github.io/Logging_0331/artfynd/A 25632-2026 artfynd.xlsx", "A 25632-2026")</f>
        <v/>
      </c>
      <c r="X449">
        <f>HYPERLINK("https://klasma.github.io/Logging_0331/kartor/A 25632-2026 karta.png", "A 25632-2026")</f>
        <v/>
      </c>
      <c r="Y449">
        <f>HYPERLINK("https://klasma.github.io/Logging_0331/kartor_geotiff/A 25632-2026 georefererad karta.tif", "A 25632-2026")</f>
        <v/>
      </c>
      <c r="AA449">
        <f>HYPERLINK("https://klasma.github.io/Logging_0331/klagomål/A 25632-2026 FSC-klagomål.docx", "A 25632-2026")</f>
        <v/>
      </c>
      <c r="AB449">
        <f>HYPERLINK("https://klasma.github.io/Logging_0331/klagomålsmail/A 25632-2026 FSC-klagomål mail.docx", "A 25632-2026")</f>
        <v/>
      </c>
      <c r="AC449">
        <f>HYPERLINK("https://klasma.github.io/Logging_0331/tillsyn/A 25632-2026 tillsynsbegäran.docx", "A 25632-2026")</f>
        <v/>
      </c>
      <c r="AD449">
        <f>HYPERLINK("https://klasma.github.io/Logging_0331/tillsynsmail/A 25632-2026 tillsynsbegäran mail.docx", "A 25632-2026")</f>
        <v/>
      </c>
      <c r="AE449">
        <f>HYPERLINK("https://klasma.github.io/Logging_0331/fåglar/A 25632-2026 prioriterade fågelarter.docx", "A 25632-2026")</f>
        <v/>
      </c>
    </row>
    <row r="450" ht="15" customHeight="1">
      <c r="A450" t="inlineStr">
        <is>
          <t>A 42134-2025</t>
        </is>
      </c>
      <c r="B450" t="inlineStr">
        <is>
          <t>avverkningsanmälan</t>
        </is>
      </c>
      <c r="C450" t="inlineStr">
        <is>
          <t>Avverkning för annat ändamål</t>
        </is>
      </c>
      <c r="D450" s="1" t="n">
        <v>45904</v>
      </c>
      <c r="E450" s="1" t="n">
        <v>46309</v>
      </c>
      <c r="F450" t="inlineStr">
        <is>
          <t>UPPSALA LÄN</t>
        </is>
      </c>
      <c r="G450" t="inlineStr">
        <is>
          <t>UPPSALA</t>
        </is>
      </c>
      <c r="I450" t="n">
        <v>0.7</v>
      </c>
      <c r="J450" t="n">
        <v>2</v>
      </c>
      <c r="K450" t="n">
        <v>0</v>
      </c>
      <c r="L450" t="n">
        <v>1</v>
      </c>
      <c r="M450" t="n">
        <v>0</v>
      </c>
      <c r="N450" t="n">
        <v>0</v>
      </c>
      <c r="O450" t="n">
        <v>0</v>
      </c>
      <c r="P450" t="n">
        <v>0</v>
      </c>
      <c r="Q450" t="n">
        <v>1</v>
      </c>
      <c r="R450" t="n">
        <v>0</v>
      </c>
      <c r="S450" t="n">
        <v>2</v>
      </c>
      <c r="T450" t="n">
        <v>2</v>
      </c>
      <c r="U450" t="n">
        <v>1</v>
      </c>
      <c r="V450" s="2" t="inlineStr">
        <is>
          <t>Nordfladdermus
Större vattensalamander</t>
        </is>
      </c>
      <c r="W450">
        <f>HYPERLINK("https://klasma.github.io/Logging_0380/artfynd/A 42134-2025 artfynd.xlsx", "A 42134-2025")</f>
        <v/>
      </c>
      <c r="X450">
        <f>HYPERLINK("https://klasma.github.io/Logging_0380/kartor/A 42134-2025 karta.png", "A 42134-2025")</f>
        <v/>
      </c>
      <c r="Y450">
        <f>HYPERLINK("https://klasma.github.io/Logging_0380/kartor_geotiff/A 42134-2025 georefererad karta.tif", "A 42134-2025")</f>
        <v/>
      </c>
      <c r="AA450">
        <f>HYPERLINK("https://klasma.github.io/Logging_0380/klagomål/A 42134-2025 FSC-klagomål.docx", "A 42134-2025")</f>
        <v/>
      </c>
      <c r="AB450">
        <f>HYPERLINK("https://klasma.github.io/Logging_0380/klagomålsmail/A 42134-2025 FSC-klagomål mail.docx", "A 42134-2025")</f>
        <v/>
      </c>
      <c r="AC450">
        <f>HYPERLINK("https://klasma.github.io/Logging_0380/tillsyn/A 42134-2025 tillsynsbegäran.docx", "A 42134-2025")</f>
        <v/>
      </c>
      <c r="AD450">
        <f>HYPERLINK("https://klasma.github.io/Logging_0380/tillsynsmail/A 42134-2025 tillsynsbegäran mail.docx", "A 42134-2025")</f>
        <v/>
      </c>
    </row>
    <row r="451" ht="15" customHeight="1">
      <c r="A451" t="inlineStr">
        <is>
          <t>A 27342-2026</t>
        </is>
      </c>
      <c r="B451" t="inlineStr">
        <is>
          <t>avverkningsanmälan</t>
        </is>
      </c>
      <c r="C451" t="inlineStr">
        <is>
          <t>Föryngringsavverkning</t>
        </is>
      </c>
      <c r="D451" s="1" t="n">
        <v>46188</v>
      </c>
      <c r="E451" s="1" t="n">
        <v>46309</v>
      </c>
      <c r="F451" t="inlineStr">
        <is>
          <t>UPPSALA LÄN</t>
        </is>
      </c>
      <c r="G451" t="inlineStr">
        <is>
          <t>TIERP</t>
        </is>
      </c>
      <c r="H451" t="inlineStr">
        <is>
          <t>Bergvik skog väst AB</t>
        </is>
      </c>
      <c r="I451" t="n">
        <v>4</v>
      </c>
      <c r="J451" t="n">
        <v>2</v>
      </c>
      <c r="K451" t="n">
        <v>0</v>
      </c>
      <c r="L451" t="n">
        <v>1</v>
      </c>
      <c r="M451" t="n">
        <v>0</v>
      </c>
      <c r="N451" t="n">
        <v>0</v>
      </c>
      <c r="O451" t="n">
        <v>0</v>
      </c>
      <c r="P451" t="n">
        <v>0</v>
      </c>
      <c r="Q451" t="n">
        <v>1</v>
      </c>
      <c r="R451" t="n">
        <v>0</v>
      </c>
      <c r="S451" t="n">
        <v>2</v>
      </c>
      <c r="T451" t="n">
        <v>2</v>
      </c>
      <c r="U451" t="n">
        <v>0</v>
      </c>
      <c r="V451" s="2" t="inlineStr">
        <is>
          <t>Gulsparv
Kungsfågel</t>
        </is>
      </c>
      <c r="W451">
        <f>HYPERLINK("https://klasma.github.io/Logging_0360/artfynd/A 27342-2026 artfynd.xlsx", "A 27342-2026")</f>
        <v/>
      </c>
      <c r="X451">
        <f>HYPERLINK("https://klasma.github.io/Logging_0360/kartor/A 27342-2026 karta.png", "A 27342-2026")</f>
        <v/>
      </c>
      <c r="Y451">
        <f>HYPERLINK("https://klasma.github.io/Logging_0360/kartor_geotiff/A 27342-2026 georefererad karta.tif", "A 27342-2026")</f>
        <v/>
      </c>
      <c r="AA451">
        <f>HYPERLINK("https://klasma.github.io/Logging_0360/klagomål/A 27342-2026 FSC-klagomål.docx", "A 27342-2026")</f>
        <v/>
      </c>
      <c r="AB451">
        <f>HYPERLINK("https://klasma.github.io/Logging_0360/klagomålsmail/A 27342-2026 FSC-klagomål mail.docx", "A 27342-2026")</f>
        <v/>
      </c>
      <c r="AC451">
        <f>HYPERLINK("https://klasma.github.io/Logging_0360/tillsyn/A 27342-2026 tillsynsbegäran.docx", "A 27342-2026")</f>
        <v/>
      </c>
      <c r="AD451">
        <f>HYPERLINK("https://klasma.github.io/Logging_0360/tillsynsmail/A 27342-2026 tillsynsbegäran mail.docx", "A 27342-2026")</f>
        <v/>
      </c>
      <c r="AE451">
        <f>HYPERLINK("https://klasma.github.io/Logging_0360/fåglar/A 27342-2026 prioriterade fågelarter.docx", "A 27342-2026")</f>
        <v/>
      </c>
    </row>
    <row r="452" ht="15" customHeight="1">
      <c r="A452" t="inlineStr">
        <is>
          <t>A 27345-2026</t>
        </is>
      </c>
      <c r="B452" t="inlineStr">
        <is>
          <t>avverkningsanmälan</t>
        </is>
      </c>
      <c r="C452" t="inlineStr">
        <is>
          <t>Föryngringsavverkning</t>
        </is>
      </c>
      <c r="D452" s="1" t="n">
        <v>46188</v>
      </c>
      <c r="E452" s="1" t="n">
        <v>46309</v>
      </c>
      <c r="F452" t="inlineStr">
        <is>
          <t>UPPSALA LÄN</t>
        </is>
      </c>
      <c r="G452" t="inlineStr">
        <is>
          <t>TIERP</t>
        </is>
      </c>
      <c r="H452" t="inlineStr">
        <is>
          <t>Bergvik skog väst AB</t>
        </is>
      </c>
      <c r="I452" t="n">
        <v>6</v>
      </c>
      <c r="J452" t="n">
        <v>2</v>
      </c>
      <c r="K452" t="n">
        <v>0</v>
      </c>
      <c r="L452" t="n">
        <v>1</v>
      </c>
      <c r="M452" t="n">
        <v>0</v>
      </c>
      <c r="N452" t="n">
        <v>0</v>
      </c>
      <c r="O452" t="n">
        <v>0</v>
      </c>
      <c r="P452" t="n">
        <v>0</v>
      </c>
      <c r="Q452" t="n">
        <v>1</v>
      </c>
      <c r="R452" t="n">
        <v>0</v>
      </c>
      <c r="S452" t="n">
        <v>2</v>
      </c>
      <c r="T452" t="n">
        <v>2</v>
      </c>
      <c r="U452" t="n">
        <v>0</v>
      </c>
      <c r="V452" s="2" t="inlineStr">
        <is>
          <t>Gulsparv
Kungsfågel</t>
        </is>
      </c>
      <c r="W452">
        <f>HYPERLINK("https://klasma.github.io/Logging_0360/artfynd/A 27345-2026 artfynd.xlsx", "A 27345-2026")</f>
        <v/>
      </c>
      <c r="X452">
        <f>HYPERLINK("https://klasma.github.io/Logging_0360/kartor/A 27345-2026 karta.png", "A 27345-2026")</f>
        <v/>
      </c>
      <c r="Y452">
        <f>HYPERLINK("https://klasma.github.io/Logging_0360/kartor_geotiff/A 27345-2026 georefererad karta.tif", "A 27345-2026")</f>
        <v/>
      </c>
      <c r="AA452">
        <f>HYPERLINK("https://klasma.github.io/Logging_0360/klagomål/A 27345-2026 FSC-klagomål.docx", "A 27345-2026")</f>
        <v/>
      </c>
      <c r="AB452">
        <f>HYPERLINK("https://klasma.github.io/Logging_0360/klagomålsmail/A 27345-2026 FSC-klagomål mail.docx", "A 27345-2026")</f>
        <v/>
      </c>
      <c r="AC452">
        <f>HYPERLINK("https://klasma.github.io/Logging_0360/tillsyn/A 27345-2026 tillsynsbegäran.docx", "A 27345-2026")</f>
        <v/>
      </c>
      <c r="AD452">
        <f>HYPERLINK("https://klasma.github.io/Logging_0360/tillsynsmail/A 27345-2026 tillsynsbegäran mail.docx", "A 27345-2026")</f>
        <v/>
      </c>
      <c r="AE452">
        <f>HYPERLINK("https://klasma.github.io/Logging_0360/fåglar/A 27345-2026 prioriterade fågelarter.docx", "A 27345-2026")</f>
        <v/>
      </c>
    </row>
    <row r="453" ht="15" customHeight="1">
      <c r="A453" t="inlineStr">
        <is>
          <t>A 27835-2026</t>
        </is>
      </c>
      <c r="B453" t="inlineStr">
        <is>
          <t>avverkningsanmälan</t>
        </is>
      </c>
      <c r="C453" t="inlineStr">
        <is>
          <t>Föryngringsavverkning</t>
        </is>
      </c>
      <c r="D453" s="1" t="n">
        <v>46191</v>
      </c>
      <c r="E453" s="1" t="n">
        <v>46309</v>
      </c>
      <c r="F453" t="inlineStr">
        <is>
          <t>UPPSALA LÄN</t>
        </is>
      </c>
      <c r="G453" t="inlineStr">
        <is>
          <t>TIERP</t>
        </is>
      </c>
      <c r="H453" t="inlineStr">
        <is>
          <t>Bergvik skog öst AB</t>
        </is>
      </c>
      <c r="I453" t="n">
        <v>3.2</v>
      </c>
      <c r="J453" t="n">
        <v>2</v>
      </c>
      <c r="K453" t="n">
        <v>1</v>
      </c>
      <c r="L453" t="n">
        <v>0</v>
      </c>
      <c r="M453" t="n">
        <v>0</v>
      </c>
      <c r="N453" t="n">
        <v>0</v>
      </c>
      <c r="O453" t="n">
        <v>0</v>
      </c>
      <c r="P453" t="n">
        <v>0</v>
      </c>
      <c r="Q453" t="n">
        <v>0</v>
      </c>
      <c r="R453" t="n">
        <v>0</v>
      </c>
      <c r="S453" t="n">
        <v>2</v>
      </c>
      <c r="T453" t="n">
        <v>3</v>
      </c>
      <c r="U453" t="n">
        <v>0</v>
      </c>
      <c r="V453" s="2" t="inlineStr">
        <is>
          <t>Tvåblad
Nattviol</t>
        </is>
      </c>
      <c r="W453">
        <f>HYPERLINK("https://klasma.github.io/Logging_0360/artfynd/A 27835-2026 artfynd.xlsx", "A 27835-2026")</f>
        <v/>
      </c>
      <c r="X453">
        <f>HYPERLINK("https://klasma.github.io/Logging_0360/kartor/A 27835-2026 karta.png", "A 27835-2026")</f>
        <v/>
      </c>
      <c r="Y453">
        <f>HYPERLINK("https://klasma.github.io/Logging_0360/kartor_geotiff/A 27835-2026 georefererad karta.tif", "A 27835-2026")</f>
        <v/>
      </c>
      <c r="AA453">
        <f>HYPERLINK("https://klasma.github.io/Logging_0360/klagomål/A 27835-2026 FSC-klagomål.docx", "A 27835-2026")</f>
        <v/>
      </c>
      <c r="AB453">
        <f>HYPERLINK("https://klasma.github.io/Logging_0360/klagomålsmail/A 27835-2026 FSC-klagomål mail.docx", "A 27835-2026")</f>
        <v/>
      </c>
      <c r="AC453">
        <f>HYPERLINK("https://klasma.github.io/Logging_0360/tillsyn/A 27835-2026 tillsynsbegäran.docx", "A 27835-2026")</f>
        <v/>
      </c>
      <c r="AD453">
        <f>HYPERLINK("https://klasma.github.io/Logging_0360/tillsynsmail/A 27835-2026 tillsynsbegäran mail.docx", "A 27835-2026")</f>
        <v/>
      </c>
    </row>
    <row r="454" ht="15" customHeight="1">
      <c r="A454" t="inlineStr">
        <is>
          <t>A 63982-2023</t>
        </is>
      </c>
      <c r="B454" t="inlineStr">
        <is>
          <t>avverkningsanmälan</t>
        </is>
      </c>
      <c r="C454" t="inlineStr">
        <is>
          <t>Föryngringsavverkning</t>
        </is>
      </c>
      <c r="D454" s="1" t="n">
        <v>45278</v>
      </c>
      <c r="E454" s="1" t="n">
        <v>46309</v>
      </c>
      <c r="F454" t="inlineStr">
        <is>
          <t>UPPSALA LÄN</t>
        </is>
      </c>
      <c r="G454" t="inlineStr">
        <is>
          <t>HEBY</t>
        </is>
      </c>
      <c r="H454" t="inlineStr">
        <is>
          <t>Kyrkan</t>
        </is>
      </c>
      <c r="I454" t="n">
        <v>1.6</v>
      </c>
      <c r="J454" t="n">
        <v>1</v>
      </c>
      <c r="K454" t="n">
        <v>0</v>
      </c>
      <c r="L454" t="n">
        <v>1</v>
      </c>
      <c r="M454" t="n">
        <v>0</v>
      </c>
      <c r="N454" t="n">
        <v>0</v>
      </c>
      <c r="O454" t="n">
        <v>0</v>
      </c>
      <c r="P454" t="n">
        <v>0</v>
      </c>
      <c r="Q454" t="n">
        <v>1</v>
      </c>
      <c r="R454" t="n">
        <v>0</v>
      </c>
      <c r="S454" t="n">
        <v>2</v>
      </c>
      <c r="T454" t="n">
        <v>2</v>
      </c>
      <c r="U454" t="n">
        <v>2</v>
      </c>
      <c r="V454" s="2" t="inlineStr">
        <is>
          <t>Större flatbagge
Tjäder</t>
        </is>
      </c>
      <c r="W454">
        <f>HYPERLINK("https://klasma.github.io/Logging_0331/artfynd/A 63982-2023 artfynd.xlsx", "A 63982-2023")</f>
        <v/>
      </c>
      <c r="X454">
        <f>HYPERLINK("https://klasma.github.io/Logging_0331/kartor/A 63982-2023 karta.png", "A 63982-2023")</f>
        <v/>
      </c>
      <c r="Y454">
        <f>HYPERLINK("https://klasma.github.io/Logging_0331/kartor_geotiff/A 63982-2023 georefererad karta.tif", "A 63982-2023")</f>
        <v/>
      </c>
      <c r="AA454">
        <f>HYPERLINK("https://klasma.github.io/Logging_0331/klagomål/A 63982-2023 FSC-klagomål.docx", "A 63982-2023")</f>
        <v/>
      </c>
      <c r="AB454">
        <f>HYPERLINK("https://klasma.github.io/Logging_0331/klagomålsmail/A 63982-2023 FSC-klagomål mail.docx", "A 63982-2023")</f>
        <v/>
      </c>
      <c r="AC454">
        <f>HYPERLINK("https://klasma.github.io/Logging_0331/tillsyn/A 63982-2023 tillsynsbegäran.docx", "A 63982-2023")</f>
        <v/>
      </c>
      <c r="AD454">
        <f>HYPERLINK("https://klasma.github.io/Logging_0331/tillsynsmail/A 63982-2023 tillsynsbegäran mail.docx", "A 63982-2023")</f>
        <v/>
      </c>
      <c r="AE454">
        <f>HYPERLINK("https://klasma.github.io/Logging_0331/fåglar/A 63982-2023 prioriterade fågelarter.docx", "A 63982-2023")</f>
        <v/>
      </c>
    </row>
    <row r="455" ht="15" customHeight="1">
      <c r="A455" t="inlineStr">
        <is>
          <t>A 844-2025</t>
        </is>
      </c>
      <c r="B455" t="inlineStr">
        <is>
          <t>avverkningsanmälan</t>
        </is>
      </c>
      <c r="C455" t="inlineStr">
        <is>
          <t>Föryngringsavverkning</t>
        </is>
      </c>
      <c r="D455" s="1" t="n">
        <v>45665</v>
      </c>
      <c r="E455" s="1" t="n">
        <v>46309</v>
      </c>
      <c r="F455" t="inlineStr">
        <is>
          <t>UPPSALA LÄN</t>
        </is>
      </c>
      <c r="G455" t="inlineStr">
        <is>
          <t>UPPSALA</t>
        </is>
      </c>
      <c r="I455" t="n">
        <v>2.6</v>
      </c>
      <c r="J455" t="n">
        <v>2</v>
      </c>
      <c r="K455" t="n">
        <v>0</v>
      </c>
      <c r="L455" t="n">
        <v>0</v>
      </c>
      <c r="M455" t="n">
        <v>0</v>
      </c>
      <c r="N455" t="n">
        <v>0</v>
      </c>
      <c r="O455" t="n">
        <v>0</v>
      </c>
      <c r="P455" t="n">
        <v>0</v>
      </c>
      <c r="Q455" t="n">
        <v>0</v>
      </c>
      <c r="R455" t="n">
        <v>0</v>
      </c>
      <c r="S455" t="n">
        <v>2</v>
      </c>
      <c r="T455" t="n">
        <v>3</v>
      </c>
      <c r="U455" t="n">
        <v>3</v>
      </c>
      <c r="V455" s="2" t="inlineStr">
        <is>
          <t>Blåsippa
Tjäder</t>
        </is>
      </c>
      <c r="W455">
        <f>HYPERLINK("https://klasma.github.io/Logging_0380/artfynd/A 844-2025 artfynd.xlsx", "A 844-2025")</f>
        <v/>
      </c>
      <c r="X455">
        <f>HYPERLINK("https://klasma.github.io/Logging_0380/kartor/A 844-2025 karta.png", "A 844-2025")</f>
        <v/>
      </c>
      <c r="Y455">
        <f>HYPERLINK("https://klasma.github.io/Logging_0380/kartor_geotiff/A 844-2025 georefererad karta.tif", "A 844-2025")</f>
        <v/>
      </c>
      <c r="AA455">
        <f>HYPERLINK("https://klasma.github.io/Logging_0380/klagomål/A 844-2025 FSC-klagomål.docx", "A 844-2025")</f>
        <v/>
      </c>
      <c r="AB455">
        <f>HYPERLINK("https://klasma.github.io/Logging_0380/klagomålsmail/A 844-2025 FSC-klagomål mail.docx", "A 844-2025")</f>
        <v/>
      </c>
      <c r="AC455">
        <f>HYPERLINK("https://klasma.github.io/Logging_0380/tillsyn/A 844-2025 tillsynsbegäran.docx", "A 844-2025")</f>
        <v/>
      </c>
      <c r="AD455">
        <f>HYPERLINK("https://klasma.github.io/Logging_0380/tillsynsmail/A 844-2025 tillsynsbegäran mail.docx", "A 844-2025")</f>
        <v/>
      </c>
      <c r="AE455">
        <f>HYPERLINK("https://klasma.github.io/Logging_0380/fåglar/A 844-2025 prioriterade fågelarter.docx", "A 844-2025")</f>
        <v/>
      </c>
    </row>
    <row r="456" ht="15" customHeight="1">
      <c r="A456" t="inlineStr">
        <is>
          <t>A 19009-2023</t>
        </is>
      </c>
      <c r="B456" t="inlineStr">
        <is>
          <t>avverkningsanmälan</t>
        </is>
      </c>
      <c r="C456" t="inlineStr">
        <is>
          <t>Föryngringsavverkning</t>
        </is>
      </c>
      <c r="D456" s="1" t="n">
        <v>45045</v>
      </c>
      <c r="E456" s="1" t="n">
        <v>46309</v>
      </c>
      <c r="F456" t="inlineStr">
        <is>
          <t>UPPSALA LÄN</t>
        </is>
      </c>
      <c r="G456" t="inlineStr">
        <is>
          <t>ÖSTHAMMAR</t>
        </is>
      </c>
      <c r="H456" t="inlineStr">
        <is>
          <t>Bergvik skog öst AB</t>
        </is>
      </c>
      <c r="I456" t="n">
        <v>0.2</v>
      </c>
      <c r="J456" t="n">
        <v>1</v>
      </c>
      <c r="K456" t="n">
        <v>0</v>
      </c>
      <c r="L456" t="n">
        <v>1</v>
      </c>
      <c r="M456" t="n">
        <v>0</v>
      </c>
      <c r="N456" t="n">
        <v>0</v>
      </c>
      <c r="O456" t="n">
        <v>0</v>
      </c>
      <c r="P456" t="n">
        <v>0</v>
      </c>
      <c r="Q456" t="n">
        <v>1</v>
      </c>
      <c r="R456" t="n">
        <v>0</v>
      </c>
      <c r="S456" t="n">
        <v>2</v>
      </c>
      <c r="T456" t="n">
        <v>2</v>
      </c>
      <c r="U456" t="n">
        <v>2</v>
      </c>
      <c r="V456" s="2" t="inlineStr">
        <is>
          <t>Slåtterfibbla
Gullviva</t>
        </is>
      </c>
      <c r="W456">
        <f>HYPERLINK("https://klasma.github.io/Logging_0382/artfynd/A 19009-2023 artfynd.xlsx", "A 19009-2023")</f>
        <v/>
      </c>
      <c r="X456">
        <f>HYPERLINK("https://klasma.github.io/Logging_0382/kartor/A 19009-2023 karta.png", "A 19009-2023")</f>
        <v/>
      </c>
      <c r="Y456">
        <f>HYPERLINK("https://klasma.github.io/Logging_0382/kartor_geotiff/A 19009-2023 georefererad karta.tif", "A 19009-2023")</f>
        <v/>
      </c>
      <c r="AA456">
        <f>HYPERLINK("https://klasma.github.io/Logging_0382/klagomål/A 19009-2023 FSC-klagomål.docx", "A 19009-2023")</f>
        <v/>
      </c>
      <c r="AB456">
        <f>HYPERLINK("https://klasma.github.io/Logging_0382/klagomålsmail/A 19009-2023 FSC-klagomål mail.docx", "A 19009-2023")</f>
        <v/>
      </c>
      <c r="AC456">
        <f>HYPERLINK("https://klasma.github.io/Logging_0382/tillsyn/A 19009-2023 tillsynsbegäran.docx", "A 19009-2023")</f>
        <v/>
      </c>
      <c r="AD456">
        <f>HYPERLINK("https://klasma.github.io/Logging_0382/tillsynsmail/A 19009-2023 tillsynsbegäran mail.docx", "A 19009-2023")</f>
        <v/>
      </c>
    </row>
    <row r="457" ht="15" customHeight="1">
      <c r="A457" t="inlineStr">
        <is>
          <t>A 46634-2022</t>
        </is>
      </c>
      <c r="B457" t="inlineStr">
        <is>
          <t>avverkningsanmälan</t>
        </is>
      </c>
      <c r="C457" t="inlineStr">
        <is>
          <t>Föryngringsavverkning</t>
        </is>
      </c>
      <c r="D457" s="1" t="n">
        <v>44849</v>
      </c>
      <c r="E457" s="1" t="n">
        <v>46309</v>
      </c>
      <c r="F457" t="inlineStr">
        <is>
          <t>UPPSALA LÄN</t>
        </is>
      </c>
      <c r="G457" t="inlineStr">
        <is>
          <t>UPPSALA</t>
        </is>
      </c>
      <c r="I457" t="n">
        <v>2.9</v>
      </c>
      <c r="J457" t="n">
        <v>0</v>
      </c>
      <c r="K457" t="n">
        <v>0</v>
      </c>
      <c r="L457" t="n">
        <v>2</v>
      </c>
      <c r="M457" t="n">
        <v>0</v>
      </c>
      <c r="N457" t="n">
        <v>0</v>
      </c>
      <c r="O457" t="n">
        <v>0</v>
      </c>
      <c r="P457" t="n">
        <v>0</v>
      </c>
      <c r="Q457" t="n">
        <v>2</v>
      </c>
      <c r="R457" t="n">
        <v>0</v>
      </c>
      <c r="S457" t="n">
        <v>2</v>
      </c>
      <c r="T457" t="n">
        <v>2</v>
      </c>
      <c r="U457" t="n">
        <v>0</v>
      </c>
      <c r="V457" s="2" t="inlineStr">
        <is>
          <t>Fjällig taggsvamp s.str.
Jättekamskivling</t>
        </is>
      </c>
      <c r="W457">
        <f>HYPERLINK("https://klasma.github.io/Logging_0380/artfynd/A 46634-2022 artfynd.xlsx", "A 46634-2022")</f>
        <v/>
      </c>
      <c r="X457">
        <f>HYPERLINK("https://klasma.github.io/Logging_0380/kartor/A 46634-2022 karta.png", "A 46634-2022")</f>
        <v/>
      </c>
      <c r="Y457">
        <f>HYPERLINK("https://klasma.github.io/Logging_0380/kartor_geotiff/A 46634-2022 georefererad karta.tif", "A 46634-2022")</f>
        <v/>
      </c>
      <c r="AA457">
        <f>HYPERLINK("https://klasma.github.io/Logging_0380/klagomål/A 46634-2022 FSC-klagomål.docx", "A 46634-2022")</f>
        <v/>
      </c>
      <c r="AB457">
        <f>HYPERLINK("https://klasma.github.io/Logging_0380/klagomålsmail/A 46634-2022 FSC-klagomål mail.docx", "A 46634-2022")</f>
        <v/>
      </c>
      <c r="AC457">
        <f>HYPERLINK("https://klasma.github.io/Logging_0380/tillsyn/A 46634-2022 tillsynsbegäran.docx", "A 46634-2022")</f>
        <v/>
      </c>
      <c r="AD457">
        <f>HYPERLINK("https://klasma.github.io/Logging_0380/tillsynsmail/A 46634-2022 tillsynsbegäran mail.docx", "A 46634-2022")</f>
        <v/>
      </c>
    </row>
    <row r="458" ht="15" customHeight="1">
      <c r="A458" t="inlineStr">
        <is>
          <t>A 36076-2026</t>
        </is>
      </c>
      <c r="B458" t="inlineStr">
        <is>
          <t>avverkningsanmälan</t>
        </is>
      </c>
      <c r="C458" t="inlineStr">
        <is>
          <t>Föryngringsavverkning</t>
        </is>
      </c>
      <c r="D458" s="1" t="n">
        <v>46267</v>
      </c>
      <c r="E458" s="1" t="n">
        <v>46309</v>
      </c>
      <c r="F458" t="inlineStr">
        <is>
          <t>UPPSALA LÄN</t>
        </is>
      </c>
      <c r="G458" t="inlineStr">
        <is>
          <t>UPPSALA</t>
        </is>
      </c>
      <c r="H458" t="inlineStr">
        <is>
          <t>Övriga Aktiebolag</t>
        </is>
      </c>
      <c r="I458" t="n">
        <v>5.5</v>
      </c>
      <c r="J458" t="n">
        <v>0</v>
      </c>
      <c r="K458" t="n">
        <v>2</v>
      </c>
      <c r="L458" t="n">
        <v>0</v>
      </c>
      <c r="M458" t="n">
        <v>0</v>
      </c>
      <c r="N458" t="n">
        <v>0</v>
      </c>
      <c r="O458" t="n">
        <v>0</v>
      </c>
      <c r="P458" t="n">
        <v>0</v>
      </c>
      <c r="Q458" t="n">
        <v>0</v>
      </c>
      <c r="R458" t="n">
        <v>0</v>
      </c>
      <c r="S458" t="n">
        <v>2</v>
      </c>
      <c r="T458" t="n">
        <v>2</v>
      </c>
      <c r="U458" t="n">
        <v>0</v>
      </c>
      <c r="V458" s="2" t="inlineStr">
        <is>
          <t>Brandticka
Trådticka</t>
        </is>
      </c>
      <c r="W458">
        <f>HYPERLINK("https://klasma.github.io/Logging_0380/artfynd/A 36076-2026 artfynd.xlsx", "A 36076-2026")</f>
        <v/>
      </c>
      <c r="X458">
        <f>HYPERLINK("https://klasma.github.io/Logging_0380/kartor/A 36076-2026 karta.png", "A 36076-2026")</f>
        <v/>
      </c>
      <c r="Y458">
        <f>HYPERLINK("https://klasma.github.io/Logging_0380/kartor_geotiff/A 36076-2026 georefererad karta.tif", "A 36076-2026")</f>
        <v/>
      </c>
      <c r="AA458">
        <f>HYPERLINK("https://klasma.github.io/Logging_0380/klagomål/A 36076-2026 FSC-klagomål.docx", "A 36076-2026")</f>
        <v/>
      </c>
      <c r="AB458">
        <f>HYPERLINK("https://klasma.github.io/Logging_0380/klagomålsmail/A 36076-2026 FSC-klagomål mail.docx", "A 36076-2026")</f>
        <v/>
      </c>
      <c r="AC458">
        <f>HYPERLINK("https://klasma.github.io/Logging_0380/tillsyn/A 36076-2026 tillsynsbegäran.docx", "A 36076-2026")</f>
        <v/>
      </c>
      <c r="AD458">
        <f>HYPERLINK("https://klasma.github.io/Logging_0380/tillsynsmail/A 36076-2026 tillsynsbegäran mail.docx", "A 36076-2026")</f>
        <v/>
      </c>
    </row>
    <row r="459" ht="15" customHeight="1">
      <c r="A459" t="inlineStr">
        <is>
          <t>A 21453-2023</t>
        </is>
      </c>
      <c r="B459" t="inlineStr">
        <is>
          <t>avverkningsanmälan</t>
        </is>
      </c>
      <c r="C459" t="inlineStr">
        <is>
          <t>Föryngringsavverkning</t>
        </is>
      </c>
      <c r="D459" s="1" t="n">
        <v>45063</v>
      </c>
      <c r="E459" s="1" t="n">
        <v>46309</v>
      </c>
      <c r="F459" t="inlineStr">
        <is>
          <t>UPPSALA LÄN</t>
        </is>
      </c>
      <c r="G459" t="inlineStr">
        <is>
          <t>ÖSTHAMMAR</t>
        </is>
      </c>
      <c r="H459" t="inlineStr">
        <is>
          <t>Bergvik skog väst AB</t>
        </is>
      </c>
      <c r="I459" t="n">
        <v>6.1</v>
      </c>
      <c r="J459" t="n">
        <v>1</v>
      </c>
      <c r="K459" t="n">
        <v>1</v>
      </c>
      <c r="L459" t="n">
        <v>0</v>
      </c>
      <c r="M459" t="n">
        <v>0</v>
      </c>
      <c r="N459" t="n">
        <v>0</v>
      </c>
      <c r="O459" t="n">
        <v>0</v>
      </c>
      <c r="P459" t="n">
        <v>0</v>
      </c>
      <c r="Q459" t="n">
        <v>0</v>
      </c>
      <c r="R459" t="n">
        <v>0</v>
      </c>
      <c r="S459" t="n">
        <v>2</v>
      </c>
      <c r="T459" t="n">
        <v>2</v>
      </c>
      <c r="U459" t="n">
        <v>1</v>
      </c>
      <c r="V459" s="2" t="inlineStr">
        <is>
          <t>Fransig jordstjärna
Blåsippa</t>
        </is>
      </c>
      <c r="W459">
        <f>HYPERLINK("https://klasma.github.io/Logging_0382/artfynd/A 21453-2023 artfynd.xlsx", "A 21453-2023")</f>
        <v/>
      </c>
      <c r="X459">
        <f>HYPERLINK("https://klasma.github.io/Logging_0382/kartor/A 21453-2023 karta.png", "A 21453-2023")</f>
        <v/>
      </c>
      <c r="Y459">
        <f>HYPERLINK("https://klasma.github.io/Logging_0382/kartor_geotiff/A 21453-2023 georefererad karta.tif", "A 21453-2023")</f>
        <v/>
      </c>
      <c r="AA459">
        <f>HYPERLINK("https://klasma.github.io/Logging_0382/klagomål/A 21453-2023 FSC-klagomål.docx", "A 21453-2023")</f>
        <v/>
      </c>
      <c r="AB459">
        <f>HYPERLINK("https://klasma.github.io/Logging_0382/klagomålsmail/A 21453-2023 FSC-klagomål mail.docx", "A 21453-2023")</f>
        <v/>
      </c>
      <c r="AC459">
        <f>HYPERLINK("https://klasma.github.io/Logging_0382/tillsyn/A 21453-2023 tillsynsbegäran.docx", "A 21453-2023")</f>
        <v/>
      </c>
      <c r="AD459">
        <f>HYPERLINK("https://klasma.github.io/Logging_0382/tillsynsmail/A 21453-2023 tillsynsbegäran mail.docx", "A 21453-2023")</f>
        <v/>
      </c>
    </row>
    <row r="460" ht="15" customHeight="1">
      <c r="A460" t="inlineStr">
        <is>
          <t>A 37356-2026</t>
        </is>
      </c>
      <c r="B460" t="inlineStr">
        <is>
          <t>avverkningsanmälan</t>
        </is>
      </c>
      <c r="C460" t="inlineStr">
        <is>
          <t>Föryngringsavverkning</t>
        </is>
      </c>
      <c r="D460" s="1" t="n">
        <v>46275</v>
      </c>
      <c r="E460" s="1" t="n">
        <v>46309</v>
      </c>
      <c r="F460" t="inlineStr">
        <is>
          <t>UPPSALA LÄN</t>
        </is>
      </c>
      <c r="G460" t="inlineStr">
        <is>
          <t>KNIVSTA</t>
        </is>
      </c>
      <c r="H460" t="inlineStr">
        <is>
          <t>Holmen skog AB</t>
        </is>
      </c>
      <c r="I460" t="n">
        <v>5.8</v>
      </c>
      <c r="J460" t="n">
        <v>1</v>
      </c>
      <c r="K460" t="n">
        <v>0</v>
      </c>
      <c r="L460" t="n">
        <v>1</v>
      </c>
      <c r="M460" t="n">
        <v>0</v>
      </c>
      <c r="N460" t="n">
        <v>0</v>
      </c>
      <c r="O460" t="n">
        <v>0</v>
      </c>
      <c r="P460" t="n">
        <v>0</v>
      </c>
      <c r="Q460" t="n">
        <v>1</v>
      </c>
      <c r="R460" t="n">
        <v>0</v>
      </c>
      <c r="S460" t="n">
        <v>2</v>
      </c>
      <c r="T460" t="n">
        <v>2</v>
      </c>
      <c r="U460" t="n">
        <v>2</v>
      </c>
      <c r="V460" s="2" t="inlineStr">
        <is>
          <t>Talltita
Kransmossa</t>
        </is>
      </c>
      <c r="W460">
        <f>HYPERLINK("https://klasma.github.io/Logging_0330/artfynd/A 37356-2026 artfynd.xlsx", "A 37356-2026")</f>
        <v/>
      </c>
      <c r="X460">
        <f>HYPERLINK("https://klasma.github.io/Logging_0330/kartor/A 37356-2026 karta.png", "A 37356-2026")</f>
        <v/>
      </c>
      <c r="Y460">
        <f>HYPERLINK("https://klasma.github.io/Logging_0330/kartor_geotiff/A 37356-2026 georefererad karta.tif", "A 37356-2026")</f>
        <v/>
      </c>
      <c r="AA460">
        <f>HYPERLINK("https://klasma.github.io/Logging_0330/klagomål/A 37356-2026 FSC-klagomål.docx", "A 37356-2026")</f>
        <v/>
      </c>
      <c r="AB460">
        <f>HYPERLINK("https://klasma.github.io/Logging_0330/klagomålsmail/A 37356-2026 FSC-klagomål mail.docx", "A 37356-2026")</f>
        <v/>
      </c>
      <c r="AC460">
        <f>HYPERLINK("https://klasma.github.io/Logging_0330/tillsyn/A 37356-2026 tillsynsbegäran.docx", "A 37356-2026")</f>
        <v/>
      </c>
      <c r="AD460">
        <f>HYPERLINK("https://klasma.github.io/Logging_0330/tillsynsmail/A 37356-2026 tillsynsbegäran mail.docx", "A 37356-2026")</f>
        <v/>
      </c>
      <c r="AE460">
        <f>HYPERLINK("https://klasma.github.io/Logging_0330/fåglar/A 37356-2026 prioriterade fågelarter.docx", "A 37356-2026")</f>
        <v/>
      </c>
    </row>
    <row r="461" ht="15" customHeight="1">
      <c r="A461" t="inlineStr">
        <is>
          <t>A 20553-2025</t>
        </is>
      </c>
      <c r="B461" t="inlineStr">
        <is>
          <t>avverkningsanmälan</t>
        </is>
      </c>
      <c r="C461" t="inlineStr">
        <is>
          <t>Föryngringsavverkning</t>
        </is>
      </c>
      <c r="D461" s="1" t="n">
        <v>45775</v>
      </c>
      <c r="E461" s="1" t="n">
        <v>46309</v>
      </c>
      <c r="F461" t="inlineStr">
        <is>
          <t>UPPSALA LÄN</t>
        </is>
      </c>
      <c r="G461" t="inlineStr">
        <is>
          <t>ÖSTHAMMAR</t>
        </is>
      </c>
      <c r="I461" t="n">
        <v>0.4</v>
      </c>
      <c r="J461" t="n">
        <v>0</v>
      </c>
      <c r="K461" t="n">
        <v>2</v>
      </c>
      <c r="L461" t="n">
        <v>0</v>
      </c>
      <c r="M461" t="n">
        <v>0</v>
      </c>
      <c r="N461" t="n">
        <v>0</v>
      </c>
      <c r="O461" t="n">
        <v>0</v>
      </c>
      <c r="P461" t="n">
        <v>0</v>
      </c>
      <c r="Q461" t="n">
        <v>0</v>
      </c>
      <c r="R461" t="n">
        <v>0</v>
      </c>
      <c r="S461" t="n">
        <v>2</v>
      </c>
      <c r="T461" t="n">
        <v>2</v>
      </c>
      <c r="U461" t="n">
        <v>0</v>
      </c>
      <c r="V461" s="2" t="inlineStr">
        <is>
          <t>Jättesvampmal
Robust tickgnagare</t>
        </is>
      </c>
      <c r="W461">
        <f>HYPERLINK("https://klasma.github.io/Logging_0382/artfynd/A 20553-2025 artfynd.xlsx", "A 20553-2025")</f>
        <v/>
      </c>
      <c r="X461">
        <f>HYPERLINK("https://klasma.github.io/Logging_0382/kartor/A 20553-2025 karta.png", "A 20553-2025")</f>
        <v/>
      </c>
      <c r="Y461">
        <f>HYPERLINK("https://klasma.github.io/Logging_0382/kartor_geotiff/A 20553-2025 georefererad karta.tif", "A 20553-2025")</f>
        <v/>
      </c>
      <c r="AA461">
        <f>HYPERLINK("https://klasma.github.io/Logging_0382/klagomål/A 20553-2025 FSC-klagomål.docx", "A 20553-2025")</f>
        <v/>
      </c>
      <c r="AB461">
        <f>HYPERLINK("https://klasma.github.io/Logging_0382/klagomålsmail/A 20553-2025 FSC-klagomål mail.docx", "A 20553-2025")</f>
        <v/>
      </c>
      <c r="AC461">
        <f>HYPERLINK("https://klasma.github.io/Logging_0382/tillsyn/A 20553-2025 tillsynsbegäran.docx", "A 20553-2025")</f>
        <v/>
      </c>
      <c r="AD461">
        <f>HYPERLINK("https://klasma.github.io/Logging_0382/tillsynsmail/A 20553-2025 tillsynsbegäran mail.docx", "A 20553-2025")</f>
        <v/>
      </c>
    </row>
    <row r="462" ht="15" customHeight="1">
      <c r="A462" t="inlineStr">
        <is>
          <t>A 21862-2023</t>
        </is>
      </c>
      <c r="B462" t="inlineStr">
        <is>
          <t>avverkningsanmälan</t>
        </is>
      </c>
      <c r="C462" t="inlineStr">
        <is>
          <t>Föryngringsavverkning</t>
        </is>
      </c>
      <c r="D462" s="1" t="n">
        <v>45068</v>
      </c>
      <c r="E462" s="1" t="n">
        <v>46309</v>
      </c>
      <c r="F462" t="inlineStr">
        <is>
          <t>UPPSALA LÄN</t>
        </is>
      </c>
      <c r="G462" t="inlineStr">
        <is>
          <t>ÖSTHAMMAR</t>
        </is>
      </c>
      <c r="I462" t="n">
        <v>0.5</v>
      </c>
      <c r="J462" t="n">
        <v>2</v>
      </c>
      <c r="K462" t="n">
        <v>0</v>
      </c>
      <c r="L462" t="n">
        <v>1</v>
      </c>
      <c r="M462" t="n">
        <v>0</v>
      </c>
      <c r="N462" t="n">
        <v>0</v>
      </c>
      <c r="O462" t="n">
        <v>0</v>
      </c>
      <c r="P462" t="n">
        <v>0</v>
      </c>
      <c r="Q462" t="n">
        <v>1</v>
      </c>
      <c r="R462" t="n">
        <v>0</v>
      </c>
      <c r="S462" t="n">
        <v>2</v>
      </c>
      <c r="T462" t="n">
        <v>2</v>
      </c>
      <c r="U462" t="n">
        <v>0</v>
      </c>
      <c r="V462" s="2" t="inlineStr">
        <is>
          <t>Nordfladdermus
Vattenfladdermus</t>
        </is>
      </c>
      <c r="W462">
        <f>HYPERLINK("https://klasma.github.io/Logging_0382/artfynd/A 21862-2023 artfynd.xlsx", "A 21862-2023")</f>
        <v/>
      </c>
      <c r="X462">
        <f>HYPERLINK("https://klasma.github.io/Logging_0382/kartor/A 21862-2023 karta.png", "A 21862-2023")</f>
        <v/>
      </c>
      <c r="Y462">
        <f>HYPERLINK("https://klasma.github.io/Logging_0382/kartor_geotiff/A 21862-2023 georefererad karta.tif", "A 21862-2023")</f>
        <v/>
      </c>
      <c r="AA462">
        <f>HYPERLINK("https://klasma.github.io/Logging_0382/klagomål/A 21862-2023 FSC-klagomål.docx", "A 21862-2023")</f>
        <v/>
      </c>
      <c r="AB462">
        <f>HYPERLINK("https://klasma.github.io/Logging_0382/klagomålsmail/A 21862-2023 FSC-klagomål mail.docx", "A 21862-2023")</f>
        <v/>
      </c>
      <c r="AC462">
        <f>HYPERLINK("https://klasma.github.io/Logging_0382/tillsyn/A 21862-2023 tillsynsbegäran.docx", "A 21862-2023")</f>
        <v/>
      </c>
      <c r="AD462">
        <f>HYPERLINK("https://klasma.github.io/Logging_0382/tillsynsmail/A 21862-2023 tillsynsbegäran mail.docx", "A 21862-2023")</f>
        <v/>
      </c>
    </row>
    <row r="463" ht="15" customHeight="1">
      <c r="A463" t="inlineStr">
        <is>
          <t>A 18302-2025</t>
        </is>
      </c>
      <c r="B463" t="inlineStr">
        <is>
          <t>avverkningsanmälan</t>
        </is>
      </c>
      <c r="C463" t="inlineStr">
        <is>
          <t>Föryngringsavverkning</t>
        </is>
      </c>
      <c r="D463" s="1" t="n">
        <v>45762</v>
      </c>
      <c r="E463" s="1" t="n">
        <v>46309</v>
      </c>
      <c r="F463" t="inlineStr">
        <is>
          <t>UPPSALA LÄN</t>
        </is>
      </c>
      <c r="G463" t="inlineStr">
        <is>
          <t>ENKÖPING</t>
        </is>
      </c>
      <c r="I463" t="n">
        <v>0.5</v>
      </c>
      <c r="J463" t="n">
        <v>0</v>
      </c>
      <c r="K463" t="n">
        <v>0</v>
      </c>
      <c r="L463" t="n">
        <v>2</v>
      </c>
      <c r="M463" t="n">
        <v>0</v>
      </c>
      <c r="N463" t="n">
        <v>0</v>
      </c>
      <c r="O463" t="n">
        <v>0</v>
      </c>
      <c r="P463" t="n">
        <v>0</v>
      </c>
      <c r="Q463" t="n">
        <v>2</v>
      </c>
      <c r="R463" t="n">
        <v>0</v>
      </c>
      <c r="S463" t="n">
        <v>2</v>
      </c>
      <c r="T463" t="n">
        <v>6</v>
      </c>
      <c r="U463" t="n">
        <v>0</v>
      </c>
      <c r="V463" s="2" t="inlineStr">
        <is>
          <t>Backtimjan
Solvända</t>
        </is>
      </c>
      <c r="W463">
        <f>HYPERLINK("https://klasma.github.io/Logging_0381/artfynd/A 18302-2025 artfynd.xlsx", "A 18302-2025")</f>
        <v/>
      </c>
      <c r="X463">
        <f>HYPERLINK("https://klasma.github.io/Logging_0381/kartor/A 18302-2025 karta.png", "A 18302-2025")</f>
        <v/>
      </c>
      <c r="Y463">
        <f>HYPERLINK("https://klasma.github.io/Logging_0381/kartor_geotiff/A 18302-2025 georefererad karta.tif", "A 18302-2025")</f>
        <v/>
      </c>
      <c r="AA463">
        <f>HYPERLINK("https://klasma.github.io/Logging_0381/klagomål/A 18302-2025 FSC-klagomål.docx", "A 18302-2025")</f>
        <v/>
      </c>
      <c r="AB463">
        <f>HYPERLINK("https://klasma.github.io/Logging_0381/klagomålsmail/A 18302-2025 FSC-klagomål mail.docx", "A 18302-2025")</f>
        <v/>
      </c>
      <c r="AC463">
        <f>HYPERLINK("https://klasma.github.io/Logging_0381/tillsyn/A 18302-2025 tillsynsbegäran.docx", "A 18302-2025")</f>
        <v/>
      </c>
      <c r="AD463">
        <f>HYPERLINK("https://klasma.github.io/Logging_0381/tillsynsmail/A 18302-2025 tillsynsbegäran mail.docx", "A 18302-2025")</f>
        <v/>
      </c>
    </row>
    <row r="464" ht="15" customHeight="1">
      <c r="A464" t="inlineStr">
        <is>
          <t>A 39200-2026</t>
        </is>
      </c>
      <c r="B464" t="inlineStr">
        <is>
          <t>avverkningsanmälan</t>
        </is>
      </c>
      <c r="C464" t="inlineStr">
        <is>
          <t>Föryngringsavverkning</t>
        </is>
      </c>
      <c r="D464" s="1" t="n">
        <v>46287</v>
      </c>
      <c r="E464" s="1" t="n">
        <v>46309</v>
      </c>
      <c r="F464" t="inlineStr">
        <is>
          <t>UPPSALA LÄN</t>
        </is>
      </c>
      <c r="G464" t="inlineStr">
        <is>
          <t>ÖSTHAMMAR</t>
        </is>
      </c>
      <c r="I464" t="n">
        <v>9.300000000000001</v>
      </c>
      <c r="J464" t="n">
        <v>0</v>
      </c>
      <c r="K464" t="n">
        <v>0</v>
      </c>
      <c r="L464" t="n">
        <v>2</v>
      </c>
      <c r="M464" t="n">
        <v>0</v>
      </c>
      <c r="N464" t="n">
        <v>0</v>
      </c>
      <c r="O464" t="n">
        <v>0</v>
      </c>
      <c r="P464" t="n">
        <v>0</v>
      </c>
      <c r="Q464" t="n">
        <v>2</v>
      </c>
      <c r="R464" t="n">
        <v>0</v>
      </c>
      <c r="S464" t="n">
        <v>2</v>
      </c>
      <c r="T464" t="n">
        <v>5</v>
      </c>
      <c r="U464" t="n">
        <v>0</v>
      </c>
      <c r="V464" s="2" t="inlineStr">
        <is>
          <t>Solvända
Åkerkulla</t>
        </is>
      </c>
      <c r="W464">
        <f>HYPERLINK("https://klasma.github.io/Logging_0382/artfynd/A 39200-2026 artfynd.xlsx", "A 39200-2026")</f>
        <v/>
      </c>
      <c r="X464">
        <f>HYPERLINK("https://klasma.github.io/Logging_0382/kartor/A 39200-2026 karta.png", "A 39200-2026")</f>
        <v/>
      </c>
      <c r="Y464">
        <f>HYPERLINK("https://klasma.github.io/Logging_0382/kartor_geotiff/A 39200-2026 georefererad karta.tif", "A 39200-2026")</f>
        <v/>
      </c>
      <c r="AA464">
        <f>HYPERLINK("https://klasma.github.io/Logging_0382/klagomål/A 39200-2026 FSC-klagomål.docx", "A 39200-2026")</f>
        <v/>
      </c>
      <c r="AB464">
        <f>HYPERLINK("https://klasma.github.io/Logging_0382/klagomålsmail/A 39200-2026 FSC-klagomål mail.docx", "A 39200-2026")</f>
        <v/>
      </c>
      <c r="AC464">
        <f>HYPERLINK("https://klasma.github.io/Logging_0382/tillsyn/A 39200-2026 tillsynsbegäran.docx", "A 39200-2026")</f>
        <v/>
      </c>
      <c r="AD464">
        <f>HYPERLINK("https://klasma.github.io/Logging_0382/tillsynsmail/A 39200-2026 tillsynsbegäran mail.docx", "A 39200-2026")</f>
        <v/>
      </c>
    </row>
    <row r="465" ht="15" customHeight="1">
      <c r="A465" t="inlineStr">
        <is>
          <t>A 33388-2026</t>
        </is>
      </c>
      <c r="B465" t="inlineStr">
        <is>
          <t>avverkningsanmälan</t>
        </is>
      </c>
      <c r="C465" t="inlineStr">
        <is>
          <t>Föryngringsavverkning</t>
        </is>
      </c>
      <c r="D465" s="1" t="n">
        <v>46247</v>
      </c>
      <c r="E465" s="1" t="n">
        <v>46309</v>
      </c>
      <c r="F465" t="inlineStr">
        <is>
          <t>UPPSALA LÄN</t>
        </is>
      </c>
      <c r="G465" t="inlineStr">
        <is>
          <t>TIERP</t>
        </is>
      </c>
      <c r="H465" t="inlineStr">
        <is>
          <t>Bergvik skog öst AB</t>
        </is>
      </c>
      <c r="I465" t="n">
        <v>4.8</v>
      </c>
      <c r="J465" t="n">
        <v>0</v>
      </c>
      <c r="K465" t="n">
        <v>0</v>
      </c>
      <c r="L465" t="n">
        <v>1</v>
      </c>
      <c r="M465" t="n">
        <v>1</v>
      </c>
      <c r="N465" t="n">
        <v>0</v>
      </c>
      <c r="O465" t="n">
        <v>0</v>
      </c>
      <c r="P465" t="n">
        <v>0</v>
      </c>
      <c r="Q465" t="n">
        <v>2</v>
      </c>
      <c r="R465" t="n">
        <v>1</v>
      </c>
      <c r="S465" t="n">
        <v>2</v>
      </c>
      <c r="T465" t="n">
        <v>3</v>
      </c>
      <c r="U465" t="n">
        <v>0</v>
      </c>
      <c r="V465" s="2" t="inlineStr">
        <is>
          <t>Fältgentiana
Slåtterfibbla</t>
        </is>
      </c>
      <c r="W465">
        <f>HYPERLINK("https://klasma.github.io/Logging_0360/artfynd/A 33388-2026 artfynd.xlsx", "A 33388-2026")</f>
        <v/>
      </c>
      <c r="X465">
        <f>HYPERLINK("https://klasma.github.io/Logging_0360/kartor/A 33388-2026 karta.png", "A 33388-2026")</f>
        <v/>
      </c>
      <c r="Y465">
        <f>HYPERLINK("https://klasma.github.io/Logging_0360/kartor_geotiff/A 33388-2026 georefererad karta.tif", "A 33388-2026")</f>
        <v/>
      </c>
      <c r="AA465">
        <f>HYPERLINK("https://klasma.github.io/Logging_0360/klagomål/A 33388-2026 FSC-klagomål.docx", "A 33388-2026")</f>
        <v/>
      </c>
      <c r="AB465">
        <f>HYPERLINK("https://klasma.github.io/Logging_0360/klagomålsmail/A 33388-2026 FSC-klagomål mail.docx", "A 33388-2026")</f>
        <v/>
      </c>
      <c r="AC465">
        <f>HYPERLINK("https://klasma.github.io/Logging_0360/tillsyn/A 33388-2026 tillsynsbegäran.docx", "A 33388-2026")</f>
        <v/>
      </c>
      <c r="AD465">
        <f>HYPERLINK("https://klasma.github.io/Logging_0360/tillsynsmail/A 33388-2026 tillsynsbegäran mail.docx", "A 33388-2026")</f>
        <v/>
      </c>
    </row>
    <row r="466" ht="15" customHeight="1">
      <c r="A466" t="inlineStr">
        <is>
          <t>A 6998-2023</t>
        </is>
      </c>
      <c r="B466" t="inlineStr">
        <is>
          <t>avverkningsanmälan</t>
        </is>
      </c>
      <c r="C466" t="inlineStr">
        <is>
          <t>Föryngringsavverkning</t>
        </is>
      </c>
      <c r="D466" s="1" t="n">
        <v>44967</v>
      </c>
      <c r="E466" s="1" t="n">
        <v>46309</v>
      </c>
      <c r="F466" t="inlineStr">
        <is>
          <t>UPPSALA LÄN</t>
        </is>
      </c>
      <c r="G466" t="inlineStr">
        <is>
          <t>UPPSALA</t>
        </is>
      </c>
      <c r="I466" t="n">
        <v>8.4</v>
      </c>
      <c r="J466" t="n">
        <v>2</v>
      </c>
      <c r="K466" t="n">
        <v>0</v>
      </c>
      <c r="L466" t="n">
        <v>0</v>
      </c>
      <c r="M466" t="n">
        <v>0</v>
      </c>
      <c r="N466" t="n">
        <v>0</v>
      </c>
      <c r="O466" t="n">
        <v>0</v>
      </c>
      <c r="P466" t="n">
        <v>0</v>
      </c>
      <c r="Q466" t="n">
        <v>0</v>
      </c>
      <c r="R466" t="n">
        <v>0</v>
      </c>
      <c r="S466" t="n">
        <v>2</v>
      </c>
      <c r="T466" t="n">
        <v>2</v>
      </c>
      <c r="U466" t="n">
        <v>0</v>
      </c>
      <c r="V466" s="2" t="inlineStr">
        <is>
          <t>Blåsippa
Nattviol</t>
        </is>
      </c>
      <c r="W466">
        <f>HYPERLINK("https://klasma.github.io/Logging_0380/artfynd/A 6998-2023 artfynd.xlsx", "A 6998-2023")</f>
        <v/>
      </c>
      <c r="X466">
        <f>HYPERLINK("https://klasma.github.io/Logging_0380/kartor/A 6998-2023 karta.png", "A 6998-2023")</f>
        <v/>
      </c>
      <c r="Y466">
        <f>HYPERLINK("https://klasma.github.io/Logging_0380/kartor_geotiff/A 6998-2023 georefererad karta.tif", "A 6998-2023")</f>
        <v/>
      </c>
      <c r="AA466">
        <f>HYPERLINK("https://klasma.github.io/Logging_0380/klagomål/A 6998-2023 FSC-klagomål.docx", "A 6998-2023")</f>
        <v/>
      </c>
      <c r="AB466">
        <f>HYPERLINK("https://klasma.github.io/Logging_0380/klagomålsmail/A 6998-2023 FSC-klagomål mail.docx", "A 6998-2023")</f>
        <v/>
      </c>
      <c r="AC466">
        <f>HYPERLINK("https://klasma.github.io/Logging_0380/tillsyn/A 6998-2023 tillsynsbegäran.docx", "A 6998-2023")</f>
        <v/>
      </c>
      <c r="AD466">
        <f>HYPERLINK("https://klasma.github.io/Logging_0380/tillsynsmail/A 6998-2023 tillsynsbegäran mail.docx", "A 6998-2023")</f>
        <v/>
      </c>
    </row>
    <row r="467" ht="15" customHeight="1">
      <c r="A467" t="inlineStr">
        <is>
          <t>A 34922-2025</t>
        </is>
      </c>
      <c r="B467" t="inlineStr">
        <is>
          <t>avverkningsanmälan</t>
        </is>
      </c>
      <c r="C467" t="inlineStr">
        <is>
          <t>Föryngringsavverkning</t>
        </is>
      </c>
      <c r="D467" s="1" t="n">
        <v>45849</v>
      </c>
      <c r="E467" s="1" t="n">
        <v>46309</v>
      </c>
      <c r="F467" t="inlineStr">
        <is>
          <t>UPPSALA LÄN</t>
        </is>
      </c>
      <c r="G467" t="inlineStr">
        <is>
          <t>TIERP</t>
        </is>
      </c>
      <c r="I467" t="n">
        <v>4.7</v>
      </c>
      <c r="J467" t="n">
        <v>1</v>
      </c>
      <c r="K467" t="n">
        <v>0</v>
      </c>
      <c r="L467" t="n">
        <v>1</v>
      </c>
      <c r="M467" t="n">
        <v>0</v>
      </c>
      <c r="N467" t="n">
        <v>0</v>
      </c>
      <c r="O467" t="n">
        <v>0</v>
      </c>
      <c r="P467" t="n">
        <v>0</v>
      </c>
      <c r="Q467" t="n">
        <v>1</v>
      </c>
      <c r="R467" t="n">
        <v>0</v>
      </c>
      <c r="S467" t="n">
        <v>2</v>
      </c>
      <c r="T467" t="n">
        <v>2</v>
      </c>
      <c r="U467" t="n">
        <v>1</v>
      </c>
      <c r="V467" s="2" t="inlineStr">
        <is>
          <t>Blanksvart spiklav
Orre</t>
        </is>
      </c>
      <c r="W467">
        <f>HYPERLINK("https://klasma.github.io/Logging_0360/artfynd/A 34922-2025 artfynd.xlsx", "A 34922-2025")</f>
        <v/>
      </c>
      <c r="X467">
        <f>HYPERLINK("https://klasma.github.io/Logging_0360/kartor/A 34922-2025 karta.png", "A 34922-2025")</f>
        <v/>
      </c>
      <c r="Y467">
        <f>HYPERLINK("https://klasma.github.io/Logging_0360/kartor_geotiff/A 34922-2025 georefererad karta.tif", "A 34922-2025")</f>
        <v/>
      </c>
      <c r="AA467">
        <f>HYPERLINK("https://klasma.github.io/Logging_0360/klagomål/A 34922-2025 FSC-klagomål.docx", "A 34922-2025")</f>
        <v/>
      </c>
      <c r="AB467">
        <f>HYPERLINK("https://klasma.github.io/Logging_0360/klagomålsmail/A 34922-2025 FSC-klagomål mail.docx", "A 34922-2025")</f>
        <v/>
      </c>
      <c r="AC467">
        <f>HYPERLINK("https://klasma.github.io/Logging_0360/tillsyn/A 34922-2025 tillsynsbegäran.docx", "A 34922-2025")</f>
        <v/>
      </c>
      <c r="AD467">
        <f>HYPERLINK("https://klasma.github.io/Logging_0360/tillsynsmail/A 34922-2025 tillsynsbegäran mail.docx", "A 34922-2025")</f>
        <v/>
      </c>
      <c r="AE467">
        <f>HYPERLINK("https://klasma.github.io/Logging_0360/fåglar/A 34922-2025 prioriterade fågelarter.docx", "A 34922-2025")</f>
        <v/>
      </c>
    </row>
    <row r="468" ht="15" customHeight="1">
      <c r="A468" t="inlineStr">
        <is>
          <t>A 5755-2025</t>
        </is>
      </c>
      <c r="B468" t="inlineStr">
        <is>
          <t>avverkningsanmälan</t>
        </is>
      </c>
      <c r="C468" t="inlineStr">
        <is>
          <t>Avverkning för att bevara och utveckla /försöksver</t>
        </is>
      </c>
      <c r="D468" s="1" t="n">
        <v>45694</v>
      </c>
      <c r="E468" s="1" t="n">
        <v>46309</v>
      </c>
      <c r="F468" t="inlineStr">
        <is>
          <t>UPPSALA LÄN</t>
        </is>
      </c>
      <c r="G468" t="inlineStr">
        <is>
          <t>UPPSALA</t>
        </is>
      </c>
      <c r="I468" t="n">
        <v>1.3</v>
      </c>
      <c r="J468" t="n">
        <v>0</v>
      </c>
      <c r="K468" t="n">
        <v>2</v>
      </c>
      <c r="L468" t="n">
        <v>0</v>
      </c>
      <c r="M468" t="n">
        <v>0</v>
      </c>
      <c r="N468" t="n">
        <v>0</v>
      </c>
      <c r="O468" t="n">
        <v>0</v>
      </c>
      <c r="P468" t="n">
        <v>0</v>
      </c>
      <c r="Q468" t="n">
        <v>0</v>
      </c>
      <c r="R468" t="n">
        <v>0</v>
      </c>
      <c r="S468" t="n">
        <v>2</v>
      </c>
      <c r="T468" t="n">
        <v>3</v>
      </c>
      <c r="U468" t="n">
        <v>0</v>
      </c>
      <c r="V468" s="2" t="inlineStr">
        <is>
          <t>Fällmossa
Hasselticka</t>
        </is>
      </c>
      <c r="W468">
        <f>HYPERLINK("https://klasma.github.io/Logging_0380/artfynd/A 5755-2025 artfynd.xlsx", "A 5755-2025")</f>
        <v/>
      </c>
      <c r="X468">
        <f>HYPERLINK("https://klasma.github.io/Logging_0380/kartor/A 5755-2025 karta.png", "A 5755-2025")</f>
        <v/>
      </c>
      <c r="Y468">
        <f>HYPERLINK("https://klasma.github.io/Logging_0380/kartor_geotiff/A 5755-2025 georefererad karta.tif", "A 5755-2025")</f>
        <v/>
      </c>
      <c r="AA468">
        <f>HYPERLINK("https://klasma.github.io/Logging_0380/klagomål/A 5755-2025 FSC-klagomål.docx", "A 5755-2025")</f>
        <v/>
      </c>
      <c r="AB468">
        <f>HYPERLINK("https://klasma.github.io/Logging_0380/klagomålsmail/A 5755-2025 FSC-klagomål mail.docx", "A 5755-2025")</f>
        <v/>
      </c>
      <c r="AC468">
        <f>HYPERLINK("https://klasma.github.io/Logging_0380/tillsyn/A 5755-2025 tillsynsbegäran.docx", "A 5755-2025")</f>
        <v/>
      </c>
      <c r="AD468">
        <f>HYPERLINK("https://klasma.github.io/Logging_0380/tillsynsmail/A 5755-2025 tillsynsbegäran mail.docx", "A 5755-2025")</f>
        <v/>
      </c>
    </row>
    <row r="469" ht="15" customHeight="1">
      <c r="A469" t="inlineStr">
        <is>
          <t>A 54141-2025</t>
        </is>
      </c>
      <c r="B469" t="inlineStr">
        <is>
          <t>avverkningsanmälan</t>
        </is>
      </c>
      <c r="C469" t="inlineStr">
        <is>
          <t>Föryngringsavverkning</t>
        </is>
      </c>
      <c r="D469" s="1" t="n">
        <v>45964</v>
      </c>
      <c r="E469" s="1" t="n">
        <v>46309</v>
      </c>
      <c r="F469" t="inlineStr">
        <is>
          <t>UPPSALA LÄN</t>
        </is>
      </c>
      <c r="G469" t="inlineStr">
        <is>
          <t>TIERP</t>
        </is>
      </c>
      <c r="I469" t="n">
        <v>1.7</v>
      </c>
      <c r="J469" t="n">
        <v>0</v>
      </c>
      <c r="K469" t="n">
        <v>1</v>
      </c>
      <c r="L469" t="n">
        <v>0</v>
      </c>
      <c r="M469" t="n">
        <v>0</v>
      </c>
      <c r="N469" t="n">
        <v>1</v>
      </c>
      <c r="O469" t="n">
        <v>0</v>
      </c>
      <c r="P469" t="n">
        <v>0</v>
      </c>
      <c r="Q469" t="n">
        <v>1</v>
      </c>
      <c r="R469" t="n">
        <v>1</v>
      </c>
      <c r="S469" t="n">
        <v>2</v>
      </c>
      <c r="T469" t="n">
        <v>2</v>
      </c>
      <c r="U469" t="n">
        <v>1</v>
      </c>
      <c r="V469" s="2" t="inlineStr">
        <is>
          <t>Violgubbe
Svart trolldruva</t>
        </is>
      </c>
      <c r="W469">
        <f>HYPERLINK("https://klasma.github.io/Logging_0360/artfynd/A 54141-2025 artfynd.xlsx", "A 54141-2025")</f>
        <v/>
      </c>
      <c r="X469">
        <f>HYPERLINK("https://klasma.github.io/Logging_0360/kartor/A 54141-2025 karta.png", "A 54141-2025")</f>
        <v/>
      </c>
      <c r="Y469">
        <f>HYPERLINK("https://klasma.github.io/Logging_0360/kartor_geotiff/A 54141-2025 georefererad karta.tif", "A 54141-2025")</f>
        <v/>
      </c>
      <c r="AA469">
        <f>HYPERLINK("https://klasma.github.io/Logging_0360/klagomål/A 54141-2025 FSC-klagomål.docx", "A 54141-2025")</f>
        <v/>
      </c>
      <c r="AB469">
        <f>HYPERLINK("https://klasma.github.io/Logging_0360/klagomålsmail/A 54141-2025 FSC-klagomål mail.docx", "A 54141-2025")</f>
        <v/>
      </c>
      <c r="AC469">
        <f>HYPERLINK("https://klasma.github.io/Logging_0360/tillsyn/A 54141-2025 tillsynsbegäran.docx", "A 54141-2025")</f>
        <v/>
      </c>
      <c r="AD469">
        <f>HYPERLINK("https://klasma.github.io/Logging_0360/tillsynsmail/A 54141-2025 tillsynsbegäran mail.docx", "A 54141-2025")</f>
        <v/>
      </c>
    </row>
    <row r="470" ht="15" customHeight="1">
      <c r="A470" t="inlineStr">
        <is>
          <t>A 20712-2025</t>
        </is>
      </c>
      <c r="B470" t="inlineStr">
        <is>
          <t>avverkningsanmälan</t>
        </is>
      </c>
      <c r="C470" t="inlineStr">
        <is>
          <t>Föryngringsavverkning</t>
        </is>
      </c>
      <c r="D470" s="1" t="n">
        <v>45776</v>
      </c>
      <c r="E470" s="1" t="n">
        <v>46309</v>
      </c>
      <c r="F470" t="inlineStr">
        <is>
          <t>UPPSALA LÄN</t>
        </is>
      </c>
      <c r="G470" t="inlineStr">
        <is>
          <t>UPPSALA</t>
        </is>
      </c>
      <c r="I470" t="n">
        <v>1.5</v>
      </c>
      <c r="J470" t="n">
        <v>1</v>
      </c>
      <c r="K470" t="n">
        <v>1</v>
      </c>
      <c r="L470" t="n">
        <v>0</v>
      </c>
      <c r="M470" t="n">
        <v>0</v>
      </c>
      <c r="N470" t="n">
        <v>0</v>
      </c>
      <c r="O470" t="n">
        <v>0</v>
      </c>
      <c r="P470" t="n">
        <v>0</v>
      </c>
      <c r="Q470" t="n">
        <v>0</v>
      </c>
      <c r="R470" t="n">
        <v>0</v>
      </c>
      <c r="S470" t="n">
        <v>2</v>
      </c>
      <c r="T470" t="n">
        <v>2</v>
      </c>
      <c r="U470" t="n">
        <v>0</v>
      </c>
      <c r="V470" s="2" t="inlineStr">
        <is>
          <t>Gulpudrad spiklav
Blåsippa</t>
        </is>
      </c>
      <c r="W470">
        <f>HYPERLINK("https://klasma.github.io/Logging_0380/artfynd/A 20712-2025 artfynd.xlsx", "A 20712-2025")</f>
        <v/>
      </c>
      <c r="X470">
        <f>HYPERLINK("https://klasma.github.io/Logging_0380/kartor/A 20712-2025 karta.png", "A 20712-2025")</f>
        <v/>
      </c>
      <c r="Y470">
        <f>HYPERLINK("https://klasma.github.io/Logging_0380/kartor_geotiff/A 20712-2025 georefererad karta.tif", "A 20712-2025")</f>
        <v/>
      </c>
      <c r="AA470">
        <f>HYPERLINK("https://klasma.github.io/Logging_0380/klagomål/A 20712-2025 FSC-klagomål.docx", "A 20712-2025")</f>
        <v/>
      </c>
      <c r="AB470">
        <f>HYPERLINK("https://klasma.github.io/Logging_0380/klagomålsmail/A 20712-2025 FSC-klagomål mail.docx", "A 20712-2025")</f>
        <v/>
      </c>
      <c r="AC470">
        <f>HYPERLINK("https://klasma.github.io/Logging_0380/tillsyn/A 20712-2025 tillsynsbegäran.docx", "A 20712-2025")</f>
        <v/>
      </c>
      <c r="AD470">
        <f>HYPERLINK("https://klasma.github.io/Logging_0380/tillsynsmail/A 20712-2025 tillsynsbegäran mail.docx", "A 20712-2025")</f>
        <v/>
      </c>
    </row>
    <row r="471" ht="15" customHeight="1">
      <c r="A471" t="inlineStr">
        <is>
          <t>A 40478-2026</t>
        </is>
      </c>
      <c r="B471" t="inlineStr">
        <is>
          <t>avverkningsanmälan</t>
        </is>
      </c>
      <c r="C471" t="inlineStr">
        <is>
          <t>Föryngringsavverkning</t>
        </is>
      </c>
      <c r="D471" s="1" t="n">
        <v>46295</v>
      </c>
      <c r="E471" s="1" t="n">
        <v>46309</v>
      </c>
      <c r="F471" t="inlineStr">
        <is>
          <t>UPPSALA LÄN</t>
        </is>
      </c>
      <c r="G471" t="inlineStr">
        <is>
          <t>ÄLVKARLEBY</t>
        </is>
      </c>
      <c r="H471" t="inlineStr">
        <is>
          <t>Bergvik skog öst AB</t>
        </is>
      </c>
      <c r="I471" t="n">
        <v>2.8</v>
      </c>
      <c r="J471" t="n">
        <v>1</v>
      </c>
      <c r="K471" t="n">
        <v>1</v>
      </c>
      <c r="L471" t="n">
        <v>0</v>
      </c>
      <c r="M471" t="n">
        <v>0</v>
      </c>
      <c r="N471" t="n">
        <v>0</v>
      </c>
      <c r="O471" t="n">
        <v>0</v>
      </c>
      <c r="P471" t="n">
        <v>0</v>
      </c>
      <c r="Q471" t="n">
        <v>0</v>
      </c>
      <c r="R471" t="n">
        <v>0</v>
      </c>
      <c r="S471" t="n">
        <v>2</v>
      </c>
      <c r="T471" t="n">
        <v>2</v>
      </c>
      <c r="U471" t="n">
        <v>0</v>
      </c>
      <c r="V471" s="2" t="inlineStr">
        <is>
          <t>Rödgul trumpetsvamp
Järpe</t>
        </is>
      </c>
      <c r="W471">
        <f>HYPERLINK("https://klasma.github.io/Logging_0319/artfynd/A 40478-2026 artfynd.xlsx", "A 40478-2026")</f>
        <v/>
      </c>
      <c r="X471">
        <f>HYPERLINK("https://klasma.github.io/Logging_0319/kartor/A 40478-2026 karta.png", "A 40478-2026")</f>
        <v/>
      </c>
      <c r="Y471">
        <f>HYPERLINK("https://klasma.github.io/Logging_0319/kartor_geotiff/A 40478-2026 georefererad karta.tif", "A 40478-2026")</f>
        <v/>
      </c>
      <c r="AA471">
        <f>HYPERLINK("https://klasma.github.io/Logging_0319/klagomål/A 40478-2026 FSC-klagomål.docx", "A 40478-2026")</f>
        <v/>
      </c>
      <c r="AB471">
        <f>HYPERLINK("https://klasma.github.io/Logging_0319/klagomålsmail/A 40478-2026 FSC-klagomål mail.docx", "A 40478-2026")</f>
        <v/>
      </c>
      <c r="AC471">
        <f>HYPERLINK("https://klasma.github.io/Logging_0319/tillsyn/A 40478-2026 tillsynsbegäran.docx", "A 40478-2026")</f>
        <v/>
      </c>
      <c r="AD471">
        <f>HYPERLINK("https://klasma.github.io/Logging_0319/tillsynsmail/A 40478-2026 tillsynsbegäran mail.docx", "A 40478-2026")</f>
        <v/>
      </c>
      <c r="AE471">
        <f>HYPERLINK("https://klasma.github.io/Logging_0319/fåglar/A 40478-2026 prioriterade fågelarter.docx", "A 40478-2026")</f>
        <v/>
      </c>
    </row>
    <row r="472" ht="15" customHeight="1">
      <c r="A472" t="inlineStr">
        <is>
          <t>A 34115-2026</t>
        </is>
      </c>
      <c r="B472" t="inlineStr">
        <is>
          <t>avverkningsanmälan</t>
        </is>
      </c>
      <c r="C472" t="inlineStr">
        <is>
          <t>Föryngringsavverkning</t>
        </is>
      </c>
      <c r="D472" s="1" t="n">
        <v>46253</v>
      </c>
      <c r="E472" s="1" t="n">
        <v>46309</v>
      </c>
      <c r="F472" t="inlineStr">
        <is>
          <t>UPPSALA LÄN</t>
        </is>
      </c>
      <c r="G472" t="inlineStr">
        <is>
          <t>TIERP</t>
        </is>
      </c>
      <c r="H472" t="inlineStr">
        <is>
          <t>Bergvik skog väst AB</t>
        </is>
      </c>
      <c r="I472" t="n">
        <v>11.5</v>
      </c>
      <c r="J472" t="n">
        <v>0</v>
      </c>
      <c r="K472" t="n">
        <v>0</v>
      </c>
      <c r="L472" t="n">
        <v>2</v>
      </c>
      <c r="M472" t="n">
        <v>0</v>
      </c>
      <c r="N472" t="n">
        <v>0</v>
      </c>
      <c r="O472" t="n">
        <v>0</v>
      </c>
      <c r="P472" t="n">
        <v>0</v>
      </c>
      <c r="Q472" t="n">
        <v>2</v>
      </c>
      <c r="R472" t="n">
        <v>0</v>
      </c>
      <c r="S472" t="n">
        <v>2</v>
      </c>
      <c r="T472" t="n">
        <v>2</v>
      </c>
      <c r="U472" t="n">
        <v>0</v>
      </c>
      <c r="V472" s="2" t="inlineStr">
        <is>
          <t>Kattfotslav
Vedtrappmossa</t>
        </is>
      </c>
      <c r="W472">
        <f>HYPERLINK("https://klasma.github.io/Logging_0360/artfynd/A 34115-2026 artfynd.xlsx", "A 34115-2026")</f>
        <v/>
      </c>
      <c r="X472">
        <f>HYPERLINK("https://klasma.github.io/Logging_0360/kartor/A 34115-2026 karta.png", "A 34115-2026")</f>
        <v/>
      </c>
      <c r="Y472">
        <f>HYPERLINK("https://klasma.github.io/Logging_0360/kartor_geotiff/A 34115-2026 georefererad karta.tif", "A 34115-2026")</f>
        <v/>
      </c>
      <c r="AA472">
        <f>HYPERLINK("https://klasma.github.io/Logging_0360/klagomål/A 34115-2026 FSC-klagomål.docx", "A 34115-2026")</f>
        <v/>
      </c>
      <c r="AB472">
        <f>HYPERLINK("https://klasma.github.io/Logging_0360/klagomålsmail/A 34115-2026 FSC-klagomål mail.docx", "A 34115-2026")</f>
        <v/>
      </c>
      <c r="AC472">
        <f>HYPERLINK("https://klasma.github.io/Logging_0360/tillsyn/A 34115-2026 tillsynsbegäran.docx", "A 34115-2026")</f>
        <v/>
      </c>
      <c r="AD472">
        <f>HYPERLINK("https://klasma.github.io/Logging_0360/tillsynsmail/A 34115-2026 tillsynsbegäran mail.docx", "A 34115-2026")</f>
        <v/>
      </c>
    </row>
    <row r="473" ht="15" customHeight="1">
      <c r="A473" t="inlineStr">
        <is>
          <t>A 34006-2026</t>
        </is>
      </c>
      <c r="B473" t="inlineStr">
        <is>
          <t>avverkningsanmälan</t>
        </is>
      </c>
      <c r="C473" t="inlineStr">
        <is>
          <t>Föryngringsavverkning</t>
        </is>
      </c>
      <c r="D473" s="1" t="n">
        <v>46252</v>
      </c>
      <c r="E473" s="1" t="n">
        <v>46309</v>
      </c>
      <c r="F473" t="inlineStr">
        <is>
          <t>UPPSALA LÄN</t>
        </is>
      </c>
      <c r="G473" t="inlineStr">
        <is>
          <t>ÖSTHAMMAR</t>
        </is>
      </c>
      <c r="H473" t="inlineStr">
        <is>
          <t>Övriga Aktiebolag</t>
        </is>
      </c>
      <c r="I473" t="n">
        <v>4.5</v>
      </c>
      <c r="J473" t="n">
        <v>2</v>
      </c>
      <c r="K473" t="n">
        <v>0</v>
      </c>
      <c r="L473" t="n">
        <v>0</v>
      </c>
      <c r="M473" t="n">
        <v>0</v>
      </c>
      <c r="N473" t="n">
        <v>0</v>
      </c>
      <c r="O473" t="n">
        <v>0</v>
      </c>
      <c r="P473" t="n">
        <v>0</v>
      </c>
      <c r="Q473" t="n">
        <v>0</v>
      </c>
      <c r="R473" t="n">
        <v>0</v>
      </c>
      <c r="S473" t="n">
        <v>2</v>
      </c>
      <c r="T473" t="n">
        <v>2</v>
      </c>
      <c r="U473" t="n">
        <v>0</v>
      </c>
      <c r="V473" s="2" t="inlineStr">
        <is>
          <t>Tjäder
Orre</t>
        </is>
      </c>
      <c r="W473">
        <f>HYPERLINK("https://klasma.github.io/Logging_0382/artfynd/A 34006-2026 artfynd.xlsx", "A 34006-2026")</f>
        <v/>
      </c>
      <c r="X473">
        <f>HYPERLINK("https://klasma.github.io/Logging_0382/kartor/A 34006-2026 karta.png", "A 34006-2026")</f>
        <v/>
      </c>
      <c r="Y473">
        <f>HYPERLINK("https://klasma.github.io/Logging_0382/kartor_geotiff/A 34006-2026 georefererad karta.tif", "A 34006-2026")</f>
        <v/>
      </c>
      <c r="AA473">
        <f>HYPERLINK("https://klasma.github.io/Logging_0382/klagomål/A 34006-2026 FSC-klagomål.docx", "A 34006-2026")</f>
        <v/>
      </c>
      <c r="AB473">
        <f>HYPERLINK("https://klasma.github.io/Logging_0382/klagomålsmail/A 34006-2026 FSC-klagomål mail.docx", "A 34006-2026")</f>
        <v/>
      </c>
      <c r="AC473">
        <f>HYPERLINK("https://klasma.github.io/Logging_0382/tillsyn/A 34006-2026 tillsynsbegäran.docx", "A 34006-2026")</f>
        <v/>
      </c>
      <c r="AD473">
        <f>HYPERLINK("https://klasma.github.io/Logging_0382/tillsynsmail/A 34006-2026 tillsynsbegäran mail.docx", "A 34006-2026")</f>
        <v/>
      </c>
      <c r="AE473">
        <f>HYPERLINK("https://klasma.github.io/Logging_0382/fåglar/A 34006-2026 prioriterade fågelarter.docx", "A 34006-2026")</f>
        <v/>
      </c>
    </row>
    <row r="474" ht="15" customHeight="1">
      <c r="A474" t="inlineStr">
        <is>
          <t>A 17972-2024</t>
        </is>
      </c>
      <c r="B474" t="inlineStr">
        <is>
          <t>avverkningsanmälan</t>
        </is>
      </c>
      <c r="C474" t="inlineStr">
        <is>
          <t>Föryngringsavverkning</t>
        </is>
      </c>
      <c r="D474" s="1" t="n">
        <v>45419</v>
      </c>
      <c r="E474" s="1" t="n">
        <v>46309</v>
      </c>
      <c r="F474" t="inlineStr">
        <is>
          <t>UPPSALA LÄN</t>
        </is>
      </c>
      <c r="G474" t="inlineStr">
        <is>
          <t>HEBY</t>
        </is>
      </c>
      <c r="H474" t="inlineStr">
        <is>
          <t>Bergvik skog väst AB</t>
        </is>
      </c>
      <c r="I474" t="n">
        <v>9.699999999999999</v>
      </c>
      <c r="J474" t="n">
        <v>0</v>
      </c>
      <c r="K474" t="n">
        <v>1</v>
      </c>
      <c r="L474" t="n">
        <v>0</v>
      </c>
      <c r="M474" t="n">
        <v>0</v>
      </c>
      <c r="N474" t="n">
        <v>0</v>
      </c>
      <c r="O474" t="n">
        <v>0</v>
      </c>
      <c r="P474" t="n">
        <v>0</v>
      </c>
      <c r="Q474" t="n">
        <v>0</v>
      </c>
      <c r="R474" t="n">
        <v>0</v>
      </c>
      <c r="S474" t="n">
        <v>2</v>
      </c>
      <c r="T474" t="n">
        <v>3</v>
      </c>
      <c r="U474" t="n">
        <v>2</v>
      </c>
      <c r="V474" s="2" t="inlineStr">
        <is>
          <t>Spädstarr
Repestarr</t>
        </is>
      </c>
      <c r="W474">
        <f>HYPERLINK("https://klasma.github.io/Logging_0331/artfynd/A 17972-2024 artfynd.xlsx", "A 17972-2024")</f>
        <v/>
      </c>
      <c r="X474">
        <f>HYPERLINK("https://klasma.github.io/Logging_0331/kartor/A 17972-2024 karta.png", "A 17972-2024")</f>
        <v/>
      </c>
      <c r="Y474">
        <f>HYPERLINK("https://klasma.github.io/Logging_0331/kartor_geotiff/A 17972-2024 georefererad karta.tif", "A 17972-2024")</f>
        <v/>
      </c>
      <c r="AA474">
        <f>HYPERLINK("https://klasma.github.io/Logging_0331/klagomål/A 17972-2024 FSC-klagomål.docx", "A 17972-2024")</f>
        <v/>
      </c>
      <c r="AB474">
        <f>HYPERLINK("https://klasma.github.io/Logging_0331/klagomålsmail/A 17972-2024 FSC-klagomål mail.docx", "A 17972-2024")</f>
        <v/>
      </c>
      <c r="AC474">
        <f>HYPERLINK("https://klasma.github.io/Logging_0331/tillsyn/A 17972-2024 tillsynsbegäran.docx", "A 17972-2024")</f>
        <v/>
      </c>
      <c r="AD474">
        <f>HYPERLINK("https://klasma.github.io/Logging_0331/tillsynsmail/A 17972-2024 tillsynsbegäran mail.docx", "A 17972-2024")</f>
        <v/>
      </c>
    </row>
    <row r="475" ht="15" customHeight="1">
      <c r="A475" t="inlineStr">
        <is>
          <t>A 14203-2024</t>
        </is>
      </c>
      <c r="B475" t="inlineStr">
        <is>
          <t>avverkningsanmälan</t>
        </is>
      </c>
      <c r="C475" t="inlineStr">
        <is>
          <t>Föryngringsavverkning</t>
        </is>
      </c>
      <c r="D475" s="1" t="n">
        <v>45393</v>
      </c>
      <c r="E475" s="1" t="n">
        <v>46309</v>
      </c>
      <c r="F475" t="inlineStr">
        <is>
          <t>UPPSALA LÄN</t>
        </is>
      </c>
      <c r="G475" t="inlineStr">
        <is>
          <t>ÖSTHAMMAR</t>
        </is>
      </c>
      <c r="I475" t="n">
        <v>1.4</v>
      </c>
      <c r="J475" t="n">
        <v>0</v>
      </c>
      <c r="K475" t="n">
        <v>1</v>
      </c>
      <c r="L475" t="n">
        <v>1</v>
      </c>
      <c r="M475" t="n">
        <v>0</v>
      </c>
      <c r="N475" t="n">
        <v>0</v>
      </c>
      <c r="O475" t="n">
        <v>0</v>
      </c>
      <c r="P475" t="n">
        <v>0</v>
      </c>
      <c r="Q475" t="n">
        <v>1</v>
      </c>
      <c r="R475" t="n">
        <v>0</v>
      </c>
      <c r="S475" t="n">
        <v>2</v>
      </c>
      <c r="T475" t="n">
        <v>2</v>
      </c>
      <c r="U475" t="n">
        <v>0</v>
      </c>
      <c r="V475" s="2" t="inlineStr">
        <is>
          <t>Scharlakansvaxing
Blodvaxing</t>
        </is>
      </c>
      <c r="W475">
        <f>HYPERLINK("https://klasma.github.io/Logging_0382/artfynd/A 14203-2024 artfynd.xlsx", "A 14203-2024")</f>
        <v/>
      </c>
      <c r="X475">
        <f>HYPERLINK("https://klasma.github.io/Logging_0382/kartor/A 14203-2024 karta.png", "A 14203-2024")</f>
        <v/>
      </c>
      <c r="Y475">
        <f>HYPERLINK("https://klasma.github.io/Logging_0382/kartor_geotiff/A 14203-2024 georefererad karta.tif", "A 14203-2024")</f>
        <v/>
      </c>
      <c r="AA475">
        <f>HYPERLINK("https://klasma.github.io/Logging_0382/klagomål/A 14203-2024 FSC-klagomål.docx", "A 14203-2024")</f>
        <v/>
      </c>
      <c r="AB475">
        <f>HYPERLINK("https://klasma.github.io/Logging_0382/klagomålsmail/A 14203-2024 FSC-klagomål mail.docx", "A 14203-2024")</f>
        <v/>
      </c>
      <c r="AC475">
        <f>HYPERLINK("https://klasma.github.io/Logging_0382/tillsyn/A 14203-2024 tillsynsbegäran.docx", "A 14203-2024")</f>
        <v/>
      </c>
      <c r="AD475">
        <f>HYPERLINK("https://klasma.github.io/Logging_0382/tillsynsmail/A 14203-2024 tillsynsbegäran mail.docx", "A 14203-2024")</f>
        <v/>
      </c>
    </row>
    <row r="476" ht="15" customHeight="1">
      <c r="A476" t="inlineStr">
        <is>
          <t>A 41076-2026</t>
        </is>
      </c>
      <c r="B476" t="inlineStr">
        <is>
          <t>avverkningsanmälan</t>
        </is>
      </c>
      <c r="C476" t="inlineStr">
        <is>
          <t>Föryngringsavverkning</t>
        </is>
      </c>
      <c r="D476" s="1" t="n">
        <v>46300</v>
      </c>
      <c r="E476" s="1" t="n">
        <v>46309</v>
      </c>
      <c r="F476" t="inlineStr">
        <is>
          <t>UPPSALA LÄN</t>
        </is>
      </c>
      <c r="G476" t="inlineStr">
        <is>
          <t>ÖSTHAMMAR</t>
        </is>
      </c>
      <c r="I476" t="n">
        <v>2.5</v>
      </c>
      <c r="J476" t="n">
        <v>0</v>
      </c>
      <c r="K476" t="n">
        <v>2</v>
      </c>
      <c r="L476" t="n">
        <v>0</v>
      </c>
      <c r="M476" t="n">
        <v>0</v>
      </c>
      <c r="N476" t="n">
        <v>0</v>
      </c>
      <c r="O476" t="n">
        <v>0</v>
      </c>
      <c r="P476" t="n">
        <v>0</v>
      </c>
      <c r="Q476" t="n">
        <v>0</v>
      </c>
      <c r="R476" t="n">
        <v>0</v>
      </c>
      <c r="S476" t="n">
        <v>2</v>
      </c>
      <c r="T476" t="n">
        <v>2</v>
      </c>
      <c r="U476" t="n">
        <v>0</v>
      </c>
      <c r="V476" s="2" t="inlineStr">
        <is>
          <t>Bronshjon
Vågbandad barkbock</t>
        </is>
      </c>
      <c r="W476">
        <f>HYPERLINK("https://klasma.github.io/Logging_0382/artfynd/A 41076-2026 artfynd.xlsx", "A 41076-2026")</f>
        <v/>
      </c>
      <c r="X476">
        <f>HYPERLINK("https://klasma.github.io/Logging_0382/kartor/A 41076-2026 karta.png", "A 41076-2026")</f>
        <v/>
      </c>
      <c r="Y476">
        <f>HYPERLINK("https://klasma.github.io/Logging_0382/kartor_geotiff/A 41076-2026 georefererad karta.tif", "A 41076-2026")</f>
        <v/>
      </c>
      <c r="AA476">
        <f>HYPERLINK("https://klasma.github.io/Logging_0382/klagomål/A 41076-2026 FSC-klagomål.docx", "A 41076-2026")</f>
        <v/>
      </c>
      <c r="AB476">
        <f>HYPERLINK("https://klasma.github.io/Logging_0382/klagomålsmail/A 41076-2026 FSC-klagomål mail.docx", "A 41076-2026")</f>
        <v/>
      </c>
      <c r="AC476">
        <f>HYPERLINK("https://klasma.github.io/Logging_0382/tillsyn/A 41076-2026 tillsynsbegäran.docx", "A 41076-2026")</f>
        <v/>
      </c>
      <c r="AD476">
        <f>HYPERLINK("https://klasma.github.io/Logging_0382/tillsynsmail/A 41076-2026 tillsynsbegäran mail.docx", "A 41076-2026")</f>
        <v/>
      </c>
    </row>
    <row r="477" ht="15" customHeight="1">
      <c r="A477" t="inlineStr">
        <is>
          <t>A 41386-2026</t>
        </is>
      </c>
      <c r="B477" t="inlineStr">
        <is>
          <t>avverkningsanmälan</t>
        </is>
      </c>
      <c r="C477" t="inlineStr">
        <is>
          <t>Föryngringsavverkning</t>
        </is>
      </c>
      <c r="D477" s="1" t="n">
        <v>46301</v>
      </c>
      <c r="E477" s="1" t="n">
        <v>46309</v>
      </c>
      <c r="F477" t="inlineStr">
        <is>
          <t>UPPSALA LÄN</t>
        </is>
      </c>
      <c r="G477" t="inlineStr">
        <is>
          <t>TIERP</t>
        </is>
      </c>
      <c r="H477" t="inlineStr">
        <is>
          <t>Bergvik skog öst AB</t>
        </is>
      </c>
      <c r="I477" t="n">
        <v>4</v>
      </c>
      <c r="J477" t="n">
        <v>1</v>
      </c>
      <c r="K477" t="n">
        <v>1</v>
      </c>
      <c r="L477" t="n">
        <v>0</v>
      </c>
      <c r="M477" t="n">
        <v>0</v>
      </c>
      <c r="N477" t="n">
        <v>0</v>
      </c>
      <c r="O477" t="n">
        <v>0</v>
      </c>
      <c r="P477" t="n">
        <v>0</v>
      </c>
      <c r="Q477" t="n">
        <v>0</v>
      </c>
      <c r="R477" t="n">
        <v>0</v>
      </c>
      <c r="S477" t="n">
        <v>2</v>
      </c>
      <c r="T477" t="n">
        <v>7</v>
      </c>
      <c r="U477" t="n">
        <v>0</v>
      </c>
      <c r="V477" s="2" t="inlineStr">
        <is>
          <t>Grönpyrola
Tjäder</t>
        </is>
      </c>
      <c r="W477">
        <f>HYPERLINK("https://klasma.github.io/Logging_0360/artfynd/A 41386-2026 artfynd.xlsx", "A 41386-2026")</f>
        <v/>
      </c>
      <c r="X477">
        <f>HYPERLINK("https://klasma.github.io/Logging_0360/kartor/A 41386-2026 karta.png", "A 41386-2026")</f>
        <v/>
      </c>
      <c r="Y477">
        <f>HYPERLINK("https://klasma.github.io/Logging_0360/kartor_geotiff/A 41386-2026 georefererad karta.tif", "A 41386-2026")</f>
        <v/>
      </c>
      <c r="AA477">
        <f>HYPERLINK("https://klasma.github.io/Logging_0360/klagomål/A 41386-2026 FSC-klagomål.docx", "A 41386-2026")</f>
        <v/>
      </c>
      <c r="AB477">
        <f>HYPERLINK("https://klasma.github.io/Logging_0360/klagomålsmail/A 41386-2026 FSC-klagomål mail.docx", "A 41386-2026")</f>
        <v/>
      </c>
      <c r="AC477">
        <f>HYPERLINK("https://klasma.github.io/Logging_0360/tillsyn/A 41386-2026 tillsynsbegäran.docx", "A 41386-2026")</f>
        <v/>
      </c>
      <c r="AD477">
        <f>HYPERLINK("https://klasma.github.io/Logging_0360/tillsynsmail/A 41386-2026 tillsynsbegäran mail.docx", "A 41386-2026")</f>
        <v/>
      </c>
      <c r="AE477">
        <f>HYPERLINK("https://klasma.github.io/Logging_0360/fåglar/A 41386-2026 prioriterade fågelarter.docx", "A 41386-2026")</f>
        <v/>
      </c>
    </row>
    <row r="478" ht="15" customHeight="1">
      <c r="A478" t="inlineStr">
        <is>
          <t>A 4132-2026</t>
        </is>
      </c>
      <c r="B478" t="inlineStr">
        <is>
          <t>avverkningsanmälan</t>
        </is>
      </c>
      <c r="C478" t="inlineStr">
        <is>
          <t>Föryngringsavverkning</t>
        </is>
      </c>
      <c r="D478" s="1" t="n">
        <v>46044</v>
      </c>
      <c r="E478" s="1" t="n">
        <v>46309</v>
      </c>
      <c r="F478" t="inlineStr">
        <is>
          <t>UPPSALA LÄN</t>
        </is>
      </c>
      <c r="G478" t="inlineStr">
        <is>
          <t>ÄLVKARLEBY</t>
        </is>
      </c>
      <c r="H478" t="inlineStr">
        <is>
          <t>Bergvik skog öst AB</t>
        </is>
      </c>
      <c r="I478" t="n">
        <v>12.2</v>
      </c>
      <c r="J478" t="n">
        <v>2</v>
      </c>
      <c r="K478" t="n">
        <v>1</v>
      </c>
      <c r="L478" t="n">
        <v>0</v>
      </c>
      <c r="M478" t="n">
        <v>1</v>
      </c>
      <c r="N478" t="n">
        <v>0</v>
      </c>
      <c r="O478" t="n">
        <v>0</v>
      </c>
      <c r="P478" t="n">
        <v>0</v>
      </c>
      <c r="Q478" t="n">
        <v>1</v>
      </c>
      <c r="R478" t="n">
        <v>1</v>
      </c>
      <c r="S478" t="n">
        <v>2</v>
      </c>
      <c r="T478" t="n">
        <v>2</v>
      </c>
      <c r="U478" t="n">
        <v>0</v>
      </c>
      <c r="V478" s="2" t="inlineStr">
        <is>
          <t>Bredgentiana
Nästrot</t>
        </is>
      </c>
      <c r="W478">
        <f>HYPERLINK("https://klasma.github.io/Logging_0319/artfynd/A 4132-2026 artfynd.xlsx", "A 4132-2026")</f>
        <v/>
      </c>
      <c r="X478">
        <f>HYPERLINK("https://klasma.github.io/Logging_0319/kartor/A 4132-2026 karta.png", "A 4132-2026")</f>
        <v/>
      </c>
      <c r="Y478">
        <f>HYPERLINK("https://klasma.github.io/Logging_0319/kartor_geotiff/A 4132-2026 georefererad karta.tif", "A 4132-2026")</f>
        <v/>
      </c>
      <c r="AA478">
        <f>HYPERLINK("https://klasma.github.io/Logging_0319/klagomål/A 4132-2026 FSC-klagomål.docx", "A 4132-2026")</f>
        <v/>
      </c>
      <c r="AB478">
        <f>HYPERLINK("https://klasma.github.io/Logging_0319/klagomålsmail/A 4132-2026 FSC-klagomål mail.docx", "A 4132-2026")</f>
        <v/>
      </c>
      <c r="AC478">
        <f>HYPERLINK("https://klasma.github.io/Logging_0319/tillsyn/A 4132-2026 tillsynsbegäran.docx", "A 4132-2026")</f>
        <v/>
      </c>
      <c r="AD478">
        <f>HYPERLINK("https://klasma.github.io/Logging_0319/tillsynsmail/A 4132-2026 tillsynsbegäran mail.docx", "A 4132-2026")</f>
        <v/>
      </c>
    </row>
    <row r="479" ht="15" customHeight="1">
      <c r="A479" t="inlineStr">
        <is>
          <t>A 35778-2026</t>
        </is>
      </c>
      <c r="B479" t="inlineStr">
        <is>
          <t>avverkningsanmälan</t>
        </is>
      </c>
      <c r="C479" t="inlineStr">
        <is>
          <t>Föryngringsavverkning</t>
        </is>
      </c>
      <c r="D479" s="1" t="n">
        <v>46265</v>
      </c>
      <c r="E479" s="1" t="n">
        <v>46309</v>
      </c>
      <c r="F479" t="inlineStr">
        <is>
          <t>UPPSALA LÄN</t>
        </is>
      </c>
      <c r="G479" t="inlineStr">
        <is>
          <t>TIERP</t>
        </is>
      </c>
      <c r="H479" t="inlineStr">
        <is>
          <t>Bergvik skog öst AB</t>
        </is>
      </c>
      <c r="I479" t="n">
        <v>13.3</v>
      </c>
      <c r="J479" t="n">
        <v>2</v>
      </c>
      <c r="K479" t="n">
        <v>0</v>
      </c>
      <c r="L479" t="n">
        <v>2</v>
      </c>
      <c r="M479" t="n">
        <v>0</v>
      </c>
      <c r="N479" t="n">
        <v>0</v>
      </c>
      <c r="O479" t="n">
        <v>0</v>
      </c>
      <c r="P479" t="n">
        <v>0</v>
      </c>
      <c r="Q479" t="n">
        <v>2</v>
      </c>
      <c r="R479" t="n">
        <v>0</v>
      </c>
      <c r="S479" t="n">
        <v>2</v>
      </c>
      <c r="T479" t="n">
        <v>2</v>
      </c>
      <c r="U479" t="n">
        <v>0</v>
      </c>
      <c r="V479" s="2" t="inlineStr">
        <is>
          <t>Sparvuggla
Talltita</t>
        </is>
      </c>
      <c r="W479">
        <f>HYPERLINK("https://klasma.github.io/Logging_0360/artfynd/A 35778-2026 artfynd.xlsx", "A 35778-2026")</f>
        <v/>
      </c>
      <c r="X479">
        <f>HYPERLINK("https://klasma.github.io/Logging_0360/kartor/A 35778-2026 karta.png", "A 35778-2026")</f>
        <v/>
      </c>
      <c r="Y479">
        <f>HYPERLINK("https://klasma.github.io/Logging_0360/kartor_geotiff/A 35778-2026 georefererad karta.tif", "A 35778-2026")</f>
        <v/>
      </c>
      <c r="AA479">
        <f>HYPERLINK("https://klasma.github.io/Logging_0360/klagomål/A 35778-2026 FSC-klagomål.docx", "A 35778-2026")</f>
        <v/>
      </c>
      <c r="AB479">
        <f>HYPERLINK("https://klasma.github.io/Logging_0360/klagomålsmail/A 35778-2026 FSC-klagomål mail.docx", "A 35778-2026")</f>
        <v/>
      </c>
      <c r="AC479">
        <f>HYPERLINK("https://klasma.github.io/Logging_0360/tillsyn/A 35778-2026 tillsynsbegäran.docx", "A 35778-2026")</f>
        <v/>
      </c>
      <c r="AD479">
        <f>HYPERLINK("https://klasma.github.io/Logging_0360/tillsynsmail/A 35778-2026 tillsynsbegäran mail.docx", "A 35778-2026")</f>
        <v/>
      </c>
      <c r="AE479">
        <f>HYPERLINK("https://klasma.github.io/Logging_0360/fåglar/A 35778-2026 prioriterade fågelarter.docx", "A 35778-2026")</f>
        <v/>
      </c>
    </row>
    <row r="480" ht="15" customHeight="1">
      <c r="A480" t="inlineStr">
        <is>
          <t>S 1389-2022</t>
        </is>
      </c>
      <c r="B480" t="inlineStr">
        <is>
          <t>samrådsanmälan</t>
        </is>
      </c>
      <c r="C480" t="inlineStr">
        <is>
          <t>Skogsgödsling</t>
        </is>
      </c>
      <c r="D480" s="1" t="n">
        <v>44630</v>
      </c>
      <c r="E480" s="1" t="n">
        <v>46309</v>
      </c>
      <c r="F480" t="inlineStr">
        <is>
          <t>UPPSALA LÄN</t>
        </is>
      </c>
      <c r="G480" t="inlineStr">
        <is>
          <t>UPPSALA</t>
        </is>
      </c>
      <c r="I480" t="n">
        <v>30</v>
      </c>
      <c r="J480" t="n">
        <v>1</v>
      </c>
      <c r="K480" t="n">
        <v>0</v>
      </c>
      <c r="L480" t="n">
        <v>1</v>
      </c>
      <c r="M480" t="n">
        <v>0</v>
      </c>
      <c r="N480" t="n">
        <v>0</v>
      </c>
      <c r="O480" t="n">
        <v>0</v>
      </c>
      <c r="P480" t="n">
        <v>0</v>
      </c>
      <c r="Q480" t="n">
        <v>1</v>
      </c>
      <c r="R480" t="n">
        <v>0</v>
      </c>
      <c r="S480" t="n">
        <v>2</v>
      </c>
      <c r="T480" t="n">
        <v>2</v>
      </c>
      <c r="U480" t="n">
        <v>2</v>
      </c>
      <c r="V480" s="2" t="inlineStr">
        <is>
          <t>Tallkötticka
Tjäder</t>
        </is>
      </c>
      <c r="W480">
        <f>HYPERLINK("https://klasma.github.io/Logging_0380/artfynd/S 1389-2022 artfynd.xlsx", "S 1389-2022")</f>
        <v/>
      </c>
      <c r="X480">
        <f>HYPERLINK("https://klasma.github.io/Logging_0380/kartor/S 1389-2022 karta.png", "S 1389-2022")</f>
        <v/>
      </c>
      <c r="Y480">
        <f>HYPERLINK("https://klasma.github.io/Logging_0380/kartor_geotiff/S 1389-2022 georefererad karta.tif", "S 1389-2022")</f>
        <v/>
      </c>
      <c r="AA480">
        <f>HYPERLINK("https://klasma.github.io/Logging_0380/klagomål/S 1389-2022 FSC-klagomål.docx", "S 1389-2022")</f>
        <v/>
      </c>
      <c r="AB480">
        <f>HYPERLINK("https://klasma.github.io/Logging_0380/klagomålsmail/S 1389-2022 FSC-klagomål mail.docx", "S 1389-2022")</f>
        <v/>
      </c>
      <c r="AC480">
        <f>HYPERLINK("https://klasma.github.io/Logging_0380/tillsyn/S 1389-2022 tillsynsbegäran.docx", "S 1389-2022")</f>
        <v/>
      </c>
      <c r="AD480">
        <f>HYPERLINK("https://klasma.github.io/Logging_0380/tillsynsmail/S 1389-2022 tillsynsbegäran mail.docx", "S 1389-2022")</f>
        <v/>
      </c>
      <c r="AE480">
        <f>HYPERLINK("https://klasma.github.io/Logging_0380/fåglar/S 1389-2022 prioriterade fågelarter.docx", "S 1389-2022")</f>
        <v/>
      </c>
    </row>
    <row r="481" ht="15" customHeight="1">
      <c r="A481" t="inlineStr">
        <is>
          <t>S 4493-2022</t>
        </is>
      </c>
      <c r="B481" t="inlineStr">
        <is>
          <t>samrådsanmälan</t>
        </is>
      </c>
      <c r="C481" t="inlineStr">
        <is>
          <t>Åtgärd i nyckelbiotop</t>
        </is>
      </c>
      <c r="D481" s="1" t="n">
        <v>44782</v>
      </c>
      <c r="E481" s="1" t="n">
        <v>46309</v>
      </c>
      <c r="F481" t="inlineStr">
        <is>
          <t>UPPSALA LÄN</t>
        </is>
      </c>
      <c r="G481" t="inlineStr">
        <is>
          <t>ÖSTHAMMAR</t>
        </is>
      </c>
      <c r="I481" t="n">
        <v>3.6</v>
      </c>
      <c r="J481" t="n">
        <v>0</v>
      </c>
      <c r="K481" t="n">
        <v>1</v>
      </c>
      <c r="L481" t="n">
        <v>0</v>
      </c>
      <c r="M481" t="n">
        <v>1</v>
      </c>
      <c r="N481" t="n">
        <v>0</v>
      </c>
      <c r="O481" t="n">
        <v>0</v>
      </c>
      <c r="P481" t="n">
        <v>0</v>
      </c>
      <c r="Q481" t="n">
        <v>1</v>
      </c>
      <c r="R481" t="n">
        <v>1</v>
      </c>
      <c r="S481" t="n">
        <v>2</v>
      </c>
      <c r="T481" t="n">
        <v>2</v>
      </c>
      <c r="U481" t="n">
        <v>0</v>
      </c>
      <c r="V481" s="2" t="inlineStr">
        <is>
          <t>Gul lammticka
Brandmusseron</t>
        </is>
      </c>
      <c r="W481">
        <f>HYPERLINK("https://klasma.github.io/Logging_0382/artfynd/S 4493-2022 artfynd.xlsx", "S 4493-2022")</f>
        <v/>
      </c>
      <c r="X481">
        <f>HYPERLINK("https://klasma.github.io/Logging_0382/kartor/S 4493-2022 karta.png", "S 4493-2022")</f>
        <v/>
      </c>
      <c r="Y481">
        <f>HYPERLINK("https://klasma.github.io/Logging_0382/kartor_geotiff/S 4493-2022 georefererad karta.tif", "S 4493-2022")</f>
        <v/>
      </c>
      <c r="AA481">
        <f>HYPERLINK("https://klasma.github.io/Logging_0382/klagomål/S 4493-2022 FSC-klagomål.docx", "S 4493-2022")</f>
        <v/>
      </c>
      <c r="AB481">
        <f>HYPERLINK("https://klasma.github.io/Logging_0382/klagomålsmail/S 4493-2022 FSC-klagomål mail.docx", "S 4493-2022")</f>
        <v/>
      </c>
      <c r="AC481">
        <f>HYPERLINK("https://klasma.github.io/Logging_0382/tillsyn/S 4493-2022 tillsynsbegäran.docx", "S 4493-2022")</f>
        <v/>
      </c>
      <c r="AD481">
        <f>HYPERLINK("https://klasma.github.io/Logging_0382/tillsynsmail/S 4493-2022 tillsynsbegäran mail.docx", "S 4493-2022")</f>
        <v/>
      </c>
    </row>
    <row r="482" ht="15" customHeight="1">
      <c r="A482" t="inlineStr">
        <is>
          <t>S 408-2025</t>
        </is>
      </c>
      <c r="B482" t="inlineStr">
        <is>
          <t>samrådsanmälan</t>
        </is>
      </c>
      <c r="C482" t="inlineStr">
        <is>
          <t>Skogsgödsling</t>
        </is>
      </c>
      <c r="D482" s="1" t="n">
        <v>45699</v>
      </c>
      <c r="E482" s="1" t="n">
        <v>46309</v>
      </c>
      <c r="F482" t="inlineStr">
        <is>
          <t>UPPSALA LÄN</t>
        </is>
      </c>
      <c r="G482" t="inlineStr">
        <is>
          <t>TIERP</t>
        </is>
      </c>
      <c r="H482" t="inlineStr">
        <is>
          <t>Bergvik skog öst AB</t>
        </is>
      </c>
      <c r="I482" t="n">
        <v>96.90000000000001</v>
      </c>
      <c r="J482" t="n">
        <v>1</v>
      </c>
      <c r="K482" t="n">
        <v>0</v>
      </c>
      <c r="L482" t="n">
        <v>1</v>
      </c>
      <c r="M482" t="n">
        <v>0</v>
      </c>
      <c r="N482" t="n">
        <v>0</v>
      </c>
      <c r="O482" t="n">
        <v>0</v>
      </c>
      <c r="P482" t="n">
        <v>0</v>
      </c>
      <c r="Q482" t="n">
        <v>1</v>
      </c>
      <c r="R482" t="n">
        <v>0</v>
      </c>
      <c r="S482" t="n">
        <v>2</v>
      </c>
      <c r="T482" t="n">
        <v>2</v>
      </c>
      <c r="U482" t="n">
        <v>0</v>
      </c>
      <c r="V482" s="2" t="inlineStr">
        <is>
          <t>Kortskaftad ärgspik
Blåsippa</t>
        </is>
      </c>
      <c r="W482">
        <f>HYPERLINK("https://klasma.github.io/Logging_0360/artfynd/S 408-2025 artfynd.xlsx", "S 408-2025")</f>
        <v/>
      </c>
      <c r="X482">
        <f>HYPERLINK("https://klasma.github.io/Logging_0360/kartor/S 408-2025 karta.png", "S 408-2025")</f>
        <v/>
      </c>
      <c r="Y482">
        <f>HYPERLINK("https://klasma.github.io/Logging_0360/kartor_geotiff/S 408-2025 georefererad karta.tif", "S 408-2025")</f>
        <v/>
      </c>
      <c r="AA482">
        <f>HYPERLINK("https://klasma.github.io/Logging_0360/klagomål/S 408-2025 FSC-klagomål.docx", "S 408-2025")</f>
        <v/>
      </c>
      <c r="AB482">
        <f>HYPERLINK("https://klasma.github.io/Logging_0360/klagomålsmail/S 408-2025 FSC-klagomål mail.docx", "S 408-2025")</f>
        <v/>
      </c>
      <c r="AC482">
        <f>HYPERLINK("https://klasma.github.io/Logging_0360/tillsyn/S 408-2025 tillsynsbegäran.docx", "S 408-2025")</f>
        <v/>
      </c>
      <c r="AD482">
        <f>HYPERLINK("https://klasma.github.io/Logging_0360/tillsynsmail/S 408-2025 tillsynsbegäran mail.docx", "S 408-2025")</f>
        <v/>
      </c>
    </row>
    <row r="483" ht="15" customHeight="1">
      <c r="A483" t="inlineStr">
        <is>
          <t>S 194-2025</t>
        </is>
      </c>
      <c r="B483" t="inlineStr">
        <is>
          <t>samrådsanmälan</t>
        </is>
      </c>
      <c r="C483" t="inlineStr">
        <is>
          <t>Annan skogsbruksåtgärd</t>
        </is>
      </c>
      <c r="D483" s="1" t="n">
        <v>45679</v>
      </c>
      <c r="E483" s="1" t="n">
        <v>46309</v>
      </c>
      <c r="F483" t="inlineStr">
        <is>
          <t>UPPSALA LÄN</t>
        </is>
      </c>
      <c r="G483" t="inlineStr">
        <is>
          <t>KNIVSTA</t>
        </is>
      </c>
      <c r="I483" t="n">
        <v>1</v>
      </c>
      <c r="J483" t="n">
        <v>0</v>
      </c>
      <c r="K483" t="n">
        <v>1</v>
      </c>
      <c r="L483" t="n">
        <v>1</v>
      </c>
      <c r="M483" t="n">
        <v>0</v>
      </c>
      <c r="N483" t="n">
        <v>0</v>
      </c>
      <c r="O483" t="n">
        <v>0</v>
      </c>
      <c r="P483" t="n">
        <v>0</v>
      </c>
      <c r="Q483" t="n">
        <v>1</v>
      </c>
      <c r="R483" t="n">
        <v>0</v>
      </c>
      <c r="S483" t="n">
        <v>2</v>
      </c>
      <c r="T483" t="n">
        <v>3</v>
      </c>
      <c r="U483" t="n">
        <v>0</v>
      </c>
      <c r="V483" s="2" t="inlineStr">
        <is>
          <t>Tallticka
Grovticka</t>
        </is>
      </c>
      <c r="W483">
        <f>HYPERLINK("https://klasma.github.io/Logging_0330/artfynd/S 194-2025 artfynd.xlsx", "S 194-2025")</f>
        <v/>
      </c>
      <c r="X483">
        <f>HYPERLINK("https://klasma.github.io/Logging_0330/kartor/S 194-2025 karta.png", "S 194-2025")</f>
        <v/>
      </c>
      <c r="Y483">
        <f>HYPERLINK("https://klasma.github.io/Logging_0330/kartor_geotiff/S 194-2025 georefererad karta.tif", "S 194-2025")</f>
        <v/>
      </c>
      <c r="AA483">
        <f>HYPERLINK("https://klasma.github.io/Logging_0330/klagomål/S 194-2025 FSC-klagomål.docx", "S 194-2025")</f>
        <v/>
      </c>
      <c r="AB483">
        <f>HYPERLINK("https://klasma.github.io/Logging_0330/klagomålsmail/S 194-2025 FSC-klagomål mail.docx", "S 194-2025")</f>
        <v/>
      </c>
      <c r="AC483">
        <f>HYPERLINK("https://klasma.github.io/Logging_0330/tillsyn/S 194-2025 tillsynsbegäran.docx", "S 194-2025")</f>
        <v/>
      </c>
      <c r="AD483">
        <f>HYPERLINK("https://klasma.github.io/Logging_0330/tillsynsmail/S 194-2025 tillsynsbegäran mail.docx", "S 194-2025")</f>
        <v/>
      </c>
    </row>
    <row r="484" ht="15" customHeight="1">
      <c r="A484" t="inlineStr">
        <is>
          <t>S 2234-2024</t>
        </is>
      </c>
      <c r="B484" t="inlineStr">
        <is>
          <t>samrådsanmälan</t>
        </is>
      </c>
      <c r="C484" t="inlineStr">
        <is>
          <t>Annan skogsbruksåtgärd</t>
        </is>
      </c>
      <c r="D484" s="1" t="n">
        <v>45460</v>
      </c>
      <c r="E484" s="1" t="n">
        <v>46309</v>
      </c>
      <c r="F484" t="inlineStr">
        <is>
          <t>UPPSALA LÄN</t>
        </is>
      </c>
      <c r="G484" t="inlineStr">
        <is>
          <t>HEBY</t>
        </is>
      </c>
      <c r="H484" t="inlineStr">
        <is>
          <t>Bergvik skog väst AB</t>
        </is>
      </c>
      <c r="I484" t="n">
        <v>0.4</v>
      </c>
      <c r="J484" t="n">
        <v>0</v>
      </c>
      <c r="K484" t="n">
        <v>2</v>
      </c>
      <c r="L484" t="n">
        <v>0</v>
      </c>
      <c r="M484" t="n">
        <v>0</v>
      </c>
      <c r="N484" t="n">
        <v>0</v>
      </c>
      <c r="O484" t="n">
        <v>0</v>
      </c>
      <c r="P484" t="n">
        <v>0</v>
      </c>
      <c r="Q484" t="n">
        <v>0</v>
      </c>
      <c r="R484" t="n">
        <v>0</v>
      </c>
      <c r="S484" t="n">
        <v>2</v>
      </c>
      <c r="T484" t="n">
        <v>2</v>
      </c>
      <c r="U484" t="n">
        <v>0</v>
      </c>
      <c r="V484" s="2" t="inlineStr">
        <is>
          <t>Aspvedgnagare
Björksplintborre</t>
        </is>
      </c>
      <c r="W484">
        <f>HYPERLINK("https://klasma.github.io/Logging_0331/artfynd/S 2234-2024 artfynd.xlsx", "S 2234-2024")</f>
        <v/>
      </c>
      <c r="X484">
        <f>HYPERLINK("https://klasma.github.io/Logging_0331/kartor/S 2234-2024 karta.png", "S 2234-2024")</f>
        <v/>
      </c>
      <c r="Y484">
        <f>HYPERLINK("https://klasma.github.io/Logging_0331/kartor_geotiff/S 2234-2024 georefererad karta.tif", "S 2234-2024")</f>
        <v/>
      </c>
      <c r="AA484">
        <f>HYPERLINK("https://klasma.github.io/Logging_0331/klagomål/S 2234-2024 FSC-klagomål.docx", "S 2234-2024")</f>
        <v/>
      </c>
      <c r="AB484">
        <f>HYPERLINK("https://klasma.github.io/Logging_0331/klagomålsmail/S 2234-2024 FSC-klagomål mail.docx", "S 2234-2024")</f>
        <v/>
      </c>
      <c r="AC484">
        <f>HYPERLINK("https://klasma.github.io/Logging_0331/tillsyn/S 2234-2024 tillsynsbegäran.docx", "S 2234-2024")</f>
        <v/>
      </c>
      <c r="AD484">
        <f>HYPERLINK("https://klasma.github.io/Logging_0331/tillsynsmail/S 2234-2024 tillsynsbegäran mail.docx", "S 2234-2024")</f>
        <v/>
      </c>
    </row>
    <row r="485" ht="15" customHeight="1">
      <c r="A485" t="inlineStr">
        <is>
          <t>S 846-2024</t>
        </is>
      </c>
      <c r="B485" t="inlineStr">
        <is>
          <t>samrådsanmälan</t>
        </is>
      </c>
      <c r="C485" t="inlineStr">
        <is>
          <t>Skogsgödsling</t>
        </is>
      </c>
      <c r="D485" s="1" t="n">
        <v>45373</v>
      </c>
      <c r="E485" s="1" t="n">
        <v>46309</v>
      </c>
      <c r="F485" t="inlineStr">
        <is>
          <t>UPPSALA LÄN</t>
        </is>
      </c>
      <c r="G485" t="inlineStr">
        <is>
          <t>HEBY</t>
        </is>
      </c>
      <c r="H485" t="inlineStr">
        <is>
          <t>Bergvik skog väst AB</t>
        </is>
      </c>
      <c r="I485" t="n">
        <v>13.1</v>
      </c>
      <c r="J485" t="n">
        <v>0</v>
      </c>
      <c r="K485" t="n">
        <v>0</v>
      </c>
      <c r="L485" t="n">
        <v>1</v>
      </c>
      <c r="M485" t="n">
        <v>1</v>
      </c>
      <c r="N485" t="n">
        <v>0</v>
      </c>
      <c r="O485" t="n">
        <v>0</v>
      </c>
      <c r="P485" t="n">
        <v>0</v>
      </c>
      <c r="Q485" t="n">
        <v>2</v>
      </c>
      <c r="R485" t="n">
        <v>1</v>
      </c>
      <c r="S485" t="n">
        <v>2</v>
      </c>
      <c r="T485" t="n">
        <v>4</v>
      </c>
      <c r="U485" t="n">
        <v>0</v>
      </c>
      <c r="V485" s="2" t="inlineStr">
        <is>
          <t>Lammticka
Motaggsvamp</t>
        </is>
      </c>
      <c r="W485">
        <f>HYPERLINK("https://klasma.github.io/Logging_0331/artfynd/S 846-2024 artfynd.xlsx", "S 846-2024")</f>
        <v/>
      </c>
      <c r="X485">
        <f>HYPERLINK("https://klasma.github.io/Logging_0331/kartor/S 846-2024 karta.png", "S 846-2024")</f>
        <v/>
      </c>
      <c r="Y485">
        <f>HYPERLINK("https://klasma.github.io/Logging_0331/kartor_geotiff/S 846-2024 georefererad karta.tif", "S 846-2024")</f>
        <v/>
      </c>
      <c r="AA485">
        <f>HYPERLINK("https://klasma.github.io/Logging_0331/klagomål/S 846-2024 FSC-klagomål.docx", "S 846-2024")</f>
        <v/>
      </c>
      <c r="AB485">
        <f>HYPERLINK("https://klasma.github.io/Logging_0331/klagomålsmail/S 846-2024 FSC-klagomål mail.docx", "S 846-2024")</f>
        <v/>
      </c>
      <c r="AC485">
        <f>HYPERLINK("https://klasma.github.io/Logging_0331/tillsyn/S 846-2024 tillsynsbegäran.docx", "S 846-2024")</f>
        <v/>
      </c>
      <c r="AD485">
        <f>HYPERLINK("https://klasma.github.io/Logging_0331/tillsynsmail/S 846-2024 tillsynsbegäran mail.docx", "S 846-2024")</f>
        <v/>
      </c>
    </row>
    <row r="486" ht="15" customHeight="1">
      <c r="A486" t="inlineStr">
        <is>
          <t>S 6023-2022</t>
        </is>
      </c>
      <c r="B486" t="inlineStr">
        <is>
          <t>samrådsanmälan</t>
        </is>
      </c>
      <c r="C486" t="inlineStr">
        <is>
          <t>Annan skogsbruksåtgärd</t>
        </is>
      </c>
      <c r="D486" s="1" t="n">
        <v>44859</v>
      </c>
      <c r="E486" s="1" t="n">
        <v>46309</v>
      </c>
      <c r="F486" t="inlineStr">
        <is>
          <t>UPPSALA LÄN</t>
        </is>
      </c>
      <c r="G486" t="inlineStr">
        <is>
          <t>ÖSTHAMMAR</t>
        </is>
      </c>
      <c r="H486" t="inlineStr">
        <is>
          <t>Bergvik skog öst AB</t>
        </is>
      </c>
      <c r="I486" t="n">
        <v>1.4</v>
      </c>
      <c r="J486" t="n">
        <v>1</v>
      </c>
      <c r="K486" t="n">
        <v>0</v>
      </c>
      <c r="L486" t="n">
        <v>1</v>
      </c>
      <c r="M486" t="n">
        <v>0</v>
      </c>
      <c r="N486" t="n">
        <v>1</v>
      </c>
      <c r="O486" t="n">
        <v>0</v>
      </c>
      <c r="P486" t="n">
        <v>0</v>
      </c>
      <c r="Q486" t="n">
        <v>2</v>
      </c>
      <c r="R486" t="n">
        <v>1</v>
      </c>
      <c r="S486" t="n">
        <v>2</v>
      </c>
      <c r="T486" t="n">
        <v>3</v>
      </c>
      <c r="U486" t="n">
        <v>1</v>
      </c>
      <c r="V486" s="2" t="inlineStr">
        <is>
          <t>Ask
Drillsnäppa</t>
        </is>
      </c>
      <c r="W486">
        <f>HYPERLINK("https://klasma.github.io/Logging_0382/artfynd/S 6023-2022 artfynd.xlsx", "S 6023-2022")</f>
        <v/>
      </c>
      <c r="X486">
        <f>HYPERLINK("https://klasma.github.io/Logging_0382/kartor/S 6023-2022 karta.png", "S 6023-2022")</f>
        <v/>
      </c>
      <c r="Y486">
        <f>HYPERLINK("https://klasma.github.io/Logging_0382/kartor_geotiff/S 6023-2022 georefererad karta.tif", "S 6023-2022")</f>
        <v/>
      </c>
      <c r="AA486">
        <f>HYPERLINK("https://klasma.github.io/Logging_0382/klagomål/S 6023-2022 FSC-klagomål.docx", "S 6023-2022")</f>
        <v/>
      </c>
      <c r="AB486">
        <f>HYPERLINK("https://klasma.github.io/Logging_0382/klagomålsmail/S 6023-2022 FSC-klagomål mail.docx", "S 6023-2022")</f>
        <v/>
      </c>
      <c r="AC486">
        <f>HYPERLINK("https://klasma.github.io/Logging_0382/tillsyn/S 6023-2022 tillsynsbegäran.docx", "S 6023-2022")</f>
        <v/>
      </c>
      <c r="AD486">
        <f>HYPERLINK("https://klasma.github.io/Logging_0382/tillsynsmail/S 6023-2022 tillsynsbegäran mail.docx", "S 6023-2022")</f>
        <v/>
      </c>
      <c r="AE486">
        <f>HYPERLINK("https://klasma.github.io/Logging_0382/fåglar/S 6023-2022 prioriterade fågelarter.docx", "S 6023-2022")</f>
        <v/>
      </c>
    </row>
    <row r="487" ht="15" customHeight="1">
      <c r="A487" t="inlineStr">
        <is>
          <t>S 780-2024</t>
        </is>
      </c>
      <c r="B487" t="inlineStr">
        <is>
          <t>samrådsanmälan</t>
        </is>
      </c>
      <c r="C487" t="inlineStr">
        <is>
          <t>Annan skogsbruksåtgärd</t>
        </is>
      </c>
      <c r="D487" s="1" t="n">
        <v>45369</v>
      </c>
      <c r="E487" s="1" t="n">
        <v>46309</v>
      </c>
      <c r="F487" t="inlineStr">
        <is>
          <t>UPPSALA LÄN</t>
        </is>
      </c>
      <c r="G487" t="inlineStr">
        <is>
          <t>ÄLVKARLEBY</t>
        </is>
      </c>
      <c r="H487" t="inlineStr">
        <is>
          <t>Bergvik skog väst AB</t>
        </is>
      </c>
      <c r="I487" t="n">
        <v>0.2</v>
      </c>
      <c r="J487" t="n">
        <v>1</v>
      </c>
      <c r="K487" t="n">
        <v>0</v>
      </c>
      <c r="L487" t="n">
        <v>1</v>
      </c>
      <c r="M487" t="n">
        <v>0</v>
      </c>
      <c r="N487" t="n">
        <v>1</v>
      </c>
      <c r="O487" t="n">
        <v>0</v>
      </c>
      <c r="P487" t="n">
        <v>0</v>
      </c>
      <c r="Q487" t="n">
        <v>2</v>
      </c>
      <c r="R487" t="n">
        <v>1</v>
      </c>
      <c r="S487" t="n">
        <v>2</v>
      </c>
      <c r="T487" t="n">
        <v>10</v>
      </c>
      <c r="U487" t="n">
        <v>2</v>
      </c>
      <c r="V487" s="2" t="inlineStr">
        <is>
          <t>Mosippa
Motaggsvamp</t>
        </is>
      </c>
      <c r="W487">
        <f>HYPERLINK("https://klasma.github.io/Logging_0319/artfynd/S 780-2024 artfynd.xlsx", "S 780-2024")</f>
        <v/>
      </c>
      <c r="X487">
        <f>HYPERLINK("https://klasma.github.io/Logging_0319/kartor/S 780-2024 karta.png", "S 780-2024")</f>
        <v/>
      </c>
      <c r="Y487">
        <f>HYPERLINK("https://klasma.github.io/Logging_0319/kartor_geotiff/S 780-2024 georefererad karta.tif", "S 780-2024")</f>
        <v/>
      </c>
      <c r="AA487">
        <f>HYPERLINK("https://klasma.github.io/Logging_0319/klagomål/S 780-2024 FSC-klagomål.docx", "S 780-2024")</f>
        <v/>
      </c>
      <c r="AB487">
        <f>HYPERLINK("https://klasma.github.io/Logging_0319/klagomålsmail/S 780-2024 FSC-klagomål mail.docx", "S 780-2024")</f>
        <v/>
      </c>
      <c r="AC487">
        <f>HYPERLINK("https://klasma.github.io/Logging_0319/tillsyn/S 780-2024 tillsynsbegäran.docx", "S 780-2024")</f>
        <v/>
      </c>
      <c r="AD487">
        <f>HYPERLINK("https://klasma.github.io/Logging_0319/tillsynsmail/S 780-2024 tillsynsbegäran mail.docx", "S 780-2024")</f>
        <v/>
      </c>
    </row>
    <row r="488" ht="15" customHeight="1">
      <c r="A488" t="inlineStr">
        <is>
          <t>S 3086-2025</t>
        </is>
      </c>
      <c r="B488" t="inlineStr">
        <is>
          <t>samrådsanmälan</t>
        </is>
      </c>
      <c r="C488" t="inlineStr">
        <is>
          <t>Annan skogsbruksåtgärd</t>
        </is>
      </c>
      <c r="D488" s="1" t="n">
        <v>45965</v>
      </c>
      <c r="E488" s="1" t="n">
        <v>46309</v>
      </c>
      <c r="F488" t="inlineStr">
        <is>
          <t>UPPSALA LÄN</t>
        </is>
      </c>
      <c r="G488" t="inlineStr">
        <is>
          <t>UPPSALA</t>
        </is>
      </c>
      <c r="I488" t="n">
        <v>2.6</v>
      </c>
      <c r="J488" t="n">
        <v>2</v>
      </c>
      <c r="K488" t="n">
        <v>0</v>
      </c>
      <c r="L488" t="n">
        <v>0</v>
      </c>
      <c r="M488" t="n">
        <v>0</v>
      </c>
      <c r="N488" t="n">
        <v>0</v>
      </c>
      <c r="O488" t="n">
        <v>0</v>
      </c>
      <c r="P488" t="n">
        <v>0</v>
      </c>
      <c r="Q488" t="n">
        <v>0</v>
      </c>
      <c r="R488" t="n">
        <v>0</v>
      </c>
      <c r="S488" t="n">
        <v>2</v>
      </c>
      <c r="T488" t="n">
        <v>3</v>
      </c>
      <c r="U488" t="n">
        <v>0</v>
      </c>
      <c r="V488" s="2" t="inlineStr">
        <is>
          <t>Blåsippa
Tjäder</t>
        </is>
      </c>
      <c r="W488">
        <f>HYPERLINK("https://klasma.github.io/Logging_0380/artfynd/S 3086-2025 artfynd.xlsx", "S 3086-2025")</f>
        <v/>
      </c>
      <c r="X488">
        <f>HYPERLINK("https://klasma.github.io/Logging_0380/kartor/S 3086-2025 karta.png", "S 3086-2025")</f>
        <v/>
      </c>
      <c r="Y488">
        <f>HYPERLINK("https://klasma.github.io/Logging_0380/kartor_geotiff/S 3086-2025 georefererad karta.tif", "S 3086-2025")</f>
        <v/>
      </c>
      <c r="AA488">
        <f>HYPERLINK("https://klasma.github.io/Logging_0380/klagomål/S 3086-2025 FSC-klagomål.docx", "S 3086-2025")</f>
        <v/>
      </c>
      <c r="AB488">
        <f>HYPERLINK("https://klasma.github.io/Logging_0380/klagomålsmail/S 3086-2025 FSC-klagomål mail.docx", "S 3086-2025")</f>
        <v/>
      </c>
      <c r="AC488">
        <f>HYPERLINK("https://klasma.github.io/Logging_0380/tillsyn/S 3086-2025 tillsynsbegäran.docx", "S 3086-2025")</f>
        <v/>
      </c>
      <c r="AD488">
        <f>HYPERLINK("https://klasma.github.io/Logging_0380/tillsynsmail/S 3086-2025 tillsynsbegäran mail.docx", "S 3086-2025")</f>
        <v/>
      </c>
      <c r="AE488">
        <f>HYPERLINK("https://klasma.github.io/Logging_0380/fåglar/S 3086-2025 prioriterade fågelarter.docx", "S 3086-2025")</f>
        <v/>
      </c>
    </row>
    <row r="489" ht="15" customHeight="1">
      <c r="A489" t="inlineStr">
        <is>
          <t>S 679-2026</t>
        </is>
      </c>
      <c r="B489" t="inlineStr">
        <is>
          <t>samrådsanmälan</t>
        </is>
      </c>
      <c r="C489" t="inlineStr">
        <is>
          <t>Skogsgödsling</t>
        </is>
      </c>
      <c r="D489" s="1" t="n">
        <v>46089</v>
      </c>
      <c r="E489" s="1" t="n">
        <v>46309</v>
      </c>
      <c r="F489" t="inlineStr">
        <is>
          <t>UPPSALA LÄN</t>
        </is>
      </c>
      <c r="G489" t="inlineStr">
        <is>
          <t>TIERP</t>
        </is>
      </c>
      <c r="H489" t="inlineStr">
        <is>
          <t>Bergvik skog öst AB</t>
        </is>
      </c>
      <c r="I489" t="n">
        <v>63.9</v>
      </c>
      <c r="J489" t="n">
        <v>1</v>
      </c>
      <c r="K489" t="n">
        <v>1</v>
      </c>
      <c r="L489" t="n">
        <v>0</v>
      </c>
      <c r="M489" t="n">
        <v>0</v>
      </c>
      <c r="N489" t="n">
        <v>0</v>
      </c>
      <c r="O489" t="n">
        <v>0</v>
      </c>
      <c r="P489" t="n">
        <v>0</v>
      </c>
      <c r="Q489" t="n">
        <v>0</v>
      </c>
      <c r="R489" t="n">
        <v>0</v>
      </c>
      <c r="S489" t="n">
        <v>2</v>
      </c>
      <c r="T489" t="n">
        <v>2</v>
      </c>
      <c r="U489" t="n">
        <v>0</v>
      </c>
      <c r="V489" s="2" t="inlineStr">
        <is>
          <t>Vågbandad barkbock
Spillkråka</t>
        </is>
      </c>
      <c r="W489">
        <f>HYPERLINK("https://klasma.github.io/Logging_0360/artfynd/S 679-2026 artfynd.xlsx", "S 679-2026")</f>
        <v/>
      </c>
      <c r="X489">
        <f>HYPERLINK("https://klasma.github.io/Logging_0360/kartor/S 679-2026 karta.png", "S 679-2026")</f>
        <v/>
      </c>
      <c r="Y489">
        <f>HYPERLINK("https://klasma.github.io/Logging_0360/kartor_geotiff/S 679-2026 georefererad karta.tif", "S 679-2026")</f>
        <v/>
      </c>
      <c r="Z489">
        <f>HYPERLINK("https://klasma.github.io/Logging_0360/knärot/S 679-2026 karta knärot.png", "S 679-2026")</f>
        <v/>
      </c>
      <c r="AA489">
        <f>HYPERLINK("https://klasma.github.io/Logging_0360/klagomål/S 679-2026 FSC-klagomål.docx", "S 679-2026")</f>
        <v/>
      </c>
      <c r="AB489">
        <f>HYPERLINK("https://klasma.github.io/Logging_0360/klagomålsmail/S 679-2026 FSC-klagomål mail.docx", "S 679-2026")</f>
        <v/>
      </c>
      <c r="AC489">
        <f>HYPERLINK("https://klasma.github.io/Logging_0360/tillsyn/S 679-2026 tillsynsbegäran.docx", "S 679-2026")</f>
        <v/>
      </c>
      <c r="AD489">
        <f>HYPERLINK("https://klasma.github.io/Logging_0360/tillsynsmail/S 679-2026 tillsynsbegäran mail.docx", "S 679-2026")</f>
        <v/>
      </c>
      <c r="AE489">
        <f>HYPERLINK("https://klasma.github.io/Logging_0360/fåglar/S 679-2026 prioriterade fågelarter.docx", "S 679-2026")</f>
        <v/>
      </c>
    </row>
    <row r="490" ht="15" customHeight="1">
      <c r="A490" t="inlineStr">
        <is>
          <t>A 18732-2022</t>
        </is>
      </c>
      <c r="B490" t="inlineStr">
        <is>
          <t>avverkningsanmälan</t>
        </is>
      </c>
      <c r="C490" t="inlineStr">
        <is>
          <t>Föryngringsavverkning</t>
        </is>
      </c>
      <c r="D490" s="1" t="n">
        <v>44687</v>
      </c>
      <c r="E490" s="1" t="n">
        <v>46309</v>
      </c>
      <c r="F490" t="inlineStr">
        <is>
          <t>UPPSALA LÄN</t>
        </is>
      </c>
      <c r="G490" t="inlineStr">
        <is>
          <t>ÖSTHAMMAR</t>
        </is>
      </c>
      <c r="I490" t="n">
        <v>10.5</v>
      </c>
      <c r="J490" t="n">
        <v>1</v>
      </c>
      <c r="K490" t="n">
        <v>0</v>
      </c>
      <c r="L490" t="n">
        <v>0</v>
      </c>
      <c r="M490" t="n">
        <v>0</v>
      </c>
      <c r="N490" t="n">
        <v>0</v>
      </c>
      <c r="O490" t="n">
        <v>0</v>
      </c>
      <c r="P490" t="n">
        <v>0</v>
      </c>
      <c r="Q490" t="n">
        <v>0</v>
      </c>
      <c r="R490" t="n">
        <v>0</v>
      </c>
      <c r="S490" t="n">
        <v>1</v>
      </c>
      <c r="T490" t="n">
        <v>1</v>
      </c>
      <c r="U490" t="n">
        <v>1</v>
      </c>
      <c r="V490" s="2" t="inlineStr">
        <is>
          <t>Skogsödla</t>
        </is>
      </c>
      <c r="W490">
        <f>HYPERLINK("https://klasma.github.io/Logging_0382/artfynd/A 18732-2022 artfynd.xlsx", "A 18732-2022")</f>
        <v/>
      </c>
      <c r="X490">
        <f>HYPERLINK("https://klasma.github.io/Logging_0382/kartor/A 18732-2022 karta.png", "A 18732-2022")</f>
        <v/>
      </c>
      <c r="Y490">
        <f>HYPERLINK("https://klasma.github.io/Logging_0382/kartor_geotiff/A 18732-2022 georefererad karta.tif", "A 18732-2022")</f>
        <v/>
      </c>
      <c r="AA490">
        <f>HYPERLINK("https://klasma.github.io/Logging_0382/klagomål/A 18732-2022 FSC-klagomål.docx", "A 18732-2022")</f>
        <v/>
      </c>
      <c r="AB490">
        <f>HYPERLINK("https://klasma.github.io/Logging_0382/klagomålsmail/A 18732-2022 FSC-klagomål mail.docx", "A 18732-2022")</f>
        <v/>
      </c>
      <c r="AC490">
        <f>HYPERLINK("https://klasma.github.io/Logging_0382/tillsyn/A 18732-2022 tillsynsbegäran.docx", "A 18732-2022")</f>
        <v/>
      </c>
      <c r="AD490">
        <f>HYPERLINK("https://klasma.github.io/Logging_0382/tillsynsmail/A 18732-2022 tillsynsbegäran mail.docx", "A 18732-2022")</f>
        <v/>
      </c>
    </row>
    <row r="491" ht="15" customHeight="1">
      <c r="A491" t="inlineStr">
        <is>
          <t>A 46094-2022</t>
        </is>
      </c>
      <c r="B491" t="inlineStr">
        <is>
          <t>avverkningsanmälan</t>
        </is>
      </c>
      <c r="C491" t="inlineStr">
        <is>
          <t>Föryngringsavverkning</t>
        </is>
      </c>
      <c r="D491" s="1" t="n">
        <v>44847</v>
      </c>
      <c r="E491" s="1" t="n">
        <v>46309</v>
      </c>
      <c r="F491" t="inlineStr">
        <is>
          <t>UPPSALA LÄN</t>
        </is>
      </c>
      <c r="G491" t="inlineStr">
        <is>
          <t>HEBY</t>
        </is>
      </c>
      <c r="I491" t="n">
        <v>3.3</v>
      </c>
      <c r="J491" t="n">
        <v>1</v>
      </c>
      <c r="K491" t="n">
        <v>0</v>
      </c>
      <c r="L491" t="n">
        <v>0</v>
      </c>
      <c r="M491" t="n">
        <v>0</v>
      </c>
      <c r="N491" t="n">
        <v>0</v>
      </c>
      <c r="O491" t="n">
        <v>0</v>
      </c>
      <c r="P491" t="n">
        <v>0</v>
      </c>
      <c r="Q491" t="n">
        <v>0</v>
      </c>
      <c r="R491" t="n">
        <v>0</v>
      </c>
      <c r="S491" t="n">
        <v>1</v>
      </c>
      <c r="T491" t="n">
        <v>1</v>
      </c>
      <c r="U491" t="n">
        <v>0</v>
      </c>
      <c r="V491" s="2" t="inlineStr">
        <is>
          <t>Ängsnycklar</t>
        </is>
      </c>
      <c r="W491">
        <f>HYPERLINK("https://klasma.github.io/Logging_0331/artfynd/A 46094-2022 artfynd.xlsx", "A 46094-2022")</f>
        <v/>
      </c>
      <c r="X491">
        <f>HYPERLINK("https://klasma.github.io/Logging_0331/kartor/A 46094-2022 karta.png", "A 46094-2022")</f>
        <v/>
      </c>
      <c r="Y491">
        <f>HYPERLINK("https://klasma.github.io/Logging_0331/kartor_geotiff/A 46094-2022 georefererad karta.tif", "A 46094-2022")</f>
        <v/>
      </c>
      <c r="AA491">
        <f>HYPERLINK("https://klasma.github.io/Logging_0331/klagomål/A 46094-2022 FSC-klagomål.docx", "A 46094-2022")</f>
        <v/>
      </c>
      <c r="AB491">
        <f>HYPERLINK("https://klasma.github.io/Logging_0331/klagomålsmail/A 46094-2022 FSC-klagomål mail.docx", "A 46094-2022")</f>
        <v/>
      </c>
      <c r="AC491">
        <f>HYPERLINK("https://klasma.github.io/Logging_0331/tillsyn/A 46094-2022 tillsynsbegäran.docx", "A 46094-2022")</f>
        <v/>
      </c>
      <c r="AD491">
        <f>HYPERLINK("https://klasma.github.io/Logging_0331/tillsynsmail/A 46094-2022 tillsynsbegäran mail.docx", "A 46094-2022")</f>
        <v/>
      </c>
    </row>
    <row r="492" ht="15" customHeight="1">
      <c r="A492" t="inlineStr">
        <is>
          <t>A 2535-2022</t>
        </is>
      </c>
      <c r="B492" t="inlineStr">
        <is>
          <t>avverkningsanmälan</t>
        </is>
      </c>
      <c r="C492" t="inlineStr">
        <is>
          <t>Föryngringsavverkning</t>
        </is>
      </c>
      <c r="D492" s="1" t="n">
        <v>44579</v>
      </c>
      <c r="E492" s="1" t="n">
        <v>46309</v>
      </c>
      <c r="F492" t="inlineStr">
        <is>
          <t>UPPSALA LÄN</t>
        </is>
      </c>
      <c r="G492" t="inlineStr">
        <is>
          <t>TIERP</t>
        </is>
      </c>
      <c r="I492" t="n">
        <v>2.3</v>
      </c>
      <c r="J492" t="n">
        <v>1</v>
      </c>
      <c r="K492" t="n">
        <v>0</v>
      </c>
      <c r="L492" t="n">
        <v>0</v>
      </c>
      <c r="M492" t="n">
        <v>1</v>
      </c>
      <c r="N492" t="n">
        <v>0</v>
      </c>
      <c r="O492" t="n">
        <v>0</v>
      </c>
      <c r="P492" t="n">
        <v>0</v>
      </c>
      <c r="Q492" t="n">
        <v>1</v>
      </c>
      <c r="R492" t="n">
        <v>1</v>
      </c>
      <c r="S492" t="n">
        <v>1</v>
      </c>
      <c r="T492" t="n">
        <v>1</v>
      </c>
      <c r="U492" t="n">
        <v>1</v>
      </c>
      <c r="V492" s="2" t="inlineStr">
        <is>
          <t>Knärot</t>
        </is>
      </c>
      <c r="W492">
        <f>HYPERLINK("https://klasma.github.io/Logging_0360/artfynd/A 2535-2022 artfynd.xlsx", "A 2535-2022")</f>
        <v/>
      </c>
      <c r="X492">
        <f>HYPERLINK("https://klasma.github.io/Logging_0360/kartor/A 2535-2022 karta.png", "A 2535-2022")</f>
        <v/>
      </c>
      <c r="Y492">
        <f>HYPERLINK("https://klasma.github.io/Logging_0360/kartor_geotiff/A 2535-2022 georefererad karta.tif", "A 2535-2022")</f>
        <v/>
      </c>
      <c r="Z492">
        <f>HYPERLINK("https://klasma.github.io/Logging_0360/knärot/A 2535-2022 karta knärot.png", "A 2535-2022")</f>
        <v/>
      </c>
      <c r="AA492">
        <f>HYPERLINK("https://klasma.github.io/Logging_0360/klagomål/A 2535-2022 FSC-klagomål.docx", "A 2535-2022")</f>
        <v/>
      </c>
      <c r="AB492">
        <f>HYPERLINK("https://klasma.github.io/Logging_0360/klagomålsmail/A 2535-2022 FSC-klagomål mail.docx", "A 2535-2022")</f>
        <v/>
      </c>
      <c r="AC492">
        <f>HYPERLINK("https://klasma.github.io/Logging_0360/tillsyn/A 2535-2022 tillsynsbegäran.docx", "A 2535-2022")</f>
        <v/>
      </c>
      <c r="AD492">
        <f>HYPERLINK("https://klasma.github.io/Logging_0360/tillsynsmail/A 2535-2022 tillsynsbegäran mail.docx", "A 2535-2022")</f>
        <v/>
      </c>
    </row>
    <row r="493" ht="15" customHeight="1">
      <c r="A493" t="inlineStr">
        <is>
          <t>A 22645-2022</t>
        </is>
      </c>
      <c r="B493" t="inlineStr">
        <is>
          <t>avverkningsanmälan</t>
        </is>
      </c>
      <c r="C493" t="inlineStr">
        <is>
          <t>Föryngringsavverkning</t>
        </is>
      </c>
      <c r="D493" s="1" t="n">
        <v>44714</v>
      </c>
      <c r="E493" s="1" t="n">
        <v>46309</v>
      </c>
      <c r="F493" t="inlineStr">
        <is>
          <t>UPPSALA LÄN</t>
        </is>
      </c>
      <c r="G493" t="inlineStr">
        <is>
          <t>UPPSALA</t>
        </is>
      </c>
      <c r="I493" t="n">
        <v>1.3</v>
      </c>
      <c r="J493" t="n">
        <v>1</v>
      </c>
      <c r="K493" t="n">
        <v>0</v>
      </c>
      <c r="L493" t="n">
        <v>0</v>
      </c>
      <c r="M493" t="n">
        <v>0</v>
      </c>
      <c r="N493" t="n">
        <v>0</v>
      </c>
      <c r="O493" t="n">
        <v>0</v>
      </c>
      <c r="P493" t="n">
        <v>0</v>
      </c>
      <c r="Q493" t="n">
        <v>0</v>
      </c>
      <c r="R493" t="n">
        <v>0</v>
      </c>
      <c r="S493" t="n">
        <v>1</v>
      </c>
      <c r="T493" t="n">
        <v>1</v>
      </c>
      <c r="U493" t="n">
        <v>1</v>
      </c>
      <c r="V493" s="2" t="inlineStr">
        <is>
          <t>Törnskata</t>
        </is>
      </c>
      <c r="W493">
        <f>HYPERLINK("https://klasma.github.io/Logging_0380/artfynd/A 22645-2022 artfynd.xlsx", "A 22645-2022")</f>
        <v/>
      </c>
      <c r="X493">
        <f>HYPERLINK("https://klasma.github.io/Logging_0380/kartor/A 22645-2022 karta.png", "A 22645-2022")</f>
        <v/>
      </c>
      <c r="Y493">
        <f>HYPERLINK("https://klasma.github.io/Logging_0380/kartor_geotiff/A 22645-2022 georefererad karta.tif", "A 22645-2022")</f>
        <v/>
      </c>
      <c r="AA493">
        <f>HYPERLINK("https://klasma.github.io/Logging_0380/klagomål/A 22645-2022 FSC-klagomål.docx", "A 22645-2022")</f>
        <v/>
      </c>
      <c r="AB493">
        <f>HYPERLINK("https://klasma.github.io/Logging_0380/klagomålsmail/A 22645-2022 FSC-klagomål mail.docx", "A 22645-2022")</f>
        <v/>
      </c>
      <c r="AC493">
        <f>HYPERLINK("https://klasma.github.io/Logging_0380/tillsyn/A 22645-2022 tillsynsbegäran.docx", "A 22645-2022")</f>
        <v/>
      </c>
      <c r="AD493">
        <f>HYPERLINK("https://klasma.github.io/Logging_0380/tillsynsmail/A 22645-2022 tillsynsbegäran mail.docx", "A 22645-2022")</f>
        <v/>
      </c>
      <c r="AE493">
        <f>HYPERLINK("https://klasma.github.io/Logging_0380/fåglar/A 22645-2022 prioriterade fågelarter.docx", "A 22645-2022")</f>
        <v/>
      </c>
    </row>
    <row r="494" ht="15" customHeight="1">
      <c r="A494" t="inlineStr">
        <is>
          <t>A 38442-2022</t>
        </is>
      </c>
      <c r="B494" t="inlineStr">
        <is>
          <t>avverkningsanmälan</t>
        </is>
      </c>
      <c r="C494" t="inlineStr">
        <is>
          <t>Föryngringsavverkning</t>
        </is>
      </c>
      <c r="D494" s="1" t="n">
        <v>44813</v>
      </c>
      <c r="E494" s="1" t="n">
        <v>46309</v>
      </c>
      <c r="F494" t="inlineStr">
        <is>
          <t>UPPSALA LÄN</t>
        </is>
      </c>
      <c r="G494" t="inlineStr">
        <is>
          <t>ÖSTHAMMAR</t>
        </is>
      </c>
      <c r="H494" t="inlineStr">
        <is>
          <t>Kyrkan</t>
        </is>
      </c>
      <c r="I494" t="n">
        <v>2.9</v>
      </c>
      <c r="J494" t="n">
        <v>0</v>
      </c>
      <c r="K494" t="n">
        <v>0</v>
      </c>
      <c r="L494" t="n">
        <v>1</v>
      </c>
      <c r="M494" t="n">
        <v>0</v>
      </c>
      <c r="N494" t="n">
        <v>0</v>
      </c>
      <c r="O494" t="n">
        <v>0</v>
      </c>
      <c r="P494" t="n">
        <v>0</v>
      </c>
      <c r="Q494" t="n">
        <v>1</v>
      </c>
      <c r="R494" t="n">
        <v>0</v>
      </c>
      <c r="S494" t="n">
        <v>1</v>
      </c>
      <c r="T494" t="n">
        <v>2</v>
      </c>
      <c r="U494" t="n">
        <v>2</v>
      </c>
      <c r="V494" s="2" t="inlineStr">
        <is>
          <t>Slåtterfibbla</t>
        </is>
      </c>
      <c r="W494">
        <f>HYPERLINK("https://klasma.github.io/Logging_0382/artfynd/A 38442-2022 artfynd.xlsx", "A 38442-2022")</f>
        <v/>
      </c>
      <c r="X494">
        <f>HYPERLINK("https://klasma.github.io/Logging_0382/kartor/A 38442-2022 karta.png", "A 38442-2022")</f>
        <v/>
      </c>
      <c r="Y494">
        <f>HYPERLINK("https://klasma.github.io/Logging_0382/kartor_geotiff/A 38442-2022 georefererad karta.tif", "A 38442-2022")</f>
        <v/>
      </c>
      <c r="AA494">
        <f>HYPERLINK("https://klasma.github.io/Logging_0382/klagomål/A 38442-2022 FSC-klagomål.docx", "A 38442-2022")</f>
        <v/>
      </c>
      <c r="AB494">
        <f>HYPERLINK("https://klasma.github.io/Logging_0382/klagomålsmail/A 38442-2022 FSC-klagomål mail.docx", "A 38442-2022")</f>
        <v/>
      </c>
      <c r="AC494">
        <f>HYPERLINK("https://klasma.github.io/Logging_0382/tillsyn/A 38442-2022 tillsynsbegäran.docx", "A 38442-2022")</f>
        <v/>
      </c>
      <c r="AD494">
        <f>HYPERLINK("https://klasma.github.io/Logging_0382/tillsynsmail/A 38442-2022 tillsynsbegäran mail.docx", "A 38442-2022")</f>
        <v/>
      </c>
    </row>
    <row r="495" ht="15" customHeight="1">
      <c r="A495" t="inlineStr">
        <is>
          <t>A 10294-2022</t>
        </is>
      </c>
      <c r="B495" t="inlineStr">
        <is>
          <t>avverkningsanmälan</t>
        </is>
      </c>
      <c r="C495" t="inlineStr">
        <is>
          <t>Föryngringsavverkning</t>
        </is>
      </c>
      <c r="D495" s="1" t="n">
        <v>44622</v>
      </c>
      <c r="E495" s="1" t="n">
        <v>46309</v>
      </c>
      <c r="F495" t="inlineStr">
        <is>
          <t>UPPSALA LÄN</t>
        </is>
      </c>
      <c r="G495" t="inlineStr">
        <is>
          <t>ÖSTHAMMAR</t>
        </is>
      </c>
      <c r="H495" t="inlineStr">
        <is>
          <t>Bergvik skog öst AB</t>
        </is>
      </c>
      <c r="I495" t="n">
        <v>1</v>
      </c>
      <c r="J495" t="n">
        <v>0</v>
      </c>
      <c r="K495" t="n">
        <v>0</v>
      </c>
      <c r="L495" t="n">
        <v>1</v>
      </c>
      <c r="M495" t="n">
        <v>0</v>
      </c>
      <c r="N495" t="n">
        <v>0</v>
      </c>
      <c r="O495" t="n">
        <v>0</v>
      </c>
      <c r="P495" t="n">
        <v>0</v>
      </c>
      <c r="Q495" t="n">
        <v>1</v>
      </c>
      <c r="R495" t="n">
        <v>0</v>
      </c>
      <c r="S495" t="n">
        <v>1</v>
      </c>
      <c r="T495" t="n">
        <v>1</v>
      </c>
      <c r="U495" t="n">
        <v>0</v>
      </c>
      <c r="V495" s="2" t="inlineStr">
        <is>
          <t>Slåtterfibbla</t>
        </is>
      </c>
      <c r="W495">
        <f>HYPERLINK("https://klasma.github.io/Logging_0382/artfynd/A 10294-2022 artfynd.xlsx", "A 10294-2022")</f>
        <v/>
      </c>
      <c r="X495">
        <f>HYPERLINK("https://klasma.github.io/Logging_0382/kartor/A 10294-2022 karta.png", "A 10294-2022")</f>
        <v/>
      </c>
      <c r="Y495">
        <f>HYPERLINK("https://klasma.github.io/Logging_0382/kartor_geotiff/A 10294-2022 georefererad karta.tif", "A 10294-2022")</f>
        <v/>
      </c>
      <c r="AA495">
        <f>HYPERLINK("https://klasma.github.io/Logging_0382/klagomål/A 10294-2022 FSC-klagomål.docx", "A 10294-2022")</f>
        <v/>
      </c>
      <c r="AB495">
        <f>HYPERLINK("https://klasma.github.io/Logging_0382/klagomålsmail/A 10294-2022 FSC-klagomål mail.docx", "A 10294-2022")</f>
        <v/>
      </c>
      <c r="AC495">
        <f>HYPERLINK("https://klasma.github.io/Logging_0382/tillsyn/A 10294-2022 tillsynsbegäran.docx", "A 10294-2022")</f>
        <v/>
      </c>
      <c r="AD495">
        <f>HYPERLINK("https://klasma.github.io/Logging_0382/tillsynsmail/A 10294-2022 tillsynsbegäran mail.docx", "A 10294-2022")</f>
        <v/>
      </c>
    </row>
    <row r="496" ht="15" customHeight="1">
      <c r="A496" t="inlineStr">
        <is>
          <t>A 63826-2021</t>
        </is>
      </c>
      <c r="B496" t="inlineStr">
        <is>
          <t>avverkningsanmälan</t>
        </is>
      </c>
      <c r="C496" t="inlineStr">
        <is>
          <t>Föryngringsavverkning</t>
        </is>
      </c>
      <c r="D496" s="1" t="n">
        <v>44509</v>
      </c>
      <c r="E496" s="1" t="n">
        <v>46309</v>
      </c>
      <c r="F496" t="inlineStr">
        <is>
          <t>UPPSALA LÄN</t>
        </is>
      </c>
      <c r="G496" t="inlineStr">
        <is>
          <t>HEBY</t>
        </is>
      </c>
      <c r="I496" t="n">
        <v>3.2</v>
      </c>
      <c r="J496" t="n">
        <v>1</v>
      </c>
      <c r="K496" t="n">
        <v>0</v>
      </c>
      <c r="L496" t="n">
        <v>0</v>
      </c>
      <c r="M496" t="n">
        <v>1</v>
      </c>
      <c r="N496" t="n">
        <v>0</v>
      </c>
      <c r="O496" t="n">
        <v>0</v>
      </c>
      <c r="P496" t="n">
        <v>0</v>
      </c>
      <c r="Q496" t="n">
        <v>1</v>
      </c>
      <c r="R496" t="n">
        <v>1</v>
      </c>
      <c r="S496" t="n">
        <v>1</v>
      </c>
      <c r="T496" t="n">
        <v>3</v>
      </c>
      <c r="U496" t="n">
        <v>1</v>
      </c>
      <c r="V496" s="2" t="inlineStr">
        <is>
          <t>Väddnätfjäril</t>
        </is>
      </c>
      <c r="W496">
        <f>HYPERLINK("https://klasma.github.io/Logging_0331/artfynd/A 63826-2021 artfynd.xlsx", "A 63826-2021")</f>
        <v/>
      </c>
      <c r="X496">
        <f>HYPERLINK("https://klasma.github.io/Logging_0331/kartor/A 63826-2021 karta.png", "A 63826-2021")</f>
        <v/>
      </c>
      <c r="Y496">
        <f>HYPERLINK("https://klasma.github.io/Logging_0331/kartor_geotiff/A 63826-2021 georefererad karta.tif", "A 63826-2021")</f>
        <v/>
      </c>
      <c r="AA496">
        <f>HYPERLINK("https://klasma.github.io/Logging_0331/klagomål/A 63826-2021 FSC-klagomål.docx", "A 63826-2021")</f>
        <v/>
      </c>
      <c r="AB496">
        <f>HYPERLINK("https://klasma.github.io/Logging_0331/klagomålsmail/A 63826-2021 FSC-klagomål mail.docx", "A 63826-2021")</f>
        <v/>
      </c>
      <c r="AC496">
        <f>HYPERLINK("https://klasma.github.io/Logging_0331/tillsyn/A 63826-2021 tillsynsbegäran.docx", "A 63826-2021")</f>
        <v/>
      </c>
      <c r="AD496">
        <f>HYPERLINK("https://klasma.github.io/Logging_0331/tillsynsmail/A 63826-2021 tillsynsbegäran mail.docx", "A 63826-2021")</f>
        <v/>
      </c>
    </row>
    <row r="497" ht="15" customHeight="1">
      <c r="A497" t="inlineStr">
        <is>
          <t>A 41971-2022</t>
        </is>
      </c>
      <c r="B497" t="inlineStr">
        <is>
          <t>avverkningsanmälan</t>
        </is>
      </c>
      <c r="C497" t="inlineStr">
        <is>
          <t>Avverkning för annat ändamål</t>
        </is>
      </c>
      <c r="D497" s="1" t="n">
        <v>44827</v>
      </c>
      <c r="E497" s="1" t="n">
        <v>46309</v>
      </c>
      <c r="F497" t="inlineStr">
        <is>
          <t>UPPSALA LÄN</t>
        </is>
      </c>
      <c r="G497" t="inlineStr">
        <is>
          <t>TIERP</t>
        </is>
      </c>
      <c r="I497" t="n">
        <v>10</v>
      </c>
      <c r="J497" t="n">
        <v>1</v>
      </c>
      <c r="K497" t="n">
        <v>0</v>
      </c>
      <c r="L497" t="n">
        <v>0</v>
      </c>
      <c r="M497" t="n">
        <v>0</v>
      </c>
      <c r="N497" t="n">
        <v>0</v>
      </c>
      <c r="O497" t="n">
        <v>0</v>
      </c>
      <c r="P497" t="n">
        <v>0</v>
      </c>
      <c r="Q497" t="n">
        <v>0</v>
      </c>
      <c r="R497" t="n">
        <v>0</v>
      </c>
      <c r="S497" t="n">
        <v>1</v>
      </c>
      <c r="T497" t="n">
        <v>1</v>
      </c>
      <c r="U497" t="n">
        <v>1</v>
      </c>
      <c r="V497" s="2" t="inlineStr">
        <is>
          <t>Havsörn</t>
        </is>
      </c>
      <c r="W497">
        <f>HYPERLINK("https://klasma.github.io/Logging_0360/artfynd/A 41971-2022 artfynd.xlsx", "A 41971-2022")</f>
        <v/>
      </c>
      <c r="X497">
        <f>HYPERLINK("https://klasma.github.io/Logging_0360/kartor/A 41971-2022 karta.png", "A 41971-2022")</f>
        <v/>
      </c>
      <c r="Y497">
        <f>HYPERLINK("https://klasma.github.io/Logging_0360/kartor_geotiff/A 41971-2022 georefererad karta.tif", "A 41971-2022")</f>
        <v/>
      </c>
      <c r="AA497">
        <f>HYPERLINK("https://klasma.github.io/Logging_0360/klagomål/A 41971-2022 FSC-klagomål.docx", "A 41971-2022")</f>
        <v/>
      </c>
      <c r="AB497">
        <f>HYPERLINK("https://klasma.github.io/Logging_0360/klagomålsmail/A 41971-2022 FSC-klagomål mail.docx", "A 41971-2022")</f>
        <v/>
      </c>
      <c r="AC497">
        <f>HYPERLINK("https://klasma.github.io/Logging_0360/tillsyn/A 41971-2022 tillsynsbegäran.docx", "A 41971-2022")</f>
        <v/>
      </c>
      <c r="AD497">
        <f>HYPERLINK("https://klasma.github.io/Logging_0360/tillsynsmail/A 41971-2022 tillsynsbegäran mail.docx", "A 41971-2022")</f>
        <v/>
      </c>
      <c r="AE497">
        <f>HYPERLINK("https://klasma.github.io/Logging_0360/fåglar/A 41971-2022 prioriterade fågelarter.docx", "A 41971-2022")</f>
        <v/>
      </c>
    </row>
    <row r="498" ht="15" customHeight="1">
      <c r="A498" t="inlineStr">
        <is>
          <t>A 14255-2022</t>
        </is>
      </c>
      <c r="B498" t="inlineStr">
        <is>
          <t>avverkningsanmälan</t>
        </is>
      </c>
      <c r="C498" t="inlineStr">
        <is>
          <t>Föryngringsavverkning</t>
        </is>
      </c>
      <c r="D498" s="1" t="n">
        <v>44651</v>
      </c>
      <c r="E498" s="1" t="n">
        <v>46309</v>
      </c>
      <c r="F498" t="inlineStr">
        <is>
          <t>UPPSALA LÄN</t>
        </is>
      </c>
      <c r="G498" t="inlineStr">
        <is>
          <t>UPPSALA</t>
        </is>
      </c>
      <c r="H498" t="inlineStr">
        <is>
          <t>Holmen skog AB</t>
        </is>
      </c>
      <c r="I498" t="n">
        <v>3</v>
      </c>
      <c r="J498" t="n">
        <v>0</v>
      </c>
      <c r="K498" t="n">
        <v>0</v>
      </c>
      <c r="L498" t="n">
        <v>1</v>
      </c>
      <c r="M498" t="n">
        <v>0</v>
      </c>
      <c r="N498" t="n">
        <v>0</v>
      </c>
      <c r="O498" t="n">
        <v>0</v>
      </c>
      <c r="P498" t="n">
        <v>0</v>
      </c>
      <c r="Q498" t="n">
        <v>1</v>
      </c>
      <c r="R498" t="n">
        <v>0</v>
      </c>
      <c r="S498" t="n">
        <v>1</v>
      </c>
      <c r="T498" t="n">
        <v>1</v>
      </c>
      <c r="U498" t="n">
        <v>0</v>
      </c>
      <c r="V498" s="2" t="inlineStr">
        <is>
          <t>Rödbrun blekspik</t>
        </is>
      </c>
      <c r="W498">
        <f>HYPERLINK("https://klasma.github.io/Logging_0380/artfynd/A 14255-2022 artfynd.xlsx", "A 14255-2022")</f>
        <v/>
      </c>
      <c r="X498">
        <f>HYPERLINK("https://klasma.github.io/Logging_0380/kartor/A 14255-2022 karta.png", "A 14255-2022")</f>
        <v/>
      </c>
      <c r="Y498">
        <f>HYPERLINK("https://klasma.github.io/Logging_0380/kartor_geotiff/A 14255-2022 georefererad karta.tif", "A 14255-2022")</f>
        <v/>
      </c>
      <c r="AA498">
        <f>HYPERLINK("https://klasma.github.io/Logging_0380/klagomål/A 14255-2022 FSC-klagomål.docx", "A 14255-2022")</f>
        <v/>
      </c>
      <c r="AB498">
        <f>HYPERLINK("https://klasma.github.io/Logging_0380/klagomålsmail/A 14255-2022 FSC-klagomål mail.docx", "A 14255-2022")</f>
        <v/>
      </c>
      <c r="AC498">
        <f>HYPERLINK("https://klasma.github.io/Logging_0380/tillsyn/A 14255-2022 tillsynsbegäran.docx", "A 14255-2022")</f>
        <v/>
      </c>
      <c r="AD498">
        <f>HYPERLINK("https://klasma.github.io/Logging_0380/tillsynsmail/A 14255-2022 tillsynsbegäran mail.docx", "A 14255-2022")</f>
        <v/>
      </c>
    </row>
    <row r="499" ht="15" customHeight="1">
      <c r="A499" t="inlineStr">
        <is>
          <t>A 29983-2022</t>
        </is>
      </c>
      <c r="B499" t="inlineStr">
        <is>
          <t>avverkningsanmälan</t>
        </is>
      </c>
      <c r="C499" t="inlineStr">
        <is>
          <t>Föryngringsavverkning</t>
        </is>
      </c>
      <c r="D499" s="1" t="n">
        <v>44756</v>
      </c>
      <c r="E499" s="1" t="n">
        <v>46309</v>
      </c>
      <c r="F499" t="inlineStr">
        <is>
          <t>UPPSALA LÄN</t>
        </is>
      </c>
      <c r="G499" t="inlineStr">
        <is>
          <t>TIERP</t>
        </is>
      </c>
      <c r="I499" t="n">
        <v>0.8</v>
      </c>
      <c r="J499" t="n">
        <v>1</v>
      </c>
      <c r="K499" t="n">
        <v>0</v>
      </c>
      <c r="L499" t="n">
        <v>0</v>
      </c>
      <c r="M499" t="n">
        <v>1</v>
      </c>
      <c r="N499" t="n">
        <v>0</v>
      </c>
      <c r="O499" t="n">
        <v>0</v>
      </c>
      <c r="P499" t="n">
        <v>0</v>
      </c>
      <c r="Q499" t="n">
        <v>1</v>
      </c>
      <c r="R499" t="n">
        <v>1</v>
      </c>
      <c r="S499" t="n">
        <v>1</v>
      </c>
      <c r="T499" t="n">
        <v>1</v>
      </c>
      <c r="U499" t="n">
        <v>1</v>
      </c>
      <c r="V499" s="2" t="inlineStr">
        <is>
          <t>Hussvala</t>
        </is>
      </c>
      <c r="W499">
        <f>HYPERLINK("https://klasma.github.io/Logging_0360/artfynd/A 29983-2022 artfynd.xlsx", "A 29983-2022")</f>
        <v/>
      </c>
      <c r="X499">
        <f>HYPERLINK("https://klasma.github.io/Logging_0360/kartor/A 29983-2022 karta.png", "A 29983-2022")</f>
        <v/>
      </c>
      <c r="Y499">
        <f>HYPERLINK("https://klasma.github.io/Logging_0360/kartor_geotiff/A 29983-2022 georefererad karta.tif", "A 29983-2022")</f>
        <v/>
      </c>
      <c r="AA499">
        <f>HYPERLINK("https://klasma.github.io/Logging_0360/klagomål/A 29983-2022 FSC-klagomål.docx", "A 29983-2022")</f>
        <v/>
      </c>
      <c r="AB499">
        <f>HYPERLINK("https://klasma.github.io/Logging_0360/klagomålsmail/A 29983-2022 FSC-klagomål mail.docx", "A 29983-2022")</f>
        <v/>
      </c>
      <c r="AC499">
        <f>HYPERLINK("https://klasma.github.io/Logging_0360/tillsyn/A 29983-2022 tillsynsbegäran.docx", "A 29983-2022")</f>
        <v/>
      </c>
      <c r="AD499">
        <f>HYPERLINK("https://klasma.github.io/Logging_0360/tillsynsmail/A 29983-2022 tillsynsbegäran mail.docx", "A 29983-2022")</f>
        <v/>
      </c>
    </row>
    <row r="500" ht="15" customHeight="1">
      <c r="A500" t="inlineStr">
        <is>
          <t>A 71675-2021</t>
        </is>
      </c>
      <c r="B500" t="inlineStr">
        <is>
          <t>avverkningsanmälan</t>
        </is>
      </c>
      <c r="C500" t="inlineStr">
        <is>
          <t>Föryngringsavverkning</t>
        </is>
      </c>
      <c r="D500" s="1" t="n">
        <v>44543</v>
      </c>
      <c r="E500" s="1" t="n">
        <v>46309</v>
      </c>
      <c r="F500" t="inlineStr">
        <is>
          <t>UPPSALA LÄN</t>
        </is>
      </c>
      <c r="G500" t="inlineStr">
        <is>
          <t>UPPSALA</t>
        </is>
      </c>
      <c r="H500" t="inlineStr">
        <is>
          <t>Bergvik skog öst AB</t>
        </is>
      </c>
      <c r="I500" t="n">
        <v>1.4</v>
      </c>
      <c r="J500" t="n">
        <v>0</v>
      </c>
      <c r="K500" t="n">
        <v>0</v>
      </c>
      <c r="L500" t="n">
        <v>0</v>
      </c>
      <c r="M500" t="n">
        <v>1</v>
      </c>
      <c r="N500" t="n">
        <v>0</v>
      </c>
      <c r="O500" t="n">
        <v>0</v>
      </c>
      <c r="P500" t="n">
        <v>0</v>
      </c>
      <c r="Q500" t="n">
        <v>1</v>
      </c>
      <c r="R500" t="n">
        <v>1</v>
      </c>
      <c r="S500" t="n">
        <v>1</v>
      </c>
      <c r="T500" t="n">
        <v>5</v>
      </c>
      <c r="U500" t="n">
        <v>1</v>
      </c>
      <c r="V500" s="2" t="inlineStr">
        <is>
          <t>Fältgentiana</t>
        </is>
      </c>
      <c r="W500">
        <f>HYPERLINK("https://klasma.github.io/Logging_0380/artfynd/A 71675-2021 artfynd.xlsx", "A 71675-2021")</f>
        <v/>
      </c>
      <c r="X500">
        <f>HYPERLINK("https://klasma.github.io/Logging_0380/kartor/A 71675-2021 karta.png", "A 71675-2021")</f>
        <v/>
      </c>
      <c r="Y500">
        <f>HYPERLINK("https://klasma.github.io/Logging_0380/kartor_geotiff/A 71675-2021 georefererad karta.tif", "A 71675-2021")</f>
        <v/>
      </c>
      <c r="AA500">
        <f>HYPERLINK("https://klasma.github.io/Logging_0380/klagomål/A 71675-2021 FSC-klagomål.docx", "A 71675-2021")</f>
        <v/>
      </c>
      <c r="AB500">
        <f>HYPERLINK("https://klasma.github.io/Logging_0380/klagomålsmail/A 71675-2021 FSC-klagomål mail.docx", "A 71675-2021")</f>
        <v/>
      </c>
      <c r="AC500">
        <f>HYPERLINK("https://klasma.github.io/Logging_0380/tillsyn/A 71675-2021 tillsynsbegäran.docx", "A 71675-2021")</f>
        <v/>
      </c>
      <c r="AD500">
        <f>HYPERLINK("https://klasma.github.io/Logging_0380/tillsynsmail/A 71675-2021 tillsynsbegäran mail.docx", "A 71675-2021")</f>
        <v/>
      </c>
    </row>
    <row r="501" ht="15" customHeight="1">
      <c r="A501" t="inlineStr">
        <is>
          <t>A 33375-2022</t>
        </is>
      </c>
      <c r="B501" t="inlineStr">
        <is>
          <t>avverkningsanmälan</t>
        </is>
      </c>
      <c r="C501" t="inlineStr">
        <is>
          <t>Föryngringsavverkning</t>
        </is>
      </c>
      <c r="D501" s="1" t="n">
        <v>44788</v>
      </c>
      <c r="E501" s="1" t="n">
        <v>46309</v>
      </c>
      <c r="F501" t="inlineStr">
        <is>
          <t>UPPSALA LÄN</t>
        </is>
      </c>
      <c r="G501" t="inlineStr">
        <is>
          <t>TIERP</t>
        </is>
      </c>
      <c r="I501" t="n">
        <v>4.7</v>
      </c>
      <c r="J501" t="n">
        <v>0</v>
      </c>
      <c r="K501" t="n">
        <v>0</v>
      </c>
      <c r="L501" t="n">
        <v>0</v>
      </c>
      <c r="M501" t="n">
        <v>1</v>
      </c>
      <c r="N501" t="n">
        <v>0</v>
      </c>
      <c r="O501" t="n">
        <v>0</v>
      </c>
      <c r="P501" t="n">
        <v>0</v>
      </c>
      <c r="Q501" t="n">
        <v>1</v>
      </c>
      <c r="R501" t="n">
        <v>1</v>
      </c>
      <c r="S501" t="n">
        <v>1</v>
      </c>
      <c r="T501" t="n">
        <v>1</v>
      </c>
      <c r="U501" t="n">
        <v>0</v>
      </c>
      <c r="V501" s="2" t="inlineStr">
        <is>
          <t>Fältgentiana</t>
        </is>
      </c>
      <c r="W501">
        <f>HYPERLINK("https://klasma.github.io/Logging_0360/artfynd/A 33375-2022 artfynd.xlsx", "A 33375-2022")</f>
        <v/>
      </c>
      <c r="X501">
        <f>HYPERLINK("https://klasma.github.io/Logging_0360/kartor/A 33375-2022 karta.png", "A 33375-2022")</f>
        <v/>
      </c>
      <c r="Y501">
        <f>HYPERLINK("https://klasma.github.io/Logging_0360/kartor_geotiff/A 33375-2022 georefererad karta.tif", "A 33375-2022")</f>
        <v/>
      </c>
      <c r="AA501">
        <f>HYPERLINK("https://klasma.github.io/Logging_0360/klagomål/A 33375-2022 FSC-klagomål.docx", "A 33375-2022")</f>
        <v/>
      </c>
      <c r="AB501">
        <f>HYPERLINK("https://klasma.github.io/Logging_0360/klagomålsmail/A 33375-2022 FSC-klagomål mail.docx", "A 33375-2022")</f>
        <v/>
      </c>
      <c r="AC501">
        <f>HYPERLINK("https://klasma.github.io/Logging_0360/tillsyn/A 33375-2022 tillsynsbegäran.docx", "A 33375-2022")</f>
        <v/>
      </c>
      <c r="AD501">
        <f>HYPERLINK("https://klasma.github.io/Logging_0360/tillsynsmail/A 33375-2022 tillsynsbegäran mail.docx", "A 33375-2022")</f>
        <v/>
      </c>
    </row>
    <row r="502" ht="15" customHeight="1">
      <c r="A502" t="inlineStr">
        <is>
          <t>A 61536-2021</t>
        </is>
      </c>
      <c r="B502" t="inlineStr">
        <is>
          <t>avverkningsanmälan</t>
        </is>
      </c>
      <c r="C502" t="inlineStr">
        <is>
          <t>Föryngringsavverkning</t>
        </is>
      </c>
      <c r="D502" s="1" t="n">
        <v>44501</v>
      </c>
      <c r="E502" s="1" t="n">
        <v>46309</v>
      </c>
      <c r="F502" t="inlineStr">
        <is>
          <t>UPPSALA LÄN</t>
        </is>
      </c>
      <c r="G502" t="inlineStr">
        <is>
          <t>ÖSTHAMMAR</t>
        </is>
      </c>
      <c r="H502" t="inlineStr">
        <is>
          <t>Sveaskog</t>
        </is>
      </c>
      <c r="I502" t="n">
        <v>2.1</v>
      </c>
      <c r="J502" t="n">
        <v>0</v>
      </c>
      <c r="K502" t="n">
        <v>0</v>
      </c>
      <c r="L502" t="n">
        <v>1</v>
      </c>
      <c r="M502" t="n">
        <v>0</v>
      </c>
      <c r="N502" t="n">
        <v>0</v>
      </c>
      <c r="O502" t="n">
        <v>0</v>
      </c>
      <c r="P502" t="n">
        <v>0</v>
      </c>
      <c r="Q502" t="n">
        <v>1</v>
      </c>
      <c r="R502" t="n">
        <v>0</v>
      </c>
      <c r="S502" t="n">
        <v>1</v>
      </c>
      <c r="T502" t="n">
        <v>1</v>
      </c>
      <c r="U502" t="n">
        <v>0</v>
      </c>
      <c r="V502" s="2" t="inlineStr">
        <is>
          <t>Klasefibbla</t>
        </is>
      </c>
      <c r="W502">
        <f>HYPERLINK("https://klasma.github.io/Logging_0382/artfynd/A 61536-2021 artfynd.xlsx", "A 61536-2021")</f>
        <v/>
      </c>
      <c r="X502">
        <f>HYPERLINK("https://klasma.github.io/Logging_0382/kartor/A 61536-2021 karta.png", "A 61536-2021")</f>
        <v/>
      </c>
      <c r="Y502">
        <f>HYPERLINK("https://klasma.github.io/Logging_0382/kartor_geotiff/A 61536-2021 georefererad karta.tif", "A 61536-2021")</f>
        <v/>
      </c>
      <c r="AA502">
        <f>HYPERLINK("https://klasma.github.io/Logging_0382/klagomål/A 61536-2021 FSC-klagomål.docx", "A 61536-2021")</f>
        <v/>
      </c>
      <c r="AB502">
        <f>HYPERLINK("https://klasma.github.io/Logging_0382/klagomålsmail/A 61536-2021 FSC-klagomål mail.docx", "A 61536-2021")</f>
        <v/>
      </c>
      <c r="AC502">
        <f>HYPERLINK("https://klasma.github.io/Logging_0382/tillsyn/A 61536-2021 tillsynsbegäran.docx", "A 61536-2021")</f>
        <v/>
      </c>
      <c r="AD502">
        <f>HYPERLINK("https://klasma.github.io/Logging_0382/tillsynsmail/A 61536-2021 tillsynsbegäran mail.docx", "A 61536-2021")</f>
        <v/>
      </c>
    </row>
    <row r="503" ht="15" customHeight="1">
      <c r="A503" t="inlineStr">
        <is>
          <t>A 41382-2022</t>
        </is>
      </c>
      <c r="B503" t="inlineStr">
        <is>
          <t>avverkningsanmälan</t>
        </is>
      </c>
      <c r="C503" t="inlineStr">
        <is>
          <t>Föryngringsavverkning</t>
        </is>
      </c>
      <c r="D503" s="1" t="n">
        <v>44826</v>
      </c>
      <c r="E503" s="1" t="n">
        <v>46309</v>
      </c>
      <c r="F503" t="inlineStr">
        <is>
          <t>UPPSALA LÄN</t>
        </is>
      </c>
      <c r="G503" t="inlineStr">
        <is>
          <t>HEBY</t>
        </is>
      </c>
      <c r="I503" t="n">
        <v>2.2</v>
      </c>
      <c r="J503" t="n">
        <v>1</v>
      </c>
      <c r="K503" t="n">
        <v>0</v>
      </c>
      <c r="L503" t="n">
        <v>0</v>
      </c>
      <c r="M503" t="n">
        <v>0</v>
      </c>
      <c r="N503" t="n">
        <v>0</v>
      </c>
      <c r="O503" t="n">
        <v>0</v>
      </c>
      <c r="P503" t="n">
        <v>0</v>
      </c>
      <c r="Q503" t="n">
        <v>0</v>
      </c>
      <c r="R503" t="n">
        <v>0</v>
      </c>
      <c r="S503" t="n">
        <v>1</v>
      </c>
      <c r="T503" t="n">
        <v>1</v>
      </c>
      <c r="U503" t="n">
        <v>1</v>
      </c>
      <c r="V503" s="2" t="inlineStr">
        <is>
          <t>Nattviol</t>
        </is>
      </c>
      <c r="W503">
        <f>HYPERLINK("https://klasma.github.io/Logging_0331/artfynd/A 41382-2022 artfynd.xlsx", "A 41382-2022")</f>
        <v/>
      </c>
      <c r="X503">
        <f>HYPERLINK("https://klasma.github.io/Logging_0331/kartor/A 41382-2022 karta.png", "A 41382-2022")</f>
        <v/>
      </c>
      <c r="Y503">
        <f>HYPERLINK("https://klasma.github.io/Logging_0331/kartor_geotiff/A 41382-2022 georefererad karta.tif", "A 41382-2022")</f>
        <v/>
      </c>
      <c r="AA503">
        <f>HYPERLINK("https://klasma.github.io/Logging_0331/klagomål/A 41382-2022 FSC-klagomål.docx", "A 41382-2022")</f>
        <v/>
      </c>
      <c r="AB503">
        <f>HYPERLINK("https://klasma.github.io/Logging_0331/klagomålsmail/A 41382-2022 FSC-klagomål mail.docx", "A 41382-2022")</f>
        <v/>
      </c>
      <c r="AC503">
        <f>HYPERLINK("https://klasma.github.io/Logging_0331/tillsyn/A 41382-2022 tillsynsbegäran.docx", "A 41382-2022")</f>
        <v/>
      </c>
      <c r="AD503">
        <f>HYPERLINK("https://klasma.github.io/Logging_0331/tillsynsmail/A 41382-2022 tillsynsbegäran mail.docx", "A 41382-2022")</f>
        <v/>
      </c>
    </row>
    <row r="504" ht="15" customHeight="1">
      <c r="A504" t="inlineStr">
        <is>
          <t>A 65964-2021</t>
        </is>
      </c>
      <c r="B504" t="inlineStr">
        <is>
          <t>avverkningsanmälan</t>
        </is>
      </c>
      <c r="C504" t="inlineStr">
        <is>
          <t>Avverkning för annat ändamål</t>
        </is>
      </c>
      <c r="D504" s="1" t="n">
        <v>44517</v>
      </c>
      <c r="E504" s="1" t="n">
        <v>46309</v>
      </c>
      <c r="F504" t="inlineStr">
        <is>
          <t>UPPSALA LÄN</t>
        </is>
      </c>
      <c r="G504" t="inlineStr">
        <is>
          <t>UPPSALA</t>
        </is>
      </c>
      <c r="I504" t="n">
        <v>0.7</v>
      </c>
      <c r="J504" t="n">
        <v>0</v>
      </c>
      <c r="K504" t="n">
        <v>0</v>
      </c>
      <c r="L504" t="n">
        <v>0</v>
      </c>
      <c r="M504" t="n">
        <v>1</v>
      </c>
      <c r="N504" t="n">
        <v>0</v>
      </c>
      <c r="O504" t="n">
        <v>0</v>
      </c>
      <c r="P504" t="n">
        <v>0</v>
      </c>
      <c r="Q504" t="n">
        <v>1</v>
      </c>
      <c r="R504" t="n">
        <v>1</v>
      </c>
      <c r="S504" t="n">
        <v>1</v>
      </c>
      <c r="T504" t="n">
        <v>1</v>
      </c>
      <c r="U504" t="n">
        <v>1</v>
      </c>
      <c r="V504" s="2" t="inlineStr">
        <is>
          <t>Ängsskäreplattmal</t>
        </is>
      </c>
      <c r="W504">
        <f>HYPERLINK("https://klasma.github.io/Logging_0380/artfynd/A 65964-2021 artfynd.xlsx", "A 65964-2021")</f>
        <v/>
      </c>
      <c r="X504">
        <f>HYPERLINK("https://klasma.github.io/Logging_0380/kartor/A 65964-2021 karta.png", "A 65964-2021")</f>
        <v/>
      </c>
      <c r="Y504">
        <f>HYPERLINK("https://klasma.github.io/Logging_0380/kartor_geotiff/A 65964-2021 georefererad karta.tif", "A 65964-2021")</f>
        <v/>
      </c>
      <c r="AA504">
        <f>HYPERLINK("https://klasma.github.io/Logging_0380/klagomål/A 65964-2021 FSC-klagomål.docx", "A 65964-2021")</f>
        <v/>
      </c>
      <c r="AB504">
        <f>HYPERLINK("https://klasma.github.io/Logging_0380/klagomålsmail/A 65964-2021 FSC-klagomål mail.docx", "A 65964-2021")</f>
        <v/>
      </c>
      <c r="AC504">
        <f>HYPERLINK("https://klasma.github.io/Logging_0380/tillsyn/A 65964-2021 tillsynsbegäran.docx", "A 65964-2021")</f>
        <v/>
      </c>
      <c r="AD504">
        <f>HYPERLINK("https://klasma.github.io/Logging_0380/tillsynsmail/A 65964-2021 tillsynsbegäran mail.docx", "A 65964-2021")</f>
        <v/>
      </c>
    </row>
    <row r="505" ht="15" customHeight="1">
      <c r="A505" t="inlineStr">
        <is>
          <t>A 68127-2021</t>
        </is>
      </c>
      <c r="B505" t="inlineStr">
        <is>
          <t>avverkningsanmälan</t>
        </is>
      </c>
      <c r="C505" t="inlineStr">
        <is>
          <t>Föryngringsavverkning</t>
        </is>
      </c>
      <c r="D505" s="1" t="n">
        <v>44526</v>
      </c>
      <c r="E505" s="1" t="n">
        <v>46309</v>
      </c>
      <c r="F505" t="inlineStr">
        <is>
          <t>UPPSALA LÄN</t>
        </is>
      </c>
      <c r="G505" t="inlineStr">
        <is>
          <t>ENKÖPING</t>
        </is>
      </c>
      <c r="I505" t="n">
        <v>0.8</v>
      </c>
      <c r="J505" t="n">
        <v>0</v>
      </c>
      <c r="K505" t="n">
        <v>1</v>
      </c>
      <c r="L505" t="n">
        <v>0</v>
      </c>
      <c r="M505" t="n">
        <v>0</v>
      </c>
      <c r="N505" t="n">
        <v>0</v>
      </c>
      <c r="O505" t="n">
        <v>0</v>
      </c>
      <c r="P505" t="n">
        <v>0</v>
      </c>
      <c r="Q505" t="n">
        <v>0</v>
      </c>
      <c r="R505" t="n">
        <v>0</v>
      </c>
      <c r="S505" t="n">
        <v>1</v>
      </c>
      <c r="T505" t="n">
        <v>1</v>
      </c>
      <c r="U505" t="n">
        <v>1</v>
      </c>
      <c r="V505" s="2" t="inlineStr">
        <is>
          <t>Vedticka</t>
        </is>
      </c>
      <c r="W505">
        <f>HYPERLINK("https://klasma.github.io/Logging_0381/artfynd/A 68127-2021 artfynd.xlsx", "A 68127-2021")</f>
        <v/>
      </c>
      <c r="X505">
        <f>HYPERLINK("https://klasma.github.io/Logging_0381/kartor/A 68127-2021 karta.png", "A 68127-2021")</f>
        <v/>
      </c>
      <c r="Y505">
        <f>HYPERLINK("https://klasma.github.io/Logging_0381/kartor_geotiff/A 68127-2021 georefererad karta.tif", "A 68127-2021")</f>
        <v/>
      </c>
      <c r="AA505">
        <f>HYPERLINK("https://klasma.github.io/Logging_0381/klagomål/A 68127-2021 FSC-klagomål.docx", "A 68127-2021")</f>
        <v/>
      </c>
      <c r="AB505">
        <f>HYPERLINK("https://klasma.github.io/Logging_0381/klagomålsmail/A 68127-2021 FSC-klagomål mail.docx", "A 68127-2021")</f>
        <v/>
      </c>
      <c r="AC505">
        <f>HYPERLINK("https://klasma.github.io/Logging_0381/tillsyn/A 68127-2021 tillsynsbegäran.docx", "A 68127-2021")</f>
        <v/>
      </c>
      <c r="AD505">
        <f>HYPERLINK("https://klasma.github.io/Logging_0381/tillsynsmail/A 68127-2021 tillsynsbegäran mail.docx", "A 68127-2021")</f>
        <v/>
      </c>
    </row>
    <row r="506" ht="15" customHeight="1">
      <c r="A506" t="inlineStr">
        <is>
          <t>A 18097-2022</t>
        </is>
      </c>
      <c r="B506" t="inlineStr">
        <is>
          <t>avverkningsanmälan</t>
        </is>
      </c>
      <c r="C506" t="inlineStr">
        <is>
          <t>Föryngringsavverkning</t>
        </is>
      </c>
      <c r="D506" s="1" t="n">
        <v>44684</v>
      </c>
      <c r="E506" s="1" t="n">
        <v>46309</v>
      </c>
      <c r="F506" t="inlineStr">
        <is>
          <t>UPPSALA LÄN</t>
        </is>
      </c>
      <c r="G506" t="inlineStr">
        <is>
          <t>TIERP</t>
        </is>
      </c>
      <c r="H506" t="inlineStr">
        <is>
          <t>Bergvik skog öst AB</t>
        </is>
      </c>
      <c r="I506" t="n">
        <v>0.8</v>
      </c>
      <c r="J506" t="n">
        <v>1</v>
      </c>
      <c r="K506" t="n">
        <v>1</v>
      </c>
      <c r="L506" t="n">
        <v>0</v>
      </c>
      <c r="M506" t="n">
        <v>0</v>
      </c>
      <c r="N506" t="n">
        <v>0</v>
      </c>
      <c r="O506" t="n">
        <v>0</v>
      </c>
      <c r="P506" t="n">
        <v>0</v>
      </c>
      <c r="Q506" t="n">
        <v>0</v>
      </c>
      <c r="R506" t="n">
        <v>0</v>
      </c>
      <c r="S506" t="n">
        <v>1</v>
      </c>
      <c r="T506" t="n">
        <v>1</v>
      </c>
      <c r="U506" t="n">
        <v>1</v>
      </c>
      <c r="V506" s="2" t="inlineStr">
        <is>
          <t>Skogsknipprot</t>
        </is>
      </c>
      <c r="W506">
        <f>HYPERLINK("https://klasma.github.io/Logging_0360/artfynd/A 18097-2022 artfynd.xlsx", "A 18097-2022")</f>
        <v/>
      </c>
      <c r="X506">
        <f>HYPERLINK("https://klasma.github.io/Logging_0360/kartor/A 18097-2022 karta.png", "A 18097-2022")</f>
        <v/>
      </c>
      <c r="Y506">
        <f>HYPERLINK("https://klasma.github.io/Logging_0360/kartor_geotiff/A 18097-2022 georefererad karta.tif", "A 18097-2022")</f>
        <v/>
      </c>
      <c r="AA506">
        <f>HYPERLINK("https://klasma.github.io/Logging_0360/klagomål/A 18097-2022 FSC-klagomål.docx", "A 18097-2022")</f>
        <v/>
      </c>
      <c r="AB506">
        <f>HYPERLINK("https://klasma.github.io/Logging_0360/klagomålsmail/A 18097-2022 FSC-klagomål mail.docx", "A 18097-2022")</f>
        <v/>
      </c>
      <c r="AC506">
        <f>HYPERLINK("https://klasma.github.io/Logging_0360/tillsyn/A 18097-2022 tillsynsbegäran.docx", "A 18097-2022")</f>
        <v/>
      </c>
      <c r="AD506">
        <f>HYPERLINK("https://klasma.github.io/Logging_0360/tillsynsmail/A 18097-2022 tillsynsbegäran mail.docx", "A 18097-2022")</f>
        <v/>
      </c>
    </row>
    <row r="507" ht="15" customHeight="1">
      <c r="A507" t="inlineStr">
        <is>
          <t>A 29737-2022</t>
        </is>
      </c>
      <c r="B507" t="inlineStr">
        <is>
          <t>avverkningsanmälan</t>
        </is>
      </c>
      <c r="C507" t="inlineStr">
        <is>
          <t>Föryngringsavverkning</t>
        </is>
      </c>
      <c r="D507" s="1" t="n">
        <v>44755</v>
      </c>
      <c r="E507" s="1" t="n">
        <v>46309</v>
      </c>
      <c r="F507" t="inlineStr">
        <is>
          <t>UPPSALA LÄN</t>
        </is>
      </c>
      <c r="G507" t="inlineStr">
        <is>
          <t>TIERP</t>
        </is>
      </c>
      <c r="I507" t="n">
        <v>0.9</v>
      </c>
      <c r="J507" t="n">
        <v>1</v>
      </c>
      <c r="K507" t="n">
        <v>0</v>
      </c>
      <c r="L507" t="n">
        <v>0</v>
      </c>
      <c r="M507" t="n">
        <v>0</v>
      </c>
      <c r="N507" t="n">
        <v>0</v>
      </c>
      <c r="O507" t="n">
        <v>0</v>
      </c>
      <c r="P507" t="n">
        <v>0</v>
      </c>
      <c r="Q507" t="n">
        <v>0</v>
      </c>
      <c r="R507" t="n">
        <v>0</v>
      </c>
      <c r="S507" t="n">
        <v>1</v>
      </c>
      <c r="T507" t="n">
        <v>1</v>
      </c>
      <c r="U507" t="n">
        <v>0</v>
      </c>
      <c r="V507" s="2" t="inlineStr">
        <is>
          <t>Kungsfågel</t>
        </is>
      </c>
      <c r="W507">
        <f>HYPERLINK("https://klasma.github.io/Logging_0360/artfynd/A 29737-2022 artfynd.xlsx", "A 29737-2022")</f>
        <v/>
      </c>
      <c r="X507">
        <f>HYPERLINK("https://klasma.github.io/Logging_0360/kartor/A 29737-2022 karta.png", "A 29737-2022")</f>
        <v/>
      </c>
      <c r="Y507">
        <f>HYPERLINK("https://klasma.github.io/Logging_0360/kartor_geotiff/A 29737-2022 georefererad karta.tif", "A 29737-2022")</f>
        <v/>
      </c>
      <c r="AA507">
        <f>HYPERLINK("https://klasma.github.io/Logging_0360/klagomål/A 29737-2022 FSC-klagomål.docx", "A 29737-2022")</f>
        <v/>
      </c>
      <c r="AB507">
        <f>HYPERLINK("https://klasma.github.io/Logging_0360/klagomålsmail/A 29737-2022 FSC-klagomål mail.docx", "A 29737-2022")</f>
        <v/>
      </c>
      <c r="AC507">
        <f>HYPERLINK("https://klasma.github.io/Logging_0360/tillsyn/A 29737-2022 tillsynsbegäran.docx", "A 29737-2022")</f>
        <v/>
      </c>
      <c r="AD507">
        <f>HYPERLINK("https://klasma.github.io/Logging_0360/tillsynsmail/A 29737-2022 tillsynsbegäran mail.docx", "A 29737-2022")</f>
        <v/>
      </c>
    </row>
    <row r="508" ht="15" customHeight="1">
      <c r="A508" t="inlineStr">
        <is>
          <t>A 22887-2022</t>
        </is>
      </c>
      <c r="B508" t="inlineStr">
        <is>
          <t>avverkningsanmälan</t>
        </is>
      </c>
      <c r="C508" t="inlineStr">
        <is>
          <t>Avverkning för annat ändamål</t>
        </is>
      </c>
      <c r="D508" s="1" t="n">
        <v>44715</v>
      </c>
      <c r="E508" s="1" t="n">
        <v>46309</v>
      </c>
      <c r="F508" t="inlineStr">
        <is>
          <t>UPPSALA LÄN</t>
        </is>
      </c>
      <c r="G508" t="inlineStr">
        <is>
          <t>ÖSTHAMMAR</t>
        </is>
      </c>
      <c r="I508" t="n">
        <v>0.2</v>
      </c>
      <c r="J508" t="n">
        <v>0</v>
      </c>
      <c r="K508" t="n">
        <v>0</v>
      </c>
      <c r="L508" t="n">
        <v>1</v>
      </c>
      <c r="M508" t="n">
        <v>0</v>
      </c>
      <c r="N508" t="n">
        <v>0</v>
      </c>
      <c r="O508" t="n">
        <v>0</v>
      </c>
      <c r="P508" t="n">
        <v>0</v>
      </c>
      <c r="Q508" t="n">
        <v>1</v>
      </c>
      <c r="R508" t="n">
        <v>0</v>
      </c>
      <c r="S508" t="n">
        <v>1</v>
      </c>
      <c r="T508" t="n">
        <v>1</v>
      </c>
      <c r="U508" t="n">
        <v>1</v>
      </c>
      <c r="V508" s="2" t="inlineStr">
        <is>
          <t>Ullticka</t>
        </is>
      </c>
      <c r="W508">
        <f>HYPERLINK("https://klasma.github.io/Logging_0382/artfynd/A 22887-2022 artfynd.xlsx", "A 22887-2022")</f>
        <v/>
      </c>
      <c r="X508">
        <f>HYPERLINK("https://klasma.github.io/Logging_0382/kartor/A 22887-2022 karta.png", "A 22887-2022")</f>
        <v/>
      </c>
      <c r="Y508">
        <f>HYPERLINK("https://klasma.github.io/Logging_0382/kartor_geotiff/A 22887-2022 georefererad karta.tif", "A 22887-2022")</f>
        <v/>
      </c>
      <c r="AA508">
        <f>HYPERLINK("https://klasma.github.io/Logging_0382/klagomål/A 22887-2022 FSC-klagomål.docx", "A 22887-2022")</f>
        <v/>
      </c>
      <c r="AB508">
        <f>HYPERLINK("https://klasma.github.io/Logging_0382/klagomålsmail/A 22887-2022 FSC-klagomål mail.docx", "A 22887-2022")</f>
        <v/>
      </c>
      <c r="AC508">
        <f>HYPERLINK("https://klasma.github.io/Logging_0382/tillsyn/A 22887-2022 tillsynsbegäran.docx", "A 22887-2022")</f>
        <v/>
      </c>
      <c r="AD508">
        <f>HYPERLINK("https://klasma.github.io/Logging_0382/tillsynsmail/A 22887-2022 tillsynsbegäran mail.docx", "A 22887-2022")</f>
        <v/>
      </c>
    </row>
    <row r="509" ht="15" customHeight="1">
      <c r="A509" t="inlineStr">
        <is>
          <t>A 34418-2022</t>
        </is>
      </c>
      <c r="B509" t="inlineStr">
        <is>
          <t>avverkningsanmälan</t>
        </is>
      </c>
      <c r="C509" t="inlineStr">
        <is>
          <t>Föryngringsavverkning</t>
        </is>
      </c>
      <c r="D509" s="1" t="n">
        <v>44792</v>
      </c>
      <c r="E509" s="1" t="n">
        <v>46309</v>
      </c>
      <c r="F509" t="inlineStr">
        <is>
          <t>UPPSALA LÄN</t>
        </is>
      </c>
      <c r="G509" t="inlineStr">
        <is>
          <t>ÖSTHAMMAR</t>
        </is>
      </c>
      <c r="I509" t="n">
        <v>0.3</v>
      </c>
      <c r="J509" t="n">
        <v>0</v>
      </c>
      <c r="K509" t="n">
        <v>1</v>
      </c>
      <c r="L509" t="n">
        <v>0</v>
      </c>
      <c r="M509" t="n">
        <v>0</v>
      </c>
      <c r="N509" t="n">
        <v>0</v>
      </c>
      <c r="O509" t="n">
        <v>0</v>
      </c>
      <c r="P509" t="n">
        <v>0</v>
      </c>
      <c r="Q509" t="n">
        <v>0</v>
      </c>
      <c r="R509" t="n">
        <v>0</v>
      </c>
      <c r="S509" t="n">
        <v>1</v>
      </c>
      <c r="T509" t="n">
        <v>1</v>
      </c>
      <c r="U509" t="n">
        <v>0</v>
      </c>
      <c r="V509" s="2" t="inlineStr">
        <is>
          <t>Grönpyrola</t>
        </is>
      </c>
      <c r="W509">
        <f>HYPERLINK("https://klasma.github.io/Logging_0382/artfynd/A 34418-2022 artfynd.xlsx", "A 34418-2022")</f>
        <v/>
      </c>
      <c r="X509">
        <f>HYPERLINK("https://klasma.github.io/Logging_0382/kartor/A 34418-2022 karta.png", "A 34418-2022")</f>
        <v/>
      </c>
      <c r="Y509">
        <f>HYPERLINK("https://klasma.github.io/Logging_0382/kartor_geotiff/A 34418-2022 georefererad karta.tif", "A 34418-2022")</f>
        <v/>
      </c>
      <c r="AA509">
        <f>HYPERLINK("https://klasma.github.io/Logging_0382/klagomål/A 34418-2022 FSC-klagomål.docx", "A 34418-2022")</f>
        <v/>
      </c>
      <c r="AB509">
        <f>HYPERLINK("https://klasma.github.io/Logging_0382/klagomålsmail/A 34418-2022 FSC-klagomål mail.docx", "A 34418-2022")</f>
        <v/>
      </c>
      <c r="AC509">
        <f>HYPERLINK("https://klasma.github.io/Logging_0382/tillsyn/A 34418-2022 tillsynsbegäran.docx", "A 34418-2022")</f>
        <v/>
      </c>
      <c r="AD509">
        <f>HYPERLINK("https://klasma.github.io/Logging_0382/tillsynsmail/A 34418-2022 tillsynsbegäran mail.docx", "A 34418-2022")</f>
        <v/>
      </c>
    </row>
    <row r="510" ht="15" customHeight="1">
      <c r="A510" t="inlineStr">
        <is>
          <t>A 24562-2023</t>
        </is>
      </c>
      <c r="B510" t="inlineStr">
        <is>
          <t>avverkningsanmälan</t>
        </is>
      </c>
      <c r="C510" t="inlineStr">
        <is>
          <t>Föryngringsavverkning</t>
        </is>
      </c>
      <c r="D510" s="1" t="n">
        <v>45083</v>
      </c>
      <c r="E510" s="1" t="n">
        <v>46309</v>
      </c>
      <c r="F510" t="inlineStr">
        <is>
          <t>UPPSALA LÄN</t>
        </is>
      </c>
      <c r="G510" t="inlineStr">
        <is>
          <t>HEBY</t>
        </is>
      </c>
      <c r="I510" t="n">
        <v>5.5</v>
      </c>
      <c r="J510" t="n">
        <v>0</v>
      </c>
      <c r="K510" t="n">
        <v>1</v>
      </c>
      <c r="L510" t="n">
        <v>0</v>
      </c>
      <c r="M510" t="n">
        <v>0</v>
      </c>
      <c r="N510" t="n">
        <v>0</v>
      </c>
      <c r="O510" t="n">
        <v>0</v>
      </c>
      <c r="P510" t="n">
        <v>0</v>
      </c>
      <c r="Q510" t="n">
        <v>0</v>
      </c>
      <c r="R510" t="n">
        <v>0</v>
      </c>
      <c r="S510" t="n">
        <v>1</v>
      </c>
      <c r="T510" t="n">
        <v>1</v>
      </c>
      <c r="U510" t="n">
        <v>0</v>
      </c>
      <c r="V510" s="2" t="inlineStr">
        <is>
          <t>Grönpyrola</t>
        </is>
      </c>
      <c r="W510">
        <f>HYPERLINK("https://klasma.github.io/Logging_0331/artfynd/A 24562-2023 artfynd.xlsx", "A 24562-2023")</f>
        <v/>
      </c>
      <c r="X510">
        <f>HYPERLINK("https://klasma.github.io/Logging_0331/kartor/A 24562-2023 karta.png", "A 24562-2023")</f>
        <v/>
      </c>
      <c r="Y510">
        <f>HYPERLINK("https://klasma.github.io/Logging_0331/kartor_geotiff/A 24562-2023 georefererad karta.tif", "A 24562-2023")</f>
        <v/>
      </c>
      <c r="AA510">
        <f>HYPERLINK("https://klasma.github.io/Logging_0331/klagomål/A 24562-2023 FSC-klagomål.docx", "A 24562-2023")</f>
        <v/>
      </c>
      <c r="AB510">
        <f>HYPERLINK("https://klasma.github.io/Logging_0331/klagomålsmail/A 24562-2023 FSC-klagomål mail.docx", "A 24562-2023")</f>
        <v/>
      </c>
      <c r="AC510">
        <f>HYPERLINK("https://klasma.github.io/Logging_0331/tillsyn/A 24562-2023 tillsynsbegäran.docx", "A 24562-2023")</f>
        <v/>
      </c>
      <c r="AD510">
        <f>HYPERLINK("https://klasma.github.io/Logging_0331/tillsynsmail/A 24562-2023 tillsynsbegäran mail.docx", "A 24562-2023")</f>
        <v/>
      </c>
    </row>
    <row r="511" ht="15" customHeight="1">
      <c r="A511" t="inlineStr">
        <is>
          <t>A 46069-2022</t>
        </is>
      </c>
      <c r="B511" t="inlineStr">
        <is>
          <t>avverkningsanmälan</t>
        </is>
      </c>
      <c r="C511" t="inlineStr">
        <is>
          <t>Föryngringsavverkning</t>
        </is>
      </c>
      <c r="D511" s="1" t="n">
        <v>44847</v>
      </c>
      <c r="E511" s="1" t="n">
        <v>46309</v>
      </c>
      <c r="F511" t="inlineStr">
        <is>
          <t>UPPSALA LÄN</t>
        </is>
      </c>
      <c r="G511" t="inlineStr">
        <is>
          <t>UPPSALA</t>
        </is>
      </c>
      <c r="I511" t="n">
        <v>2.2</v>
      </c>
      <c r="J511" t="n">
        <v>0</v>
      </c>
      <c r="K511" t="n">
        <v>0</v>
      </c>
      <c r="L511" t="n">
        <v>1</v>
      </c>
      <c r="M511" t="n">
        <v>0</v>
      </c>
      <c r="N511" t="n">
        <v>0</v>
      </c>
      <c r="O511" t="n">
        <v>0</v>
      </c>
      <c r="P511" t="n">
        <v>0</v>
      </c>
      <c r="Q511" t="n">
        <v>1</v>
      </c>
      <c r="R511" t="n">
        <v>0</v>
      </c>
      <c r="S511" t="n">
        <v>1</v>
      </c>
      <c r="T511" t="n">
        <v>1</v>
      </c>
      <c r="U511" t="n">
        <v>0</v>
      </c>
      <c r="V511" s="2" t="inlineStr">
        <is>
          <t>Fjällig taggsvamp s.str.</t>
        </is>
      </c>
      <c r="W511">
        <f>HYPERLINK("https://klasma.github.io/Logging_0380/artfynd/A 46069-2022 artfynd.xlsx", "A 46069-2022")</f>
        <v/>
      </c>
      <c r="X511">
        <f>HYPERLINK("https://klasma.github.io/Logging_0380/kartor/A 46069-2022 karta.png", "A 46069-2022")</f>
        <v/>
      </c>
      <c r="Y511">
        <f>HYPERLINK("https://klasma.github.io/Logging_0380/kartor_geotiff/A 46069-2022 georefererad karta.tif", "A 46069-2022")</f>
        <v/>
      </c>
      <c r="AA511">
        <f>HYPERLINK("https://klasma.github.io/Logging_0380/klagomål/A 46069-2022 FSC-klagomål.docx", "A 46069-2022")</f>
        <v/>
      </c>
      <c r="AB511">
        <f>HYPERLINK("https://klasma.github.io/Logging_0380/klagomålsmail/A 46069-2022 FSC-klagomål mail.docx", "A 46069-2022")</f>
        <v/>
      </c>
      <c r="AC511">
        <f>HYPERLINK("https://klasma.github.io/Logging_0380/tillsyn/A 46069-2022 tillsynsbegäran.docx", "A 46069-2022")</f>
        <v/>
      </c>
      <c r="AD511">
        <f>HYPERLINK("https://klasma.github.io/Logging_0380/tillsynsmail/A 46069-2022 tillsynsbegäran mail.docx", "A 46069-2022")</f>
        <v/>
      </c>
    </row>
    <row r="512" ht="15" customHeight="1">
      <c r="A512" t="inlineStr">
        <is>
          <t>A 26932-2023</t>
        </is>
      </c>
      <c r="B512" t="inlineStr">
        <is>
          <t>avverkningsanmälan</t>
        </is>
      </c>
      <c r="C512" t="inlineStr">
        <is>
          <t>Föryngringsavverkning</t>
        </is>
      </c>
      <c r="D512" s="1" t="n">
        <v>45093</v>
      </c>
      <c r="E512" s="1" t="n">
        <v>46309</v>
      </c>
      <c r="F512" t="inlineStr">
        <is>
          <t>UPPSALA LÄN</t>
        </is>
      </c>
      <c r="G512" t="inlineStr">
        <is>
          <t>HEBY</t>
        </is>
      </c>
      <c r="I512" t="n">
        <v>12.3</v>
      </c>
      <c r="J512" t="n">
        <v>1</v>
      </c>
      <c r="K512" t="n">
        <v>0</v>
      </c>
      <c r="L512" t="n">
        <v>1</v>
      </c>
      <c r="M512" t="n">
        <v>0</v>
      </c>
      <c r="N512" t="n">
        <v>0</v>
      </c>
      <c r="O512" t="n">
        <v>0</v>
      </c>
      <c r="P512" t="n">
        <v>0</v>
      </c>
      <c r="Q512" t="n">
        <v>1</v>
      </c>
      <c r="R512" t="n">
        <v>0</v>
      </c>
      <c r="S512" t="n">
        <v>1</v>
      </c>
      <c r="T512" t="n">
        <v>1</v>
      </c>
      <c r="U512" t="n">
        <v>0</v>
      </c>
      <c r="V512" s="2" t="inlineStr">
        <is>
          <t>Tretåig hackspett</t>
        </is>
      </c>
      <c r="W512">
        <f>HYPERLINK("https://klasma.github.io/Logging_0331/artfynd/A 26932-2023 artfynd.xlsx", "A 26932-2023")</f>
        <v/>
      </c>
      <c r="X512">
        <f>HYPERLINK("https://klasma.github.io/Logging_0331/kartor/A 26932-2023 karta.png", "A 26932-2023")</f>
        <v/>
      </c>
      <c r="Y512">
        <f>HYPERLINK("https://klasma.github.io/Logging_0331/kartor_geotiff/A 26932-2023 georefererad karta.tif", "A 26932-2023")</f>
        <v/>
      </c>
      <c r="AA512">
        <f>HYPERLINK("https://klasma.github.io/Logging_0331/klagomål/A 26932-2023 FSC-klagomål.docx", "A 26932-2023")</f>
        <v/>
      </c>
      <c r="AB512">
        <f>HYPERLINK("https://klasma.github.io/Logging_0331/klagomålsmail/A 26932-2023 FSC-klagomål mail.docx", "A 26932-2023")</f>
        <v/>
      </c>
      <c r="AC512">
        <f>HYPERLINK("https://klasma.github.io/Logging_0331/tillsyn/A 26932-2023 tillsynsbegäran.docx", "A 26932-2023")</f>
        <v/>
      </c>
      <c r="AD512">
        <f>HYPERLINK("https://klasma.github.io/Logging_0331/tillsynsmail/A 26932-2023 tillsynsbegäran mail.docx", "A 26932-2023")</f>
        <v/>
      </c>
      <c r="AE512">
        <f>HYPERLINK("https://klasma.github.io/Logging_0331/fåglar/A 26932-2023 prioriterade fågelarter.docx", "A 26932-2023")</f>
        <v/>
      </c>
    </row>
    <row r="513" ht="15" customHeight="1">
      <c r="A513" t="inlineStr">
        <is>
          <t>A 42622-2022</t>
        </is>
      </c>
      <c r="B513" t="inlineStr">
        <is>
          <t>avverkningsanmälan</t>
        </is>
      </c>
      <c r="C513" t="inlineStr">
        <is>
          <t>Föryngringsavverkning</t>
        </is>
      </c>
      <c r="D513" s="1" t="n">
        <v>44831</v>
      </c>
      <c r="E513" s="1" t="n">
        <v>46309</v>
      </c>
      <c r="F513" t="inlineStr">
        <is>
          <t>UPPSALA LÄN</t>
        </is>
      </c>
      <c r="G513" t="inlineStr">
        <is>
          <t>UPPSALA</t>
        </is>
      </c>
      <c r="I513" t="n">
        <v>2.4</v>
      </c>
      <c r="J513" t="n">
        <v>0</v>
      </c>
      <c r="K513" t="n">
        <v>0</v>
      </c>
      <c r="L513" t="n">
        <v>1</v>
      </c>
      <c r="M513" t="n">
        <v>0</v>
      </c>
      <c r="N513" t="n">
        <v>0</v>
      </c>
      <c r="O513" t="n">
        <v>0</v>
      </c>
      <c r="P513" t="n">
        <v>0</v>
      </c>
      <c r="Q513" t="n">
        <v>1</v>
      </c>
      <c r="R513" t="n">
        <v>0</v>
      </c>
      <c r="S513" t="n">
        <v>1</v>
      </c>
      <c r="T513" t="n">
        <v>1</v>
      </c>
      <c r="U513" t="n">
        <v>1</v>
      </c>
      <c r="V513" s="2" t="inlineStr">
        <is>
          <t>Motaggsvamp</t>
        </is>
      </c>
      <c r="W513">
        <f>HYPERLINK("https://klasma.github.io/Logging_0380/artfynd/A 42622-2022 artfynd.xlsx", "A 42622-2022")</f>
        <v/>
      </c>
      <c r="X513">
        <f>HYPERLINK("https://klasma.github.io/Logging_0380/kartor/A 42622-2022 karta.png", "A 42622-2022")</f>
        <v/>
      </c>
      <c r="Y513">
        <f>HYPERLINK("https://klasma.github.io/Logging_0380/kartor_geotiff/A 42622-2022 georefererad karta.tif", "A 42622-2022")</f>
        <v/>
      </c>
      <c r="AA513">
        <f>HYPERLINK("https://klasma.github.io/Logging_0380/klagomål/A 42622-2022 FSC-klagomål.docx", "A 42622-2022")</f>
        <v/>
      </c>
      <c r="AB513">
        <f>HYPERLINK("https://klasma.github.io/Logging_0380/klagomålsmail/A 42622-2022 FSC-klagomål mail.docx", "A 42622-2022")</f>
        <v/>
      </c>
      <c r="AC513">
        <f>HYPERLINK("https://klasma.github.io/Logging_0380/tillsyn/A 42622-2022 tillsynsbegäran.docx", "A 42622-2022")</f>
        <v/>
      </c>
      <c r="AD513">
        <f>HYPERLINK("https://klasma.github.io/Logging_0380/tillsynsmail/A 42622-2022 tillsynsbegäran mail.docx", "A 42622-2022")</f>
        <v/>
      </c>
    </row>
    <row r="514" ht="15" customHeight="1">
      <c r="A514" t="inlineStr">
        <is>
          <t>A 55962-2023</t>
        </is>
      </c>
      <c r="B514" t="inlineStr">
        <is>
          <t>avverkningsanmälan</t>
        </is>
      </c>
      <c r="C514" t="inlineStr">
        <is>
          <t>Föryngringsavverkning</t>
        </is>
      </c>
      <c r="D514" s="1" t="n">
        <v>45240</v>
      </c>
      <c r="E514" s="1" t="n">
        <v>46309</v>
      </c>
      <c r="F514" t="inlineStr">
        <is>
          <t>UPPSALA LÄN</t>
        </is>
      </c>
      <c r="G514" t="inlineStr">
        <is>
          <t>HÅBO</t>
        </is>
      </c>
      <c r="I514" t="n">
        <v>3.4</v>
      </c>
      <c r="J514" t="n">
        <v>0</v>
      </c>
      <c r="K514" t="n">
        <v>0</v>
      </c>
      <c r="L514" t="n">
        <v>1</v>
      </c>
      <c r="M514" t="n">
        <v>0</v>
      </c>
      <c r="N514" t="n">
        <v>0</v>
      </c>
      <c r="O514" t="n">
        <v>0</v>
      </c>
      <c r="P514" t="n">
        <v>0</v>
      </c>
      <c r="Q514" t="n">
        <v>1</v>
      </c>
      <c r="R514" t="n">
        <v>0</v>
      </c>
      <c r="S514" t="n">
        <v>1</v>
      </c>
      <c r="T514" t="n">
        <v>1</v>
      </c>
      <c r="U514" t="n">
        <v>0</v>
      </c>
      <c r="V514" s="2" t="inlineStr">
        <is>
          <t>Bolmört</t>
        </is>
      </c>
      <c r="W514">
        <f>HYPERLINK("https://klasma.github.io/Logging_0305/artfynd/A 55962-2023 artfynd.xlsx", "A 55962-2023")</f>
        <v/>
      </c>
      <c r="X514">
        <f>HYPERLINK("https://klasma.github.io/Logging_0305/kartor/A 55962-2023 karta.png", "A 55962-2023")</f>
        <v/>
      </c>
      <c r="Y514">
        <f>HYPERLINK("https://klasma.github.io/Logging_0305/kartor_geotiff/A 55962-2023 georefererad karta.tif", "A 55962-2023")</f>
        <v/>
      </c>
      <c r="AA514">
        <f>HYPERLINK("https://klasma.github.io/Logging_0305/klagomål/A 55962-2023 FSC-klagomål.docx", "A 55962-2023")</f>
        <v/>
      </c>
      <c r="AB514">
        <f>HYPERLINK("https://klasma.github.io/Logging_0305/klagomålsmail/A 55962-2023 FSC-klagomål mail.docx", "A 55962-2023")</f>
        <v/>
      </c>
      <c r="AC514">
        <f>HYPERLINK("https://klasma.github.io/Logging_0305/tillsyn/A 55962-2023 tillsynsbegäran.docx", "A 55962-2023")</f>
        <v/>
      </c>
      <c r="AD514">
        <f>HYPERLINK("https://klasma.github.io/Logging_0305/tillsynsmail/A 55962-2023 tillsynsbegäran mail.docx", "A 55962-2023")</f>
        <v/>
      </c>
    </row>
    <row r="515" ht="15" customHeight="1">
      <c r="A515" t="inlineStr">
        <is>
          <t>A 11017-2023</t>
        </is>
      </c>
      <c r="B515" t="inlineStr">
        <is>
          <t>avverkningsanmälan</t>
        </is>
      </c>
      <c r="C515" t="inlineStr">
        <is>
          <t>Avverkning för annat ändamål</t>
        </is>
      </c>
      <c r="D515" s="1" t="n">
        <v>44991</v>
      </c>
      <c r="E515" s="1" t="n">
        <v>46309</v>
      </c>
      <c r="F515" t="inlineStr">
        <is>
          <t>UPPSALA LÄN</t>
        </is>
      </c>
      <c r="G515" t="inlineStr">
        <is>
          <t>ÖSTHAMMAR</t>
        </is>
      </c>
      <c r="I515" t="n">
        <v>1.9</v>
      </c>
      <c r="J515" t="n">
        <v>1</v>
      </c>
      <c r="K515" t="n">
        <v>0</v>
      </c>
      <c r="L515" t="n">
        <v>0</v>
      </c>
      <c r="M515" t="n">
        <v>0</v>
      </c>
      <c r="N515" t="n">
        <v>1</v>
      </c>
      <c r="O515" t="n">
        <v>0</v>
      </c>
      <c r="P515" t="n">
        <v>0</v>
      </c>
      <c r="Q515" t="n">
        <v>1</v>
      </c>
      <c r="R515" t="n">
        <v>1</v>
      </c>
      <c r="S515" t="n">
        <v>1</v>
      </c>
      <c r="T515" t="n">
        <v>1</v>
      </c>
      <c r="U515" t="n">
        <v>1</v>
      </c>
      <c r="V515" s="2" t="inlineStr">
        <is>
          <t>Kornknarr</t>
        </is>
      </c>
      <c r="W515">
        <f>HYPERLINK("https://klasma.github.io/Logging_0382/artfynd/A 11017-2023 artfynd.xlsx", "A 11017-2023")</f>
        <v/>
      </c>
      <c r="X515">
        <f>HYPERLINK("https://klasma.github.io/Logging_0382/kartor/A 11017-2023 karta.png", "A 11017-2023")</f>
        <v/>
      </c>
      <c r="Y515">
        <f>HYPERLINK("https://klasma.github.io/Logging_0382/kartor_geotiff/A 11017-2023 georefererad karta.tif", "A 11017-2023")</f>
        <v/>
      </c>
      <c r="AA515">
        <f>HYPERLINK("https://klasma.github.io/Logging_0382/klagomål/A 11017-2023 FSC-klagomål.docx", "A 11017-2023")</f>
        <v/>
      </c>
      <c r="AB515">
        <f>HYPERLINK("https://klasma.github.io/Logging_0382/klagomålsmail/A 11017-2023 FSC-klagomål mail.docx", "A 11017-2023")</f>
        <v/>
      </c>
      <c r="AC515">
        <f>HYPERLINK("https://klasma.github.io/Logging_0382/tillsyn/A 11017-2023 tillsynsbegäran.docx", "A 11017-2023")</f>
        <v/>
      </c>
      <c r="AD515">
        <f>HYPERLINK("https://klasma.github.io/Logging_0382/tillsynsmail/A 11017-2023 tillsynsbegäran mail.docx", "A 11017-2023")</f>
        <v/>
      </c>
    </row>
    <row r="516" ht="15" customHeight="1">
      <c r="A516" t="inlineStr">
        <is>
          <t>A 17729-2023</t>
        </is>
      </c>
      <c r="B516" t="inlineStr">
        <is>
          <t>avverkningsanmälan</t>
        </is>
      </c>
      <c r="C516" t="inlineStr">
        <is>
          <t>Föryngringsavverkning</t>
        </is>
      </c>
      <c r="D516" s="1" t="n">
        <v>45037</v>
      </c>
      <c r="E516" s="1" t="n">
        <v>46309</v>
      </c>
      <c r="F516" t="inlineStr">
        <is>
          <t>UPPSALA LÄN</t>
        </is>
      </c>
      <c r="G516" t="inlineStr">
        <is>
          <t>ENKÖPING</t>
        </is>
      </c>
      <c r="I516" t="n">
        <v>10.2</v>
      </c>
      <c r="J516" t="n">
        <v>1</v>
      </c>
      <c r="K516" t="n">
        <v>0</v>
      </c>
      <c r="L516" t="n">
        <v>0</v>
      </c>
      <c r="M516" t="n">
        <v>1</v>
      </c>
      <c r="N516" t="n">
        <v>0</v>
      </c>
      <c r="O516" t="n">
        <v>0</v>
      </c>
      <c r="P516" t="n">
        <v>0</v>
      </c>
      <c r="Q516" t="n">
        <v>1</v>
      </c>
      <c r="R516" t="n">
        <v>1</v>
      </c>
      <c r="S516" t="n">
        <v>1</v>
      </c>
      <c r="T516" t="n">
        <v>1</v>
      </c>
      <c r="U516" t="n">
        <v>1</v>
      </c>
      <c r="V516" s="2" t="inlineStr">
        <is>
          <t>Pilgrimsfalk</t>
        </is>
      </c>
      <c r="W516">
        <f>HYPERLINK("https://klasma.github.io/Logging_0381/artfynd/A 17729-2023 artfynd.xlsx", "A 17729-2023")</f>
        <v/>
      </c>
      <c r="X516">
        <f>HYPERLINK("https://klasma.github.io/Logging_0381/kartor/A 17729-2023 karta.png", "A 17729-2023")</f>
        <v/>
      </c>
      <c r="Y516">
        <f>HYPERLINK("https://klasma.github.io/Logging_0381/kartor_geotiff/A 17729-2023 georefererad karta.tif", "A 17729-2023")</f>
        <v/>
      </c>
      <c r="AA516">
        <f>HYPERLINK("https://klasma.github.io/Logging_0381/klagomål/A 17729-2023 FSC-klagomål.docx", "A 17729-2023")</f>
        <v/>
      </c>
      <c r="AB516">
        <f>HYPERLINK("https://klasma.github.io/Logging_0381/klagomålsmail/A 17729-2023 FSC-klagomål mail.docx", "A 17729-2023")</f>
        <v/>
      </c>
      <c r="AC516">
        <f>HYPERLINK("https://klasma.github.io/Logging_0381/tillsyn/A 17729-2023 tillsynsbegäran.docx", "A 17729-2023")</f>
        <v/>
      </c>
      <c r="AD516">
        <f>HYPERLINK("https://klasma.github.io/Logging_0381/tillsynsmail/A 17729-2023 tillsynsbegäran mail.docx", "A 17729-2023")</f>
        <v/>
      </c>
      <c r="AE516">
        <f>HYPERLINK("https://klasma.github.io/Logging_0381/fåglar/A 17729-2023 prioriterade fågelarter.docx", "A 17729-2023")</f>
        <v/>
      </c>
    </row>
    <row r="517" ht="15" customHeight="1">
      <c r="A517" t="inlineStr">
        <is>
          <t>A 5876-2024</t>
        </is>
      </c>
      <c r="B517" t="inlineStr">
        <is>
          <t>avverkningsanmälan</t>
        </is>
      </c>
      <c r="C517" t="inlineStr">
        <is>
          <t>Föryngringsavverkning</t>
        </is>
      </c>
      <c r="D517" s="1" t="n">
        <v>45335</v>
      </c>
      <c r="E517" s="1" t="n">
        <v>46309</v>
      </c>
      <c r="F517" t="inlineStr">
        <is>
          <t>UPPSALA LÄN</t>
        </is>
      </c>
      <c r="G517" t="inlineStr">
        <is>
          <t>UPPSALA</t>
        </is>
      </c>
      <c r="H517" t="inlineStr">
        <is>
          <t>Kyrkan</t>
        </is>
      </c>
      <c r="I517" t="n">
        <v>1.7</v>
      </c>
      <c r="J517" t="n">
        <v>1</v>
      </c>
      <c r="K517" t="n">
        <v>0</v>
      </c>
      <c r="L517" t="n">
        <v>0</v>
      </c>
      <c r="M517" t="n">
        <v>0</v>
      </c>
      <c r="N517" t="n">
        <v>0</v>
      </c>
      <c r="O517" t="n">
        <v>0</v>
      </c>
      <c r="P517" t="n">
        <v>0</v>
      </c>
      <c r="Q517" t="n">
        <v>0</v>
      </c>
      <c r="R517" t="n">
        <v>0</v>
      </c>
      <c r="S517" t="n">
        <v>1</v>
      </c>
      <c r="T517" t="n">
        <v>3</v>
      </c>
      <c r="U517" t="n">
        <v>3</v>
      </c>
      <c r="V517" s="2" t="inlineStr">
        <is>
          <t>Fläcknycklar</t>
        </is>
      </c>
      <c r="W517">
        <f>HYPERLINK("https://klasma.github.io/Logging_0380/artfynd/A 5876-2024 artfynd.xlsx", "A 5876-2024")</f>
        <v/>
      </c>
      <c r="X517">
        <f>HYPERLINK("https://klasma.github.io/Logging_0380/kartor/A 5876-2024 karta.png", "A 5876-2024")</f>
        <v/>
      </c>
      <c r="Y517">
        <f>HYPERLINK("https://klasma.github.io/Logging_0380/kartor_geotiff/A 5876-2024 georefererad karta.tif", "A 5876-2024")</f>
        <v/>
      </c>
      <c r="AA517">
        <f>HYPERLINK("https://klasma.github.io/Logging_0380/klagomål/A 5876-2024 FSC-klagomål.docx", "A 5876-2024")</f>
        <v/>
      </c>
      <c r="AB517">
        <f>HYPERLINK("https://klasma.github.io/Logging_0380/klagomålsmail/A 5876-2024 FSC-klagomål mail.docx", "A 5876-2024")</f>
        <v/>
      </c>
      <c r="AC517">
        <f>HYPERLINK("https://klasma.github.io/Logging_0380/tillsyn/A 5876-2024 tillsynsbegäran.docx", "A 5876-2024")</f>
        <v/>
      </c>
      <c r="AD517">
        <f>HYPERLINK("https://klasma.github.io/Logging_0380/tillsynsmail/A 5876-2024 tillsynsbegäran mail.docx", "A 5876-2024")</f>
        <v/>
      </c>
    </row>
    <row r="518" ht="15" customHeight="1">
      <c r="A518" t="inlineStr">
        <is>
          <t>A 44382-2024</t>
        </is>
      </c>
      <c r="B518" t="inlineStr">
        <is>
          <t>avverkningsanmälan</t>
        </is>
      </c>
      <c r="C518" t="inlineStr">
        <is>
          <t>Föryngringsavverkning</t>
        </is>
      </c>
      <c r="D518" s="1" t="n">
        <v>45573</v>
      </c>
      <c r="E518" s="1" t="n">
        <v>46309</v>
      </c>
      <c r="F518" t="inlineStr">
        <is>
          <t>UPPSALA LÄN</t>
        </is>
      </c>
      <c r="G518" t="inlineStr">
        <is>
          <t>TIERP</t>
        </is>
      </c>
      <c r="I518" t="n">
        <v>4.7</v>
      </c>
      <c r="J518" t="n">
        <v>0</v>
      </c>
      <c r="K518" t="n">
        <v>0</v>
      </c>
      <c r="L518" t="n">
        <v>1</v>
      </c>
      <c r="M518" t="n">
        <v>0</v>
      </c>
      <c r="N518" t="n">
        <v>0</v>
      </c>
      <c r="O518" t="n">
        <v>0</v>
      </c>
      <c r="P518" t="n">
        <v>0</v>
      </c>
      <c r="Q518" t="n">
        <v>1</v>
      </c>
      <c r="R518" t="n">
        <v>0</v>
      </c>
      <c r="S518" t="n">
        <v>1</v>
      </c>
      <c r="T518" t="n">
        <v>1</v>
      </c>
      <c r="U518" t="n">
        <v>1</v>
      </c>
      <c r="V518" s="2" t="inlineStr">
        <is>
          <t>Vågticka</t>
        </is>
      </c>
      <c r="W518">
        <f>HYPERLINK("https://klasma.github.io/Logging_0360/artfynd/A 44382-2024 artfynd.xlsx", "A 44382-2024")</f>
        <v/>
      </c>
      <c r="X518">
        <f>HYPERLINK("https://klasma.github.io/Logging_0360/kartor/A 44382-2024 karta.png", "A 44382-2024")</f>
        <v/>
      </c>
      <c r="Y518">
        <f>HYPERLINK("https://klasma.github.io/Logging_0360/kartor_geotiff/A 44382-2024 georefererad karta.tif", "A 44382-2024")</f>
        <v/>
      </c>
      <c r="AA518">
        <f>HYPERLINK("https://klasma.github.io/Logging_0360/klagomål/A 44382-2024 FSC-klagomål.docx", "A 44382-2024")</f>
        <v/>
      </c>
      <c r="AB518">
        <f>HYPERLINK("https://klasma.github.io/Logging_0360/klagomålsmail/A 44382-2024 FSC-klagomål mail.docx", "A 44382-2024")</f>
        <v/>
      </c>
      <c r="AC518">
        <f>HYPERLINK("https://klasma.github.io/Logging_0360/tillsyn/A 44382-2024 tillsynsbegäran.docx", "A 44382-2024")</f>
        <v/>
      </c>
      <c r="AD518">
        <f>HYPERLINK("https://klasma.github.io/Logging_0360/tillsynsmail/A 44382-2024 tillsynsbegäran mail.docx", "A 44382-2024")</f>
        <v/>
      </c>
    </row>
    <row r="519" ht="15" customHeight="1">
      <c r="A519" t="inlineStr">
        <is>
          <t>A 60289-2022</t>
        </is>
      </c>
      <c r="B519" t="inlineStr">
        <is>
          <t>avverkningsanmälan</t>
        </is>
      </c>
      <c r="C519" t="inlineStr">
        <is>
          <t>Föryngringsavverkning</t>
        </is>
      </c>
      <c r="D519" s="1" t="n">
        <v>44910</v>
      </c>
      <c r="E519" s="1" t="n">
        <v>46309</v>
      </c>
      <c r="F519" t="inlineStr">
        <is>
          <t>UPPSALA LÄN</t>
        </is>
      </c>
      <c r="G519" t="inlineStr">
        <is>
          <t>ENKÖPING</t>
        </is>
      </c>
      <c r="I519" t="n">
        <v>3.2</v>
      </c>
      <c r="J519" t="n">
        <v>0</v>
      </c>
      <c r="K519" t="n">
        <v>1</v>
      </c>
      <c r="L519" t="n">
        <v>0</v>
      </c>
      <c r="M519" t="n">
        <v>0</v>
      </c>
      <c r="N519" t="n">
        <v>0</v>
      </c>
      <c r="O519" t="n">
        <v>0</v>
      </c>
      <c r="P519" t="n">
        <v>0</v>
      </c>
      <c r="Q519" t="n">
        <v>0</v>
      </c>
      <c r="R519" t="n">
        <v>0</v>
      </c>
      <c r="S519" t="n">
        <v>1</v>
      </c>
      <c r="T519" t="n">
        <v>3</v>
      </c>
      <c r="U519" t="n">
        <v>0</v>
      </c>
      <c r="V519" s="2" t="inlineStr">
        <is>
          <t>Mindre märgborre</t>
        </is>
      </c>
      <c r="W519">
        <f>HYPERLINK("https://klasma.github.io/Logging_0381/artfynd/A 60289-2022 artfynd.xlsx", "A 60289-2022")</f>
        <v/>
      </c>
      <c r="X519">
        <f>HYPERLINK("https://klasma.github.io/Logging_0381/kartor/A 60289-2022 karta.png", "A 60289-2022")</f>
        <v/>
      </c>
      <c r="Y519">
        <f>HYPERLINK("https://klasma.github.io/Logging_0381/kartor_geotiff/A 60289-2022 georefererad karta.tif", "A 60289-2022")</f>
        <v/>
      </c>
      <c r="AA519">
        <f>HYPERLINK("https://klasma.github.io/Logging_0381/klagomål/A 60289-2022 FSC-klagomål.docx", "A 60289-2022")</f>
        <v/>
      </c>
      <c r="AB519">
        <f>HYPERLINK("https://klasma.github.io/Logging_0381/klagomålsmail/A 60289-2022 FSC-klagomål mail.docx", "A 60289-2022")</f>
        <v/>
      </c>
      <c r="AC519">
        <f>HYPERLINK("https://klasma.github.io/Logging_0381/tillsyn/A 60289-2022 tillsynsbegäran.docx", "A 60289-2022")</f>
        <v/>
      </c>
      <c r="AD519">
        <f>HYPERLINK("https://klasma.github.io/Logging_0381/tillsynsmail/A 60289-2022 tillsynsbegäran mail.docx", "A 60289-2022")</f>
        <v/>
      </c>
    </row>
    <row r="520" ht="15" customHeight="1">
      <c r="A520" t="inlineStr">
        <is>
          <t>A 55331-2024</t>
        </is>
      </c>
      <c r="B520" t="inlineStr">
        <is>
          <t>avverkningsanmälan</t>
        </is>
      </c>
      <c r="C520" t="inlineStr">
        <is>
          <t>Föryngringsavverkning</t>
        </is>
      </c>
      <c r="D520" s="1" t="n">
        <v>45621</v>
      </c>
      <c r="E520" s="1" t="n">
        <v>46309</v>
      </c>
      <c r="F520" t="inlineStr">
        <is>
          <t>UPPSALA LÄN</t>
        </is>
      </c>
      <c r="G520" t="inlineStr">
        <is>
          <t>TIERP</t>
        </is>
      </c>
      <c r="H520" t="inlineStr">
        <is>
          <t>Bergvik skog väst AB</t>
        </is>
      </c>
      <c r="I520" t="n">
        <v>7.3</v>
      </c>
      <c r="J520" t="n">
        <v>1</v>
      </c>
      <c r="K520" t="n">
        <v>0</v>
      </c>
      <c r="L520" t="n">
        <v>1</v>
      </c>
      <c r="M520" t="n">
        <v>0</v>
      </c>
      <c r="N520" t="n">
        <v>0</v>
      </c>
      <c r="O520" t="n">
        <v>0</v>
      </c>
      <c r="P520" t="n">
        <v>0</v>
      </c>
      <c r="Q520" t="n">
        <v>1</v>
      </c>
      <c r="R520" t="n">
        <v>0</v>
      </c>
      <c r="S520" t="n">
        <v>1</v>
      </c>
      <c r="T520" t="n">
        <v>2</v>
      </c>
      <c r="U520" t="n">
        <v>0</v>
      </c>
      <c r="V520" s="2" t="inlineStr">
        <is>
          <t>Talltita</t>
        </is>
      </c>
      <c r="W520">
        <f>HYPERLINK("https://klasma.github.io/Logging_0360/artfynd/A 55331-2024 artfynd.xlsx", "A 55331-2024")</f>
        <v/>
      </c>
      <c r="X520">
        <f>HYPERLINK("https://klasma.github.io/Logging_0360/kartor/A 55331-2024 karta.png", "A 55331-2024")</f>
        <v/>
      </c>
      <c r="Y520">
        <f>HYPERLINK("https://klasma.github.io/Logging_0360/kartor_geotiff/A 55331-2024 georefererad karta.tif", "A 55331-2024")</f>
        <v/>
      </c>
      <c r="AA520">
        <f>HYPERLINK("https://klasma.github.io/Logging_0360/klagomål/A 55331-2024 FSC-klagomål.docx", "A 55331-2024")</f>
        <v/>
      </c>
      <c r="AB520">
        <f>HYPERLINK("https://klasma.github.io/Logging_0360/klagomålsmail/A 55331-2024 FSC-klagomål mail.docx", "A 55331-2024")</f>
        <v/>
      </c>
      <c r="AC520">
        <f>HYPERLINK("https://klasma.github.io/Logging_0360/tillsyn/A 55331-2024 tillsynsbegäran.docx", "A 55331-2024")</f>
        <v/>
      </c>
      <c r="AD520">
        <f>HYPERLINK("https://klasma.github.io/Logging_0360/tillsynsmail/A 55331-2024 tillsynsbegäran mail.docx", "A 55331-2024")</f>
        <v/>
      </c>
      <c r="AE520">
        <f>HYPERLINK("https://klasma.github.io/Logging_0360/fåglar/A 55331-2024 prioriterade fågelarter.docx", "A 55331-2024")</f>
        <v/>
      </c>
    </row>
    <row r="521" ht="15" customHeight="1">
      <c r="A521" t="inlineStr">
        <is>
          <t>A 56889-2022</t>
        </is>
      </c>
      <c r="B521" t="inlineStr">
        <is>
          <t>avverkningsanmälan</t>
        </is>
      </c>
      <c r="C521" t="inlineStr">
        <is>
          <t>Föryngringsavverkning</t>
        </is>
      </c>
      <c r="D521" s="1" t="n">
        <v>44894</v>
      </c>
      <c r="E521" s="1" t="n">
        <v>46309</v>
      </c>
      <c r="F521" t="inlineStr">
        <is>
          <t>UPPSALA LÄN</t>
        </is>
      </c>
      <c r="G521" t="inlineStr">
        <is>
          <t>UPPSALA</t>
        </is>
      </c>
      <c r="H521" t="inlineStr">
        <is>
          <t>Övriga Aktiebolag</t>
        </is>
      </c>
      <c r="I521" t="n">
        <v>21.6</v>
      </c>
      <c r="J521" t="n">
        <v>1</v>
      </c>
      <c r="K521" t="n">
        <v>0</v>
      </c>
      <c r="L521" t="n">
        <v>0</v>
      </c>
      <c r="M521" t="n">
        <v>0</v>
      </c>
      <c r="N521" t="n">
        <v>0</v>
      </c>
      <c r="O521" t="n">
        <v>0</v>
      </c>
      <c r="P521" t="n">
        <v>0</v>
      </c>
      <c r="Q521" t="n">
        <v>0</v>
      </c>
      <c r="R521" t="n">
        <v>0</v>
      </c>
      <c r="S521" t="n">
        <v>1</v>
      </c>
      <c r="T521" t="n">
        <v>1</v>
      </c>
      <c r="U521" t="n">
        <v>1</v>
      </c>
      <c r="V521" s="2" t="inlineStr">
        <is>
          <t>Vanlig padda</t>
        </is>
      </c>
      <c r="W521">
        <f>HYPERLINK("https://klasma.github.io/Logging_0380/artfynd/A 56889-2022 artfynd.xlsx", "A 56889-2022")</f>
        <v/>
      </c>
      <c r="X521">
        <f>HYPERLINK("https://klasma.github.io/Logging_0380/kartor/A 56889-2022 karta.png", "A 56889-2022")</f>
        <v/>
      </c>
      <c r="Y521">
        <f>HYPERLINK("https://klasma.github.io/Logging_0380/kartor_geotiff/A 56889-2022 georefererad karta.tif", "A 56889-2022")</f>
        <v/>
      </c>
      <c r="AA521">
        <f>HYPERLINK("https://klasma.github.io/Logging_0380/klagomål/A 56889-2022 FSC-klagomål.docx", "A 56889-2022")</f>
        <v/>
      </c>
      <c r="AB521">
        <f>HYPERLINK("https://klasma.github.io/Logging_0380/klagomålsmail/A 56889-2022 FSC-klagomål mail.docx", "A 56889-2022")</f>
        <v/>
      </c>
      <c r="AC521">
        <f>HYPERLINK("https://klasma.github.io/Logging_0380/tillsyn/A 56889-2022 tillsynsbegäran.docx", "A 56889-2022")</f>
        <v/>
      </c>
      <c r="AD521">
        <f>HYPERLINK("https://klasma.github.io/Logging_0380/tillsynsmail/A 56889-2022 tillsynsbegäran mail.docx", "A 56889-2022")</f>
        <v/>
      </c>
    </row>
    <row r="522" ht="15" customHeight="1">
      <c r="A522" t="inlineStr">
        <is>
          <t>A 60055-2022</t>
        </is>
      </c>
      <c r="B522" t="inlineStr">
        <is>
          <t>avverkningsanmälan</t>
        </is>
      </c>
      <c r="C522" t="inlineStr">
        <is>
          <t>Föryngringsavverkning</t>
        </is>
      </c>
      <c r="D522" s="1" t="n">
        <v>44909</v>
      </c>
      <c r="E522" s="1" t="n">
        <v>46309</v>
      </c>
      <c r="F522" t="inlineStr">
        <is>
          <t>UPPSALA LÄN</t>
        </is>
      </c>
      <c r="G522" t="inlineStr">
        <is>
          <t>UPPSALA</t>
        </is>
      </c>
      <c r="I522" t="n">
        <v>11.4</v>
      </c>
      <c r="J522" t="n">
        <v>1</v>
      </c>
      <c r="K522" t="n">
        <v>0</v>
      </c>
      <c r="L522" t="n">
        <v>0</v>
      </c>
      <c r="M522" t="n">
        <v>0</v>
      </c>
      <c r="N522" t="n">
        <v>0</v>
      </c>
      <c r="O522" t="n">
        <v>0</v>
      </c>
      <c r="P522" t="n">
        <v>0</v>
      </c>
      <c r="Q522" t="n">
        <v>0</v>
      </c>
      <c r="R522" t="n">
        <v>0</v>
      </c>
      <c r="S522" t="n">
        <v>1</v>
      </c>
      <c r="T522" t="n">
        <v>1</v>
      </c>
      <c r="U522" t="n">
        <v>1</v>
      </c>
      <c r="V522" s="2" t="inlineStr">
        <is>
          <t>Tjäder</t>
        </is>
      </c>
      <c r="W522">
        <f>HYPERLINK("https://klasma.github.io/Logging_0380/artfynd/A 60055-2022 artfynd.xlsx", "A 60055-2022")</f>
        <v/>
      </c>
      <c r="X522">
        <f>HYPERLINK("https://klasma.github.io/Logging_0380/kartor/A 60055-2022 karta.png", "A 60055-2022")</f>
        <v/>
      </c>
      <c r="Y522">
        <f>HYPERLINK("https://klasma.github.io/Logging_0380/kartor_geotiff/A 60055-2022 georefererad karta.tif", "A 60055-2022")</f>
        <v/>
      </c>
      <c r="AA522">
        <f>HYPERLINK("https://klasma.github.io/Logging_0380/klagomål/A 60055-2022 FSC-klagomål.docx", "A 60055-2022")</f>
        <v/>
      </c>
      <c r="AB522">
        <f>HYPERLINK("https://klasma.github.io/Logging_0380/klagomålsmail/A 60055-2022 FSC-klagomål mail.docx", "A 60055-2022")</f>
        <v/>
      </c>
      <c r="AC522">
        <f>HYPERLINK("https://klasma.github.io/Logging_0380/tillsyn/A 60055-2022 tillsynsbegäran.docx", "A 60055-2022")</f>
        <v/>
      </c>
      <c r="AD522">
        <f>HYPERLINK("https://klasma.github.io/Logging_0380/tillsynsmail/A 60055-2022 tillsynsbegäran mail.docx", "A 60055-2022")</f>
        <v/>
      </c>
      <c r="AE522">
        <f>HYPERLINK("https://klasma.github.io/Logging_0380/fåglar/A 60055-2022 prioriterade fågelarter.docx", "A 60055-2022")</f>
        <v/>
      </c>
    </row>
    <row r="523" ht="15" customHeight="1">
      <c r="A523" t="inlineStr">
        <is>
          <t>A 666-2026</t>
        </is>
      </c>
      <c r="B523" t="inlineStr">
        <is>
          <t>avverkningsanmälan</t>
        </is>
      </c>
      <c r="C523" t="inlineStr">
        <is>
          <t>Föryngringsavverkning</t>
        </is>
      </c>
      <c r="D523" s="1" t="n">
        <v>46029</v>
      </c>
      <c r="E523" s="1" t="n">
        <v>46309</v>
      </c>
      <c r="F523" t="inlineStr">
        <is>
          <t>UPPSALA LÄN</t>
        </is>
      </c>
      <c r="G523" t="inlineStr">
        <is>
          <t>KNIVSTA</t>
        </is>
      </c>
      <c r="I523" t="n">
        <v>1.8</v>
      </c>
      <c r="J523" t="n">
        <v>1</v>
      </c>
      <c r="K523" t="n">
        <v>0</v>
      </c>
      <c r="L523" t="n">
        <v>0</v>
      </c>
      <c r="M523" t="n">
        <v>0</v>
      </c>
      <c r="N523" t="n">
        <v>0</v>
      </c>
      <c r="O523" t="n">
        <v>0</v>
      </c>
      <c r="P523" t="n">
        <v>0</v>
      </c>
      <c r="Q523" t="n">
        <v>0</v>
      </c>
      <c r="R523" t="n">
        <v>0</v>
      </c>
      <c r="S523" t="n">
        <v>1</v>
      </c>
      <c r="T523" t="n">
        <v>1</v>
      </c>
      <c r="U523" t="n">
        <v>0</v>
      </c>
      <c r="V523" s="2" t="inlineStr">
        <is>
          <t>Havsörn</t>
        </is>
      </c>
      <c r="W523">
        <f>HYPERLINK("https://klasma.github.io/Logging_0330/artfynd/A 666-2026 artfynd.xlsx", "A 666-2026")</f>
        <v/>
      </c>
      <c r="X523">
        <f>HYPERLINK("https://klasma.github.io/Logging_0330/kartor/A 666-2026 karta.png", "A 666-2026")</f>
        <v/>
      </c>
      <c r="Y523">
        <f>HYPERLINK("https://klasma.github.io/Logging_0330/kartor_geotiff/A 666-2026 georefererad karta.tif", "A 666-2026")</f>
        <v/>
      </c>
      <c r="AA523">
        <f>HYPERLINK("https://klasma.github.io/Logging_0330/klagomål/A 666-2026 FSC-klagomål.docx", "A 666-2026")</f>
        <v/>
      </c>
      <c r="AB523">
        <f>HYPERLINK("https://klasma.github.io/Logging_0330/klagomålsmail/A 666-2026 FSC-klagomål mail.docx", "A 666-2026")</f>
        <v/>
      </c>
      <c r="AC523">
        <f>HYPERLINK("https://klasma.github.io/Logging_0330/tillsyn/A 666-2026 tillsynsbegäran.docx", "A 666-2026")</f>
        <v/>
      </c>
      <c r="AD523">
        <f>HYPERLINK("https://klasma.github.io/Logging_0330/tillsynsmail/A 666-2026 tillsynsbegäran mail.docx", "A 666-2026")</f>
        <v/>
      </c>
      <c r="AE523">
        <f>HYPERLINK("https://klasma.github.io/Logging_0330/fåglar/A 666-2026 prioriterade fågelarter.docx", "A 666-2026")</f>
        <v/>
      </c>
    </row>
    <row r="524" ht="15" customHeight="1">
      <c r="A524" t="inlineStr">
        <is>
          <t>A 36904-2023</t>
        </is>
      </c>
      <c r="B524" t="inlineStr">
        <is>
          <t>avverkningsanmälan</t>
        </is>
      </c>
      <c r="C524" t="inlineStr">
        <is>
          <t>Föryngringsavverkning</t>
        </is>
      </c>
      <c r="D524" s="1" t="n">
        <v>45154</v>
      </c>
      <c r="E524" s="1" t="n">
        <v>46309</v>
      </c>
      <c r="F524" t="inlineStr">
        <is>
          <t>UPPSALA LÄN</t>
        </is>
      </c>
      <c r="G524" t="inlineStr">
        <is>
          <t>ÖSTHAMMAR</t>
        </is>
      </c>
      <c r="H524" t="inlineStr">
        <is>
          <t>Övriga Aktiebolag</t>
        </is>
      </c>
      <c r="I524" t="n">
        <v>1.5</v>
      </c>
      <c r="J524" t="n">
        <v>1</v>
      </c>
      <c r="K524" t="n">
        <v>0</v>
      </c>
      <c r="L524" t="n">
        <v>0</v>
      </c>
      <c r="M524" t="n">
        <v>1</v>
      </c>
      <c r="N524" t="n">
        <v>0</v>
      </c>
      <c r="O524" t="n">
        <v>0</v>
      </c>
      <c r="P524" t="n">
        <v>0</v>
      </c>
      <c r="Q524" t="n">
        <v>1</v>
      </c>
      <c r="R524" t="n">
        <v>1</v>
      </c>
      <c r="S524" t="n">
        <v>1</v>
      </c>
      <c r="T524" t="n">
        <v>1</v>
      </c>
      <c r="U524" t="n">
        <v>0</v>
      </c>
      <c r="V524" s="2" t="inlineStr">
        <is>
          <t>Hällebräcka</t>
        </is>
      </c>
      <c r="W524">
        <f>HYPERLINK("https://klasma.github.io/Logging_0382/artfynd/A 36904-2023 artfynd.xlsx", "A 36904-2023")</f>
        <v/>
      </c>
      <c r="X524">
        <f>HYPERLINK("https://klasma.github.io/Logging_0382/kartor/A 36904-2023 karta.png", "A 36904-2023")</f>
        <v/>
      </c>
      <c r="Y524">
        <f>HYPERLINK("https://klasma.github.io/Logging_0382/kartor_geotiff/A 36904-2023 georefererad karta.tif", "A 36904-2023")</f>
        <v/>
      </c>
      <c r="AA524">
        <f>HYPERLINK("https://klasma.github.io/Logging_0382/klagomål/A 36904-2023 FSC-klagomål.docx", "A 36904-2023")</f>
        <v/>
      </c>
      <c r="AB524">
        <f>HYPERLINK("https://klasma.github.io/Logging_0382/klagomålsmail/A 36904-2023 FSC-klagomål mail.docx", "A 36904-2023")</f>
        <v/>
      </c>
      <c r="AC524">
        <f>HYPERLINK("https://klasma.github.io/Logging_0382/tillsyn/A 36904-2023 tillsynsbegäran.docx", "A 36904-2023")</f>
        <v/>
      </c>
      <c r="AD524">
        <f>HYPERLINK("https://klasma.github.io/Logging_0382/tillsynsmail/A 36904-2023 tillsynsbegäran mail.docx", "A 36904-2023")</f>
        <v/>
      </c>
    </row>
    <row r="525" ht="15" customHeight="1">
      <c r="A525" t="inlineStr">
        <is>
          <t>A 58050-2021</t>
        </is>
      </c>
      <c r="B525" t="inlineStr">
        <is>
          <t>avverkningsanmälan</t>
        </is>
      </c>
      <c r="C525" t="inlineStr">
        <is>
          <t>Föryngringsavverkning</t>
        </is>
      </c>
      <c r="D525" s="1" t="n">
        <v>44487</v>
      </c>
      <c r="E525" s="1" t="n">
        <v>46309</v>
      </c>
      <c r="F525" t="inlineStr">
        <is>
          <t>UPPSALA LÄN</t>
        </is>
      </c>
      <c r="G525" t="inlineStr">
        <is>
          <t>UPPSALA</t>
        </is>
      </c>
      <c r="I525" t="n">
        <v>4.4</v>
      </c>
      <c r="J525" t="n">
        <v>0</v>
      </c>
      <c r="K525" t="n">
        <v>0</v>
      </c>
      <c r="L525" t="n">
        <v>1</v>
      </c>
      <c r="M525" t="n">
        <v>0</v>
      </c>
      <c r="N525" t="n">
        <v>0</v>
      </c>
      <c r="O525" t="n">
        <v>0</v>
      </c>
      <c r="P525" t="n">
        <v>0</v>
      </c>
      <c r="Q525" t="n">
        <v>1</v>
      </c>
      <c r="R525" t="n">
        <v>0</v>
      </c>
      <c r="S525" t="n">
        <v>1</v>
      </c>
      <c r="T525" t="n">
        <v>1</v>
      </c>
      <c r="U525" t="n">
        <v>1</v>
      </c>
      <c r="V525" s="2" t="inlineStr">
        <is>
          <t>Ullticka</t>
        </is>
      </c>
      <c r="W525">
        <f>HYPERLINK("https://klasma.github.io/Logging_0380/artfynd/A 58050-2021 artfynd.xlsx", "A 58050-2021")</f>
        <v/>
      </c>
      <c r="X525">
        <f>HYPERLINK("https://klasma.github.io/Logging_0380/kartor/A 58050-2021 karta.png", "A 58050-2021")</f>
        <v/>
      </c>
      <c r="Y525">
        <f>HYPERLINK("https://klasma.github.io/Logging_0380/kartor_geotiff/A 58050-2021 georefererad karta.tif", "A 58050-2021")</f>
        <v/>
      </c>
      <c r="AA525">
        <f>HYPERLINK("https://klasma.github.io/Logging_0380/klagomål/A 58050-2021 FSC-klagomål.docx", "A 58050-2021")</f>
        <v/>
      </c>
      <c r="AB525">
        <f>HYPERLINK("https://klasma.github.io/Logging_0380/klagomålsmail/A 58050-2021 FSC-klagomål mail.docx", "A 58050-2021")</f>
        <v/>
      </c>
      <c r="AC525">
        <f>HYPERLINK("https://klasma.github.io/Logging_0380/tillsyn/A 58050-2021 tillsynsbegäran.docx", "A 58050-2021")</f>
        <v/>
      </c>
      <c r="AD525">
        <f>HYPERLINK("https://klasma.github.io/Logging_0380/tillsynsmail/A 58050-2021 tillsynsbegäran mail.docx", "A 58050-2021")</f>
        <v/>
      </c>
    </row>
    <row r="526" ht="15" customHeight="1">
      <c r="A526" t="inlineStr">
        <is>
          <t>A 19303-2024</t>
        </is>
      </c>
      <c r="B526" t="inlineStr">
        <is>
          <t>avverkningsanmälan</t>
        </is>
      </c>
      <c r="C526" t="inlineStr">
        <is>
          <t>Föryngringsavverkning</t>
        </is>
      </c>
      <c r="D526" s="1" t="n">
        <v>45428</v>
      </c>
      <c r="E526" s="1" t="n">
        <v>46309</v>
      </c>
      <c r="F526" t="inlineStr">
        <is>
          <t>UPPSALA LÄN</t>
        </is>
      </c>
      <c r="G526" t="inlineStr">
        <is>
          <t>ÄLVKARLEBY</t>
        </is>
      </c>
      <c r="I526" t="n">
        <v>0.4</v>
      </c>
      <c r="J526" t="n">
        <v>1</v>
      </c>
      <c r="K526" t="n">
        <v>0</v>
      </c>
      <c r="L526" t="n">
        <v>0</v>
      </c>
      <c r="M526" t="n">
        <v>1</v>
      </c>
      <c r="N526" t="n">
        <v>0</v>
      </c>
      <c r="O526" t="n">
        <v>0</v>
      </c>
      <c r="P526" t="n">
        <v>0</v>
      </c>
      <c r="Q526" t="n">
        <v>1</v>
      </c>
      <c r="R526" t="n">
        <v>1</v>
      </c>
      <c r="S526" t="n">
        <v>1</v>
      </c>
      <c r="T526" t="n">
        <v>1</v>
      </c>
      <c r="U526" t="n">
        <v>1</v>
      </c>
      <c r="V526" s="2" t="inlineStr">
        <is>
          <t>Gölgroda</t>
        </is>
      </c>
      <c r="W526">
        <f>HYPERLINK("https://klasma.github.io/Logging_0319/artfynd/A 19303-2024 artfynd.xlsx", "A 19303-2024")</f>
        <v/>
      </c>
      <c r="X526">
        <f>HYPERLINK("https://klasma.github.io/Logging_0319/kartor/A 19303-2024 karta.png", "A 19303-2024")</f>
        <v/>
      </c>
      <c r="Y526">
        <f>HYPERLINK("https://klasma.github.io/Logging_0319/kartor_geotiff/A 19303-2024 georefererad karta.tif", "A 19303-2024")</f>
        <v/>
      </c>
      <c r="AA526">
        <f>HYPERLINK("https://klasma.github.io/Logging_0319/klagomål/A 19303-2024 FSC-klagomål.docx", "A 19303-2024")</f>
        <v/>
      </c>
      <c r="AB526">
        <f>HYPERLINK("https://klasma.github.io/Logging_0319/klagomålsmail/A 19303-2024 FSC-klagomål mail.docx", "A 19303-2024")</f>
        <v/>
      </c>
      <c r="AC526">
        <f>HYPERLINK("https://klasma.github.io/Logging_0319/tillsyn/A 19303-2024 tillsynsbegäran.docx", "A 19303-2024")</f>
        <v/>
      </c>
      <c r="AD526">
        <f>HYPERLINK("https://klasma.github.io/Logging_0319/tillsynsmail/A 19303-2024 tillsynsbegäran mail.docx", "A 19303-2024")</f>
        <v/>
      </c>
    </row>
    <row r="527" ht="15" customHeight="1">
      <c r="A527" t="inlineStr">
        <is>
          <t>A 40568-2025</t>
        </is>
      </c>
      <c r="B527" t="inlineStr">
        <is>
          <t>avverkningsanmälan</t>
        </is>
      </c>
      <c r="C527" t="inlineStr">
        <is>
          <t>Föryngringsavverkning</t>
        </is>
      </c>
      <c r="D527" s="1" t="n">
        <v>45896</v>
      </c>
      <c r="E527" s="1" t="n">
        <v>46309</v>
      </c>
      <c r="F527" t="inlineStr">
        <is>
          <t>UPPSALA LÄN</t>
        </is>
      </c>
      <c r="G527" t="inlineStr">
        <is>
          <t>UPPSALA</t>
        </is>
      </c>
      <c r="H527" t="inlineStr">
        <is>
          <t>Kyrkan</t>
        </is>
      </c>
      <c r="I527" t="n">
        <v>2.1</v>
      </c>
      <c r="J527" t="n">
        <v>0</v>
      </c>
      <c r="K527" t="n">
        <v>1</v>
      </c>
      <c r="L527" t="n">
        <v>0</v>
      </c>
      <c r="M527" t="n">
        <v>0</v>
      </c>
      <c r="N527" t="n">
        <v>0</v>
      </c>
      <c r="O527" t="n">
        <v>0</v>
      </c>
      <c r="P527" t="n">
        <v>0</v>
      </c>
      <c r="Q527" t="n">
        <v>0</v>
      </c>
      <c r="R527" t="n">
        <v>0</v>
      </c>
      <c r="S527" t="n">
        <v>1</v>
      </c>
      <c r="T527" t="n">
        <v>1</v>
      </c>
      <c r="U527" t="n">
        <v>0</v>
      </c>
      <c r="V527" s="2" t="inlineStr">
        <is>
          <t>Rödgul trumpetsvamp</t>
        </is>
      </c>
      <c r="W527">
        <f>HYPERLINK("https://klasma.github.io/Logging_0380/artfynd/A 40568-2025 artfynd.xlsx", "A 40568-2025")</f>
        <v/>
      </c>
      <c r="X527">
        <f>HYPERLINK("https://klasma.github.io/Logging_0380/kartor/A 40568-2025 karta.png", "A 40568-2025")</f>
        <v/>
      </c>
      <c r="Y527">
        <f>HYPERLINK("https://klasma.github.io/Logging_0380/kartor_geotiff/A 40568-2025 georefererad karta.tif", "A 40568-2025")</f>
        <v/>
      </c>
      <c r="AA527">
        <f>HYPERLINK("https://klasma.github.io/Logging_0380/klagomål/A 40568-2025 FSC-klagomål.docx", "A 40568-2025")</f>
        <v/>
      </c>
      <c r="AB527">
        <f>HYPERLINK("https://klasma.github.io/Logging_0380/klagomålsmail/A 40568-2025 FSC-klagomål mail.docx", "A 40568-2025")</f>
        <v/>
      </c>
      <c r="AC527">
        <f>HYPERLINK("https://klasma.github.io/Logging_0380/tillsyn/A 40568-2025 tillsynsbegäran.docx", "A 40568-2025")</f>
        <v/>
      </c>
      <c r="AD527">
        <f>HYPERLINK("https://klasma.github.io/Logging_0380/tillsynsmail/A 40568-2025 tillsynsbegäran mail.docx", "A 40568-2025")</f>
        <v/>
      </c>
    </row>
    <row r="528" ht="15" customHeight="1">
      <c r="A528" t="inlineStr">
        <is>
          <t>A 40570-2025</t>
        </is>
      </c>
      <c r="B528" t="inlineStr">
        <is>
          <t>avverkningsanmälan</t>
        </is>
      </c>
      <c r="C528" t="inlineStr">
        <is>
          <t>Föryngringsavverkning</t>
        </is>
      </c>
      <c r="D528" s="1" t="n">
        <v>45896</v>
      </c>
      <c r="E528" s="1" t="n">
        <v>46309</v>
      </c>
      <c r="F528" t="inlineStr">
        <is>
          <t>UPPSALA LÄN</t>
        </is>
      </c>
      <c r="G528" t="inlineStr">
        <is>
          <t>ÖSTHAMMAR</t>
        </is>
      </c>
      <c r="H528" t="inlineStr">
        <is>
          <t>Övriga Aktiebolag</t>
        </is>
      </c>
      <c r="I528" t="n">
        <v>4.8</v>
      </c>
      <c r="J528" t="n">
        <v>0</v>
      </c>
      <c r="K528" t="n">
        <v>0</v>
      </c>
      <c r="L528" t="n">
        <v>0</v>
      </c>
      <c r="M528" t="n">
        <v>1</v>
      </c>
      <c r="N528" t="n">
        <v>0</v>
      </c>
      <c r="O528" t="n">
        <v>0</v>
      </c>
      <c r="P528" t="n">
        <v>0</v>
      </c>
      <c r="Q528" t="n">
        <v>1</v>
      </c>
      <c r="R528" t="n">
        <v>1</v>
      </c>
      <c r="S528" t="n">
        <v>1</v>
      </c>
      <c r="T528" t="n">
        <v>1</v>
      </c>
      <c r="U528" t="n">
        <v>0</v>
      </c>
      <c r="V528" s="2" t="inlineStr">
        <is>
          <t>Skogskorn</t>
        </is>
      </c>
      <c r="W528">
        <f>HYPERLINK("https://klasma.github.io/Logging_0382/artfynd/A 40570-2025 artfynd.xlsx", "A 40570-2025")</f>
        <v/>
      </c>
      <c r="X528">
        <f>HYPERLINK("https://klasma.github.io/Logging_0382/kartor/A 40570-2025 karta.png", "A 40570-2025")</f>
        <v/>
      </c>
      <c r="Y528">
        <f>HYPERLINK("https://klasma.github.io/Logging_0382/kartor_geotiff/A 40570-2025 georefererad karta.tif", "A 40570-2025")</f>
        <v/>
      </c>
      <c r="AA528">
        <f>HYPERLINK("https://klasma.github.io/Logging_0382/klagomål/A 40570-2025 FSC-klagomål.docx", "A 40570-2025")</f>
        <v/>
      </c>
      <c r="AB528">
        <f>HYPERLINK("https://klasma.github.io/Logging_0382/klagomålsmail/A 40570-2025 FSC-klagomål mail.docx", "A 40570-2025")</f>
        <v/>
      </c>
      <c r="AC528">
        <f>HYPERLINK("https://klasma.github.io/Logging_0382/tillsyn/A 40570-2025 tillsynsbegäran.docx", "A 40570-2025")</f>
        <v/>
      </c>
      <c r="AD528">
        <f>HYPERLINK("https://klasma.github.io/Logging_0382/tillsynsmail/A 40570-2025 tillsynsbegäran mail.docx", "A 40570-2025")</f>
        <v/>
      </c>
    </row>
    <row r="529" ht="15" customHeight="1">
      <c r="A529" t="inlineStr">
        <is>
          <t>A 1673-2026</t>
        </is>
      </c>
      <c r="B529" t="inlineStr">
        <is>
          <t>avverkningsanmälan</t>
        </is>
      </c>
      <c r="C529" t="inlineStr">
        <is>
          <t>Föryngringsavverkning</t>
        </is>
      </c>
      <c r="D529" s="1" t="n">
        <v>46034</v>
      </c>
      <c r="E529" s="1" t="n">
        <v>46309</v>
      </c>
      <c r="F529" t="inlineStr">
        <is>
          <t>UPPSALA LÄN</t>
        </is>
      </c>
      <c r="G529" t="inlineStr">
        <is>
          <t>ÄLVKARLEBY</t>
        </is>
      </c>
      <c r="H529" t="inlineStr">
        <is>
          <t>Bergvik skog väst AB</t>
        </is>
      </c>
      <c r="I529" t="n">
        <v>1.9</v>
      </c>
      <c r="J529" t="n">
        <v>0</v>
      </c>
      <c r="K529" t="n">
        <v>1</v>
      </c>
      <c r="L529" t="n">
        <v>0</v>
      </c>
      <c r="M529" t="n">
        <v>0</v>
      </c>
      <c r="N529" t="n">
        <v>0</v>
      </c>
      <c r="O529" t="n">
        <v>0</v>
      </c>
      <c r="P529" t="n">
        <v>0</v>
      </c>
      <c r="Q529" t="n">
        <v>0</v>
      </c>
      <c r="R529" t="n">
        <v>0</v>
      </c>
      <c r="S529" t="n">
        <v>1</v>
      </c>
      <c r="T529" t="n">
        <v>1</v>
      </c>
      <c r="U529" t="n">
        <v>0</v>
      </c>
      <c r="V529" s="2" t="inlineStr">
        <is>
          <t>Tibast</t>
        </is>
      </c>
      <c r="W529">
        <f>HYPERLINK("https://klasma.github.io/Logging_0319/artfynd/A 1673-2026 artfynd.xlsx", "A 1673-2026")</f>
        <v/>
      </c>
      <c r="X529">
        <f>HYPERLINK("https://klasma.github.io/Logging_0319/kartor/A 1673-2026 karta.png", "A 1673-2026")</f>
        <v/>
      </c>
      <c r="Y529">
        <f>HYPERLINK("https://klasma.github.io/Logging_0319/kartor_geotiff/A 1673-2026 georefererad karta.tif", "A 1673-2026")</f>
        <v/>
      </c>
      <c r="AA529">
        <f>HYPERLINK("https://klasma.github.io/Logging_0319/klagomål/A 1673-2026 FSC-klagomål.docx", "A 1673-2026")</f>
        <v/>
      </c>
      <c r="AB529">
        <f>HYPERLINK("https://klasma.github.io/Logging_0319/klagomålsmail/A 1673-2026 FSC-klagomål mail.docx", "A 1673-2026")</f>
        <v/>
      </c>
      <c r="AC529">
        <f>HYPERLINK("https://klasma.github.io/Logging_0319/tillsyn/A 1673-2026 tillsynsbegäran.docx", "A 1673-2026")</f>
        <v/>
      </c>
      <c r="AD529">
        <f>HYPERLINK("https://klasma.github.io/Logging_0319/tillsynsmail/A 1673-2026 tillsynsbegäran mail.docx", "A 1673-2026")</f>
        <v/>
      </c>
    </row>
    <row r="530" ht="15" customHeight="1">
      <c r="A530" t="inlineStr">
        <is>
          <t>A 17006-2024</t>
        </is>
      </c>
      <c r="B530" t="inlineStr">
        <is>
          <t>avverkningsanmälan</t>
        </is>
      </c>
      <c r="C530" t="inlineStr">
        <is>
          <t>Föryngringsavverkning</t>
        </is>
      </c>
      <c r="D530" s="1" t="n">
        <v>45411</v>
      </c>
      <c r="E530" s="1" t="n">
        <v>46309</v>
      </c>
      <c r="F530" t="inlineStr">
        <is>
          <t>UPPSALA LÄN</t>
        </is>
      </c>
      <c r="G530" t="inlineStr">
        <is>
          <t>HEBY</t>
        </is>
      </c>
      <c r="H530" t="inlineStr">
        <is>
          <t>Bergvik skog väst AB</t>
        </is>
      </c>
      <c r="I530" t="n">
        <v>14.6</v>
      </c>
      <c r="J530" t="n">
        <v>1</v>
      </c>
      <c r="K530" t="n">
        <v>0</v>
      </c>
      <c r="L530" t="n">
        <v>0</v>
      </c>
      <c r="M530" t="n">
        <v>0</v>
      </c>
      <c r="N530" t="n">
        <v>0</v>
      </c>
      <c r="O530" t="n">
        <v>0</v>
      </c>
      <c r="P530" t="n">
        <v>0</v>
      </c>
      <c r="Q530" t="n">
        <v>0</v>
      </c>
      <c r="R530" t="n">
        <v>0</v>
      </c>
      <c r="S530" t="n">
        <v>1</v>
      </c>
      <c r="T530" t="n">
        <v>1</v>
      </c>
      <c r="U530" t="n">
        <v>0</v>
      </c>
      <c r="V530" s="2" t="inlineStr">
        <is>
          <t>Järpe</t>
        </is>
      </c>
      <c r="W530">
        <f>HYPERLINK("https://klasma.github.io/Logging_0331/artfynd/A 17006-2024 artfynd.xlsx", "A 17006-2024")</f>
        <v/>
      </c>
      <c r="X530">
        <f>HYPERLINK("https://klasma.github.io/Logging_0331/kartor/A 17006-2024 karta.png", "A 17006-2024")</f>
        <v/>
      </c>
      <c r="Y530">
        <f>HYPERLINK("https://klasma.github.io/Logging_0331/kartor_geotiff/A 17006-2024 georefererad karta.tif", "A 17006-2024")</f>
        <v/>
      </c>
      <c r="AA530">
        <f>HYPERLINK("https://klasma.github.io/Logging_0331/klagomål/A 17006-2024 FSC-klagomål.docx", "A 17006-2024")</f>
        <v/>
      </c>
      <c r="AB530">
        <f>HYPERLINK("https://klasma.github.io/Logging_0331/klagomålsmail/A 17006-2024 FSC-klagomål mail.docx", "A 17006-2024")</f>
        <v/>
      </c>
      <c r="AC530">
        <f>HYPERLINK("https://klasma.github.io/Logging_0331/tillsyn/A 17006-2024 tillsynsbegäran.docx", "A 17006-2024")</f>
        <v/>
      </c>
      <c r="AD530">
        <f>HYPERLINK("https://klasma.github.io/Logging_0331/tillsynsmail/A 17006-2024 tillsynsbegäran mail.docx", "A 17006-2024")</f>
        <v/>
      </c>
      <c r="AE530">
        <f>HYPERLINK("https://klasma.github.io/Logging_0331/fåglar/A 17006-2024 prioriterade fågelarter.docx", "A 17006-2024")</f>
        <v/>
      </c>
    </row>
    <row r="531" ht="15" customHeight="1">
      <c r="A531" t="inlineStr">
        <is>
          <t>A 27848-2023</t>
        </is>
      </c>
      <c r="B531" t="inlineStr">
        <is>
          <t>avverkningsanmälan</t>
        </is>
      </c>
      <c r="C531" t="inlineStr">
        <is>
          <t>Föryngringsavverkning</t>
        </is>
      </c>
      <c r="D531" s="1" t="n">
        <v>45098</v>
      </c>
      <c r="E531" s="1" t="n">
        <v>46309</v>
      </c>
      <c r="F531" t="inlineStr">
        <is>
          <t>UPPSALA LÄN</t>
        </is>
      </c>
      <c r="G531" t="inlineStr">
        <is>
          <t>UPPSALA</t>
        </is>
      </c>
      <c r="I531" t="n">
        <v>14.3</v>
      </c>
      <c r="J531" t="n">
        <v>0</v>
      </c>
      <c r="K531" t="n">
        <v>1</v>
      </c>
      <c r="L531" t="n">
        <v>0</v>
      </c>
      <c r="M531" t="n">
        <v>0</v>
      </c>
      <c r="N531" t="n">
        <v>0</v>
      </c>
      <c r="O531" t="n">
        <v>0</v>
      </c>
      <c r="P531" t="n">
        <v>0</v>
      </c>
      <c r="Q531" t="n">
        <v>0</v>
      </c>
      <c r="R531" t="n">
        <v>0</v>
      </c>
      <c r="S531" t="n">
        <v>1</v>
      </c>
      <c r="T531" t="n">
        <v>2</v>
      </c>
      <c r="U531" t="n">
        <v>0</v>
      </c>
      <c r="V531" s="2" t="inlineStr">
        <is>
          <t>Blåmossa</t>
        </is>
      </c>
      <c r="W531">
        <f>HYPERLINK("https://klasma.github.io/Logging_0380/artfynd/A 27848-2023 artfynd.xlsx", "A 27848-2023")</f>
        <v/>
      </c>
      <c r="X531">
        <f>HYPERLINK("https://klasma.github.io/Logging_0380/kartor/A 27848-2023 karta.png", "A 27848-2023")</f>
        <v/>
      </c>
      <c r="Y531">
        <f>HYPERLINK("https://klasma.github.io/Logging_0380/kartor_geotiff/A 27848-2023 georefererad karta.tif", "A 27848-2023")</f>
        <v/>
      </c>
      <c r="AA531">
        <f>HYPERLINK("https://klasma.github.io/Logging_0380/klagomål/A 27848-2023 FSC-klagomål.docx", "A 27848-2023")</f>
        <v/>
      </c>
      <c r="AB531">
        <f>HYPERLINK("https://klasma.github.io/Logging_0380/klagomålsmail/A 27848-2023 FSC-klagomål mail.docx", "A 27848-2023")</f>
        <v/>
      </c>
      <c r="AC531">
        <f>HYPERLINK("https://klasma.github.io/Logging_0380/tillsyn/A 27848-2023 tillsynsbegäran.docx", "A 27848-2023")</f>
        <v/>
      </c>
      <c r="AD531">
        <f>HYPERLINK("https://klasma.github.io/Logging_0380/tillsynsmail/A 27848-2023 tillsynsbegäran mail.docx", "A 27848-2023")</f>
        <v/>
      </c>
    </row>
    <row r="532" ht="15" customHeight="1">
      <c r="A532" t="inlineStr">
        <is>
          <t>A 4984-2024</t>
        </is>
      </c>
      <c r="B532" t="inlineStr">
        <is>
          <t>avverkningsanmälan</t>
        </is>
      </c>
      <c r="C532" t="inlineStr">
        <is>
          <t>Föryngringsavverkning</t>
        </is>
      </c>
      <c r="D532" s="1" t="n">
        <v>45329</v>
      </c>
      <c r="E532" s="1" t="n">
        <v>46309</v>
      </c>
      <c r="F532" t="inlineStr">
        <is>
          <t>UPPSALA LÄN</t>
        </is>
      </c>
      <c r="G532" t="inlineStr">
        <is>
          <t>ÖSTHAMMAR</t>
        </is>
      </c>
      <c r="I532" t="n">
        <v>2.2</v>
      </c>
      <c r="J532" t="n">
        <v>1</v>
      </c>
      <c r="K532" t="n">
        <v>1</v>
      </c>
      <c r="L532" t="n">
        <v>0</v>
      </c>
      <c r="M532" t="n">
        <v>0</v>
      </c>
      <c r="N532" t="n">
        <v>0</v>
      </c>
      <c r="O532" t="n">
        <v>0</v>
      </c>
      <c r="P532" t="n">
        <v>0</v>
      </c>
      <c r="Q532" t="n">
        <v>0</v>
      </c>
      <c r="R532" t="n">
        <v>0</v>
      </c>
      <c r="S532" t="n">
        <v>1</v>
      </c>
      <c r="T532" t="n">
        <v>1</v>
      </c>
      <c r="U532" t="n">
        <v>0</v>
      </c>
      <c r="V532" s="2" t="inlineStr">
        <is>
          <t>Guckusko</t>
        </is>
      </c>
      <c r="W532">
        <f>HYPERLINK("https://klasma.github.io/Logging_0382/artfynd/A 4984-2024 artfynd.xlsx", "A 4984-2024")</f>
        <v/>
      </c>
      <c r="X532">
        <f>HYPERLINK("https://klasma.github.io/Logging_0382/kartor/A 4984-2024 karta.png", "A 4984-2024")</f>
        <v/>
      </c>
      <c r="Y532">
        <f>HYPERLINK("https://klasma.github.io/Logging_0382/kartor_geotiff/A 4984-2024 georefererad karta.tif", "A 4984-2024")</f>
        <v/>
      </c>
      <c r="AA532">
        <f>HYPERLINK("https://klasma.github.io/Logging_0382/klagomål/A 4984-2024 FSC-klagomål.docx", "A 4984-2024")</f>
        <v/>
      </c>
      <c r="AB532">
        <f>HYPERLINK("https://klasma.github.io/Logging_0382/klagomålsmail/A 4984-2024 FSC-klagomål mail.docx", "A 4984-2024")</f>
        <v/>
      </c>
      <c r="AC532">
        <f>HYPERLINK("https://klasma.github.io/Logging_0382/tillsyn/A 4984-2024 tillsynsbegäran.docx", "A 4984-2024")</f>
        <v/>
      </c>
      <c r="AD532">
        <f>HYPERLINK("https://klasma.github.io/Logging_0382/tillsynsmail/A 4984-2024 tillsynsbegäran mail.docx", "A 4984-2024")</f>
        <v/>
      </c>
    </row>
    <row r="533" ht="15" customHeight="1">
      <c r="A533" t="inlineStr">
        <is>
          <t>A 52818-2022</t>
        </is>
      </c>
      <c r="B533" t="inlineStr">
        <is>
          <t>avverkningsanmälan</t>
        </is>
      </c>
      <c r="C533" t="inlineStr">
        <is>
          <t>Föryngringsavverkning</t>
        </is>
      </c>
      <c r="D533" s="1" t="n">
        <v>44875</v>
      </c>
      <c r="E533" s="1" t="n">
        <v>46309</v>
      </c>
      <c r="F533" t="inlineStr">
        <is>
          <t>UPPSALA LÄN</t>
        </is>
      </c>
      <c r="G533" t="inlineStr">
        <is>
          <t>ÖSTHAMMAR</t>
        </is>
      </c>
      <c r="I533" t="n">
        <v>0.9</v>
      </c>
      <c r="J533" t="n">
        <v>1</v>
      </c>
      <c r="K533" t="n">
        <v>1</v>
      </c>
      <c r="L533" t="n">
        <v>0</v>
      </c>
      <c r="M533" t="n">
        <v>0</v>
      </c>
      <c r="N533" t="n">
        <v>0</v>
      </c>
      <c r="O533" t="n">
        <v>0</v>
      </c>
      <c r="P533" t="n">
        <v>0</v>
      </c>
      <c r="Q533" t="n">
        <v>0</v>
      </c>
      <c r="R533" t="n">
        <v>0</v>
      </c>
      <c r="S533" t="n">
        <v>1</v>
      </c>
      <c r="T533" t="n">
        <v>1</v>
      </c>
      <c r="U533" t="n">
        <v>1</v>
      </c>
      <c r="V533" s="2" t="inlineStr">
        <is>
          <t>Guckusko</t>
        </is>
      </c>
      <c r="W533">
        <f>HYPERLINK("https://klasma.github.io/Logging_0382/artfynd/A 52818-2022 artfynd.xlsx", "A 52818-2022")</f>
        <v/>
      </c>
      <c r="X533">
        <f>HYPERLINK("https://klasma.github.io/Logging_0382/kartor/A 52818-2022 karta.png", "A 52818-2022")</f>
        <v/>
      </c>
      <c r="Y533">
        <f>HYPERLINK("https://klasma.github.io/Logging_0382/kartor_geotiff/A 52818-2022 georefererad karta.tif", "A 52818-2022")</f>
        <v/>
      </c>
      <c r="AA533">
        <f>HYPERLINK("https://klasma.github.io/Logging_0382/klagomål/A 52818-2022 FSC-klagomål.docx", "A 52818-2022")</f>
        <v/>
      </c>
      <c r="AB533">
        <f>HYPERLINK("https://klasma.github.io/Logging_0382/klagomålsmail/A 52818-2022 FSC-klagomål mail.docx", "A 52818-2022")</f>
        <v/>
      </c>
      <c r="AC533">
        <f>HYPERLINK("https://klasma.github.io/Logging_0382/tillsyn/A 52818-2022 tillsynsbegäran.docx", "A 52818-2022")</f>
        <v/>
      </c>
      <c r="AD533">
        <f>HYPERLINK("https://klasma.github.io/Logging_0382/tillsynsmail/A 52818-2022 tillsynsbegäran mail.docx", "A 52818-2022")</f>
        <v/>
      </c>
    </row>
    <row r="534" ht="15" customHeight="1">
      <c r="A534" t="inlineStr">
        <is>
          <t>A 28252-2025</t>
        </is>
      </c>
      <c r="B534" t="inlineStr">
        <is>
          <t>avverkningsanmälan</t>
        </is>
      </c>
      <c r="C534" t="inlineStr">
        <is>
          <t>Föryngringsavverkning</t>
        </is>
      </c>
      <c r="D534" s="1" t="n">
        <v>45818</v>
      </c>
      <c r="E534" s="1" t="n">
        <v>46309</v>
      </c>
      <c r="F534" t="inlineStr">
        <is>
          <t>UPPSALA LÄN</t>
        </is>
      </c>
      <c r="G534" t="inlineStr">
        <is>
          <t>TIERP</t>
        </is>
      </c>
      <c r="H534" t="inlineStr">
        <is>
          <t>Bergvik skog öst AB</t>
        </is>
      </c>
      <c r="I534" t="n">
        <v>0.9</v>
      </c>
      <c r="J534" t="n">
        <v>1</v>
      </c>
      <c r="K534" t="n">
        <v>0</v>
      </c>
      <c r="L534" t="n">
        <v>1</v>
      </c>
      <c r="M534" t="n">
        <v>0</v>
      </c>
      <c r="N534" t="n">
        <v>0</v>
      </c>
      <c r="O534" t="n">
        <v>0</v>
      </c>
      <c r="P534" t="n">
        <v>0</v>
      </c>
      <c r="Q534" t="n">
        <v>1</v>
      </c>
      <c r="R534" t="n">
        <v>0</v>
      </c>
      <c r="S534" t="n">
        <v>1</v>
      </c>
      <c r="T534" t="n">
        <v>1</v>
      </c>
      <c r="U534" t="n">
        <v>0</v>
      </c>
      <c r="V534" s="2" t="inlineStr">
        <is>
          <t>Sädesärla</t>
        </is>
      </c>
      <c r="W534">
        <f>HYPERLINK("https://klasma.github.io/Logging_0360/artfynd/A 28252-2025 artfynd.xlsx", "A 28252-2025")</f>
        <v/>
      </c>
      <c r="X534">
        <f>HYPERLINK("https://klasma.github.io/Logging_0360/kartor/A 28252-2025 karta.png", "A 28252-2025")</f>
        <v/>
      </c>
      <c r="Y534">
        <f>HYPERLINK("https://klasma.github.io/Logging_0360/kartor_geotiff/A 28252-2025 georefererad karta.tif", "A 28252-2025")</f>
        <v/>
      </c>
      <c r="AA534">
        <f>HYPERLINK("https://klasma.github.io/Logging_0360/klagomål/A 28252-2025 FSC-klagomål.docx", "A 28252-2025")</f>
        <v/>
      </c>
      <c r="AB534">
        <f>HYPERLINK("https://klasma.github.io/Logging_0360/klagomålsmail/A 28252-2025 FSC-klagomål mail.docx", "A 28252-2025")</f>
        <v/>
      </c>
      <c r="AC534">
        <f>HYPERLINK("https://klasma.github.io/Logging_0360/tillsyn/A 28252-2025 tillsynsbegäran.docx", "A 28252-2025")</f>
        <v/>
      </c>
      <c r="AD534">
        <f>HYPERLINK("https://klasma.github.io/Logging_0360/tillsynsmail/A 28252-2025 tillsynsbegäran mail.docx", "A 28252-2025")</f>
        <v/>
      </c>
      <c r="AE534">
        <f>HYPERLINK("https://klasma.github.io/Logging_0360/fåglar/A 28252-2025 prioriterade fågelarter.docx", "A 28252-2025")</f>
        <v/>
      </c>
    </row>
    <row r="535" ht="15" customHeight="1">
      <c r="A535" t="inlineStr">
        <is>
          <t>A 60056-2022</t>
        </is>
      </c>
      <c r="B535" t="inlineStr">
        <is>
          <t>avverkningsanmälan</t>
        </is>
      </c>
      <c r="C535" t="inlineStr">
        <is>
          <t>Föryngringsavverkning</t>
        </is>
      </c>
      <c r="D535" s="1" t="n">
        <v>44909</v>
      </c>
      <c r="E535" s="1" t="n">
        <v>46309</v>
      </c>
      <c r="F535" t="inlineStr">
        <is>
          <t>UPPSALA LÄN</t>
        </is>
      </c>
      <c r="G535" t="inlineStr">
        <is>
          <t>UPPSALA</t>
        </is>
      </c>
      <c r="I535" t="n">
        <v>1.2</v>
      </c>
      <c r="J535" t="n">
        <v>1</v>
      </c>
      <c r="K535" t="n">
        <v>0</v>
      </c>
      <c r="L535" t="n">
        <v>1</v>
      </c>
      <c r="M535" t="n">
        <v>0</v>
      </c>
      <c r="N535" t="n">
        <v>0</v>
      </c>
      <c r="O535" t="n">
        <v>0</v>
      </c>
      <c r="P535" t="n">
        <v>0</v>
      </c>
      <c r="Q535" t="n">
        <v>1</v>
      </c>
      <c r="R535" t="n">
        <v>0</v>
      </c>
      <c r="S535" t="n">
        <v>1</v>
      </c>
      <c r="T535" t="n">
        <v>1</v>
      </c>
      <c r="U535" t="n">
        <v>1</v>
      </c>
      <c r="V535" s="2" t="inlineStr">
        <is>
          <t>Nötkråka</t>
        </is>
      </c>
      <c r="W535">
        <f>HYPERLINK("https://klasma.github.io/Logging_0380/artfynd/A 60056-2022 artfynd.xlsx", "A 60056-2022")</f>
        <v/>
      </c>
      <c r="X535">
        <f>HYPERLINK("https://klasma.github.io/Logging_0380/kartor/A 60056-2022 karta.png", "A 60056-2022")</f>
        <v/>
      </c>
      <c r="Y535">
        <f>HYPERLINK("https://klasma.github.io/Logging_0380/kartor_geotiff/A 60056-2022 georefererad karta.tif", "A 60056-2022")</f>
        <v/>
      </c>
      <c r="AA535">
        <f>HYPERLINK("https://klasma.github.io/Logging_0380/klagomål/A 60056-2022 FSC-klagomål.docx", "A 60056-2022")</f>
        <v/>
      </c>
      <c r="AB535">
        <f>HYPERLINK("https://klasma.github.io/Logging_0380/klagomålsmail/A 60056-2022 FSC-klagomål mail.docx", "A 60056-2022")</f>
        <v/>
      </c>
      <c r="AC535">
        <f>HYPERLINK("https://klasma.github.io/Logging_0380/tillsyn/A 60056-2022 tillsynsbegäran.docx", "A 60056-2022")</f>
        <v/>
      </c>
      <c r="AD535">
        <f>HYPERLINK("https://klasma.github.io/Logging_0380/tillsynsmail/A 60056-2022 tillsynsbegäran mail.docx", "A 60056-2022")</f>
        <v/>
      </c>
      <c r="AE535">
        <f>HYPERLINK("https://klasma.github.io/Logging_0380/fåglar/A 60056-2022 prioriterade fågelarter.docx", "A 60056-2022")</f>
        <v/>
      </c>
    </row>
    <row r="536" ht="15" customHeight="1">
      <c r="A536" t="inlineStr">
        <is>
          <t>A 20634-2024</t>
        </is>
      </c>
      <c r="B536" t="inlineStr">
        <is>
          <t>avverkningsanmälan</t>
        </is>
      </c>
      <c r="C536" t="inlineStr">
        <is>
          <t>Föryngringsavverkning</t>
        </is>
      </c>
      <c r="D536" s="1" t="n">
        <v>45436</v>
      </c>
      <c r="E536" s="1" t="n">
        <v>46309</v>
      </c>
      <c r="F536" t="inlineStr">
        <is>
          <t>UPPSALA LÄN</t>
        </is>
      </c>
      <c r="G536" t="inlineStr">
        <is>
          <t>ÖSTHAMMAR</t>
        </is>
      </c>
      <c r="I536" t="n">
        <v>6.5</v>
      </c>
      <c r="J536" t="n">
        <v>0</v>
      </c>
      <c r="K536" t="n">
        <v>0</v>
      </c>
      <c r="L536" t="n">
        <v>1</v>
      </c>
      <c r="M536" t="n">
        <v>0</v>
      </c>
      <c r="N536" t="n">
        <v>0</v>
      </c>
      <c r="O536" t="n">
        <v>0</v>
      </c>
      <c r="P536" t="n">
        <v>0</v>
      </c>
      <c r="Q536" t="n">
        <v>1</v>
      </c>
      <c r="R536" t="n">
        <v>0</v>
      </c>
      <c r="S536" t="n">
        <v>1</v>
      </c>
      <c r="T536" t="n">
        <v>1</v>
      </c>
      <c r="U536" t="n">
        <v>0</v>
      </c>
      <c r="V536" s="2" t="inlineStr">
        <is>
          <t>Skarp dropptaggsvamp</t>
        </is>
      </c>
      <c r="W536">
        <f>HYPERLINK("https://klasma.github.io/Logging_0382/artfynd/A 20634-2024 artfynd.xlsx", "A 20634-2024")</f>
        <v/>
      </c>
      <c r="X536">
        <f>HYPERLINK("https://klasma.github.io/Logging_0382/kartor/A 20634-2024 karta.png", "A 20634-2024")</f>
        <v/>
      </c>
      <c r="Y536">
        <f>HYPERLINK("https://klasma.github.io/Logging_0382/kartor_geotiff/A 20634-2024 georefererad karta.tif", "A 20634-2024")</f>
        <v/>
      </c>
      <c r="AA536">
        <f>HYPERLINK("https://klasma.github.io/Logging_0382/klagomål/A 20634-2024 FSC-klagomål.docx", "A 20634-2024")</f>
        <v/>
      </c>
      <c r="AB536">
        <f>HYPERLINK("https://klasma.github.io/Logging_0382/klagomålsmail/A 20634-2024 FSC-klagomål mail.docx", "A 20634-2024")</f>
        <v/>
      </c>
      <c r="AC536">
        <f>HYPERLINK("https://klasma.github.io/Logging_0382/tillsyn/A 20634-2024 tillsynsbegäran.docx", "A 20634-2024")</f>
        <v/>
      </c>
      <c r="AD536">
        <f>HYPERLINK("https://klasma.github.io/Logging_0382/tillsynsmail/A 20634-2024 tillsynsbegäran mail.docx", "A 20634-2024")</f>
        <v/>
      </c>
    </row>
    <row r="537" ht="15" customHeight="1">
      <c r="A537" t="inlineStr">
        <is>
          <t>A 13526-2025</t>
        </is>
      </c>
      <c r="B537" t="inlineStr">
        <is>
          <t>avverkningsanmälan</t>
        </is>
      </c>
      <c r="C537" t="inlineStr">
        <is>
          <t>Föryngringsavverkning</t>
        </is>
      </c>
      <c r="D537" s="1" t="n">
        <v>45736</v>
      </c>
      <c r="E537" s="1" t="n">
        <v>46309</v>
      </c>
      <c r="F537" t="inlineStr">
        <is>
          <t>UPPSALA LÄN</t>
        </is>
      </c>
      <c r="G537" t="inlineStr">
        <is>
          <t>UPPSALA</t>
        </is>
      </c>
      <c r="H537" t="inlineStr">
        <is>
          <t>Allmännings- och besparingsskogar</t>
        </is>
      </c>
      <c r="I537" t="n">
        <v>3</v>
      </c>
      <c r="J537" t="n">
        <v>0</v>
      </c>
      <c r="K537" t="n">
        <v>0</v>
      </c>
      <c r="L537" t="n">
        <v>1</v>
      </c>
      <c r="M537" t="n">
        <v>0</v>
      </c>
      <c r="N537" t="n">
        <v>0</v>
      </c>
      <c r="O537" t="n">
        <v>0</v>
      </c>
      <c r="P537" t="n">
        <v>0</v>
      </c>
      <c r="Q537" t="n">
        <v>1</v>
      </c>
      <c r="R537" t="n">
        <v>0</v>
      </c>
      <c r="S537" t="n">
        <v>1</v>
      </c>
      <c r="T537" t="n">
        <v>2</v>
      </c>
      <c r="U537" t="n">
        <v>0</v>
      </c>
      <c r="V537" s="2" t="inlineStr">
        <is>
          <t>Vedtrappmossa</t>
        </is>
      </c>
      <c r="W537">
        <f>HYPERLINK("https://klasma.github.io/Logging_0380/artfynd/A 13526-2025 artfynd.xlsx", "A 13526-2025")</f>
        <v/>
      </c>
      <c r="X537">
        <f>HYPERLINK("https://klasma.github.io/Logging_0380/kartor/A 13526-2025 karta.png", "A 13526-2025")</f>
        <v/>
      </c>
      <c r="Y537">
        <f>HYPERLINK("https://klasma.github.io/Logging_0380/kartor_geotiff/A 13526-2025 georefererad karta.tif", "A 13526-2025")</f>
        <v/>
      </c>
      <c r="AA537">
        <f>HYPERLINK("https://klasma.github.io/Logging_0380/klagomål/A 13526-2025 FSC-klagomål.docx", "A 13526-2025")</f>
        <v/>
      </c>
      <c r="AB537">
        <f>HYPERLINK("https://klasma.github.io/Logging_0380/klagomålsmail/A 13526-2025 FSC-klagomål mail.docx", "A 13526-2025")</f>
        <v/>
      </c>
      <c r="AC537">
        <f>HYPERLINK("https://klasma.github.io/Logging_0380/tillsyn/A 13526-2025 tillsynsbegäran.docx", "A 13526-2025")</f>
        <v/>
      </c>
      <c r="AD537">
        <f>HYPERLINK("https://klasma.github.io/Logging_0380/tillsynsmail/A 13526-2025 tillsynsbegäran mail.docx", "A 13526-2025")</f>
        <v/>
      </c>
    </row>
    <row r="538" ht="15" customHeight="1">
      <c r="A538" t="inlineStr">
        <is>
          <t>A 45769-2022</t>
        </is>
      </c>
      <c r="B538" t="inlineStr">
        <is>
          <t>avverkningsanmälan</t>
        </is>
      </c>
      <c r="C538" t="inlineStr">
        <is>
          <t>Föryngringsavverkning</t>
        </is>
      </c>
      <c r="D538" s="1" t="n">
        <v>44846</v>
      </c>
      <c r="E538" s="1" t="n">
        <v>46309</v>
      </c>
      <c r="F538" t="inlineStr">
        <is>
          <t>UPPSALA LÄN</t>
        </is>
      </c>
      <c r="G538" t="inlineStr">
        <is>
          <t>TIERP</t>
        </is>
      </c>
      <c r="I538" t="n">
        <v>1.2</v>
      </c>
      <c r="J538" t="n">
        <v>1</v>
      </c>
      <c r="K538" t="n">
        <v>0</v>
      </c>
      <c r="L538" t="n">
        <v>0</v>
      </c>
      <c r="M538" t="n">
        <v>0</v>
      </c>
      <c r="N538" t="n">
        <v>0</v>
      </c>
      <c r="O538" t="n">
        <v>0</v>
      </c>
      <c r="P538" t="n">
        <v>0</v>
      </c>
      <c r="Q538" t="n">
        <v>0</v>
      </c>
      <c r="R538" t="n">
        <v>0</v>
      </c>
      <c r="S538" t="n">
        <v>1</v>
      </c>
      <c r="T538" t="n">
        <v>1</v>
      </c>
      <c r="U538" t="n">
        <v>0</v>
      </c>
      <c r="V538" s="2" t="inlineStr">
        <is>
          <t>Kungsfågel</t>
        </is>
      </c>
      <c r="W538">
        <f>HYPERLINK("https://klasma.github.io/Logging_0360/artfynd/A 45769-2022 artfynd.xlsx", "A 45769-2022")</f>
        <v/>
      </c>
      <c r="X538">
        <f>HYPERLINK("https://klasma.github.io/Logging_0360/kartor/A 45769-2022 karta.png", "A 45769-2022")</f>
        <v/>
      </c>
      <c r="Y538">
        <f>HYPERLINK("https://klasma.github.io/Logging_0360/kartor_geotiff/A 45769-2022 georefererad karta.tif", "A 45769-2022")</f>
        <v/>
      </c>
      <c r="AA538">
        <f>HYPERLINK("https://klasma.github.io/Logging_0360/klagomål/A 45769-2022 FSC-klagomål.docx", "A 45769-2022")</f>
        <v/>
      </c>
      <c r="AB538">
        <f>HYPERLINK("https://klasma.github.io/Logging_0360/klagomålsmail/A 45769-2022 FSC-klagomål mail.docx", "A 45769-2022")</f>
        <v/>
      </c>
      <c r="AC538">
        <f>HYPERLINK("https://klasma.github.io/Logging_0360/tillsyn/A 45769-2022 tillsynsbegäran.docx", "A 45769-2022")</f>
        <v/>
      </c>
      <c r="AD538">
        <f>HYPERLINK("https://klasma.github.io/Logging_0360/tillsynsmail/A 45769-2022 tillsynsbegäran mail.docx", "A 45769-2022")</f>
        <v/>
      </c>
    </row>
    <row r="539" ht="15" customHeight="1">
      <c r="A539" t="inlineStr">
        <is>
          <t>A 44385-2025</t>
        </is>
      </c>
      <c r="B539" t="inlineStr">
        <is>
          <t>avverkningsanmälan</t>
        </is>
      </c>
      <c r="C539" t="inlineStr">
        <is>
          <t>Föryngringsavverkning</t>
        </is>
      </c>
      <c r="D539" s="1" t="n">
        <v>45916</v>
      </c>
      <c r="E539" s="1" t="n">
        <v>46309</v>
      </c>
      <c r="F539" t="inlineStr">
        <is>
          <t>UPPSALA LÄN</t>
        </is>
      </c>
      <c r="G539" t="inlineStr">
        <is>
          <t>UPPSALA</t>
        </is>
      </c>
      <c r="H539" t="inlineStr">
        <is>
          <t>Bergvik skog öst AB</t>
        </is>
      </c>
      <c r="I539" t="n">
        <v>6.8</v>
      </c>
      <c r="J539" t="n">
        <v>1</v>
      </c>
      <c r="K539" t="n">
        <v>0</v>
      </c>
      <c r="L539" t="n">
        <v>0</v>
      </c>
      <c r="M539" t="n">
        <v>0</v>
      </c>
      <c r="N539" t="n">
        <v>0</v>
      </c>
      <c r="O539" t="n">
        <v>0</v>
      </c>
      <c r="P539" t="n">
        <v>0</v>
      </c>
      <c r="Q539" t="n">
        <v>0</v>
      </c>
      <c r="R539" t="n">
        <v>0</v>
      </c>
      <c r="S539" t="n">
        <v>1</v>
      </c>
      <c r="T539" t="n">
        <v>3</v>
      </c>
      <c r="U539" t="n">
        <v>3</v>
      </c>
      <c r="V539" s="2" t="inlineStr">
        <is>
          <t>Blåsippa</t>
        </is>
      </c>
      <c r="W539">
        <f>HYPERLINK("https://klasma.github.io/Logging_0380/artfynd/A 44385-2025 artfynd.xlsx", "A 44385-2025")</f>
        <v/>
      </c>
      <c r="X539">
        <f>HYPERLINK("https://klasma.github.io/Logging_0380/kartor/A 44385-2025 karta.png", "A 44385-2025")</f>
        <v/>
      </c>
      <c r="Y539">
        <f>HYPERLINK("https://klasma.github.io/Logging_0380/kartor_geotiff/A 44385-2025 georefererad karta.tif", "A 44385-2025")</f>
        <v/>
      </c>
      <c r="AA539">
        <f>HYPERLINK("https://klasma.github.io/Logging_0380/klagomål/A 44385-2025 FSC-klagomål.docx", "A 44385-2025")</f>
        <v/>
      </c>
      <c r="AB539">
        <f>HYPERLINK("https://klasma.github.io/Logging_0380/klagomålsmail/A 44385-2025 FSC-klagomål mail.docx", "A 44385-2025")</f>
        <v/>
      </c>
      <c r="AC539">
        <f>HYPERLINK("https://klasma.github.io/Logging_0380/tillsyn/A 44385-2025 tillsynsbegäran.docx", "A 44385-2025")</f>
        <v/>
      </c>
      <c r="AD539">
        <f>HYPERLINK("https://klasma.github.io/Logging_0380/tillsynsmail/A 44385-2025 tillsynsbegäran mail.docx", "A 44385-2025")</f>
        <v/>
      </c>
    </row>
    <row r="540" ht="15" customHeight="1">
      <c r="A540" t="inlineStr">
        <is>
          <t>A 44680-2025</t>
        </is>
      </c>
      <c r="B540" t="inlineStr">
        <is>
          <t>avverkningsanmälan</t>
        </is>
      </c>
      <c r="C540" t="inlineStr">
        <is>
          <t>Föryngringsavverkning</t>
        </is>
      </c>
      <c r="D540" s="1" t="n">
        <v>45917</v>
      </c>
      <c r="E540" s="1" t="n">
        <v>46309</v>
      </c>
      <c r="F540" t="inlineStr">
        <is>
          <t>UPPSALA LÄN</t>
        </is>
      </c>
      <c r="G540" t="inlineStr">
        <is>
          <t>TIERP</t>
        </is>
      </c>
      <c r="H540" t="inlineStr">
        <is>
          <t>Bergvik skog väst AB</t>
        </is>
      </c>
      <c r="I540" t="n">
        <v>2.2</v>
      </c>
      <c r="J540" t="n">
        <v>1</v>
      </c>
      <c r="K540" t="n">
        <v>0</v>
      </c>
      <c r="L540" t="n">
        <v>0</v>
      </c>
      <c r="M540" t="n">
        <v>0</v>
      </c>
      <c r="N540" t="n">
        <v>0</v>
      </c>
      <c r="O540" t="n">
        <v>0</v>
      </c>
      <c r="P540" t="n">
        <v>0</v>
      </c>
      <c r="Q540" t="n">
        <v>0</v>
      </c>
      <c r="R540" t="n">
        <v>0</v>
      </c>
      <c r="S540" t="n">
        <v>1</v>
      </c>
      <c r="T540" t="n">
        <v>1</v>
      </c>
      <c r="U540" t="n">
        <v>0</v>
      </c>
      <c r="V540" s="2" t="inlineStr">
        <is>
          <t>Spillkråka</t>
        </is>
      </c>
      <c r="W540">
        <f>HYPERLINK("https://klasma.github.io/Logging_0360/artfynd/A 44680-2025 artfynd.xlsx", "A 44680-2025")</f>
        <v/>
      </c>
      <c r="X540">
        <f>HYPERLINK("https://klasma.github.io/Logging_0360/kartor/A 44680-2025 karta.png", "A 44680-2025")</f>
        <v/>
      </c>
      <c r="Y540">
        <f>HYPERLINK("https://klasma.github.io/Logging_0360/kartor_geotiff/A 44680-2025 georefererad karta.tif", "A 44680-2025")</f>
        <v/>
      </c>
      <c r="AA540">
        <f>HYPERLINK("https://klasma.github.io/Logging_0360/klagomål/A 44680-2025 FSC-klagomål.docx", "A 44680-2025")</f>
        <v/>
      </c>
      <c r="AB540">
        <f>HYPERLINK("https://klasma.github.io/Logging_0360/klagomålsmail/A 44680-2025 FSC-klagomål mail.docx", "A 44680-2025")</f>
        <v/>
      </c>
      <c r="AC540">
        <f>HYPERLINK("https://klasma.github.io/Logging_0360/tillsyn/A 44680-2025 tillsynsbegäran.docx", "A 44680-2025")</f>
        <v/>
      </c>
      <c r="AD540">
        <f>HYPERLINK("https://klasma.github.io/Logging_0360/tillsynsmail/A 44680-2025 tillsynsbegäran mail.docx", "A 44680-2025")</f>
        <v/>
      </c>
      <c r="AE540">
        <f>HYPERLINK("https://klasma.github.io/Logging_0360/fåglar/A 44680-2025 prioriterade fågelarter.docx", "A 44680-2025")</f>
        <v/>
      </c>
    </row>
    <row r="541" ht="15" customHeight="1">
      <c r="A541" t="inlineStr">
        <is>
          <t>A 2947-2025</t>
        </is>
      </c>
      <c r="B541" t="inlineStr">
        <is>
          <t>avverkningsanmälan</t>
        </is>
      </c>
      <c r="C541" t="inlineStr">
        <is>
          <t>Föryngringsavverkning</t>
        </is>
      </c>
      <c r="D541" s="1" t="n">
        <v>45678</v>
      </c>
      <c r="E541" s="1" t="n">
        <v>46309</v>
      </c>
      <c r="F541" t="inlineStr">
        <is>
          <t>UPPSALA LÄN</t>
        </is>
      </c>
      <c r="G541" t="inlineStr">
        <is>
          <t>ÖSTHAMMAR</t>
        </is>
      </c>
      <c r="I541" t="n">
        <v>3.6</v>
      </c>
      <c r="J541" t="n">
        <v>0</v>
      </c>
      <c r="K541" t="n">
        <v>0</v>
      </c>
      <c r="L541" t="n">
        <v>1</v>
      </c>
      <c r="M541" t="n">
        <v>0</v>
      </c>
      <c r="N541" t="n">
        <v>0</v>
      </c>
      <c r="O541" t="n">
        <v>0</v>
      </c>
      <c r="P541" t="n">
        <v>0</v>
      </c>
      <c r="Q541" t="n">
        <v>1</v>
      </c>
      <c r="R541" t="n">
        <v>0</v>
      </c>
      <c r="S541" t="n">
        <v>1</v>
      </c>
      <c r="T541" t="n">
        <v>1</v>
      </c>
      <c r="U541" t="n">
        <v>0</v>
      </c>
      <c r="V541" s="2" t="inlineStr">
        <is>
          <t>Vedtrappmossa</t>
        </is>
      </c>
      <c r="W541">
        <f>HYPERLINK("https://klasma.github.io/Logging_0382/artfynd/A 2947-2025 artfynd.xlsx", "A 2947-2025")</f>
        <v/>
      </c>
      <c r="X541">
        <f>HYPERLINK("https://klasma.github.io/Logging_0382/kartor/A 2947-2025 karta.png", "A 2947-2025")</f>
        <v/>
      </c>
      <c r="Y541">
        <f>HYPERLINK("https://klasma.github.io/Logging_0382/kartor_geotiff/A 2947-2025 georefererad karta.tif", "A 2947-2025")</f>
        <v/>
      </c>
      <c r="AA541">
        <f>HYPERLINK("https://klasma.github.io/Logging_0382/klagomål/A 2947-2025 FSC-klagomål.docx", "A 2947-2025")</f>
        <v/>
      </c>
      <c r="AB541">
        <f>HYPERLINK("https://klasma.github.io/Logging_0382/klagomålsmail/A 2947-2025 FSC-klagomål mail.docx", "A 2947-2025")</f>
        <v/>
      </c>
      <c r="AC541">
        <f>HYPERLINK("https://klasma.github.io/Logging_0382/tillsyn/A 2947-2025 tillsynsbegäran.docx", "A 2947-2025")</f>
        <v/>
      </c>
      <c r="AD541">
        <f>HYPERLINK("https://klasma.github.io/Logging_0382/tillsynsmail/A 2947-2025 tillsynsbegäran mail.docx", "A 2947-2025")</f>
        <v/>
      </c>
    </row>
    <row r="542" ht="15" customHeight="1">
      <c r="A542" t="inlineStr">
        <is>
          <t>A 16761-2022</t>
        </is>
      </c>
      <c r="B542" t="inlineStr">
        <is>
          <t>avverkningsanmälan</t>
        </is>
      </c>
      <c r="C542" t="inlineStr">
        <is>
          <t>Föryngringsavverkning</t>
        </is>
      </c>
      <c r="D542" s="1" t="n">
        <v>44673</v>
      </c>
      <c r="E542" s="1" t="n">
        <v>46309</v>
      </c>
      <c r="F542" t="inlineStr">
        <is>
          <t>UPPSALA LÄN</t>
        </is>
      </c>
      <c r="G542" t="inlineStr">
        <is>
          <t>UPPSALA</t>
        </is>
      </c>
      <c r="I542" t="n">
        <v>0.6</v>
      </c>
      <c r="J542" t="n">
        <v>1</v>
      </c>
      <c r="K542" t="n">
        <v>0</v>
      </c>
      <c r="L542" t="n">
        <v>0</v>
      </c>
      <c r="M542" t="n">
        <v>0</v>
      </c>
      <c r="N542" t="n">
        <v>0</v>
      </c>
      <c r="O542" t="n">
        <v>0</v>
      </c>
      <c r="P542" t="n">
        <v>0</v>
      </c>
      <c r="Q542" t="n">
        <v>0</v>
      </c>
      <c r="R542" t="n">
        <v>0</v>
      </c>
      <c r="S542" t="n">
        <v>1</v>
      </c>
      <c r="T542" t="n">
        <v>1</v>
      </c>
      <c r="U542" t="n">
        <v>1</v>
      </c>
      <c r="V542" s="2" t="inlineStr">
        <is>
          <t>Trädlärka</t>
        </is>
      </c>
      <c r="W542">
        <f>HYPERLINK("https://klasma.github.io/Logging_0380/artfynd/A 16761-2022 artfynd.xlsx", "A 16761-2022")</f>
        <v/>
      </c>
      <c r="X542">
        <f>HYPERLINK("https://klasma.github.io/Logging_0380/kartor/A 16761-2022 karta.png", "A 16761-2022")</f>
        <v/>
      </c>
      <c r="Y542">
        <f>HYPERLINK("https://klasma.github.io/Logging_0380/kartor_geotiff/A 16761-2022 georefererad karta.tif", "A 16761-2022")</f>
        <v/>
      </c>
      <c r="AA542">
        <f>HYPERLINK("https://klasma.github.io/Logging_0380/klagomål/A 16761-2022 FSC-klagomål.docx", "A 16761-2022")</f>
        <v/>
      </c>
      <c r="AB542">
        <f>HYPERLINK("https://klasma.github.io/Logging_0380/klagomålsmail/A 16761-2022 FSC-klagomål mail.docx", "A 16761-2022")</f>
        <v/>
      </c>
      <c r="AC542">
        <f>HYPERLINK("https://klasma.github.io/Logging_0380/tillsyn/A 16761-2022 tillsynsbegäran.docx", "A 16761-2022")</f>
        <v/>
      </c>
      <c r="AD542">
        <f>HYPERLINK("https://klasma.github.io/Logging_0380/tillsynsmail/A 16761-2022 tillsynsbegäran mail.docx", "A 16761-2022")</f>
        <v/>
      </c>
      <c r="AE542">
        <f>HYPERLINK("https://klasma.github.io/Logging_0380/fåglar/A 16761-2022 prioriterade fågelarter.docx", "A 16761-2022")</f>
        <v/>
      </c>
    </row>
    <row r="543" ht="15" customHeight="1">
      <c r="A543" t="inlineStr">
        <is>
          <t>A 14527-2025</t>
        </is>
      </c>
      <c r="B543" t="inlineStr">
        <is>
          <t>avverkningsanmälan</t>
        </is>
      </c>
      <c r="C543" t="inlineStr">
        <is>
          <t>Föryngringsavverkning</t>
        </is>
      </c>
      <c r="D543" s="1" t="n">
        <v>45741</v>
      </c>
      <c r="E543" s="1" t="n">
        <v>46309</v>
      </c>
      <c r="F543" t="inlineStr">
        <is>
          <t>UPPSALA LÄN</t>
        </is>
      </c>
      <c r="G543" t="inlineStr">
        <is>
          <t>TIERP</t>
        </is>
      </c>
      <c r="H543" t="inlineStr">
        <is>
          <t>Bergvik skog väst AB</t>
        </is>
      </c>
      <c r="I543" t="n">
        <v>0.5</v>
      </c>
      <c r="J543" t="n">
        <v>0</v>
      </c>
      <c r="K543" t="n">
        <v>0</v>
      </c>
      <c r="L543" t="n">
        <v>0</v>
      </c>
      <c r="M543" t="n">
        <v>0</v>
      </c>
      <c r="N543" t="n">
        <v>1</v>
      </c>
      <c r="O543" t="n">
        <v>0</v>
      </c>
      <c r="P543" t="n">
        <v>0</v>
      </c>
      <c r="Q543" t="n">
        <v>1</v>
      </c>
      <c r="R543" t="n">
        <v>1</v>
      </c>
      <c r="S543" t="n">
        <v>1</v>
      </c>
      <c r="T543" t="n">
        <v>1</v>
      </c>
      <c r="U543" t="n">
        <v>1</v>
      </c>
      <c r="V543" s="2" t="inlineStr">
        <is>
          <t>Ask</t>
        </is>
      </c>
      <c r="W543">
        <f>HYPERLINK("https://klasma.github.io/Logging_0360/artfynd/A 14527-2025 artfynd.xlsx", "A 14527-2025")</f>
        <v/>
      </c>
      <c r="X543">
        <f>HYPERLINK("https://klasma.github.io/Logging_0360/kartor/A 14527-2025 karta.png", "A 14527-2025")</f>
        <v/>
      </c>
      <c r="Y543">
        <f>HYPERLINK("https://klasma.github.io/Logging_0360/kartor_geotiff/A 14527-2025 georefererad karta.tif", "A 14527-2025")</f>
        <v/>
      </c>
      <c r="AA543">
        <f>HYPERLINK("https://klasma.github.io/Logging_0360/klagomål/A 14527-2025 FSC-klagomål.docx", "A 14527-2025")</f>
        <v/>
      </c>
      <c r="AB543">
        <f>HYPERLINK("https://klasma.github.io/Logging_0360/klagomålsmail/A 14527-2025 FSC-klagomål mail.docx", "A 14527-2025")</f>
        <v/>
      </c>
      <c r="AC543">
        <f>HYPERLINK("https://klasma.github.io/Logging_0360/tillsyn/A 14527-2025 tillsynsbegäran.docx", "A 14527-2025")</f>
        <v/>
      </c>
      <c r="AD543">
        <f>HYPERLINK("https://klasma.github.io/Logging_0360/tillsynsmail/A 14527-2025 tillsynsbegäran mail.docx", "A 14527-2025")</f>
        <v/>
      </c>
    </row>
    <row r="544" ht="15" customHeight="1">
      <c r="A544" t="inlineStr">
        <is>
          <t>A 3561-2023</t>
        </is>
      </c>
      <c r="B544" t="inlineStr">
        <is>
          <t>avverkningsanmälan</t>
        </is>
      </c>
      <c r="C544" t="inlineStr">
        <is>
          <t>Föryngringsavverkning</t>
        </is>
      </c>
      <c r="D544" s="1" t="n">
        <v>44950</v>
      </c>
      <c r="E544" s="1" t="n">
        <v>46309</v>
      </c>
      <c r="F544" t="inlineStr">
        <is>
          <t>UPPSALA LÄN</t>
        </is>
      </c>
      <c r="G544" t="inlineStr">
        <is>
          <t>TIERP</t>
        </is>
      </c>
      <c r="I544" t="n">
        <v>2</v>
      </c>
      <c r="J544" t="n">
        <v>1</v>
      </c>
      <c r="K544" t="n">
        <v>0</v>
      </c>
      <c r="L544" t="n">
        <v>0</v>
      </c>
      <c r="M544" t="n">
        <v>0</v>
      </c>
      <c r="N544" t="n">
        <v>0</v>
      </c>
      <c r="O544" t="n">
        <v>0</v>
      </c>
      <c r="P544" t="n">
        <v>0</v>
      </c>
      <c r="Q544" t="n">
        <v>0</v>
      </c>
      <c r="R544" t="n">
        <v>0</v>
      </c>
      <c r="S544" t="n">
        <v>1</v>
      </c>
      <c r="T544" t="n">
        <v>1</v>
      </c>
      <c r="U544" t="n">
        <v>1</v>
      </c>
      <c r="V544" s="2" t="inlineStr">
        <is>
          <t>Slaguggla</t>
        </is>
      </c>
      <c r="W544">
        <f>HYPERLINK("https://klasma.github.io/Logging_0360/artfynd/A 3561-2023 artfynd.xlsx", "A 3561-2023")</f>
        <v/>
      </c>
      <c r="X544">
        <f>HYPERLINK("https://klasma.github.io/Logging_0360/kartor/A 3561-2023 karta.png", "A 3561-2023")</f>
        <v/>
      </c>
      <c r="Y544">
        <f>HYPERLINK("https://klasma.github.io/Logging_0360/kartor_geotiff/A 3561-2023 georefererad karta.tif", "A 3561-2023")</f>
        <v/>
      </c>
      <c r="AA544">
        <f>HYPERLINK("https://klasma.github.io/Logging_0360/klagomål/A 3561-2023 FSC-klagomål.docx", "A 3561-2023")</f>
        <v/>
      </c>
      <c r="AB544">
        <f>HYPERLINK("https://klasma.github.io/Logging_0360/klagomålsmail/A 3561-2023 FSC-klagomål mail.docx", "A 3561-2023")</f>
        <v/>
      </c>
      <c r="AC544">
        <f>HYPERLINK("https://klasma.github.io/Logging_0360/tillsyn/A 3561-2023 tillsynsbegäran.docx", "A 3561-2023")</f>
        <v/>
      </c>
      <c r="AD544">
        <f>HYPERLINK("https://klasma.github.io/Logging_0360/tillsynsmail/A 3561-2023 tillsynsbegäran mail.docx", "A 3561-2023")</f>
        <v/>
      </c>
      <c r="AE544">
        <f>HYPERLINK("https://klasma.github.io/Logging_0360/fåglar/A 3561-2023 prioriterade fågelarter.docx", "A 3561-2023")</f>
        <v/>
      </c>
    </row>
    <row r="545" ht="15" customHeight="1">
      <c r="A545" t="inlineStr">
        <is>
          <t>A 49164-2025</t>
        </is>
      </c>
      <c r="B545" t="inlineStr">
        <is>
          <t>avverkningsanmälan</t>
        </is>
      </c>
      <c r="C545" t="inlineStr">
        <is>
          <t>Föryngringsavverkning</t>
        </is>
      </c>
      <c r="D545" s="1" t="n">
        <v>45938</v>
      </c>
      <c r="E545" s="1" t="n">
        <v>46309</v>
      </c>
      <c r="F545" t="inlineStr">
        <is>
          <t>UPPSALA LÄN</t>
        </is>
      </c>
      <c r="G545" t="inlineStr">
        <is>
          <t>UPPSALA</t>
        </is>
      </c>
      <c r="H545" t="inlineStr">
        <is>
          <t>Kyrkan</t>
        </is>
      </c>
      <c r="I545" t="n">
        <v>1</v>
      </c>
      <c r="J545" t="n">
        <v>0</v>
      </c>
      <c r="K545" t="n">
        <v>0</v>
      </c>
      <c r="L545" t="n">
        <v>0</v>
      </c>
      <c r="M545" t="n">
        <v>1</v>
      </c>
      <c r="N545" t="n">
        <v>0</v>
      </c>
      <c r="O545" t="n">
        <v>0</v>
      </c>
      <c r="P545" t="n">
        <v>0</v>
      </c>
      <c r="Q545" t="n">
        <v>1</v>
      </c>
      <c r="R545" t="n">
        <v>1</v>
      </c>
      <c r="S545" t="n">
        <v>1</v>
      </c>
      <c r="T545" t="n">
        <v>1</v>
      </c>
      <c r="U545" t="n">
        <v>0</v>
      </c>
      <c r="V545" s="2" t="inlineStr">
        <is>
          <t>Raggbock</t>
        </is>
      </c>
      <c r="W545">
        <f>HYPERLINK("https://klasma.github.io/Logging_0380/artfynd/A 49164-2025 artfynd.xlsx", "A 49164-2025")</f>
        <v/>
      </c>
      <c r="X545">
        <f>HYPERLINK("https://klasma.github.io/Logging_0380/kartor/A 49164-2025 karta.png", "A 49164-2025")</f>
        <v/>
      </c>
      <c r="Y545">
        <f>HYPERLINK("https://klasma.github.io/Logging_0380/kartor_geotiff/A 49164-2025 georefererad karta.tif", "A 49164-2025")</f>
        <v/>
      </c>
      <c r="AA545">
        <f>HYPERLINK("https://klasma.github.io/Logging_0380/klagomål/A 49164-2025 FSC-klagomål.docx", "A 49164-2025")</f>
        <v/>
      </c>
      <c r="AB545">
        <f>HYPERLINK("https://klasma.github.io/Logging_0380/klagomålsmail/A 49164-2025 FSC-klagomål mail.docx", "A 49164-2025")</f>
        <v/>
      </c>
      <c r="AC545">
        <f>HYPERLINK("https://klasma.github.io/Logging_0380/tillsyn/A 49164-2025 tillsynsbegäran.docx", "A 49164-2025")</f>
        <v/>
      </c>
      <c r="AD545">
        <f>HYPERLINK("https://klasma.github.io/Logging_0380/tillsynsmail/A 49164-2025 tillsynsbegäran mail.docx", "A 49164-2025")</f>
        <v/>
      </c>
    </row>
    <row r="546" ht="15" customHeight="1">
      <c r="A546" t="inlineStr">
        <is>
          <t>A 51716-2023</t>
        </is>
      </c>
      <c r="B546" t="inlineStr">
        <is>
          <t>avverkningsanmälan</t>
        </is>
      </c>
      <c r="C546" t="inlineStr">
        <is>
          <t>Föryngringsavverkning</t>
        </is>
      </c>
      <c r="D546" s="1" t="n">
        <v>45222</v>
      </c>
      <c r="E546" s="1" t="n">
        <v>46309</v>
      </c>
      <c r="F546" t="inlineStr">
        <is>
          <t>UPPSALA LÄN</t>
        </is>
      </c>
      <c r="G546" t="inlineStr">
        <is>
          <t>TIERP</t>
        </is>
      </c>
      <c r="I546" t="n">
        <v>1.1</v>
      </c>
      <c r="J546" t="n">
        <v>0</v>
      </c>
      <c r="K546" t="n">
        <v>0</v>
      </c>
      <c r="L546" t="n">
        <v>1</v>
      </c>
      <c r="M546" t="n">
        <v>0</v>
      </c>
      <c r="N546" t="n">
        <v>0</v>
      </c>
      <c r="O546" t="n">
        <v>0</v>
      </c>
      <c r="P546" t="n">
        <v>0</v>
      </c>
      <c r="Q546" t="n">
        <v>1</v>
      </c>
      <c r="R546" t="n">
        <v>0</v>
      </c>
      <c r="S546" t="n">
        <v>1</v>
      </c>
      <c r="T546" t="n">
        <v>1</v>
      </c>
      <c r="U546" t="n">
        <v>0</v>
      </c>
      <c r="V546" s="2" t="inlineStr">
        <is>
          <t>Äggspindling</t>
        </is>
      </c>
      <c r="W546">
        <f>HYPERLINK("https://klasma.github.io/Logging_0360/artfynd/A 51716-2023 artfynd.xlsx", "A 51716-2023")</f>
        <v/>
      </c>
      <c r="X546">
        <f>HYPERLINK("https://klasma.github.io/Logging_0360/kartor/A 51716-2023 karta.png", "A 51716-2023")</f>
        <v/>
      </c>
      <c r="Y546">
        <f>HYPERLINK("https://klasma.github.io/Logging_0360/kartor_geotiff/A 51716-2023 georefererad karta.tif", "A 51716-2023")</f>
        <v/>
      </c>
      <c r="AA546">
        <f>HYPERLINK("https://klasma.github.io/Logging_0360/klagomål/A 51716-2023 FSC-klagomål.docx", "A 51716-2023")</f>
        <v/>
      </c>
      <c r="AB546">
        <f>HYPERLINK("https://klasma.github.io/Logging_0360/klagomålsmail/A 51716-2023 FSC-klagomål mail.docx", "A 51716-2023")</f>
        <v/>
      </c>
      <c r="AC546">
        <f>HYPERLINK("https://klasma.github.io/Logging_0360/tillsyn/A 51716-2023 tillsynsbegäran.docx", "A 51716-2023")</f>
        <v/>
      </c>
      <c r="AD546">
        <f>HYPERLINK("https://klasma.github.io/Logging_0360/tillsynsmail/A 51716-2023 tillsynsbegäran mail.docx", "A 51716-2023")</f>
        <v/>
      </c>
    </row>
    <row r="547" ht="15" customHeight="1">
      <c r="A547" t="inlineStr">
        <is>
          <t>A 61280-2024</t>
        </is>
      </c>
      <c r="B547" t="inlineStr">
        <is>
          <t>avverkningsanmälan</t>
        </is>
      </c>
      <c r="C547" t="inlineStr">
        <is>
          <t>Föryngringsavverkning</t>
        </is>
      </c>
      <c r="D547" s="1" t="n">
        <v>45645</v>
      </c>
      <c r="E547" s="1" t="n">
        <v>46309</v>
      </c>
      <c r="F547" t="inlineStr">
        <is>
          <t>UPPSALA LÄN</t>
        </is>
      </c>
      <c r="G547" t="inlineStr">
        <is>
          <t>TIERP</t>
        </is>
      </c>
      <c r="I547" t="n">
        <v>5.4</v>
      </c>
      <c r="J547" t="n">
        <v>0</v>
      </c>
      <c r="K547" t="n">
        <v>0</v>
      </c>
      <c r="L547" t="n">
        <v>0</v>
      </c>
      <c r="M547" t="n">
        <v>1</v>
      </c>
      <c r="N547" t="n">
        <v>0</v>
      </c>
      <c r="O547" t="n">
        <v>0</v>
      </c>
      <c r="P547" t="n">
        <v>0</v>
      </c>
      <c r="Q547" t="n">
        <v>1</v>
      </c>
      <c r="R547" t="n">
        <v>1</v>
      </c>
      <c r="S547" t="n">
        <v>1</v>
      </c>
      <c r="T547" t="n">
        <v>1</v>
      </c>
      <c r="U547" t="n">
        <v>0</v>
      </c>
      <c r="V547" s="2" t="inlineStr">
        <is>
          <t>Fältgentiana</t>
        </is>
      </c>
      <c r="W547">
        <f>HYPERLINK("https://klasma.github.io/Logging_0360/artfynd/A 61280-2024 artfynd.xlsx", "A 61280-2024")</f>
        <v/>
      </c>
      <c r="X547">
        <f>HYPERLINK("https://klasma.github.io/Logging_0360/kartor/A 61280-2024 karta.png", "A 61280-2024")</f>
        <v/>
      </c>
      <c r="Y547">
        <f>HYPERLINK("https://klasma.github.io/Logging_0360/kartor_geotiff/A 61280-2024 georefererad karta.tif", "A 61280-2024")</f>
        <v/>
      </c>
      <c r="AA547">
        <f>HYPERLINK("https://klasma.github.io/Logging_0360/klagomål/A 61280-2024 FSC-klagomål.docx", "A 61280-2024")</f>
        <v/>
      </c>
      <c r="AB547">
        <f>HYPERLINK("https://klasma.github.io/Logging_0360/klagomålsmail/A 61280-2024 FSC-klagomål mail.docx", "A 61280-2024")</f>
        <v/>
      </c>
      <c r="AC547">
        <f>HYPERLINK("https://klasma.github.io/Logging_0360/tillsyn/A 61280-2024 tillsynsbegäran.docx", "A 61280-2024")</f>
        <v/>
      </c>
      <c r="AD547">
        <f>HYPERLINK("https://klasma.github.io/Logging_0360/tillsynsmail/A 61280-2024 tillsynsbegäran mail.docx", "A 61280-2024")</f>
        <v/>
      </c>
    </row>
    <row r="548" ht="15" customHeight="1">
      <c r="A548" t="inlineStr">
        <is>
          <t>A 3836-2026</t>
        </is>
      </c>
      <c r="B548" t="inlineStr">
        <is>
          <t>avverkningsanmälan</t>
        </is>
      </c>
      <c r="C548" t="inlineStr">
        <is>
          <t>Föryngringsavverkning</t>
        </is>
      </c>
      <c r="D548" s="1" t="n">
        <v>46043</v>
      </c>
      <c r="E548" s="1" t="n">
        <v>46309</v>
      </c>
      <c r="F548" t="inlineStr">
        <is>
          <t>UPPSALA LÄN</t>
        </is>
      </c>
      <c r="G548" t="inlineStr">
        <is>
          <t>KNIVSTA</t>
        </is>
      </c>
      <c r="I548" t="n">
        <v>3.7</v>
      </c>
      <c r="J548" t="n">
        <v>1</v>
      </c>
      <c r="K548" t="n">
        <v>0</v>
      </c>
      <c r="L548" t="n">
        <v>0</v>
      </c>
      <c r="M548" t="n">
        <v>0</v>
      </c>
      <c r="N548" t="n">
        <v>0</v>
      </c>
      <c r="O548" t="n">
        <v>0</v>
      </c>
      <c r="P548" t="n">
        <v>0</v>
      </c>
      <c r="Q548" t="n">
        <v>0</v>
      </c>
      <c r="R548" t="n">
        <v>0</v>
      </c>
      <c r="S548" t="n">
        <v>1</v>
      </c>
      <c r="T548" t="n">
        <v>1</v>
      </c>
      <c r="U548" t="n">
        <v>1</v>
      </c>
      <c r="V548" s="2" t="inlineStr">
        <is>
          <t>Spillkråka</t>
        </is>
      </c>
      <c r="W548">
        <f>HYPERLINK("https://klasma.github.io/Logging_0330/artfynd/A 3836-2026 artfynd.xlsx", "A 3836-2026")</f>
        <v/>
      </c>
      <c r="X548">
        <f>HYPERLINK("https://klasma.github.io/Logging_0330/kartor/A 3836-2026 karta.png", "A 3836-2026")</f>
        <v/>
      </c>
      <c r="Y548">
        <f>HYPERLINK("https://klasma.github.io/Logging_0330/kartor_geotiff/A 3836-2026 georefererad karta.tif", "A 3836-2026")</f>
        <v/>
      </c>
      <c r="AA548">
        <f>HYPERLINK("https://klasma.github.io/Logging_0330/klagomål/A 3836-2026 FSC-klagomål.docx", "A 3836-2026")</f>
        <v/>
      </c>
      <c r="AB548">
        <f>HYPERLINK("https://klasma.github.io/Logging_0330/klagomålsmail/A 3836-2026 FSC-klagomål mail.docx", "A 3836-2026")</f>
        <v/>
      </c>
      <c r="AC548">
        <f>HYPERLINK("https://klasma.github.io/Logging_0330/tillsyn/A 3836-2026 tillsynsbegäran.docx", "A 3836-2026")</f>
        <v/>
      </c>
      <c r="AD548">
        <f>HYPERLINK("https://klasma.github.io/Logging_0330/tillsynsmail/A 3836-2026 tillsynsbegäran mail.docx", "A 3836-2026")</f>
        <v/>
      </c>
      <c r="AE548">
        <f>HYPERLINK("https://klasma.github.io/Logging_0330/fåglar/A 3836-2026 prioriterade fågelarter.docx", "A 3836-2026")</f>
        <v/>
      </c>
    </row>
    <row r="549" ht="15" customHeight="1">
      <c r="A549" t="inlineStr">
        <is>
          <t>A 51238-2025</t>
        </is>
      </c>
      <c r="B549" t="inlineStr">
        <is>
          <t>avverkningsanmälan</t>
        </is>
      </c>
      <c r="C549" t="inlineStr">
        <is>
          <t>Föryngringsavverkning</t>
        </is>
      </c>
      <c r="D549" s="1" t="n">
        <v>45947</v>
      </c>
      <c r="E549" s="1" t="n">
        <v>46309</v>
      </c>
      <c r="F549" t="inlineStr">
        <is>
          <t>UPPSALA LÄN</t>
        </is>
      </c>
      <c r="G549" t="inlineStr">
        <is>
          <t>ÄLVKARLEBY</t>
        </is>
      </c>
      <c r="H549" t="inlineStr">
        <is>
          <t>Bergvik skog väst AB</t>
        </is>
      </c>
      <c r="I549" t="n">
        <v>6</v>
      </c>
      <c r="J549" t="n">
        <v>1</v>
      </c>
      <c r="K549" t="n">
        <v>0</v>
      </c>
      <c r="L549" t="n">
        <v>0</v>
      </c>
      <c r="M549" t="n">
        <v>0</v>
      </c>
      <c r="N549" t="n">
        <v>0</v>
      </c>
      <c r="O549" t="n">
        <v>0</v>
      </c>
      <c r="P549" t="n">
        <v>0</v>
      </c>
      <c r="Q549" t="n">
        <v>0</v>
      </c>
      <c r="R549" t="n">
        <v>0</v>
      </c>
      <c r="S549" t="n">
        <v>1</v>
      </c>
      <c r="T549" t="n">
        <v>1</v>
      </c>
      <c r="U549" t="n">
        <v>0</v>
      </c>
      <c r="V549" s="2" t="inlineStr">
        <is>
          <t>Lopplummer (aggregat)</t>
        </is>
      </c>
      <c r="W549">
        <f>HYPERLINK("https://klasma.github.io/Logging_0319/artfynd/A 51238-2025 artfynd.xlsx", "A 51238-2025")</f>
        <v/>
      </c>
      <c r="X549">
        <f>HYPERLINK("https://klasma.github.io/Logging_0319/kartor/A 51238-2025 karta.png", "A 51238-2025")</f>
        <v/>
      </c>
      <c r="Y549">
        <f>HYPERLINK("https://klasma.github.io/Logging_0319/kartor_geotiff/A 51238-2025 georefererad karta.tif", "A 51238-2025")</f>
        <v/>
      </c>
      <c r="AA549">
        <f>HYPERLINK("https://klasma.github.io/Logging_0319/klagomål/A 51238-2025 FSC-klagomål.docx", "A 51238-2025")</f>
        <v/>
      </c>
      <c r="AB549">
        <f>HYPERLINK("https://klasma.github.io/Logging_0319/klagomålsmail/A 51238-2025 FSC-klagomål mail.docx", "A 51238-2025")</f>
        <v/>
      </c>
      <c r="AC549">
        <f>HYPERLINK("https://klasma.github.io/Logging_0319/tillsyn/A 51238-2025 tillsynsbegäran.docx", "A 51238-2025")</f>
        <v/>
      </c>
      <c r="AD549">
        <f>HYPERLINK("https://klasma.github.io/Logging_0319/tillsynsmail/A 51238-2025 tillsynsbegäran mail.docx", "A 51238-2025")</f>
        <v/>
      </c>
    </row>
    <row r="550" ht="15" customHeight="1">
      <c r="A550" t="inlineStr">
        <is>
          <t>A 51475-2025</t>
        </is>
      </c>
      <c r="B550" t="inlineStr">
        <is>
          <t>avverkningsanmälan</t>
        </is>
      </c>
      <c r="C550" t="inlineStr">
        <is>
          <t>Avverkning för att bevara och utveckla /försöksver</t>
        </is>
      </c>
      <c r="D550" s="1" t="n">
        <v>45950</v>
      </c>
      <c r="E550" s="1" t="n">
        <v>46309</v>
      </c>
      <c r="F550" t="inlineStr">
        <is>
          <t>UPPSALA LÄN</t>
        </is>
      </c>
      <c r="G550" t="inlineStr">
        <is>
          <t>UPPSALA</t>
        </is>
      </c>
      <c r="I550" t="n">
        <v>3.3</v>
      </c>
      <c r="J550" t="n">
        <v>0</v>
      </c>
      <c r="K550" t="n">
        <v>1</v>
      </c>
      <c r="L550" t="n">
        <v>0</v>
      </c>
      <c r="M550" t="n">
        <v>0</v>
      </c>
      <c r="N550" t="n">
        <v>0</v>
      </c>
      <c r="O550" t="n">
        <v>0</v>
      </c>
      <c r="P550" t="n">
        <v>0</v>
      </c>
      <c r="Q550" t="n">
        <v>0</v>
      </c>
      <c r="R550" t="n">
        <v>0</v>
      </c>
      <c r="S550" t="n">
        <v>1</v>
      </c>
      <c r="T550" t="n">
        <v>1</v>
      </c>
      <c r="U550" t="n">
        <v>0</v>
      </c>
      <c r="V550" s="2" t="inlineStr">
        <is>
          <t>Bronshjon</t>
        </is>
      </c>
      <c r="W550">
        <f>HYPERLINK("https://klasma.github.io/Logging_0380/artfynd/A 51475-2025 artfynd.xlsx", "A 51475-2025")</f>
        <v/>
      </c>
      <c r="X550">
        <f>HYPERLINK("https://klasma.github.io/Logging_0380/kartor/A 51475-2025 karta.png", "A 51475-2025")</f>
        <v/>
      </c>
      <c r="Y550">
        <f>HYPERLINK("https://klasma.github.io/Logging_0380/kartor_geotiff/A 51475-2025 georefererad karta.tif", "A 51475-2025")</f>
        <v/>
      </c>
      <c r="AA550">
        <f>HYPERLINK("https://klasma.github.io/Logging_0380/klagomål/A 51475-2025 FSC-klagomål.docx", "A 51475-2025")</f>
        <v/>
      </c>
      <c r="AB550">
        <f>HYPERLINK("https://klasma.github.io/Logging_0380/klagomålsmail/A 51475-2025 FSC-klagomål mail.docx", "A 51475-2025")</f>
        <v/>
      </c>
      <c r="AC550">
        <f>HYPERLINK("https://klasma.github.io/Logging_0380/tillsyn/A 51475-2025 tillsynsbegäran.docx", "A 51475-2025")</f>
        <v/>
      </c>
      <c r="AD550">
        <f>HYPERLINK("https://klasma.github.io/Logging_0380/tillsynsmail/A 51475-2025 tillsynsbegäran mail.docx", "A 51475-2025")</f>
        <v/>
      </c>
    </row>
    <row r="551" ht="15" customHeight="1">
      <c r="A551" t="inlineStr">
        <is>
          <t>A 19300-2024</t>
        </is>
      </c>
      <c r="B551" t="inlineStr">
        <is>
          <t>avverkningsanmälan</t>
        </is>
      </c>
      <c r="C551" t="inlineStr">
        <is>
          <t>Föryngringsavverkning</t>
        </is>
      </c>
      <c r="D551" s="1" t="n">
        <v>45428</v>
      </c>
      <c r="E551" s="1" t="n">
        <v>46309</v>
      </c>
      <c r="F551" t="inlineStr">
        <is>
          <t>UPPSALA LÄN</t>
        </is>
      </c>
      <c r="G551" t="inlineStr">
        <is>
          <t>ÄLVKARLEBY</t>
        </is>
      </c>
      <c r="I551" t="n">
        <v>0.9</v>
      </c>
      <c r="J551" t="n">
        <v>1</v>
      </c>
      <c r="K551" t="n">
        <v>0</v>
      </c>
      <c r="L551" t="n">
        <v>1</v>
      </c>
      <c r="M551" t="n">
        <v>0</v>
      </c>
      <c r="N551" t="n">
        <v>0</v>
      </c>
      <c r="O551" t="n">
        <v>0</v>
      </c>
      <c r="P551" t="n">
        <v>0</v>
      </c>
      <c r="Q551" t="n">
        <v>1</v>
      </c>
      <c r="R551" t="n">
        <v>0</v>
      </c>
      <c r="S551" t="n">
        <v>1</v>
      </c>
      <c r="T551" t="n">
        <v>1</v>
      </c>
      <c r="U551" t="n">
        <v>1</v>
      </c>
      <c r="V551" s="2" t="inlineStr">
        <is>
          <t>Kricka</t>
        </is>
      </c>
      <c r="W551">
        <f>HYPERLINK("https://klasma.github.io/Logging_0319/artfynd/A 19300-2024 artfynd.xlsx", "A 19300-2024")</f>
        <v/>
      </c>
      <c r="X551">
        <f>HYPERLINK("https://klasma.github.io/Logging_0319/kartor/A 19300-2024 karta.png", "A 19300-2024")</f>
        <v/>
      </c>
      <c r="Y551">
        <f>HYPERLINK("https://klasma.github.io/Logging_0319/kartor_geotiff/A 19300-2024 georefererad karta.tif", "A 19300-2024")</f>
        <v/>
      </c>
      <c r="AA551">
        <f>HYPERLINK("https://klasma.github.io/Logging_0319/klagomål/A 19300-2024 FSC-klagomål.docx", "A 19300-2024")</f>
        <v/>
      </c>
      <c r="AB551">
        <f>HYPERLINK("https://klasma.github.io/Logging_0319/klagomålsmail/A 19300-2024 FSC-klagomål mail.docx", "A 19300-2024")</f>
        <v/>
      </c>
      <c r="AC551">
        <f>HYPERLINK("https://klasma.github.io/Logging_0319/tillsyn/A 19300-2024 tillsynsbegäran.docx", "A 19300-2024")</f>
        <v/>
      </c>
      <c r="AD551">
        <f>HYPERLINK("https://klasma.github.io/Logging_0319/tillsynsmail/A 19300-2024 tillsynsbegäran mail.docx", "A 19300-2024")</f>
        <v/>
      </c>
      <c r="AE551">
        <f>HYPERLINK("https://klasma.github.io/Logging_0319/fåglar/A 19300-2024 prioriterade fågelarter.docx", "A 19300-2024")</f>
        <v/>
      </c>
    </row>
    <row r="552" ht="15" customHeight="1">
      <c r="A552" t="inlineStr">
        <is>
          <t>A 54534-2025</t>
        </is>
      </c>
      <c r="B552" t="inlineStr">
        <is>
          <t>avverkningsanmälan</t>
        </is>
      </c>
      <c r="C552" t="inlineStr">
        <is>
          <t>Föryngringsavverkning</t>
        </is>
      </c>
      <c r="D552" s="1" t="n">
        <v>45965</v>
      </c>
      <c r="E552" s="1" t="n">
        <v>46309</v>
      </c>
      <c r="F552" t="inlineStr">
        <is>
          <t>UPPSALA LÄN</t>
        </is>
      </c>
      <c r="G552" t="inlineStr">
        <is>
          <t>TIERP</t>
        </is>
      </c>
      <c r="H552" t="inlineStr">
        <is>
          <t>Bergvik skog väst AB</t>
        </is>
      </c>
      <c r="I552" t="n">
        <v>7.7</v>
      </c>
      <c r="J552" t="n">
        <v>0</v>
      </c>
      <c r="K552" t="n">
        <v>0</v>
      </c>
      <c r="L552" t="n">
        <v>1</v>
      </c>
      <c r="M552" t="n">
        <v>0</v>
      </c>
      <c r="N552" t="n">
        <v>0</v>
      </c>
      <c r="O552" t="n">
        <v>0</v>
      </c>
      <c r="P552" t="n">
        <v>0</v>
      </c>
      <c r="Q552" t="n">
        <v>1</v>
      </c>
      <c r="R552" t="n">
        <v>0</v>
      </c>
      <c r="S552" t="n">
        <v>1</v>
      </c>
      <c r="T552" t="n">
        <v>1</v>
      </c>
      <c r="U552" t="n">
        <v>0</v>
      </c>
      <c r="V552" s="2" t="inlineStr">
        <is>
          <t>Skogsklocka</t>
        </is>
      </c>
      <c r="W552">
        <f>HYPERLINK("https://klasma.github.io/Logging_0360/artfynd/A 54534-2025 artfynd.xlsx", "A 54534-2025")</f>
        <v/>
      </c>
      <c r="X552">
        <f>HYPERLINK("https://klasma.github.io/Logging_0360/kartor/A 54534-2025 karta.png", "A 54534-2025")</f>
        <v/>
      </c>
      <c r="Y552">
        <f>HYPERLINK("https://klasma.github.io/Logging_0360/kartor_geotiff/A 54534-2025 georefererad karta.tif", "A 54534-2025")</f>
        <v/>
      </c>
      <c r="AA552">
        <f>HYPERLINK("https://klasma.github.io/Logging_0360/klagomål/A 54534-2025 FSC-klagomål.docx", "A 54534-2025")</f>
        <v/>
      </c>
      <c r="AB552">
        <f>HYPERLINK("https://klasma.github.io/Logging_0360/klagomålsmail/A 54534-2025 FSC-klagomål mail.docx", "A 54534-2025")</f>
        <v/>
      </c>
      <c r="AC552">
        <f>HYPERLINK("https://klasma.github.io/Logging_0360/tillsyn/A 54534-2025 tillsynsbegäran.docx", "A 54534-2025")</f>
        <v/>
      </c>
      <c r="AD552">
        <f>HYPERLINK("https://klasma.github.io/Logging_0360/tillsynsmail/A 54534-2025 tillsynsbegäran mail.docx", "A 54534-2025")</f>
        <v/>
      </c>
    </row>
    <row r="553" ht="15" customHeight="1">
      <c r="A553" t="inlineStr">
        <is>
          <t>A 13363-2022</t>
        </is>
      </c>
      <c r="B553" t="inlineStr">
        <is>
          <t>avverkningsanmälan</t>
        </is>
      </c>
      <c r="C553" t="inlineStr">
        <is>
          <t>Föryngringsavverkning</t>
        </is>
      </c>
      <c r="D553" s="1" t="n">
        <v>44645</v>
      </c>
      <c r="E553" s="1" t="n">
        <v>46309</v>
      </c>
      <c r="F553" t="inlineStr">
        <is>
          <t>UPPSALA LÄN</t>
        </is>
      </c>
      <c r="G553" t="inlineStr">
        <is>
          <t>UPPSALA</t>
        </is>
      </c>
      <c r="H553" t="inlineStr">
        <is>
          <t>Övriga Aktiebolag</t>
        </is>
      </c>
      <c r="I553" t="n">
        <v>9.4</v>
      </c>
      <c r="J553" t="n">
        <v>1</v>
      </c>
      <c r="K553" t="n">
        <v>0</v>
      </c>
      <c r="L553" t="n">
        <v>0</v>
      </c>
      <c r="M553" t="n">
        <v>0</v>
      </c>
      <c r="N553" t="n">
        <v>0</v>
      </c>
      <c r="O553" t="n">
        <v>0</v>
      </c>
      <c r="P553" t="n">
        <v>0</v>
      </c>
      <c r="Q553" t="n">
        <v>0</v>
      </c>
      <c r="R553" t="n">
        <v>0</v>
      </c>
      <c r="S553" t="n">
        <v>1</v>
      </c>
      <c r="T553" t="n">
        <v>1</v>
      </c>
      <c r="U553" t="n">
        <v>0</v>
      </c>
      <c r="V553" s="2" t="inlineStr">
        <is>
          <t>Huggorm</t>
        </is>
      </c>
      <c r="W553">
        <f>HYPERLINK("https://klasma.github.io/Logging_0380/artfynd/A 13363-2022 artfynd.xlsx", "A 13363-2022")</f>
        <v/>
      </c>
      <c r="X553">
        <f>HYPERLINK("https://klasma.github.io/Logging_0380/kartor/A 13363-2022 karta.png", "A 13363-2022")</f>
        <v/>
      </c>
      <c r="Y553">
        <f>HYPERLINK("https://klasma.github.io/Logging_0380/kartor_geotiff/A 13363-2022 georefererad karta.tif", "A 13363-2022")</f>
        <v/>
      </c>
      <c r="AA553">
        <f>HYPERLINK("https://klasma.github.io/Logging_0380/klagomål/A 13363-2022 FSC-klagomål.docx", "A 13363-2022")</f>
        <v/>
      </c>
      <c r="AB553">
        <f>HYPERLINK("https://klasma.github.io/Logging_0380/klagomålsmail/A 13363-2022 FSC-klagomål mail.docx", "A 13363-2022")</f>
        <v/>
      </c>
      <c r="AC553">
        <f>HYPERLINK("https://klasma.github.io/Logging_0380/tillsyn/A 13363-2022 tillsynsbegäran.docx", "A 13363-2022")</f>
        <v/>
      </c>
      <c r="AD553">
        <f>HYPERLINK("https://klasma.github.io/Logging_0380/tillsynsmail/A 13363-2022 tillsynsbegäran mail.docx", "A 13363-2022")</f>
        <v/>
      </c>
    </row>
    <row r="554" ht="15" customHeight="1">
      <c r="A554" t="inlineStr">
        <is>
          <t>A 38417-2025</t>
        </is>
      </c>
      <c r="B554" t="inlineStr">
        <is>
          <t>avverkningsanmälan</t>
        </is>
      </c>
      <c r="C554" t="inlineStr">
        <is>
          <t>Föryngringsavverkning</t>
        </is>
      </c>
      <c r="D554" s="1" t="n">
        <v>45883</v>
      </c>
      <c r="E554" s="1" t="n">
        <v>46309</v>
      </c>
      <c r="F554" t="inlineStr">
        <is>
          <t>UPPSALA LÄN</t>
        </is>
      </c>
      <c r="G554" t="inlineStr">
        <is>
          <t>HEBY</t>
        </is>
      </c>
      <c r="H554" t="inlineStr">
        <is>
          <t>Bergvik skog väst AB</t>
        </is>
      </c>
      <c r="I554" t="n">
        <v>8.300000000000001</v>
      </c>
      <c r="J554" t="n">
        <v>1</v>
      </c>
      <c r="K554" t="n">
        <v>0</v>
      </c>
      <c r="L554" t="n">
        <v>0</v>
      </c>
      <c r="M554" t="n">
        <v>1</v>
      </c>
      <c r="N554" t="n">
        <v>0</v>
      </c>
      <c r="O554" t="n">
        <v>0</v>
      </c>
      <c r="P554" t="n">
        <v>0</v>
      </c>
      <c r="Q554" t="n">
        <v>1</v>
      </c>
      <c r="R554" t="n">
        <v>1</v>
      </c>
      <c r="S554" t="n">
        <v>1</v>
      </c>
      <c r="T554" t="n">
        <v>1</v>
      </c>
      <c r="U554" t="n">
        <v>0</v>
      </c>
      <c r="V554" s="2" t="inlineStr">
        <is>
          <t>Knärot</t>
        </is>
      </c>
      <c r="W554">
        <f>HYPERLINK("https://klasma.github.io/Logging_0331/artfynd/A 38417-2025 artfynd.xlsx", "A 38417-2025")</f>
        <v/>
      </c>
      <c r="X554">
        <f>HYPERLINK("https://klasma.github.io/Logging_0331/kartor/A 38417-2025 karta.png", "A 38417-2025")</f>
        <v/>
      </c>
      <c r="Y554">
        <f>HYPERLINK("https://klasma.github.io/Logging_0331/kartor_geotiff/A 38417-2025 georefererad karta.tif", "A 38417-2025")</f>
        <v/>
      </c>
      <c r="Z554">
        <f>HYPERLINK("https://klasma.github.io/Logging_0331/knärot/A 38417-2025 karta knärot.png", "A 38417-2025")</f>
        <v/>
      </c>
      <c r="AA554">
        <f>HYPERLINK("https://klasma.github.io/Logging_0331/klagomål/A 38417-2025 FSC-klagomål.docx", "A 38417-2025")</f>
        <v/>
      </c>
      <c r="AB554">
        <f>HYPERLINK("https://klasma.github.io/Logging_0331/klagomålsmail/A 38417-2025 FSC-klagomål mail.docx", "A 38417-2025")</f>
        <v/>
      </c>
      <c r="AC554">
        <f>HYPERLINK("https://klasma.github.io/Logging_0331/tillsyn/A 38417-2025 tillsynsbegäran.docx", "A 38417-2025")</f>
        <v/>
      </c>
      <c r="AD554">
        <f>HYPERLINK("https://klasma.github.io/Logging_0331/tillsynsmail/A 38417-2025 tillsynsbegäran mail.docx", "A 38417-2025")</f>
        <v/>
      </c>
    </row>
    <row r="555" ht="15" customHeight="1">
      <c r="A555" t="inlineStr">
        <is>
          <t>A 5730-2026</t>
        </is>
      </c>
      <c r="B555" t="inlineStr">
        <is>
          <t>avverkningsanmälan</t>
        </is>
      </c>
      <c r="C555" t="inlineStr">
        <is>
          <t>Föryngringsavverkning</t>
        </is>
      </c>
      <c r="D555" s="1" t="n">
        <v>46051</v>
      </c>
      <c r="E555" s="1" t="n">
        <v>46309</v>
      </c>
      <c r="F555" t="inlineStr">
        <is>
          <t>UPPSALA LÄN</t>
        </is>
      </c>
      <c r="G555" t="inlineStr">
        <is>
          <t>TIERP</t>
        </is>
      </c>
      <c r="I555" t="n">
        <v>5.4</v>
      </c>
      <c r="J555" t="n">
        <v>0</v>
      </c>
      <c r="K555" t="n">
        <v>0</v>
      </c>
      <c r="L555" t="n">
        <v>1</v>
      </c>
      <c r="M555" t="n">
        <v>0</v>
      </c>
      <c r="N555" t="n">
        <v>0</v>
      </c>
      <c r="O555" t="n">
        <v>0</v>
      </c>
      <c r="P555" t="n">
        <v>0</v>
      </c>
      <c r="Q555" t="n">
        <v>1</v>
      </c>
      <c r="R555" t="n">
        <v>0</v>
      </c>
      <c r="S555" t="n">
        <v>1</v>
      </c>
      <c r="T555" t="n">
        <v>1</v>
      </c>
      <c r="U555" t="n">
        <v>0</v>
      </c>
      <c r="V555" s="2" t="inlineStr">
        <is>
          <t>Odörspindling</t>
        </is>
      </c>
      <c r="W555">
        <f>HYPERLINK("https://klasma.github.io/Logging_0360/artfynd/A 5730-2026 artfynd.xlsx", "A 5730-2026")</f>
        <v/>
      </c>
      <c r="X555">
        <f>HYPERLINK("https://klasma.github.io/Logging_0360/kartor/A 5730-2026 karta.png", "A 5730-2026")</f>
        <v/>
      </c>
      <c r="Y555">
        <f>HYPERLINK("https://klasma.github.io/Logging_0360/kartor_geotiff/A 5730-2026 georefererad karta.tif", "A 5730-2026")</f>
        <v/>
      </c>
      <c r="AA555">
        <f>HYPERLINK("https://klasma.github.io/Logging_0360/klagomål/A 5730-2026 FSC-klagomål.docx", "A 5730-2026")</f>
        <v/>
      </c>
      <c r="AB555">
        <f>HYPERLINK("https://klasma.github.io/Logging_0360/klagomålsmail/A 5730-2026 FSC-klagomål mail.docx", "A 5730-2026")</f>
        <v/>
      </c>
      <c r="AC555">
        <f>HYPERLINK("https://klasma.github.io/Logging_0360/tillsyn/A 5730-2026 tillsynsbegäran.docx", "A 5730-2026")</f>
        <v/>
      </c>
      <c r="AD555">
        <f>HYPERLINK("https://klasma.github.io/Logging_0360/tillsynsmail/A 5730-2026 tillsynsbegäran mail.docx", "A 5730-2026")</f>
        <v/>
      </c>
    </row>
    <row r="556" ht="15" customHeight="1">
      <c r="A556" t="inlineStr">
        <is>
          <t>A 56046-2025</t>
        </is>
      </c>
      <c r="B556" t="inlineStr">
        <is>
          <t>avverkningsanmälan</t>
        </is>
      </c>
      <c r="C556" t="inlineStr">
        <is>
          <t>Föryngringsavverkning</t>
        </is>
      </c>
      <c r="D556" s="1" t="n">
        <v>45973</v>
      </c>
      <c r="E556" s="1" t="n">
        <v>46309</v>
      </c>
      <c r="F556" t="inlineStr">
        <is>
          <t>UPPSALA LÄN</t>
        </is>
      </c>
      <c r="G556" t="inlineStr">
        <is>
          <t>TIERP</t>
        </is>
      </c>
      <c r="H556" t="inlineStr">
        <is>
          <t>Bergvik skog väst AB</t>
        </is>
      </c>
      <c r="I556" t="n">
        <v>1.9</v>
      </c>
      <c r="J556" t="n">
        <v>1</v>
      </c>
      <c r="K556" t="n">
        <v>0</v>
      </c>
      <c r="L556" t="n">
        <v>0</v>
      </c>
      <c r="M556" t="n">
        <v>0</v>
      </c>
      <c r="N556" t="n">
        <v>0</v>
      </c>
      <c r="O556" t="n">
        <v>0</v>
      </c>
      <c r="P556" t="n">
        <v>0</v>
      </c>
      <c r="Q556" t="n">
        <v>0</v>
      </c>
      <c r="R556" t="n">
        <v>0</v>
      </c>
      <c r="S556" t="n">
        <v>1</v>
      </c>
      <c r="T556" t="n">
        <v>1</v>
      </c>
      <c r="U556" t="n">
        <v>1</v>
      </c>
      <c r="V556" s="2" t="inlineStr">
        <is>
          <t>Blåsippa</t>
        </is>
      </c>
      <c r="W556">
        <f>HYPERLINK("https://klasma.github.io/Logging_0360/artfynd/A 56046-2025 artfynd.xlsx", "A 56046-2025")</f>
        <v/>
      </c>
      <c r="X556">
        <f>HYPERLINK("https://klasma.github.io/Logging_0360/kartor/A 56046-2025 karta.png", "A 56046-2025")</f>
        <v/>
      </c>
      <c r="Y556">
        <f>HYPERLINK("https://klasma.github.io/Logging_0360/kartor_geotiff/A 56046-2025 georefererad karta.tif", "A 56046-2025")</f>
        <v/>
      </c>
      <c r="AA556">
        <f>HYPERLINK("https://klasma.github.io/Logging_0360/klagomål/A 56046-2025 FSC-klagomål.docx", "A 56046-2025")</f>
        <v/>
      </c>
      <c r="AB556">
        <f>HYPERLINK("https://klasma.github.io/Logging_0360/klagomålsmail/A 56046-2025 FSC-klagomål mail.docx", "A 56046-2025")</f>
        <v/>
      </c>
      <c r="AC556">
        <f>HYPERLINK("https://klasma.github.io/Logging_0360/tillsyn/A 56046-2025 tillsynsbegäran.docx", "A 56046-2025")</f>
        <v/>
      </c>
      <c r="AD556">
        <f>HYPERLINK("https://klasma.github.io/Logging_0360/tillsynsmail/A 56046-2025 tillsynsbegäran mail.docx", "A 56046-2025")</f>
        <v/>
      </c>
    </row>
    <row r="557" ht="15" customHeight="1">
      <c r="A557" t="inlineStr">
        <is>
          <t>A 6507-2026</t>
        </is>
      </c>
      <c r="B557" t="inlineStr">
        <is>
          <t>avverkningsanmälan</t>
        </is>
      </c>
      <c r="C557" t="inlineStr">
        <is>
          <t>Föryngringsavverkning</t>
        </is>
      </c>
      <c r="D557" s="1" t="n">
        <v>46056</v>
      </c>
      <c r="E557" s="1" t="n">
        <v>46309</v>
      </c>
      <c r="F557" t="inlineStr">
        <is>
          <t>UPPSALA LÄN</t>
        </is>
      </c>
      <c r="G557" t="inlineStr">
        <is>
          <t>ÖSTHAMMAR</t>
        </is>
      </c>
      <c r="H557" t="inlineStr">
        <is>
          <t>Bergvik skog öst AB</t>
        </is>
      </c>
      <c r="I557" t="n">
        <v>1.5</v>
      </c>
      <c r="J557" t="n">
        <v>0</v>
      </c>
      <c r="K557" t="n">
        <v>1</v>
      </c>
      <c r="L557" t="n">
        <v>0</v>
      </c>
      <c r="M557" t="n">
        <v>0</v>
      </c>
      <c r="N557" t="n">
        <v>0</v>
      </c>
      <c r="O557" t="n">
        <v>0</v>
      </c>
      <c r="P557" t="n">
        <v>0</v>
      </c>
      <c r="Q557" t="n">
        <v>0</v>
      </c>
      <c r="R557" t="n">
        <v>0</v>
      </c>
      <c r="S557" t="n">
        <v>1</v>
      </c>
      <c r="T557" t="n">
        <v>1</v>
      </c>
      <c r="U557" t="n">
        <v>0</v>
      </c>
      <c r="V557" s="2" t="inlineStr">
        <is>
          <t>Tibast</t>
        </is>
      </c>
      <c r="W557">
        <f>HYPERLINK("https://klasma.github.io/Logging_0382/artfynd/A 6507-2026 artfynd.xlsx", "A 6507-2026")</f>
        <v/>
      </c>
      <c r="X557">
        <f>HYPERLINK("https://klasma.github.io/Logging_0382/kartor/A 6507-2026 karta.png", "A 6507-2026")</f>
        <v/>
      </c>
      <c r="Y557">
        <f>HYPERLINK("https://klasma.github.io/Logging_0382/kartor_geotiff/A 6507-2026 georefererad karta.tif", "A 6507-2026")</f>
        <v/>
      </c>
      <c r="AA557">
        <f>HYPERLINK("https://klasma.github.io/Logging_0382/klagomål/A 6507-2026 FSC-klagomål.docx", "A 6507-2026")</f>
        <v/>
      </c>
      <c r="AB557">
        <f>HYPERLINK("https://klasma.github.io/Logging_0382/klagomålsmail/A 6507-2026 FSC-klagomål mail.docx", "A 6507-2026")</f>
        <v/>
      </c>
      <c r="AC557">
        <f>HYPERLINK("https://klasma.github.io/Logging_0382/tillsyn/A 6507-2026 tillsynsbegäran.docx", "A 6507-2026")</f>
        <v/>
      </c>
      <c r="AD557">
        <f>HYPERLINK("https://klasma.github.io/Logging_0382/tillsynsmail/A 6507-2026 tillsynsbegäran mail.docx", "A 6507-2026")</f>
        <v/>
      </c>
    </row>
    <row r="558" ht="15" customHeight="1">
      <c r="A558" t="inlineStr">
        <is>
          <t>A 6139-2026</t>
        </is>
      </c>
      <c r="B558" t="inlineStr">
        <is>
          <t>avverkningsanmälan</t>
        </is>
      </c>
      <c r="C558" t="inlineStr">
        <is>
          <t>Föryngringsavverkning</t>
        </is>
      </c>
      <c r="D558" s="1" t="n">
        <v>46054</v>
      </c>
      <c r="E558" s="1" t="n">
        <v>46309</v>
      </c>
      <c r="F558" t="inlineStr">
        <is>
          <t>UPPSALA LÄN</t>
        </is>
      </c>
      <c r="G558" t="inlineStr">
        <is>
          <t>TIERP</t>
        </is>
      </c>
      <c r="I558" t="n">
        <v>1</v>
      </c>
      <c r="J558" t="n">
        <v>0</v>
      </c>
      <c r="K558" t="n">
        <v>0</v>
      </c>
      <c r="L558" t="n">
        <v>0</v>
      </c>
      <c r="M558" t="n">
        <v>0</v>
      </c>
      <c r="N558" t="n">
        <v>1</v>
      </c>
      <c r="O558" t="n">
        <v>0</v>
      </c>
      <c r="P558" t="n">
        <v>0</v>
      </c>
      <c r="Q558" t="n">
        <v>1</v>
      </c>
      <c r="R558" t="n">
        <v>1</v>
      </c>
      <c r="S558" t="n">
        <v>1</v>
      </c>
      <c r="T558" t="n">
        <v>1</v>
      </c>
      <c r="U558" t="n">
        <v>0</v>
      </c>
      <c r="V558" s="2" t="inlineStr">
        <is>
          <t>Koppartaggsvamp</t>
        </is>
      </c>
      <c r="W558">
        <f>HYPERLINK("https://klasma.github.io/Logging_0360/artfynd/A 6139-2026 artfynd.xlsx", "A 6139-2026")</f>
        <v/>
      </c>
      <c r="X558">
        <f>HYPERLINK("https://klasma.github.io/Logging_0360/kartor/A 6139-2026 karta.png", "A 6139-2026")</f>
        <v/>
      </c>
      <c r="Y558">
        <f>HYPERLINK("https://klasma.github.io/Logging_0360/kartor_geotiff/A 6139-2026 georefererad karta.tif", "A 6139-2026")</f>
        <v/>
      </c>
      <c r="AA558">
        <f>HYPERLINK("https://klasma.github.io/Logging_0360/klagomål/A 6139-2026 FSC-klagomål.docx", "A 6139-2026")</f>
        <v/>
      </c>
      <c r="AB558">
        <f>HYPERLINK("https://klasma.github.io/Logging_0360/klagomålsmail/A 6139-2026 FSC-klagomål mail.docx", "A 6139-2026")</f>
        <v/>
      </c>
      <c r="AC558">
        <f>HYPERLINK("https://klasma.github.io/Logging_0360/tillsyn/A 6139-2026 tillsynsbegäran.docx", "A 6139-2026")</f>
        <v/>
      </c>
      <c r="AD558">
        <f>HYPERLINK("https://klasma.github.io/Logging_0360/tillsynsmail/A 6139-2026 tillsynsbegäran mail.docx", "A 6139-2026")</f>
        <v/>
      </c>
    </row>
    <row r="559" ht="15" customHeight="1">
      <c r="A559" t="inlineStr">
        <is>
          <t>A 15680-2025</t>
        </is>
      </c>
      <c r="B559" t="inlineStr">
        <is>
          <t>avverkningsanmälan</t>
        </is>
      </c>
      <c r="C559" t="inlineStr">
        <is>
          <t>Föryngringsavverkning</t>
        </is>
      </c>
      <c r="D559" s="1" t="n">
        <v>45748</v>
      </c>
      <c r="E559" s="1" t="n">
        <v>46309</v>
      </c>
      <c r="F559" t="inlineStr">
        <is>
          <t>UPPSALA LÄN</t>
        </is>
      </c>
      <c r="G559" t="inlineStr">
        <is>
          <t>TIERP</t>
        </is>
      </c>
      <c r="H559" t="inlineStr">
        <is>
          <t>Kyrkan</t>
        </is>
      </c>
      <c r="I559" t="n">
        <v>13.5</v>
      </c>
      <c r="J559" t="n">
        <v>1</v>
      </c>
      <c r="K559" t="n">
        <v>0</v>
      </c>
      <c r="L559" t="n">
        <v>0</v>
      </c>
      <c r="M559" t="n">
        <v>0</v>
      </c>
      <c r="N559" t="n">
        <v>0</v>
      </c>
      <c r="O559" t="n">
        <v>0</v>
      </c>
      <c r="P559" t="n">
        <v>0</v>
      </c>
      <c r="Q559" t="n">
        <v>0</v>
      </c>
      <c r="R559" t="n">
        <v>0</v>
      </c>
      <c r="S559" t="n">
        <v>1</v>
      </c>
      <c r="T559" t="n">
        <v>1</v>
      </c>
      <c r="U559" t="n">
        <v>0</v>
      </c>
      <c r="V559" s="2" t="inlineStr">
        <is>
          <t>Mattlummer</t>
        </is>
      </c>
      <c r="W559">
        <f>HYPERLINK("https://klasma.github.io/Logging_0360/artfynd/A 15680-2025 artfynd.xlsx", "A 15680-2025")</f>
        <v/>
      </c>
      <c r="X559">
        <f>HYPERLINK("https://klasma.github.io/Logging_0360/kartor/A 15680-2025 karta.png", "A 15680-2025")</f>
        <v/>
      </c>
      <c r="Y559">
        <f>HYPERLINK("https://klasma.github.io/Logging_0360/kartor_geotiff/A 15680-2025 georefererad karta.tif", "A 15680-2025")</f>
        <v/>
      </c>
      <c r="AA559">
        <f>HYPERLINK("https://klasma.github.io/Logging_0360/klagomål/A 15680-2025 FSC-klagomål.docx", "A 15680-2025")</f>
        <v/>
      </c>
      <c r="AB559">
        <f>HYPERLINK("https://klasma.github.io/Logging_0360/klagomålsmail/A 15680-2025 FSC-klagomål mail.docx", "A 15680-2025")</f>
        <v/>
      </c>
      <c r="AC559">
        <f>HYPERLINK("https://klasma.github.io/Logging_0360/tillsyn/A 15680-2025 tillsynsbegäran.docx", "A 15680-2025")</f>
        <v/>
      </c>
      <c r="AD559">
        <f>HYPERLINK("https://klasma.github.io/Logging_0360/tillsynsmail/A 15680-2025 tillsynsbegäran mail.docx", "A 15680-2025")</f>
        <v/>
      </c>
    </row>
    <row r="560" ht="15" customHeight="1">
      <c r="A560" t="inlineStr">
        <is>
          <t>A 57734-2025</t>
        </is>
      </c>
      <c r="B560" t="inlineStr">
        <is>
          <t>avverkningsanmälan</t>
        </is>
      </c>
      <c r="C560" t="inlineStr">
        <is>
          <t>Föryngringsavverkning</t>
        </is>
      </c>
      <c r="D560" s="1" t="n">
        <v>45981</v>
      </c>
      <c r="E560" s="1" t="n">
        <v>46309</v>
      </c>
      <c r="F560" t="inlineStr">
        <is>
          <t>UPPSALA LÄN</t>
        </is>
      </c>
      <c r="G560" t="inlineStr">
        <is>
          <t>ÄLVKARLEBY</t>
        </is>
      </c>
      <c r="H560" t="inlineStr">
        <is>
          <t>Bergvik skog väst AB</t>
        </is>
      </c>
      <c r="I560" t="n">
        <v>1.3</v>
      </c>
      <c r="J560" t="n">
        <v>1</v>
      </c>
      <c r="K560" t="n">
        <v>0</v>
      </c>
      <c r="L560" t="n">
        <v>0</v>
      </c>
      <c r="M560" t="n">
        <v>1</v>
      </c>
      <c r="N560" t="n">
        <v>0</v>
      </c>
      <c r="O560" t="n">
        <v>0</v>
      </c>
      <c r="P560" t="n">
        <v>0</v>
      </c>
      <c r="Q560" t="n">
        <v>1</v>
      </c>
      <c r="R560" t="n">
        <v>1</v>
      </c>
      <c r="S560" t="n">
        <v>1</v>
      </c>
      <c r="T560" t="n">
        <v>1</v>
      </c>
      <c r="U560" t="n">
        <v>0</v>
      </c>
      <c r="V560" s="2" t="inlineStr">
        <is>
          <t>Gölgroda</t>
        </is>
      </c>
      <c r="W560">
        <f>HYPERLINK("https://klasma.github.io/Logging_0319/artfynd/A 57734-2025 artfynd.xlsx", "A 57734-2025")</f>
        <v/>
      </c>
      <c r="X560">
        <f>HYPERLINK("https://klasma.github.io/Logging_0319/kartor/A 57734-2025 karta.png", "A 57734-2025")</f>
        <v/>
      </c>
      <c r="Y560">
        <f>HYPERLINK("https://klasma.github.io/Logging_0319/kartor_geotiff/A 57734-2025 georefererad karta.tif", "A 57734-2025")</f>
        <v/>
      </c>
      <c r="AA560">
        <f>HYPERLINK("https://klasma.github.io/Logging_0319/klagomål/A 57734-2025 FSC-klagomål.docx", "A 57734-2025")</f>
        <v/>
      </c>
      <c r="AB560">
        <f>HYPERLINK("https://klasma.github.io/Logging_0319/klagomålsmail/A 57734-2025 FSC-klagomål mail.docx", "A 57734-2025")</f>
        <v/>
      </c>
      <c r="AC560">
        <f>HYPERLINK("https://klasma.github.io/Logging_0319/tillsyn/A 57734-2025 tillsynsbegäran.docx", "A 57734-2025")</f>
        <v/>
      </c>
      <c r="AD560">
        <f>HYPERLINK("https://klasma.github.io/Logging_0319/tillsynsmail/A 57734-2025 tillsynsbegäran mail.docx", "A 57734-2025")</f>
        <v/>
      </c>
    </row>
    <row r="561" ht="15" customHeight="1">
      <c r="A561" t="inlineStr">
        <is>
          <t>A 7855-2026</t>
        </is>
      </c>
      <c r="B561" t="inlineStr">
        <is>
          <t>avverkningsanmälan</t>
        </is>
      </c>
      <c r="C561" t="inlineStr">
        <is>
          <t>Föryngringsavverkning</t>
        </is>
      </c>
      <c r="D561" s="1" t="n">
        <v>46062</v>
      </c>
      <c r="E561" s="1" t="n">
        <v>46309</v>
      </c>
      <c r="F561" t="inlineStr">
        <is>
          <t>UPPSALA LÄN</t>
        </is>
      </c>
      <c r="G561" t="inlineStr">
        <is>
          <t>ÖSTHAMMAR</t>
        </is>
      </c>
      <c r="I561" t="n">
        <v>3.8</v>
      </c>
      <c r="J561" t="n">
        <v>0</v>
      </c>
      <c r="K561" t="n">
        <v>0</v>
      </c>
      <c r="L561" t="n">
        <v>1</v>
      </c>
      <c r="M561" t="n">
        <v>0</v>
      </c>
      <c r="N561" t="n">
        <v>0</v>
      </c>
      <c r="O561" t="n">
        <v>0</v>
      </c>
      <c r="P561" t="n">
        <v>0</v>
      </c>
      <c r="Q561" t="n">
        <v>1</v>
      </c>
      <c r="R561" t="n">
        <v>0</v>
      </c>
      <c r="S561" t="n">
        <v>1</v>
      </c>
      <c r="T561" t="n">
        <v>1</v>
      </c>
      <c r="U561" t="n">
        <v>0</v>
      </c>
      <c r="V561" s="2" t="inlineStr">
        <is>
          <t>Skogsklocka</t>
        </is>
      </c>
      <c r="W561">
        <f>HYPERLINK("https://klasma.github.io/Logging_0382/artfynd/A 7855-2026 artfynd.xlsx", "A 7855-2026")</f>
        <v/>
      </c>
      <c r="X561">
        <f>HYPERLINK("https://klasma.github.io/Logging_0382/kartor/A 7855-2026 karta.png", "A 7855-2026")</f>
        <v/>
      </c>
      <c r="Y561">
        <f>HYPERLINK("https://klasma.github.io/Logging_0382/kartor_geotiff/A 7855-2026 georefererad karta.tif", "A 7855-2026")</f>
        <v/>
      </c>
      <c r="AA561">
        <f>HYPERLINK("https://klasma.github.io/Logging_0382/klagomål/A 7855-2026 FSC-klagomål.docx", "A 7855-2026")</f>
        <v/>
      </c>
      <c r="AB561">
        <f>HYPERLINK("https://klasma.github.io/Logging_0382/klagomålsmail/A 7855-2026 FSC-klagomål mail.docx", "A 7855-2026")</f>
        <v/>
      </c>
      <c r="AC561">
        <f>HYPERLINK("https://klasma.github.io/Logging_0382/tillsyn/A 7855-2026 tillsynsbegäran.docx", "A 7855-2026")</f>
        <v/>
      </c>
      <c r="AD561">
        <f>HYPERLINK("https://klasma.github.io/Logging_0382/tillsynsmail/A 7855-2026 tillsynsbegäran mail.docx", "A 7855-2026")</f>
        <v/>
      </c>
    </row>
    <row r="562" ht="15" customHeight="1">
      <c r="A562" t="inlineStr">
        <is>
          <t>A 23961-2022</t>
        </is>
      </c>
      <c r="B562" t="inlineStr">
        <is>
          <t>avverkningsanmälan</t>
        </is>
      </c>
      <c r="C562" t="inlineStr">
        <is>
          <t>Föryngringsavverkning</t>
        </is>
      </c>
      <c r="D562" s="1" t="n">
        <v>44722</v>
      </c>
      <c r="E562" s="1" t="n">
        <v>46309</v>
      </c>
      <c r="F562" t="inlineStr">
        <is>
          <t>UPPSALA LÄN</t>
        </is>
      </c>
      <c r="G562" t="inlineStr">
        <is>
          <t>ENKÖPING</t>
        </is>
      </c>
      <c r="I562" t="n">
        <v>1.4</v>
      </c>
      <c r="J562" t="n">
        <v>1</v>
      </c>
      <c r="K562" t="n">
        <v>0</v>
      </c>
      <c r="L562" t="n">
        <v>0</v>
      </c>
      <c r="M562" t="n">
        <v>0</v>
      </c>
      <c r="N562" t="n">
        <v>0</v>
      </c>
      <c r="O562" t="n">
        <v>0</v>
      </c>
      <c r="P562" t="n">
        <v>0</v>
      </c>
      <c r="Q562" t="n">
        <v>0</v>
      </c>
      <c r="R562" t="n">
        <v>0</v>
      </c>
      <c r="S562" t="n">
        <v>1</v>
      </c>
      <c r="T562" t="n">
        <v>1</v>
      </c>
      <c r="U562" t="n">
        <v>0</v>
      </c>
      <c r="V562" s="2" t="inlineStr">
        <is>
          <t>Blåsippa</t>
        </is>
      </c>
      <c r="W562">
        <f>HYPERLINK("https://klasma.github.io/Logging_0381/artfynd/A 23961-2022 artfynd.xlsx", "A 23961-2022")</f>
        <v/>
      </c>
      <c r="X562">
        <f>HYPERLINK("https://klasma.github.io/Logging_0381/kartor/A 23961-2022 karta.png", "A 23961-2022")</f>
        <v/>
      </c>
      <c r="Y562">
        <f>HYPERLINK("https://klasma.github.io/Logging_0381/kartor_geotiff/A 23961-2022 georefererad karta.tif", "A 23961-2022")</f>
        <v/>
      </c>
      <c r="AA562">
        <f>HYPERLINK("https://klasma.github.io/Logging_0381/klagomål/A 23961-2022 FSC-klagomål.docx", "A 23961-2022")</f>
        <v/>
      </c>
      <c r="AB562">
        <f>HYPERLINK("https://klasma.github.io/Logging_0381/klagomålsmail/A 23961-2022 FSC-klagomål mail.docx", "A 23961-2022")</f>
        <v/>
      </c>
      <c r="AC562">
        <f>HYPERLINK("https://klasma.github.io/Logging_0381/tillsyn/A 23961-2022 tillsynsbegäran.docx", "A 23961-2022")</f>
        <v/>
      </c>
      <c r="AD562">
        <f>HYPERLINK("https://klasma.github.io/Logging_0381/tillsynsmail/A 23961-2022 tillsynsbegäran mail.docx", "A 23961-2022")</f>
        <v/>
      </c>
    </row>
    <row r="563" ht="15" customHeight="1">
      <c r="A563" t="inlineStr">
        <is>
          <t>A 60174-2025</t>
        </is>
      </c>
      <c r="B563" t="inlineStr">
        <is>
          <t>avverkningsanmälan</t>
        </is>
      </c>
      <c r="C563" t="inlineStr">
        <is>
          <t>Föryngringsavverkning</t>
        </is>
      </c>
      <c r="D563" s="1" t="n">
        <v>45994</v>
      </c>
      <c r="E563" s="1" t="n">
        <v>46309</v>
      </c>
      <c r="F563" t="inlineStr">
        <is>
          <t>UPPSALA LÄN</t>
        </is>
      </c>
      <c r="G563" t="inlineStr">
        <is>
          <t>ENKÖPING</t>
        </is>
      </c>
      <c r="I563" t="n">
        <v>2.8</v>
      </c>
      <c r="J563" t="n">
        <v>1</v>
      </c>
      <c r="K563" t="n">
        <v>0</v>
      </c>
      <c r="L563" t="n">
        <v>1</v>
      </c>
      <c r="M563" t="n">
        <v>0</v>
      </c>
      <c r="N563" t="n">
        <v>0</v>
      </c>
      <c r="O563" t="n">
        <v>0</v>
      </c>
      <c r="P563" t="n">
        <v>0</v>
      </c>
      <c r="Q563" t="n">
        <v>1</v>
      </c>
      <c r="R563" t="n">
        <v>0</v>
      </c>
      <c r="S563" t="n">
        <v>1</v>
      </c>
      <c r="T563" t="n">
        <v>1</v>
      </c>
      <c r="U563" t="n">
        <v>0</v>
      </c>
      <c r="V563" s="2" t="inlineStr">
        <is>
          <t>Rosenfink</t>
        </is>
      </c>
      <c r="W563">
        <f>HYPERLINK("https://klasma.github.io/Logging_0381/artfynd/A 60174-2025 artfynd.xlsx", "A 60174-2025")</f>
        <v/>
      </c>
      <c r="X563">
        <f>HYPERLINK("https://klasma.github.io/Logging_0381/kartor/A 60174-2025 karta.png", "A 60174-2025")</f>
        <v/>
      </c>
      <c r="Y563">
        <f>HYPERLINK("https://klasma.github.io/Logging_0381/kartor_geotiff/A 60174-2025 georefererad karta.tif", "A 60174-2025")</f>
        <v/>
      </c>
      <c r="AA563">
        <f>HYPERLINK("https://klasma.github.io/Logging_0381/klagomål/A 60174-2025 FSC-klagomål.docx", "A 60174-2025")</f>
        <v/>
      </c>
      <c r="AB563">
        <f>HYPERLINK("https://klasma.github.io/Logging_0381/klagomålsmail/A 60174-2025 FSC-klagomål mail.docx", "A 60174-2025")</f>
        <v/>
      </c>
      <c r="AC563">
        <f>HYPERLINK("https://klasma.github.io/Logging_0381/tillsyn/A 60174-2025 tillsynsbegäran.docx", "A 60174-2025")</f>
        <v/>
      </c>
      <c r="AD563">
        <f>HYPERLINK("https://klasma.github.io/Logging_0381/tillsynsmail/A 60174-2025 tillsynsbegäran mail.docx", "A 60174-2025")</f>
        <v/>
      </c>
      <c r="AE563">
        <f>HYPERLINK("https://klasma.github.io/Logging_0381/fåglar/A 60174-2025 prioriterade fågelarter.docx", "A 60174-2025")</f>
        <v/>
      </c>
    </row>
    <row r="564" ht="15" customHeight="1">
      <c r="A564" t="inlineStr">
        <is>
          <t>A 5009-2023</t>
        </is>
      </c>
      <c r="B564" t="inlineStr">
        <is>
          <t>avverkningsanmälan</t>
        </is>
      </c>
      <c r="C564" t="inlineStr">
        <is>
          <t>Avverkning för annat ändamål</t>
        </is>
      </c>
      <c r="D564" s="1" t="n">
        <v>44958</v>
      </c>
      <c r="E564" s="1" t="n">
        <v>46309</v>
      </c>
      <c r="F564" t="inlineStr">
        <is>
          <t>UPPSALA LÄN</t>
        </is>
      </c>
      <c r="G564" t="inlineStr">
        <is>
          <t>UPPSALA</t>
        </is>
      </c>
      <c r="I564" t="n">
        <v>4.7</v>
      </c>
      <c r="J564" t="n">
        <v>1</v>
      </c>
      <c r="K564" t="n">
        <v>0</v>
      </c>
      <c r="L564" t="n">
        <v>0</v>
      </c>
      <c r="M564" t="n">
        <v>0</v>
      </c>
      <c r="N564" t="n">
        <v>0</v>
      </c>
      <c r="O564" t="n">
        <v>0</v>
      </c>
      <c r="P564" t="n">
        <v>0</v>
      </c>
      <c r="Q564" t="n">
        <v>0</v>
      </c>
      <c r="R564" t="n">
        <v>0</v>
      </c>
      <c r="S564" t="n">
        <v>1</v>
      </c>
      <c r="T564" t="n">
        <v>2</v>
      </c>
      <c r="U564" t="n">
        <v>0</v>
      </c>
      <c r="V564" s="2" t="inlineStr">
        <is>
          <t>Blåsippa</t>
        </is>
      </c>
      <c r="W564">
        <f>HYPERLINK("https://klasma.github.io/Logging_0380/artfynd/A 5009-2023 artfynd.xlsx", "A 5009-2023")</f>
        <v/>
      </c>
      <c r="X564">
        <f>HYPERLINK("https://klasma.github.io/Logging_0380/kartor/A 5009-2023 karta.png", "A 5009-2023")</f>
        <v/>
      </c>
      <c r="Y564">
        <f>HYPERLINK("https://klasma.github.io/Logging_0380/kartor_geotiff/A 5009-2023 georefererad karta.tif", "A 5009-2023")</f>
        <v/>
      </c>
      <c r="AA564">
        <f>HYPERLINK("https://klasma.github.io/Logging_0380/klagomål/A 5009-2023 FSC-klagomål.docx", "A 5009-2023")</f>
        <v/>
      </c>
      <c r="AB564">
        <f>HYPERLINK("https://klasma.github.io/Logging_0380/klagomålsmail/A 5009-2023 FSC-klagomål mail.docx", "A 5009-2023")</f>
        <v/>
      </c>
      <c r="AC564">
        <f>HYPERLINK("https://klasma.github.io/Logging_0380/tillsyn/A 5009-2023 tillsynsbegäran.docx", "A 5009-2023")</f>
        <v/>
      </c>
      <c r="AD564">
        <f>HYPERLINK("https://klasma.github.io/Logging_0380/tillsynsmail/A 5009-2023 tillsynsbegäran mail.docx", "A 5009-2023")</f>
        <v/>
      </c>
    </row>
    <row r="565" ht="15" customHeight="1">
      <c r="A565" t="inlineStr">
        <is>
          <t>A 9069-2026</t>
        </is>
      </c>
      <c r="B565" t="inlineStr">
        <is>
          <t>avverkningsanmälan</t>
        </is>
      </c>
      <c r="C565" t="inlineStr">
        <is>
          <t>Föryngringsavverkning</t>
        </is>
      </c>
      <c r="D565" s="1" t="n">
        <v>46069</v>
      </c>
      <c r="E565" s="1" t="n">
        <v>46309</v>
      </c>
      <c r="F565" t="inlineStr">
        <is>
          <t>UPPSALA LÄN</t>
        </is>
      </c>
      <c r="G565" t="inlineStr">
        <is>
          <t>UPPSALA</t>
        </is>
      </c>
      <c r="H565" t="inlineStr">
        <is>
          <t>Holmen skog AB</t>
        </is>
      </c>
      <c r="I565" t="n">
        <v>4.9</v>
      </c>
      <c r="J565" t="n">
        <v>1</v>
      </c>
      <c r="K565" t="n">
        <v>0</v>
      </c>
      <c r="L565" t="n">
        <v>0</v>
      </c>
      <c r="M565" t="n">
        <v>0</v>
      </c>
      <c r="N565" t="n">
        <v>0</v>
      </c>
      <c r="O565" t="n">
        <v>0</v>
      </c>
      <c r="P565" t="n">
        <v>0</v>
      </c>
      <c r="Q565" t="n">
        <v>0</v>
      </c>
      <c r="R565" t="n">
        <v>0</v>
      </c>
      <c r="S565" t="n">
        <v>1</v>
      </c>
      <c r="T565" t="n">
        <v>1</v>
      </c>
      <c r="U565" t="n">
        <v>0</v>
      </c>
      <c r="V565" s="2" t="inlineStr">
        <is>
          <t>Gröngöling</t>
        </is>
      </c>
      <c r="W565">
        <f>HYPERLINK("https://klasma.github.io/Logging_0380/artfynd/A 9069-2026 artfynd.xlsx", "A 9069-2026")</f>
        <v/>
      </c>
      <c r="X565">
        <f>HYPERLINK("https://klasma.github.io/Logging_0380/kartor/A 9069-2026 karta.png", "A 9069-2026")</f>
        <v/>
      </c>
      <c r="Y565">
        <f>HYPERLINK("https://klasma.github.io/Logging_0380/kartor_geotiff/A 9069-2026 georefererad karta.tif", "A 9069-2026")</f>
        <v/>
      </c>
      <c r="AA565">
        <f>HYPERLINK("https://klasma.github.io/Logging_0380/klagomål/A 9069-2026 FSC-klagomål.docx", "A 9069-2026")</f>
        <v/>
      </c>
      <c r="AB565">
        <f>HYPERLINK("https://klasma.github.io/Logging_0380/klagomålsmail/A 9069-2026 FSC-klagomål mail.docx", "A 9069-2026")</f>
        <v/>
      </c>
      <c r="AC565">
        <f>HYPERLINK("https://klasma.github.io/Logging_0380/tillsyn/A 9069-2026 tillsynsbegäran.docx", "A 9069-2026")</f>
        <v/>
      </c>
      <c r="AD565">
        <f>HYPERLINK("https://klasma.github.io/Logging_0380/tillsynsmail/A 9069-2026 tillsynsbegäran mail.docx", "A 9069-2026")</f>
        <v/>
      </c>
    </row>
    <row r="566" ht="15" customHeight="1">
      <c r="A566" t="inlineStr">
        <is>
          <t>A 28900-2024</t>
        </is>
      </c>
      <c r="B566" t="inlineStr">
        <is>
          <t>avverkningsanmälan</t>
        </is>
      </c>
      <c r="C566" t="inlineStr">
        <is>
          <t>Föryngringsavverkning</t>
        </is>
      </c>
      <c r="D566" s="1" t="n">
        <v>45480</v>
      </c>
      <c r="E566" s="1" t="n">
        <v>46309</v>
      </c>
      <c r="F566" t="inlineStr">
        <is>
          <t>UPPSALA LÄN</t>
        </is>
      </c>
      <c r="G566" t="inlineStr">
        <is>
          <t>ENKÖPING</t>
        </is>
      </c>
      <c r="I566" t="n">
        <v>8.6</v>
      </c>
      <c r="J566" t="n">
        <v>1</v>
      </c>
      <c r="K566" t="n">
        <v>0</v>
      </c>
      <c r="L566" t="n">
        <v>0</v>
      </c>
      <c r="M566" t="n">
        <v>0</v>
      </c>
      <c r="N566" t="n">
        <v>0</v>
      </c>
      <c r="O566" t="n">
        <v>0</v>
      </c>
      <c r="P566" t="n">
        <v>0</v>
      </c>
      <c r="Q566" t="n">
        <v>0</v>
      </c>
      <c r="R566" t="n">
        <v>0</v>
      </c>
      <c r="S566" t="n">
        <v>1</v>
      </c>
      <c r="T566" t="n">
        <v>1</v>
      </c>
      <c r="U566" t="n">
        <v>1</v>
      </c>
      <c r="V566" s="2" t="inlineStr">
        <is>
          <t>Blåsippa</t>
        </is>
      </c>
      <c r="W566">
        <f>HYPERLINK("https://klasma.github.io/Logging_0381/artfynd/A 28900-2024 artfynd.xlsx", "A 28900-2024")</f>
        <v/>
      </c>
      <c r="X566">
        <f>HYPERLINK("https://klasma.github.io/Logging_0381/kartor/A 28900-2024 karta.png", "A 28900-2024")</f>
        <v/>
      </c>
      <c r="Y566">
        <f>HYPERLINK("https://klasma.github.io/Logging_0381/kartor_geotiff/A 28900-2024 georefererad karta.tif", "A 28900-2024")</f>
        <v/>
      </c>
      <c r="AA566">
        <f>HYPERLINK("https://klasma.github.io/Logging_0381/klagomål/A 28900-2024 FSC-klagomål.docx", "A 28900-2024")</f>
        <v/>
      </c>
      <c r="AB566">
        <f>HYPERLINK("https://klasma.github.io/Logging_0381/klagomålsmail/A 28900-2024 FSC-klagomål mail.docx", "A 28900-2024")</f>
        <v/>
      </c>
      <c r="AC566">
        <f>HYPERLINK("https://klasma.github.io/Logging_0381/tillsyn/A 28900-2024 tillsynsbegäran.docx", "A 28900-2024")</f>
        <v/>
      </c>
      <c r="AD566">
        <f>HYPERLINK("https://klasma.github.io/Logging_0381/tillsynsmail/A 28900-2024 tillsynsbegäran mail.docx", "A 28900-2024")</f>
        <v/>
      </c>
    </row>
    <row r="567" ht="15" customHeight="1">
      <c r="A567" t="inlineStr">
        <is>
          <t>A 9358-2026</t>
        </is>
      </c>
      <c r="B567" t="inlineStr">
        <is>
          <t>avverkningsanmälan</t>
        </is>
      </c>
      <c r="C567" t="inlineStr">
        <is>
          <t>Föryngringsavverkning</t>
        </is>
      </c>
      <c r="D567" s="1" t="n">
        <v>46070</v>
      </c>
      <c r="E567" s="1" t="n">
        <v>46309</v>
      </c>
      <c r="F567" t="inlineStr">
        <is>
          <t>UPPSALA LÄN</t>
        </is>
      </c>
      <c r="G567" t="inlineStr">
        <is>
          <t>HEBY</t>
        </is>
      </c>
      <c r="I567" t="n">
        <v>1.2</v>
      </c>
      <c r="J567" t="n">
        <v>1</v>
      </c>
      <c r="K567" t="n">
        <v>0</v>
      </c>
      <c r="L567" t="n">
        <v>0</v>
      </c>
      <c r="M567" t="n">
        <v>0</v>
      </c>
      <c r="N567" t="n">
        <v>0</v>
      </c>
      <c r="O567" t="n">
        <v>0</v>
      </c>
      <c r="P567" t="n">
        <v>0</v>
      </c>
      <c r="Q567" t="n">
        <v>0</v>
      </c>
      <c r="R567" t="n">
        <v>0</v>
      </c>
      <c r="S567" t="n">
        <v>1</v>
      </c>
      <c r="T567" t="n">
        <v>1</v>
      </c>
      <c r="U567" t="n">
        <v>0</v>
      </c>
      <c r="V567" s="2" t="inlineStr">
        <is>
          <t>Mindre vattensalamander</t>
        </is>
      </c>
      <c r="W567">
        <f>HYPERLINK("https://klasma.github.io/Logging_0331/artfynd/A 9358-2026 artfynd.xlsx", "A 9358-2026")</f>
        <v/>
      </c>
      <c r="X567">
        <f>HYPERLINK("https://klasma.github.io/Logging_0331/kartor/A 9358-2026 karta.png", "A 9358-2026")</f>
        <v/>
      </c>
      <c r="Y567">
        <f>HYPERLINK("https://klasma.github.io/Logging_0331/kartor_geotiff/A 9358-2026 georefererad karta.tif", "A 9358-2026")</f>
        <v/>
      </c>
      <c r="AA567">
        <f>HYPERLINK("https://klasma.github.io/Logging_0331/klagomål/A 9358-2026 FSC-klagomål.docx", "A 9358-2026")</f>
        <v/>
      </c>
      <c r="AB567">
        <f>HYPERLINK("https://klasma.github.io/Logging_0331/klagomålsmail/A 9358-2026 FSC-klagomål mail.docx", "A 9358-2026")</f>
        <v/>
      </c>
      <c r="AC567">
        <f>HYPERLINK("https://klasma.github.io/Logging_0331/tillsyn/A 9358-2026 tillsynsbegäran.docx", "A 9358-2026")</f>
        <v/>
      </c>
      <c r="AD567">
        <f>HYPERLINK("https://klasma.github.io/Logging_0331/tillsynsmail/A 9358-2026 tillsynsbegäran mail.docx", "A 9358-2026")</f>
        <v/>
      </c>
    </row>
    <row r="568" ht="15" customHeight="1">
      <c r="A568" t="inlineStr">
        <is>
          <t>A 9561-2026</t>
        </is>
      </c>
      <c r="B568" t="inlineStr">
        <is>
          <t>avverkningsanmälan</t>
        </is>
      </c>
      <c r="C568" t="inlineStr">
        <is>
          <t>Föryngringsavverkning</t>
        </is>
      </c>
      <c r="D568" s="1" t="n">
        <v>46071</v>
      </c>
      <c r="E568" s="1" t="n">
        <v>46309</v>
      </c>
      <c r="F568" t="inlineStr">
        <is>
          <t>UPPSALA LÄN</t>
        </is>
      </c>
      <c r="G568" t="inlineStr">
        <is>
          <t>KNIVSTA</t>
        </is>
      </c>
      <c r="H568" t="inlineStr">
        <is>
          <t>Övriga statliga verk och myndigheter</t>
        </is>
      </c>
      <c r="I568" t="n">
        <v>2.6</v>
      </c>
      <c r="J568" t="n">
        <v>0</v>
      </c>
      <c r="K568" t="n">
        <v>0</v>
      </c>
      <c r="L568" t="n">
        <v>1</v>
      </c>
      <c r="M568" t="n">
        <v>0</v>
      </c>
      <c r="N568" t="n">
        <v>0</v>
      </c>
      <c r="O568" t="n">
        <v>0</v>
      </c>
      <c r="P568" t="n">
        <v>0</v>
      </c>
      <c r="Q568" t="n">
        <v>1</v>
      </c>
      <c r="R568" t="n">
        <v>0</v>
      </c>
      <c r="S568" t="n">
        <v>1</v>
      </c>
      <c r="T568" t="n">
        <v>1</v>
      </c>
      <c r="U568" t="n">
        <v>0</v>
      </c>
      <c r="V568" s="2" t="inlineStr">
        <is>
          <t>Svartöra</t>
        </is>
      </c>
      <c r="W568">
        <f>HYPERLINK("https://klasma.github.io/Logging_0330/artfynd/A 9561-2026 artfynd.xlsx", "A 9561-2026")</f>
        <v/>
      </c>
      <c r="X568">
        <f>HYPERLINK("https://klasma.github.io/Logging_0330/kartor/A 9561-2026 karta.png", "A 9561-2026")</f>
        <v/>
      </c>
      <c r="Y568">
        <f>HYPERLINK("https://klasma.github.io/Logging_0330/kartor_geotiff/A 9561-2026 georefererad karta.tif", "A 9561-2026")</f>
        <v/>
      </c>
      <c r="AA568">
        <f>HYPERLINK("https://klasma.github.io/Logging_0330/klagomål/A 9561-2026 FSC-klagomål.docx", "A 9561-2026")</f>
        <v/>
      </c>
      <c r="AB568">
        <f>HYPERLINK("https://klasma.github.io/Logging_0330/klagomålsmail/A 9561-2026 FSC-klagomål mail.docx", "A 9561-2026")</f>
        <v/>
      </c>
      <c r="AC568">
        <f>HYPERLINK("https://klasma.github.io/Logging_0330/tillsyn/A 9561-2026 tillsynsbegäran.docx", "A 9561-2026")</f>
        <v/>
      </c>
      <c r="AD568">
        <f>HYPERLINK("https://klasma.github.io/Logging_0330/tillsynsmail/A 9561-2026 tillsynsbegäran mail.docx", "A 9561-2026")</f>
        <v/>
      </c>
    </row>
    <row r="569" ht="15" customHeight="1">
      <c r="A569" t="inlineStr">
        <is>
          <t>A 2549-2025</t>
        </is>
      </c>
      <c r="B569" t="inlineStr">
        <is>
          <t>avverkningsanmälan</t>
        </is>
      </c>
      <c r="C569" t="inlineStr">
        <is>
          <t>Föryngringsavverkning</t>
        </is>
      </c>
      <c r="D569" s="1" t="n">
        <v>45674</v>
      </c>
      <c r="E569" s="1" t="n">
        <v>46309</v>
      </c>
      <c r="F569" t="inlineStr">
        <is>
          <t>UPPSALA LÄN</t>
        </is>
      </c>
      <c r="G569" t="inlineStr">
        <is>
          <t>TIERP</t>
        </is>
      </c>
      <c r="I569" t="n">
        <v>4</v>
      </c>
      <c r="J569" t="n">
        <v>0</v>
      </c>
      <c r="K569" t="n">
        <v>1</v>
      </c>
      <c r="L569" t="n">
        <v>0</v>
      </c>
      <c r="M569" t="n">
        <v>0</v>
      </c>
      <c r="N569" t="n">
        <v>0</v>
      </c>
      <c r="O569" t="n">
        <v>0</v>
      </c>
      <c r="P569" t="n">
        <v>0</v>
      </c>
      <c r="Q569" t="n">
        <v>0</v>
      </c>
      <c r="R569" t="n">
        <v>0</v>
      </c>
      <c r="S569" t="n">
        <v>1</v>
      </c>
      <c r="T569" t="n">
        <v>1</v>
      </c>
      <c r="U569" t="n">
        <v>0</v>
      </c>
      <c r="V569" s="2" t="inlineStr">
        <is>
          <t>Brun nållav</t>
        </is>
      </c>
      <c r="W569">
        <f>HYPERLINK("https://klasma.github.io/Logging_0360/artfynd/A 2549-2025 artfynd.xlsx", "A 2549-2025")</f>
        <v/>
      </c>
      <c r="X569">
        <f>HYPERLINK("https://klasma.github.io/Logging_0360/kartor/A 2549-2025 karta.png", "A 2549-2025")</f>
        <v/>
      </c>
      <c r="Y569">
        <f>HYPERLINK("https://klasma.github.io/Logging_0360/kartor_geotiff/A 2549-2025 georefererad karta.tif", "A 2549-2025")</f>
        <v/>
      </c>
      <c r="AA569">
        <f>HYPERLINK("https://klasma.github.io/Logging_0360/klagomål/A 2549-2025 FSC-klagomål.docx", "A 2549-2025")</f>
        <v/>
      </c>
      <c r="AB569">
        <f>HYPERLINK("https://klasma.github.io/Logging_0360/klagomålsmail/A 2549-2025 FSC-klagomål mail.docx", "A 2549-2025")</f>
        <v/>
      </c>
      <c r="AC569">
        <f>HYPERLINK("https://klasma.github.io/Logging_0360/tillsyn/A 2549-2025 tillsynsbegäran.docx", "A 2549-2025")</f>
        <v/>
      </c>
      <c r="AD569">
        <f>HYPERLINK("https://klasma.github.io/Logging_0360/tillsynsmail/A 2549-2025 tillsynsbegäran mail.docx", "A 2549-2025")</f>
        <v/>
      </c>
    </row>
    <row r="570" ht="15" customHeight="1">
      <c r="A570" t="inlineStr">
        <is>
          <t>A 9455-2026</t>
        </is>
      </c>
      <c r="B570" t="inlineStr">
        <is>
          <t>avverkningsanmälan</t>
        </is>
      </c>
      <c r="C570" t="inlineStr">
        <is>
          <t>Föryngringsavverkning</t>
        </is>
      </c>
      <c r="D570" s="1" t="n">
        <v>46071</v>
      </c>
      <c r="E570" s="1" t="n">
        <v>46309</v>
      </c>
      <c r="F570" t="inlineStr">
        <is>
          <t>UPPSALA LÄN</t>
        </is>
      </c>
      <c r="G570" t="inlineStr">
        <is>
          <t>HEBY</t>
        </is>
      </c>
      <c r="I570" t="n">
        <v>0.9</v>
      </c>
      <c r="J570" t="n">
        <v>0</v>
      </c>
      <c r="K570" t="n">
        <v>0</v>
      </c>
      <c r="L570" t="n">
        <v>1</v>
      </c>
      <c r="M570" t="n">
        <v>0</v>
      </c>
      <c r="N570" t="n">
        <v>0</v>
      </c>
      <c r="O570" t="n">
        <v>0</v>
      </c>
      <c r="P570" t="n">
        <v>0</v>
      </c>
      <c r="Q570" t="n">
        <v>1</v>
      </c>
      <c r="R570" t="n">
        <v>0</v>
      </c>
      <c r="S570" t="n">
        <v>1</v>
      </c>
      <c r="T570" t="n">
        <v>1</v>
      </c>
      <c r="U570" t="n">
        <v>0</v>
      </c>
      <c r="V570" s="2" t="inlineStr">
        <is>
          <t>Kungsspindling</t>
        </is>
      </c>
      <c r="W570">
        <f>HYPERLINK("https://klasma.github.io/Logging_0331/artfynd/A 9455-2026 artfynd.xlsx", "A 9455-2026")</f>
        <v/>
      </c>
      <c r="X570">
        <f>HYPERLINK("https://klasma.github.io/Logging_0331/kartor/A 9455-2026 karta.png", "A 9455-2026")</f>
        <v/>
      </c>
      <c r="Y570">
        <f>HYPERLINK("https://klasma.github.io/Logging_0331/kartor_geotiff/A 9455-2026 georefererad karta.tif", "A 9455-2026")</f>
        <v/>
      </c>
      <c r="AA570">
        <f>HYPERLINK("https://klasma.github.io/Logging_0331/klagomål/A 9455-2026 FSC-klagomål.docx", "A 9455-2026")</f>
        <v/>
      </c>
      <c r="AB570">
        <f>HYPERLINK("https://klasma.github.io/Logging_0331/klagomålsmail/A 9455-2026 FSC-klagomål mail.docx", "A 9455-2026")</f>
        <v/>
      </c>
      <c r="AC570">
        <f>HYPERLINK("https://klasma.github.io/Logging_0331/tillsyn/A 9455-2026 tillsynsbegäran.docx", "A 9455-2026")</f>
        <v/>
      </c>
      <c r="AD570">
        <f>HYPERLINK("https://klasma.github.io/Logging_0331/tillsynsmail/A 9455-2026 tillsynsbegäran mail.docx", "A 9455-2026")</f>
        <v/>
      </c>
    </row>
    <row r="571" ht="15" customHeight="1">
      <c r="A571" t="inlineStr">
        <is>
          <t>A 22209-2022</t>
        </is>
      </c>
      <c r="B571" t="inlineStr">
        <is>
          <t>avverkningsanmälan</t>
        </is>
      </c>
      <c r="C571" t="inlineStr">
        <is>
          <t>Föryngringsavverkning</t>
        </is>
      </c>
      <c r="D571" s="1" t="n">
        <v>44712</v>
      </c>
      <c r="E571" s="1" t="n">
        <v>46309</v>
      </c>
      <c r="F571" t="inlineStr">
        <is>
          <t>UPPSALA LÄN</t>
        </is>
      </c>
      <c r="G571" t="inlineStr">
        <is>
          <t>ÖSTHAMMAR</t>
        </is>
      </c>
      <c r="H571" t="inlineStr">
        <is>
          <t>Bergvik skog öst AB</t>
        </is>
      </c>
      <c r="I571" t="n">
        <v>1.5</v>
      </c>
      <c r="J571" t="n">
        <v>1</v>
      </c>
      <c r="K571" t="n">
        <v>0</v>
      </c>
      <c r="L571" t="n">
        <v>0</v>
      </c>
      <c r="M571" t="n">
        <v>0</v>
      </c>
      <c r="N571" t="n">
        <v>0</v>
      </c>
      <c r="O571" t="n">
        <v>0</v>
      </c>
      <c r="P571" t="n">
        <v>0</v>
      </c>
      <c r="Q571" t="n">
        <v>0</v>
      </c>
      <c r="R571" t="n">
        <v>0</v>
      </c>
      <c r="S571" t="n">
        <v>1</v>
      </c>
      <c r="T571" t="n">
        <v>1</v>
      </c>
      <c r="U571" t="n">
        <v>0</v>
      </c>
      <c r="V571" s="2" t="inlineStr">
        <is>
          <t>Blåsippa</t>
        </is>
      </c>
      <c r="W571">
        <f>HYPERLINK("https://klasma.github.io/Logging_0382/artfynd/A 22209-2022 artfynd.xlsx", "A 22209-2022")</f>
        <v/>
      </c>
      <c r="X571">
        <f>HYPERLINK("https://klasma.github.io/Logging_0382/kartor/A 22209-2022 karta.png", "A 22209-2022")</f>
        <v/>
      </c>
      <c r="Y571">
        <f>HYPERLINK("https://klasma.github.io/Logging_0382/kartor_geotiff/A 22209-2022 georefererad karta.tif", "A 22209-2022")</f>
        <v/>
      </c>
      <c r="AA571">
        <f>HYPERLINK("https://klasma.github.io/Logging_0382/klagomål/A 22209-2022 FSC-klagomål.docx", "A 22209-2022")</f>
        <v/>
      </c>
      <c r="AB571">
        <f>HYPERLINK("https://klasma.github.io/Logging_0382/klagomålsmail/A 22209-2022 FSC-klagomål mail.docx", "A 22209-2022")</f>
        <v/>
      </c>
      <c r="AC571">
        <f>HYPERLINK("https://klasma.github.io/Logging_0382/tillsyn/A 22209-2022 tillsynsbegäran.docx", "A 22209-2022")</f>
        <v/>
      </c>
      <c r="AD571">
        <f>HYPERLINK("https://klasma.github.io/Logging_0382/tillsynsmail/A 22209-2022 tillsynsbegäran mail.docx", "A 22209-2022")</f>
        <v/>
      </c>
    </row>
    <row r="572" ht="15" customHeight="1">
      <c r="A572" t="inlineStr">
        <is>
          <t>A 62772-2025</t>
        </is>
      </c>
      <c r="B572" t="inlineStr">
        <is>
          <t>avverkningsanmälan</t>
        </is>
      </c>
      <c r="C572" t="inlineStr">
        <is>
          <t>Föryngringsavverkning</t>
        </is>
      </c>
      <c r="D572" s="1" t="n">
        <v>46008</v>
      </c>
      <c r="E572" s="1" t="n">
        <v>46309</v>
      </c>
      <c r="F572" t="inlineStr">
        <is>
          <t>UPPSALA LÄN</t>
        </is>
      </c>
      <c r="G572" t="inlineStr">
        <is>
          <t>ENKÖPING</t>
        </is>
      </c>
      <c r="I572" t="n">
        <v>1.1</v>
      </c>
      <c r="J572" t="n">
        <v>0</v>
      </c>
      <c r="K572" t="n">
        <v>0</v>
      </c>
      <c r="L572" t="n">
        <v>0</v>
      </c>
      <c r="M572" t="n">
        <v>1</v>
      </c>
      <c r="N572" t="n">
        <v>0</v>
      </c>
      <c r="O572" t="n">
        <v>0</v>
      </c>
      <c r="P572" t="n">
        <v>0</v>
      </c>
      <c r="Q572" t="n">
        <v>1</v>
      </c>
      <c r="R572" t="n">
        <v>1</v>
      </c>
      <c r="S572" t="n">
        <v>1</v>
      </c>
      <c r="T572" t="n">
        <v>1</v>
      </c>
      <c r="U572" t="n">
        <v>0</v>
      </c>
      <c r="V572" s="2" t="inlineStr">
        <is>
          <t>Igelkott</t>
        </is>
      </c>
      <c r="W572">
        <f>HYPERLINK("https://klasma.github.io/Logging_0381/artfynd/A 62772-2025 artfynd.xlsx", "A 62772-2025")</f>
        <v/>
      </c>
      <c r="X572">
        <f>HYPERLINK("https://klasma.github.io/Logging_0381/kartor/A 62772-2025 karta.png", "A 62772-2025")</f>
        <v/>
      </c>
      <c r="Y572">
        <f>HYPERLINK("https://klasma.github.io/Logging_0381/kartor_geotiff/A 62772-2025 georefererad karta.tif", "A 62772-2025")</f>
        <v/>
      </c>
      <c r="AA572">
        <f>HYPERLINK("https://klasma.github.io/Logging_0381/klagomål/A 62772-2025 FSC-klagomål.docx", "A 62772-2025")</f>
        <v/>
      </c>
      <c r="AB572">
        <f>HYPERLINK("https://klasma.github.io/Logging_0381/klagomålsmail/A 62772-2025 FSC-klagomål mail.docx", "A 62772-2025")</f>
        <v/>
      </c>
      <c r="AC572">
        <f>HYPERLINK("https://klasma.github.io/Logging_0381/tillsyn/A 62772-2025 tillsynsbegäran.docx", "A 62772-2025")</f>
        <v/>
      </c>
      <c r="AD572">
        <f>HYPERLINK("https://klasma.github.io/Logging_0381/tillsynsmail/A 62772-2025 tillsynsbegäran mail.docx", "A 62772-2025")</f>
        <v/>
      </c>
    </row>
    <row r="573" ht="15" customHeight="1">
      <c r="A573" t="inlineStr">
        <is>
          <t>A 63004-2025</t>
        </is>
      </c>
      <c r="B573" t="inlineStr">
        <is>
          <t>avverkningsanmälan</t>
        </is>
      </c>
      <c r="C573" t="inlineStr">
        <is>
          <t>Föryngringsavverkning</t>
        </is>
      </c>
      <c r="D573" s="1" t="n">
        <v>46009</v>
      </c>
      <c r="E573" s="1" t="n">
        <v>46309</v>
      </c>
      <c r="F573" t="inlineStr">
        <is>
          <t>UPPSALA LÄN</t>
        </is>
      </c>
      <c r="G573" t="inlineStr">
        <is>
          <t>ÄLVKARLEBY</t>
        </is>
      </c>
      <c r="H573" t="inlineStr">
        <is>
          <t>Bergvik skog väst AB</t>
        </is>
      </c>
      <c r="I573" t="n">
        <v>2.2</v>
      </c>
      <c r="J573" t="n">
        <v>1</v>
      </c>
      <c r="K573" t="n">
        <v>1</v>
      </c>
      <c r="L573" t="n">
        <v>0</v>
      </c>
      <c r="M573" t="n">
        <v>0</v>
      </c>
      <c r="N573" t="n">
        <v>0</v>
      </c>
      <c r="O573" t="n">
        <v>0</v>
      </c>
      <c r="P573" t="n">
        <v>0</v>
      </c>
      <c r="Q573" t="n">
        <v>0</v>
      </c>
      <c r="R573" t="n">
        <v>0</v>
      </c>
      <c r="S573" t="n">
        <v>1</v>
      </c>
      <c r="T573" t="n">
        <v>4</v>
      </c>
      <c r="U573" t="n">
        <v>0</v>
      </c>
      <c r="V573" s="2" t="inlineStr">
        <is>
          <t>Skogsknipprot</t>
        </is>
      </c>
      <c r="W573">
        <f>HYPERLINK("https://klasma.github.io/Logging_0319/artfynd/A 63004-2025 artfynd.xlsx", "A 63004-2025")</f>
        <v/>
      </c>
      <c r="X573">
        <f>HYPERLINK("https://klasma.github.io/Logging_0319/kartor/A 63004-2025 karta.png", "A 63004-2025")</f>
        <v/>
      </c>
      <c r="Y573">
        <f>HYPERLINK("https://klasma.github.io/Logging_0319/kartor_geotiff/A 63004-2025 georefererad karta.tif", "A 63004-2025")</f>
        <v/>
      </c>
      <c r="AA573">
        <f>HYPERLINK("https://klasma.github.io/Logging_0319/klagomål/A 63004-2025 FSC-klagomål.docx", "A 63004-2025")</f>
        <v/>
      </c>
      <c r="AB573">
        <f>HYPERLINK("https://klasma.github.io/Logging_0319/klagomålsmail/A 63004-2025 FSC-klagomål mail.docx", "A 63004-2025")</f>
        <v/>
      </c>
      <c r="AC573">
        <f>HYPERLINK("https://klasma.github.io/Logging_0319/tillsyn/A 63004-2025 tillsynsbegäran.docx", "A 63004-2025")</f>
        <v/>
      </c>
      <c r="AD573">
        <f>HYPERLINK("https://klasma.github.io/Logging_0319/tillsynsmail/A 63004-2025 tillsynsbegäran mail.docx", "A 63004-2025")</f>
        <v/>
      </c>
    </row>
    <row r="574" ht="15" customHeight="1">
      <c r="A574" t="inlineStr">
        <is>
          <t>A 60954-2024</t>
        </is>
      </c>
      <c r="B574" t="inlineStr">
        <is>
          <t>avverkningsanmälan</t>
        </is>
      </c>
      <c r="C574" t="inlineStr">
        <is>
          <t>Föryngringsavverkning</t>
        </is>
      </c>
      <c r="D574" s="1" t="n">
        <v>45645</v>
      </c>
      <c r="E574" s="1" t="n">
        <v>46309</v>
      </c>
      <c r="F574" t="inlineStr">
        <is>
          <t>UPPSALA LÄN</t>
        </is>
      </c>
      <c r="G574" t="inlineStr">
        <is>
          <t>UPPSALA</t>
        </is>
      </c>
      <c r="H574" t="inlineStr">
        <is>
          <t>Kommuner</t>
        </is>
      </c>
      <c r="I574" t="n">
        <v>1</v>
      </c>
      <c r="J574" t="n">
        <v>0</v>
      </c>
      <c r="K574" t="n">
        <v>0</v>
      </c>
      <c r="L574" t="n">
        <v>0</v>
      </c>
      <c r="M574" t="n">
        <v>1</v>
      </c>
      <c r="N574" t="n">
        <v>0</v>
      </c>
      <c r="O574" t="n">
        <v>0</v>
      </c>
      <c r="P574" t="n">
        <v>0</v>
      </c>
      <c r="Q574" t="n">
        <v>1</v>
      </c>
      <c r="R574" t="n">
        <v>1</v>
      </c>
      <c r="S574" t="n">
        <v>1</v>
      </c>
      <c r="T574" t="n">
        <v>1</v>
      </c>
      <c r="U574" t="n">
        <v>0</v>
      </c>
      <c r="V574" s="2" t="inlineStr">
        <is>
          <t>Aspsplintbock</t>
        </is>
      </c>
      <c r="W574">
        <f>HYPERLINK("https://klasma.github.io/Logging_0380/artfynd/A 60954-2024 artfynd.xlsx", "A 60954-2024")</f>
        <v/>
      </c>
      <c r="X574">
        <f>HYPERLINK("https://klasma.github.io/Logging_0380/kartor/A 60954-2024 karta.png", "A 60954-2024")</f>
        <v/>
      </c>
      <c r="Y574">
        <f>HYPERLINK("https://klasma.github.io/Logging_0380/kartor_geotiff/A 60954-2024 georefererad karta.tif", "A 60954-2024")</f>
        <v/>
      </c>
      <c r="AA574">
        <f>HYPERLINK("https://klasma.github.io/Logging_0380/klagomål/A 60954-2024 FSC-klagomål.docx", "A 60954-2024")</f>
        <v/>
      </c>
      <c r="AB574">
        <f>HYPERLINK("https://klasma.github.io/Logging_0380/klagomålsmail/A 60954-2024 FSC-klagomål mail.docx", "A 60954-2024")</f>
        <v/>
      </c>
      <c r="AC574">
        <f>HYPERLINK("https://klasma.github.io/Logging_0380/tillsyn/A 60954-2024 tillsynsbegäran.docx", "A 60954-2024")</f>
        <v/>
      </c>
      <c r="AD574">
        <f>HYPERLINK("https://klasma.github.io/Logging_0380/tillsynsmail/A 60954-2024 tillsynsbegäran mail.docx", "A 60954-2024")</f>
        <v/>
      </c>
    </row>
    <row r="575" ht="15" customHeight="1">
      <c r="A575" t="inlineStr">
        <is>
          <t>A 63261-2025</t>
        </is>
      </c>
      <c r="B575" t="inlineStr">
        <is>
          <t>avverkningsanmälan</t>
        </is>
      </c>
      <c r="C575" t="inlineStr">
        <is>
          <t>Föryngringsavverkning</t>
        </is>
      </c>
      <c r="D575" s="1" t="n">
        <v>46010</v>
      </c>
      <c r="E575" s="1" t="n">
        <v>46309</v>
      </c>
      <c r="F575" t="inlineStr">
        <is>
          <t>UPPSALA LÄN</t>
        </is>
      </c>
      <c r="G575" t="inlineStr">
        <is>
          <t>TIERP</t>
        </is>
      </c>
      <c r="H575" t="inlineStr">
        <is>
          <t>Bergvik skog öst AB</t>
        </is>
      </c>
      <c r="I575" t="n">
        <v>16.6</v>
      </c>
      <c r="J575" t="n">
        <v>0</v>
      </c>
      <c r="K575" t="n">
        <v>0</v>
      </c>
      <c r="L575" t="n">
        <v>0</v>
      </c>
      <c r="M575" t="n">
        <v>1</v>
      </c>
      <c r="N575" t="n">
        <v>0</v>
      </c>
      <c r="O575" t="n">
        <v>0</v>
      </c>
      <c r="P575" t="n">
        <v>0</v>
      </c>
      <c r="Q575" t="n">
        <v>1</v>
      </c>
      <c r="R575" t="n">
        <v>1</v>
      </c>
      <c r="S575" t="n">
        <v>1</v>
      </c>
      <c r="T575" t="n">
        <v>1</v>
      </c>
      <c r="U575" t="n">
        <v>0</v>
      </c>
      <c r="V575" s="2" t="inlineStr">
        <is>
          <t>Brunfläckig pärlemorfjäril</t>
        </is>
      </c>
      <c r="W575">
        <f>HYPERLINK("https://klasma.github.io/Logging_0360/artfynd/A 63261-2025 artfynd.xlsx", "A 63261-2025")</f>
        <v/>
      </c>
      <c r="X575">
        <f>HYPERLINK("https://klasma.github.io/Logging_0360/kartor/A 63261-2025 karta.png", "A 63261-2025")</f>
        <v/>
      </c>
      <c r="Y575">
        <f>HYPERLINK("https://klasma.github.io/Logging_0360/kartor_geotiff/A 63261-2025 georefererad karta.tif", "A 63261-2025")</f>
        <v/>
      </c>
      <c r="AA575">
        <f>HYPERLINK("https://klasma.github.io/Logging_0360/klagomål/A 63261-2025 FSC-klagomål.docx", "A 63261-2025")</f>
        <v/>
      </c>
      <c r="AB575">
        <f>HYPERLINK("https://klasma.github.io/Logging_0360/klagomålsmail/A 63261-2025 FSC-klagomål mail.docx", "A 63261-2025")</f>
        <v/>
      </c>
      <c r="AC575">
        <f>HYPERLINK("https://klasma.github.io/Logging_0360/tillsyn/A 63261-2025 tillsynsbegäran.docx", "A 63261-2025")</f>
        <v/>
      </c>
      <c r="AD575">
        <f>HYPERLINK("https://klasma.github.io/Logging_0360/tillsynsmail/A 63261-2025 tillsynsbegäran mail.docx", "A 63261-2025")</f>
        <v/>
      </c>
    </row>
    <row r="576" ht="15" customHeight="1">
      <c r="A576" t="inlineStr">
        <is>
          <t>A 5402-2023</t>
        </is>
      </c>
      <c r="B576" t="inlineStr">
        <is>
          <t>avverkningsanmälan</t>
        </is>
      </c>
      <c r="C576" t="inlineStr">
        <is>
          <t>Föryngringsavverkning</t>
        </is>
      </c>
      <c r="D576" s="1" t="n">
        <v>44959</v>
      </c>
      <c r="E576" s="1" t="n">
        <v>46309</v>
      </c>
      <c r="F576" t="inlineStr">
        <is>
          <t>UPPSALA LÄN</t>
        </is>
      </c>
      <c r="G576" t="inlineStr">
        <is>
          <t>KNIVSTA</t>
        </is>
      </c>
      <c r="I576" t="n">
        <v>4.3</v>
      </c>
      <c r="J576" t="n">
        <v>0</v>
      </c>
      <c r="K576" t="n">
        <v>0</v>
      </c>
      <c r="L576" t="n">
        <v>0</v>
      </c>
      <c r="M576" t="n">
        <v>1</v>
      </c>
      <c r="N576" t="n">
        <v>0</v>
      </c>
      <c r="O576" t="n">
        <v>0</v>
      </c>
      <c r="P576" t="n">
        <v>0</v>
      </c>
      <c r="Q576" t="n">
        <v>1</v>
      </c>
      <c r="R576" t="n">
        <v>1</v>
      </c>
      <c r="S576" t="n">
        <v>1</v>
      </c>
      <c r="T576" t="n">
        <v>1</v>
      </c>
      <c r="U576" t="n">
        <v>0</v>
      </c>
      <c r="V576" s="2" t="inlineStr">
        <is>
          <t>Askfingersvamp</t>
        </is>
      </c>
      <c r="W576">
        <f>HYPERLINK("https://klasma.github.io/Logging_0330/artfynd/A 5402-2023 artfynd.xlsx", "A 5402-2023")</f>
        <v/>
      </c>
      <c r="X576">
        <f>HYPERLINK("https://klasma.github.io/Logging_0330/kartor/A 5402-2023 karta.png", "A 5402-2023")</f>
        <v/>
      </c>
      <c r="Y576">
        <f>HYPERLINK("https://klasma.github.io/Logging_0330/kartor_geotiff/A 5402-2023 georefererad karta.tif", "A 5402-2023")</f>
        <v/>
      </c>
      <c r="AA576">
        <f>HYPERLINK("https://klasma.github.io/Logging_0330/klagomål/A 5402-2023 FSC-klagomål.docx", "A 5402-2023")</f>
        <v/>
      </c>
      <c r="AB576">
        <f>HYPERLINK("https://klasma.github.io/Logging_0330/klagomålsmail/A 5402-2023 FSC-klagomål mail.docx", "A 5402-2023")</f>
        <v/>
      </c>
      <c r="AC576">
        <f>HYPERLINK("https://klasma.github.io/Logging_0330/tillsyn/A 5402-2023 tillsynsbegäran.docx", "A 5402-2023")</f>
        <v/>
      </c>
      <c r="AD576">
        <f>HYPERLINK("https://klasma.github.io/Logging_0330/tillsynsmail/A 5402-2023 tillsynsbegäran mail.docx", "A 5402-2023")</f>
        <v/>
      </c>
    </row>
    <row r="577" ht="15" customHeight="1">
      <c r="A577" t="inlineStr">
        <is>
          <t>A 63075-2025</t>
        </is>
      </c>
      <c r="B577" t="inlineStr">
        <is>
          <t>avverkningsanmälan</t>
        </is>
      </c>
      <c r="C577" t="inlineStr">
        <is>
          <t>Föryngringsavverkning</t>
        </is>
      </c>
      <c r="D577" s="1" t="n">
        <v>46009</v>
      </c>
      <c r="E577" s="1" t="n">
        <v>46309</v>
      </c>
      <c r="F577" t="inlineStr">
        <is>
          <t>UPPSALA LÄN</t>
        </is>
      </c>
      <c r="G577" t="inlineStr">
        <is>
          <t>UPPSALA</t>
        </is>
      </c>
      <c r="H577" t="inlineStr">
        <is>
          <t>Övriga statliga verk och myndigheter</t>
        </is>
      </c>
      <c r="I577" t="n">
        <v>4</v>
      </c>
      <c r="J577" t="n">
        <v>1</v>
      </c>
      <c r="K577" t="n">
        <v>0</v>
      </c>
      <c r="L577" t="n">
        <v>1</v>
      </c>
      <c r="M577" t="n">
        <v>0</v>
      </c>
      <c r="N577" t="n">
        <v>0</v>
      </c>
      <c r="O577" t="n">
        <v>0</v>
      </c>
      <c r="P577" t="n">
        <v>0</v>
      </c>
      <c r="Q577" t="n">
        <v>1</v>
      </c>
      <c r="R577" t="n">
        <v>0</v>
      </c>
      <c r="S577" t="n">
        <v>1</v>
      </c>
      <c r="T577" t="n">
        <v>1</v>
      </c>
      <c r="U577" t="n">
        <v>0</v>
      </c>
      <c r="V577" s="2" t="inlineStr">
        <is>
          <t>Talltita</t>
        </is>
      </c>
      <c r="W577">
        <f>HYPERLINK("https://klasma.github.io/Logging_0380/artfynd/A 63075-2025 artfynd.xlsx", "A 63075-2025")</f>
        <v/>
      </c>
      <c r="X577">
        <f>HYPERLINK("https://klasma.github.io/Logging_0380/kartor/A 63075-2025 karta.png", "A 63075-2025")</f>
        <v/>
      </c>
      <c r="Y577">
        <f>HYPERLINK("https://klasma.github.io/Logging_0380/kartor_geotiff/A 63075-2025 georefererad karta.tif", "A 63075-2025")</f>
        <v/>
      </c>
      <c r="AA577">
        <f>HYPERLINK("https://klasma.github.io/Logging_0380/klagomål/A 63075-2025 FSC-klagomål.docx", "A 63075-2025")</f>
        <v/>
      </c>
      <c r="AB577">
        <f>HYPERLINK("https://klasma.github.io/Logging_0380/klagomålsmail/A 63075-2025 FSC-klagomål mail.docx", "A 63075-2025")</f>
        <v/>
      </c>
      <c r="AC577">
        <f>HYPERLINK("https://klasma.github.io/Logging_0380/tillsyn/A 63075-2025 tillsynsbegäran.docx", "A 63075-2025")</f>
        <v/>
      </c>
      <c r="AD577">
        <f>HYPERLINK("https://klasma.github.io/Logging_0380/tillsynsmail/A 63075-2025 tillsynsbegäran mail.docx", "A 63075-2025")</f>
        <v/>
      </c>
      <c r="AE577">
        <f>HYPERLINK("https://klasma.github.io/Logging_0380/fåglar/A 63075-2025 prioriterade fågelarter.docx", "A 63075-2025")</f>
        <v/>
      </c>
    </row>
    <row r="578" ht="15" customHeight="1">
      <c r="A578" t="inlineStr">
        <is>
          <t>A 11560-2026</t>
        </is>
      </c>
      <c r="B578" t="inlineStr">
        <is>
          <t>avverkningsanmälan</t>
        </is>
      </c>
      <c r="C578" t="inlineStr">
        <is>
          <t>Avverkning för annat ändamål</t>
        </is>
      </c>
      <c r="D578" s="1" t="n">
        <v>46084</v>
      </c>
      <c r="E578" s="1" t="n">
        <v>46309</v>
      </c>
      <c r="F578" t="inlineStr">
        <is>
          <t>UPPSALA LÄN</t>
        </is>
      </c>
      <c r="G578" t="inlineStr">
        <is>
          <t>HEBY</t>
        </is>
      </c>
      <c r="I578" t="n">
        <v>1.2</v>
      </c>
      <c r="J578" t="n">
        <v>1</v>
      </c>
      <c r="K578" t="n">
        <v>0</v>
      </c>
      <c r="L578" t="n">
        <v>0</v>
      </c>
      <c r="M578" t="n">
        <v>0</v>
      </c>
      <c r="N578" t="n">
        <v>0</v>
      </c>
      <c r="O578" t="n">
        <v>0</v>
      </c>
      <c r="P578" t="n">
        <v>0</v>
      </c>
      <c r="Q578" t="n">
        <v>0</v>
      </c>
      <c r="R578" t="n">
        <v>0</v>
      </c>
      <c r="S578" t="n">
        <v>1</v>
      </c>
      <c r="T578" t="n">
        <v>1</v>
      </c>
      <c r="U578" t="n">
        <v>0</v>
      </c>
      <c r="V578" s="2" t="inlineStr">
        <is>
          <t>Mindre vattensalamander</t>
        </is>
      </c>
      <c r="W578">
        <f>HYPERLINK("https://klasma.github.io/Logging_0331/artfynd/A 11560-2026 artfynd.xlsx", "A 11560-2026")</f>
        <v/>
      </c>
      <c r="X578">
        <f>HYPERLINK("https://klasma.github.io/Logging_0331/kartor/A 11560-2026 karta.png", "A 11560-2026")</f>
        <v/>
      </c>
      <c r="Y578">
        <f>HYPERLINK("https://klasma.github.io/Logging_0331/kartor_geotiff/A 11560-2026 georefererad karta.tif", "A 11560-2026")</f>
        <v/>
      </c>
      <c r="AA578">
        <f>HYPERLINK("https://klasma.github.io/Logging_0331/klagomål/A 11560-2026 FSC-klagomål.docx", "A 11560-2026")</f>
        <v/>
      </c>
      <c r="AB578">
        <f>HYPERLINK("https://klasma.github.io/Logging_0331/klagomålsmail/A 11560-2026 FSC-klagomål mail.docx", "A 11560-2026")</f>
        <v/>
      </c>
      <c r="AC578">
        <f>HYPERLINK("https://klasma.github.io/Logging_0331/tillsyn/A 11560-2026 tillsynsbegäran.docx", "A 11560-2026")</f>
        <v/>
      </c>
      <c r="AD578">
        <f>HYPERLINK("https://klasma.github.io/Logging_0331/tillsynsmail/A 11560-2026 tillsynsbegäran mail.docx", "A 11560-2026")</f>
        <v/>
      </c>
    </row>
    <row r="579" ht="15" customHeight="1">
      <c r="A579" t="inlineStr">
        <is>
          <t>A 11841-2026</t>
        </is>
      </c>
      <c r="B579" t="inlineStr">
        <is>
          <t>avverkningsanmälan</t>
        </is>
      </c>
      <c r="C579" t="inlineStr">
        <is>
          <t>Föryngringsavverkning</t>
        </is>
      </c>
      <c r="D579" s="1" t="n">
        <v>46085</v>
      </c>
      <c r="E579" s="1" t="n">
        <v>46309</v>
      </c>
      <c r="F579" t="inlineStr">
        <is>
          <t>UPPSALA LÄN</t>
        </is>
      </c>
      <c r="G579" t="inlineStr">
        <is>
          <t>HEBY</t>
        </is>
      </c>
      <c r="I579" t="n">
        <v>1.1</v>
      </c>
      <c r="J579" t="n">
        <v>0</v>
      </c>
      <c r="K579" t="n">
        <v>1</v>
      </c>
      <c r="L579" t="n">
        <v>0</v>
      </c>
      <c r="M579" t="n">
        <v>0</v>
      </c>
      <c r="N579" t="n">
        <v>0</v>
      </c>
      <c r="O579" t="n">
        <v>0</v>
      </c>
      <c r="P579" t="n">
        <v>0</v>
      </c>
      <c r="Q579" t="n">
        <v>0</v>
      </c>
      <c r="R579" t="n">
        <v>0</v>
      </c>
      <c r="S579" t="n">
        <v>1</v>
      </c>
      <c r="T579" t="n">
        <v>1</v>
      </c>
      <c r="U579" t="n">
        <v>0</v>
      </c>
      <c r="V579" s="2" t="inlineStr">
        <is>
          <t>Stor aspticka</t>
        </is>
      </c>
      <c r="W579">
        <f>HYPERLINK("https://klasma.github.io/Logging_0331/artfynd/A 11841-2026 artfynd.xlsx", "A 11841-2026")</f>
        <v/>
      </c>
      <c r="X579">
        <f>HYPERLINK("https://klasma.github.io/Logging_0331/kartor/A 11841-2026 karta.png", "A 11841-2026")</f>
        <v/>
      </c>
      <c r="Y579">
        <f>HYPERLINK("https://klasma.github.io/Logging_0331/kartor_geotiff/A 11841-2026 georefererad karta.tif", "A 11841-2026")</f>
        <v/>
      </c>
      <c r="AA579">
        <f>HYPERLINK("https://klasma.github.io/Logging_0331/klagomål/A 11841-2026 FSC-klagomål.docx", "A 11841-2026")</f>
        <v/>
      </c>
      <c r="AB579">
        <f>HYPERLINK("https://klasma.github.io/Logging_0331/klagomålsmail/A 11841-2026 FSC-klagomål mail.docx", "A 11841-2026")</f>
        <v/>
      </c>
      <c r="AC579">
        <f>HYPERLINK("https://klasma.github.io/Logging_0331/tillsyn/A 11841-2026 tillsynsbegäran.docx", "A 11841-2026")</f>
        <v/>
      </c>
      <c r="AD579">
        <f>HYPERLINK("https://klasma.github.io/Logging_0331/tillsynsmail/A 11841-2026 tillsynsbegäran mail.docx", "A 11841-2026")</f>
        <v/>
      </c>
    </row>
    <row r="580" ht="15" customHeight="1">
      <c r="A580" t="inlineStr">
        <is>
          <t>A 11405-2025</t>
        </is>
      </c>
      <c r="B580" t="inlineStr">
        <is>
          <t>avverkningsanmälan</t>
        </is>
      </c>
      <c r="C580" t="inlineStr">
        <is>
          <t>Föryngringsavverkning</t>
        </is>
      </c>
      <c r="D580" s="1" t="n">
        <v>45726</v>
      </c>
      <c r="E580" s="1" t="n">
        <v>46309</v>
      </c>
      <c r="F580" t="inlineStr">
        <is>
          <t>UPPSALA LÄN</t>
        </is>
      </c>
      <c r="G580" t="inlineStr">
        <is>
          <t>KNIVSTA</t>
        </is>
      </c>
      <c r="I580" t="n">
        <v>1.6</v>
      </c>
      <c r="J580" t="n">
        <v>0</v>
      </c>
      <c r="K580" t="n">
        <v>0</v>
      </c>
      <c r="L580" t="n">
        <v>0</v>
      </c>
      <c r="M580" t="n">
        <v>1</v>
      </c>
      <c r="N580" t="n">
        <v>0</v>
      </c>
      <c r="O580" t="n">
        <v>0</v>
      </c>
      <c r="P580" t="n">
        <v>0</v>
      </c>
      <c r="Q580" t="n">
        <v>1</v>
      </c>
      <c r="R580" t="n">
        <v>1</v>
      </c>
      <c r="S580" t="n">
        <v>1</v>
      </c>
      <c r="T580" t="n">
        <v>1</v>
      </c>
      <c r="U580" t="n">
        <v>0</v>
      </c>
      <c r="V580" s="2" t="inlineStr">
        <is>
          <t>Fältgentiana</t>
        </is>
      </c>
      <c r="W580">
        <f>HYPERLINK("https://klasma.github.io/Logging_0330/artfynd/A 11405-2025 artfynd.xlsx", "A 11405-2025")</f>
        <v/>
      </c>
      <c r="X580">
        <f>HYPERLINK("https://klasma.github.io/Logging_0330/kartor/A 11405-2025 karta.png", "A 11405-2025")</f>
        <v/>
      </c>
      <c r="Y580">
        <f>HYPERLINK("https://klasma.github.io/Logging_0330/kartor_geotiff/A 11405-2025 georefererad karta.tif", "A 11405-2025")</f>
        <v/>
      </c>
      <c r="AA580">
        <f>HYPERLINK("https://klasma.github.io/Logging_0330/klagomål/A 11405-2025 FSC-klagomål.docx", "A 11405-2025")</f>
        <v/>
      </c>
      <c r="AB580">
        <f>HYPERLINK("https://klasma.github.io/Logging_0330/klagomålsmail/A 11405-2025 FSC-klagomål mail.docx", "A 11405-2025")</f>
        <v/>
      </c>
      <c r="AC580">
        <f>HYPERLINK("https://klasma.github.io/Logging_0330/tillsyn/A 11405-2025 tillsynsbegäran.docx", "A 11405-2025")</f>
        <v/>
      </c>
      <c r="AD580">
        <f>HYPERLINK("https://klasma.github.io/Logging_0330/tillsynsmail/A 11405-2025 tillsynsbegäran mail.docx", "A 11405-2025")</f>
        <v/>
      </c>
    </row>
    <row r="581" ht="15" customHeight="1">
      <c r="A581" t="inlineStr">
        <is>
          <t>A 9295-2023</t>
        </is>
      </c>
      <c r="B581" t="inlineStr">
        <is>
          <t>avverkningsanmälan</t>
        </is>
      </c>
      <c r="C581" t="inlineStr">
        <is>
          <t>Föryngringsavverkning</t>
        </is>
      </c>
      <c r="D581" s="1" t="n">
        <v>44980</v>
      </c>
      <c r="E581" s="1" t="n">
        <v>46309</v>
      </c>
      <c r="F581" t="inlineStr">
        <is>
          <t>UPPSALA LÄN</t>
        </is>
      </c>
      <c r="G581" t="inlineStr">
        <is>
          <t>UPPSALA</t>
        </is>
      </c>
      <c r="I581" t="n">
        <v>2.1</v>
      </c>
      <c r="J581" t="n">
        <v>1</v>
      </c>
      <c r="K581" t="n">
        <v>0</v>
      </c>
      <c r="L581" t="n">
        <v>1</v>
      </c>
      <c r="M581" t="n">
        <v>0</v>
      </c>
      <c r="N581" t="n">
        <v>0</v>
      </c>
      <c r="O581" t="n">
        <v>0</v>
      </c>
      <c r="P581" t="n">
        <v>0</v>
      </c>
      <c r="Q581" t="n">
        <v>1</v>
      </c>
      <c r="R581" t="n">
        <v>0</v>
      </c>
      <c r="S581" t="n">
        <v>1</v>
      </c>
      <c r="T581" t="n">
        <v>1</v>
      </c>
      <c r="U581" t="n">
        <v>0</v>
      </c>
      <c r="V581" s="2" t="inlineStr">
        <is>
          <t>Sparvuggla</t>
        </is>
      </c>
      <c r="W581">
        <f>HYPERLINK("https://klasma.github.io/Logging_0380/artfynd/A 9295-2023 artfynd.xlsx", "A 9295-2023")</f>
        <v/>
      </c>
      <c r="X581">
        <f>HYPERLINK("https://klasma.github.io/Logging_0380/kartor/A 9295-2023 karta.png", "A 9295-2023")</f>
        <v/>
      </c>
      <c r="Y581">
        <f>HYPERLINK("https://klasma.github.io/Logging_0380/kartor_geotiff/A 9295-2023 georefererad karta.tif", "A 9295-2023")</f>
        <v/>
      </c>
      <c r="AA581">
        <f>HYPERLINK("https://klasma.github.io/Logging_0380/klagomål/A 9295-2023 FSC-klagomål.docx", "A 9295-2023")</f>
        <v/>
      </c>
      <c r="AB581">
        <f>HYPERLINK("https://klasma.github.io/Logging_0380/klagomålsmail/A 9295-2023 FSC-klagomål mail.docx", "A 9295-2023")</f>
        <v/>
      </c>
      <c r="AC581">
        <f>HYPERLINK("https://klasma.github.io/Logging_0380/tillsyn/A 9295-2023 tillsynsbegäran.docx", "A 9295-2023")</f>
        <v/>
      </c>
      <c r="AD581">
        <f>HYPERLINK("https://klasma.github.io/Logging_0380/tillsynsmail/A 9295-2023 tillsynsbegäran mail.docx", "A 9295-2023")</f>
        <v/>
      </c>
      <c r="AE581">
        <f>HYPERLINK("https://klasma.github.io/Logging_0380/fåglar/A 9295-2023 prioriterade fågelarter.docx", "A 9295-2023")</f>
        <v/>
      </c>
    </row>
    <row r="582" ht="15" customHeight="1">
      <c r="A582" t="inlineStr">
        <is>
          <t>A 7286-2023</t>
        </is>
      </c>
      <c r="B582" t="inlineStr">
        <is>
          <t>avverkningsanmälan</t>
        </is>
      </c>
      <c r="C582" t="inlineStr">
        <is>
          <t>Avverkning för annat ändamål</t>
        </is>
      </c>
      <c r="D582" s="1" t="n">
        <v>44970</v>
      </c>
      <c r="E582" s="1" t="n">
        <v>46309</v>
      </c>
      <c r="F582" t="inlineStr">
        <is>
          <t>UPPSALA LÄN</t>
        </is>
      </c>
      <c r="G582" t="inlineStr">
        <is>
          <t>ÄLVKARLEBY</t>
        </is>
      </c>
      <c r="H582" t="inlineStr">
        <is>
          <t>Bergvik skog väst AB</t>
        </is>
      </c>
      <c r="I582" t="n">
        <v>2.5</v>
      </c>
      <c r="J582" t="n">
        <v>0</v>
      </c>
      <c r="K582" t="n">
        <v>1</v>
      </c>
      <c r="L582" t="n">
        <v>0</v>
      </c>
      <c r="M582" t="n">
        <v>0</v>
      </c>
      <c r="N582" t="n">
        <v>0</v>
      </c>
      <c r="O582" t="n">
        <v>0</v>
      </c>
      <c r="P582" t="n">
        <v>0</v>
      </c>
      <c r="Q582" t="n">
        <v>0</v>
      </c>
      <c r="R582" t="n">
        <v>0</v>
      </c>
      <c r="S582" t="n">
        <v>1</v>
      </c>
      <c r="T582" t="n">
        <v>1</v>
      </c>
      <c r="U582" t="n">
        <v>0</v>
      </c>
      <c r="V582" s="2" t="inlineStr">
        <is>
          <t>Grönpyrola</t>
        </is>
      </c>
      <c r="W582">
        <f>HYPERLINK("https://klasma.github.io/Logging_0319/artfynd/A 7286-2023 artfynd.xlsx", "A 7286-2023")</f>
        <v/>
      </c>
      <c r="X582">
        <f>HYPERLINK("https://klasma.github.io/Logging_0319/kartor/A 7286-2023 karta.png", "A 7286-2023")</f>
        <v/>
      </c>
      <c r="Y582">
        <f>HYPERLINK("https://klasma.github.io/Logging_0319/kartor_geotiff/A 7286-2023 georefererad karta.tif", "A 7286-2023")</f>
        <v/>
      </c>
      <c r="AA582">
        <f>HYPERLINK("https://klasma.github.io/Logging_0319/klagomål/A 7286-2023 FSC-klagomål.docx", "A 7286-2023")</f>
        <v/>
      </c>
      <c r="AB582">
        <f>HYPERLINK("https://klasma.github.io/Logging_0319/klagomålsmail/A 7286-2023 FSC-klagomål mail.docx", "A 7286-2023")</f>
        <v/>
      </c>
      <c r="AC582">
        <f>HYPERLINK("https://klasma.github.io/Logging_0319/tillsyn/A 7286-2023 tillsynsbegäran.docx", "A 7286-2023")</f>
        <v/>
      </c>
      <c r="AD582">
        <f>HYPERLINK("https://klasma.github.io/Logging_0319/tillsynsmail/A 7286-2023 tillsynsbegäran mail.docx", "A 7286-2023")</f>
        <v/>
      </c>
    </row>
    <row r="583" ht="15" customHeight="1">
      <c r="A583" t="inlineStr">
        <is>
          <t>A 12991-2026</t>
        </is>
      </c>
      <c r="B583" t="inlineStr">
        <is>
          <t>avverkningsanmälan</t>
        </is>
      </c>
      <c r="C583" t="inlineStr">
        <is>
          <t>Föryngringsavverkning</t>
        </is>
      </c>
      <c r="D583" s="1" t="n">
        <v>46092</v>
      </c>
      <c r="E583" s="1" t="n">
        <v>46309</v>
      </c>
      <c r="F583" t="inlineStr">
        <is>
          <t>UPPSALA LÄN</t>
        </is>
      </c>
      <c r="G583" t="inlineStr">
        <is>
          <t>KNIVSTA</t>
        </is>
      </c>
      <c r="H583" t="inlineStr">
        <is>
          <t>Holmen skog AB</t>
        </is>
      </c>
      <c r="I583" t="n">
        <v>4.6</v>
      </c>
      <c r="J583" t="n">
        <v>1</v>
      </c>
      <c r="K583" t="n">
        <v>0</v>
      </c>
      <c r="L583" t="n">
        <v>0</v>
      </c>
      <c r="M583" t="n">
        <v>0</v>
      </c>
      <c r="N583" t="n">
        <v>0</v>
      </c>
      <c r="O583" t="n">
        <v>0</v>
      </c>
      <c r="P583" t="n">
        <v>0</v>
      </c>
      <c r="Q583" t="n">
        <v>0</v>
      </c>
      <c r="R583" t="n">
        <v>0</v>
      </c>
      <c r="S583" t="n">
        <v>1</v>
      </c>
      <c r="T583" t="n">
        <v>1</v>
      </c>
      <c r="U583" t="n">
        <v>1</v>
      </c>
      <c r="V583" s="2" t="inlineStr">
        <is>
          <t>Tjäder</t>
        </is>
      </c>
      <c r="W583">
        <f>HYPERLINK("https://klasma.github.io/Logging_0330/artfynd/A 12991-2026 artfynd.xlsx", "A 12991-2026")</f>
        <v/>
      </c>
      <c r="X583">
        <f>HYPERLINK("https://klasma.github.io/Logging_0330/kartor/A 12991-2026 karta.png", "A 12991-2026")</f>
        <v/>
      </c>
      <c r="Y583">
        <f>HYPERLINK("https://klasma.github.io/Logging_0330/kartor_geotiff/A 12991-2026 georefererad karta.tif", "A 12991-2026")</f>
        <v/>
      </c>
      <c r="AA583">
        <f>HYPERLINK("https://klasma.github.io/Logging_0330/klagomål/A 12991-2026 FSC-klagomål.docx", "A 12991-2026")</f>
        <v/>
      </c>
      <c r="AB583">
        <f>HYPERLINK("https://klasma.github.io/Logging_0330/klagomålsmail/A 12991-2026 FSC-klagomål mail.docx", "A 12991-2026")</f>
        <v/>
      </c>
      <c r="AC583">
        <f>HYPERLINK("https://klasma.github.io/Logging_0330/tillsyn/A 12991-2026 tillsynsbegäran.docx", "A 12991-2026")</f>
        <v/>
      </c>
      <c r="AD583">
        <f>HYPERLINK("https://klasma.github.io/Logging_0330/tillsynsmail/A 12991-2026 tillsynsbegäran mail.docx", "A 12991-2026")</f>
        <v/>
      </c>
      <c r="AE583">
        <f>HYPERLINK("https://klasma.github.io/Logging_0330/fåglar/A 12991-2026 prioriterade fågelarter.docx", "A 12991-2026")</f>
        <v/>
      </c>
    </row>
    <row r="584" ht="15" customHeight="1">
      <c r="A584" t="inlineStr">
        <is>
          <t>A 21657-2024</t>
        </is>
      </c>
      <c r="B584" t="inlineStr">
        <is>
          <t>avverkningsanmälan</t>
        </is>
      </c>
      <c r="C584" t="inlineStr">
        <is>
          <t>Föryngringsavverkning</t>
        </is>
      </c>
      <c r="D584" s="1" t="n">
        <v>45442</v>
      </c>
      <c r="E584" s="1" t="n">
        <v>46309</v>
      </c>
      <c r="F584" t="inlineStr">
        <is>
          <t>UPPSALA LÄN</t>
        </is>
      </c>
      <c r="G584" t="inlineStr">
        <is>
          <t>UPPSALA</t>
        </is>
      </c>
      <c r="I584" t="n">
        <v>5.7</v>
      </c>
      <c r="J584" t="n">
        <v>1</v>
      </c>
      <c r="K584" t="n">
        <v>0</v>
      </c>
      <c r="L584" t="n">
        <v>0</v>
      </c>
      <c r="M584" t="n">
        <v>0</v>
      </c>
      <c r="N584" t="n">
        <v>0</v>
      </c>
      <c r="O584" t="n">
        <v>0</v>
      </c>
      <c r="P584" t="n">
        <v>0</v>
      </c>
      <c r="Q584" t="n">
        <v>0</v>
      </c>
      <c r="R584" t="n">
        <v>0</v>
      </c>
      <c r="S584" t="n">
        <v>1</v>
      </c>
      <c r="T584" t="n">
        <v>1</v>
      </c>
      <c r="U584" t="n">
        <v>1</v>
      </c>
      <c r="V584" s="2" t="inlineStr">
        <is>
          <t>Kungsfågel</t>
        </is>
      </c>
      <c r="W584">
        <f>HYPERLINK("https://klasma.github.io/Logging_0380/artfynd/A 21657-2024 artfynd.xlsx", "A 21657-2024")</f>
        <v/>
      </c>
      <c r="X584">
        <f>HYPERLINK("https://klasma.github.io/Logging_0380/kartor/A 21657-2024 karta.png", "A 21657-2024")</f>
        <v/>
      </c>
      <c r="Y584">
        <f>HYPERLINK("https://klasma.github.io/Logging_0380/kartor_geotiff/A 21657-2024 georefererad karta.tif", "A 21657-2024")</f>
        <v/>
      </c>
      <c r="AA584">
        <f>HYPERLINK("https://klasma.github.io/Logging_0380/klagomål/A 21657-2024 FSC-klagomål.docx", "A 21657-2024")</f>
        <v/>
      </c>
      <c r="AB584">
        <f>HYPERLINK("https://klasma.github.io/Logging_0380/klagomålsmail/A 21657-2024 FSC-klagomål mail.docx", "A 21657-2024")</f>
        <v/>
      </c>
      <c r="AC584">
        <f>HYPERLINK("https://klasma.github.io/Logging_0380/tillsyn/A 21657-2024 tillsynsbegäran.docx", "A 21657-2024")</f>
        <v/>
      </c>
      <c r="AD584">
        <f>HYPERLINK("https://klasma.github.io/Logging_0380/tillsynsmail/A 21657-2024 tillsynsbegäran mail.docx", "A 21657-2024")</f>
        <v/>
      </c>
    </row>
    <row r="585" ht="15" customHeight="1">
      <c r="A585" t="inlineStr">
        <is>
          <t>A 13002-2026</t>
        </is>
      </c>
      <c r="B585" t="inlineStr">
        <is>
          <t>avverkningsanmälan</t>
        </is>
      </c>
      <c r="C585" t="inlineStr">
        <is>
          <t>Föryngringsavverkning</t>
        </is>
      </c>
      <c r="D585" s="1" t="n">
        <v>46092</v>
      </c>
      <c r="E585" s="1" t="n">
        <v>46309</v>
      </c>
      <c r="F585" t="inlineStr">
        <is>
          <t>UPPSALA LÄN</t>
        </is>
      </c>
      <c r="G585" t="inlineStr">
        <is>
          <t>KNIVSTA</t>
        </is>
      </c>
      <c r="H585" t="inlineStr">
        <is>
          <t>Holmen skog AB</t>
        </is>
      </c>
      <c r="I585" t="n">
        <v>0.7</v>
      </c>
      <c r="J585" t="n">
        <v>1</v>
      </c>
      <c r="K585" t="n">
        <v>0</v>
      </c>
      <c r="L585" t="n">
        <v>0</v>
      </c>
      <c r="M585" t="n">
        <v>1</v>
      </c>
      <c r="N585" t="n">
        <v>0</v>
      </c>
      <c r="O585" t="n">
        <v>0</v>
      </c>
      <c r="P585" t="n">
        <v>0</v>
      </c>
      <c r="Q585" t="n">
        <v>1</v>
      </c>
      <c r="R585" t="n">
        <v>1</v>
      </c>
      <c r="S585" t="n">
        <v>1</v>
      </c>
      <c r="T585" t="n">
        <v>1</v>
      </c>
      <c r="U585" t="n">
        <v>1</v>
      </c>
      <c r="V585" s="2" t="inlineStr">
        <is>
          <t>Knärot</t>
        </is>
      </c>
      <c r="W585">
        <f>HYPERLINK("https://klasma.github.io/Logging_0330/artfynd/A 13002-2026 artfynd.xlsx", "A 13002-2026")</f>
        <v/>
      </c>
      <c r="X585">
        <f>HYPERLINK("https://klasma.github.io/Logging_0330/kartor/A 13002-2026 karta.png", "A 13002-2026")</f>
        <v/>
      </c>
      <c r="Y585">
        <f>HYPERLINK("https://klasma.github.io/Logging_0330/kartor_geotiff/A 13002-2026 georefererad karta.tif", "A 13002-2026")</f>
        <v/>
      </c>
      <c r="Z585">
        <f>HYPERLINK("https://klasma.github.io/Logging_0330/knärot/A 13002-2026 karta knärot.png", "A 13002-2026")</f>
        <v/>
      </c>
      <c r="AA585">
        <f>HYPERLINK("https://klasma.github.io/Logging_0330/klagomål/A 13002-2026 FSC-klagomål.docx", "A 13002-2026")</f>
        <v/>
      </c>
      <c r="AB585">
        <f>HYPERLINK("https://klasma.github.io/Logging_0330/klagomålsmail/A 13002-2026 FSC-klagomål mail.docx", "A 13002-2026")</f>
        <v/>
      </c>
      <c r="AC585">
        <f>HYPERLINK("https://klasma.github.io/Logging_0330/tillsyn/A 13002-2026 tillsynsbegäran.docx", "A 13002-2026")</f>
        <v/>
      </c>
      <c r="AD585">
        <f>HYPERLINK("https://klasma.github.io/Logging_0330/tillsynsmail/A 13002-2026 tillsynsbegäran mail.docx", "A 13002-2026")</f>
        <v/>
      </c>
    </row>
    <row r="586" ht="15" customHeight="1">
      <c r="A586" t="inlineStr">
        <is>
          <t>A 27871-2023</t>
        </is>
      </c>
      <c r="B586" t="inlineStr">
        <is>
          <t>avverkningsanmälan</t>
        </is>
      </c>
      <c r="C586" t="inlineStr">
        <is>
          <t>Föryngringsavverkning</t>
        </is>
      </c>
      <c r="D586" s="1" t="n">
        <v>45098</v>
      </c>
      <c r="E586" s="1" t="n">
        <v>46309</v>
      </c>
      <c r="F586" t="inlineStr">
        <is>
          <t>UPPSALA LÄN</t>
        </is>
      </c>
      <c r="G586" t="inlineStr">
        <is>
          <t>HEBY</t>
        </is>
      </c>
      <c r="I586" t="n">
        <v>1</v>
      </c>
      <c r="J586" t="n">
        <v>0</v>
      </c>
      <c r="K586" t="n">
        <v>0</v>
      </c>
      <c r="L586" t="n">
        <v>1</v>
      </c>
      <c r="M586" t="n">
        <v>0</v>
      </c>
      <c r="N586" t="n">
        <v>0</v>
      </c>
      <c r="O586" t="n">
        <v>0</v>
      </c>
      <c r="P586" t="n">
        <v>0</v>
      </c>
      <c r="Q586" t="n">
        <v>1</v>
      </c>
      <c r="R586" t="n">
        <v>0</v>
      </c>
      <c r="S586" t="n">
        <v>1</v>
      </c>
      <c r="T586" t="n">
        <v>1</v>
      </c>
      <c r="U586" t="n">
        <v>0</v>
      </c>
      <c r="V586" s="2" t="inlineStr">
        <is>
          <t>Tallticka</t>
        </is>
      </c>
      <c r="W586">
        <f>HYPERLINK("https://klasma.github.io/Logging_0331/artfynd/A 27871-2023 artfynd.xlsx", "A 27871-2023")</f>
        <v/>
      </c>
      <c r="X586">
        <f>HYPERLINK("https://klasma.github.io/Logging_0331/kartor/A 27871-2023 karta.png", "A 27871-2023")</f>
        <v/>
      </c>
      <c r="Y586">
        <f>HYPERLINK("https://klasma.github.io/Logging_0331/kartor_geotiff/A 27871-2023 georefererad karta.tif", "A 27871-2023")</f>
        <v/>
      </c>
      <c r="AA586">
        <f>HYPERLINK("https://klasma.github.io/Logging_0331/klagomål/A 27871-2023 FSC-klagomål.docx", "A 27871-2023")</f>
        <v/>
      </c>
      <c r="AB586">
        <f>HYPERLINK("https://klasma.github.io/Logging_0331/klagomålsmail/A 27871-2023 FSC-klagomål mail.docx", "A 27871-2023")</f>
        <v/>
      </c>
      <c r="AC586">
        <f>HYPERLINK("https://klasma.github.io/Logging_0331/tillsyn/A 27871-2023 tillsynsbegäran.docx", "A 27871-2023")</f>
        <v/>
      </c>
      <c r="AD586">
        <f>HYPERLINK("https://klasma.github.io/Logging_0331/tillsynsmail/A 27871-2023 tillsynsbegäran mail.docx", "A 27871-2023")</f>
        <v/>
      </c>
    </row>
    <row r="587" ht="15" customHeight="1">
      <c r="A587" t="inlineStr">
        <is>
          <t>A 13380-2026</t>
        </is>
      </c>
      <c r="B587" t="inlineStr">
        <is>
          <t>avverkningsanmälan</t>
        </is>
      </c>
      <c r="C587" t="inlineStr">
        <is>
          <t>Föryngringsavverkning</t>
        </is>
      </c>
      <c r="D587" s="1" t="n">
        <v>46094</v>
      </c>
      <c r="E587" s="1" t="n">
        <v>46309</v>
      </c>
      <c r="F587" t="inlineStr">
        <is>
          <t>UPPSALA LÄN</t>
        </is>
      </c>
      <c r="G587" t="inlineStr">
        <is>
          <t>KNIVSTA</t>
        </is>
      </c>
      <c r="I587" t="n">
        <v>1.7</v>
      </c>
      <c r="J587" t="n">
        <v>1</v>
      </c>
      <c r="K587" t="n">
        <v>0</v>
      </c>
      <c r="L587" t="n">
        <v>0</v>
      </c>
      <c r="M587" t="n">
        <v>0</v>
      </c>
      <c r="N587" t="n">
        <v>0</v>
      </c>
      <c r="O587" t="n">
        <v>0</v>
      </c>
      <c r="P587" t="n">
        <v>0</v>
      </c>
      <c r="Q587" t="n">
        <v>0</v>
      </c>
      <c r="R587" t="n">
        <v>0</v>
      </c>
      <c r="S587" t="n">
        <v>1</v>
      </c>
      <c r="T587" t="n">
        <v>1</v>
      </c>
      <c r="U587" t="n">
        <v>1</v>
      </c>
      <c r="V587" s="2" t="inlineStr">
        <is>
          <t>Spillkråka</t>
        </is>
      </c>
      <c r="W587">
        <f>HYPERLINK("https://klasma.github.io/Logging_0330/artfynd/A 13380-2026 artfynd.xlsx", "A 13380-2026")</f>
        <v/>
      </c>
      <c r="X587">
        <f>HYPERLINK("https://klasma.github.io/Logging_0330/kartor/A 13380-2026 karta.png", "A 13380-2026")</f>
        <v/>
      </c>
      <c r="Y587">
        <f>HYPERLINK("https://klasma.github.io/Logging_0330/kartor_geotiff/A 13380-2026 georefererad karta.tif", "A 13380-2026")</f>
        <v/>
      </c>
      <c r="AA587">
        <f>HYPERLINK("https://klasma.github.io/Logging_0330/klagomål/A 13380-2026 FSC-klagomål.docx", "A 13380-2026")</f>
        <v/>
      </c>
      <c r="AB587">
        <f>HYPERLINK("https://klasma.github.io/Logging_0330/klagomålsmail/A 13380-2026 FSC-klagomål mail.docx", "A 13380-2026")</f>
        <v/>
      </c>
      <c r="AC587">
        <f>HYPERLINK("https://klasma.github.io/Logging_0330/tillsyn/A 13380-2026 tillsynsbegäran.docx", "A 13380-2026")</f>
        <v/>
      </c>
      <c r="AD587">
        <f>HYPERLINK("https://klasma.github.io/Logging_0330/tillsynsmail/A 13380-2026 tillsynsbegäran mail.docx", "A 13380-2026")</f>
        <v/>
      </c>
      <c r="AE587">
        <f>HYPERLINK("https://klasma.github.io/Logging_0330/fåglar/A 13380-2026 prioriterade fågelarter.docx", "A 13380-2026")</f>
        <v/>
      </c>
    </row>
    <row r="588" ht="15" customHeight="1">
      <c r="A588" t="inlineStr">
        <is>
          <t>A 14006-2026</t>
        </is>
      </c>
      <c r="B588" t="inlineStr">
        <is>
          <t>avverkningsanmälan</t>
        </is>
      </c>
      <c r="C588" t="inlineStr">
        <is>
          <t>Föryngringsavverkning</t>
        </is>
      </c>
      <c r="D588" s="1" t="n">
        <v>46098</v>
      </c>
      <c r="E588" s="1" t="n">
        <v>46309</v>
      </c>
      <c r="F588" t="inlineStr">
        <is>
          <t>UPPSALA LÄN</t>
        </is>
      </c>
      <c r="G588" t="inlineStr">
        <is>
          <t>ÖSTHAMMAR</t>
        </is>
      </c>
      <c r="I588" t="n">
        <v>2</v>
      </c>
      <c r="J588" t="n">
        <v>0</v>
      </c>
      <c r="K588" t="n">
        <v>0</v>
      </c>
      <c r="L588" t="n">
        <v>0</v>
      </c>
      <c r="M588" t="n">
        <v>1</v>
      </c>
      <c r="N588" t="n">
        <v>0</v>
      </c>
      <c r="O588" t="n">
        <v>0</v>
      </c>
      <c r="P588" t="n">
        <v>0</v>
      </c>
      <c r="Q588" t="n">
        <v>1</v>
      </c>
      <c r="R588" t="n">
        <v>1</v>
      </c>
      <c r="S588" t="n">
        <v>1</v>
      </c>
      <c r="T588" t="n">
        <v>1</v>
      </c>
      <c r="U588" t="n">
        <v>0</v>
      </c>
      <c r="V588" s="2" t="inlineStr">
        <is>
          <t>Igelkott</t>
        </is>
      </c>
      <c r="W588">
        <f>HYPERLINK("https://klasma.github.io/Logging_0382/artfynd/A 14006-2026 artfynd.xlsx", "A 14006-2026")</f>
        <v/>
      </c>
      <c r="X588">
        <f>HYPERLINK("https://klasma.github.io/Logging_0382/kartor/A 14006-2026 karta.png", "A 14006-2026")</f>
        <v/>
      </c>
      <c r="Y588">
        <f>HYPERLINK("https://klasma.github.io/Logging_0382/kartor_geotiff/A 14006-2026 georefererad karta.tif", "A 14006-2026")</f>
        <v/>
      </c>
      <c r="AA588">
        <f>HYPERLINK("https://klasma.github.io/Logging_0382/klagomål/A 14006-2026 FSC-klagomål.docx", "A 14006-2026")</f>
        <v/>
      </c>
      <c r="AB588">
        <f>HYPERLINK("https://klasma.github.io/Logging_0382/klagomålsmail/A 14006-2026 FSC-klagomål mail.docx", "A 14006-2026")</f>
        <v/>
      </c>
      <c r="AC588">
        <f>HYPERLINK("https://klasma.github.io/Logging_0382/tillsyn/A 14006-2026 tillsynsbegäran.docx", "A 14006-2026")</f>
        <v/>
      </c>
      <c r="AD588">
        <f>HYPERLINK("https://klasma.github.io/Logging_0382/tillsynsmail/A 14006-2026 tillsynsbegäran mail.docx", "A 14006-2026")</f>
        <v/>
      </c>
    </row>
    <row r="589" ht="15" customHeight="1">
      <c r="A589" t="inlineStr">
        <is>
          <t>A 14127-2026</t>
        </is>
      </c>
      <c r="B589" t="inlineStr">
        <is>
          <t>avverkningsanmälan</t>
        </is>
      </c>
      <c r="C589" t="inlineStr">
        <is>
          <t>Föryngringsavverkning</t>
        </is>
      </c>
      <c r="D589" s="1" t="n">
        <v>46099</v>
      </c>
      <c r="E589" s="1" t="n">
        <v>46309</v>
      </c>
      <c r="F589" t="inlineStr">
        <is>
          <t>UPPSALA LÄN</t>
        </is>
      </c>
      <c r="G589" t="inlineStr">
        <is>
          <t>ÄLVKARLEBY</t>
        </is>
      </c>
      <c r="I589" t="n">
        <v>1.7</v>
      </c>
      <c r="J589" t="n">
        <v>0</v>
      </c>
      <c r="K589" t="n">
        <v>0</v>
      </c>
      <c r="L589" t="n">
        <v>0</v>
      </c>
      <c r="M589" t="n">
        <v>1</v>
      </c>
      <c r="N589" t="n">
        <v>0</v>
      </c>
      <c r="O589" t="n">
        <v>0</v>
      </c>
      <c r="P589" t="n">
        <v>0</v>
      </c>
      <c r="Q589" t="n">
        <v>1</v>
      </c>
      <c r="R589" t="n">
        <v>1</v>
      </c>
      <c r="S589" t="n">
        <v>1</v>
      </c>
      <c r="T589" t="n">
        <v>1</v>
      </c>
      <c r="U589" t="n">
        <v>0</v>
      </c>
      <c r="V589" s="2" t="inlineStr">
        <is>
          <t>Grangråticka</t>
        </is>
      </c>
      <c r="W589">
        <f>HYPERLINK("https://klasma.github.io/Logging_0319/artfynd/A 14127-2026 artfynd.xlsx", "A 14127-2026")</f>
        <v/>
      </c>
      <c r="X589">
        <f>HYPERLINK("https://klasma.github.io/Logging_0319/kartor/A 14127-2026 karta.png", "A 14127-2026")</f>
        <v/>
      </c>
      <c r="Y589">
        <f>HYPERLINK("https://klasma.github.io/Logging_0319/kartor_geotiff/A 14127-2026 georefererad karta.tif", "A 14127-2026")</f>
        <v/>
      </c>
      <c r="AA589">
        <f>HYPERLINK("https://klasma.github.io/Logging_0319/klagomål/A 14127-2026 FSC-klagomål.docx", "A 14127-2026")</f>
        <v/>
      </c>
      <c r="AB589">
        <f>HYPERLINK("https://klasma.github.io/Logging_0319/klagomålsmail/A 14127-2026 FSC-klagomål mail.docx", "A 14127-2026")</f>
        <v/>
      </c>
      <c r="AC589">
        <f>HYPERLINK("https://klasma.github.io/Logging_0319/tillsyn/A 14127-2026 tillsynsbegäran.docx", "A 14127-2026")</f>
        <v/>
      </c>
      <c r="AD589">
        <f>HYPERLINK("https://klasma.github.io/Logging_0319/tillsynsmail/A 14127-2026 tillsynsbegäran mail.docx", "A 14127-2026")</f>
        <v/>
      </c>
    </row>
    <row r="590" ht="15" customHeight="1">
      <c r="A590" t="inlineStr">
        <is>
          <t>A 1524-2023</t>
        </is>
      </c>
      <c r="B590" t="inlineStr">
        <is>
          <t>avverkningsanmälan</t>
        </is>
      </c>
      <c r="C590" t="inlineStr">
        <is>
          <t>Föryngringsavverkning</t>
        </is>
      </c>
      <c r="D590" s="1" t="n">
        <v>44935</v>
      </c>
      <c r="E590" s="1" t="n">
        <v>46309</v>
      </c>
      <c r="F590" t="inlineStr">
        <is>
          <t>UPPSALA LÄN</t>
        </is>
      </c>
      <c r="G590" t="inlineStr">
        <is>
          <t>ENKÖPING</t>
        </is>
      </c>
      <c r="I590" t="n">
        <v>1.4</v>
      </c>
      <c r="J590" t="n">
        <v>1</v>
      </c>
      <c r="K590" t="n">
        <v>0</v>
      </c>
      <c r="L590" t="n">
        <v>0</v>
      </c>
      <c r="M590" t="n">
        <v>0</v>
      </c>
      <c r="N590" t="n">
        <v>0</v>
      </c>
      <c r="O590" t="n">
        <v>0</v>
      </c>
      <c r="P590" t="n">
        <v>0</v>
      </c>
      <c r="Q590" t="n">
        <v>0</v>
      </c>
      <c r="R590" t="n">
        <v>0</v>
      </c>
      <c r="S590" t="n">
        <v>1</v>
      </c>
      <c r="T590" t="n">
        <v>1</v>
      </c>
      <c r="U590" t="n">
        <v>1</v>
      </c>
      <c r="V590" s="2" t="inlineStr">
        <is>
          <t>Skogsduva</t>
        </is>
      </c>
      <c r="W590">
        <f>HYPERLINK("https://klasma.github.io/Logging_0381/artfynd/A 1524-2023 artfynd.xlsx", "A 1524-2023")</f>
        <v/>
      </c>
      <c r="X590">
        <f>HYPERLINK("https://klasma.github.io/Logging_0381/kartor/A 1524-2023 karta.png", "A 1524-2023")</f>
        <v/>
      </c>
      <c r="Y590">
        <f>HYPERLINK("https://klasma.github.io/Logging_0381/kartor_geotiff/A 1524-2023 georefererad karta.tif", "A 1524-2023")</f>
        <v/>
      </c>
      <c r="AA590">
        <f>HYPERLINK("https://klasma.github.io/Logging_0381/klagomål/A 1524-2023 FSC-klagomål.docx", "A 1524-2023")</f>
        <v/>
      </c>
      <c r="AB590">
        <f>HYPERLINK("https://klasma.github.io/Logging_0381/klagomålsmail/A 1524-2023 FSC-klagomål mail.docx", "A 1524-2023")</f>
        <v/>
      </c>
      <c r="AC590">
        <f>HYPERLINK("https://klasma.github.io/Logging_0381/tillsyn/A 1524-2023 tillsynsbegäran.docx", "A 1524-2023")</f>
        <v/>
      </c>
      <c r="AD590">
        <f>HYPERLINK("https://klasma.github.io/Logging_0381/tillsynsmail/A 1524-2023 tillsynsbegäran mail.docx", "A 1524-2023")</f>
        <v/>
      </c>
    </row>
    <row r="591" ht="15" customHeight="1">
      <c r="A591" t="inlineStr">
        <is>
          <t>A 15603-2026</t>
        </is>
      </c>
      <c r="B591" t="inlineStr">
        <is>
          <t>avverkningsanmälan</t>
        </is>
      </c>
      <c r="C591" t="inlineStr">
        <is>
          <t>Föryngringsavverkning</t>
        </is>
      </c>
      <c r="D591" s="1" t="n">
        <v>46106</v>
      </c>
      <c r="E591" s="1" t="n">
        <v>46309</v>
      </c>
      <c r="F591" t="inlineStr">
        <is>
          <t>UPPSALA LÄN</t>
        </is>
      </c>
      <c r="G591" t="inlineStr">
        <is>
          <t>UPPSALA</t>
        </is>
      </c>
      <c r="I591" t="n">
        <v>3.4</v>
      </c>
      <c r="J591" t="n">
        <v>0</v>
      </c>
      <c r="K591" t="n">
        <v>1</v>
      </c>
      <c r="L591" t="n">
        <v>0</v>
      </c>
      <c r="M591" t="n">
        <v>0</v>
      </c>
      <c r="N591" t="n">
        <v>0</v>
      </c>
      <c r="O591" t="n">
        <v>0</v>
      </c>
      <c r="P591" t="n">
        <v>0</v>
      </c>
      <c r="Q591" t="n">
        <v>0</v>
      </c>
      <c r="R591" t="n">
        <v>0</v>
      </c>
      <c r="S591" t="n">
        <v>1</v>
      </c>
      <c r="T591" t="n">
        <v>2</v>
      </c>
      <c r="U591" t="n">
        <v>0</v>
      </c>
      <c r="V591" s="2" t="inlineStr">
        <is>
          <t>Svavelriska</t>
        </is>
      </c>
      <c r="W591">
        <f>HYPERLINK("https://klasma.github.io/Logging_0380/artfynd/A 15603-2026 artfynd.xlsx", "A 15603-2026")</f>
        <v/>
      </c>
      <c r="X591">
        <f>HYPERLINK("https://klasma.github.io/Logging_0380/kartor/A 15603-2026 karta.png", "A 15603-2026")</f>
        <v/>
      </c>
      <c r="Y591">
        <f>HYPERLINK("https://klasma.github.io/Logging_0380/kartor_geotiff/A 15603-2026 georefererad karta.tif", "A 15603-2026")</f>
        <v/>
      </c>
      <c r="AA591">
        <f>HYPERLINK("https://klasma.github.io/Logging_0380/klagomål/A 15603-2026 FSC-klagomål.docx", "A 15603-2026")</f>
        <v/>
      </c>
      <c r="AB591">
        <f>HYPERLINK("https://klasma.github.io/Logging_0380/klagomålsmail/A 15603-2026 FSC-klagomål mail.docx", "A 15603-2026")</f>
        <v/>
      </c>
      <c r="AC591">
        <f>HYPERLINK("https://klasma.github.io/Logging_0380/tillsyn/A 15603-2026 tillsynsbegäran.docx", "A 15603-2026")</f>
        <v/>
      </c>
      <c r="AD591">
        <f>HYPERLINK("https://klasma.github.io/Logging_0380/tillsynsmail/A 15603-2026 tillsynsbegäran mail.docx", "A 15603-2026")</f>
        <v/>
      </c>
    </row>
    <row r="592" ht="15" customHeight="1">
      <c r="A592" t="inlineStr">
        <is>
          <t>A 6242-2025</t>
        </is>
      </c>
      <c r="B592" t="inlineStr">
        <is>
          <t>avverkningsanmälan</t>
        </is>
      </c>
      <c r="C592" t="inlineStr">
        <is>
          <t>Föryngringsavverkning</t>
        </is>
      </c>
      <c r="D592" s="1" t="n">
        <v>45697</v>
      </c>
      <c r="E592" s="1" t="n">
        <v>46309</v>
      </c>
      <c r="F592" t="inlineStr">
        <is>
          <t>UPPSALA LÄN</t>
        </is>
      </c>
      <c r="G592" t="inlineStr">
        <is>
          <t>ENKÖPING</t>
        </is>
      </c>
      <c r="I592" t="n">
        <v>17.9</v>
      </c>
      <c r="J592" t="n">
        <v>0</v>
      </c>
      <c r="K592" t="n">
        <v>0</v>
      </c>
      <c r="L592" t="n">
        <v>0</v>
      </c>
      <c r="M592" t="n">
        <v>0</v>
      </c>
      <c r="N592" t="n">
        <v>0</v>
      </c>
      <c r="O592" t="n">
        <v>0</v>
      </c>
      <c r="P592" t="n">
        <v>0</v>
      </c>
      <c r="Q592" t="n">
        <v>0</v>
      </c>
      <c r="R592" t="n">
        <v>0</v>
      </c>
      <c r="S592" t="n">
        <v>1</v>
      </c>
      <c r="T592" t="n">
        <v>1</v>
      </c>
      <c r="U592" t="n">
        <v>1</v>
      </c>
      <c r="V592" s="2" t="inlineStr">
        <is>
          <t>Fönsterlav</t>
        </is>
      </c>
      <c r="W592">
        <f>HYPERLINK("https://klasma.github.io/Logging_0381/artfynd/A 6242-2025 artfynd.xlsx", "A 6242-2025")</f>
        <v/>
      </c>
      <c r="X592">
        <f>HYPERLINK("https://klasma.github.io/Logging_0381/kartor/A 6242-2025 karta.png", "A 6242-2025")</f>
        <v/>
      </c>
      <c r="Y592">
        <f>HYPERLINK("https://klasma.github.io/Logging_0381/kartor_geotiff/A 6242-2025 georefererad karta.tif", "A 6242-2025")</f>
        <v/>
      </c>
      <c r="AA592">
        <f>HYPERLINK("https://klasma.github.io/Logging_0381/klagomål/A 6242-2025 FSC-klagomål.docx", "A 6242-2025")</f>
        <v/>
      </c>
      <c r="AB592">
        <f>HYPERLINK("https://klasma.github.io/Logging_0381/klagomålsmail/A 6242-2025 FSC-klagomål mail.docx", "A 6242-2025")</f>
        <v/>
      </c>
      <c r="AC592">
        <f>HYPERLINK("https://klasma.github.io/Logging_0381/tillsyn/A 6242-2025 tillsynsbegäran.docx", "A 6242-2025")</f>
        <v/>
      </c>
      <c r="AD592">
        <f>HYPERLINK("https://klasma.github.io/Logging_0381/tillsynsmail/A 6242-2025 tillsynsbegäran mail.docx", "A 6242-2025")</f>
        <v/>
      </c>
    </row>
    <row r="593" ht="15" customHeight="1">
      <c r="A593" t="inlineStr">
        <is>
          <t>A 16186-2026</t>
        </is>
      </c>
      <c r="B593" t="inlineStr">
        <is>
          <t>avverkningsanmälan</t>
        </is>
      </c>
      <c r="C593" t="inlineStr">
        <is>
          <t>Föryngringsavverkning</t>
        </is>
      </c>
      <c r="D593" s="1" t="n">
        <v>46111</v>
      </c>
      <c r="E593" s="1" t="n">
        <v>46309</v>
      </c>
      <c r="F593" t="inlineStr">
        <is>
          <t>UPPSALA LÄN</t>
        </is>
      </c>
      <c r="G593" t="inlineStr">
        <is>
          <t>TIERP</t>
        </is>
      </c>
      <c r="I593" t="n">
        <v>0.9</v>
      </c>
      <c r="J593" t="n">
        <v>0</v>
      </c>
      <c r="K593" t="n">
        <v>0</v>
      </c>
      <c r="L593" t="n">
        <v>1</v>
      </c>
      <c r="M593" t="n">
        <v>0</v>
      </c>
      <c r="N593" t="n">
        <v>0</v>
      </c>
      <c r="O593" t="n">
        <v>0</v>
      </c>
      <c r="P593" t="n">
        <v>0</v>
      </c>
      <c r="Q593" t="n">
        <v>1</v>
      </c>
      <c r="R593" t="n">
        <v>0</v>
      </c>
      <c r="S593" t="n">
        <v>1</v>
      </c>
      <c r="T593" t="n">
        <v>1</v>
      </c>
      <c r="U593" t="n">
        <v>0</v>
      </c>
      <c r="V593" s="2" t="inlineStr">
        <is>
          <t>Skarp dropptaggsvamp</t>
        </is>
      </c>
      <c r="W593">
        <f>HYPERLINK("https://klasma.github.io/Logging_0360/artfynd/A 16186-2026 artfynd.xlsx", "A 16186-2026")</f>
        <v/>
      </c>
      <c r="X593">
        <f>HYPERLINK("https://klasma.github.io/Logging_0360/kartor/A 16186-2026 karta.png", "A 16186-2026")</f>
        <v/>
      </c>
      <c r="Y593">
        <f>HYPERLINK("https://klasma.github.io/Logging_0360/kartor_geotiff/A 16186-2026 georefererad karta.tif", "A 16186-2026")</f>
        <v/>
      </c>
      <c r="AA593">
        <f>HYPERLINK("https://klasma.github.io/Logging_0360/klagomål/A 16186-2026 FSC-klagomål.docx", "A 16186-2026")</f>
        <v/>
      </c>
      <c r="AB593">
        <f>HYPERLINK("https://klasma.github.io/Logging_0360/klagomålsmail/A 16186-2026 FSC-klagomål mail.docx", "A 16186-2026")</f>
        <v/>
      </c>
      <c r="AC593">
        <f>HYPERLINK("https://klasma.github.io/Logging_0360/tillsyn/A 16186-2026 tillsynsbegäran.docx", "A 16186-2026")</f>
        <v/>
      </c>
      <c r="AD593">
        <f>HYPERLINK("https://klasma.github.io/Logging_0360/tillsynsmail/A 16186-2026 tillsynsbegäran mail.docx", "A 16186-2026")</f>
        <v/>
      </c>
    </row>
    <row r="594" ht="15" customHeight="1">
      <c r="A594" t="inlineStr">
        <is>
          <t>A 33770-2023</t>
        </is>
      </c>
      <c r="B594" t="inlineStr">
        <is>
          <t>avverkningsanmälan</t>
        </is>
      </c>
      <c r="C594" t="inlineStr">
        <is>
          <t>Föryngringsavverkning</t>
        </is>
      </c>
      <c r="D594" s="1" t="n">
        <v>45133</v>
      </c>
      <c r="E594" s="1" t="n">
        <v>46309</v>
      </c>
      <c r="F594" t="inlineStr">
        <is>
          <t>UPPSALA LÄN</t>
        </is>
      </c>
      <c r="G594" t="inlineStr">
        <is>
          <t>KNIVSTA</t>
        </is>
      </c>
      <c r="H594" t="inlineStr">
        <is>
          <t>Holmen skog AB</t>
        </is>
      </c>
      <c r="I594" t="n">
        <v>4</v>
      </c>
      <c r="J594" t="n">
        <v>1</v>
      </c>
      <c r="K594" t="n">
        <v>0</v>
      </c>
      <c r="L594" t="n">
        <v>0</v>
      </c>
      <c r="M594" t="n">
        <v>0</v>
      </c>
      <c r="N594" t="n">
        <v>0</v>
      </c>
      <c r="O594" t="n">
        <v>0</v>
      </c>
      <c r="P594" t="n">
        <v>0</v>
      </c>
      <c r="Q594" t="n">
        <v>0</v>
      </c>
      <c r="R594" t="n">
        <v>0</v>
      </c>
      <c r="S594" t="n">
        <v>1</v>
      </c>
      <c r="T594" t="n">
        <v>1</v>
      </c>
      <c r="U594" t="n">
        <v>0</v>
      </c>
      <c r="V594" s="2" t="inlineStr">
        <is>
          <t>Slaguggla</t>
        </is>
      </c>
      <c r="W594">
        <f>HYPERLINK("https://klasma.github.io/Logging_0330/artfynd/A 33770-2023 artfynd.xlsx", "A 33770-2023")</f>
        <v/>
      </c>
      <c r="X594">
        <f>HYPERLINK("https://klasma.github.io/Logging_0330/kartor/A 33770-2023 karta.png", "A 33770-2023")</f>
        <v/>
      </c>
      <c r="Y594">
        <f>HYPERLINK("https://klasma.github.io/Logging_0330/kartor_geotiff/A 33770-2023 georefererad karta.tif", "A 33770-2023")</f>
        <v/>
      </c>
      <c r="AA594">
        <f>HYPERLINK("https://klasma.github.io/Logging_0330/klagomål/A 33770-2023 FSC-klagomål.docx", "A 33770-2023")</f>
        <v/>
      </c>
      <c r="AB594">
        <f>HYPERLINK("https://klasma.github.io/Logging_0330/klagomålsmail/A 33770-2023 FSC-klagomål mail.docx", "A 33770-2023")</f>
        <v/>
      </c>
      <c r="AC594">
        <f>HYPERLINK("https://klasma.github.io/Logging_0330/tillsyn/A 33770-2023 tillsynsbegäran.docx", "A 33770-2023")</f>
        <v/>
      </c>
      <c r="AD594">
        <f>HYPERLINK("https://klasma.github.io/Logging_0330/tillsynsmail/A 33770-2023 tillsynsbegäran mail.docx", "A 33770-2023")</f>
        <v/>
      </c>
      <c r="AE594">
        <f>HYPERLINK("https://klasma.github.io/Logging_0330/fåglar/A 33770-2023 prioriterade fågelarter.docx", "A 33770-2023")</f>
        <v/>
      </c>
    </row>
    <row r="595" ht="15" customHeight="1">
      <c r="A595" t="inlineStr">
        <is>
          <t>A 33797-2023</t>
        </is>
      </c>
      <c r="B595" t="inlineStr">
        <is>
          <t>avverkningsanmälan</t>
        </is>
      </c>
      <c r="C595" t="inlineStr">
        <is>
          <t>Föryngringsavverkning</t>
        </is>
      </c>
      <c r="D595" s="1" t="n">
        <v>45133</v>
      </c>
      <c r="E595" s="1" t="n">
        <v>46309</v>
      </c>
      <c r="F595" t="inlineStr">
        <is>
          <t>UPPSALA LÄN</t>
        </is>
      </c>
      <c r="G595" t="inlineStr">
        <is>
          <t>TIERP</t>
        </is>
      </c>
      <c r="H595" t="inlineStr">
        <is>
          <t>Bergvik skog öst AB</t>
        </is>
      </c>
      <c r="I595" t="n">
        <v>0.4</v>
      </c>
      <c r="J595" t="n">
        <v>1</v>
      </c>
      <c r="K595" t="n">
        <v>0</v>
      </c>
      <c r="L595" t="n">
        <v>0</v>
      </c>
      <c r="M595" t="n">
        <v>0</v>
      </c>
      <c r="N595" t="n">
        <v>0</v>
      </c>
      <c r="O595" t="n">
        <v>0</v>
      </c>
      <c r="P595" t="n">
        <v>0</v>
      </c>
      <c r="Q595" t="n">
        <v>0</v>
      </c>
      <c r="R595" t="n">
        <v>0</v>
      </c>
      <c r="S595" t="n">
        <v>1</v>
      </c>
      <c r="T595" t="n">
        <v>1</v>
      </c>
      <c r="U595" t="n">
        <v>1</v>
      </c>
      <c r="V595" s="2" t="inlineStr">
        <is>
          <t>Revlummer</t>
        </is>
      </c>
      <c r="W595">
        <f>HYPERLINK("https://klasma.github.io/Logging_0360/artfynd/A 33797-2023 artfynd.xlsx", "A 33797-2023")</f>
        <v/>
      </c>
      <c r="X595">
        <f>HYPERLINK("https://klasma.github.io/Logging_0360/kartor/A 33797-2023 karta.png", "A 33797-2023")</f>
        <v/>
      </c>
      <c r="Y595">
        <f>HYPERLINK("https://klasma.github.io/Logging_0360/kartor_geotiff/A 33797-2023 georefererad karta.tif", "A 33797-2023")</f>
        <v/>
      </c>
      <c r="Z595">
        <f>HYPERLINK("https://klasma.github.io/Logging_0360/knärot/A 33797-2023 karta knärot.png", "A 33797-2023")</f>
        <v/>
      </c>
      <c r="AA595">
        <f>HYPERLINK("https://klasma.github.io/Logging_0360/klagomål/A 33797-2023 FSC-klagomål.docx", "A 33797-2023")</f>
        <v/>
      </c>
      <c r="AB595">
        <f>HYPERLINK("https://klasma.github.io/Logging_0360/klagomålsmail/A 33797-2023 FSC-klagomål mail.docx", "A 33797-2023")</f>
        <v/>
      </c>
      <c r="AC595">
        <f>HYPERLINK("https://klasma.github.io/Logging_0360/tillsyn/A 33797-2023 tillsynsbegäran.docx", "A 33797-2023")</f>
        <v/>
      </c>
      <c r="AD595">
        <f>HYPERLINK("https://klasma.github.io/Logging_0360/tillsynsmail/A 33797-2023 tillsynsbegäran mail.docx", "A 33797-2023")</f>
        <v/>
      </c>
    </row>
    <row r="596" ht="15" customHeight="1">
      <c r="A596" t="inlineStr">
        <is>
          <t>A 7470-2022</t>
        </is>
      </c>
      <c r="B596" t="inlineStr">
        <is>
          <t>avverkningsanmälan</t>
        </is>
      </c>
      <c r="C596" t="inlineStr">
        <is>
          <t>Föryngringsavverkning</t>
        </is>
      </c>
      <c r="D596" s="1" t="n">
        <v>44607</v>
      </c>
      <c r="E596" s="1" t="n">
        <v>46309</v>
      </c>
      <c r="F596" t="inlineStr">
        <is>
          <t>UPPSALA LÄN</t>
        </is>
      </c>
      <c r="G596" t="inlineStr">
        <is>
          <t>ÖSTHAMMAR</t>
        </is>
      </c>
      <c r="I596" t="n">
        <v>2.6</v>
      </c>
      <c r="J596" t="n">
        <v>1</v>
      </c>
      <c r="K596" t="n">
        <v>1</v>
      </c>
      <c r="L596" t="n">
        <v>0</v>
      </c>
      <c r="M596" t="n">
        <v>0</v>
      </c>
      <c r="N596" t="n">
        <v>0</v>
      </c>
      <c r="O596" t="n">
        <v>0</v>
      </c>
      <c r="P596" t="n">
        <v>0</v>
      </c>
      <c r="Q596" t="n">
        <v>0</v>
      </c>
      <c r="R596" t="n">
        <v>0</v>
      </c>
      <c r="S596" t="n">
        <v>1</v>
      </c>
      <c r="T596" t="n">
        <v>1</v>
      </c>
      <c r="U596" t="n">
        <v>0</v>
      </c>
      <c r="V596" s="2" t="inlineStr">
        <is>
          <t>Grön sköldmossa</t>
        </is>
      </c>
      <c r="W596">
        <f>HYPERLINK("https://klasma.github.io/Logging_0382/artfynd/A 7470-2022 artfynd.xlsx", "A 7470-2022")</f>
        <v/>
      </c>
      <c r="X596">
        <f>HYPERLINK("https://klasma.github.io/Logging_0382/kartor/A 7470-2022 karta.png", "A 7470-2022")</f>
        <v/>
      </c>
      <c r="Y596">
        <f>HYPERLINK("https://klasma.github.io/Logging_0382/kartor_geotiff/A 7470-2022 georefererad karta.tif", "A 7470-2022")</f>
        <v/>
      </c>
      <c r="AA596">
        <f>HYPERLINK("https://klasma.github.io/Logging_0382/klagomål/A 7470-2022 FSC-klagomål.docx", "A 7470-2022")</f>
        <v/>
      </c>
      <c r="AB596">
        <f>HYPERLINK("https://klasma.github.io/Logging_0382/klagomålsmail/A 7470-2022 FSC-klagomål mail.docx", "A 7470-2022")</f>
        <v/>
      </c>
      <c r="AC596">
        <f>HYPERLINK("https://klasma.github.io/Logging_0382/tillsyn/A 7470-2022 tillsynsbegäran.docx", "A 7470-2022")</f>
        <v/>
      </c>
      <c r="AD596">
        <f>HYPERLINK("https://klasma.github.io/Logging_0382/tillsynsmail/A 7470-2022 tillsynsbegäran mail.docx", "A 7470-2022")</f>
        <v/>
      </c>
    </row>
    <row r="597" ht="15" customHeight="1">
      <c r="A597" t="inlineStr">
        <is>
          <t>A 10455-2022</t>
        </is>
      </c>
      <c r="B597" t="inlineStr">
        <is>
          <t>avverkningsanmälan</t>
        </is>
      </c>
      <c r="C597" t="inlineStr">
        <is>
          <t>Föryngringsavverkning</t>
        </is>
      </c>
      <c r="D597" s="1" t="n">
        <v>44623</v>
      </c>
      <c r="E597" s="1" t="n">
        <v>46309</v>
      </c>
      <c r="F597" t="inlineStr">
        <is>
          <t>UPPSALA LÄN</t>
        </is>
      </c>
      <c r="G597" t="inlineStr">
        <is>
          <t>ÄLVKARLEBY</t>
        </is>
      </c>
      <c r="H597" t="inlineStr">
        <is>
          <t>Bergvik skog öst AB</t>
        </is>
      </c>
      <c r="I597" t="n">
        <v>1.1</v>
      </c>
      <c r="J597" t="n">
        <v>0</v>
      </c>
      <c r="K597" t="n">
        <v>0</v>
      </c>
      <c r="L597" t="n">
        <v>1</v>
      </c>
      <c r="M597" t="n">
        <v>0</v>
      </c>
      <c r="N597" t="n">
        <v>0</v>
      </c>
      <c r="O597" t="n">
        <v>0</v>
      </c>
      <c r="P597" t="n">
        <v>0</v>
      </c>
      <c r="Q597" t="n">
        <v>1</v>
      </c>
      <c r="R597" t="n">
        <v>0</v>
      </c>
      <c r="S597" t="n">
        <v>1</v>
      </c>
      <c r="T597" t="n">
        <v>4</v>
      </c>
      <c r="U597" t="n">
        <v>1</v>
      </c>
      <c r="V597" s="2" t="inlineStr">
        <is>
          <t>Sandviol</t>
        </is>
      </c>
      <c r="W597">
        <f>HYPERLINK("https://klasma.github.io/Logging_0319/artfynd/A 10455-2022 artfynd.xlsx", "A 10455-2022")</f>
        <v/>
      </c>
      <c r="X597">
        <f>HYPERLINK("https://klasma.github.io/Logging_0319/kartor/A 10455-2022 karta.png", "A 10455-2022")</f>
        <v/>
      </c>
      <c r="Y597">
        <f>HYPERLINK("https://klasma.github.io/Logging_0319/kartor_geotiff/A 10455-2022 georefererad karta.tif", "A 10455-2022")</f>
        <v/>
      </c>
      <c r="AA597">
        <f>HYPERLINK("https://klasma.github.io/Logging_0319/klagomål/A 10455-2022 FSC-klagomål.docx", "A 10455-2022")</f>
        <v/>
      </c>
      <c r="AB597">
        <f>HYPERLINK("https://klasma.github.io/Logging_0319/klagomålsmail/A 10455-2022 FSC-klagomål mail.docx", "A 10455-2022")</f>
        <v/>
      </c>
      <c r="AC597">
        <f>HYPERLINK("https://klasma.github.io/Logging_0319/tillsyn/A 10455-2022 tillsynsbegäran.docx", "A 10455-2022")</f>
        <v/>
      </c>
      <c r="AD597">
        <f>HYPERLINK("https://klasma.github.io/Logging_0319/tillsynsmail/A 10455-2022 tillsynsbegäran mail.docx", "A 10455-2022")</f>
        <v/>
      </c>
    </row>
    <row r="598" ht="15" customHeight="1">
      <c r="A598" t="inlineStr">
        <is>
          <t>A 8014-2026</t>
        </is>
      </c>
      <c r="B598" t="inlineStr">
        <is>
          <t>avverkningsanmälan</t>
        </is>
      </c>
      <c r="C598" t="inlineStr">
        <is>
          <t>Föryngringsavverkning</t>
        </is>
      </c>
      <c r="D598" s="1" t="n">
        <v>46063</v>
      </c>
      <c r="E598" s="1" t="n">
        <v>46309</v>
      </c>
      <c r="F598" t="inlineStr">
        <is>
          <t>UPPSALA LÄN</t>
        </is>
      </c>
      <c r="G598" t="inlineStr">
        <is>
          <t>ÖSTHAMMAR</t>
        </is>
      </c>
      <c r="I598" t="n">
        <v>15.2</v>
      </c>
      <c r="J598" t="n">
        <v>1</v>
      </c>
      <c r="K598" t="n">
        <v>1</v>
      </c>
      <c r="L598" t="n">
        <v>0</v>
      </c>
      <c r="M598" t="n">
        <v>0</v>
      </c>
      <c r="N598" t="n">
        <v>0</v>
      </c>
      <c r="O598" t="n">
        <v>0</v>
      </c>
      <c r="P598" t="n">
        <v>0</v>
      </c>
      <c r="Q598" t="n">
        <v>0</v>
      </c>
      <c r="R598" t="n">
        <v>0</v>
      </c>
      <c r="S598" t="n">
        <v>1</v>
      </c>
      <c r="T598" t="n">
        <v>1</v>
      </c>
      <c r="U598" t="n">
        <v>0</v>
      </c>
      <c r="V598" s="2" t="inlineStr">
        <is>
          <t>Skogsknipprot</t>
        </is>
      </c>
      <c r="W598">
        <f>HYPERLINK("https://klasma.github.io/Logging_0382/artfynd/A 8014-2026 artfynd.xlsx", "A 8014-2026")</f>
        <v/>
      </c>
      <c r="X598">
        <f>HYPERLINK("https://klasma.github.io/Logging_0382/kartor/A 8014-2026 karta.png", "A 8014-2026")</f>
        <v/>
      </c>
      <c r="Y598">
        <f>HYPERLINK("https://klasma.github.io/Logging_0382/kartor_geotiff/A 8014-2026 georefererad karta.tif", "A 8014-2026")</f>
        <v/>
      </c>
      <c r="AA598">
        <f>HYPERLINK("https://klasma.github.io/Logging_0382/klagomål/A 8014-2026 FSC-klagomål.docx", "A 8014-2026")</f>
        <v/>
      </c>
      <c r="AB598">
        <f>HYPERLINK("https://klasma.github.io/Logging_0382/klagomålsmail/A 8014-2026 FSC-klagomål mail.docx", "A 8014-2026")</f>
        <v/>
      </c>
      <c r="AC598">
        <f>HYPERLINK("https://klasma.github.io/Logging_0382/tillsyn/A 8014-2026 tillsynsbegäran.docx", "A 8014-2026")</f>
        <v/>
      </c>
      <c r="AD598">
        <f>HYPERLINK("https://klasma.github.io/Logging_0382/tillsynsmail/A 8014-2026 tillsynsbegäran mail.docx", "A 8014-2026")</f>
        <v/>
      </c>
    </row>
    <row r="599" ht="15" customHeight="1">
      <c r="A599" t="inlineStr">
        <is>
          <t>A 17484-2025</t>
        </is>
      </c>
      <c r="B599" t="inlineStr">
        <is>
          <t>avverkningsanmälan</t>
        </is>
      </c>
      <c r="C599" t="inlineStr">
        <is>
          <t>Föryngringsavverkning</t>
        </is>
      </c>
      <c r="D599" s="1" t="n">
        <v>45757</v>
      </c>
      <c r="E599" s="1" t="n">
        <v>46309</v>
      </c>
      <c r="F599" t="inlineStr">
        <is>
          <t>UPPSALA LÄN</t>
        </is>
      </c>
      <c r="G599" t="inlineStr">
        <is>
          <t>UPPSALA</t>
        </is>
      </c>
      <c r="I599" t="n">
        <v>13.1</v>
      </c>
      <c r="J599" t="n">
        <v>1</v>
      </c>
      <c r="K599" t="n">
        <v>0</v>
      </c>
      <c r="L599" t="n">
        <v>0</v>
      </c>
      <c r="M599" t="n">
        <v>0</v>
      </c>
      <c r="N599" t="n">
        <v>0</v>
      </c>
      <c r="O599" t="n">
        <v>0</v>
      </c>
      <c r="P599" t="n">
        <v>0</v>
      </c>
      <c r="Q599" t="n">
        <v>0</v>
      </c>
      <c r="R599" t="n">
        <v>0</v>
      </c>
      <c r="S599" t="n">
        <v>1</v>
      </c>
      <c r="T599" t="n">
        <v>1</v>
      </c>
      <c r="U599" t="n">
        <v>0</v>
      </c>
      <c r="V599" s="2" t="inlineStr">
        <is>
          <t>Fläcknycklar</t>
        </is>
      </c>
      <c r="W599">
        <f>HYPERLINK("https://klasma.github.io/Logging_0380/artfynd/A 17484-2025 artfynd.xlsx", "A 17484-2025")</f>
        <v/>
      </c>
      <c r="X599">
        <f>HYPERLINK("https://klasma.github.io/Logging_0380/kartor/A 17484-2025 karta.png", "A 17484-2025")</f>
        <v/>
      </c>
      <c r="Y599">
        <f>HYPERLINK("https://klasma.github.io/Logging_0380/kartor_geotiff/A 17484-2025 georefererad karta.tif", "A 17484-2025")</f>
        <v/>
      </c>
      <c r="AA599">
        <f>HYPERLINK("https://klasma.github.io/Logging_0380/klagomål/A 17484-2025 FSC-klagomål.docx", "A 17484-2025")</f>
        <v/>
      </c>
      <c r="AB599">
        <f>HYPERLINK("https://klasma.github.io/Logging_0380/klagomålsmail/A 17484-2025 FSC-klagomål mail.docx", "A 17484-2025")</f>
        <v/>
      </c>
      <c r="AC599">
        <f>HYPERLINK("https://klasma.github.io/Logging_0380/tillsyn/A 17484-2025 tillsynsbegäran.docx", "A 17484-2025")</f>
        <v/>
      </c>
      <c r="AD599">
        <f>HYPERLINK("https://klasma.github.io/Logging_0380/tillsynsmail/A 17484-2025 tillsynsbegäran mail.docx", "A 17484-2025")</f>
        <v/>
      </c>
    </row>
    <row r="600" ht="15" customHeight="1">
      <c r="A600" t="inlineStr">
        <is>
          <t>A 20440-2025</t>
        </is>
      </c>
      <c r="B600" t="inlineStr">
        <is>
          <t>avverkningsanmälan</t>
        </is>
      </c>
      <c r="C600" t="inlineStr">
        <is>
          <t>Föryngringsavverkning</t>
        </is>
      </c>
      <c r="D600" s="1" t="n">
        <v>45775</v>
      </c>
      <c r="E600" s="1" t="n">
        <v>46309</v>
      </c>
      <c r="F600" t="inlineStr">
        <is>
          <t>UPPSALA LÄN</t>
        </is>
      </c>
      <c r="G600" t="inlineStr">
        <is>
          <t>ENKÖPING</t>
        </is>
      </c>
      <c r="I600" t="n">
        <v>1.6</v>
      </c>
      <c r="J600" t="n">
        <v>0</v>
      </c>
      <c r="K600" t="n">
        <v>0</v>
      </c>
      <c r="L600" t="n">
        <v>1</v>
      </c>
      <c r="M600" t="n">
        <v>0</v>
      </c>
      <c r="N600" t="n">
        <v>0</v>
      </c>
      <c r="O600" t="n">
        <v>0</v>
      </c>
      <c r="P600" t="n">
        <v>0</v>
      </c>
      <c r="Q600" t="n">
        <v>1</v>
      </c>
      <c r="R600" t="n">
        <v>0</v>
      </c>
      <c r="S600" t="n">
        <v>1</v>
      </c>
      <c r="T600" t="n">
        <v>1</v>
      </c>
      <c r="U600" t="n">
        <v>1</v>
      </c>
      <c r="V600" s="2" t="inlineStr">
        <is>
          <t>Jungfrulin</t>
        </is>
      </c>
      <c r="W600">
        <f>HYPERLINK("https://klasma.github.io/Logging_0381/artfynd/A 20440-2025 artfynd.xlsx", "A 20440-2025")</f>
        <v/>
      </c>
      <c r="X600">
        <f>HYPERLINK("https://klasma.github.io/Logging_0381/kartor/A 20440-2025 karta.png", "A 20440-2025")</f>
        <v/>
      </c>
      <c r="Y600">
        <f>HYPERLINK("https://klasma.github.io/Logging_0381/kartor_geotiff/A 20440-2025 georefererad karta.tif", "A 20440-2025")</f>
        <v/>
      </c>
      <c r="AA600">
        <f>HYPERLINK("https://klasma.github.io/Logging_0381/klagomål/A 20440-2025 FSC-klagomål.docx", "A 20440-2025")</f>
        <v/>
      </c>
      <c r="AB600">
        <f>HYPERLINK("https://klasma.github.io/Logging_0381/klagomålsmail/A 20440-2025 FSC-klagomål mail.docx", "A 20440-2025")</f>
        <v/>
      </c>
      <c r="AC600">
        <f>HYPERLINK("https://klasma.github.io/Logging_0381/tillsyn/A 20440-2025 tillsynsbegäran.docx", "A 20440-2025")</f>
        <v/>
      </c>
      <c r="AD600">
        <f>HYPERLINK("https://klasma.github.io/Logging_0381/tillsynsmail/A 20440-2025 tillsynsbegäran mail.docx", "A 20440-2025")</f>
        <v/>
      </c>
    </row>
    <row r="601" ht="15" customHeight="1">
      <c r="A601" t="inlineStr">
        <is>
          <t>A 49899-2023</t>
        </is>
      </c>
      <c r="B601" t="inlineStr">
        <is>
          <t>avverkningsanmälan</t>
        </is>
      </c>
      <c r="C601" t="inlineStr">
        <is>
          <t>Avverkning för att bevara och utveckla /försöksver</t>
        </is>
      </c>
      <c r="D601" s="1" t="n">
        <v>45213</v>
      </c>
      <c r="E601" s="1" t="n">
        <v>46309</v>
      </c>
      <c r="F601" t="inlineStr">
        <is>
          <t>UPPSALA LÄN</t>
        </is>
      </c>
      <c r="G601" t="inlineStr">
        <is>
          <t>ÖSTHAMMAR</t>
        </is>
      </c>
      <c r="I601" t="n">
        <v>6.2</v>
      </c>
      <c r="J601" t="n">
        <v>1</v>
      </c>
      <c r="K601" t="n">
        <v>0</v>
      </c>
      <c r="L601" t="n">
        <v>0</v>
      </c>
      <c r="M601" t="n">
        <v>0</v>
      </c>
      <c r="N601" t="n">
        <v>0</v>
      </c>
      <c r="O601" t="n">
        <v>0</v>
      </c>
      <c r="P601" t="n">
        <v>0</v>
      </c>
      <c r="Q601" t="n">
        <v>0</v>
      </c>
      <c r="R601" t="n">
        <v>0</v>
      </c>
      <c r="S601" t="n">
        <v>1</v>
      </c>
      <c r="T601" t="n">
        <v>1</v>
      </c>
      <c r="U601" t="n">
        <v>1</v>
      </c>
      <c r="V601" s="2" t="inlineStr">
        <is>
          <t>Grönvit nattviol</t>
        </is>
      </c>
      <c r="W601">
        <f>HYPERLINK("https://klasma.github.io/Logging_0382/artfynd/A 49899-2023 artfynd.xlsx", "A 49899-2023")</f>
        <v/>
      </c>
      <c r="X601">
        <f>HYPERLINK("https://klasma.github.io/Logging_0382/kartor/A 49899-2023 karta.png", "A 49899-2023")</f>
        <v/>
      </c>
      <c r="Y601">
        <f>HYPERLINK("https://klasma.github.io/Logging_0382/kartor_geotiff/A 49899-2023 georefererad karta.tif", "A 49899-2023")</f>
        <v/>
      </c>
      <c r="AA601">
        <f>HYPERLINK("https://klasma.github.io/Logging_0382/klagomål/A 49899-2023 FSC-klagomål.docx", "A 49899-2023")</f>
        <v/>
      </c>
      <c r="AB601">
        <f>HYPERLINK("https://klasma.github.io/Logging_0382/klagomålsmail/A 49899-2023 FSC-klagomål mail.docx", "A 49899-2023")</f>
        <v/>
      </c>
      <c r="AC601">
        <f>HYPERLINK("https://klasma.github.io/Logging_0382/tillsyn/A 49899-2023 tillsynsbegäran.docx", "A 49899-2023")</f>
        <v/>
      </c>
      <c r="AD601">
        <f>HYPERLINK("https://klasma.github.io/Logging_0382/tillsynsmail/A 49899-2023 tillsynsbegäran mail.docx", "A 49899-2023")</f>
        <v/>
      </c>
    </row>
    <row r="602" ht="15" customHeight="1">
      <c r="A602" t="inlineStr">
        <is>
          <t>A 18521-2026</t>
        </is>
      </c>
      <c r="B602" t="inlineStr">
        <is>
          <t>avverkningsanmälan</t>
        </is>
      </c>
      <c r="C602" t="inlineStr">
        <is>
          <t>Föryngringsavverkning</t>
        </is>
      </c>
      <c r="D602" s="1" t="n">
        <v>46127</v>
      </c>
      <c r="E602" s="1" t="n">
        <v>46309</v>
      </c>
      <c r="F602" t="inlineStr">
        <is>
          <t>UPPSALA LÄN</t>
        </is>
      </c>
      <c r="G602" t="inlineStr">
        <is>
          <t>TIERP</t>
        </is>
      </c>
      <c r="H602" t="inlineStr">
        <is>
          <t>Bergvik skog öst AB</t>
        </is>
      </c>
      <c r="I602" t="n">
        <v>1.9</v>
      </c>
      <c r="J602" t="n">
        <v>1</v>
      </c>
      <c r="K602" t="n">
        <v>1</v>
      </c>
      <c r="L602" t="n">
        <v>0</v>
      </c>
      <c r="M602" t="n">
        <v>0</v>
      </c>
      <c r="N602" t="n">
        <v>0</v>
      </c>
      <c r="O602" t="n">
        <v>0</v>
      </c>
      <c r="P602" t="n">
        <v>0</v>
      </c>
      <c r="Q602" t="n">
        <v>0</v>
      </c>
      <c r="R602" t="n">
        <v>0</v>
      </c>
      <c r="S602" t="n">
        <v>1</v>
      </c>
      <c r="T602" t="n">
        <v>1</v>
      </c>
      <c r="U602" t="n">
        <v>0</v>
      </c>
      <c r="V602" s="2" t="inlineStr">
        <is>
          <t>Tvåblad</t>
        </is>
      </c>
      <c r="W602">
        <f>HYPERLINK("https://klasma.github.io/Logging_0360/artfynd/A 18521-2026 artfynd.xlsx", "A 18521-2026")</f>
        <v/>
      </c>
      <c r="X602">
        <f>HYPERLINK("https://klasma.github.io/Logging_0360/kartor/A 18521-2026 karta.png", "A 18521-2026")</f>
        <v/>
      </c>
      <c r="Y602">
        <f>HYPERLINK("https://klasma.github.io/Logging_0360/kartor_geotiff/A 18521-2026 georefererad karta.tif", "A 18521-2026")</f>
        <v/>
      </c>
      <c r="AA602">
        <f>HYPERLINK("https://klasma.github.io/Logging_0360/klagomål/A 18521-2026 FSC-klagomål.docx", "A 18521-2026")</f>
        <v/>
      </c>
      <c r="AB602">
        <f>HYPERLINK("https://klasma.github.io/Logging_0360/klagomålsmail/A 18521-2026 FSC-klagomål mail.docx", "A 18521-2026")</f>
        <v/>
      </c>
      <c r="AC602">
        <f>HYPERLINK("https://klasma.github.io/Logging_0360/tillsyn/A 18521-2026 tillsynsbegäran.docx", "A 18521-2026")</f>
        <v/>
      </c>
      <c r="AD602">
        <f>HYPERLINK("https://klasma.github.io/Logging_0360/tillsynsmail/A 18521-2026 tillsynsbegäran mail.docx", "A 18521-2026")</f>
        <v/>
      </c>
    </row>
    <row r="603" ht="15" customHeight="1">
      <c r="A603" t="inlineStr">
        <is>
          <t>A 61818-2022</t>
        </is>
      </c>
      <c r="B603" t="inlineStr">
        <is>
          <t>avverkningsanmälan</t>
        </is>
      </c>
      <c r="C603" t="inlineStr">
        <is>
          <t>Föryngringsavverkning</t>
        </is>
      </c>
      <c r="D603" s="1" t="n">
        <v>44917</v>
      </c>
      <c r="E603" s="1" t="n">
        <v>46309</v>
      </c>
      <c r="F603" t="inlineStr">
        <is>
          <t>UPPSALA LÄN</t>
        </is>
      </c>
      <c r="G603" t="inlineStr">
        <is>
          <t>UPPSALA</t>
        </is>
      </c>
      <c r="H603" t="inlineStr">
        <is>
          <t>Holmen skog AB</t>
        </is>
      </c>
      <c r="I603" t="n">
        <v>0.8</v>
      </c>
      <c r="J603" t="n">
        <v>0</v>
      </c>
      <c r="K603" t="n">
        <v>0</v>
      </c>
      <c r="L603" t="n">
        <v>1</v>
      </c>
      <c r="M603" t="n">
        <v>0</v>
      </c>
      <c r="N603" t="n">
        <v>0</v>
      </c>
      <c r="O603" t="n">
        <v>0</v>
      </c>
      <c r="P603" t="n">
        <v>0</v>
      </c>
      <c r="Q603" t="n">
        <v>1</v>
      </c>
      <c r="R603" t="n">
        <v>0</v>
      </c>
      <c r="S603" t="n">
        <v>1</v>
      </c>
      <c r="T603" t="n">
        <v>2</v>
      </c>
      <c r="U603" t="n">
        <v>0</v>
      </c>
      <c r="V603" s="2" t="inlineStr">
        <is>
          <t>Blekticka</t>
        </is>
      </c>
      <c r="W603">
        <f>HYPERLINK("https://klasma.github.io/Logging_0380/artfynd/A 61818-2022 artfynd.xlsx", "A 61818-2022")</f>
        <v/>
      </c>
      <c r="X603">
        <f>HYPERLINK("https://klasma.github.io/Logging_0380/kartor/A 61818-2022 karta.png", "A 61818-2022")</f>
        <v/>
      </c>
      <c r="Y603">
        <f>HYPERLINK("https://klasma.github.io/Logging_0380/kartor_geotiff/A 61818-2022 georefererad karta.tif", "A 61818-2022")</f>
        <v/>
      </c>
      <c r="AA603">
        <f>HYPERLINK("https://klasma.github.io/Logging_0380/klagomål/A 61818-2022 FSC-klagomål.docx", "A 61818-2022")</f>
        <v/>
      </c>
      <c r="AB603">
        <f>HYPERLINK("https://klasma.github.io/Logging_0380/klagomålsmail/A 61818-2022 FSC-klagomål mail.docx", "A 61818-2022")</f>
        <v/>
      </c>
      <c r="AC603">
        <f>HYPERLINK("https://klasma.github.io/Logging_0380/tillsyn/A 61818-2022 tillsynsbegäran.docx", "A 61818-2022")</f>
        <v/>
      </c>
      <c r="AD603">
        <f>HYPERLINK("https://klasma.github.io/Logging_0380/tillsynsmail/A 61818-2022 tillsynsbegäran mail.docx", "A 61818-2022")</f>
        <v/>
      </c>
    </row>
    <row r="604" ht="15" customHeight="1">
      <c r="A604" t="inlineStr">
        <is>
          <t>A 19692-2026</t>
        </is>
      </c>
      <c r="B604" t="inlineStr">
        <is>
          <t>avverkningsanmälan</t>
        </is>
      </c>
      <c r="C604" t="inlineStr">
        <is>
          <t>Föryngringsavverkning</t>
        </is>
      </c>
      <c r="D604" s="1" t="n">
        <v>46134</v>
      </c>
      <c r="E604" s="1" t="n">
        <v>46309</v>
      </c>
      <c r="F604" t="inlineStr">
        <is>
          <t>UPPSALA LÄN</t>
        </is>
      </c>
      <c r="G604" t="inlineStr">
        <is>
          <t>TIERP</t>
        </is>
      </c>
      <c r="I604" t="n">
        <v>2.1</v>
      </c>
      <c r="J604" t="n">
        <v>1</v>
      </c>
      <c r="K604" t="n">
        <v>0</v>
      </c>
      <c r="L604" t="n">
        <v>0</v>
      </c>
      <c r="M604" t="n">
        <v>0</v>
      </c>
      <c r="N604" t="n">
        <v>0</v>
      </c>
      <c r="O604" t="n">
        <v>0</v>
      </c>
      <c r="P604" t="n">
        <v>0</v>
      </c>
      <c r="Q604" t="n">
        <v>0</v>
      </c>
      <c r="R604" t="n">
        <v>0</v>
      </c>
      <c r="S604" t="n">
        <v>1</v>
      </c>
      <c r="T604" t="n">
        <v>1</v>
      </c>
      <c r="U604" t="n">
        <v>0</v>
      </c>
      <c r="V604" s="2" t="inlineStr">
        <is>
          <t>Blåsippa</t>
        </is>
      </c>
      <c r="W604">
        <f>HYPERLINK("https://klasma.github.io/Logging_0360/artfynd/A 19692-2026 artfynd.xlsx", "A 19692-2026")</f>
        <v/>
      </c>
      <c r="X604">
        <f>HYPERLINK("https://klasma.github.io/Logging_0360/kartor/A 19692-2026 karta.png", "A 19692-2026")</f>
        <v/>
      </c>
      <c r="Y604">
        <f>HYPERLINK("https://klasma.github.io/Logging_0360/kartor_geotiff/A 19692-2026 georefererad karta.tif", "A 19692-2026")</f>
        <v/>
      </c>
      <c r="AA604">
        <f>HYPERLINK("https://klasma.github.io/Logging_0360/klagomål/A 19692-2026 FSC-klagomål.docx", "A 19692-2026")</f>
        <v/>
      </c>
      <c r="AB604">
        <f>HYPERLINK("https://klasma.github.io/Logging_0360/klagomålsmail/A 19692-2026 FSC-klagomål mail.docx", "A 19692-2026")</f>
        <v/>
      </c>
      <c r="AC604">
        <f>HYPERLINK("https://klasma.github.io/Logging_0360/tillsyn/A 19692-2026 tillsynsbegäran.docx", "A 19692-2026")</f>
        <v/>
      </c>
      <c r="AD604">
        <f>HYPERLINK("https://klasma.github.io/Logging_0360/tillsynsmail/A 19692-2026 tillsynsbegäran mail.docx", "A 19692-2026")</f>
        <v/>
      </c>
    </row>
    <row r="605" ht="15" customHeight="1">
      <c r="A605" t="inlineStr">
        <is>
          <t>A 1572-2023</t>
        </is>
      </c>
      <c r="B605" t="inlineStr">
        <is>
          <t>avverkningsanmälan</t>
        </is>
      </c>
      <c r="C605" t="inlineStr">
        <is>
          <t>Föryngringsavverkning</t>
        </is>
      </c>
      <c r="D605" s="1" t="n">
        <v>44937</v>
      </c>
      <c r="E605" s="1" t="n">
        <v>46309</v>
      </c>
      <c r="F605" t="inlineStr">
        <is>
          <t>UPPSALA LÄN</t>
        </is>
      </c>
      <c r="G605" t="inlineStr">
        <is>
          <t>TIERP</t>
        </is>
      </c>
      <c r="I605" t="n">
        <v>7.4</v>
      </c>
      <c r="J605" t="n">
        <v>0</v>
      </c>
      <c r="K605" t="n">
        <v>1</v>
      </c>
      <c r="L605" t="n">
        <v>0</v>
      </c>
      <c r="M605" t="n">
        <v>0</v>
      </c>
      <c r="N605" t="n">
        <v>0</v>
      </c>
      <c r="O605" t="n">
        <v>0</v>
      </c>
      <c r="P605" t="n">
        <v>0</v>
      </c>
      <c r="Q605" t="n">
        <v>0</v>
      </c>
      <c r="R605" t="n">
        <v>0</v>
      </c>
      <c r="S605" t="n">
        <v>1</v>
      </c>
      <c r="T605" t="n">
        <v>1</v>
      </c>
      <c r="U605" t="n">
        <v>0</v>
      </c>
      <c r="V605" s="2" t="inlineStr">
        <is>
          <t>Brun nållav</t>
        </is>
      </c>
      <c r="W605">
        <f>HYPERLINK("https://klasma.github.io/Logging_0360/artfynd/A 1572-2023 artfynd.xlsx", "A 1572-2023")</f>
        <v/>
      </c>
      <c r="X605">
        <f>HYPERLINK("https://klasma.github.io/Logging_0360/kartor/A 1572-2023 karta.png", "A 1572-2023")</f>
        <v/>
      </c>
      <c r="Y605">
        <f>HYPERLINK("https://klasma.github.io/Logging_0360/kartor_geotiff/A 1572-2023 georefererad karta.tif", "A 1572-2023")</f>
        <v/>
      </c>
      <c r="AA605">
        <f>HYPERLINK("https://klasma.github.io/Logging_0360/klagomål/A 1572-2023 FSC-klagomål.docx", "A 1572-2023")</f>
        <v/>
      </c>
      <c r="AB605">
        <f>HYPERLINK("https://klasma.github.io/Logging_0360/klagomålsmail/A 1572-2023 FSC-klagomål mail.docx", "A 1572-2023")</f>
        <v/>
      </c>
      <c r="AC605">
        <f>HYPERLINK("https://klasma.github.io/Logging_0360/tillsyn/A 1572-2023 tillsynsbegäran.docx", "A 1572-2023")</f>
        <v/>
      </c>
      <c r="AD605">
        <f>HYPERLINK("https://klasma.github.io/Logging_0360/tillsynsmail/A 1572-2023 tillsynsbegäran mail.docx", "A 1572-2023")</f>
        <v/>
      </c>
    </row>
    <row r="606" ht="15" customHeight="1">
      <c r="A606" t="inlineStr">
        <is>
          <t>A 29902-2023</t>
        </is>
      </c>
      <c r="B606" t="inlineStr">
        <is>
          <t>avverkningsanmälan</t>
        </is>
      </c>
      <c r="C606" t="inlineStr">
        <is>
          <t>Föryngringsavverkning</t>
        </is>
      </c>
      <c r="D606" s="1" t="n">
        <v>45107</v>
      </c>
      <c r="E606" s="1" t="n">
        <v>46309</v>
      </c>
      <c r="F606" t="inlineStr">
        <is>
          <t>UPPSALA LÄN</t>
        </is>
      </c>
      <c r="G606" t="inlineStr">
        <is>
          <t>UPPSALA</t>
        </is>
      </c>
      <c r="H606" t="inlineStr">
        <is>
          <t>Kyrkan</t>
        </is>
      </c>
      <c r="I606" t="n">
        <v>10.6</v>
      </c>
      <c r="J606" t="n">
        <v>1</v>
      </c>
      <c r="K606" t="n">
        <v>0</v>
      </c>
      <c r="L606" t="n">
        <v>0</v>
      </c>
      <c r="M606" t="n">
        <v>0</v>
      </c>
      <c r="N606" t="n">
        <v>0</v>
      </c>
      <c r="O606" t="n">
        <v>0</v>
      </c>
      <c r="P606" t="n">
        <v>0</v>
      </c>
      <c r="Q606" t="n">
        <v>0</v>
      </c>
      <c r="R606" t="n">
        <v>0</v>
      </c>
      <c r="S606" t="n">
        <v>1</v>
      </c>
      <c r="T606" t="n">
        <v>1</v>
      </c>
      <c r="U606" t="n">
        <v>1</v>
      </c>
      <c r="V606" s="2" t="inlineStr">
        <is>
          <t>Järpe</t>
        </is>
      </c>
      <c r="W606">
        <f>HYPERLINK("https://klasma.github.io/Logging_0380/artfynd/A 29902-2023 artfynd.xlsx", "A 29902-2023")</f>
        <v/>
      </c>
      <c r="X606">
        <f>HYPERLINK("https://klasma.github.io/Logging_0380/kartor/A 29902-2023 karta.png", "A 29902-2023")</f>
        <v/>
      </c>
      <c r="Y606">
        <f>HYPERLINK("https://klasma.github.io/Logging_0380/kartor_geotiff/A 29902-2023 georefererad karta.tif", "A 29902-2023")</f>
        <v/>
      </c>
      <c r="AA606">
        <f>HYPERLINK("https://klasma.github.io/Logging_0380/klagomål/A 29902-2023 FSC-klagomål.docx", "A 29902-2023")</f>
        <v/>
      </c>
      <c r="AB606">
        <f>HYPERLINK("https://klasma.github.io/Logging_0380/klagomålsmail/A 29902-2023 FSC-klagomål mail.docx", "A 29902-2023")</f>
        <v/>
      </c>
      <c r="AC606">
        <f>HYPERLINK("https://klasma.github.io/Logging_0380/tillsyn/A 29902-2023 tillsynsbegäran.docx", "A 29902-2023")</f>
        <v/>
      </c>
      <c r="AD606">
        <f>HYPERLINK("https://klasma.github.io/Logging_0380/tillsynsmail/A 29902-2023 tillsynsbegäran mail.docx", "A 29902-2023")</f>
        <v/>
      </c>
      <c r="AE606">
        <f>HYPERLINK("https://klasma.github.io/Logging_0380/fåglar/A 29902-2023 prioriterade fågelarter.docx", "A 29902-2023")</f>
        <v/>
      </c>
    </row>
    <row r="607" ht="15" customHeight="1">
      <c r="A607" t="inlineStr">
        <is>
          <t>A 11011-2025</t>
        </is>
      </c>
      <c r="B607" t="inlineStr">
        <is>
          <t>avverkningsanmälan</t>
        </is>
      </c>
      <c r="C607" t="inlineStr">
        <is>
          <t>Föryngringsavverkning</t>
        </is>
      </c>
      <c r="D607" s="1" t="n">
        <v>45723</v>
      </c>
      <c r="E607" s="1" t="n">
        <v>46309</v>
      </c>
      <c r="F607" t="inlineStr">
        <is>
          <t>UPPSALA LÄN</t>
        </is>
      </c>
      <c r="G607" t="inlineStr">
        <is>
          <t>HEBY</t>
        </is>
      </c>
      <c r="H607" t="inlineStr">
        <is>
          <t>Kyrkan</t>
        </is>
      </c>
      <c r="I607" t="n">
        <v>2.6</v>
      </c>
      <c r="J607" t="n">
        <v>0</v>
      </c>
      <c r="K607" t="n">
        <v>0</v>
      </c>
      <c r="L607" t="n">
        <v>1</v>
      </c>
      <c r="M607" t="n">
        <v>0</v>
      </c>
      <c r="N607" t="n">
        <v>0</v>
      </c>
      <c r="O607" t="n">
        <v>0</v>
      </c>
      <c r="P607" t="n">
        <v>0</v>
      </c>
      <c r="Q607" t="n">
        <v>1</v>
      </c>
      <c r="R607" t="n">
        <v>0</v>
      </c>
      <c r="S607" t="n">
        <v>1</v>
      </c>
      <c r="T607" t="n">
        <v>1</v>
      </c>
      <c r="U607" t="n">
        <v>0</v>
      </c>
      <c r="V607" s="2" t="inlineStr">
        <is>
          <t>Motaggsvamp</t>
        </is>
      </c>
      <c r="W607">
        <f>HYPERLINK("https://klasma.github.io/Logging_0331/artfynd/A 11011-2025 artfynd.xlsx", "A 11011-2025")</f>
        <v/>
      </c>
      <c r="X607">
        <f>HYPERLINK("https://klasma.github.io/Logging_0331/kartor/A 11011-2025 karta.png", "A 11011-2025")</f>
        <v/>
      </c>
      <c r="Y607">
        <f>HYPERLINK("https://klasma.github.io/Logging_0331/kartor_geotiff/A 11011-2025 georefererad karta.tif", "A 11011-2025")</f>
        <v/>
      </c>
      <c r="AA607">
        <f>HYPERLINK("https://klasma.github.io/Logging_0331/klagomål/A 11011-2025 FSC-klagomål.docx", "A 11011-2025")</f>
        <v/>
      </c>
      <c r="AB607">
        <f>HYPERLINK("https://klasma.github.io/Logging_0331/klagomålsmail/A 11011-2025 FSC-klagomål mail.docx", "A 11011-2025")</f>
        <v/>
      </c>
      <c r="AC607">
        <f>HYPERLINK("https://klasma.github.io/Logging_0331/tillsyn/A 11011-2025 tillsynsbegäran.docx", "A 11011-2025")</f>
        <v/>
      </c>
      <c r="AD607">
        <f>HYPERLINK("https://klasma.github.io/Logging_0331/tillsynsmail/A 11011-2025 tillsynsbegäran mail.docx", "A 11011-2025")</f>
        <v/>
      </c>
    </row>
    <row r="608" ht="15" customHeight="1">
      <c r="A608" t="inlineStr">
        <is>
          <t>A 3183-2024</t>
        </is>
      </c>
      <c r="B608" t="inlineStr">
        <is>
          <t>avverkningsanmälan</t>
        </is>
      </c>
      <c r="C608" t="inlineStr">
        <is>
          <t>Föryngringsavverkning</t>
        </is>
      </c>
      <c r="D608" s="1" t="n">
        <v>45316</v>
      </c>
      <c r="E608" s="1" t="n">
        <v>46309</v>
      </c>
      <c r="F608" t="inlineStr">
        <is>
          <t>UPPSALA LÄN</t>
        </is>
      </c>
      <c r="G608" t="inlineStr">
        <is>
          <t>UPPSALA</t>
        </is>
      </c>
      <c r="H608" t="inlineStr">
        <is>
          <t>Bergvik skog öst AB</t>
        </is>
      </c>
      <c r="I608" t="n">
        <v>1.8</v>
      </c>
      <c r="J608" t="n">
        <v>1</v>
      </c>
      <c r="K608" t="n">
        <v>0</v>
      </c>
      <c r="L608" t="n">
        <v>1</v>
      </c>
      <c r="M608" t="n">
        <v>0</v>
      </c>
      <c r="N608" t="n">
        <v>0</v>
      </c>
      <c r="O608" t="n">
        <v>0</v>
      </c>
      <c r="P608" t="n">
        <v>0</v>
      </c>
      <c r="Q608" t="n">
        <v>1</v>
      </c>
      <c r="R608" t="n">
        <v>0</v>
      </c>
      <c r="S608" t="n">
        <v>1</v>
      </c>
      <c r="T608" t="n">
        <v>1</v>
      </c>
      <c r="U608" t="n">
        <v>0</v>
      </c>
      <c r="V608" s="2" t="inlineStr">
        <is>
          <t>Järnsparv</t>
        </is>
      </c>
      <c r="W608">
        <f>HYPERLINK("https://klasma.github.io/Logging_0380/artfynd/A 3183-2024 artfynd.xlsx", "A 3183-2024")</f>
        <v/>
      </c>
      <c r="X608">
        <f>HYPERLINK("https://klasma.github.io/Logging_0380/kartor/A 3183-2024 karta.png", "A 3183-2024")</f>
        <v/>
      </c>
      <c r="Y608">
        <f>HYPERLINK("https://klasma.github.io/Logging_0380/kartor_geotiff/A 3183-2024 georefererad karta.tif", "A 3183-2024")</f>
        <v/>
      </c>
      <c r="AA608">
        <f>HYPERLINK("https://klasma.github.io/Logging_0380/klagomål/A 3183-2024 FSC-klagomål.docx", "A 3183-2024")</f>
        <v/>
      </c>
      <c r="AB608">
        <f>HYPERLINK("https://klasma.github.io/Logging_0380/klagomålsmail/A 3183-2024 FSC-klagomål mail.docx", "A 3183-2024")</f>
        <v/>
      </c>
      <c r="AC608">
        <f>HYPERLINK("https://klasma.github.io/Logging_0380/tillsyn/A 3183-2024 tillsynsbegäran.docx", "A 3183-2024")</f>
        <v/>
      </c>
      <c r="AD608">
        <f>HYPERLINK("https://klasma.github.io/Logging_0380/tillsynsmail/A 3183-2024 tillsynsbegäran mail.docx", "A 3183-2024")</f>
        <v/>
      </c>
      <c r="AE608">
        <f>HYPERLINK("https://klasma.github.io/Logging_0380/fåglar/A 3183-2024 prioriterade fågelarter.docx", "A 3183-2024")</f>
        <v/>
      </c>
    </row>
    <row r="609" ht="15" customHeight="1">
      <c r="A609" t="inlineStr">
        <is>
          <t>A 70017-2021</t>
        </is>
      </c>
      <c r="B609" t="inlineStr">
        <is>
          <t>avverkningsanmälan</t>
        </is>
      </c>
      <c r="C609" t="inlineStr">
        <is>
          <t>Föryngringsavverkning</t>
        </is>
      </c>
      <c r="D609" s="1" t="n">
        <v>44533</v>
      </c>
      <c r="E609" s="1" t="n">
        <v>46309</v>
      </c>
      <c r="F609" t="inlineStr">
        <is>
          <t>UPPSALA LÄN</t>
        </is>
      </c>
      <c r="G609" t="inlineStr">
        <is>
          <t>ÄLVKARLEBY</t>
        </is>
      </c>
      <c r="I609" t="n">
        <v>2.1</v>
      </c>
      <c r="J609" t="n">
        <v>1</v>
      </c>
      <c r="K609" t="n">
        <v>0</v>
      </c>
      <c r="L609" t="n">
        <v>0</v>
      </c>
      <c r="M609" t="n">
        <v>0</v>
      </c>
      <c r="N609" t="n">
        <v>0</v>
      </c>
      <c r="O609" t="n">
        <v>0</v>
      </c>
      <c r="P609" t="n">
        <v>0</v>
      </c>
      <c r="Q609" t="n">
        <v>0</v>
      </c>
      <c r="R609" t="n">
        <v>0</v>
      </c>
      <c r="S609" t="n">
        <v>1</v>
      </c>
      <c r="T609" t="n">
        <v>1</v>
      </c>
      <c r="U609" t="n">
        <v>1</v>
      </c>
      <c r="V609" s="2" t="inlineStr">
        <is>
          <t>Trana</t>
        </is>
      </c>
      <c r="W609">
        <f>HYPERLINK("https://klasma.github.io/Logging_0319/artfynd/A 70017-2021 artfynd.xlsx", "A 70017-2021")</f>
        <v/>
      </c>
      <c r="X609">
        <f>HYPERLINK("https://klasma.github.io/Logging_0319/kartor/A 70017-2021 karta.png", "A 70017-2021")</f>
        <v/>
      </c>
      <c r="Y609">
        <f>HYPERLINK("https://klasma.github.io/Logging_0319/kartor_geotiff/A 70017-2021 georefererad karta.tif", "A 70017-2021")</f>
        <v/>
      </c>
      <c r="AA609">
        <f>HYPERLINK("https://klasma.github.io/Logging_0319/klagomål/A 70017-2021 FSC-klagomål.docx", "A 70017-2021")</f>
        <v/>
      </c>
      <c r="AB609">
        <f>HYPERLINK("https://klasma.github.io/Logging_0319/klagomålsmail/A 70017-2021 FSC-klagomål mail.docx", "A 70017-2021")</f>
        <v/>
      </c>
      <c r="AC609">
        <f>HYPERLINK("https://klasma.github.io/Logging_0319/tillsyn/A 70017-2021 tillsynsbegäran.docx", "A 70017-2021")</f>
        <v/>
      </c>
      <c r="AD609">
        <f>HYPERLINK("https://klasma.github.io/Logging_0319/tillsynsmail/A 70017-2021 tillsynsbegäran mail.docx", "A 70017-2021")</f>
        <v/>
      </c>
      <c r="AE609">
        <f>HYPERLINK("https://klasma.github.io/Logging_0319/fåglar/A 70017-2021 prioriterade fågelarter.docx", "A 70017-2021")</f>
        <v/>
      </c>
    </row>
    <row r="610" ht="15" customHeight="1">
      <c r="A610" t="inlineStr">
        <is>
          <t>A 20530-2026</t>
        </is>
      </c>
      <c r="B610" t="inlineStr">
        <is>
          <t>avverkningsanmälan</t>
        </is>
      </c>
      <c r="C610" t="inlineStr">
        <is>
          <t>Föryngringsavverkning</t>
        </is>
      </c>
      <c r="D610" s="1" t="n">
        <v>46140</v>
      </c>
      <c r="E610" s="1" t="n">
        <v>46309</v>
      </c>
      <c r="F610" t="inlineStr">
        <is>
          <t>UPPSALA LÄN</t>
        </is>
      </c>
      <c r="G610" t="inlineStr">
        <is>
          <t>HEBY</t>
        </is>
      </c>
      <c r="I610" t="n">
        <v>5.3</v>
      </c>
      <c r="J610" t="n">
        <v>0</v>
      </c>
      <c r="K610" t="n">
        <v>1</v>
      </c>
      <c r="L610" t="n">
        <v>0</v>
      </c>
      <c r="M610" t="n">
        <v>0</v>
      </c>
      <c r="N610" t="n">
        <v>0</v>
      </c>
      <c r="O610" t="n">
        <v>0</v>
      </c>
      <c r="P610" t="n">
        <v>0</v>
      </c>
      <c r="Q610" t="n">
        <v>0</v>
      </c>
      <c r="R610" t="n">
        <v>0</v>
      </c>
      <c r="S610" t="n">
        <v>1</v>
      </c>
      <c r="T610" t="n">
        <v>1</v>
      </c>
      <c r="U610" t="n">
        <v>1</v>
      </c>
      <c r="V610" s="2" t="inlineStr">
        <is>
          <t>Björksplintborre</t>
        </is>
      </c>
      <c r="W610">
        <f>HYPERLINK("https://klasma.github.io/Logging_0331/artfynd/A 20530-2026 artfynd.xlsx", "A 20530-2026")</f>
        <v/>
      </c>
      <c r="X610">
        <f>HYPERLINK("https://klasma.github.io/Logging_0331/kartor/A 20530-2026 karta.png", "A 20530-2026")</f>
        <v/>
      </c>
      <c r="Y610">
        <f>HYPERLINK("https://klasma.github.io/Logging_0331/kartor_geotiff/A 20530-2026 georefererad karta.tif", "A 20530-2026")</f>
        <v/>
      </c>
      <c r="AA610">
        <f>HYPERLINK("https://klasma.github.io/Logging_0331/klagomål/A 20530-2026 FSC-klagomål.docx", "A 20530-2026")</f>
        <v/>
      </c>
      <c r="AB610">
        <f>HYPERLINK("https://klasma.github.io/Logging_0331/klagomålsmail/A 20530-2026 FSC-klagomål mail.docx", "A 20530-2026")</f>
        <v/>
      </c>
      <c r="AC610">
        <f>HYPERLINK("https://klasma.github.io/Logging_0331/tillsyn/A 20530-2026 tillsynsbegäran.docx", "A 20530-2026")</f>
        <v/>
      </c>
      <c r="AD610">
        <f>HYPERLINK("https://klasma.github.io/Logging_0331/tillsynsmail/A 20530-2026 tillsynsbegäran mail.docx", "A 20530-2026")</f>
        <v/>
      </c>
    </row>
    <row r="611" ht="15" customHeight="1">
      <c r="A611" t="inlineStr">
        <is>
          <t>A 8624-2024</t>
        </is>
      </c>
      <c r="B611" t="inlineStr">
        <is>
          <t>avverkningsanmälan</t>
        </is>
      </c>
      <c r="C611" t="inlineStr">
        <is>
          <t>Föryngringsavverkning</t>
        </is>
      </c>
      <c r="D611" s="1" t="n">
        <v>45355</v>
      </c>
      <c r="E611" s="1" t="n">
        <v>46309</v>
      </c>
      <c r="F611" t="inlineStr">
        <is>
          <t>UPPSALA LÄN</t>
        </is>
      </c>
      <c r="G611" t="inlineStr">
        <is>
          <t>HEBY</t>
        </is>
      </c>
      <c r="I611" t="n">
        <v>3.9</v>
      </c>
      <c r="J611" t="n">
        <v>0</v>
      </c>
      <c r="K611" t="n">
        <v>0</v>
      </c>
      <c r="L611" t="n">
        <v>1</v>
      </c>
      <c r="M611" t="n">
        <v>0</v>
      </c>
      <c r="N611" t="n">
        <v>0</v>
      </c>
      <c r="O611" t="n">
        <v>0</v>
      </c>
      <c r="P611" t="n">
        <v>0</v>
      </c>
      <c r="Q611" t="n">
        <v>1</v>
      </c>
      <c r="R611" t="n">
        <v>0</v>
      </c>
      <c r="S611" t="n">
        <v>1</v>
      </c>
      <c r="T611" t="n">
        <v>11</v>
      </c>
      <c r="U611" t="n">
        <v>0</v>
      </c>
      <c r="V611" s="2" t="inlineStr">
        <is>
          <t>Motaggsvamp</t>
        </is>
      </c>
      <c r="W611">
        <f>HYPERLINK("https://klasma.github.io/Logging_0331/artfynd/A 8624-2024 artfynd.xlsx", "A 8624-2024")</f>
        <v/>
      </c>
      <c r="X611">
        <f>HYPERLINK("https://klasma.github.io/Logging_0331/kartor/A 8624-2024 karta.png", "A 8624-2024")</f>
        <v/>
      </c>
      <c r="Y611">
        <f>HYPERLINK("https://klasma.github.io/Logging_0331/kartor_geotiff/A 8624-2024 georefererad karta.tif", "A 8624-2024")</f>
        <v/>
      </c>
      <c r="AA611">
        <f>HYPERLINK("https://klasma.github.io/Logging_0331/klagomål/A 8624-2024 FSC-klagomål.docx", "A 8624-2024")</f>
        <v/>
      </c>
      <c r="AB611">
        <f>HYPERLINK("https://klasma.github.io/Logging_0331/klagomålsmail/A 8624-2024 FSC-klagomål mail.docx", "A 8624-2024")</f>
        <v/>
      </c>
      <c r="AC611">
        <f>HYPERLINK("https://klasma.github.io/Logging_0331/tillsyn/A 8624-2024 tillsynsbegäran.docx", "A 8624-2024")</f>
        <v/>
      </c>
      <c r="AD611">
        <f>HYPERLINK("https://klasma.github.io/Logging_0331/tillsynsmail/A 8624-2024 tillsynsbegäran mail.docx", "A 8624-2024")</f>
        <v/>
      </c>
    </row>
    <row r="612" ht="15" customHeight="1">
      <c r="A612" t="inlineStr">
        <is>
          <t>A 22769-2025</t>
        </is>
      </c>
      <c r="B612" t="inlineStr">
        <is>
          <t>avverkningsanmälan</t>
        </is>
      </c>
      <c r="C612" t="inlineStr">
        <is>
          <t>Föryngringsavverkning</t>
        </is>
      </c>
      <c r="D612" s="1" t="n">
        <v>45789</v>
      </c>
      <c r="E612" s="1" t="n">
        <v>46309</v>
      </c>
      <c r="F612" t="inlineStr">
        <is>
          <t>UPPSALA LÄN</t>
        </is>
      </c>
      <c r="G612" t="inlineStr">
        <is>
          <t>TIERP</t>
        </is>
      </c>
      <c r="I612" t="n">
        <v>1.6</v>
      </c>
      <c r="J612" t="n">
        <v>0</v>
      </c>
      <c r="K612" t="n">
        <v>0</v>
      </c>
      <c r="L612" t="n">
        <v>1</v>
      </c>
      <c r="M612" t="n">
        <v>0</v>
      </c>
      <c r="N612" t="n">
        <v>0</v>
      </c>
      <c r="O612" t="n">
        <v>0</v>
      </c>
      <c r="P612" t="n">
        <v>0</v>
      </c>
      <c r="Q612" t="n">
        <v>1</v>
      </c>
      <c r="R612" t="n">
        <v>0</v>
      </c>
      <c r="S612" t="n">
        <v>1</v>
      </c>
      <c r="T612" t="n">
        <v>1</v>
      </c>
      <c r="U612" t="n">
        <v>0</v>
      </c>
      <c r="V612" s="2" t="inlineStr">
        <is>
          <t>Vårärt</t>
        </is>
      </c>
      <c r="W612">
        <f>HYPERLINK("https://klasma.github.io/Logging_0360/artfynd/A 22769-2025 artfynd.xlsx", "A 22769-2025")</f>
        <v/>
      </c>
      <c r="X612">
        <f>HYPERLINK("https://klasma.github.io/Logging_0360/kartor/A 22769-2025 karta.png", "A 22769-2025")</f>
        <v/>
      </c>
      <c r="Y612">
        <f>HYPERLINK("https://klasma.github.io/Logging_0360/kartor_geotiff/A 22769-2025 georefererad karta.tif", "A 22769-2025")</f>
        <v/>
      </c>
      <c r="AA612">
        <f>HYPERLINK("https://klasma.github.io/Logging_0360/klagomål/A 22769-2025 FSC-klagomål.docx", "A 22769-2025")</f>
        <v/>
      </c>
      <c r="AB612">
        <f>HYPERLINK("https://klasma.github.io/Logging_0360/klagomålsmail/A 22769-2025 FSC-klagomål mail.docx", "A 22769-2025")</f>
        <v/>
      </c>
      <c r="AC612">
        <f>HYPERLINK("https://klasma.github.io/Logging_0360/tillsyn/A 22769-2025 tillsynsbegäran.docx", "A 22769-2025")</f>
        <v/>
      </c>
      <c r="AD612">
        <f>HYPERLINK("https://klasma.github.io/Logging_0360/tillsynsmail/A 22769-2025 tillsynsbegäran mail.docx", "A 22769-2025")</f>
        <v/>
      </c>
    </row>
    <row r="613" ht="15" customHeight="1">
      <c r="A613" t="inlineStr">
        <is>
          <t>A 3374-2024</t>
        </is>
      </c>
      <c r="B613" t="inlineStr">
        <is>
          <t>avverkningsanmälan</t>
        </is>
      </c>
      <c r="C613" t="inlineStr">
        <is>
          <t>Föryngringsavverkning</t>
        </is>
      </c>
      <c r="D613" s="1" t="n">
        <v>45317</v>
      </c>
      <c r="E613" s="1" t="n">
        <v>46309</v>
      </c>
      <c r="F613" t="inlineStr">
        <is>
          <t>UPPSALA LÄN</t>
        </is>
      </c>
      <c r="G613" t="inlineStr">
        <is>
          <t>HEBY</t>
        </is>
      </c>
      <c r="I613" t="n">
        <v>8.4</v>
      </c>
      <c r="J613" t="n">
        <v>0</v>
      </c>
      <c r="K613" t="n">
        <v>0</v>
      </c>
      <c r="L613" t="n">
        <v>1</v>
      </c>
      <c r="M613" t="n">
        <v>0</v>
      </c>
      <c r="N613" t="n">
        <v>0</v>
      </c>
      <c r="O613" t="n">
        <v>0</v>
      </c>
      <c r="P613" t="n">
        <v>0</v>
      </c>
      <c r="Q613" t="n">
        <v>1</v>
      </c>
      <c r="R613" t="n">
        <v>0</v>
      </c>
      <c r="S613" t="n">
        <v>1</v>
      </c>
      <c r="T613" t="n">
        <v>1</v>
      </c>
      <c r="U613" t="n">
        <v>0</v>
      </c>
      <c r="V613" s="2" t="inlineStr">
        <is>
          <t>Berggräsfjäril</t>
        </is>
      </c>
      <c r="W613">
        <f>HYPERLINK("https://klasma.github.io/Logging_0331/artfynd/A 3374-2024 artfynd.xlsx", "A 3374-2024")</f>
        <v/>
      </c>
      <c r="X613">
        <f>HYPERLINK("https://klasma.github.io/Logging_0331/kartor/A 3374-2024 karta.png", "A 3374-2024")</f>
        <v/>
      </c>
      <c r="Y613">
        <f>HYPERLINK("https://klasma.github.io/Logging_0331/kartor_geotiff/A 3374-2024 georefererad karta.tif", "A 3374-2024")</f>
        <v/>
      </c>
      <c r="AA613">
        <f>HYPERLINK("https://klasma.github.io/Logging_0331/klagomål/A 3374-2024 FSC-klagomål.docx", "A 3374-2024")</f>
        <v/>
      </c>
      <c r="AB613">
        <f>HYPERLINK("https://klasma.github.io/Logging_0331/klagomålsmail/A 3374-2024 FSC-klagomål mail.docx", "A 3374-2024")</f>
        <v/>
      </c>
      <c r="AC613">
        <f>HYPERLINK("https://klasma.github.io/Logging_0331/tillsyn/A 3374-2024 tillsynsbegäran.docx", "A 3374-2024")</f>
        <v/>
      </c>
      <c r="AD613">
        <f>HYPERLINK("https://klasma.github.io/Logging_0331/tillsynsmail/A 3374-2024 tillsynsbegäran mail.docx", "A 3374-2024")</f>
        <v/>
      </c>
    </row>
    <row r="614" ht="15" customHeight="1">
      <c r="A614" t="inlineStr">
        <is>
          <t>A 30605-2025</t>
        </is>
      </c>
      <c r="B614" t="inlineStr">
        <is>
          <t>avverkningsanmälan</t>
        </is>
      </c>
      <c r="C614" t="inlineStr">
        <is>
          <t>Föryngringsavverkning</t>
        </is>
      </c>
      <c r="D614" s="1" t="n">
        <v>45831</v>
      </c>
      <c r="E614" s="1" t="n">
        <v>46309</v>
      </c>
      <c r="F614" t="inlineStr">
        <is>
          <t>UPPSALA LÄN</t>
        </is>
      </c>
      <c r="G614" t="inlineStr">
        <is>
          <t>ÖSTHAMMAR</t>
        </is>
      </c>
      <c r="I614" t="n">
        <v>1.7</v>
      </c>
      <c r="J614" t="n">
        <v>0</v>
      </c>
      <c r="K614" t="n">
        <v>0</v>
      </c>
      <c r="L614" t="n">
        <v>0</v>
      </c>
      <c r="M614" t="n">
        <v>1</v>
      </c>
      <c r="N614" t="n">
        <v>0</v>
      </c>
      <c r="O614" t="n">
        <v>0</v>
      </c>
      <c r="P614" t="n">
        <v>0</v>
      </c>
      <c r="Q614" t="n">
        <v>1</v>
      </c>
      <c r="R614" t="n">
        <v>1</v>
      </c>
      <c r="S614" t="n">
        <v>1</v>
      </c>
      <c r="T614" t="n">
        <v>1</v>
      </c>
      <c r="U614" t="n">
        <v>0</v>
      </c>
      <c r="V614" s="2" t="inlineStr">
        <is>
          <t>Plattsäv</t>
        </is>
      </c>
      <c r="W614">
        <f>HYPERLINK("https://klasma.github.io/Logging_0382/artfynd/A 30605-2025 artfynd.xlsx", "A 30605-2025")</f>
        <v/>
      </c>
      <c r="X614">
        <f>HYPERLINK("https://klasma.github.io/Logging_0382/kartor/A 30605-2025 karta.png", "A 30605-2025")</f>
        <v/>
      </c>
      <c r="Y614">
        <f>HYPERLINK("https://klasma.github.io/Logging_0382/kartor_geotiff/A 30605-2025 georefererad karta.tif", "A 30605-2025")</f>
        <v/>
      </c>
      <c r="AA614">
        <f>HYPERLINK("https://klasma.github.io/Logging_0382/klagomål/A 30605-2025 FSC-klagomål.docx", "A 30605-2025")</f>
        <v/>
      </c>
      <c r="AB614">
        <f>HYPERLINK("https://klasma.github.io/Logging_0382/klagomålsmail/A 30605-2025 FSC-klagomål mail.docx", "A 30605-2025")</f>
        <v/>
      </c>
      <c r="AC614">
        <f>HYPERLINK("https://klasma.github.io/Logging_0382/tillsyn/A 30605-2025 tillsynsbegäran.docx", "A 30605-2025")</f>
        <v/>
      </c>
      <c r="AD614">
        <f>HYPERLINK("https://klasma.github.io/Logging_0382/tillsynsmail/A 30605-2025 tillsynsbegäran mail.docx", "A 30605-2025")</f>
        <v/>
      </c>
    </row>
    <row r="615" ht="15" customHeight="1">
      <c r="A615" t="inlineStr">
        <is>
          <t>A 20396-2026</t>
        </is>
      </c>
      <c r="B615" t="inlineStr">
        <is>
          <t>avverkningsanmälan</t>
        </is>
      </c>
      <c r="C615" t="inlineStr">
        <is>
          <t>Föryngringsavverkning</t>
        </is>
      </c>
      <c r="D615" s="1" t="n">
        <v>46139</v>
      </c>
      <c r="E615" s="1" t="n">
        <v>46309</v>
      </c>
      <c r="F615" t="inlineStr">
        <is>
          <t>UPPSALA LÄN</t>
        </is>
      </c>
      <c r="G615" t="inlineStr">
        <is>
          <t>ÖSTHAMMAR</t>
        </is>
      </c>
      <c r="I615" t="n">
        <v>1.4</v>
      </c>
      <c r="J615" t="n">
        <v>1</v>
      </c>
      <c r="K615" t="n">
        <v>0</v>
      </c>
      <c r="L615" t="n">
        <v>1</v>
      </c>
      <c r="M615" t="n">
        <v>0</v>
      </c>
      <c r="N615" t="n">
        <v>0</v>
      </c>
      <c r="O615" t="n">
        <v>0</v>
      </c>
      <c r="P615" t="n">
        <v>0</v>
      </c>
      <c r="Q615" t="n">
        <v>1</v>
      </c>
      <c r="R615" t="n">
        <v>0</v>
      </c>
      <c r="S615" t="n">
        <v>1</v>
      </c>
      <c r="T615" t="n">
        <v>1</v>
      </c>
      <c r="U615" t="n">
        <v>0</v>
      </c>
      <c r="V615" s="2" t="inlineStr">
        <is>
          <t>Bivråk</t>
        </is>
      </c>
      <c r="W615">
        <f>HYPERLINK("https://klasma.github.io/Logging_0382/artfynd/A 20396-2026 artfynd.xlsx", "A 20396-2026")</f>
        <v/>
      </c>
      <c r="X615">
        <f>HYPERLINK("https://klasma.github.io/Logging_0382/kartor/A 20396-2026 karta.png", "A 20396-2026")</f>
        <v/>
      </c>
      <c r="Y615">
        <f>HYPERLINK("https://klasma.github.io/Logging_0382/kartor_geotiff/A 20396-2026 georefererad karta.tif", "A 20396-2026")</f>
        <v/>
      </c>
      <c r="AA615">
        <f>HYPERLINK("https://klasma.github.io/Logging_0382/klagomål/A 20396-2026 FSC-klagomål.docx", "A 20396-2026")</f>
        <v/>
      </c>
      <c r="AB615">
        <f>HYPERLINK("https://klasma.github.io/Logging_0382/klagomålsmail/A 20396-2026 FSC-klagomål mail.docx", "A 20396-2026")</f>
        <v/>
      </c>
      <c r="AC615">
        <f>HYPERLINK("https://klasma.github.io/Logging_0382/tillsyn/A 20396-2026 tillsynsbegäran.docx", "A 20396-2026")</f>
        <v/>
      </c>
      <c r="AD615">
        <f>HYPERLINK("https://klasma.github.io/Logging_0382/tillsynsmail/A 20396-2026 tillsynsbegäran mail.docx", "A 20396-2026")</f>
        <v/>
      </c>
      <c r="AE615">
        <f>HYPERLINK("https://klasma.github.io/Logging_0382/fåglar/A 20396-2026 prioriterade fågelarter.docx", "A 20396-2026")</f>
        <v/>
      </c>
    </row>
    <row r="616" ht="15" customHeight="1">
      <c r="A616" t="inlineStr">
        <is>
          <t>A 38821-2023</t>
        </is>
      </c>
      <c r="B616" t="inlineStr">
        <is>
          <t>avverkningsanmälan</t>
        </is>
      </c>
      <c r="C616" t="inlineStr">
        <is>
          <t>Föryngringsavverkning</t>
        </is>
      </c>
      <c r="D616" s="1" t="n">
        <v>45163</v>
      </c>
      <c r="E616" s="1" t="n">
        <v>46309</v>
      </c>
      <c r="F616" t="inlineStr">
        <is>
          <t>UPPSALA LÄN</t>
        </is>
      </c>
      <c r="G616" t="inlineStr">
        <is>
          <t>TIERP</t>
        </is>
      </c>
      <c r="I616" t="n">
        <v>20.3</v>
      </c>
      <c r="J616" t="n">
        <v>1</v>
      </c>
      <c r="K616" t="n">
        <v>0</v>
      </c>
      <c r="L616" t="n">
        <v>0</v>
      </c>
      <c r="M616" t="n">
        <v>0</v>
      </c>
      <c r="N616" t="n">
        <v>0</v>
      </c>
      <c r="O616" t="n">
        <v>0</v>
      </c>
      <c r="P616" t="n">
        <v>0</v>
      </c>
      <c r="Q616" t="n">
        <v>0</v>
      </c>
      <c r="R616" t="n">
        <v>0</v>
      </c>
      <c r="S616" t="n">
        <v>1</v>
      </c>
      <c r="T616" t="n">
        <v>1</v>
      </c>
      <c r="U616" t="n">
        <v>1</v>
      </c>
      <c r="V616" s="2" t="inlineStr">
        <is>
          <t>Revlummer</t>
        </is>
      </c>
      <c r="W616">
        <f>HYPERLINK("https://klasma.github.io/Logging_0360/artfynd/A 38821-2023 artfynd.xlsx", "A 38821-2023")</f>
        <v/>
      </c>
      <c r="X616">
        <f>HYPERLINK("https://klasma.github.io/Logging_0360/kartor/A 38821-2023 karta.png", "A 38821-2023")</f>
        <v/>
      </c>
      <c r="Y616">
        <f>HYPERLINK("https://klasma.github.io/Logging_0360/kartor_geotiff/A 38821-2023 georefererad karta.tif", "A 38821-2023")</f>
        <v/>
      </c>
      <c r="AA616">
        <f>HYPERLINK("https://klasma.github.io/Logging_0360/klagomål/A 38821-2023 FSC-klagomål.docx", "A 38821-2023")</f>
        <v/>
      </c>
      <c r="AB616">
        <f>HYPERLINK("https://klasma.github.io/Logging_0360/klagomålsmail/A 38821-2023 FSC-klagomål mail.docx", "A 38821-2023")</f>
        <v/>
      </c>
      <c r="AC616">
        <f>HYPERLINK("https://klasma.github.io/Logging_0360/tillsyn/A 38821-2023 tillsynsbegäran.docx", "A 38821-2023")</f>
        <v/>
      </c>
      <c r="AD616">
        <f>HYPERLINK("https://klasma.github.io/Logging_0360/tillsynsmail/A 38821-2023 tillsynsbegäran mail.docx", "A 38821-2023")</f>
        <v/>
      </c>
    </row>
    <row r="617" ht="15" customHeight="1">
      <c r="A617" t="inlineStr">
        <is>
          <t>A 46748-2024</t>
        </is>
      </c>
      <c r="B617" t="inlineStr">
        <is>
          <t>avverkningsanmälan</t>
        </is>
      </c>
      <c r="C617" t="inlineStr">
        <is>
          <t>Föryngringsavverkning</t>
        </is>
      </c>
      <c r="D617" s="1" t="n">
        <v>45583</v>
      </c>
      <c r="E617" s="1" t="n">
        <v>46309</v>
      </c>
      <c r="F617" t="inlineStr">
        <is>
          <t>UPPSALA LÄN</t>
        </is>
      </c>
      <c r="G617" t="inlineStr">
        <is>
          <t>UPPSALA</t>
        </is>
      </c>
      <c r="H617" t="inlineStr">
        <is>
          <t>Sveaskog</t>
        </is>
      </c>
      <c r="I617" t="n">
        <v>1.1</v>
      </c>
      <c r="J617" t="n">
        <v>1</v>
      </c>
      <c r="K617" t="n">
        <v>0</v>
      </c>
      <c r="L617" t="n">
        <v>0</v>
      </c>
      <c r="M617" t="n">
        <v>0</v>
      </c>
      <c r="N617" t="n">
        <v>0</v>
      </c>
      <c r="O617" t="n">
        <v>0</v>
      </c>
      <c r="P617" t="n">
        <v>0</v>
      </c>
      <c r="Q617" t="n">
        <v>0</v>
      </c>
      <c r="R617" t="n">
        <v>0</v>
      </c>
      <c r="S617" t="n">
        <v>1</v>
      </c>
      <c r="T617" t="n">
        <v>1</v>
      </c>
      <c r="U617" t="n">
        <v>1</v>
      </c>
      <c r="V617" s="2" t="inlineStr">
        <is>
          <t>Nattskärra</t>
        </is>
      </c>
      <c r="W617">
        <f>HYPERLINK("https://klasma.github.io/Logging_0380/artfynd/A 46748-2024 artfynd.xlsx", "A 46748-2024")</f>
        <v/>
      </c>
      <c r="X617">
        <f>HYPERLINK("https://klasma.github.io/Logging_0380/kartor/A 46748-2024 karta.png", "A 46748-2024")</f>
        <v/>
      </c>
      <c r="Y617">
        <f>HYPERLINK("https://klasma.github.io/Logging_0380/kartor_geotiff/A 46748-2024 georefererad karta.tif", "A 46748-2024")</f>
        <v/>
      </c>
      <c r="AA617">
        <f>HYPERLINK("https://klasma.github.io/Logging_0380/klagomål/A 46748-2024 FSC-klagomål.docx", "A 46748-2024")</f>
        <v/>
      </c>
      <c r="AB617">
        <f>HYPERLINK("https://klasma.github.io/Logging_0380/klagomålsmail/A 46748-2024 FSC-klagomål mail.docx", "A 46748-2024")</f>
        <v/>
      </c>
      <c r="AC617">
        <f>HYPERLINK("https://klasma.github.io/Logging_0380/tillsyn/A 46748-2024 tillsynsbegäran.docx", "A 46748-2024")</f>
        <v/>
      </c>
      <c r="AD617">
        <f>HYPERLINK("https://klasma.github.io/Logging_0380/tillsynsmail/A 46748-2024 tillsynsbegäran mail.docx", "A 46748-2024")</f>
        <v/>
      </c>
      <c r="AE617">
        <f>HYPERLINK("https://klasma.github.io/Logging_0380/fåglar/A 46748-2024 prioriterade fågelarter.docx", "A 46748-2024")</f>
        <v/>
      </c>
    </row>
    <row r="618" ht="15" customHeight="1">
      <c r="A618" t="inlineStr">
        <is>
          <t>A 10034-2023</t>
        </is>
      </c>
      <c r="B618" t="inlineStr">
        <is>
          <t>avverkningsanmälan</t>
        </is>
      </c>
      <c r="C618" t="inlineStr">
        <is>
          <t>Avverkning för annat ändamål</t>
        </is>
      </c>
      <c r="D618" s="1" t="n">
        <v>44985</v>
      </c>
      <c r="E618" s="1" t="n">
        <v>46309</v>
      </c>
      <c r="F618" t="inlineStr">
        <is>
          <t>UPPSALA LÄN</t>
        </is>
      </c>
      <c r="G618" t="inlineStr">
        <is>
          <t>ÖSTHAMMAR</t>
        </is>
      </c>
      <c r="I618" t="n">
        <v>2.1</v>
      </c>
      <c r="J618" t="n">
        <v>1</v>
      </c>
      <c r="K618" t="n">
        <v>0</v>
      </c>
      <c r="L618" t="n">
        <v>0</v>
      </c>
      <c r="M618" t="n">
        <v>0</v>
      </c>
      <c r="N618" t="n">
        <v>0</v>
      </c>
      <c r="O618" t="n">
        <v>0</v>
      </c>
      <c r="P618" t="n">
        <v>0</v>
      </c>
      <c r="Q618" t="n">
        <v>0</v>
      </c>
      <c r="R618" t="n">
        <v>0</v>
      </c>
      <c r="S618" t="n">
        <v>1</v>
      </c>
      <c r="T618" t="n">
        <v>1</v>
      </c>
      <c r="U618" t="n">
        <v>1</v>
      </c>
      <c r="V618" s="2" t="inlineStr">
        <is>
          <t>Blåsippa</t>
        </is>
      </c>
      <c r="W618">
        <f>HYPERLINK("https://klasma.github.io/Logging_0382/artfynd/A 10034-2023 artfynd.xlsx", "A 10034-2023")</f>
        <v/>
      </c>
      <c r="X618">
        <f>HYPERLINK("https://klasma.github.io/Logging_0382/kartor/A 10034-2023 karta.png", "A 10034-2023")</f>
        <v/>
      </c>
      <c r="Y618">
        <f>HYPERLINK("https://klasma.github.io/Logging_0382/kartor_geotiff/A 10034-2023 georefererad karta.tif", "A 10034-2023")</f>
        <v/>
      </c>
      <c r="AA618">
        <f>HYPERLINK("https://klasma.github.io/Logging_0382/klagomål/A 10034-2023 FSC-klagomål.docx", "A 10034-2023")</f>
        <v/>
      </c>
      <c r="AB618">
        <f>HYPERLINK("https://klasma.github.io/Logging_0382/klagomålsmail/A 10034-2023 FSC-klagomål mail.docx", "A 10034-2023")</f>
        <v/>
      </c>
      <c r="AC618">
        <f>HYPERLINK("https://klasma.github.io/Logging_0382/tillsyn/A 10034-2023 tillsynsbegäran.docx", "A 10034-2023")</f>
        <v/>
      </c>
      <c r="AD618">
        <f>HYPERLINK("https://klasma.github.io/Logging_0382/tillsynsmail/A 10034-2023 tillsynsbegäran mail.docx", "A 10034-2023")</f>
        <v/>
      </c>
    </row>
    <row r="619" ht="15" customHeight="1">
      <c r="A619" t="inlineStr">
        <is>
          <t>A 37296-2023</t>
        </is>
      </c>
      <c r="B619" t="inlineStr">
        <is>
          <t>avverkningsanmälan</t>
        </is>
      </c>
      <c r="C619" t="inlineStr">
        <is>
          <t>Föryngringsavverkning</t>
        </is>
      </c>
      <c r="D619" s="1" t="n">
        <v>45156</v>
      </c>
      <c r="E619" s="1" t="n">
        <v>46309</v>
      </c>
      <c r="F619" t="inlineStr">
        <is>
          <t>UPPSALA LÄN</t>
        </is>
      </c>
      <c r="G619" t="inlineStr">
        <is>
          <t>ÖSTHAMMAR</t>
        </is>
      </c>
      <c r="I619" t="n">
        <v>4.7</v>
      </c>
      <c r="J619" t="n">
        <v>1</v>
      </c>
      <c r="K619" t="n">
        <v>0</v>
      </c>
      <c r="L619" t="n">
        <v>0</v>
      </c>
      <c r="M619" t="n">
        <v>1</v>
      </c>
      <c r="N619" t="n">
        <v>0</v>
      </c>
      <c r="O619" t="n">
        <v>0</v>
      </c>
      <c r="P619" t="n">
        <v>0</v>
      </c>
      <c r="Q619" t="n">
        <v>1</v>
      </c>
      <c r="R619" t="n">
        <v>1</v>
      </c>
      <c r="S619" t="n">
        <v>1</v>
      </c>
      <c r="T619" t="n">
        <v>1</v>
      </c>
      <c r="U619" t="n">
        <v>1</v>
      </c>
      <c r="V619" s="2" t="inlineStr">
        <is>
          <t>Backsippa</t>
        </is>
      </c>
      <c r="W619">
        <f>HYPERLINK("https://klasma.github.io/Logging_0382/artfynd/A 37296-2023 artfynd.xlsx", "A 37296-2023")</f>
        <v/>
      </c>
      <c r="X619">
        <f>HYPERLINK("https://klasma.github.io/Logging_0382/kartor/A 37296-2023 karta.png", "A 37296-2023")</f>
        <v/>
      </c>
      <c r="Y619">
        <f>HYPERLINK("https://klasma.github.io/Logging_0382/kartor_geotiff/A 37296-2023 georefererad karta.tif", "A 37296-2023")</f>
        <v/>
      </c>
      <c r="AA619">
        <f>HYPERLINK("https://klasma.github.io/Logging_0382/klagomål/A 37296-2023 FSC-klagomål.docx", "A 37296-2023")</f>
        <v/>
      </c>
      <c r="AB619">
        <f>HYPERLINK("https://klasma.github.io/Logging_0382/klagomålsmail/A 37296-2023 FSC-klagomål mail.docx", "A 37296-2023")</f>
        <v/>
      </c>
      <c r="AC619">
        <f>HYPERLINK("https://klasma.github.io/Logging_0382/tillsyn/A 37296-2023 tillsynsbegäran.docx", "A 37296-2023")</f>
        <v/>
      </c>
      <c r="AD619">
        <f>HYPERLINK("https://klasma.github.io/Logging_0382/tillsynsmail/A 37296-2023 tillsynsbegäran mail.docx", "A 37296-2023")</f>
        <v/>
      </c>
    </row>
    <row r="620" ht="15" customHeight="1">
      <c r="A620" t="inlineStr">
        <is>
          <t>A 31569-2023</t>
        </is>
      </c>
      <c r="B620" t="inlineStr">
        <is>
          <t>avverkningsanmälan</t>
        </is>
      </c>
      <c r="C620" t="inlineStr">
        <is>
          <t>Föryngringsavverkning</t>
        </is>
      </c>
      <c r="D620" s="1" t="n">
        <v>45117</v>
      </c>
      <c r="E620" s="1" t="n">
        <v>46309</v>
      </c>
      <c r="F620" t="inlineStr">
        <is>
          <t>UPPSALA LÄN</t>
        </is>
      </c>
      <c r="G620" t="inlineStr">
        <is>
          <t>HEBY</t>
        </is>
      </c>
      <c r="I620" t="n">
        <v>2.5</v>
      </c>
      <c r="J620" t="n">
        <v>1</v>
      </c>
      <c r="K620" t="n">
        <v>0</v>
      </c>
      <c r="L620" t="n">
        <v>0</v>
      </c>
      <c r="M620" t="n">
        <v>1</v>
      </c>
      <c r="N620" t="n">
        <v>0</v>
      </c>
      <c r="O620" t="n">
        <v>0</v>
      </c>
      <c r="P620" t="n">
        <v>0</v>
      </c>
      <c r="Q620" t="n">
        <v>1</v>
      </c>
      <c r="R620" t="n">
        <v>1</v>
      </c>
      <c r="S620" t="n">
        <v>1</v>
      </c>
      <c r="T620" t="n">
        <v>2</v>
      </c>
      <c r="U620" t="n">
        <v>2</v>
      </c>
      <c r="V620" s="2" t="inlineStr">
        <is>
          <t>Knärot</t>
        </is>
      </c>
      <c r="W620">
        <f>HYPERLINK("https://klasma.github.io/Logging_0331/artfynd/A 31569-2023 artfynd.xlsx", "A 31569-2023")</f>
        <v/>
      </c>
      <c r="X620">
        <f>HYPERLINK("https://klasma.github.io/Logging_0331/kartor/A 31569-2023 karta.png", "A 31569-2023")</f>
        <v/>
      </c>
      <c r="Y620">
        <f>HYPERLINK("https://klasma.github.io/Logging_0331/kartor_geotiff/A 31569-2023 georefererad karta.tif", "A 31569-2023")</f>
        <v/>
      </c>
      <c r="Z620">
        <f>HYPERLINK("https://klasma.github.io/Logging_0331/knärot/A 31569-2023 karta knärot.png", "A 31569-2023")</f>
        <v/>
      </c>
      <c r="AA620">
        <f>HYPERLINK("https://klasma.github.io/Logging_0331/klagomål/A 31569-2023 FSC-klagomål.docx", "A 31569-2023")</f>
        <v/>
      </c>
      <c r="AB620">
        <f>HYPERLINK("https://klasma.github.io/Logging_0331/klagomålsmail/A 31569-2023 FSC-klagomål mail.docx", "A 31569-2023")</f>
        <v/>
      </c>
      <c r="AC620">
        <f>HYPERLINK("https://klasma.github.io/Logging_0331/tillsyn/A 31569-2023 tillsynsbegäran.docx", "A 31569-2023")</f>
        <v/>
      </c>
      <c r="AD620">
        <f>HYPERLINK("https://klasma.github.io/Logging_0331/tillsynsmail/A 31569-2023 tillsynsbegäran mail.docx", "A 31569-2023")</f>
        <v/>
      </c>
    </row>
    <row r="621" ht="15" customHeight="1">
      <c r="A621" t="inlineStr">
        <is>
          <t>A 60885-2021</t>
        </is>
      </c>
      <c r="B621" t="inlineStr">
        <is>
          <t>avverkningsanmälan</t>
        </is>
      </c>
      <c r="C621" t="inlineStr">
        <is>
          <t>Föryngringsavverkning</t>
        </is>
      </c>
      <c r="D621" s="1" t="n">
        <v>44497</v>
      </c>
      <c r="E621" s="1" t="n">
        <v>46309</v>
      </c>
      <c r="F621" t="inlineStr">
        <is>
          <t>UPPSALA LÄN</t>
        </is>
      </c>
      <c r="G621" t="inlineStr">
        <is>
          <t>KNIVSTA</t>
        </is>
      </c>
      <c r="I621" t="n">
        <v>1.5</v>
      </c>
      <c r="J621" t="n">
        <v>0</v>
      </c>
      <c r="K621" t="n">
        <v>1</v>
      </c>
      <c r="L621" t="n">
        <v>0</v>
      </c>
      <c r="M621" t="n">
        <v>0</v>
      </c>
      <c r="N621" t="n">
        <v>0</v>
      </c>
      <c r="O621" t="n">
        <v>0</v>
      </c>
      <c r="P621" t="n">
        <v>0</v>
      </c>
      <c r="Q621" t="n">
        <v>0</v>
      </c>
      <c r="R621" t="n">
        <v>0</v>
      </c>
      <c r="S621" t="n">
        <v>1</v>
      </c>
      <c r="T621" t="n">
        <v>1</v>
      </c>
      <c r="U621" t="n">
        <v>1</v>
      </c>
      <c r="V621" s="2" t="inlineStr">
        <is>
          <t>Sotlav</t>
        </is>
      </c>
      <c r="W621">
        <f>HYPERLINK("https://klasma.github.io/Logging_0330/artfynd/A 60885-2021 artfynd.xlsx", "A 60885-2021")</f>
        <v/>
      </c>
      <c r="X621">
        <f>HYPERLINK("https://klasma.github.io/Logging_0330/kartor/A 60885-2021 karta.png", "A 60885-2021")</f>
        <v/>
      </c>
      <c r="Y621">
        <f>HYPERLINK("https://klasma.github.io/Logging_0330/kartor_geotiff/A 60885-2021 georefererad karta.tif", "A 60885-2021")</f>
        <v/>
      </c>
      <c r="AA621">
        <f>HYPERLINK("https://klasma.github.io/Logging_0330/klagomål/A 60885-2021 FSC-klagomål.docx", "A 60885-2021")</f>
        <v/>
      </c>
      <c r="AB621">
        <f>HYPERLINK("https://klasma.github.io/Logging_0330/klagomålsmail/A 60885-2021 FSC-klagomål mail.docx", "A 60885-2021")</f>
        <v/>
      </c>
      <c r="AC621">
        <f>HYPERLINK("https://klasma.github.io/Logging_0330/tillsyn/A 60885-2021 tillsynsbegäran.docx", "A 60885-2021")</f>
        <v/>
      </c>
      <c r="AD621">
        <f>HYPERLINK("https://klasma.github.io/Logging_0330/tillsynsmail/A 60885-2021 tillsynsbegäran mail.docx", "A 60885-2021")</f>
        <v/>
      </c>
    </row>
    <row r="622" ht="15" customHeight="1">
      <c r="A622" t="inlineStr">
        <is>
          <t>A 65989-2021</t>
        </is>
      </c>
      <c r="B622" t="inlineStr">
        <is>
          <t>avverkningsanmälan</t>
        </is>
      </c>
      <c r="C622" t="inlineStr">
        <is>
          <t>Föryngringsavverkning</t>
        </is>
      </c>
      <c r="D622" s="1" t="n">
        <v>44517</v>
      </c>
      <c r="E622" s="1" t="n">
        <v>46309</v>
      </c>
      <c r="F622" t="inlineStr">
        <is>
          <t>UPPSALA LÄN</t>
        </is>
      </c>
      <c r="G622" t="inlineStr">
        <is>
          <t>ÖSTHAMMAR</t>
        </is>
      </c>
      <c r="I622" t="n">
        <v>6.9</v>
      </c>
      <c r="J622" t="n">
        <v>1</v>
      </c>
      <c r="K622" t="n">
        <v>1</v>
      </c>
      <c r="L622" t="n">
        <v>0</v>
      </c>
      <c r="M622" t="n">
        <v>0</v>
      </c>
      <c r="N622" t="n">
        <v>0</v>
      </c>
      <c r="O622" t="n">
        <v>0</v>
      </c>
      <c r="P622" t="n">
        <v>0</v>
      </c>
      <c r="Q622" t="n">
        <v>0</v>
      </c>
      <c r="R622" t="n">
        <v>0</v>
      </c>
      <c r="S622" t="n">
        <v>1</v>
      </c>
      <c r="T622" t="n">
        <v>2</v>
      </c>
      <c r="U622" t="n">
        <v>0</v>
      </c>
      <c r="V622" s="2" t="inlineStr">
        <is>
          <t>Skogsknipprot</t>
        </is>
      </c>
      <c r="W622">
        <f>HYPERLINK("https://klasma.github.io/Logging_0382/artfynd/A 65989-2021 artfynd.xlsx", "A 65989-2021")</f>
        <v/>
      </c>
      <c r="X622">
        <f>HYPERLINK("https://klasma.github.io/Logging_0382/kartor/A 65989-2021 karta.png", "A 65989-2021")</f>
        <v/>
      </c>
      <c r="Y622">
        <f>HYPERLINK("https://klasma.github.io/Logging_0382/kartor_geotiff/A 65989-2021 georefererad karta.tif", "A 65989-2021")</f>
        <v/>
      </c>
      <c r="AA622">
        <f>HYPERLINK("https://klasma.github.io/Logging_0382/klagomål/A 65989-2021 FSC-klagomål.docx", "A 65989-2021")</f>
        <v/>
      </c>
      <c r="AB622">
        <f>HYPERLINK("https://klasma.github.io/Logging_0382/klagomålsmail/A 65989-2021 FSC-klagomål mail.docx", "A 65989-2021")</f>
        <v/>
      </c>
      <c r="AC622">
        <f>HYPERLINK("https://klasma.github.io/Logging_0382/tillsyn/A 65989-2021 tillsynsbegäran.docx", "A 65989-2021")</f>
        <v/>
      </c>
      <c r="AD622">
        <f>HYPERLINK("https://klasma.github.io/Logging_0382/tillsynsmail/A 65989-2021 tillsynsbegäran mail.docx", "A 65989-2021")</f>
        <v/>
      </c>
    </row>
    <row r="623" ht="15" customHeight="1">
      <c r="A623" t="inlineStr">
        <is>
          <t>A 42528-2023</t>
        </is>
      </c>
      <c r="B623" t="inlineStr">
        <is>
          <t>avverkningsanmälan</t>
        </is>
      </c>
      <c r="C623" t="inlineStr">
        <is>
          <t>Föryngringsavverkning</t>
        </is>
      </c>
      <c r="D623" s="1" t="n">
        <v>45181</v>
      </c>
      <c r="E623" s="1" t="n">
        <v>46309</v>
      </c>
      <c r="F623" t="inlineStr">
        <is>
          <t>UPPSALA LÄN</t>
        </is>
      </c>
      <c r="G623" t="inlineStr">
        <is>
          <t>UPPSALA</t>
        </is>
      </c>
      <c r="I623" t="n">
        <v>1.2</v>
      </c>
      <c r="J623" t="n">
        <v>0</v>
      </c>
      <c r="K623" t="n">
        <v>0</v>
      </c>
      <c r="L623" t="n">
        <v>1</v>
      </c>
      <c r="M623" t="n">
        <v>0</v>
      </c>
      <c r="N623" t="n">
        <v>0</v>
      </c>
      <c r="O623" t="n">
        <v>0</v>
      </c>
      <c r="P623" t="n">
        <v>0</v>
      </c>
      <c r="Q623" t="n">
        <v>1</v>
      </c>
      <c r="R623" t="n">
        <v>0</v>
      </c>
      <c r="S623" t="n">
        <v>1</v>
      </c>
      <c r="T623" t="n">
        <v>3</v>
      </c>
      <c r="U623" t="n">
        <v>0</v>
      </c>
      <c r="V623" s="2" t="inlineStr">
        <is>
          <t>Lunglav</t>
        </is>
      </c>
      <c r="W623">
        <f>HYPERLINK("https://klasma.github.io/Logging_0380/artfynd/A 42528-2023 artfynd.xlsx", "A 42528-2023")</f>
        <v/>
      </c>
      <c r="X623">
        <f>HYPERLINK("https://klasma.github.io/Logging_0380/kartor/A 42528-2023 karta.png", "A 42528-2023")</f>
        <v/>
      </c>
      <c r="Y623">
        <f>HYPERLINK("https://klasma.github.io/Logging_0380/kartor_geotiff/A 42528-2023 georefererad karta.tif", "A 42528-2023")</f>
        <v/>
      </c>
      <c r="AA623">
        <f>HYPERLINK("https://klasma.github.io/Logging_0380/klagomål/A 42528-2023 FSC-klagomål.docx", "A 42528-2023")</f>
        <v/>
      </c>
      <c r="AB623">
        <f>HYPERLINK("https://klasma.github.io/Logging_0380/klagomålsmail/A 42528-2023 FSC-klagomål mail.docx", "A 42528-2023")</f>
        <v/>
      </c>
      <c r="AC623">
        <f>HYPERLINK("https://klasma.github.io/Logging_0380/tillsyn/A 42528-2023 tillsynsbegäran.docx", "A 42528-2023")</f>
        <v/>
      </c>
      <c r="AD623">
        <f>HYPERLINK("https://klasma.github.io/Logging_0380/tillsynsmail/A 42528-2023 tillsynsbegäran mail.docx", "A 42528-2023")</f>
        <v/>
      </c>
    </row>
    <row r="624" ht="15" customHeight="1">
      <c r="A624" t="inlineStr">
        <is>
          <t>A 7446-2022</t>
        </is>
      </c>
      <c r="B624" t="inlineStr">
        <is>
          <t>avverkningsanmälan</t>
        </is>
      </c>
      <c r="C624" t="inlineStr">
        <is>
          <t>Föryngringsavverkning</t>
        </is>
      </c>
      <c r="D624" s="1" t="n">
        <v>44606</v>
      </c>
      <c r="E624" s="1" t="n">
        <v>46309</v>
      </c>
      <c r="F624" t="inlineStr">
        <is>
          <t>UPPSALA LÄN</t>
        </is>
      </c>
      <c r="G624" t="inlineStr">
        <is>
          <t>ÖSTHAMMAR</t>
        </is>
      </c>
      <c r="I624" t="n">
        <v>5</v>
      </c>
      <c r="J624" t="n">
        <v>1</v>
      </c>
      <c r="K624" t="n">
        <v>0</v>
      </c>
      <c r="L624" t="n">
        <v>0</v>
      </c>
      <c r="M624" t="n">
        <v>0</v>
      </c>
      <c r="N624" t="n">
        <v>0</v>
      </c>
      <c r="O624" t="n">
        <v>0</v>
      </c>
      <c r="P624" t="n">
        <v>0</v>
      </c>
      <c r="Q624" t="n">
        <v>0</v>
      </c>
      <c r="R624" t="n">
        <v>0</v>
      </c>
      <c r="S624" t="n">
        <v>1</v>
      </c>
      <c r="T624" t="n">
        <v>1</v>
      </c>
      <c r="U624" t="n">
        <v>0</v>
      </c>
      <c r="V624" s="2" t="inlineStr">
        <is>
          <t>Mattlummer</t>
        </is>
      </c>
      <c r="W624">
        <f>HYPERLINK("https://klasma.github.io/Logging_0382/artfynd/A 7446-2022 artfynd.xlsx", "A 7446-2022")</f>
        <v/>
      </c>
      <c r="X624">
        <f>HYPERLINK("https://klasma.github.io/Logging_0382/kartor/A 7446-2022 karta.png", "A 7446-2022")</f>
        <v/>
      </c>
      <c r="Y624">
        <f>HYPERLINK("https://klasma.github.io/Logging_0382/kartor_geotiff/A 7446-2022 georefererad karta.tif", "A 7446-2022")</f>
        <v/>
      </c>
      <c r="AA624">
        <f>HYPERLINK("https://klasma.github.io/Logging_0382/klagomål/A 7446-2022 FSC-klagomål.docx", "A 7446-2022")</f>
        <v/>
      </c>
      <c r="AB624">
        <f>HYPERLINK("https://klasma.github.io/Logging_0382/klagomålsmail/A 7446-2022 FSC-klagomål mail.docx", "A 7446-2022")</f>
        <v/>
      </c>
      <c r="AC624">
        <f>HYPERLINK("https://klasma.github.io/Logging_0382/tillsyn/A 7446-2022 tillsynsbegäran.docx", "A 7446-2022")</f>
        <v/>
      </c>
      <c r="AD624">
        <f>HYPERLINK("https://klasma.github.io/Logging_0382/tillsynsmail/A 7446-2022 tillsynsbegäran mail.docx", "A 7446-2022")</f>
        <v/>
      </c>
    </row>
    <row r="625" ht="15" customHeight="1">
      <c r="A625" t="inlineStr">
        <is>
          <t>A 21566-2026</t>
        </is>
      </c>
      <c r="B625" t="inlineStr">
        <is>
          <t>avverkningsanmälan</t>
        </is>
      </c>
      <c r="C625" t="inlineStr">
        <is>
          <t>Föryngringsavverkning</t>
        </is>
      </c>
      <c r="D625" s="1" t="n">
        <v>46148</v>
      </c>
      <c r="E625" s="1" t="n">
        <v>46309</v>
      </c>
      <c r="F625" t="inlineStr">
        <is>
          <t>UPPSALA LÄN</t>
        </is>
      </c>
      <c r="G625" t="inlineStr">
        <is>
          <t>TIERP</t>
        </is>
      </c>
      <c r="H625" t="inlineStr">
        <is>
          <t>Bergvik skog väst AB</t>
        </is>
      </c>
      <c r="I625" t="n">
        <v>13.7</v>
      </c>
      <c r="J625" t="n">
        <v>0</v>
      </c>
      <c r="K625" t="n">
        <v>0</v>
      </c>
      <c r="L625" t="n">
        <v>1</v>
      </c>
      <c r="M625" t="n">
        <v>0</v>
      </c>
      <c r="N625" t="n">
        <v>0</v>
      </c>
      <c r="O625" t="n">
        <v>0</v>
      </c>
      <c r="P625" t="n">
        <v>0</v>
      </c>
      <c r="Q625" t="n">
        <v>1</v>
      </c>
      <c r="R625" t="n">
        <v>0</v>
      </c>
      <c r="S625" t="n">
        <v>1</v>
      </c>
      <c r="T625" t="n">
        <v>1</v>
      </c>
      <c r="U625" t="n">
        <v>0</v>
      </c>
      <c r="V625" s="2" t="inlineStr">
        <is>
          <t>Klasefibbla</t>
        </is>
      </c>
      <c r="W625">
        <f>HYPERLINK("https://klasma.github.io/Logging_0360/artfynd/A 21566-2026 artfynd.xlsx", "A 21566-2026")</f>
        <v/>
      </c>
      <c r="X625">
        <f>HYPERLINK("https://klasma.github.io/Logging_0360/kartor/A 21566-2026 karta.png", "A 21566-2026")</f>
        <v/>
      </c>
      <c r="Y625">
        <f>HYPERLINK("https://klasma.github.io/Logging_0360/kartor_geotiff/A 21566-2026 georefererad karta.tif", "A 21566-2026")</f>
        <v/>
      </c>
      <c r="AA625">
        <f>HYPERLINK("https://klasma.github.io/Logging_0360/klagomål/A 21566-2026 FSC-klagomål.docx", "A 21566-2026")</f>
        <v/>
      </c>
      <c r="AB625">
        <f>HYPERLINK("https://klasma.github.io/Logging_0360/klagomålsmail/A 21566-2026 FSC-klagomål mail.docx", "A 21566-2026")</f>
        <v/>
      </c>
      <c r="AC625">
        <f>HYPERLINK("https://klasma.github.io/Logging_0360/tillsyn/A 21566-2026 tillsynsbegäran.docx", "A 21566-2026")</f>
        <v/>
      </c>
      <c r="AD625">
        <f>HYPERLINK("https://klasma.github.io/Logging_0360/tillsynsmail/A 21566-2026 tillsynsbegäran mail.docx", "A 21566-2026")</f>
        <v/>
      </c>
    </row>
    <row r="626" ht="15" customHeight="1">
      <c r="A626" t="inlineStr">
        <is>
          <t>A 21738-2026</t>
        </is>
      </c>
      <c r="B626" t="inlineStr">
        <is>
          <t>avverkningsanmälan</t>
        </is>
      </c>
      <c r="C626" t="inlineStr">
        <is>
          <t>Föryngringsavverkning</t>
        </is>
      </c>
      <c r="D626" s="1" t="n">
        <v>46147</v>
      </c>
      <c r="E626" s="1" t="n">
        <v>46309</v>
      </c>
      <c r="F626" t="inlineStr">
        <is>
          <t>UPPSALA LÄN</t>
        </is>
      </c>
      <c r="G626" t="inlineStr">
        <is>
          <t>UPPSALA</t>
        </is>
      </c>
      <c r="I626" t="n">
        <v>3.1</v>
      </c>
      <c r="J626" t="n">
        <v>0</v>
      </c>
      <c r="K626" t="n">
        <v>1</v>
      </c>
      <c r="L626" t="n">
        <v>0</v>
      </c>
      <c r="M626" t="n">
        <v>0</v>
      </c>
      <c r="N626" t="n">
        <v>0</v>
      </c>
      <c r="O626" t="n">
        <v>0</v>
      </c>
      <c r="P626" t="n">
        <v>0</v>
      </c>
      <c r="Q626" t="n">
        <v>0</v>
      </c>
      <c r="R626" t="n">
        <v>0</v>
      </c>
      <c r="S626" t="n">
        <v>1</v>
      </c>
      <c r="T626" t="n">
        <v>1</v>
      </c>
      <c r="U626" t="n">
        <v>0</v>
      </c>
      <c r="V626" s="2" t="inlineStr">
        <is>
          <t>Tibast</t>
        </is>
      </c>
      <c r="W626">
        <f>HYPERLINK("https://klasma.github.io/Logging_0380/artfynd/A 21738-2026 artfynd.xlsx", "A 21738-2026")</f>
        <v/>
      </c>
      <c r="X626">
        <f>HYPERLINK("https://klasma.github.io/Logging_0380/kartor/A 21738-2026 karta.png", "A 21738-2026")</f>
        <v/>
      </c>
      <c r="Y626">
        <f>HYPERLINK("https://klasma.github.io/Logging_0380/kartor_geotiff/A 21738-2026 georefererad karta.tif", "A 21738-2026")</f>
        <v/>
      </c>
      <c r="AA626">
        <f>HYPERLINK("https://klasma.github.io/Logging_0380/klagomål/A 21738-2026 FSC-klagomål.docx", "A 21738-2026")</f>
        <v/>
      </c>
      <c r="AB626">
        <f>HYPERLINK("https://klasma.github.io/Logging_0380/klagomålsmail/A 21738-2026 FSC-klagomål mail.docx", "A 21738-2026")</f>
        <v/>
      </c>
      <c r="AC626">
        <f>HYPERLINK("https://klasma.github.io/Logging_0380/tillsyn/A 21738-2026 tillsynsbegäran.docx", "A 21738-2026")</f>
        <v/>
      </c>
      <c r="AD626">
        <f>HYPERLINK("https://klasma.github.io/Logging_0380/tillsynsmail/A 21738-2026 tillsynsbegäran mail.docx", "A 21738-2026")</f>
        <v/>
      </c>
    </row>
    <row r="627" ht="15" customHeight="1">
      <c r="A627" t="inlineStr">
        <is>
          <t>A 22223-2026</t>
        </is>
      </c>
      <c r="B627" t="inlineStr">
        <is>
          <t>avverkningsanmälan</t>
        </is>
      </c>
      <c r="C627" t="inlineStr">
        <is>
          <t>Föryngringsavverkning</t>
        </is>
      </c>
      <c r="D627" s="1" t="n">
        <v>46153</v>
      </c>
      <c r="E627" s="1" t="n">
        <v>46309</v>
      </c>
      <c r="F627" t="inlineStr">
        <is>
          <t>UPPSALA LÄN</t>
        </is>
      </c>
      <c r="G627" t="inlineStr">
        <is>
          <t>UPPSALA</t>
        </is>
      </c>
      <c r="I627" t="n">
        <v>6</v>
      </c>
      <c r="J627" t="n">
        <v>1</v>
      </c>
      <c r="K627" t="n">
        <v>0</v>
      </c>
      <c r="L627" t="n">
        <v>0</v>
      </c>
      <c r="M627" t="n">
        <v>1</v>
      </c>
      <c r="N627" t="n">
        <v>0</v>
      </c>
      <c r="O627" t="n">
        <v>0</v>
      </c>
      <c r="P627" t="n">
        <v>0</v>
      </c>
      <c r="Q627" t="n">
        <v>1</v>
      </c>
      <c r="R627" t="n">
        <v>1</v>
      </c>
      <c r="S627" t="n">
        <v>1</v>
      </c>
      <c r="T627" t="n">
        <v>91</v>
      </c>
      <c r="U627" t="n">
        <v>4</v>
      </c>
      <c r="V627" s="2" t="inlineStr">
        <is>
          <t>Väddnätfjäril</t>
        </is>
      </c>
      <c r="W627">
        <f>HYPERLINK("https://klasma.github.io/Logging_0380/artfynd/A 22223-2026 artfynd.xlsx", "A 22223-2026")</f>
        <v/>
      </c>
      <c r="X627">
        <f>HYPERLINK("https://klasma.github.io/Logging_0380/kartor/A 22223-2026 karta.png", "A 22223-2026")</f>
        <v/>
      </c>
      <c r="Y627">
        <f>HYPERLINK("https://klasma.github.io/Logging_0380/kartor_geotiff/A 22223-2026 georefererad karta.tif", "A 22223-2026")</f>
        <v/>
      </c>
      <c r="AA627">
        <f>HYPERLINK("https://klasma.github.io/Logging_0380/klagomål/A 22223-2026 FSC-klagomål.docx", "A 22223-2026")</f>
        <v/>
      </c>
      <c r="AB627">
        <f>HYPERLINK("https://klasma.github.io/Logging_0380/klagomålsmail/A 22223-2026 FSC-klagomål mail.docx", "A 22223-2026")</f>
        <v/>
      </c>
      <c r="AC627">
        <f>HYPERLINK("https://klasma.github.io/Logging_0380/tillsyn/A 22223-2026 tillsynsbegäran.docx", "A 22223-2026")</f>
        <v/>
      </c>
      <c r="AD627">
        <f>HYPERLINK("https://klasma.github.io/Logging_0380/tillsynsmail/A 22223-2026 tillsynsbegäran mail.docx", "A 22223-2026")</f>
        <v/>
      </c>
    </row>
    <row r="628" ht="15" customHeight="1">
      <c r="A628" t="inlineStr">
        <is>
          <t>A 29906-2023</t>
        </is>
      </c>
      <c r="B628" t="inlineStr">
        <is>
          <t>avverkningsanmälan</t>
        </is>
      </c>
      <c r="C628" t="inlineStr">
        <is>
          <t>Föryngringsavverkning</t>
        </is>
      </c>
      <c r="D628" s="1" t="n">
        <v>45107</v>
      </c>
      <c r="E628" s="1" t="n">
        <v>46309</v>
      </c>
      <c r="F628" t="inlineStr">
        <is>
          <t>UPPSALA LÄN</t>
        </is>
      </c>
      <c r="G628" t="inlineStr">
        <is>
          <t>UPPSALA</t>
        </is>
      </c>
      <c r="H628" t="inlineStr">
        <is>
          <t>Kyrkan</t>
        </is>
      </c>
      <c r="I628" t="n">
        <v>0.5</v>
      </c>
      <c r="J628" t="n">
        <v>0</v>
      </c>
      <c r="K628" t="n">
        <v>1</v>
      </c>
      <c r="L628" t="n">
        <v>0</v>
      </c>
      <c r="M628" t="n">
        <v>0</v>
      </c>
      <c r="N628" t="n">
        <v>0</v>
      </c>
      <c r="O628" t="n">
        <v>0</v>
      </c>
      <c r="P628" t="n">
        <v>0</v>
      </c>
      <c r="Q628" t="n">
        <v>0</v>
      </c>
      <c r="R628" t="n">
        <v>0</v>
      </c>
      <c r="S628" t="n">
        <v>1</v>
      </c>
      <c r="T628" t="n">
        <v>1</v>
      </c>
      <c r="U628" t="n">
        <v>1</v>
      </c>
      <c r="V628" s="2" t="inlineStr">
        <is>
          <t>Sotriska</t>
        </is>
      </c>
      <c r="W628">
        <f>HYPERLINK("https://klasma.github.io/Logging_0380/artfynd/A 29906-2023 artfynd.xlsx", "A 29906-2023")</f>
        <v/>
      </c>
      <c r="X628">
        <f>HYPERLINK("https://klasma.github.io/Logging_0380/kartor/A 29906-2023 karta.png", "A 29906-2023")</f>
        <v/>
      </c>
      <c r="Y628">
        <f>HYPERLINK("https://klasma.github.io/Logging_0380/kartor_geotiff/A 29906-2023 georefererad karta.tif", "A 29906-2023")</f>
        <v/>
      </c>
      <c r="AA628">
        <f>HYPERLINK("https://klasma.github.io/Logging_0380/klagomål/A 29906-2023 FSC-klagomål.docx", "A 29906-2023")</f>
        <v/>
      </c>
      <c r="AB628">
        <f>HYPERLINK("https://klasma.github.io/Logging_0380/klagomålsmail/A 29906-2023 FSC-klagomål mail.docx", "A 29906-2023")</f>
        <v/>
      </c>
      <c r="AC628">
        <f>HYPERLINK("https://klasma.github.io/Logging_0380/tillsyn/A 29906-2023 tillsynsbegäran.docx", "A 29906-2023")</f>
        <v/>
      </c>
      <c r="AD628">
        <f>HYPERLINK("https://klasma.github.io/Logging_0380/tillsynsmail/A 29906-2023 tillsynsbegäran mail.docx", "A 29906-2023")</f>
        <v/>
      </c>
    </row>
    <row r="629" ht="15" customHeight="1">
      <c r="A629" t="inlineStr">
        <is>
          <t>A 19304-2024</t>
        </is>
      </c>
      <c r="B629" t="inlineStr">
        <is>
          <t>avverkningsanmälan</t>
        </is>
      </c>
      <c r="C629" t="inlineStr">
        <is>
          <t>Föryngringsavverkning</t>
        </is>
      </c>
      <c r="D629" s="1" t="n">
        <v>45428</v>
      </c>
      <c r="E629" s="1" t="n">
        <v>46309</v>
      </c>
      <c r="F629" t="inlineStr">
        <is>
          <t>UPPSALA LÄN</t>
        </is>
      </c>
      <c r="G629" t="inlineStr">
        <is>
          <t>ÄLVKARLEBY</t>
        </is>
      </c>
      <c r="I629" t="n">
        <v>0.2</v>
      </c>
      <c r="J629" t="n">
        <v>0</v>
      </c>
      <c r="K629" t="n">
        <v>0</v>
      </c>
      <c r="L629" t="n">
        <v>0</v>
      </c>
      <c r="M629" t="n">
        <v>1</v>
      </c>
      <c r="N629" t="n">
        <v>0</v>
      </c>
      <c r="O629" t="n">
        <v>0</v>
      </c>
      <c r="P629" t="n">
        <v>0</v>
      </c>
      <c r="Q629" t="n">
        <v>1</v>
      </c>
      <c r="R629" t="n">
        <v>1</v>
      </c>
      <c r="S629" t="n">
        <v>1</v>
      </c>
      <c r="T629" t="n">
        <v>1</v>
      </c>
      <c r="U629" t="n">
        <v>0</v>
      </c>
      <c r="V629" s="2" t="inlineStr">
        <is>
          <t>Mindre bastardsvärmare</t>
        </is>
      </c>
      <c r="W629">
        <f>HYPERLINK("https://klasma.github.io/Logging_0319/artfynd/A 19304-2024 artfynd.xlsx", "A 19304-2024")</f>
        <v/>
      </c>
      <c r="X629">
        <f>HYPERLINK("https://klasma.github.io/Logging_0319/kartor/A 19304-2024 karta.png", "A 19304-2024")</f>
        <v/>
      </c>
      <c r="Y629">
        <f>HYPERLINK("https://klasma.github.io/Logging_0319/kartor_geotiff/A 19304-2024 georefererad karta.tif", "A 19304-2024")</f>
        <v/>
      </c>
      <c r="AA629">
        <f>HYPERLINK("https://klasma.github.io/Logging_0319/klagomål/A 19304-2024 FSC-klagomål.docx", "A 19304-2024")</f>
        <v/>
      </c>
      <c r="AB629">
        <f>HYPERLINK("https://klasma.github.io/Logging_0319/klagomålsmail/A 19304-2024 FSC-klagomål mail.docx", "A 19304-2024")</f>
        <v/>
      </c>
      <c r="AC629">
        <f>HYPERLINK("https://klasma.github.io/Logging_0319/tillsyn/A 19304-2024 tillsynsbegäran.docx", "A 19304-2024")</f>
        <v/>
      </c>
      <c r="AD629">
        <f>HYPERLINK("https://klasma.github.io/Logging_0319/tillsynsmail/A 19304-2024 tillsynsbegäran mail.docx", "A 19304-2024")</f>
        <v/>
      </c>
    </row>
    <row r="630" ht="15" customHeight="1">
      <c r="A630" t="inlineStr">
        <is>
          <t>A 22409-2026</t>
        </is>
      </c>
      <c r="B630" t="inlineStr">
        <is>
          <t>avverkningsanmälan</t>
        </is>
      </c>
      <c r="C630" t="inlineStr">
        <is>
          <t>Föryngringsavverkning</t>
        </is>
      </c>
      <c r="D630" s="1" t="n">
        <v>46154</v>
      </c>
      <c r="E630" s="1" t="n">
        <v>46309</v>
      </c>
      <c r="F630" t="inlineStr">
        <is>
          <t>UPPSALA LÄN</t>
        </is>
      </c>
      <c r="G630" t="inlineStr">
        <is>
          <t>ÖSTHAMMAR</t>
        </is>
      </c>
      <c r="H630" t="inlineStr">
        <is>
          <t>Övriga Aktiebolag</t>
        </is>
      </c>
      <c r="I630" t="n">
        <v>4.8</v>
      </c>
      <c r="J630" t="n">
        <v>0</v>
      </c>
      <c r="K630" t="n">
        <v>0</v>
      </c>
      <c r="L630" t="n">
        <v>1</v>
      </c>
      <c r="M630" t="n">
        <v>0</v>
      </c>
      <c r="N630" t="n">
        <v>0</v>
      </c>
      <c r="O630" t="n">
        <v>0</v>
      </c>
      <c r="P630" t="n">
        <v>0</v>
      </c>
      <c r="Q630" t="n">
        <v>1</v>
      </c>
      <c r="R630" t="n">
        <v>0</v>
      </c>
      <c r="S630" t="n">
        <v>1</v>
      </c>
      <c r="T630" t="n">
        <v>1</v>
      </c>
      <c r="U630" t="n">
        <v>0</v>
      </c>
      <c r="V630" s="2" t="inlineStr">
        <is>
          <t>Backklöver</t>
        </is>
      </c>
      <c r="W630">
        <f>HYPERLINK("https://klasma.github.io/Logging_0382/artfynd/A 22409-2026 artfynd.xlsx", "A 22409-2026")</f>
        <v/>
      </c>
      <c r="X630">
        <f>HYPERLINK("https://klasma.github.io/Logging_0382/kartor/A 22409-2026 karta.png", "A 22409-2026")</f>
        <v/>
      </c>
      <c r="Y630">
        <f>HYPERLINK("https://klasma.github.io/Logging_0382/kartor_geotiff/A 22409-2026 georefererad karta.tif", "A 22409-2026")</f>
        <v/>
      </c>
      <c r="AA630">
        <f>HYPERLINK("https://klasma.github.io/Logging_0382/klagomål/A 22409-2026 FSC-klagomål.docx", "A 22409-2026")</f>
        <v/>
      </c>
      <c r="AB630">
        <f>HYPERLINK("https://klasma.github.io/Logging_0382/klagomålsmail/A 22409-2026 FSC-klagomål mail.docx", "A 22409-2026")</f>
        <v/>
      </c>
      <c r="AC630">
        <f>HYPERLINK("https://klasma.github.io/Logging_0382/tillsyn/A 22409-2026 tillsynsbegäran.docx", "A 22409-2026")</f>
        <v/>
      </c>
      <c r="AD630">
        <f>HYPERLINK("https://klasma.github.io/Logging_0382/tillsynsmail/A 22409-2026 tillsynsbegäran mail.docx", "A 22409-2026")</f>
        <v/>
      </c>
    </row>
    <row r="631" ht="15" customHeight="1">
      <c r="A631" t="inlineStr">
        <is>
          <t>A 26596-2024</t>
        </is>
      </c>
      <c r="B631" t="inlineStr">
        <is>
          <t>avverkningsanmälan</t>
        </is>
      </c>
      <c r="C631" t="inlineStr">
        <is>
          <t>Avverkning för att bevara och utveckla /försöksver</t>
        </is>
      </c>
      <c r="D631" s="1" t="n">
        <v>45469</v>
      </c>
      <c r="E631" s="1" t="n">
        <v>46309</v>
      </c>
      <c r="F631" t="inlineStr">
        <is>
          <t>UPPSALA LÄN</t>
        </is>
      </c>
      <c r="G631" t="inlineStr">
        <is>
          <t>HEBY</t>
        </is>
      </c>
      <c r="I631" t="n">
        <v>5.1</v>
      </c>
      <c r="J631" t="n">
        <v>0</v>
      </c>
      <c r="K631" t="n">
        <v>0</v>
      </c>
      <c r="L631" t="n">
        <v>0</v>
      </c>
      <c r="M631" t="n">
        <v>0</v>
      </c>
      <c r="N631" t="n">
        <v>0</v>
      </c>
      <c r="O631" t="n">
        <v>0</v>
      </c>
      <c r="P631" t="n">
        <v>0</v>
      </c>
      <c r="Q631" t="n">
        <v>1</v>
      </c>
      <c r="R631" t="n">
        <v>0</v>
      </c>
      <c r="S631" t="n">
        <v>1</v>
      </c>
      <c r="T631" t="n">
        <v>1</v>
      </c>
      <c r="U631" t="n">
        <v>1</v>
      </c>
      <c r="V631" s="2" t="inlineStr">
        <is>
          <t>Stenichnus poweri</t>
        </is>
      </c>
      <c r="W631">
        <f>HYPERLINK("https://klasma.github.io/Logging_0331/artfynd/A 26596-2024 artfynd.xlsx", "A 26596-2024")</f>
        <v/>
      </c>
      <c r="X631">
        <f>HYPERLINK("https://klasma.github.io/Logging_0331/kartor/A 26596-2024 karta.png", "A 26596-2024")</f>
        <v/>
      </c>
      <c r="Y631">
        <f>HYPERLINK("https://klasma.github.io/Logging_0331/kartor_geotiff/A 26596-2024 georefererad karta.tif", "A 26596-2024")</f>
        <v/>
      </c>
      <c r="AA631">
        <f>HYPERLINK("https://klasma.github.io/Logging_0331/klagomål/A 26596-2024 FSC-klagomål.docx", "A 26596-2024")</f>
        <v/>
      </c>
      <c r="AB631">
        <f>HYPERLINK("https://klasma.github.io/Logging_0331/klagomålsmail/A 26596-2024 FSC-klagomål mail.docx", "A 26596-2024")</f>
        <v/>
      </c>
      <c r="AC631">
        <f>HYPERLINK("https://klasma.github.io/Logging_0331/tillsyn/A 26596-2024 tillsynsbegäran.docx", "A 26596-2024")</f>
        <v/>
      </c>
      <c r="AD631">
        <f>HYPERLINK("https://klasma.github.io/Logging_0331/tillsynsmail/A 26596-2024 tillsynsbegäran mail.docx", "A 26596-2024")</f>
        <v/>
      </c>
    </row>
    <row r="632" ht="15" customHeight="1">
      <c r="A632" t="inlineStr">
        <is>
          <t>A 59547-2024</t>
        </is>
      </c>
      <c r="B632" t="inlineStr">
        <is>
          <t>avverkningsanmälan</t>
        </is>
      </c>
      <c r="C632" t="inlineStr">
        <is>
          <t>Föryngringsavverkning</t>
        </is>
      </c>
      <c r="D632" s="1" t="n">
        <v>45638</v>
      </c>
      <c r="E632" s="1" t="n">
        <v>46309</v>
      </c>
      <c r="F632" t="inlineStr">
        <is>
          <t>UPPSALA LÄN</t>
        </is>
      </c>
      <c r="G632" t="inlineStr">
        <is>
          <t>UPPSALA</t>
        </is>
      </c>
      <c r="I632" t="n">
        <v>2.2</v>
      </c>
      <c r="J632" t="n">
        <v>0</v>
      </c>
      <c r="K632" t="n">
        <v>0</v>
      </c>
      <c r="L632" t="n">
        <v>1</v>
      </c>
      <c r="M632" t="n">
        <v>0</v>
      </c>
      <c r="N632" t="n">
        <v>0</v>
      </c>
      <c r="O632" t="n">
        <v>0</v>
      </c>
      <c r="P632" t="n">
        <v>0</v>
      </c>
      <c r="Q632" t="n">
        <v>1</v>
      </c>
      <c r="R632" t="n">
        <v>0</v>
      </c>
      <c r="S632" t="n">
        <v>1</v>
      </c>
      <c r="T632" t="n">
        <v>1</v>
      </c>
      <c r="U632" t="n">
        <v>0</v>
      </c>
      <c r="V632" s="2" t="inlineStr">
        <is>
          <t>Ängsskära</t>
        </is>
      </c>
      <c r="W632">
        <f>HYPERLINK("https://klasma.github.io/Logging_0380/artfynd/A 59547-2024 artfynd.xlsx", "A 59547-2024")</f>
        <v/>
      </c>
      <c r="X632">
        <f>HYPERLINK("https://klasma.github.io/Logging_0380/kartor/A 59547-2024 karta.png", "A 59547-2024")</f>
        <v/>
      </c>
      <c r="Y632">
        <f>HYPERLINK("https://klasma.github.io/Logging_0380/kartor_geotiff/A 59547-2024 georefererad karta.tif", "A 59547-2024")</f>
        <v/>
      </c>
      <c r="AA632">
        <f>HYPERLINK("https://klasma.github.io/Logging_0380/klagomål/A 59547-2024 FSC-klagomål.docx", "A 59547-2024")</f>
        <v/>
      </c>
      <c r="AB632">
        <f>HYPERLINK("https://klasma.github.io/Logging_0380/klagomålsmail/A 59547-2024 FSC-klagomål mail.docx", "A 59547-2024")</f>
        <v/>
      </c>
      <c r="AC632">
        <f>HYPERLINK("https://klasma.github.io/Logging_0380/tillsyn/A 59547-2024 tillsynsbegäran.docx", "A 59547-2024")</f>
        <v/>
      </c>
      <c r="AD632">
        <f>HYPERLINK("https://klasma.github.io/Logging_0380/tillsynsmail/A 59547-2024 tillsynsbegäran mail.docx", "A 59547-2024")</f>
        <v/>
      </c>
    </row>
    <row r="633" ht="15" customHeight="1">
      <c r="A633" t="inlineStr">
        <is>
          <t>A 44815-2023</t>
        </is>
      </c>
      <c r="B633" t="inlineStr">
        <is>
          <t>avverkningsanmälan</t>
        </is>
      </c>
      <c r="C633" t="inlineStr">
        <is>
          <t>Avverkning för att bevara och utveckla /försöksver</t>
        </is>
      </c>
      <c r="D633" s="1" t="n">
        <v>45190</v>
      </c>
      <c r="E633" s="1" t="n">
        <v>46309</v>
      </c>
      <c r="F633" t="inlineStr">
        <is>
          <t>UPPSALA LÄN</t>
        </is>
      </c>
      <c r="G633" t="inlineStr">
        <is>
          <t>UPPSALA</t>
        </is>
      </c>
      <c r="I633" t="n">
        <v>2.3</v>
      </c>
      <c r="J633" t="n">
        <v>0</v>
      </c>
      <c r="K633" t="n">
        <v>0</v>
      </c>
      <c r="L633" t="n">
        <v>0</v>
      </c>
      <c r="M633" t="n">
        <v>1</v>
      </c>
      <c r="N633" t="n">
        <v>0</v>
      </c>
      <c r="O633" t="n">
        <v>0</v>
      </c>
      <c r="P633" t="n">
        <v>0</v>
      </c>
      <c r="Q633" t="n">
        <v>1</v>
      </c>
      <c r="R633" t="n">
        <v>1</v>
      </c>
      <c r="S633" t="n">
        <v>1</v>
      </c>
      <c r="T633" t="n">
        <v>1</v>
      </c>
      <c r="U633" t="n">
        <v>0</v>
      </c>
      <c r="V633" s="2" t="inlineStr">
        <is>
          <t>Sexfläckig bastardsvärmare</t>
        </is>
      </c>
      <c r="W633">
        <f>HYPERLINK("https://klasma.github.io/Logging_0380/artfynd/A 44815-2023 artfynd.xlsx", "A 44815-2023")</f>
        <v/>
      </c>
      <c r="X633">
        <f>HYPERLINK("https://klasma.github.io/Logging_0380/kartor/A 44815-2023 karta.png", "A 44815-2023")</f>
        <v/>
      </c>
      <c r="Y633">
        <f>HYPERLINK("https://klasma.github.io/Logging_0380/kartor_geotiff/A 44815-2023 georefererad karta.tif", "A 44815-2023")</f>
        <v/>
      </c>
      <c r="AA633">
        <f>HYPERLINK("https://klasma.github.io/Logging_0380/klagomål/A 44815-2023 FSC-klagomål.docx", "A 44815-2023")</f>
        <v/>
      </c>
      <c r="AB633">
        <f>HYPERLINK("https://klasma.github.io/Logging_0380/klagomålsmail/A 44815-2023 FSC-klagomål mail.docx", "A 44815-2023")</f>
        <v/>
      </c>
      <c r="AC633">
        <f>HYPERLINK("https://klasma.github.io/Logging_0380/tillsyn/A 44815-2023 tillsynsbegäran.docx", "A 44815-2023")</f>
        <v/>
      </c>
      <c r="AD633">
        <f>HYPERLINK("https://klasma.github.io/Logging_0380/tillsynsmail/A 44815-2023 tillsynsbegäran mail.docx", "A 44815-2023")</f>
        <v/>
      </c>
    </row>
    <row r="634" ht="15" customHeight="1">
      <c r="A634" t="inlineStr">
        <is>
          <t>A 1227-2022</t>
        </is>
      </c>
      <c r="B634" t="inlineStr">
        <is>
          <t>avverkningsanmälan</t>
        </is>
      </c>
      <c r="C634" t="inlineStr">
        <is>
          <t>Föryngringsavverkning</t>
        </is>
      </c>
      <c r="D634" s="1" t="n">
        <v>44572</v>
      </c>
      <c r="E634" s="1" t="n">
        <v>46309</v>
      </c>
      <c r="F634" t="inlineStr">
        <is>
          <t>UPPSALA LÄN</t>
        </is>
      </c>
      <c r="G634" t="inlineStr">
        <is>
          <t>ÖSTHAMMAR</t>
        </is>
      </c>
      <c r="I634" t="n">
        <v>1.7</v>
      </c>
      <c r="J634" t="n">
        <v>0</v>
      </c>
      <c r="K634" t="n">
        <v>1</v>
      </c>
      <c r="L634" t="n">
        <v>0</v>
      </c>
      <c r="M634" t="n">
        <v>0</v>
      </c>
      <c r="N634" t="n">
        <v>0</v>
      </c>
      <c r="O634" t="n">
        <v>0</v>
      </c>
      <c r="P634" t="n">
        <v>0</v>
      </c>
      <c r="Q634" t="n">
        <v>0</v>
      </c>
      <c r="R634" t="n">
        <v>0</v>
      </c>
      <c r="S634" t="n">
        <v>1</v>
      </c>
      <c r="T634" t="n">
        <v>1</v>
      </c>
      <c r="U634" t="n">
        <v>0</v>
      </c>
      <c r="V634" s="2" t="inlineStr">
        <is>
          <t>Guldkremla</t>
        </is>
      </c>
      <c r="W634">
        <f>HYPERLINK("https://klasma.github.io/Logging_0382/artfynd/A 1227-2022 artfynd.xlsx", "A 1227-2022")</f>
        <v/>
      </c>
      <c r="X634">
        <f>HYPERLINK("https://klasma.github.io/Logging_0382/kartor/A 1227-2022 karta.png", "A 1227-2022")</f>
        <v/>
      </c>
      <c r="Y634">
        <f>HYPERLINK("https://klasma.github.io/Logging_0382/kartor_geotiff/A 1227-2022 georefererad karta.tif", "A 1227-2022")</f>
        <v/>
      </c>
      <c r="AA634">
        <f>HYPERLINK("https://klasma.github.io/Logging_0382/klagomål/A 1227-2022 FSC-klagomål.docx", "A 1227-2022")</f>
        <v/>
      </c>
      <c r="AB634">
        <f>HYPERLINK("https://klasma.github.io/Logging_0382/klagomålsmail/A 1227-2022 FSC-klagomål mail.docx", "A 1227-2022")</f>
        <v/>
      </c>
      <c r="AC634">
        <f>HYPERLINK("https://klasma.github.io/Logging_0382/tillsyn/A 1227-2022 tillsynsbegäran.docx", "A 1227-2022")</f>
        <v/>
      </c>
      <c r="AD634">
        <f>HYPERLINK("https://klasma.github.io/Logging_0382/tillsynsmail/A 1227-2022 tillsynsbegäran mail.docx", "A 1227-2022")</f>
        <v/>
      </c>
    </row>
    <row r="635" ht="15" customHeight="1">
      <c r="A635" t="inlineStr">
        <is>
          <t>A 22883-2026</t>
        </is>
      </c>
      <c r="B635" t="inlineStr">
        <is>
          <t>avverkningsanmälan</t>
        </is>
      </c>
      <c r="C635" t="inlineStr">
        <is>
          <t>Föryngringsavverkning</t>
        </is>
      </c>
      <c r="D635" s="1" t="n">
        <v>46160</v>
      </c>
      <c r="E635" s="1" t="n">
        <v>46309</v>
      </c>
      <c r="F635" t="inlineStr">
        <is>
          <t>UPPSALA LÄN</t>
        </is>
      </c>
      <c r="G635" t="inlineStr">
        <is>
          <t>UPPSALA</t>
        </is>
      </c>
      <c r="I635" t="n">
        <v>2.9</v>
      </c>
      <c r="J635" t="n">
        <v>0</v>
      </c>
      <c r="K635" t="n">
        <v>0</v>
      </c>
      <c r="L635" t="n">
        <v>1</v>
      </c>
      <c r="M635" t="n">
        <v>0</v>
      </c>
      <c r="N635" t="n">
        <v>0</v>
      </c>
      <c r="O635" t="n">
        <v>0</v>
      </c>
      <c r="P635" t="n">
        <v>0</v>
      </c>
      <c r="Q635" t="n">
        <v>1</v>
      </c>
      <c r="R635" t="n">
        <v>0</v>
      </c>
      <c r="S635" t="n">
        <v>1</v>
      </c>
      <c r="T635" t="n">
        <v>1</v>
      </c>
      <c r="U635" t="n">
        <v>0</v>
      </c>
      <c r="V635" s="2" t="inlineStr">
        <is>
          <t>Vedtrappmossa</t>
        </is>
      </c>
      <c r="W635">
        <f>HYPERLINK("https://klasma.github.io/Logging_0380/artfynd/A 22883-2026 artfynd.xlsx", "A 22883-2026")</f>
        <v/>
      </c>
      <c r="X635">
        <f>HYPERLINK("https://klasma.github.io/Logging_0380/kartor/A 22883-2026 karta.png", "A 22883-2026")</f>
        <v/>
      </c>
      <c r="Y635">
        <f>HYPERLINK("https://klasma.github.io/Logging_0380/kartor_geotiff/A 22883-2026 georefererad karta.tif", "A 22883-2026")</f>
        <v/>
      </c>
      <c r="AA635">
        <f>HYPERLINK("https://klasma.github.io/Logging_0380/klagomål/A 22883-2026 FSC-klagomål.docx", "A 22883-2026")</f>
        <v/>
      </c>
      <c r="AB635">
        <f>HYPERLINK("https://klasma.github.io/Logging_0380/klagomålsmail/A 22883-2026 FSC-klagomål mail.docx", "A 22883-2026")</f>
        <v/>
      </c>
      <c r="AC635">
        <f>HYPERLINK("https://klasma.github.io/Logging_0380/tillsyn/A 22883-2026 tillsynsbegäran.docx", "A 22883-2026")</f>
        <v/>
      </c>
      <c r="AD635">
        <f>HYPERLINK("https://klasma.github.io/Logging_0380/tillsynsmail/A 22883-2026 tillsynsbegäran mail.docx", "A 22883-2026")</f>
        <v/>
      </c>
    </row>
    <row r="636" ht="15" customHeight="1">
      <c r="A636" t="inlineStr">
        <is>
          <t>A 23128-2026</t>
        </is>
      </c>
      <c r="B636" t="inlineStr">
        <is>
          <t>avverkningsanmälan</t>
        </is>
      </c>
      <c r="C636" t="inlineStr">
        <is>
          <t>Föryngringsavverkning</t>
        </is>
      </c>
      <c r="D636" s="1" t="n">
        <v>46161</v>
      </c>
      <c r="E636" s="1" t="n">
        <v>46309</v>
      </c>
      <c r="F636" t="inlineStr">
        <is>
          <t>UPPSALA LÄN</t>
        </is>
      </c>
      <c r="G636" t="inlineStr">
        <is>
          <t>TIERP</t>
        </is>
      </c>
      <c r="H636" t="inlineStr">
        <is>
          <t>Bergvik skog öst AB</t>
        </is>
      </c>
      <c r="I636" t="n">
        <v>2.7</v>
      </c>
      <c r="J636" t="n">
        <v>1</v>
      </c>
      <c r="K636" t="n">
        <v>1</v>
      </c>
      <c r="L636" t="n">
        <v>0</v>
      </c>
      <c r="M636" t="n">
        <v>0</v>
      </c>
      <c r="N636" t="n">
        <v>0</v>
      </c>
      <c r="O636" t="n">
        <v>0</v>
      </c>
      <c r="P636" t="n">
        <v>0</v>
      </c>
      <c r="Q636" t="n">
        <v>0</v>
      </c>
      <c r="R636" t="n">
        <v>0</v>
      </c>
      <c r="S636" t="n">
        <v>1</v>
      </c>
      <c r="T636" t="n">
        <v>1</v>
      </c>
      <c r="U636" t="n">
        <v>0</v>
      </c>
      <c r="V636" s="2" t="inlineStr">
        <is>
          <t>Nästrot</t>
        </is>
      </c>
      <c r="W636">
        <f>HYPERLINK("https://klasma.github.io/Logging_0360/artfynd/A 23128-2026 artfynd.xlsx", "A 23128-2026")</f>
        <v/>
      </c>
      <c r="X636">
        <f>HYPERLINK("https://klasma.github.io/Logging_0360/kartor/A 23128-2026 karta.png", "A 23128-2026")</f>
        <v/>
      </c>
      <c r="Y636">
        <f>HYPERLINK("https://klasma.github.io/Logging_0360/kartor_geotiff/A 23128-2026 georefererad karta.tif", "A 23128-2026")</f>
        <v/>
      </c>
      <c r="AA636">
        <f>HYPERLINK("https://klasma.github.io/Logging_0360/klagomål/A 23128-2026 FSC-klagomål.docx", "A 23128-2026")</f>
        <v/>
      </c>
      <c r="AB636">
        <f>HYPERLINK("https://klasma.github.io/Logging_0360/klagomålsmail/A 23128-2026 FSC-klagomål mail.docx", "A 23128-2026")</f>
        <v/>
      </c>
      <c r="AC636">
        <f>HYPERLINK("https://klasma.github.io/Logging_0360/tillsyn/A 23128-2026 tillsynsbegäran.docx", "A 23128-2026")</f>
        <v/>
      </c>
      <c r="AD636">
        <f>HYPERLINK("https://klasma.github.io/Logging_0360/tillsynsmail/A 23128-2026 tillsynsbegäran mail.docx", "A 23128-2026")</f>
        <v/>
      </c>
    </row>
    <row r="637" ht="15" customHeight="1">
      <c r="A637" t="inlineStr">
        <is>
          <t>A 13358-2024</t>
        </is>
      </c>
      <c r="B637" t="inlineStr">
        <is>
          <t>avverkningsanmälan</t>
        </is>
      </c>
      <c r="C637" t="inlineStr">
        <is>
          <t>Föryngringsavverkning</t>
        </is>
      </c>
      <c r="D637" s="1" t="n">
        <v>45387</v>
      </c>
      <c r="E637" s="1" t="n">
        <v>46309</v>
      </c>
      <c r="F637" t="inlineStr">
        <is>
          <t>UPPSALA LÄN</t>
        </is>
      </c>
      <c r="G637" t="inlineStr">
        <is>
          <t>ÖSTHAMMAR</t>
        </is>
      </c>
      <c r="I637" t="n">
        <v>2.2</v>
      </c>
      <c r="J637" t="n">
        <v>1</v>
      </c>
      <c r="K637" t="n">
        <v>0</v>
      </c>
      <c r="L637" t="n">
        <v>0</v>
      </c>
      <c r="M637" t="n">
        <v>0</v>
      </c>
      <c r="N637" t="n">
        <v>1</v>
      </c>
      <c r="O637" t="n">
        <v>0</v>
      </c>
      <c r="P637" t="n">
        <v>0</v>
      </c>
      <c r="Q637" t="n">
        <v>1</v>
      </c>
      <c r="R637" t="n">
        <v>1</v>
      </c>
      <c r="S637" t="n">
        <v>1</v>
      </c>
      <c r="T637" t="n">
        <v>1</v>
      </c>
      <c r="U637" t="n">
        <v>1</v>
      </c>
      <c r="V637" s="2" t="inlineStr">
        <is>
          <t>Kornknarr</t>
        </is>
      </c>
      <c r="W637">
        <f>HYPERLINK("https://klasma.github.io/Logging_0382/artfynd/A 13358-2024 artfynd.xlsx", "A 13358-2024")</f>
        <v/>
      </c>
      <c r="X637">
        <f>HYPERLINK("https://klasma.github.io/Logging_0382/kartor/A 13358-2024 karta.png", "A 13358-2024")</f>
        <v/>
      </c>
      <c r="Y637">
        <f>HYPERLINK("https://klasma.github.io/Logging_0382/kartor_geotiff/A 13358-2024 georefererad karta.tif", "A 13358-2024")</f>
        <v/>
      </c>
      <c r="AA637">
        <f>HYPERLINK("https://klasma.github.io/Logging_0382/klagomål/A 13358-2024 FSC-klagomål.docx", "A 13358-2024")</f>
        <v/>
      </c>
      <c r="AB637">
        <f>HYPERLINK("https://klasma.github.io/Logging_0382/klagomålsmail/A 13358-2024 FSC-klagomål mail.docx", "A 13358-2024")</f>
        <v/>
      </c>
      <c r="AC637">
        <f>HYPERLINK("https://klasma.github.io/Logging_0382/tillsyn/A 13358-2024 tillsynsbegäran.docx", "A 13358-2024")</f>
        <v/>
      </c>
      <c r="AD637">
        <f>HYPERLINK("https://klasma.github.io/Logging_0382/tillsynsmail/A 13358-2024 tillsynsbegäran mail.docx", "A 13358-2024")</f>
        <v/>
      </c>
    </row>
    <row r="638" ht="15" customHeight="1">
      <c r="A638" t="inlineStr">
        <is>
          <t>A 40872-2023</t>
        </is>
      </c>
      <c r="B638" t="inlineStr">
        <is>
          <t>avverkningsanmälan</t>
        </is>
      </c>
      <c r="C638" t="inlineStr">
        <is>
          <t>Avverkning för annat ändamål</t>
        </is>
      </c>
      <c r="D638" s="1" t="n">
        <v>45173</v>
      </c>
      <c r="E638" s="1" t="n">
        <v>46309</v>
      </c>
      <c r="F638" t="inlineStr">
        <is>
          <t>UPPSALA LÄN</t>
        </is>
      </c>
      <c r="G638" t="inlineStr">
        <is>
          <t>UPPSALA</t>
        </is>
      </c>
      <c r="I638" t="n">
        <v>1.1</v>
      </c>
      <c r="J638" t="n">
        <v>0</v>
      </c>
      <c r="K638" t="n">
        <v>1</v>
      </c>
      <c r="L638" t="n">
        <v>0</v>
      </c>
      <c r="M638" t="n">
        <v>0</v>
      </c>
      <c r="N638" t="n">
        <v>0</v>
      </c>
      <c r="O638" t="n">
        <v>0</v>
      </c>
      <c r="P638" t="n">
        <v>0</v>
      </c>
      <c r="Q638" t="n">
        <v>0</v>
      </c>
      <c r="R638" t="n">
        <v>0</v>
      </c>
      <c r="S638" t="n">
        <v>1</v>
      </c>
      <c r="T638" t="n">
        <v>1</v>
      </c>
      <c r="U638" t="n">
        <v>0</v>
      </c>
      <c r="V638" s="2" t="inlineStr">
        <is>
          <t>Bronshjon</t>
        </is>
      </c>
      <c r="W638">
        <f>HYPERLINK("https://klasma.github.io/Logging_0380/artfynd/A 40872-2023 artfynd.xlsx", "A 40872-2023")</f>
        <v/>
      </c>
      <c r="X638">
        <f>HYPERLINK("https://klasma.github.io/Logging_0380/kartor/A 40872-2023 karta.png", "A 40872-2023")</f>
        <v/>
      </c>
      <c r="Y638">
        <f>HYPERLINK("https://klasma.github.io/Logging_0380/kartor_geotiff/A 40872-2023 georefererad karta.tif", "A 40872-2023")</f>
        <v/>
      </c>
      <c r="AA638">
        <f>HYPERLINK("https://klasma.github.io/Logging_0380/klagomål/A 40872-2023 FSC-klagomål.docx", "A 40872-2023")</f>
        <v/>
      </c>
      <c r="AB638">
        <f>HYPERLINK("https://klasma.github.io/Logging_0380/klagomålsmail/A 40872-2023 FSC-klagomål mail.docx", "A 40872-2023")</f>
        <v/>
      </c>
      <c r="AC638">
        <f>HYPERLINK("https://klasma.github.io/Logging_0380/tillsyn/A 40872-2023 tillsynsbegäran.docx", "A 40872-2023")</f>
        <v/>
      </c>
      <c r="AD638">
        <f>HYPERLINK("https://klasma.github.io/Logging_0380/tillsynsmail/A 40872-2023 tillsynsbegäran mail.docx", "A 40872-2023")</f>
        <v/>
      </c>
    </row>
    <row r="639" ht="15" customHeight="1">
      <c r="A639" t="inlineStr">
        <is>
          <t>A 5309-2022</t>
        </is>
      </c>
      <c r="B639" t="inlineStr">
        <is>
          <t>avverkningsanmälan</t>
        </is>
      </c>
      <c r="C639" t="inlineStr">
        <is>
          <t>Föryngringsavverkning</t>
        </is>
      </c>
      <c r="D639" s="1" t="n">
        <v>44594</v>
      </c>
      <c r="E639" s="1" t="n">
        <v>46309</v>
      </c>
      <c r="F639" t="inlineStr">
        <is>
          <t>UPPSALA LÄN</t>
        </is>
      </c>
      <c r="G639" t="inlineStr">
        <is>
          <t>UPPSALA</t>
        </is>
      </c>
      <c r="I639" t="n">
        <v>4.8</v>
      </c>
      <c r="J639" t="n">
        <v>0</v>
      </c>
      <c r="K639" t="n">
        <v>1</v>
      </c>
      <c r="L639" t="n">
        <v>0</v>
      </c>
      <c r="M639" t="n">
        <v>0</v>
      </c>
      <c r="N639" t="n">
        <v>0</v>
      </c>
      <c r="O639" t="n">
        <v>0</v>
      </c>
      <c r="P639" t="n">
        <v>0</v>
      </c>
      <c r="Q639" t="n">
        <v>0</v>
      </c>
      <c r="R639" t="n">
        <v>0</v>
      </c>
      <c r="S639" t="n">
        <v>1</v>
      </c>
      <c r="T639" t="n">
        <v>1</v>
      </c>
      <c r="U639" t="n">
        <v>0</v>
      </c>
      <c r="V639" s="2" t="inlineStr">
        <is>
          <t>Grönpyrola</t>
        </is>
      </c>
      <c r="W639">
        <f>HYPERLINK("https://klasma.github.io/Logging_0380/artfynd/A 5309-2022 artfynd.xlsx", "A 5309-2022")</f>
        <v/>
      </c>
      <c r="X639">
        <f>HYPERLINK("https://klasma.github.io/Logging_0380/kartor/A 5309-2022 karta.png", "A 5309-2022")</f>
        <v/>
      </c>
      <c r="Y639">
        <f>HYPERLINK("https://klasma.github.io/Logging_0380/kartor_geotiff/A 5309-2022 georefererad karta.tif", "A 5309-2022")</f>
        <v/>
      </c>
      <c r="AA639">
        <f>HYPERLINK("https://klasma.github.io/Logging_0380/klagomål/A 5309-2022 FSC-klagomål.docx", "A 5309-2022")</f>
        <v/>
      </c>
      <c r="AB639">
        <f>HYPERLINK("https://klasma.github.io/Logging_0380/klagomålsmail/A 5309-2022 FSC-klagomål mail.docx", "A 5309-2022")</f>
        <v/>
      </c>
      <c r="AC639">
        <f>HYPERLINK("https://klasma.github.io/Logging_0380/tillsyn/A 5309-2022 tillsynsbegäran.docx", "A 5309-2022")</f>
        <v/>
      </c>
      <c r="AD639">
        <f>HYPERLINK("https://klasma.github.io/Logging_0380/tillsynsmail/A 5309-2022 tillsynsbegäran mail.docx", "A 5309-2022")</f>
        <v/>
      </c>
    </row>
    <row r="640" ht="15" customHeight="1">
      <c r="A640" t="inlineStr">
        <is>
          <t>A 53992-2023</t>
        </is>
      </c>
      <c r="B640" t="inlineStr">
        <is>
          <t>avverkningsanmälan</t>
        </is>
      </c>
      <c r="C640" t="inlineStr">
        <is>
          <t>Föryngringsavverkning</t>
        </is>
      </c>
      <c r="D640" s="1" t="n">
        <v>45231</v>
      </c>
      <c r="E640" s="1" t="n">
        <v>46309</v>
      </c>
      <c r="F640" t="inlineStr">
        <is>
          <t>UPPSALA LÄN</t>
        </is>
      </c>
      <c r="G640" t="inlineStr">
        <is>
          <t>HEBY</t>
        </is>
      </c>
      <c r="I640" t="n">
        <v>1.2</v>
      </c>
      <c r="J640" t="n">
        <v>0</v>
      </c>
      <c r="K640" t="n">
        <v>0</v>
      </c>
      <c r="L640" t="n">
        <v>0</v>
      </c>
      <c r="M640" t="n">
        <v>1</v>
      </c>
      <c r="N640" t="n">
        <v>0</v>
      </c>
      <c r="O640" t="n">
        <v>0</v>
      </c>
      <c r="P640" t="n">
        <v>0</v>
      </c>
      <c r="Q640" t="n">
        <v>1</v>
      </c>
      <c r="R640" t="n">
        <v>1</v>
      </c>
      <c r="S640" t="n">
        <v>1</v>
      </c>
      <c r="T640" t="n">
        <v>1</v>
      </c>
      <c r="U640" t="n">
        <v>1</v>
      </c>
      <c r="V640" s="2" t="inlineStr">
        <is>
          <t>Igelkott</t>
        </is>
      </c>
      <c r="W640">
        <f>HYPERLINK("https://klasma.github.io/Logging_0331/artfynd/A 53992-2023 artfynd.xlsx", "A 53992-2023")</f>
        <v/>
      </c>
      <c r="X640">
        <f>HYPERLINK("https://klasma.github.io/Logging_0331/kartor/A 53992-2023 karta.png", "A 53992-2023")</f>
        <v/>
      </c>
      <c r="Y640">
        <f>HYPERLINK("https://klasma.github.io/Logging_0331/kartor_geotiff/A 53992-2023 georefererad karta.tif", "A 53992-2023")</f>
        <v/>
      </c>
      <c r="AA640">
        <f>HYPERLINK("https://klasma.github.io/Logging_0331/klagomål/A 53992-2023 FSC-klagomål.docx", "A 53992-2023")</f>
        <v/>
      </c>
      <c r="AB640">
        <f>HYPERLINK("https://klasma.github.io/Logging_0331/klagomålsmail/A 53992-2023 FSC-klagomål mail.docx", "A 53992-2023")</f>
        <v/>
      </c>
      <c r="AC640">
        <f>HYPERLINK("https://klasma.github.io/Logging_0331/tillsyn/A 53992-2023 tillsynsbegäran.docx", "A 53992-2023")</f>
        <v/>
      </c>
      <c r="AD640">
        <f>HYPERLINK("https://klasma.github.io/Logging_0331/tillsynsmail/A 53992-2023 tillsynsbegäran mail.docx", "A 53992-2023")</f>
        <v/>
      </c>
    </row>
    <row r="641" ht="15" customHeight="1">
      <c r="A641" t="inlineStr">
        <is>
          <t>A 38600-2023</t>
        </is>
      </c>
      <c r="B641" t="inlineStr">
        <is>
          <t>avverkningsanmälan</t>
        </is>
      </c>
      <c r="C641" t="inlineStr">
        <is>
          <t>Avverkning för annat ändamål</t>
        </is>
      </c>
      <c r="D641" s="1" t="n">
        <v>45162</v>
      </c>
      <c r="E641" s="1" t="n">
        <v>46309</v>
      </c>
      <c r="F641" t="inlineStr">
        <is>
          <t>UPPSALA LÄN</t>
        </is>
      </c>
      <c r="G641" t="inlineStr">
        <is>
          <t>ÖSTHAMMAR</t>
        </is>
      </c>
      <c r="H641" t="inlineStr">
        <is>
          <t>Bergvik skog väst AB</t>
        </is>
      </c>
      <c r="I641" t="n">
        <v>0.1</v>
      </c>
      <c r="J641" t="n">
        <v>1</v>
      </c>
      <c r="K641" t="n">
        <v>0</v>
      </c>
      <c r="L641" t="n">
        <v>0</v>
      </c>
      <c r="M641" t="n">
        <v>0</v>
      </c>
      <c r="N641" t="n">
        <v>0</v>
      </c>
      <c r="O641" t="n">
        <v>0</v>
      </c>
      <c r="P641" t="n">
        <v>0</v>
      </c>
      <c r="Q641" t="n">
        <v>0</v>
      </c>
      <c r="R641" t="n">
        <v>0</v>
      </c>
      <c r="S641" t="n">
        <v>1</v>
      </c>
      <c r="T641" t="n">
        <v>1</v>
      </c>
      <c r="U641" t="n">
        <v>0</v>
      </c>
      <c r="V641" s="2" t="inlineStr">
        <is>
          <t>Blåsippa</t>
        </is>
      </c>
      <c r="W641">
        <f>HYPERLINK("https://klasma.github.io/Logging_0382/artfynd/A 38600-2023 artfynd.xlsx", "A 38600-2023")</f>
        <v/>
      </c>
      <c r="X641">
        <f>HYPERLINK("https://klasma.github.io/Logging_0382/kartor/A 38600-2023 karta.png", "A 38600-2023")</f>
        <v/>
      </c>
      <c r="Y641">
        <f>HYPERLINK("https://klasma.github.io/Logging_0382/kartor_geotiff/A 38600-2023 georefererad karta.tif", "A 38600-2023")</f>
        <v/>
      </c>
      <c r="AA641">
        <f>HYPERLINK("https://klasma.github.io/Logging_0382/klagomål/A 38600-2023 FSC-klagomål.docx", "A 38600-2023")</f>
        <v/>
      </c>
      <c r="AB641">
        <f>HYPERLINK("https://klasma.github.io/Logging_0382/klagomålsmail/A 38600-2023 FSC-klagomål mail.docx", "A 38600-2023")</f>
        <v/>
      </c>
      <c r="AC641">
        <f>HYPERLINK("https://klasma.github.io/Logging_0382/tillsyn/A 38600-2023 tillsynsbegäran.docx", "A 38600-2023")</f>
        <v/>
      </c>
      <c r="AD641">
        <f>HYPERLINK("https://klasma.github.io/Logging_0382/tillsynsmail/A 38600-2023 tillsynsbegäran mail.docx", "A 38600-2023")</f>
        <v/>
      </c>
    </row>
    <row r="642" ht="15" customHeight="1">
      <c r="A642" t="inlineStr">
        <is>
          <t>A 41002-2023</t>
        </is>
      </c>
      <c r="B642" t="inlineStr">
        <is>
          <t>avverkningsanmälan</t>
        </is>
      </c>
      <c r="C642" t="inlineStr">
        <is>
          <t>Avverkning för att bevara och utveckla /försöksver</t>
        </is>
      </c>
      <c r="D642" s="1" t="n">
        <v>45173</v>
      </c>
      <c r="E642" s="1" t="n">
        <v>46309</v>
      </c>
      <c r="F642" t="inlineStr">
        <is>
          <t>UPPSALA LÄN</t>
        </is>
      </c>
      <c r="G642" t="inlineStr">
        <is>
          <t>UPPSALA</t>
        </is>
      </c>
      <c r="I642" t="n">
        <v>6.2</v>
      </c>
      <c r="J642" t="n">
        <v>1</v>
      </c>
      <c r="K642" t="n">
        <v>0</v>
      </c>
      <c r="L642" t="n">
        <v>0</v>
      </c>
      <c r="M642" t="n">
        <v>0</v>
      </c>
      <c r="N642" t="n">
        <v>0</v>
      </c>
      <c r="O642" t="n">
        <v>0</v>
      </c>
      <c r="P642" t="n">
        <v>0</v>
      </c>
      <c r="Q642" t="n">
        <v>0</v>
      </c>
      <c r="R642" t="n">
        <v>0</v>
      </c>
      <c r="S642" t="n">
        <v>1</v>
      </c>
      <c r="T642" t="n">
        <v>1</v>
      </c>
      <c r="U642" t="n">
        <v>0</v>
      </c>
      <c r="V642" s="2" t="inlineStr">
        <is>
          <t>Blåsippa</t>
        </is>
      </c>
      <c r="W642">
        <f>HYPERLINK("https://klasma.github.io/Logging_0380/artfynd/A 41002-2023 artfynd.xlsx", "A 41002-2023")</f>
        <v/>
      </c>
      <c r="X642">
        <f>HYPERLINK("https://klasma.github.io/Logging_0380/kartor/A 41002-2023 karta.png", "A 41002-2023")</f>
        <v/>
      </c>
      <c r="Y642">
        <f>HYPERLINK("https://klasma.github.io/Logging_0380/kartor_geotiff/A 41002-2023 georefererad karta.tif", "A 41002-2023")</f>
        <v/>
      </c>
      <c r="AA642">
        <f>HYPERLINK("https://klasma.github.io/Logging_0380/klagomål/A 41002-2023 FSC-klagomål.docx", "A 41002-2023")</f>
        <v/>
      </c>
      <c r="AB642">
        <f>HYPERLINK("https://klasma.github.io/Logging_0380/klagomålsmail/A 41002-2023 FSC-klagomål mail.docx", "A 41002-2023")</f>
        <v/>
      </c>
      <c r="AC642">
        <f>HYPERLINK("https://klasma.github.io/Logging_0380/tillsyn/A 41002-2023 tillsynsbegäran.docx", "A 41002-2023")</f>
        <v/>
      </c>
      <c r="AD642">
        <f>HYPERLINK("https://klasma.github.io/Logging_0380/tillsynsmail/A 41002-2023 tillsynsbegäran mail.docx", "A 41002-2023")</f>
        <v/>
      </c>
    </row>
    <row r="643" ht="15" customHeight="1">
      <c r="A643" t="inlineStr">
        <is>
          <t>A 43285-2023</t>
        </is>
      </c>
      <c r="B643" t="inlineStr">
        <is>
          <t>avverkningsanmälan</t>
        </is>
      </c>
      <c r="C643" t="inlineStr">
        <is>
          <t>Föryngringsavverkning</t>
        </is>
      </c>
      <c r="D643" s="1" t="n">
        <v>45183</v>
      </c>
      <c r="E643" s="1" t="n">
        <v>46309</v>
      </c>
      <c r="F643" t="inlineStr">
        <is>
          <t>UPPSALA LÄN</t>
        </is>
      </c>
      <c r="G643" t="inlineStr">
        <is>
          <t>ÄLVKARLEBY</t>
        </is>
      </c>
      <c r="H643" t="inlineStr">
        <is>
          <t>Bergvik skog väst AB</t>
        </is>
      </c>
      <c r="I643" t="n">
        <v>1.3</v>
      </c>
      <c r="J643" t="n">
        <v>1</v>
      </c>
      <c r="K643" t="n">
        <v>0</v>
      </c>
      <c r="L643" t="n">
        <v>0</v>
      </c>
      <c r="M643" t="n">
        <v>0</v>
      </c>
      <c r="N643" t="n">
        <v>0</v>
      </c>
      <c r="O643" t="n">
        <v>0</v>
      </c>
      <c r="P643" t="n">
        <v>0</v>
      </c>
      <c r="Q643" t="n">
        <v>0</v>
      </c>
      <c r="R643" t="n">
        <v>0</v>
      </c>
      <c r="S643" t="n">
        <v>1</v>
      </c>
      <c r="T643" t="n">
        <v>1</v>
      </c>
      <c r="U643" t="n">
        <v>0</v>
      </c>
      <c r="V643" s="2" t="inlineStr">
        <is>
          <t>Vanlig groda</t>
        </is>
      </c>
      <c r="W643">
        <f>HYPERLINK("https://klasma.github.io/Logging_0319/artfynd/A 43285-2023 artfynd.xlsx", "A 43285-2023")</f>
        <v/>
      </c>
      <c r="X643">
        <f>HYPERLINK("https://klasma.github.io/Logging_0319/kartor/A 43285-2023 karta.png", "A 43285-2023")</f>
        <v/>
      </c>
      <c r="Y643">
        <f>HYPERLINK("https://klasma.github.io/Logging_0319/kartor_geotiff/A 43285-2023 georefererad karta.tif", "A 43285-2023")</f>
        <v/>
      </c>
      <c r="AA643">
        <f>HYPERLINK("https://klasma.github.io/Logging_0319/klagomål/A 43285-2023 FSC-klagomål.docx", "A 43285-2023")</f>
        <v/>
      </c>
      <c r="AB643">
        <f>HYPERLINK("https://klasma.github.io/Logging_0319/klagomålsmail/A 43285-2023 FSC-klagomål mail.docx", "A 43285-2023")</f>
        <v/>
      </c>
      <c r="AC643">
        <f>HYPERLINK("https://klasma.github.io/Logging_0319/tillsyn/A 43285-2023 tillsynsbegäran.docx", "A 43285-2023")</f>
        <v/>
      </c>
      <c r="AD643">
        <f>HYPERLINK("https://klasma.github.io/Logging_0319/tillsynsmail/A 43285-2023 tillsynsbegäran mail.docx", "A 43285-2023")</f>
        <v/>
      </c>
    </row>
    <row r="644" ht="15" customHeight="1">
      <c r="A644" t="inlineStr">
        <is>
          <t>A 3950-2025</t>
        </is>
      </c>
      <c r="B644" t="inlineStr">
        <is>
          <t>avverkningsanmälan</t>
        </is>
      </c>
      <c r="C644" t="inlineStr">
        <is>
          <t>Avverkning för annat ändamål</t>
        </is>
      </c>
      <c r="D644" s="1" t="n">
        <v>45684</v>
      </c>
      <c r="E644" s="1" t="n">
        <v>46309</v>
      </c>
      <c r="F644" t="inlineStr">
        <is>
          <t>UPPSALA LÄN</t>
        </is>
      </c>
      <c r="G644" t="inlineStr">
        <is>
          <t>ÄLVKARLEBY</t>
        </is>
      </c>
      <c r="I644" t="n">
        <v>3.1</v>
      </c>
      <c r="J644" t="n">
        <v>0</v>
      </c>
      <c r="K644" t="n">
        <v>0</v>
      </c>
      <c r="L644" t="n">
        <v>1</v>
      </c>
      <c r="M644" t="n">
        <v>0</v>
      </c>
      <c r="N644" t="n">
        <v>0</v>
      </c>
      <c r="O644" t="n">
        <v>0</v>
      </c>
      <c r="P644" t="n">
        <v>0</v>
      </c>
      <c r="Q644" t="n">
        <v>1</v>
      </c>
      <c r="R644" t="n">
        <v>0</v>
      </c>
      <c r="S644" t="n">
        <v>1</v>
      </c>
      <c r="T644" t="n">
        <v>4</v>
      </c>
      <c r="U644" t="n">
        <v>0</v>
      </c>
      <c r="V644" s="2" t="inlineStr">
        <is>
          <t>Månlåsbräken</t>
        </is>
      </c>
      <c r="W644">
        <f>HYPERLINK("https://klasma.github.io/Logging_0319/artfynd/A 3950-2025 artfynd.xlsx", "A 3950-2025")</f>
        <v/>
      </c>
      <c r="X644">
        <f>HYPERLINK("https://klasma.github.io/Logging_0319/kartor/A 3950-2025 karta.png", "A 3950-2025")</f>
        <v/>
      </c>
      <c r="Y644">
        <f>HYPERLINK("https://klasma.github.io/Logging_0319/kartor_geotiff/A 3950-2025 georefererad karta.tif", "A 3950-2025")</f>
        <v/>
      </c>
      <c r="AA644">
        <f>HYPERLINK("https://klasma.github.io/Logging_0319/klagomål/A 3950-2025 FSC-klagomål.docx", "A 3950-2025")</f>
        <v/>
      </c>
      <c r="AB644">
        <f>HYPERLINK("https://klasma.github.io/Logging_0319/klagomålsmail/A 3950-2025 FSC-klagomål mail.docx", "A 3950-2025")</f>
        <v/>
      </c>
      <c r="AC644">
        <f>HYPERLINK("https://klasma.github.io/Logging_0319/tillsyn/A 3950-2025 tillsynsbegäran.docx", "A 3950-2025")</f>
        <v/>
      </c>
      <c r="AD644">
        <f>HYPERLINK("https://klasma.github.io/Logging_0319/tillsynsmail/A 3950-2025 tillsynsbegäran mail.docx", "A 3950-2025")</f>
        <v/>
      </c>
    </row>
    <row r="645" ht="15" customHeight="1">
      <c r="A645" t="inlineStr">
        <is>
          <t>A 25754-2026</t>
        </is>
      </c>
      <c r="B645" t="inlineStr">
        <is>
          <t>avverkningsanmälan</t>
        </is>
      </c>
      <c r="C645" t="inlineStr">
        <is>
          <t>Föryngringsavverkning</t>
        </is>
      </c>
      <c r="D645" s="1" t="n">
        <v>46178</v>
      </c>
      <c r="E645" s="1" t="n">
        <v>46309</v>
      </c>
      <c r="F645" t="inlineStr">
        <is>
          <t>UPPSALA LÄN</t>
        </is>
      </c>
      <c r="G645" t="inlineStr">
        <is>
          <t>UPPSALA</t>
        </is>
      </c>
      <c r="I645" t="n">
        <v>4.2</v>
      </c>
      <c r="J645" t="n">
        <v>0</v>
      </c>
      <c r="K645" t="n">
        <v>0</v>
      </c>
      <c r="L645" t="n">
        <v>1</v>
      </c>
      <c r="M645" t="n">
        <v>0</v>
      </c>
      <c r="N645" t="n">
        <v>0</v>
      </c>
      <c r="O645" t="n">
        <v>0</v>
      </c>
      <c r="P645" t="n">
        <v>0</v>
      </c>
      <c r="Q645" t="n">
        <v>1</v>
      </c>
      <c r="R645" t="n">
        <v>0</v>
      </c>
      <c r="S645" t="n">
        <v>1</v>
      </c>
      <c r="T645" t="n">
        <v>1</v>
      </c>
      <c r="U645" t="n">
        <v>0</v>
      </c>
      <c r="V645" s="2" t="inlineStr">
        <is>
          <t>Fjällig taggsvamp s.str.</t>
        </is>
      </c>
      <c r="W645">
        <f>HYPERLINK("https://klasma.github.io/Logging_0380/artfynd/A 25754-2026 artfynd.xlsx", "A 25754-2026")</f>
        <v/>
      </c>
      <c r="X645">
        <f>HYPERLINK("https://klasma.github.io/Logging_0380/kartor/A 25754-2026 karta.png", "A 25754-2026")</f>
        <v/>
      </c>
      <c r="Y645">
        <f>HYPERLINK("https://klasma.github.io/Logging_0380/kartor_geotiff/A 25754-2026 georefererad karta.tif", "A 25754-2026")</f>
        <v/>
      </c>
      <c r="AA645">
        <f>HYPERLINK("https://klasma.github.io/Logging_0380/klagomål/A 25754-2026 FSC-klagomål.docx", "A 25754-2026")</f>
        <v/>
      </c>
      <c r="AB645">
        <f>HYPERLINK("https://klasma.github.io/Logging_0380/klagomålsmail/A 25754-2026 FSC-klagomål mail.docx", "A 25754-2026")</f>
        <v/>
      </c>
      <c r="AC645">
        <f>HYPERLINK("https://klasma.github.io/Logging_0380/tillsyn/A 25754-2026 tillsynsbegäran.docx", "A 25754-2026")</f>
        <v/>
      </c>
      <c r="AD645">
        <f>HYPERLINK("https://klasma.github.io/Logging_0380/tillsynsmail/A 25754-2026 tillsynsbegäran mail.docx", "A 25754-2026")</f>
        <v/>
      </c>
    </row>
    <row r="646" ht="15" customHeight="1">
      <c r="A646" t="inlineStr">
        <is>
          <t>A 26319-2022</t>
        </is>
      </c>
      <c r="B646" t="inlineStr">
        <is>
          <t>avverkningsanmälan</t>
        </is>
      </c>
      <c r="C646" t="inlineStr">
        <is>
          <t>Föryngringsavverkning</t>
        </is>
      </c>
      <c r="D646" s="1" t="n">
        <v>44735</v>
      </c>
      <c r="E646" s="1" t="n">
        <v>46309</v>
      </c>
      <c r="F646" t="inlineStr">
        <is>
          <t>UPPSALA LÄN</t>
        </is>
      </c>
      <c r="G646" t="inlineStr">
        <is>
          <t>ENKÖPING</t>
        </is>
      </c>
      <c r="I646" t="n">
        <v>1.8</v>
      </c>
      <c r="J646" t="n">
        <v>1</v>
      </c>
      <c r="K646" t="n">
        <v>0</v>
      </c>
      <c r="L646" t="n">
        <v>0</v>
      </c>
      <c r="M646" t="n">
        <v>0</v>
      </c>
      <c r="N646" t="n">
        <v>0</v>
      </c>
      <c r="O646" t="n">
        <v>0</v>
      </c>
      <c r="P646" t="n">
        <v>0</v>
      </c>
      <c r="Q646" t="n">
        <v>0</v>
      </c>
      <c r="R646" t="n">
        <v>0</v>
      </c>
      <c r="S646" t="n">
        <v>1</v>
      </c>
      <c r="T646" t="n">
        <v>1</v>
      </c>
      <c r="U646" t="n">
        <v>0</v>
      </c>
      <c r="V646" s="2" t="inlineStr">
        <is>
          <t>Mistel</t>
        </is>
      </c>
      <c r="W646">
        <f>HYPERLINK("https://klasma.github.io/Logging_0381/artfynd/A 26319-2022 artfynd.xlsx", "A 26319-2022")</f>
        <v/>
      </c>
      <c r="X646">
        <f>HYPERLINK("https://klasma.github.io/Logging_0381/kartor/A 26319-2022 karta.png", "A 26319-2022")</f>
        <v/>
      </c>
      <c r="Y646">
        <f>HYPERLINK("https://klasma.github.io/Logging_0381/kartor_geotiff/A 26319-2022 georefererad karta.tif", "A 26319-2022")</f>
        <v/>
      </c>
      <c r="AA646">
        <f>HYPERLINK("https://klasma.github.io/Logging_0381/klagomål/A 26319-2022 FSC-klagomål.docx", "A 26319-2022")</f>
        <v/>
      </c>
      <c r="AB646">
        <f>HYPERLINK("https://klasma.github.io/Logging_0381/klagomålsmail/A 26319-2022 FSC-klagomål mail.docx", "A 26319-2022")</f>
        <v/>
      </c>
      <c r="AC646">
        <f>HYPERLINK("https://klasma.github.io/Logging_0381/tillsyn/A 26319-2022 tillsynsbegäran.docx", "A 26319-2022")</f>
        <v/>
      </c>
      <c r="AD646">
        <f>HYPERLINK("https://klasma.github.io/Logging_0381/tillsynsmail/A 26319-2022 tillsynsbegäran mail.docx", "A 26319-2022")</f>
        <v/>
      </c>
    </row>
    <row r="647" ht="15" customHeight="1">
      <c r="A647" t="inlineStr">
        <is>
          <t>A 63940-2023</t>
        </is>
      </c>
      <c r="B647" t="inlineStr">
        <is>
          <t>avverkningsanmälan</t>
        </is>
      </c>
      <c r="C647" t="inlineStr">
        <is>
          <t>Föryngringsavverkning</t>
        </is>
      </c>
      <c r="D647" s="1" t="n">
        <v>45278</v>
      </c>
      <c r="E647" s="1" t="n">
        <v>46309</v>
      </c>
      <c r="F647" t="inlineStr">
        <is>
          <t>UPPSALA LÄN</t>
        </is>
      </c>
      <c r="G647" t="inlineStr">
        <is>
          <t>HEBY</t>
        </is>
      </c>
      <c r="I647" t="n">
        <v>2.4</v>
      </c>
      <c r="J647" t="n">
        <v>0</v>
      </c>
      <c r="K647" t="n">
        <v>0</v>
      </c>
      <c r="L647" t="n">
        <v>1</v>
      </c>
      <c r="M647" t="n">
        <v>0</v>
      </c>
      <c r="N647" t="n">
        <v>0</v>
      </c>
      <c r="O647" t="n">
        <v>0</v>
      </c>
      <c r="P647" t="n">
        <v>0</v>
      </c>
      <c r="Q647" t="n">
        <v>1</v>
      </c>
      <c r="R647" t="n">
        <v>0</v>
      </c>
      <c r="S647" t="n">
        <v>1</v>
      </c>
      <c r="T647" t="n">
        <v>2</v>
      </c>
      <c r="U647" t="n">
        <v>0</v>
      </c>
      <c r="V647" s="2" t="inlineStr">
        <is>
          <t>Gullpudra</t>
        </is>
      </c>
      <c r="W647">
        <f>HYPERLINK("https://klasma.github.io/Logging_0331/artfynd/A 63940-2023 artfynd.xlsx", "A 63940-2023")</f>
        <v/>
      </c>
      <c r="X647">
        <f>HYPERLINK("https://klasma.github.io/Logging_0331/kartor/A 63940-2023 karta.png", "A 63940-2023")</f>
        <v/>
      </c>
      <c r="Y647">
        <f>HYPERLINK("https://klasma.github.io/Logging_0331/kartor_geotiff/A 63940-2023 georefererad karta.tif", "A 63940-2023")</f>
        <v/>
      </c>
      <c r="AA647">
        <f>HYPERLINK("https://klasma.github.io/Logging_0331/klagomål/A 63940-2023 FSC-klagomål.docx", "A 63940-2023")</f>
        <v/>
      </c>
      <c r="AB647">
        <f>HYPERLINK("https://klasma.github.io/Logging_0331/klagomålsmail/A 63940-2023 FSC-klagomål mail.docx", "A 63940-2023")</f>
        <v/>
      </c>
      <c r="AC647">
        <f>HYPERLINK("https://klasma.github.io/Logging_0331/tillsyn/A 63940-2023 tillsynsbegäran.docx", "A 63940-2023")</f>
        <v/>
      </c>
      <c r="AD647">
        <f>HYPERLINK("https://klasma.github.io/Logging_0331/tillsynsmail/A 63940-2023 tillsynsbegäran mail.docx", "A 63940-2023")</f>
        <v/>
      </c>
    </row>
    <row r="648" ht="15" customHeight="1">
      <c r="A648" t="inlineStr">
        <is>
          <t>A 25985-2026</t>
        </is>
      </c>
      <c r="B648" t="inlineStr">
        <is>
          <t>avverkningsanmälan</t>
        </is>
      </c>
      <c r="C648" t="inlineStr">
        <is>
          <t>Föryngringsavverkning</t>
        </is>
      </c>
      <c r="D648" s="1" t="n">
        <v>46181</v>
      </c>
      <c r="E648" s="1" t="n">
        <v>46309</v>
      </c>
      <c r="F648" t="inlineStr">
        <is>
          <t>UPPSALA LÄN</t>
        </is>
      </c>
      <c r="G648" t="inlineStr">
        <is>
          <t>TIERP</t>
        </is>
      </c>
      <c r="H648" t="inlineStr">
        <is>
          <t>Bergvik skog öst AB</t>
        </is>
      </c>
      <c r="I648" t="n">
        <v>4.8</v>
      </c>
      <c r="J648" t="n">
        <v>1</v>
      </c>
      <c r="K648" t="n">
        <v>1</v>
      </c>
      <c r="L648" t="n">
        <v>0</v>
      </c>
      <c r="M648" t="n">
        <v>0</v>
      </c>
      <c r="N648" t="n">
        <v>0</v>
      </c>
      <c r="O648" t="n">
        <v>0</v>
      </c>
      <c r="P648" t="n">
        <v>0</v>
      </c>
      <c r="Q648" t="n">
        <v>0</v>
      </c>
      <c r="R648" t="n">
        <v>0</v>
      </c>
      <c r="S648" t="n">
        <v>1</v>
      </c>
      <c r="T648" t="n">
        <v>1</v>
      </c>
      <c r="U648" t="n">
        <v>0</v>
      </c>
      <c r="V648" s="2" t="inlineStr">
        <is>
          <t>Tvåblad</t>
        </is>
      </c>
      <c r="W648">
        <f>HYPERLINK("https://klasma.github.io/Logging_0360/artfynd/A 25985-2026 artfynd.xlsx", "A 25985-2026")</f>
        <v/>
      </c>
      <c r="X648">
        <f>HYPERLINK("https://klasma.github.io/Logging_0360/kartor/A 25985-2026 karta.png", "A 25985-2026")</f>
        <v/>
      </c>
      <c r="Y648">
        <f>HYPERLINK("https://klasma.github.io/Logging_0360/kartor_geotiff/A 25985-2026 georefererad karta.tif", "A 25985-2026")</f>
        <v/>
      </c>
      <c r="AA648">
        <f>HYPERLINK("https://klasma.github.io/Logging_0360/klagomål/A 25985-2026 FSC-klagomål.docx", "A 25985-2026")</f>
        <v/>
      </c>
      <c r="AB648">
        <f>HYPERLINK("https://klasma.github.io/Logging_0360/klagomålsmail/A 25985-2026 FSC-klagomål mail.docx", "A 25985-2026")</f>
        <v/>
      </c>
      <c r="AC648">
        <f>HYPERLINK("https://klasma.github.io/Logging_0360/tillsyn/A 25985-2026 tillsynsbegäran.docx", "A 25985-2026")</f>
        <v/>
      </c>
      <c r="AD648">
        <f>HYPERLINK("https://klasma.github.io/Logging_0360/tillsynsmail/A 25985-2026 tillsynsbegäran mail.docx", "A 25985-2026")</f>
        <v/>
      </c>
    </row>
    <row r="649" ht="15" customHeight="1">
      <c r="A649" t="inlineStr">
        <is>
          <t>A 28046-2026</t>
        </is>
      </c>
      <c r="B649" t="inlineStr">
        <is>
          <t>avverkningsanmälan</t>
        </is>
      </c>
      <c r="C649" t="inlineStr">
        <is>
          <t>Föryngringsavverkning</t>
        </is>
      </c>
      <c r="D649" s="1" t="n">
        <v>46195</v>
      </c>
      <c r="E649" s="1" t="n">
        <v>46309</v>
      </c>
      <c r="F649" t="inlineStr">
        <is>
          <t>UPPSALA LÄN</t>
        </is>
      </c>
      <c r="G649" t="inlineStr">
        <is>
          <t>ÖSTHAMMAR</t>
        </is>
      </c>
      <c r="H649" t="inlineStr">
        <is>
          <t>Övriga Aktiebolag</t>
        </is>
      </c>
      <c r="I649" t="n">
        <v>21.2</v>
      </c>
      <c r="J649" t="n">
        <v>1</v>
      </c>
      <c r="K649" t="n">
        <v>0</v>
      </c>
      <c r="L649" t="n">
        <v>0</v>
      </c>
      <c r="M649" t="n">
        <v>1</v>
      </c>
      <c r="N649" t="n">
        <v>0</v>
      </c>
      <c r="O649" t="n">
        <v>0</v>
      </c>
      <c r="P649" t="n">
        <v>0</v>
      </c>
      <c r="Q649" t="n">
        <v>1</v>
      </c>
      <c r="R649" t="n">
        <v>1</v>
      </c>
      <c r="S649" t="n">
        <v>1</v>
      </c>
      <c r="T649" t="n">
        <v>1</v>
      </c>
      <c r="U649" t="n">
        <v>0</v>
      </c>
      <c r="V649" s="2" t="inlineStr">
        <is>
          <t>Hällebräcka</t>
        </is>
      </c>
      <c r="W649">
        <f>HYPERLINK("https://klasma.github.io/Logging_0382/artfynd/A 28046-2026 artfynd.xlsx", "A 28046-2026")</f>
        <v/>
      </c>
      <c r="X649">
        <f>HYPERLINK("https://klasma.github.io/Logging_0382/kartor/A 28046-2026 karta.png", "A 28046-2026")</f>
        <v/>
      </c>
      <c r="Y649">
        <f>HYPERLINK("https://klasma.github.io/Logging_0382/kartor_geotiff/A 28046-2026 georefererad karta.tif", "A 28046-2026")</f>
        <v/>
      </c>
      <c r="AA649">
        <f>HYPERLINK("https://klasma.github.io/Logging_0382/klagomål/A 28046-2026 FSC-klagomål.docx", "A 28046-2026")</f>
        <v/>
      </c>
      <c r="AB649">
        <f>HYPERLINK("https://klasma.github.io/Logging_0382/klagomålsmail/A 28046-2026 FSC-klagomål mail.docx", "A 28046-2026")</f>
        <v/>
      </c>
      <c r="AC649">
        <f>HYPERLINK("https://klasma.github.io/Logging_0382/tillsyn/A 28046-2026 tillsynsbegäran.docx", "A 28046-2026")</f>
        <v/>
      </c>
      <c r="AD649">
        <f>HYPERLINK("https://klasma.github.io/Logging_0382/tillsynsmail/A 28046-2026 tillsynsbegäran mail.docx", "A 28046-2026")</f>
        <v/>
      </c>
    </row>
    <row r="650" ht="15" customHeight="1">
      <c r="A650" t="inlineStr">
        <is>
          <t>A 28024-2026</t>
        </is>
      </c>
      <c r="B650" t="inlineStr">
        <is>
          <t>avverkningsanmälan</t>
        </is>
      </c>
      <c r="C650" t="inlineStr">
        <is>
          <t>Föryngringsavverkning</t>
        </is>
      </c>
      <c r="D650" s="1" t="n">
        <v>46195</v>
      </c>
      <c r="E650" s="1" t="n">
        <v>46309</v>
      </c>
      <c r="F650" t="inlineStr">
        <is>
          <t>UPPSALA LÄN</t>
        </is>
      </c>
      <c r="G650" t="inlineStr">
        <is>
          <t>ÖSTHAMMAR</t>
        </is>
      </c>
      <c r="H650" t="inlineStr">
        <is>
          <t>Bergvik skog öst AB</t>
        </is>
      </c>
      <c r="I650" t="n">
        <v>5.7</v>
      </c>
      <c r="J650" t="n">
        <v>1</v>
      </c>
      <c r="K650" t="n">
        <v>0</v>
      </c>
      <c r="L650" t="n">
        <v>0</v>
      </c>
      <c r="M650" t="n">
        <v>0</v>
      </c>
      <c r="N650" t="n">
        <v>0</v>
      </c>
      <c r="O650" t="n">
        <v>0</v>
      </c>
      <c r="P650" t="n">
        <v>0</v>
      </c>
      <c r="Q650" t="n">
        <v>0</v>
      </c>
      <c r="R650" t="n">
        <v>0</v>
      </c>
      <c r="S650" t="n">
        <v>1</v>
      </c>
      <c r="T650" t="n">
        <v>2</v>
      </c>
      <c r="U650" t="n">
        <v>0</v>
      </c>
      <c r="V650" s="2" t="inlineStr">
        <is>
          <t>Tjäder</t>
        </is>
      </c>
      <c r="W650">
        <f>HYPERLINK("https://klasma.github.io/Logging_0382/artfynd/A 28024-2026 artfynd.xlsx", "A 28024-2026")</f>
        <v/>
      </c>
      <c r="X650">
        <f>HYPERLINK("https://klasma.github.io/Logging_0382/kartor/A 28024-2026 karta.png", "A 28024-2026")</f>
        <v/>
      </c>
      <c r="Y650">
        <f>HYPERLINK("https://klasma.github.io/Logging_0382/kartor_geotiff/A 28024-2026 georefererad karta.tif", "A 28024-2026")</f>
        <v/>
      </c>
      <c r="AA650">
        <f>HYPERLINK("https://klasma.github.io/Logging_0382/klagomål/A 28024-2026 FSC-klagomål.docx", "A 28024-2026")</f>
        <v/>
      </c>
      <c r="AB650">
        <f>HYPERLINK("https://klasma.github.io/Logging_0382/klagomålsmail/A 28024-2026 FSC-klagomål mail.docx", "A 28024-2026")</f>
        <v/>
      </c>
      <c r="AC650">
        <f>HYPERLINK("https://klasma.github.io/Logging_0382/tillsyn/A 28024-2026 tillsynsbegäran.docx", "A 28024-2026")</f>
        <v/>
      </c>
      <c r="AD650">
        <f>HYPERLINK("https://klasma.github.io/Logging_0382/tillsynsmail/A 28024-2026 tillsynsbegäran mail.docx", "A 28024-2026")</f>
        <v/>
      </c>
      <c r="AE650">
        <f>HYPERLINK("https://klasma.github.io/Logging_0382/fåglar/A 28024-2026 prioriterade fågelarter.docx", "A 28024-2026")</f>
        <v/>
      </c>
    </row>
    <row r="651" ht="15" customHeight="1">
      <c r="A651" t="inlineStr">
        <is>
          <t>A 66305-2021</t>
        </is>
      </c>
      <c r="B651" t="inlineStr">
        <is>
          <t>avverkningsanmälan</t>
        </is>
      </c>
      <c r="C651" t="inlineStr">
        <is>
          <t>Föryngringsavverkning</t>
        </is>
      </c>
      <c r="D651" s="1" t="n">
        <v>44518</v>
      </c>
      <c r="E651" s="1" t="n">
        <v>46309</v>
      </c>
      <c r="F651" t="inlineStr">
        <is>
          <t>UPPSALA LÄN</t>
        </is>
      </c>
      <c r="G651" t="inlineStr">
        <is>
          <t>KNIVSTA</t>
        </is>
      </c>
      <c r="I651" t="n">
        <v>8.300000000000001</v>
      </c>
      <c r="J651" t="n">
        <v>0</v>
      </c>
      <c r="K651" t="n">
        <v>0</v>
      </c>
      <c r="L651" t="n">
        <v>0</v>
      </c>
      <c r="M651" t="n">
        <v>1</v>
      </c>
      <c r="N651" t="n">
        <v>0</v>
      </c>
      <c r="O651" t="n">
        <v>0</v>
      </c>
      <c r="P651" t="n">
        <v>0</v>
      </c>
      <c r="Q651" t="n">
        <v>1</v>
      </c>
      <c r="R651" t="n">
        <v>1</v>
      </c>
      <c r="S651" t="n">
        <v>1</v>
      </c>
      <c r="T651" t="n">
        <v>1</v>
      </c>
      <c r="U651" t="n">
        <v>1</v>
      </c>
      <c r="V651" s="2" t="inlineStr">
        <is>
          <t>Silverblåvinge</t>
        </is>
      </c>
      <c r="W651">
        <f>HYPERLINK("https://klasma.github.io/Logging_0330/artfynd/A 66305-2021 artfynd.xlsx", "A 66305-2021")</f>
        <v/>
      </c>
      <c r="X651">
        <f>HYPERLINK("https://klasma.github.io/Logging_0330/kartor/A 66305-2021 karta.png", "A 66305-2021")</f>
        <v/>
      </c>
      <c r="Y651">
        <f>HYPERLINK("https://klasma.github.io/Logging_0330/kartor_geotiff/A 66305-2021 georefererad karta.tif", "A 66305-2021")</f>
        <v/>
      </c>
      <c r="AA651">
        <f>HYPERLINK("https://klasma.github.io/Logging_0330/klagomål/A 66305-2021 FSC-klagomål.docx", "A 66305-2021")</f>
        <v/>
      </c>
      <c r="AB651">
        <f>HYPERLINK("https://klasma.github.io/Logging_0330/klagomålsmail/A 66305-2021 FSC-klagomål mail.docx", "A 66305-2021")</f>
        <v/>
      </c>
      <c r="AC651">
        <f>HYPERLINK("https://klasma.github.io/Logging_0330/tillsyn/A 66305-2021 tillsynsbegäran.docx", "A 66305-2021")</f>
        <v/>
      </c>
      <c r="AD651">
        <f>HYPERLINK("https://klasma.github.io/Logging_0330/tillsynsmail/A 66305-2021 tillsynsbegäran mail.docx", "A 66305-2021")</f>
        <v/>
      </c>
    </row>
    <row r="652" ht="15" customHeight="1">
      <c r="A652" t="inlineStr">
        <is>
          <t>A 2298-2024</t>
        </is>
      </c>
      <c r="B652" t="inlineStr">
        <is>
          <t>avverkningsanmälan</t>
        </is>
      </c>
      <c r="C652" t="inlineStr">
        <is>
          <t>Föryngringsavverkning</t>
        </is>
      </c>
      <c r="D652" s="1" t="n">
        <v>45310</v>
      </c>
      <c r="E652" s="1" t="n">
        <v>46309</v>
      </c>
      <c r="F652" t="inlineStr">
        <is>
          <t>UPPSALA LÄN</t>
        </is>
      </c>
      <c r="G652" t="inlineStr">
        <is>
          <t>TIERP</t>
        </is>
      </c>
      <c r="I652" t="n">
        <v>0.7</v>
      </c>
      <c r="J652" t="n">
        <v>0</v>
      </c>
      <c r="K652" t="n">
        <v>0</v>
      </c>
      <c r="L652" t="n">
        <v>1</v>
      </c>
      <c r="M652" t="n">
        <v>0</v>
      </c>
      <c r="N652" t="n">
        <v>0</v>
      </c>
      <c r="O652" t="n">
        <v>0</v>
      </c>
      <c r="P652" t="n">
        <v>0</v>
      </c>
      <c r="Q652" t="n">
        <v>1</v>
      </c>
      <c r="R652" t="n">
        <v>0</v>
      </c>
      <c r="S652" t="n">
        <v>1</v>
      </c>
      <c r="T652" t="n">
        <v>1</v>
      </c>
      <c r="U652" t="n">
        <v>0</v>
      </c>
      <c r="V652" s="2" t="inlineStr">
        <is>
          <t>Fyrflikig jordstjärna</t>
        </is>
      </c>
      <c r="W652">
        <f>HYPERLINK("https://klasma.github.io/Logging_0360/artfynd/A 2298-2024 artfynd.xlsx", "A 2298-2024")</f>
        <v/>
      </c>
      <c r="X652">
        <f>HYPERLINK("https://klasma.github.io/Logging_0360/kartor/A 2298-2024 karta.png", "A 2298-2024")</f>
        <v/>
      </c>
      <c r="Y652">
        <f>HYPERLINK("https://klasma.github.io/Logging_0360/kartor_geotiff/A 2298-2024 georefererad karta.tif", "A 2298-2024")</f>
        <v/>
      </c>
      <c r="AA652">
        <f>HYPERLINK("https://klasma.github.io/Logging_0360/klagomål/A 2298-2024 FSC-klagomål.docx", "A 2298-2024")</f>
        <v/>
      </c>
      <c r="AB652">
        <f>HYPERLINK("https://klasma.github.io/Logging_0360/klagomålsmail/A 2298-2024 FSC-klagomål mail.docx", "A 2298-2024")</f>
        <v/>
      </c>
      <c r="AC652">
        <f>HYPERLINK("https://klasma.github.io/Logging_0360/tillsyn/A 2298-2024 tillsynsbegäran.docx", "A 2298-2024")</f>
        <v/>
      </c>
      <c r="AD652">
        <f>HYPERLINK("https://klasma.github.io/Logging_0360/tillsynsmail/A 2298-2024 tillsynsbegäran mail.docx", "A 2298-2024")</f>
        <v/>
      </c>
    </row>
    <row r="653" ht="15" customHeight="1">
      <c r="A653" t="inlineStr">
        <is>
          <t>A 55763-2025</t>
        </is>
      </c>
      <c r="B653" t="inlineStr">
        <is>
          <t>avverkningsanmälan</t>
        </is>
      </c>
      <c r="C653" t="inlineStr">
        <is>
          <t>Avverkning för att bevara och utveckla /försöksver</t>
        </is>
      </c>
      <c r="D653" s="1" t="n">
        <v>45972</v>
      </c>
      <c r="E653" s="1" t="n">
        <v>46309</v>
      </c>
      <c r="F653" t="inlineStr">
        <is>
          <t>UPPSALA LÄN</t>
        </is>
      </c>
      <c r="G653" t="inlineStr">
        <is>
          <t>HEBY</t>
        </is>
      </c>
      <c r="I653" t="n">
        <v>4.5</v>
      </c>
      <c r="J653" t="n">
        <v>0</v>
      </c>
      <c r="K653" t="n">
        <v>0</v>
      </c>
      <c r="L653" t="n">
        <v>1</v>
      </c>
      <c r="M653" t="n">
        <v>0</v>
      </c>
      <c r="N653" t="n">
        <v>0</v>
      </c>
      <c r="O653" t="n">
        <v>0</v>
      </c>
      <c r="P653" t="n">
        <v>0</v>
      </c>
      <c r="Q653" t="n">
        <v>1</v>
      </c>
      <c r="R653" t="n">
        <v>0</v>
      </c>
      <c r="S653" t="n">
        <v>1</v>
      </c>
      <c r="T653" t="n">
        <v>1</v>
      </c>
      <c r="U653" t="n">
        <v>0</v>
      </c>
      <c r="V653" s="2" t="inlineStr">
        <is>
          <t>Kandelabersvamp</t>
        </is>
      </c>
      <c r="W653">
        <f>HYPERLINK("https://klasma.github.io/Logging_0331/artfynd/A 55763-2025 artfynd.xlsx", "A 55763-2025")</f>
        <v/>
      </c>
      <c r="X653">
        <f>HYPERLINK("https://klasma.github.io/Logging_0331/kartor/A 55763-2025 karta.png", "A 55763-2025")</f>
        <v/>
      </c>
      <c r="Y653">
        <f>HYPERLINK("https://klasma.github.io/Logging_0331/kartor_geotiff/A 55763-2025 georefererad karta.tif", "A 55763-2025")</f>
        <v/>
      </c>
      <c r="AA653">
        <f>HYPERLINK("https://klasma.github.io/Logging_0331/klagomål/A 55763-2025 FSC-klagomål.docx", "A 55763-2025")</f>
        <v/>
      </c>
      <c r="AB653">
        <f>HYPERLINK("https://klasma.github.io/Logging_0331/klagomålsmail/A 55763-2025 FSC-klagomål mail.docx", "A 55763-2025")</f>
        <v/>
      </c>
      <c r="AC653">
        <f>HYPERLINK("https://klasma.github.io/Logging_0331/tillsyn/A 55763-2025 tillsynsbegäran.docx", "A 55763-2025")</f>
        <v/>
      </c>
      <c r="AD653">
        <f>HYPERLINK("https://klasma.github.io/Logging_0331/tillsynsmail/A 55763-2025 tillsynsbegäran mail.docx", "A 55763-2025")</f>
        <v/>
      </c>
    </row>
    <row r="654" ht="15" customHeight="1">
      <c r="A654" t="inlineStr">
        <is>
          <t>A 19751-2023</t>
        </is>
      </c>
      <c r="B654" t="inlineStr">
        <is>
          <t>avverkningsanmälan</t>
        </is>
      </c>
      <c r="C654" t="inlineStr">
        <is>
          <t>Föryngringsavverkning</t>
        </is>
      </c>
      <c r="D654" s="1" t="n">
        <v>45050</v>
      </c>
      <c r="E654" s="1" t="n">
        <v>46309</v>
      </c>
      <c r="F654" t="inlineStr">
        <is>
          <t>UPPSALA LÄN</t>
        </is>
      </c>
      <c r="G654" t="inlineStr">
        <is>
          <t>HEBY</t>
        </is>
      </c>
      <c r="H654" t="inlineStr">
        <is>
          <t>Bergvik skog väst AB</t>
        </is>
      </c>
      <c r="I654" t="n">
        <v>2.3</v>
      </c>
      <c r="J654" t="n">
        <v>1</v>
      </c>
      <c r="K654" t="n">
        <v>0</v>
      </c>
      <c r="L654" t="n">
        <v>0</v>
      </c>
      <c r="M654" t="n">
        <v>0</v>
      </c>
      <c r="N654" t="n">
        <v>0</v>
      </c>
      <c r="O654" t="n">
        <v>0</v>
      </c>
      <c r="P654" t="n">
        <v>0</v>
      </c>
      <c r="Q654" t="n">
        <v>0</v>
      </c>
      <c r="R654" t="n">
        <v>0</v>
      </c>
      <c r="S654" t="n">
        <v>1</v>
      </c>
      <c r="T654" t="n">
        <v>1</v>
      </c>
      <c r="U654" t="n">
        <v>1</v>
      </c>
      <c r="V654" s="2" t="inlineStr">
        <is>
          <t>Blåsippa</t>
        </is>
      </c>
      <c r="W654">
        <f>HYPERLINK("https://klasma.github.io/Logging_0331/artfynd/A 19751-2023 artfynd.xlsx", "A 19751-2023")</f>
        <v/>
      </c>
      <c r="X654">
        <f>HYPERLINK("https://klasma.github.io/Logging_0331/kartor/A 19751-2023 karta.png", "A 19751-2023")</f>
        <v/>
      </c>
      <c r="Y654">
        <f>HYPERLINK("https://klasma.github.io/Logging_0331/kartor_geotiff/A 19751-2023 georefererad karta.tif", "A 19751-2023")</f>
        <v/>
      </c>
      <c r="Z654">
        <f>HYPERLINK("https://klasma.github.io/Logging_0331/knärot/A 19751-2023 karta knärot.png", "A 19751-2023")</f>
        <v/>
      </c>
      <c r="AA654">
        <f>HYPERLINK("https://klasma.github.io/Logging_0331/klagomål/A 19751-2023 FSC-klagomål.docx", "A 19751-2023")</f>
        <v/>
      </c>
      <c r="AB654">
        <f>HYPERLINK("https://klasma.github.io/Logging_0331/klagomålsmail/A 19751-2023 FSC-klagomål mail.docx", "A 19751-2023")</f>
        <v/>
      </c>
      <c r="AC654">
        <f>HYPERLINK("https://klasma.github.io/Logging_0331/tillsyn/A 19751-2023 tillsynsbegäran.docx", "A 19751-2023")</f>
        <v/>
      </c>
      <c r="AD654">
        <f>HYPERLINK("https://klasma.github.io/Logging_0331/tillsynsmail/A 19751-2023 tillsynsbegäran mail.docx", "A 19751-2023")</f>
        <v/>
      </c>
    </row>
    <row r="655" ht="15" customHeight="1">
      <c r="A655" t="inlineStr">
        <is>
          <t>A 54368-2024</t>
        </is>
      </c>
      <c r="B655" t="inlineStr">
        <is>
          <t>avverkningsanmälan</t>
        </is>
      </c>
      <c r="C655" t="inlineStr">
        <is>
          <t>Föryngringsavverkning</t>
        </is>
      </c>
      <c r="D655" s="1" t="n">
        <v>45617</v>
      </c>
      <c r="E655" s="1" t="n">
        <v>46309</v>
      </c>
      <c r="F655" t="inlineStr">
        <is>
          <t>UPPSALA LÄN</t>
        </is>
      </c>
      <c r="G655" t="inlineStr">
        <is>
          <t>HEBY</t>
        </is>
      </c>
      <c r="H655" t="inlineStr">
        <is>
          <t>Allmännings- och besparingsskogar</t>
        </is>
      </c>
      <c r="I655" t="n">
        <v>13.9</v>
      </c>
      <c r="J655" t="n">
        <v>1</v>
      </c>
      <c r="K655" t="n">
        <v>0</v>
      </c>
      <c r="L655" t="n">
        <v>1</v>
      </c>
      <c r="M655" t="n">
        <v>0</v>
      </c>
      <c r="N655" t="n">
        <v>0</v>
      </c>
      <c r="O655" t="n">
        <v>0</v>
      </c>
      <c r="P655" t="n">
        <v>0</v>
      </c>
      <c r="Q655" t="n">
        <v>1</v>
      </c>
      <c r="R655" t="n">
        <v>0</v>
      </c>
      <c r="S655" t="n">
        <v>1</v>
      </c>
      <c r="T655" t="n">
        <v>2</v>
      </c>
      <c r="U655" t="n">
        <v>2</v>
      </c>
      <c r="V655" s="2" t="inlineStr">
        <is>
          <t>Talltita</t>
        </is>
      </c>
      <c r="W655">
        <f>HYPERLINK("https://klasma.github.io/Logging_0331/artfynd/A 54368-2024 artfynd.xlsx", "A 54368-2024")</f>
        <v/>
      </c>
      <c r="X655">
        <f>HYPERLINK("https://klasma.github.io/Logging_0331/kartor/A 54368-2024 karta.png", "A 54368-2024")</f>
        <v/>
      </c>
      <c r="Y655">
        <f>HYPERLINK("https://klasma.github.io/Logging_0331/kartor_geotiff/A 54368-2024 georefererad karta.tif", "A 54368-2024")</f>
        <v/>
      </c>
      <c r="AA655">
        <f>HYPERLINK("https://klasma.github.io/Logging_0331/klagomål/A 54368-2024 FSC-klagomål.docx", "A 54368-2024")</f>
        <v/>
      </c>
      <c r="AB655">
        <f>HYPERLINK("https://klasma.github.io/Logging_0331/klagomålsmail/A 54368-2024 FSC-klagomål mail.docx", "A 54368-2024")</f>
        <v/>
      </c>
      <c r="AC655">
        <f>HYPERLINK("https://klasma.github.io/Logging_0331/tillsyn/A 54368-2024 tillsynsbegäran.docx", "A 54368-2024")</f>
        <v/>
      </c>
      <c r="AD655">
        <f>HYPERLINK("https://klasma.github.io/Logging_0331/tillsynsmail/A 54368-2024 tillsynsbegäran mail.docx", "A 54368-2024")</f>
        <v/>
      </c>
      <c r="AE655">
        <f>HYPERLINK("https://klasma.github.io/Logging_0331/fåglar/A 54368-2024 prioriterade fågelarter.docx", "A 54368-2024")</f>
        <v/>
      </c>
    </row>
    <row r="656" ht="15" customHeight="1">
      <c r="A656" t="inlineStr">
        <is>
          <t>A 61830-2022</t>
        </is>
      </c>
      <c r="B656" t="inlineStr">
        <is>
          <t>avverkningsanmälan</t>
        </is>
      </c>
      <c r="C656" t="inlineStr">
        <is>
          <t>Föryngringsavverkning</t>
        </is>
      </c>
      <c r="D656" s="1" t="n">
        <v>44917</v>
      </c>
      <c r="E656" s="1" t="n">
        <v>46309</v>
      </c>
      <c r="F656" t="inlineStr">
        <is>
          <t>UPPSALA LÄN</t>
        </is>
      </c>
      <c r="G656" t="inlineStr">
        <is>
          <t>UPPSALA</t>
        </is>
      </c>
      <c r="H656" t="inlineStr">
        <is>
          <t>Holmen skog AB</t>
        </is>
      </c>
      <c r="I656" t="n">
        <v>1.1</v>
      </c>
      <c r="J656" t="n">
        <v>0</v>
      </c>
      <c r="K656" t="n">
        <v>0</v>
      </c>
      <c r="L656" t="n">
        <v>1</v>
      </c>
      <c r="M656" t="n">
        <v>0</v>
      </c>
      <c r="N656" t="n">
        <v>0</v>
      </c>
      <c r="O656" t="n">
        <v>0</v>
      </c>
      <c r="P656" t="n">
        <v>0</v>
      </c>
      <c r="Q656" t="n">
        <v>1</v>
      </c>
      <c r="R656" t="n">
        <v>0</v>
      </c>
      <c r="S656" t="n">
        <v>1</v>
      </c>
      <c r="T656" t="n">
        <v>1</v>
      </c>
      <c r="U656" t="n">
        <v>0</v>
      </c>
      <c r="V656" s="2" t="inlineStr">
        <is>
          <t>Rödbrun blekspik</t>
        </is>
      </c>
      <c r="W656">
        <f>HYPERLINK("https://klasma.github.io/Logging_0380/artfynd/A 61830-2022 artfynd.xlsx", "A 61830-2022")</f>
        <v/>
      </c>
      <c r="X656">
        <f>HYPERLINK("https://klasma.github.io/Logging_0380/kartor/A 61830-2022 karta.png", "A 61830-2022")</f>
        <v/>
      </c>
      <c r="Y656">
        <f>HYPERLINK("https://klasma.github.io/Logging_0380/kartor_geotiff/A 61830-2022 georefererad karta.tif", "A 61830-2022")</f>
        <v/>
      </c>
      <c r="AA656">
        <f>HYPERLINK("https://klasma.github.io/Logging_0380/klagomål/A 61830-2022 FSC-klagomål.docx", "A 61830-2022")</f>
        <v/>
      </c>
      <c r="AB656">
        <f>HYPERLINK("https://klasma.github.io/Logging_0380/klagomålsmail/A 61830-2022 FSC-klagomål mail.docx", "A 61830-2022")</f>
        <v/>
      </c>
      <c r="AC656">
        <f>HYPERLINK("https://klasma.github.io/Logging_0380/tillsyn/A 61830-2022 tillsynsbegäran.docx", "A 61830-2022")</f>
        <v/>
      </c>
      <c r="AD656">
        <f>HYPERLINK("https://klasma.github.io/Logging_0380/tillsynsmail/A 61830-2022 tillsynsbegäran mail.docx", "A 61830-2022")</f>
        <v/>
      </c>
    </row>
    <row r="657" ht="15" customHeight="1">
      <c r="A657" t="inlineStr">
        <is>
          <t>A 2729-2024</t>
        </is>
      </c>
      <c r="B657" t="inlineStr">
        <is>
          <t>avverkningsanmälan</t>
        </is>
      </c>
      <c r="C657" t="inlineStr">
        <is>
          <t>Föryngringsavverkning</t>
        </is>
      </c>
      <c r="D657" s="1" t="n">
        <v>45314</v>
      </c>
      <c r="E657" s="1" t="n">
        <v>46309</v>
      </c>
      <c r="F657" t="inlineStr">
        <is>
          <t>UPPSALA LÄN</t>
        </is>
      </c>
      <c r="G657" t="inlineStr">
        <is>
          <t>UPPSALA</t>
        </is>
      </c>
      <c r="I657" t="n">
        <v>3.3</v>
      </c>
      <c r="J657" t="n">
        <v>1</v>
      </c>
      <c r="K657" t="n">
        <v>0</v>
      </c>
      <c r="L657" t="n">
        <v>0</v>
      </c>
      <c r="M657" t="n">
        <v>0</v>
      </c>
      <c r="N657" t="n">
        <v>0</v>
      </c>
      <c r="O657" t="n">
        <v>0</v>
      </c>
      <c r="P657" t="n">
        <v>0</v>
      </c>
      <c r="Q657" t="n">
        <v>0</v>
      </c>
      <c r="R657" t="n">
        <v>0</v>
      </c>
      <c r="S657" t="n">
        <v>1</v>
      </c>
      <c r="T657" t="n">
        <v>1</v>
      </c>
      <c r="U657" t="n">
        <v>1</v>
      </c>
      <c r="V657" s="2" t="inlineStr">
        <is>
          <t>Revlummer</t>
        </is>
      </c>
      <c r="W657">
        <f>HYPERLINK("https://klasma.github.io/Logging_0380/artfynd/A 2729-2024 artfynd.xlsx", "A 2729-2024")</f>
        <v/>
      </c>
      <c r="X657">
        <f>HYPERLINK("https://klasma.github.io/Logging_0380/kartor/A 2729-2024 karta.png", "A 2729-2024")</f>
        <v/>
      </c>
      <c r="Y657">
        <f>HYPERLINK("https://klasma.github.io/Logging_0380/kartor_geotiff/A 2729-2024 georefererad karta.tif", "A 2729-2024")</f>
        <v/>
      </c>
      <c r="AA657">
        <f>HYPERLINK("https://klasma.github.io/Logging_0380/klagomål/A 2729-2024 FSC-klagomål.docx", "A 2729-2024")</f>
        <v/>
      </c>
      <c r="AB657">
        <f>HYPERLINK("https://klasma.github.io/Logging_0380/klagomålsmail/A 2729-2024 FSC-klagomål mail.docx", "A 2729-2024")</f>
        <v/>
      </c>
      <c r="AC657">
        <f>HYPERLINK("https://klasma.github.io/Logging_0380/tillsyn/A 2729-2024 tillsynsbegäran.docx", "A 2729-2024")</f>
        <v/>
      </c>
      <c r="AD657">
        <f>HYPERLINK("https://klasma.github.io/Logging_0380/tillsynsmail/A 2729-2024 tillsynsbegäran mail.docx", "A 2729-2024")</f>
        <v/>
      </c>
    </row>
    <row r="658" ht="15" customHeight="1">
      <c r="A658" t="inlineStr">
        <is>
          <t>A 49707-2023</t>
        </is>
      </c>
      <c r="B658" t="inlineStr">
        <is>
          <t>avverkningsanmälan</t>
        </is>
      </c>
      <c r="C658" t="inlineStr">
        <is>
          <t>Föryngringsavverkning</t>
        </is>
      </c>
      <c r="D658" s="1" t="n">
        <v>45208</v>
      </c>
      <c r="E658" s="1" t="n">
        <v>46309</v>
      </c>
      <c r="F658" t="inlineStr">
        <is>
          <t>UPPSALA LÄN</t>
        </is>
      </c>
      <c r="G658" t="inlineStr">
        <is>
          <t>HEBY</t>
        </is>
      </c>
      <c r="I658" t="n">
        <v>2</v>
      </c>
      <c r="J658" t="n">
        <v>0</v>
      </c>
      <c r="K658" t="n">
        <v>1</v>
      </c>
      <c r="L658" t="n">
        <v>0</v>
      </c>
      <c r="M658" t="n">
        <v>0</v>
      </c>
      <c r="N658" t="n">
        <v>0</v>
      </c>
      <c r="O658" t="n">
        <v>0</v>
      </c>
      <c r="P658" t="n">
        <v>0</v>
      </c>
      <c r="Q658" t="n">
        <v>0</v>
      </c>
      <c r="R658" t="n">
        <v>0</v>
      </c>
      <c r="S658" t="n">
        <v>1</v>
      </c>
      <c r="T658" t="n">
        <v>1</v>
      </c>
      <c r="U658" t="n">
        <v>0</v>
      </c>
      <c r="V658" s="2" t="inlineStr">
        <is>
          <t>Granbarkgnagare</t>
        </is>
      </c>
      <c r="W658">
        <f>HYPERLINK("https://klasma.github.io/Logging_0331/artfynd/A 49707-2023 artfynd.xlsx", "A 49707-2023")</f>
        <v/>
      </c>
      <c r="X658">
        <f>HYPERLINK("https://klasma.github.io/Logging_0331/kartor/A 49707-2023 karta.png", "A 49707-2023")</f>
        <v/>
      </c>
      <c r="Y658">
        <f>HYPERLINK("https://klasma.github.io/Logging_0331/kartor_geotiff/A 49707-2023 georefererad karta.tif", "A 49707-2023")</f>
        <v/>
      </c>
      <c r="AA658">
        <f>HYPERLINK("https://klasma.github.io/Logging_0331/klagomål/A 49707-2023 FSC-klagomål.docx", "A 49707-2023")</f>
        <v/>
      </c>
      <c r="AB658">
        <f>HYPERLINK("https://klasma.github.io/Logging_0331/klagomålsmail/A 49707-2023 FSC-klagomål mail.docx", "A 49707-2023")</f>
        <v/>
      </c>
      <c r="AC658">
        <f>HYPERLINK("https://klasma.github.io/Logging_0331/tillsyn/A 49707-2023 tillsynsbegäran.docx", "A 49707-2023")</f>
        <v/>
      </c>
      <c r="AD658">
        <f>HYPERLINK("https://klasma.github.io/Logging_0331/tillsynsmail/A 49707-2023 tillsynsbegäran mail.docx", "A 49707-2023")</f>
        <v/>
      </c>
    </row>
    <row r="659" ht="15" customHeight="1">
      <c r="A659" t="inlineStr">
        <is>
          <t>A 19555-2025</t>
        </is>
      </c>
      <c r="B659" t="inlineStr">
        <is>
          <t>avverkningsanmälan</t>
        </is>
      </c>
      <c r="C659" t="inlineStr">
        <is>
          <t>Föryngringsavverkning</t>
        </is>
      </c>
      <c r="D659" s="1" t="n">
        <v>45770</v>
      </c>
      <c r="E659" s="1" t="n">
        <v>46309</v>
      </c>
      <c r="F659" t="inlineStr">
        <is>
          <t>UPPSALA LÄN</t>
        </is>
      </c>
      <c r="G659" t="inlineStr">
        <is>
          <t>HEBY</t>
        </is>
      </c>
      <c r="I659" t="n">
        <v>2.3</v>
      </c>
      <c r="J659" t="n">
        <v>1</v>
      </c>
      <c r="K659" t="n">
        <v>0</v>
      </c>
      <c r="L659" t="n">
        <v>1</v>
      </c>
      <c r="M659" t="n">
        <v>0</v>
      </c>
      <c r="N659" t="n">
        <v>0</v>
      </c>
      <c r="O659" t="n">
        <v>0</v>
      </c>
      <c r="P659" t="n">
        <v>0</v>
      </c>
      <c r="Q659" t="n">
        <v>1</v>
      </c>
      <c r="R659" t="n">
        <v>0</v>
      </c>
      <c r="S659" t="n">
        <v>1</v>
      </c>
      <c r="T659" t="n">
        <v>1</v>
      </c>
      <c r="U659" t="n">
        <v>0</v>
      </c>
      <c r="V659" s="2" t="inlineStr">
        <is>
          <t>Sparvuggla</t>
        </is>
      </c>
      <c r="W659">
        <f>HYPERLINK("https://klasma.github.io/Logging_0331/artfynd/A 19555-2025 artfynd.xlsx", "A 19555-2025")</f>
        <v/>
      </c>
      <c r="X659">
        <f>HYPERLINK("https://klasma.github.io/Logging_0331/kartor/A 19555-2025 karta.png", "A 19555-2025")</f>
        <v/>
      </c>
      <c r="Y659">
        <f>HYPERLINK("https://klasma.github.io/Logging_0331/kartor_geotiff/A 19555-2025 georefererad karta.tif", "A 19555-2025")</f>
        <v/>
      </c>
      <c r="AA659">
        <f>HYPERLINK("https://klasma.github.io/Logging_0331/klagomål/A 19555-2025 FSC-klagomål.docx", "A 19555-2025")</f>
        <v/>
      </c>
      <c r="AB659">
        <f>HYPERLINK("https://klasma.github.io/Logging_0331/klagomålsmail/A 19555-2025 FSC-klagomål mail.docx", "A 19555-2025")</f>
        <v/>
      </c>
      <c r="AC659">
        <f>HYPERLINK("https://klasma.github.io/Logging_0331/tillsyn/A 19555-2025 tillsynsbegäran.docx", "A 19555-2025")</f>
        <v/>
      </c>
      <c r="AD659">
        <f>HYPERLINK("https://klasma.github.io/Logging_0331/tillsynsmail/A 19555-2025 tillsynsbegäran mail.docx", "A 19555-2025")</f>
        <v/>
      </c>
      <c r="AE659">
        <f>HYPERLINK("https://klasma.github.io/Logging_0331/fåglar/A 19555-2025 prioriterade fågelarter.docx", "A 19555-2025")</f>
        <v/>
      </c>
    </row>
    <row r="660" ht="15" customHeight="1">
      <c r="A660" t="inlineStr">
        <is>
          <t>A 9052-2023</t>
        </is>
      </c>
      <c r="B660" t="inlineStr">
        <is>
          <t>avverkningsanmälan</t>
        </is>
      </c>
      <c r="C660" t="inlineStr">
        <is>
          <t>Avverkning för annat ändamål</t>
        </is>
      </c>
      <c r="D660" s="1" t="n">
        <v>44979</v>
      </c>
      <c r="E660" s="1" t="n">
        <v>46309</v>
      </c>
      <c r="F660" t="inlineStr">
        <is>
          <t>UPPSALA LÄN</t>
        </is>
      </c>
      <c r="G660" t="inlineStr">
        <is>
          <t>ÖSTHAMMAR</t>
        </is>
      </c>
      <c r="H660" t="inlineStr">
        <is>
          <t>Kyrkan</t>
        </is>
      </c>
      <c r="I660" t="n">
        <v>0.2</v>
      </c>
      <c r="J660" t="n">
        <v>0</v>
      </c>
      <c r="K660" t="n">
        <v>0</v>
      </c>
      <c r="L660" t="n">
        <v>1</v>
      </c>
      <c r="M660" t="n">
        <v>0</v>
      </c>
      <c r="N660" t="n">
        <v>0</v>
      </c>
      <c r="O660" t="n">
        <v>0</v>
      </c>
      <c r="P660" t="n">
        <v>0</v>
      </c>
      <c r="Q660" t="n">
        <v>1</v>
      </c>
      <c r="R660" t="n">
        <v>0</v>
      </c>
      <c r="S660" t="n">
        <v>1</v>
      </c>
      <c r="T660" t="n">
        <v>1</v>
      </c>
      <c r="U660" t="n">
        <v>0</v>
      </c>
      <c r="V660" s="2" t="inlineStr">
        <is>
          <t>Slåtterfibbla</t>
        </is>
      </c>
      <c r="W660">
        <f>HYPERLINK("https://klasma.github.io/Logging_0382/artfynd/A 9052-2023 artfynd.xlsx", "A 9052-2023")</f>
        <v/>
      </c>
      <c r="X660">
        <f>HYPERLINK("https://klasma.github.io/Logging_0382/kartor/A 9052-2023 karta.png", "A 9052-2023")</f>
        <v/>
      </c>
      <c r="Y660">
        <f>HYPERLINK("https://klasma.github.io/Logging_0382/kartor_geotiff/A 9052-2023 georefererad karta.tif", "A 9052-2023")</f>
        <v/>
      </c>
      <c r="AA660">
        <f>HYPERLINK("https://klasma.github.io/Logging_0382/klagomål/A 9052-2023 FSC-klagomål.docx", "A 9052-2023")</f>
        <v/>
      </c>
      <c r="AB660">
        <f>HYPERLINK("https://klasma.github.io/Logging_0382/klagomålsmail/A 9052-2023 FSC-klagomål mail.docx", "A 9052-2023")</f>
        <v/>
      </c>
      <c r="AC660">
        <f>HYPERLINK("https://klasma.github.io/Logging_0382/tillsyn/A 9052-2023 tillsynsbegäran.docx", "A 9052-2023")</f>
        <v/>
      </c>
      <c r="AD660">
        <f>HYPERLINK("https://klasma.github.io/Logging_0382/tillsynsmail/A 9052-2023 tillsynsbegäran mail.docx", "A 9052-2023")</f>
        <v/>
      </c>
    </row>
    <row r="661" ht="15" customHeight="1">
      <c r="A661" t="inlineStr">
        <is>
          <t>A 61598-2021</t>
        </is>
      </c>
      <c r="B661" t="inlineStr">
        <is>
          <t>avverkningsanmälan</t>
        </is>
      </c>
      <c r="C661" t="inlineStr">
        <is>
          <t>Föryngringsavverkning</t>
        </is>
      </c>
      <c r="D661" s="1" t="n">
        <v>44501</v>
      </c>
      <c r="E661" s="1" t="n">
        <v>46309</v>
      </c>
      <c r="F661" t="inlineStr">
        <is>
          <t>UPPSALA LÄN</t>
        </is>
      </c>
      <c r="G661" t="inlineStr">
        <is>
          <t>HEBY</t>
        </is>
      </c>
      <c r="I661" t="n">
        <v>1.5</v>
      </c>
      <c r="J661" t="n">
        <v>1</v>
      </c>
      <c r="K661" t="n">
        <v>0</v>
      </c>
      <c r="L661" t="n">
        <v>0</v>
      </c>
      <c r="M661" t="n">
        <v>0</v>
      </c>
      <c r="N661" t="n">
        <v>0</v>
      </c>
      <c r="O661" t="n">
        <v>0</v>
      </c>
      <c r="P661" t="n">
        <v>0</v>
      </c>
      <c r="Q661" t="n">
        <v>0</v>
      </c>
      <c r="R661" t="n">
        <v>0</v>
      </c>
      <c r="S661" t="n">
        <v>1</v>
      </c>
      <c r="T661" t="n">
        <v>1</v>
      </c>
      <c r="U661" t="n">
        <v>1</v>
      </c>
      <c r="V661" s="2" t="inlineStr">
        <is>
          <t>Trana</t>
        </is>
      </c>
      <c r="W661">
        <f>HYPERLINK("https://klasma.github.io/Logging_0331/artfynd/A 61598-2021 artfynd.xlsx", "A 61598-2021")</f>
        <v/>
      </c>
      <c r="X661">
        <f>HYPERLINK("https://klasma.github.io/Logging_0331/kartor/A 61598-2021 karta.png", "A 61598-2021")</f>
        <v/>
      </c>
      <c r="Y661">
        <f>HYPERLINK("https://klasma.github.io/Logging_0331/kartor_geotiff/A 61598-2021 georefererad karta.tif", "A 61598-2021")</f>
        <v/>
      </c>
      <c r="AA661">
        <f>HYPERLINK("https://klasma.github.io/Logging_0331/klagomål/A 61598-2021 FSC-klagomål.docx", "A 61598-2021")</f>
        <v/>
      </c>
      <c r="AB661">
        <f>HYPERLINK("https://klasma.github.io/Logging_0331/klagomålsmail/A 61598-2021 FSC-klagomål mail.docx", "A 61598-2021")</f>
        <v/>
      </c>
      <c r="AC661">
        <f>HYPERLINK("https://klasma.github.io/Logging_0331/tillsyn/A 61598-2021 tillsynsbegäran.docx", "A 61598-2021")</f>
        <v/>
      </c>
      <c r="AD661">
        <f>HYPERLINK("https://klasma.github.io/Logging_0331/tillsynsmail/A 61598-2021 tillsynsbegäran mail.docx", "A 61598-2021")</f>
        <v/>
      </c>
      <c r="AE661">
        <f>HYPERLINK("https://klasma.github.io/Logging_0331/fåglar/A 61598-2021 prioriterade fågelarter.docx", "A 61598-2021")</f>
        <v/>
      </c>
    </row>
    <row r="662" ht="15" customHeight="1">
      <c r="A662" t="inlineStr">
        <is>
          <t>A 30213-2026</t>
        </is>
      </c>
      <c r="B662" t="inlineStr">
        <is>
          <t>avverkningsanmälan</t>
        </is>
      </c>
      <c r="C662" t="inlineStr">
        <is>
          <t>Föryngringsavverkning</t>
        </is>
      </c>
      <c r="D662" s="1" t="n">
        <v>46206</v>
      </c>
      <c r="E662" s="1" t="n">
        <v>46309</v>
      </c>
      <c r="F662" t="inlineStr">
        <is>
          <t>UPPSALA LÄN</t>
        </is>
      </c>
      <c r="G662" t="inlineStr">
        <is>
          <t>TIERP</t>
        </is>
      </c>
      <c r="H662" t="inlineStr">
        <is>
          <t>Bergvik skog öst AB</t>
        </is>
      </c>
      <c r="I662" t="n">
        <v>5.8</v>
      </c>
      <c r="J662" t="n">
        <v>1</v>
      </c>
      <c r="K662" t="n">
        <v>0</v>
      </c>
      <c r="L662" t="n">
        <v>0</v>
      </c>
      <c r="M662" t="n">
        <v>0</v>
      </c>
      <c r="N662" t="n">
        <v>0</v>
      </c>
      <c r="O662" t="n">
        <v>0</v>
      </c>
      <c r="P662" t="n">
        <v>0</v>
      </c>
      <c r="Q662" t="n">
        <v>0</v>
      </c>
      <c r="R662" t="n">
        <v>0</v>
      </c>
      <c r="S662" t="n">
        <v>1</v>
      </c>
      <c r="T662" t="n">
        <v>2</v>
      </c>
      <c r="U662" t="n">
        <v>0</v>
      </c>
      <c r="V662" s="2" t="inlineStr">
        <is>
          <t>Tjäder</t>
        </is>
      </c>
      <c r="W662">
        <f>HYPERLINK("https://klasma.github.io/Logging_0360/artfynd/A 30213-2026 artfynd.xlsx", "A 30213-2026")</f>
        <v/>
      </c>
      <c r="X662">
        <f>HYPERLINK("https://klasma.github.io/Logging_0360/kartor/A 30213-2026 karta.png", "A 30213-2026")</f>
        <v/>
      </c>
      <c r="Y662">
        <f>HYPERLINK("https://klasma.github.io/Logging_0360/kartor_geotiff/A 30213-2026 georefererad karta.tif", "A 30213-2026")</f>
        <v/>
      </c>
      <c r="AA662">
        <f>HYPERLINK("https://klasma.github.io/Logging_0360/klagomål/A 30213-2026 FSC-klagomål.docx", "A 30213-2026")</f>
        <v/>
      </c>
      <c r="AB662">
        <f>HYPERLINK("https://klasma.github.io/Logging_0360/klagomålsmail/A 30213-2026 FSC-klagomål mail.docx", "A 30213-2026")</f>
        <v/>
      </c>
      <c r="AC662">
        <f>HYPERLINK("https://klasma.github.io/Logging_0360/tillsyn/A 30213-2026 tillsynsbegäran.docx", "A 30213-2026")</f>
        <v/>
      </c>
      <c r="AD662">
        <f>HYPERLINK("https://klasma.github.io/Logging_0360/tillsynsmail/A 30213-2026 tillsynsbegäran mail.docx", "A 30213-2026")</f>
        <v/>
      </c>
      <c r="AE662">
        <f>HYPERLINK("https://klasma.github.io/Logging_0360/fåglar/A 30213-2026 prioriterade fågelarter.docx", "A 30213-2026")</f>
        <v/>
      </c>
    </row>
    <row r="663" ht="15" customHeight="1">
      <c r="A663" t="inlineStr">
        <is>
          <t>A 55663-2024</t>
        </is>
      </c>
      <c r="B663" t="inlineStr">
        <is>
          <t>avverkningsanmälan</t>
        </is>
      </c>
      <c r="C663" t="inlineStr">
        <is>
          <t>Föryngringsavverkning</t>
        </is>
      </c>
      <c r="D663" s="1" t="n">
        <v>45622</v>
      </c>
      <c r="E663" s="1" t="n">
        <v>46309</v>
      </c>
      <c r="F663" t="inlineStr">
        <is>
          <t>UPPSALA LÄN</t>
        </is>
      </c>
      <c r="G663" t="inlineStr">
        <is>
          <t>HEBY</t>
        </is>
      </c>
      <c r="H663" t="inlineStr">
        <is>
          <t>Bergvik skog väst AB</t>
        </is>
      </c>
      <c r="I663" t="n">
        <v>4.5</v>
      </c>
      <c r="J663" t="n">
        <v>0</v>
      </c>
      <c r="K663" t="n">
        <v>0</v>
      </c>
      <c r="L663" t="n">
        <v>1</v>
      </c>
      <c r="M663" t="n">
        <v>0</v>
      </c>
      <c r="N663" t="n">
        <v>0</v>
      </c>
      <c r="O663" t="n">
        <v>0</v>
      </c>
      <c r="P663" t="n">
        <v>0</v>
      </c>
      <c r="Q663" t="n">
        <v>1</v>
      </c>
      <c r="R663" t="n">
        <v>0</v>
      </c>
      <c r="S663" t="n">
        <v>1</v>
      </c>
      <c r="T663" t="n">
        <v>1</v>
      </c>
      <c r="U663" t="n">
        <v>0</v>
      </c>
      <c r="V663" s="2" t="inlineStr">
        <is>
          <t>Ullticka</t>
        </is>
      </c>
      <c r="W663">
        <f>HYPERLINK("https://klasma.github.io/Logging_0331/artfynd/A 55663-2024 artfynd.xlsx", "A 55663-2024")</f>
        <v/>
      </c>
      <c r="X663">
        <f>HYPERLINK("https://klasma.github.io/Logging_0331/kartor/A 55663-2024 karta.png", "A 55663-2024")</f>
        <v/>
      </c>
      <c r="Y663">
        <f>HYPERLINK("https://klasma.github.io/Logging_0331/kartor_geotiff/A 55663-2024 georefererad karta.tif", "A 55663-2024")</f>
        <v/>
      </c>
      <c r="AA663">
        <f>HYPERLINK("https://klasma.github.io/Logging_0331/klagomål/A 55663-2024 FSC-klagomål.docx", "A 55663-2024")</f>
        <v/>
      </c>
      <c r="AB663">
        <f>HYPERLINK("https://klasma.github.io/Logging_0331/klagomålsmail/A 55663-2024 FSC-klagomål mail.docx", "A 55663-2024")</f>
        <v/>
      </c>
      <c r="AC663">
        <f>HYPERLINK("https://klasma.github.io/Logging_0331/tillsyn/A 55663-2024 tillsynsbegäran.docx", "A 55663-2024")</f>
        <v/>
      </c>
      <c r="AD663">
        <f>HYPERLINK("https://klasma.github.io/Logging_0331/tillsynsmail/A 55663-2024 tillsynsbegäran mail.docx", "A 55663-2024")</f>
        <v/>
      </c>
    </row>
    <row r="664" ht="15" customHeight="1">
      <c r="A664" t="inlineStr">
        <is>
          <t>A 30703-2026</t>
        </is>
      </c>
      <c r="B664" t="inlineStr">
        <is>
          <t>avverkningsanmälan</t>
        </is>
      </c>
      <c r="C664" t="inlineStr">
        <is>
          <t>Föryngringsavverkning</t>
        </is>
      </c>
      <c r="D664" s="1" t="n">
        <v>46211</v>
      </c>
      <c r="E664" s="1" t="n">
        <v>46309</v>
      </c>
      <c r="F664" t="inlineStr">
        <is>
          <t>UPPSALA LÄN</t>
        </is>
      </c>
      <c r="G664" t="inlineStr">
        <is>
          <t>ÖSTHAMMAR</t>
        </is>
      </c>
      <c r="H664" t="inlineStr">
        <is>
          <t>Bergvik skog öst AB</t>
        </is>
      </c>
      <c r="I664" t="n">
        <v>0.9</v>
      </c>
      <c r="J664" t="n">
        <v>1</v>
      </c>
      <c r="K664" t="n">
        <v>1</v>
      </c>
      <c r="L664" t="n">
        <v>0</v>
      </c>
      <c r="M664" t="n">
        <v>0</v>
      </c>
      <c r="N664" t="n">
        <v>0</v>
      </c>
      <c r="O664" t="n">
        <v>0</v>
      </c>
      <c r="P664" t="n">
        <v>0</v>
      </c>
      <c r="Q664" t="n">
        <v>0</v>
      </c>
      <c r="R664" t="n">
        <v>0</v>
      </c>
      <c r="S664" t="n">
        <v>1</v>
      </c>
      <c r="T664" t="n">
        <v>1</v>
      </c>
      <c r="U664" t="n">
        <v>0</v>
      </c>
      <c r="V664" s="2" t="inlineStr">
        <is>
          <t>Skogsknipprot</t>
        </is>
      </c>
      <c r="W664">
        <f>HYPERLINK("https://klasma.github.io/Logging_0382/artfynd/A 30703-2026 artfynd.xlsx", "A 30703-2026")</f>
        <v/>
      </c>
      <c r="X664">
        <f>HYPERLINK("https://klasma.github.io/Logging_0382/kartor/A 30703-2026 karta.png", "A 30703-2026")</f>
        <v/>
      </c>
      <c r="Y664">
        <f>HYPERLINK("https://klasma.github.io/Logging_0382/kartor_geotiff/A 30703-2026 georefererad karta.tif", "A 30703-2026")</f>
        <v/>
      </c>
      <c r="AA664">
        <f>HYPERLINK("https://klasma.github.io/Logging_0382/klagomål/A 30703-2026 FSC-klagomål.docx", "A 30703-2026")</f>
        <v/>
      </c>
      <c r="AB664">
        <f>HYPERLINK("https://klasma.github.io/Logging_0382/klagomålsmail/A 30703-2026 FSC-klagomål mail.docx", "A 30703-2026")</f>
        <v/>
      </c>
      <c r="AC664">
        <f>HYPERLINK("https://klasma.github.io/Logging_0382/tillsyn/A 30703-2026 tillsynsbegäran.docx", "A 30703-2026")</f>
        <v/>
      </c>
      <c r="AD664">
        <f>HYPERLINK("https://klasma.github.io/Logging_0382/tillsynsmail/A 30703-2026 tillsynsbegäran mail.docx", "A 30703-2026")</f>
        <v/>
      </c>
    </row>
    <row r="665" ht="15" customHeight="1">
      <c r="A665" t="inlineStr">
        <is>
          <t>A 30843-2026</t>
        </is>
      </c>
      <c r="B665" t="inlineStr">
        <is>
          <t>avverkningsanmälan</t>
        </is>
      </c>
      <c r="C665" t="inlineStr">
        <is>
          <t>Föryngringsavverkning</t>
        </is>
      </c>
      <c r="D665" s="1" t="n">
        <v>46212</v>
      </c>
      <c r="E665" s="1" t="n">
        <v>46309</v>
      </c>
      <c r="F665" t="inlineStr">
        <is>
          <t>UPPSALA LÄN</t>
        </is>
      </c>
      <c r="G665" t="inlineStr">
        <is>
          <t>UPPSALA</t>
        </is>
      </c>
      <c r="H665" t="inlineStr">
        <is>
          <t>Övriga Aktiebolag</t>
        </is>
      </c>
      <c r="I665" t="n">
        <v>5.2</v>
      </c>
      <c r="J665" t="n">
        <v>0</v>
      </c>
      <c r="K665" t="n">
        <v>1</v>
      </c>
      <c r="L665" t="n">
        <v>0</v>
      </c>
      <c r="M665" t="n">
        <v>0</v>
      </c>
      <c r="N665" t="n">
        <v>0</v>
      </c>
      <c r="O665" t="n">
        <v>0</v>
      </c>
      <c r="P665" t="n">
        <v>0</v>
      </c>
      <c r="Q665" t="n">
        <v>0</v>
      </c>
      <c r="R665" t="n">
        <v>0</v>
      </c>
      <c r="S665" t="n">
        <v>1</v>
      </c>
      <c r="T665" t="n">
        <v>1</v>
      </c>
      <c r="U665" t="n">
        <v>0</v>
      </c>
      <c r="V665" s="2" t="inlineStr">
        <is>
          <t>Scharlakansvårskål agg.</t>
        </is>
      </c>
      <c r="W665">
        <f>HYPERLINK("https://klasma.github.io/Logging_0380/artfynd/A 30843-2026 artfynd.xlsx", "A 30843-2026")</f>
        <v/>
      </c>
      <c r="X665">
        <f>HYPERLINK("https://klasma.github.io/Logging_0380/kartor/A 30843-2026 karta.png", "A 30843-2026")</f>
        <v/>
      </c>
      <c r="Y665">
        <f>HYPERLINK("https://klasma.github.io/Logging_0380/kartor_geotiff/A 30843-2026 georefererad karta.tif", "A 30843-2026")</f>
        <v/>
      </c>
      <c r="AA665">
        <f>HYPERLINK("https://klasma.github.io/Logging_0380/klagomål/A 30843-2026 FSC-klagomål.docx", "A 30843-2026")</f>
        <v/>
      </c>
      <c r="AB665">
        <f>HYPERLINK("https://klasma.github.io/Logging_0380/klagomålsmail/A 30843-2026 FSC-klagomål mail.docx", "A 30843-2026")</f>
        <v/>
      </c>
      <c r="AC665">
        <f>HYPERLINK("https://klasma.github.io/Logging_0380/tillsyn/A 30843-2026 tillsynsbegäran.docx", "A 30843-2026")</f>
        <v/>
      </c>
      <c r="AD665">
        <f>HYPERLINK("https://klasma.github.io/Logging_0380/tillsynsmail/A 30843-2026 tillsynsbegäran mail.docx", "A 30843-2026")</f>
        <v/>
      </c>
    </row>
    <row r="666" ht="15" customHeight="1">
      <c r="A666" t="inlineStr">
        <is>
          <t>A 30891-2026</t>
        </is>
      </c>
      <c r="B666" t="inlineStr">
        <is>
          <t>avverkningsanmälan</t>
        </is>
      </c>
      <c r="C666" t="inlineStr">
        <is>
          <t>Föryngringsavverkning</t>
        </is>
      </c>
      <c r="D666" s="1" t="n">
        <v>46213</v>
      </c>
      <c r="E666" s="1" t="n">
        <v>46309</v>
      </c>
      <c r="F666" t="inlineStr">
        <is>
          <t>UPPSALA LÄN</t>
        </is>
      </c>
      <c r="G666" t="inlineStr">
        <is>
          <t>TIERP</t>
        </is>
      </c>
      <c r="H666" t="inlineStr">
        <is>
          <t>Bergvik skog väst AB</t>
        </is>
      </c>
      <c r="I666" t="n">
        <v>13.5</v>
      </c>
      <c r="J666" t="n">
        <v>0</v>
      </c>
      <c r="K666" t="n">
        <v>1</v>
      </c>
      <c r="L666" t="n">
        <v>0</v>
      </c>
      <c r="M666" t="n">
        <v>0</v>
      </c>
      <c r="N666" t="n">
        <v>0</v>
      </c>
      <c r="O666" t="n">
        <v>0</v>
      </c>
      <c r="P666" t="n">
        <v>0</v>
      </c>
      <c r="Q666" t="n">
        <v>0</v>
      </c>
      <c r="R666" t="n">
        <v>0</v>
      </c>
      <c r="S666" t="n">
        <v>1</v>
      </c>
      <c r="T666" t="n">
        <v>1</v>
      </c>
      <c r="U666" t="n">
        <v>0</v>
      </c>
      <c r="V666" s="2" t="inlineStr">
        <is>
          <t>Rödgul trumpetsvamp</t>
        </is>
      </c>
      <c r="W666">
        <f>HYPERLINK("https://klasma.github.io/Logging_0360/artfynd/A 30891-2026 artfynd.xlsx", "A 30891-2026")</f>
        <v/>
      </c>
      <c r="X666">
        <f>HYPERLINK("https://klasma.github.io/Logging_0360/kartor/A 30891-2026 karta.png", "A 30891-2026")</f>
        <v/>
      </c>
      <c r="Y666">
        <f>HYPERLINK("https://klasma.github.io/Logging_0360/kartor_geotiff/A 30891-2026 georefererad karta.tif", "A 30891-2026")</f>
        <v/>
      </c>
      <c r="Z666">
        <f>HYPERLINK("https://klasma.github.io/Logging_0360/knärot/A 30891-2026 karta knärot.png", "A 30891-2026")</f>
        <v/>
      </c>
      <c r="AA666">
        <f>HYPERLINK("https://klasma.github.io/Logging_0360/klagomål/A 30891-2026 FSC-klagomål.docx", "A 30891-2026")</f>
        <v/>
      </c>
      <c r="AB666">
        <f>HYPERLINK("https://klasma.github.io/Logging_0360/klagomålsmail/A 30891-2026 FSC-klagomål mail.docx", "A 30891-2026")</f>
        <v/>
      </c>
      <c r="AC666">
        <f>HYPERLINK("https://klasma.github.io/Logging_0360/tillsyn/A 30891-2026 tillsynsbegäran.docx", "A 30891-2026")</f>
        <v/>
      </c>
      <c r="AD666">
        <f>HYPERLINK("https://klasma.github.io/Logging_0360/tillsynsmail/A 30891-2026 tillsynsbegäran mail.docx", "A 30891-2026")</f>
        <v/>
      </c>
    </row>
    <row r="667" ht="15" customHeight="1">
      <c r="A667" t="inlineStr">
        <is>
          <t>A 32688-2023</t>
        </is>
      </c>
      <c r="B667" t="inlineStr">
        <is>
          <t>avverkningsanmälan</t>
        </is>
      </c>
      <c r="C667" t="inlineStr">
        <is>
          <t>Föryngringsavverkning</t>
        </is>
      </c>
      <c r="D667" s="1" t="n">
        <v>45121</v>
      </c>
      <c r="E667" s="1" t="n">
        <v>46309</v>
      </c>
      <c r="F667" t="inlineStr">
        <is>
          <t>UPPSALA LÄN</t>
        </is>
      </c>
      <c r="G667" t="inlineStr">
        <is>
          <t>UPPSALA</t>
        </is>
      </c>
      <c r="H667" t="inlineStr">
        <is>
          <t>Holmen skog AB</t>
        </is>
      </c>
      <c r="I667" t="n">
        <v>4.3</v>
      </c>
      <c r="J667" t="n">
        <v>1</v>
      </c>
      <c r="K667" t="n">
        <v>0</v>
      </c>
      <c r="L667" t="n">
        <v>0</v>
      </c>
      <c r="M667" t="n">
        <v>0</v>
      </c>
      <c r="N667" t="n">
        <v>0</v>
      </c>
      <c r="O667" t="n">
        <v>0</v>
      </c>
      <c r="P667" t="n">
        <v>0</v>
      </c>
      <c r="Q667" t="n">
        <v>0</v>
      </c>
      <c r="R667" t="n">
        <v>0</v>
      </c>
      <c r="S667" t="n">
        <v>1</v>
      </c>
      <c r="T667" t="n">
        <v>1</v>
      </c>
      <c r="U667" t="n">
        <v>0</v>
      </c>
      <c r="V667" s="2" t="inlineStr">
        <is>
          <t>Blåsippa</t>
        </is>
      </c>
      <c r="W667">
        <f>HYPERLINK("https://klasma.github.io/Logging_0380/artfynd/A 32688-2023 artfynd.xlsx", "A 32688-2023")</f>
        <v/>
      </c>
      <c r="X667">
        <f>HYPERLINK("https://klasma.github.io/Logging_0380/kartor/A 32688-2023 karta.png", "A 32688-2023")</f>
        <v/>
      </c>
      <c r="Y667">
        <f>HYPERLINK("https://klasma.github.io/Logging_0380/kartor_geotiff/A 32688-2023 georefererad karta.tif", "A 32688-2023")</f>
        <v/>
      </c>
      <c r="AA667">
        <f>HYPERLINK("https://klasma.github.io/Logging_0380/klagomål/A 32688-2023 FSC-klagomål.docx", "A 32688-2023")</f>
        <v/>
      </c>
      <c r="AB667">
        <f>HYPERLINK("https://klasma.github.io/Logging_0380/klagomålsmail/A 32688-2023 FSC-klagomål mail.docx", "A 32688-2023")</f>
        <v/>
      </c>
      <c r="AC667">
        <f>HYPERLINK("https://klasma.github.io/Logging_0380/tillsyn/A 32688-2023 tillsynsbegäran.docx", "A 32688-2023")</f>
        <v/>
      </c>
      <c r="AD667">
        <f>HYPERLINK("https://klasma.github.io/Logging_0380/tillsynsmail/A 32688-2023 tillsynsbegäran mail.docx", "A 32688-2023")</f>
        <v/>
      </c>
    </row>
    <row r="668" ht="15" customHeight="1">
      <c r="A668" t="inlineStr">
        <is>
          <t>A 55021-2022</t>
        </is>
      </c>
      <c r="B668" t="inlineStr">
        <is>
          <t>avverkningsanmälan</t>
        </is>
      </c>
      <c r="C668" t="inlineStr">
        <is>
          <t>Föryngringsavverkning</t>
        </is>
      </c>
      <c r="D668" s="1" t="n">
        <v>44886</v>
      </c>
      <c r="E668" s="1" t="n">
        <v>46309</v>
      </c>
      <c r="F668" t="inlineStr">
        <is>
          <t>UPPSALA LÄN</t>
        </is>
      </c>
      <c r="G668" t="inlineStr">
        <is>
          <t>UPPSALA</t>
        </is>
      </c>
      <c r="I668" t="n">
        <v>1.2</v>
      </c>
      <c r="J668" t="n">
        <v>1</v>
      </c>
      <c r="K668" t="n">
        <v>0</v>
      </c>
      <c r="L668" t="n">
        <v>0</v>
      </c>
      <c r="M668" t="n">
        <v>0</v>
      </c>
      <c r="N668" t="n">
        <v>0</v>
      </c>
      <c r="O668" t="n">
        <v>0</v>
      </c>
      <c r="P668" t="n">
        <v>0</v>
      </c>
      <c r="Q668" t="n">
        <v>0</v>
      </c>
      <c r="R668" t="n">
        <v>0</v>
      </c>
      <c r="S668" t="n">
        <v>1</v>
      </c>
      <c r="T668" t="n">
        <v>1</v>
      </c>
      <c r="U668" t="n">
        <v>0</v>
      </c>
      <c r="V668" s="2" t="inlineStr">
        <is>
          <t>Vanlig snok</t>
        </is>
      </c>
      <c r="W668">
        <f>HYPERLINK("https://klasma.github.io/Logging_0380/artfynd/A 55021-2022 artfynd.xlsx", "A 55021-2022")</f>
        <v/>
      </c>
      <c r="X668">
        <f>HYPERLINK("https://klasma.github.io/Logging_0380/kartor/A 55021-2022 karta.png", "A 55021-2022")</f>
        <v/>
      </c>
      <c r="Y668">
        <f>HYPERLINK("https://klasma.github.io/Logging_0380/kartor_geotiff/A 55021-2022 georefererad karta.tif", "A 55021-2022")</f>
        <v/>
      </c>
      <c r="AA668">
        <f>HYPERLINK("https://klasma.github.io/Logging_0380/klagomål/A 55021-2022 FSC-klagomål.docx", "A 55021-2022")</f>
        <v/>
      </c>
      <c r="AB668">
        <f>HYPERLINK("https://klasma.github.io/Logging_0380/klagomålsmail/A 55021-2022 FSC-klagomål mail.docx", "A 55021-2022")</f>
        <v/>
      </c>
      <c r="AC668">
        <f>HYPERLINK("https://klasma.github.io/Logging_0380/tillsyn/A 55021-2022 tillsynsbegäran.docx", "A 55021-2022")</f>
        <v/>
      </c>
      <c r="AD668">
        <f>HYPERLINK("https://klasma.github.io/Logging_0380/tillsynsmail/A 55021-2022 tillsynsbegäran mail.docx", "A 55021-2022")</f>
        <v/>
      </c>
    </row>
    <row r="669" ht="15" customHeight="1">
      <c r="A669" t="inlineStr">
        <is>
          <t>A 61574-2025</t>
        </is>
      </c>
      <c r="B669" t="inlineStr">
        <is>
          <t>avverkningsanmälan</t>
        </is>
      </c>
      <c r="C669" t="inlineStr">
        <is>
          <t>Föryngringsavverkning</t>
        </is>
      </c>
      <c r="D669" s="1" t="n">
        <v>46002</v>
      </c>
      <c r="E669" s="1" t="n">
        <v>46309</v>
      </c>
      <c r="F669" t="inlineStr">
        <is>
          <t>UPPSALA LÄN</t>
        </is>
      </c>
      <c r="G669" t="inlineStr">
        <is>
          <t>ÖSTHAMMAR</t>
        </is>
      </c>
      <c r="H669" t="inlineStr">
        <is>
          <t>Övriga Aktiebolag</t>
        </is>
      </c>
      <c r="I669" t="n">
        <v>16.6</v>
      </c>
      <c r="J669" t="n">
        <v>1</v>
      </c>
      <c r="K669" t="n">
        <v>0</v>
      </c>
      <c r="L669" t="n">
        <v>0</v>
      </c>
      <c r="M669" t="n">
        <v>1</v>
      </c>
      <c r="N669" t="n">
        <v>0</v>
      </c>
      <c r="O669" t="n">
        <v>0</v>
      </c>
      <c r="P669" t="n">
        <v>0</v>
      </c>
      <c r="Q669" t="n">
        <v>1</v>
      </c>
      <c r="R669" t="n">
        <v>1</v>
      </c>
      <c r="S669" t="n">
        <v>1</v>
      </c>
      <c r="T669" t="n">
        <v>4</v>
      </c>
      <c r="U669" t="n">
        <v>0</v>
      </c>
      <c r="V669" s="2" t="inlineStr">
        <is>
          <t>Hällebräcka</t>
        </is>
      </c>
      <c r="W669">
        <f>HYPERLINK("https://klasma.github.io/Logging_0382/artfynd/A 61574-2025 artfynd.xlsx", "A 61574-2025")</f>
        <v/>
      </c>
      <c r="X669">
        <f>HYPERLINK("https://klasma.github.io/Logging_0382/kartor/A 61574-2025 karta.png", "A 61574-2025")</f>
        <v/>
      </c>
      <c r="Y669">
        <f>HYPERLINK("https://klasma.github.io/Logging_0382/kartor_geotiff/A 61574-2025 georefererad karta.tif", "A 61574-2025")</f>
        <v/>
      </c>
      <c r="AA669">
        <f>HYPERLINK("https://klasma.github.io/Logging_0382/klagomål/A 61574-2025 FSC-klagomål.docx", "A 61574-2025")</f>
        <v/>
      </c>
      <c r="AB669">
        <f>HYPERLINK("https://klasma.github.io/Logging_0382/klagomålsmail/A 61574-2025 FSC-klagomål mail.docx", "A 61574-2025")</f>
        <v/>
      </c>
      <c r="AC669">
        <f>HYPERLINK("https://klasma.github.io/Logging_0382/tillsyn/A 61574-2025 tillsynsbegäran.docx", "A 61574-2025")</f>
        <v/>
      </c>
      <c r="AD669">
        <f>HYPERLINK("https://klasma.github.io/Logging_0382/tillsynsmail/A 61574-2025 tillsynsbegäran mail.docx", "A 61574-2025")</f>
        <v/>
      </c>
    </row>
    <row r="670" ht="15" customHeight="1">
      <c r="A670" t="inlineStr">
        <is>
          <t>A 37415-2023</t>
        </is>
      </c>
      <c r="B670" t="inlineStr">
        <is>
          <t>avverkningsanmälan</t>
        </is>
      </c>
      <c r="C670" t="inlineStr">
        <is>
          <t>Föryngringsavverkning</t>
        </is>
      </c>
      <c r="D670" s="1" t="n">
        <v>45155</v>
      </c>
      <c r="E670" s="1" t="n">
        <v>46309</v>
      </c>
      <c r="F670" t="inlineStr">
        <is>
          <t>UPPSALA LÄN</t>
        </is>
      </c>
      <c r="G670" t="inlineStr">
        <is>
          <t>HÅBO</t>
        </is>
      </c>
      <c r="I670" t="n">
        <v>6.6</v>
      </c>
      <c r="J670" t="n">
        <v>1</v>
      </c>
      <c r="K670" t="n">
        <v>0</v>
      </c>
      <c r="L670" t="n">
        <v>0</v>
      </c>
      <c r="M670" t="n">
        <v>0</v>
      </c>
      <c r="N670" t="n">
        <v>0</v>
      </c>
      <c r="O670" t="n">
        <v>0</v>
      </c>
      <c r="P670" t="n">
        <v>0</v>
      </c>
      <c r="Q670" t="n">
        <v>0</v>
      </c>
      <c r="R670" t="n">
        <v>0</v>
      </c>
      <c r="S670" t="n">
        <v>1</v>
      </c>
      <c r="T670" t="n">
        <v>1</v>
      </c>
      <c r="U670" t="n">
        <v>0</v>
      </c>
      <c r="V670" s="2" t="inlineStr">
        <is>
          <t>Spillkråka</t>
        </is>
      </c>
      <c r="W670">
        <f>HYPERLINK("https://klasma.github.io/Logging_0305/artfynd/A 37415-2023 artfynd.xlsx", "A 37415-2023")</f>
        <v/>
      </c>
      <c r="X670">
        <f>HYPERLINK("https://klasma.github.io/Logging_0305/kartor/A 37415-2023 karta.png", "A 37415-2023")</f>
        <v/>
      </c>
      <c r="Y670">
        <f>HYPERLINK("https://klasma.github.io/Logging_0305/kartor_geotiff/A 37415-2023 georefererad karta.tif", "A 37415-2023")</f>
        <v/>
      </c>
      <c r="AA670">
        <f>HYPERLINK("https://klasma.github.io/Logging_0305/klagomål/A 37415-2023 FSC-klagomål.docx", "A 37415-2023")</f>
        <v/>
      </c>
      <c r="AB670">
        <f>HYPERLINK("https://klasma.github.io/Logging_0305/klagomålsmail/A 37415-2023 FSC-klagomål mail.docx", "A 37415-2023")</f>
        <v/>
      </c>
      <c r="AC670">
        <f>HYPERLINK("https://klasma.github.io/Logging_0305/tillsyn/A 37415-2023 tillsynsbegäran.docx", "A 37415-2023")</f>
        <v/>
      </c>
      <c r="AD670">
        <f>HYPERLINK("https://klasma.github.io/Logging_0305/tillsynsmail/A 37415-2023 tillsynsbegäran mail.docx", "A 37415-2023")</f>
        <v/>
      </c>
      <c r="AE670">
        <f>HYPERLINK("https://klasma.github.io/Logging_0305/fåglar/A 37415-2023 prioriterade fågelarter.docx", "A 37415-2023")</f>
        <v/>
      </c>
    </row>
    <row r="671" ht="15" customHeight="1">
      <c r="A671" t="inlineStr">
        <is>
          <t>A 34090-2023</t>
        </is>
      </c>
      <c r="B671" t="inlineStr">
        <is>
          <t>avverkningsanmälan</t>
        </is>
      </c>
      <c r="C671" t="inlineStr">
        <is>
          <t>Föryngringsavverkning</t>
        </is>
      </c>
      <c r="D671" s="1" t="n">
        <v>45135</v>
      </c>
      <c r="E671" s="1" t="n">
        <v>46309</v>
      </c>
      <c r="F671" t="inlineStr">
        <is>
          <t>UPPSALA LÄN</t>
        </is>
      </c>
      <c r="G671" t="inlineStr">
        <is>
          <t>ÖSTHAMMAR</t>
        </is>
      </c>
      <c r="H671" t="inlineStr">
        <is>
          <t>Bergvik skog öst AB</t>
        </is>
      </c>
      <c r="I671" t="n">
        <v>5.7</v>
      </c>
      <c r="J671" t="n">
        <v>1</v>
      </c>
      <c r="K671" t="n">
        <v>0</v>
      </c>
      <c r="L671" t="n">
        <v>0</v>
      </c>
      <c r="M671" t="n">
        <v>0</v>
      </c>
      <c r="N671" t="n">
        <v>0</v>
      </c>
      <c r="O671" t="n">
        <v>0</v>
      </c>
      <c r="P671" t="n">
        <v>0</v>
      </c>
      <c r="Q671" t="n">
        <v>0</v>
      </c>
      <c r="R671" t="n">
        <v>0</v>
      </c>
      <c r="S671" t="n">
        <v>1</v>
      </c>
      <c r="T671" t="n">
        <v>1</v>
      </c>
      <c r="U671" t="n">
        <v>1</v>
      </c>
      <c r="V671" s="2" t="inlineStr">
        <is>
          <t>Spillkråka</t>
        </is>
      </c>
      <c r="W671">
        <f>HYPERLINK("https://klasma.github.io/Logging_0382/artfynd/A 34090-2023 artfynd.xlsx", "A 34090-2023")</f>
        <v/>
      </c>
      <c r="X671">
        <f>HYPERLINK("https://klasma.github.io/Logging_0382/kartor/A 34090-2023 karta.png", "A 34090-2023")</f>
        <v/>
      </c>
      <c r="Y671">
        <f>HYPERLINK("https://klasma.github.io/Logging_0382/kartor_geotiff/A 34090-2023 georefererad karta.tif", "A 34090-2023")</f>
        <v/>
      </c>
      <c r="AA671">
        <f>HYPERLINK("https://klasma.github.io/Logging_0382/klagomål/A 34090-2023 FSC-klagomål.docx", "A 34090-2023")</f>
        <v/>
      </c>
      <c r="AB671">
        <f>HYPERLINK("https://klasma.github.io/Logging_0382/klagomålsmail/A 34090-2023 FSC-klagomål mail.docx", "A 34090-2023")</f>
        <v/>
      </c>
      <c r="AC671">
        <f>HYPERLINK("https://klasma.github.io/Logging_0382/tillsyn/A 34090-2023 tillsynsbegäran.docx", "A 34090-2023")</f>
        <v/>
      </c>
      <c r="AD671">
        <f>HYPERLINK("https://klasma.github.io/Logging_0382/tillsynsmail/A 34090-2023 tillsynsbegäran mail.docx", "A 34090-2023")</f>
        <v/>
      </c>
      <c r="AE671">
        <f>HYPERLINK("https://klasma.github.io/Logging_0382/fåglar/A 34090-2023 prioriterade fågelarter.docx", "A 34090-2023")</f>
        <v/>
      </c>
    </row>
    <row r="672" ht="15" customHeight="1">
      <c r="A672" t="inlineStr">
        <is>
          <t>A 36231-2026</t>
        </is>
      </c>
      <c r="B672" t="inlineStr">
        <is>
          <t>avverkningsanmälan</t>
        </is>
      </c>
      <c r="C672" t="inlineStr">
        <is>
          <t>Föryngringsavverkning</t>
        </is>
      </c>
      <c r="D672" s="1" t="n">
        <v>46268</v>
      </c>
      <c r="E672" s="1" t="n">
        <v>46309</v>
      </c>
      <c r="F672" t="inlineStr">
        <is>
          <t>UPPSALA LÄN</t>
        </is>
      </c>
      <c r="G672" t="inlineStr">
        <is>
          <t>ÖSTHAMMAR</t>
        </is>
      </c>
      <c r="H672" t="inlineStr">
        <is>
          <t>Övriga Aktiebolag</t>
        </is>
      </c>
      <c r="I672" t="n">
        <v>9.199999999999999</v>
      </c>
      <c r="J672" t="n">
        <v>1</v>
      </c>
      <c r="K672" t="n">
        <v>0</v>
      </c>
      <c r="L672" t="n">
        <v>1</v>
      </c>
      <c r="M672" t="n">
        <v>0</v>
      </c>
      <c r="N672" t="n">
        <v>0</v>
      </c>
      <c r="O672" t="n">
        <v>0</v>
      </c>
      <c r="P672" t="n">
        <v>0</v>
      </c>
      <c r="Q672" t="n">
        <v>1</v>
      </c>
      <c r="R672" t="n">
        <v>0</v>
      </c>
      <c r="S672" t="n">
        <v>1</v>
      </c>
      <c r="T672" t="n">
        <v>1</v>
      </c>
      <c r="U672" t="n">
        <v>0</v>
      </c>
      <c r="V672" s="2" t="inlineStr">
        <is>
          <t>Sparvuggla</t>
        </is>
      </c>
      <c r="W672">
        <f>HYPERLINK("https://klasma.github.io/Logging_0382/artfynd/A 36231-2026 artfynd.xlsx", "A 36231-2026")</f>
        <v/>
      </c>
      <c r="X672">
        <f>HYPERLINK("https://klasma.github.io/Logging_0382/kartor/A 36231-2026 karta.png", "A 36231-2026")</f>
        <v/>
      </c>
      <c r="Y672">
        <f>HYPERLINK("https://klasma.github.io/Logging_0382/kartor_geotiff/A 36231-2026 georefererad karta.tif", "A 36231-2026")</f>
        <v/>
      </c>
      <c r="AA672">
        <f>HYPERLINK("https://klasma.github.io/Logging_0382/klagomål/A 36231-2026 FSC-klagomål.docx", "A 36231-2026")</f>
        <v/>
      </c>
      <c r="AB672">
        <f>HYPERLINK("https://klasma.github.io/Logging_0382/klagomålsmail/A 36231-2026 FSC-klagomål mail.docx", "A 36231-2026")</f>
        <v/>
      </c>
      <c r="AC672">
        <f>HYPERLINK("https://klasma.github.io/Logging_0382/tillsyn/A 36231-2026 tillsynsbegäran.docx", "A 36231-2026")</f>
        <v/>
      </c>
      <c r="AD672">
        <f>HYPERLINK("https://klasma.github.io/Logging_0382/tillsynsmail/A 36231-2026 tillsynsbegäran mail.docx", "A 36231-2026")</f>
        <v/>
      </c>
      <c r="AE672">
        <f>HYPERLINK("https://klasma.github.io/Logging_0382/fåglar/A 36231-2026 prioriterade fågelarter.docx", "A 36231-2026")</f>
        <v/>
      </c>
    </row>
    <row r="673" ht="15" customHeight="1">
      <c r="A673" t="inlineStr">
        <is>
          <t>A 13755-2023</t>
        </is>
      </c>
      <c r="B673" t="inlineStr">
        <is>
          <t>avverkningsanmälan</t>
        </is>
      </c>
      <c r="C673" t="inlineStr">
        <is>
          <t>Föryngringsavverkning</t>
        </is>
      </c>
      <c r="D673" s="1" t="n">
        <v>45007</v>
      </c>
      <c r="E673" s="1" t="n">
        <v>46309</v>
      </c>
      <c r="F673" t="inlineStr">
        <is>
          <t>UPPSALA LÄN</t>
        </is>
      </c>
      <c r="G673" t="inlineStr">
        <is>
          <t>ÖSTHAMMAR</t>
        </is>
      </c>
      <c r="I673" t="n">
        <v>2.4</v>
      </c>
      <c r="J673" t="n">
        <v>1</v>
      </c>
      <c r="K673" t="n">
        <v>1</v>
      </c>
      <c r="L673" t="n">
        <v>0</v>
      </c>
      <c r="M673" t="n">
        <v>0</v>
      </c>
      <c r="N673" t="n">
        <v>0</v>
      </c>
      <c r="O673" t="n">
        <v>0</v>
      </c>
      <c r="P673" t="n">
        <v>0</v>
      </c>
      <c r="Q673" t="n">
        <v>0</v>
      </c>
      <c r="R673" t="n">
        <v>0</v>
      </c>
      <c r="S673" t="n">
        <v>1</v>
      </c>
      <c r="T673" t="n">
        <v>2</v>
      </c>
      <c r="U673" t="n">
        <v>2</v>
      </c>
      <c r="V673" s="2" t="inlineStr">
        <is>
          <t>Guckusko</t>
        </is>
      </c>
      <c r="W673">
        <f>HYPERLINK("https://klasma.github.io/Logging_0382/artfynd/A 13755-2023 artfynd.xlsx", "A 13755-2023")</f>
        <v/>
      </c>
      <c r="X673">
        <f>HYPERLINK("https://klasma.github.io/Logging_0382/kartor/A 13755-2023 karta.png", "A 13755-2023")</f>
        <v/>
      </c>
      <c r="Y673">
        <f>HYPERLINK("https://klasma.github.io/Logging_0382/kartor_geotiff/A 13755-2023 georefererad karta.tif", "A 13755-2023")</f>
        <v/>
      </c>
      <c r="AA673">
        <f>HYPERLINK("https://klasma.github.io/Logging_0382/klagomål/A 13755-2023 FSC-klagomål.docx", "A 13755-2023")</f>
        <v/>
      </c>
      <c r="AB673">
        <f>HYPERLINK("https://klasma.github.io/Logging_0382/klagomålsmail/A 13755-2023 FSC-klagomål mail.docx", "A 13755-2023")</f>
        <v/>
      </c>
      <c r="AC673">
        <f>HYPERLINK("https://klasma.github.io/Logging_0382/tillsyn/A 13755-2023 tillsynsbegäran.docx", "A 13755-2023")</f>
        <v/>
      </c>
      <c r="AD673">
        <f>HYPERLINK("https://klasma.github.io/Logging_0382/tillsynsmail/A 13755-2023 tillsynsbegäran mail.docx", "A 13755-2023")</f>
        <v/>
      </c>
    </row>
    <row r="674" ht="15" customHeight="1">
      <c r="A674" t="inlineStr">
        <is>
          <t>A 10844-2025</t>
        </is>
      </c>
      <c r="B674" t="inlineStr">
        <is>
          <t>avverkningsanmälan</t>
        </is>
      </c>
      <c r="C674" t="inlineStr">
        <is>
          <t>Föryngringsavverkning</t>
        </is>
      </c>
      <c r="D674" s="1" t="n">
        <v>45722</v>
      </c>
      <c r="E674" s="1" t="n">
        <v>46309</v>
      </c>
      <c r="F674" t="inlineStr">
        <is>
          <t>UPPSALA LÄN</t>
        </is>
      </c>
      <c r="G674" t="inlineStr">
        <is>
          <t>TIERP</t>
        </is>
      </c>
      <c r="H674" t="inlineStr">
        <is>
          <t>Bergvik skog öst AB</t>
        </is>
      </c>
      <c r="I674" t="n">
        <v>4.3</v>
      </c>
      <c r="J674" t="n">
        <v>1</v>
      </c>
      <c r="K674" t="n">
        <v>0</v>
      </c>
      <c r="L674" t="n">
        <v>0</v>
      </c>
      <c r="M674" t="n">
        <v>0</v>
      </c>
      <c r="N674" t="n">
        <v>0</v>
      </c>
      <c r="O674" t="n">
        <v>0</v>
      </c>
      <c r="P674" t="n">
        <v>0</v>
      </c>
      <c r="Q674" t="n">
        <v>0</v>
      </c>
      <c r="R674" t="n">
        <v>0</v>
      </c>
      <c r="S674" t="n">
        <v>1</v>
      </c>
      <c r="T674" t="n">
        <v>3</v>
      </c>
      <c r="U674" t="n">
        <v>0</v>
      </c>
      <c r="V674" s="2" t="inlineStr">
        <is>
          <t>Blåsippa</t>
        </is>
      </c>
      <c r="W674">
        <f>HYPERLINK("https://klasma.github.io/Logging_0360/artfynd/A 10844-2025 artfynd.xlsx", "A 10844-2025")</f>
        <v/>
      </c>
      <c r="X674">
        <f>HYPERLINK("https://klasma.github.io/Logging_0360/kartor/A 10844-2025 karta.png", "A 10844-2025")</f>
        <v/>
      </c>
      <c r="Y674">
        <f>HYPERLINK("https://klasma.github.io/Logging_0360/kartor_geotiff/A 10844-2025 georefererad karta.tif", "A 10844-2025")</f>
        <v/>
      </c>
      <c r="AA674">
        <f>HYPERLINK("https://klasma.github.io/Logging_0360/klagomål/A 10844-2025 FSC-klagomål.docx", "A 10844-2025")</f>
        <v/>
      </c>
      <c r="AB674">
        <f>HYPERLINK("https://klasma.github.io/Logging_0360/klagomålsmail/A 10844-2025 FSC-klagomål mail.docx", "A 10844-2025")</f>
        <v/>
      </c>
      <c r="AC674">
        <f>HYPERLINK("https://klasma.github.io/Logging_0360/tillsyn/A 10844-2025 tillsynsbegäran.docx", "A 10844-2025")</f>
        <v/>
      </c>
      <c r="AD674">
        <f>HYPERLINK("https://klasma.github.io/Logging_0360/tillsynsmail/A 10844-2025 tillsynsbegäran mail.docx", "A 10844-2025")</f>
        <v/>
      </c>
    </row>
    <row r="675" ht="15" customHeight="1">
      <c r="A675" t="inlineStr">
        <is>
          <t>A 36746-2026</t>
        </is>
      </c>
      <c r="B675" t="inlineStr">
        <is>
          <t>avverkningsanmälan</t>
        </is>
      </c>
      <c r="C675" t="inlineStr">
        <is>
          <t>Föryngringsavverkning</t>
        </is>
      </c>
      <c r="D675" s="1" t="n">
        <v>46272</v>
      </c>
      <c r="E675" s="1" t="n">
        <v>46309</v>
      </c>
      <c r="F675" t="inlineStr">
        <is>
          <t>UPPSALA LÄN</t>
        </is>
      </c>
      <c r="G675" t="inlineStr">
        <is>
          <t>ENKÖPING</t>
        </is>
      </c>
      <c r="I675" t="n">
        <v>0.4</v>
      </c>
      <c r="J675" t="n">
        <v>0</v>
      </c>
      <c r="K675" t="n">
        <v>0</v>
      </c>
      <c r="L675" t="n">
        <v>1</v>
      </c>
      <c r="M675" t="n">
        <v>0</v>
      </c>
      <c r="N675" t="n">
        <v>0</v>
      </c>
      <c r="O675" t="n">
        <v>0</v>
      </c>
      <c r="P675" t="n">
        <v>0</v>
      </c>
      <c r="Q675" t="n">
        <v>1</v>
      </c>
      <c r="R675" t="n">
        <v>0</v>
      </c>
      <c r="S675" t="n">
        <v>1</v>
      </c>
      <c r="T675" t="n">
        <v>5</v>
      </c>
      <c r="U675" t="n">
        <v>0</v>
      </c>
      <c r="V675" s="2" t="inlineStr">
        <is>
          <t>Ängsskära</t>
        </is>
      </c>
      <c r="W675">
        <f>HYPERLINK("https://klasma.github.io/Logging_0381/artfynd/A 36746-2026 artfynd.xlsx", "A 36746-2026")</f>
        <v/>
      </c>
      <c r="X675">
        <f>HYPERLINK("https://klasma.github.io/Logging_0381/kartor/A 36746-2026 karta.png", "A 36746-2026")</f>
        <v/>
      </c>
      <c r="Y675">
        <f>HYPERLINK("https://klasma.github.io/Logging_0381/kartor_geotiff/A 36746-2026 georefererad karta.tif", "A 36746-2026")</f>
        <v/>
      </c>
      <c r="AA675">
        <f>HYPERLINK("https://klasma.github.io/Logging_0381/klagomål/A 36746-2026 FSC-klagomål.docx", "A 36746-2026")</f>
        <v/>
      </c>
      <c r="AB675">
        <f>HYPERLINK("https://klasma.github.io/Logging_0381/klagomålsmail/A 36746-2026 FSC-klagomål mail.docx", "A 36746-2026")</f>
        <v/>
      </c>
      <c r="AC675">
        <f>HYPERLINK("https://klasma.github.io/Logging_0381/tillsyn/A 36746-2026 tillsynsbegäran.docx", "A 36746-2026")</f>
        <v/>
      </c>
      <c r="AD675">
        <f>HYPERLINK("https://klasma.github.io/Logging_0381/tillsynsmail/A 36746-2026 tillsynsbegäran mail.docx", "A 36746-2026")</f>
        <v/>
      </c>
    </row>
    <row r="676" ht="15" customHeight="1">
      <c r="A676" t="inlineStr">
        <is>
          <t>A 31885-2026</t>
        </is>
      </c>
      <c r="B676" t="inlineStr">
        <is>
          <t>avverkningsanmälan</t>
        </is>
      </c>
      <c r="C676" t="inlineStr">
        <is>
          <t>Föryngringsavverkning</t>
        </is>
      </c>
      <c r="D676" s="1" t="n">
        <v>46231</v>
      </c>
      <c r="E676" s="1" t="n">
        <v>46309</v>
      </c>
      <c r="F676" t="inlineStr">
        <is>
          <t>UPPSALA LÄN</t>
        </is>
      </c>
      <c r="G676" t="inlineStr">
        <is>
          <t>HEBY</t>
        </is>
      </c>
      <c r="I676" t="n">
        <v>1</v>
      </c>
      <c r="J676" t="n">
        <v>0</v>
      </c>
      <c r="K676" t="n">
        <v>0</v>
      </c>
      <c r="L676" t="n">
        <v>1</v>
      </c>
      <c r="M676" t="n">
        <v>0</v>
      </c>
      <c r="N676" t="n">
        <v>0</v>
      </c>
      <c r="O676" t="n">
        <v>0</v>
      </c>
      <c r="P676" t="n">
        <v>0</v>
      </c>
      <c r="Q676" t="n">
        <v>1</v>
      </c>
      <c r="R676" t="n">
        <v>0</v>
      </c>
      <c r="S676" t="n">
        <v>1</v>
      </c>
      <c r="T676" t="n">
        <v>1</v>
      </c>
      <c r="U676" t="n">
        <v>0</v>
      </c>
      <c r="V676" s="2" t="inlineStr">
        <is>
          <t>Platt spretmossa</t>
        </is>
      </c>
      <c r="W676">
        <f>HYPERLINK("https://klasma.github.io/Logging_0331/artfynd/A 31885-2026 artfynd.xlsx", "A 31885-2026")</f>
        <v/>
      </c>
      <c r="X676">
        <f>HYPERLINK("https://klasma.github.io/Logging_0331/kartor/A 31885-2026 karta.png", "A 31885-2026")</f>
        <v/>
      </c>
      <c r="Y676">
        <f>HYPERLINK("https://klasma.github.io/Logging_0331/kartor_geotiff/A 31885-2026 georefererad karta.tif", "A 31885-2026")</f>
        <v/>
      </c>
      <c r="AA676">
        <f>HYPERLINK("https://klasma.github.io/Logging_0331/klagomål/A 31885-2026 FSC-klagomål.docx", "A 31885-2026")</f>
        <v/>
      </c>
      <c r="AB676">
        <f>HYPERLINK("https://klasma.github.io/Logging_0331/klagomålsmail/A 31885-2026 FSC-klagomål mail.docx", "A 31885-2026")</f>
        <v/>
      </c>
      <c r="AC676">
        <f>HYPERLINK("https://klasma.github.io/Logging_0331/tillsyn/A 31885-2026 tillsynsbegäran.docx", "A 31885-2026")</f>
        <v/>
      </c>
      <c r="AD676">
        <f>HYPERLINK("https://klasma.github.io/Logging_0331/tillsynsmail/A 31885-2026 tillsynsbegäran mail.docx", "A 31885-2026")</f>
        <v/>
      </c>
    </row>
    <row r="677" ht="15" customHeight="1">
      <c r="A677" t="inlineStr">
        <is>
          <t>A 37204-2026</t>
        </is>
      </c>
      <c r="B677" t="inlineStr">
        <is>
          <t>avverkningsanmälan</t>
        </is>
      </c>
      <c r="C677" t="inlineStr">
        <is>
          <t>Föryngringsavverkning</t>
        </is>
      </c>
      <c r="D677" s="1" t="n">
        <v>46274</v>
      </c>
      <c r="E677" s="1" t="n">
        <v>46309</v>
      </c>
      <c r="F677" t="inlineStr">
        <is>
          <t>UPPSALA LÄN</t>
        </is>
      </c>
      <c r="G677" t="inlineStr">
        <is>
          <t>UPPSALA</t>
        </is>
      </c>
      <c r="H677" t="inlineStr">
        <is>
          <t>Sveaskog</t>
        </is>
      </c>
      <c r="I677" t="n">
        <v>3</v>
      </c>
      <c r="J677" t="n">
        <v>1</v>
      </c>
      <c r="K677" t="n">
        <v>0</v>
      </c>
      <c r="L677" t="n">
        <v>0</v>
      </c>
      <c r="M677" t="n">
        <v>1</v>
      </c>
      <c r="N677" t="n">
        <v>0</v>
      </c>
      <c r="O677" t="n">
        <v>0</v>
      </c>
      <c r="P677" t="n">
        <v>0</v>
      </c>
      <c r="Q677" t="n">
        <v>1</v>
      </c>
      <c r="R677" t="n">
        <v>1</v>
      </c>
      <c r="S677" t="n">
        <v>1</v>
      </c>
      <c r="T677" t="n">
        <v>2</v>
      </c>
      <c r="U677" t="n">
        <v>0</v>
      </c>
      <c r="V677" s="2" t="inlineStr">
        <is>
          <t>Knärot</t>
        </is>
      </c>
      <c r="W677">
        <f>HYPERLINK("https://klasma.github.io/Logging_0380/artfynd/A 37204-2026 artfynd.xlsx", "A 37204-2026")</f>
        <v/>
      </c>
      <c r="X677">
        <f>HYPERLINK("https://klasma.github.io/Logging_0380/kartor/A 37204-2026 karta.png", "A 37204-2026")</f>
        <v/>
      </c>
      <c r="Y677">
        <f>HYPERLINK("https://klasma.github.io/Logging_0380/kartor_geotiff/A 37204-2026 georefererad karta.tif", "A 37204-2026")</f>
        <v/>
      </c>
      <c r="Z677">
        <f>HYPERLINK("https://klasma.github.io/Logging_0380/knärot/A 37204-2026 karta knärot.png", "A 37204-2026")</f>
        <v/>
      </c>
      <c r="AA677">
        <f>HYPERLINK("https://klasma.github.io/Logging_0380/klagomål/A 37204-2026 FSC-klagomål.docx", "A 37204-2026")</f>
        <v/>
      </c>
      <c r="AB677">
        <f>HYPERLINK("https://klasma.github.io/Logging_0380/klagomålsmail/A 37204-2026 FSC-klagomål mail.docx", "A 37204-2026")</f>
        <v/>
      </c>
      <c r="AC677">
        <f>HYPERLINK("https://klasma.github.io/Logging_0380/tillsyn/A 37204-2026 tillsynsbegäran.docx", "A 37204-2026")</f>
        <v/>
      </c>
      <c r="AD677">
        <f>HYPERLINK("https://klasma.github.io/Logging_0380/tillsynsmail/A 37204-2026 tillsynsbegäran mail.docx", "A 37204-2026")</f>
        <v/>
      </c>
    </row>
    <row r="678" ht="15" customHeight="1">
      <c r="A678" t="inlineStr">
        <is>
          <t>A 61257-2022</t>
        </is>
      </c>
      <c r="B678" t="inlineStr">
        <is>
          <t>avverkningsanmälan</t>
        </is>
      </c>
      <c r="C678" t="inlineStr">
        <is>
          <t>Föryngringsavverkning</t>
        </is>
      </c>
      <c r="D678" s="1" t="n">
        <v>44915</v>
      </c>
      <c r="E678" s="1" t="n">
        <v>46309</v>
      </c>
      <c r="F678" t="inlineStr">
        <is>
          <t>UPPSALA LÄN</t>
        </is>
      </c>
      <c r="G678" t="inlineStr">
        <is>
          <t>ÖSTHAMMAR</t>
        </is>
      </c>
      <c r="I678" t="n">
        <v>1</v>
      </c>
      <c r="J678" t="n">
        <v>1</v>
      </c>
      <c r="K678" t="n">
        <v>0</v>
      </c>
      <c r="L678" t="n">
        <v>0</v>
      </c>
      <c r="M678" t="n">
        <v>1</v>
      </c>
      <c r="N678" t="n">
        <v>0</v>
      </c>
      <c r="O678" t="n">
        <v>0</v>
      </c>
      <c r="P678" t="n">
        <v>0</v>
      </c>
      <c r="Q678" t="n">
        <v>1</v>
      </c>
      <c r="R678" t="n">
        <v>1</v>
      </c>
      <c r="S678" t="n">
        <v>1</v>
      </c>
      <c r="T678" t="n">
        <v>1</v>
      </c>
      <c r="U678" t="n">
        <v>0</v>
      </c>
      <c r="V678" s="2" t="inlineStr">
        <is>
          <t>Hällebräcka</t>
        </is>
      </c>
      <c r="W678">
        <f>HYPERLINK("https://klasma.github.io/Logging_0382/artfynd/A 61257-2022 artfynd.xlsx", "A 61257-2022")</f>
        <v/>
      </c>
      <c r="X678">
        <f>HYPERLINK("https://klasma.github.io/Logging_0382/kartor/A 61257-2022 karta.png", "A 61257-2022")</f>
        <v/>
      </c>
      <c r="Y678">
        <f>HYPERLINK("https://klasma.github.io/Logging_0382/kartor_geotiff/A 61257-2022 georefererad karta.tif", "A 61257-2022")</f>
        <v/>
      </c>
      <c r="AA678">
        <f>HYPERLINK("https://klasma.github.io/Logging_0382/klagomål/A 61257-2022 FSC-klagomål.docx", "A 61257-2022")</f>
        <v/>
      </c>
      <c r="AB678">
        <f>HYPERLINK("https://klasma.github.io/Logging_0382/klagomålsmail/A 61257-2022 FSC-klagomål mail.docx", "A 61257-2022")</f>
        <v/>
      </c>
      <c r="AC678">
        <f>HYPERLINK("https://klasma.github.io/Logging_0382/tillsyn/A 61257-2022 tillsynsbegäran.docx", "A 61257-2022")</f>
        <v/>
      </c>
      <c r="AD678">
        <f>HYPERLINK("https://klasma.github.io/Logging_0382/tillsynsmail/A 61257-2022 tillsynsbegäran mail.docx", "A 61257-2022")</f>
        <v/>
      </c>
    </row>
    <row r="679" ht="15" customHeight="1">
      <c r="A679" t="inlineStr">
        <is>
          <t>A 37080-2026</t>
        </is>
      </c>
      <c r="B679" t="inlineStr">
        <is>
          <t>avverkningsanmälan</t>
        </is>
      </c>
      <c r="C679" t="inlineStr">
        <is>
          <t>Föryngringsavverkning</t>
        </is>
      </c>
      <c r="D679" s="1" t="n">
        <v>46273</v>
      </c>
      <c r="E679" s="1" t="n">
        <v>46309</v>
      </c>
      <c r="F679" t="inlineStr">
        <is>
          <t>UPPSALA LÄN</t>
        </is>
      </c>
      <c r="G679" t="inlineStr">
        <is>
          <t>HÅBO</t>
        </is>
      </c>
      <c r="H679" t="inlineStr">
        <is>
          <t>Kyrkan</t>
        </is>
      </c>
      <c r="I679" t="n">
        <v>1.5</v>
      </c>
      <c r="J679" t="n">
        <v>1</v>
      </c>
      <c r="K679" t="n">
        <v>0</v>
      </c>
      <c r="L679" t="n">
        <v>1</v>
      </c>
      <c r="M679" t="n">
        <v>0</v>
      </c>
      <c r="N679" t="n">
        <v>0</v>
      </c>
      <c r="O679" t="n">
        <v>0</v>
      </c>
      <c r="P679" t="n">
        <v>0</v>
      </c>
      <c r="Q679" t="n">
        <v>1</v>
      </c>
      <c r="R679" t="n">
        <v>0</v>
      </c>
      <c r="S679" t="n">
        <v>1</v>
      </c>
      <c r="T679" t="n">
        <v>1</v>
      </c>
      <c r="U679" t="n">
        <v>1</v>
      </c>
      <c r="V679" s="2" t="inlineStr">
        <is>
          <t>Talltita</t>
        </is>
      </c>
      <c r="W679">
        <f>HYPERLINK("https://klasma.github.io/Logging_0305/artfynd/A 37080-2026 artfynd.xlsx", "A 37080-2026")</f>
        <v/>
      </c>
      <c r="X679">
        <f>HYPERLINK("https://klasma.github.io/Logging_0305/kartor/A 37080-2026 karta.png", "A 37080-2026")</f>
        <v/>
      </c>
      <c r="Y679">
        <f>HYPERLINK("https://klasma.github.io/Logging_0305/kartor_geotiff/A 37080-2026 georefererad karta.tif", "A 37080-2026")</f>
        <v/>
      </c>
      <c r="AA679">
        <f>HYPERLINK("https://klasma.github.io/Logging_0305/klagomål/A 37080-2026 FSC-klagomål.docx", "A 37080-2026")</f>
        <v/>
      </c>
      <c r="AB679">
        <f>HYPERLINK("https://klasma.github.io/Logging_0305/klagomålsmail/A 37080-2026 FSC-klagomål mail.docx", "A 37080-2026")</f>
        <v/>
      </c>
      <c r="AC679">
        <f>HYPERLINK("https://klasma.github.io/Logging_0305/tillsyn/A 37080-2026 tillsynsbegäran.docx", "A 37080-2026")</f>
        <v/>
      </c>
      <c r="AD679">
        <f>HYPERLINK("https://klasma.github.io/Logging_0305/tillsynsmail/A 37080-2026 tillsynsbegäran mail.docx", "A 37080-2026")</f>
        <v/>
      </c>
      <c r="AE679">
        <f>HYPERLINK("https://klasma.github.io/Logging_0305/fåglar/A 37080-2026 prioriterade fågelarter.docx", "A 37080-2026")</f>
        <v/>
      </c>
    </row>
    <row r="680" ht="15" customHeight="1">
      <c r="A680" t="inlineStr">
        <is>
          <t>A 1731-2022</t>
        </is>
      </c>
      <c r="B680" t="inlineStr">
        <is>
          <t>avverkningsanmälan</t>
        </is>
      </c>
      <c r="C680" t="inlineStr">
        <is>
          <t>Föryngringsavverkning</t>
        </is>
      </c>
      <c r="D680" s="1" t="n">
        <v>44574</v>
      </c>
      <c r="E680" s="1" t="n">
        <v>46309</v>
      </c>
      <c r="F680" t="inlineStr">
        <is>
          <t>UPPSALA LÄN</t>
        </is>
      </c>
      <c r="G680" t="inlineStr">
        <is>
          <t>UPPSALA</t>
        </is>
      </c>
      <c r="I680" t="n">
        <v>10.1</v>
      </c>
      <c r="J680" t="n">
        <v>1</v>
      </c>
      <c r="K680" t="n">
        <v>0</v>
      </c>
      <c r="L680" t="n">
        <v>0</v>
      </c>
      <c r="M680" t="n">
        <v>0</v>
      </c>
      <c r="N680" t="n">
        <v>0</v>
      </c>
      <c r="O680" t="n">
        <v>0</v>
      </c>
      <c r="P680" t="n">
        <v>0</v>
      </c>
      <c r="Q680" t="n">
        <v>0</v>
      </c>
      <c r="R680" t="n">
        <v>0</v>
      </c>
      <c r="S680" t="n">
        <v>1</v>
      </c>
      <c r="T680" t="n">
        <v>1</v>
      </c>
      <c r="U680" t="n">
        <v>0</v>
      </c>
      <c r="V680" s="2" t="inlineStr">
        <is>
          <t>Vanlig snok</t>
        </is>
      </c>
      <c r="W680">
        <f>HYPERLINK("https://klasma.github.io/Logging_0380/artfynd/A 1731-2022 artfynd.xlsx", "A 1731-2022")</f>
        <v/>
      </c>
      <c r="X680">
        <f>HYPERLINK("https://klasma.github.io/Logging_0380/kartor/A 1731-2022 karta.png", "A 1731-2022")</f>
        <v/>
      </c>
      <c r="Y680">
        <f>HYPERLINK("https://klasma.github.io/Logging_0380/kartor_geotiff/A 1731-2022 georefererad karta.tif", "A 1731-2022")</f>
        <v/>
      </c>
      <c r="AA680">
        <f>HYPERLINK("https://klasma.github.io/Logging_0380/klagomål/A 1731-2022 FSC-klagomål.docx", "A 1731-2022")</f>
        <v/>
      </c>
      <c r="AB680">
        <f>HYPERLINK("https://klasma.github.io/Logging_0380/klagomålsmail/A 1731-2022 FSC-klagomål mail.docx", "A 1731-2022")</f>
        <v/>
      </c>
      <c r="AC680">
        <f>HYPERLINK("https://klasma.github.io/Logging_0380/tillsyn/A 1731-2022 tillsynsbegäran.docx", "A 1731-2022")</f>
        <v/>
      </c>
      <c r="AD680">
        <f>HYPERLINK("https://klasma.github.io/Logging_0380/tillsynsmail/A 1731-2022 tillsynsbegäran mail.docx", "A 1731-2022")</f>
        <v/>
      </c>
    </row>
    <row r="681" ht="15" customHeight="1">
      <c r="A681" t="inlineStr">
        <is>
          <t>A 37205-2026</t>
        </is>
      </c>
      <c r="B681" t="inlineStr">
        <is>
          <t>avverkningsanmälan</t>
        </is>
      </c>
      <c r="C681" t="inlineStr">
        <is>
          <t>Föryngringsavverkning</t>
        </is>
      </c>
      <c r="D681" s="1" t="n">
        <v>46274</v>
      </c>
      <c r="E681" s="1" t="n">
        <v>46309</v>
      </c>
      <c r="F681" t="inlineStr">
        <is>
          <t>UPPSALA LÄN</t>
        </is>
      </c>
      <c r="G681" t="inlineStr">
        <is>
          <t>UPPSALA</t>
        </is>
      </c>
      <c r="H681" t="inlineStr">
        <is>
          <t>Sveaskog</t>
        </is>
      </c>
      <c r="I681" t="n">
        <v>3.1</v>
      </c>
      <c r="J681" t="n">
        <v>1</v>
      </c>
      <c r="K681" t="n">
        <v>0</v>
      </c>
      <c r="L681" t="n">
        <v>0</v>
      </c>
      <c r="M681" t="n">
        <v>1</v>
      </c>
      <c r="N681" t="n">
        <v>0</v>
      </c>
      <c r="O681" t="n">
        <v>0</v>
      </c>
      <c r="P681" t="n">
        <v>0</v>
      </c>
      <c r="Q681" t="n">
        <v>1</v>
      </c>
      <c r="R681" t="n">
        <v>1</v>
      </c>
      <c r="S681" t="n">
        <v>1</v>
      </c>
      <c r="T681" t="n">
        <v>1</v>
      </c>
      <c r="U681" t="n">
        <v>0</v>
      </c>
      <c r="V681" s="2" t="inlineStr">
        <is>
          <t>Knärot</t>
        </is>
      </c>
      <c r="W681">
        <f>HYPERLINK("https://klasma.github.io/Logging_0380/artfynd/A 37205-2026 artfynd.xlsx", "A 37205-2026")</f>
        <v/>
      </c>
      <c r="X681">
        <f>HYPERLINK("https://klasma.github.io/Logging_0380/kartor/A 37205-2026 karta.png", "A 37205-2026")</f>
        <v/>
      </c>
      <c r="Y681">
        <f>HYPERLINK("https://klasma.github.io/Logging_0380/kartor_geotiff/A 37205-2026 georefererad karta.tif", "A 37205-2026")</f>
        <v/>
      </c>
      <c r="Z681">
        <f>HYPERLINK("https://klasma.github.io/Logging_0380/knärot/A 37205-2026 karta knärot.png", "A 37205-2026")</f>
        <v/>
      </c>
      <c r="AA681">
        <f>HYPERLINK("https://klasma.github.io/Logging_0380/klagomål/A 37205-2026 FSC-klagomål.docx", "A 37205-2026")</f>
        <v/>
      </c>
      <c r="AB681">
        <f>HYPERLINK("https://klasma.github.io/Logging_0380/klagomålsmail/A 37205-2026 FSC-klagomål mail.docx", "A 37205-2026")</f>
        <v/>
      </c>
      <c r="AC681">
        <f>HYPERLINK("https://klasma.github.io/Logging_0380/tillsyn/A 37205-2026 tillsynsbegäran.docx", "A 37205-2026")</f>
        <v/>
      </c>
      <c r="AD681">
        <f>HYPERLINK("https://klasma.github.io/Logging_0380/tillsynsmail/A 37205-2026 tillsynsbegäran mail.docx", "A 37205-2026")</f>
        <v/>
      </c>
    </row>
    <row r="682" ht="15" customHeight="1">
      <c r="A682" t="inlineStr">
        <is>
          <t>A 37341-2026</t>
        </is>
      </c>
      <c r="B682" t="inlineStr">
        <is>
          <t>avverkningsanmälan</t>
        </is>
      </c>
      <c r="C682" t="inlineStr">
        <is>
          <t>Föryngringsavverkning</t>
        </is>
      </c>
      <c r="D682" s="1" t="n">
        <v>46275</v>
      </c>
      <c r="E682" s="1" t="n">
        <v>46309</v>
      </c>
      <c r="F682" t="inlineStr">
        <is>
          <t>UPPSALA LÄN</t>
        </is>
      </c>
      <c r="G682" t="inlineStr">
        <is>
          <t>ÖSTHAMMAR</t>
        </is>
      </c>
      <c r="I682" t="n">
        <v>2</v>
      </c>
      <c r="J682" t="n">
        <v>1</v>
      </c>
      <c r="K682" t="n">
        <v>0</v>
      </c>
      <c r="L682" t="n">
        <v>0</v>
      </c>
      <c r="M682" t="n">
        <v>0</v>
      </c>
      <c r="N682" t="n">
        <v>0</v>
      </c>
      <c r="O682" t="n">
        <v>0</v>
      </c>
      <c r="P682" t="n">
        <v>0</v>
      </c>
      <c r="Q682" t="n">
        <v>0</v>
      </c>
      <c r="R682" t="n">
        <v>0</v>
      </c>
      <c r="S682" t="n">
        <v>1</v>
      </c>
      <c r="T682" t="n">
        <v>1</v>
      </c>
      <c r="U682" t="n">
        <v>0</v>
      </c>
      <c r="V682" s="2" t="inlineStr">
        <is>
          <t>Blåsippa</t>
        </is>
      </c>
      <c r="W682">
        <f>HYPERLINK("https://klasma.github.io/Logging_0382/artfynd/A 37341-2026 artfynd.xlsx", "A 37341-2026")</f>
        <v/>
      </c>
      <c r="X682">
        <f>HYPERLINK("https://klasma.github.io/Logging_0382/kartor/A 37341-2026 karta.png", "A 37341-2026")</f>
        <v/>
      </c>
      <c r="Y682">
        <f>HYPERLINK("https://klasma.github.io/Logging_0382/kartor_geotiff/A 37341-2026 georefererad karta.tif", "A 37341-2026")</f>
        <v/>
      </c>
      <c r="AA682">
        <f>HYPERLINK("https://klasma.github.io/Logging_0382/klagomål/A 37341-2026 FSC-klagomål.docx", "A 37341-2026")</f>
        <v/>
      </c>
      <c r="AB682">
        <f>HYPERLINK("https://klasma.github.io/Logging_0382/klagomålsmail/A 37341-2026 FSC-klagomål mail.docx", "A 37341-2026")</f>
        <v/>
      </c>
      <c r="AC682">
        <f>HYPERLINK("https://klasma.github.io/Logging_0382/tillsyn/A 37341-2026 tillsynsbegäran.docx", "A 37341-2026")</f>
        <v/>
      </c>
      <c r="AD682">
        <f>HYPERLINK("https://klasma.github.io/Logging_0382/tillsynsmail/A 37341-2026 tillsynsbegäran mail.docx", "A 37341-2026")</f>
        <v/>
      </c>
    </row>
    <row r="683" ht="15" customHeight="1">
      <c r="A683" t="inlineStr">
        <is>
          <t>A 8772-2023</t>
        </is>
      </c>
      <c r="B683" t="inlineStr">
        <is>
          <t>avverkningsanmälan</t>
        </is>
      </c>
      <c r="C683" t="inlineStr">
        <is>
          <t>Föryngringsavverkning</t>
        </is>
      </c>
      <c r="D683" s="1" t="n">
        <v>44978</v>
      </c>
      <c r="E683" s="1" t="n">
        <v>46309</v>
      </c>
      <c r="F683" t="inlineStr">
        <is>
          <t>UPPSALA LÄN</t>
        </is>
      </c>
      <c r="G683" t="inlineStr">
        <is>
          <t>TIERP</t>
        </is>
      </c>
      <c r="I683" t="n">
        <v>2.4</v>
      </c>
      <c r="J683" t="n">
        <v>0</v>
      </c>
      <c r="K683" t="n">
        <v>0</v>
      </c>
      <c r="L683" t="n">
        <v>1</v>
      </c>
      <c r="M683" t="n">
        <v>0</v>
      </c>
      <c r="N683" t="n">
        <v>0</v>
      </c>
      <c r="O683" t="n">
        <v>0</v>
      </c>
      <c r="P683" t="n">
        <v>0</v>
      </c>
      <c r="Q683" t="n">
        <v>1</v>
      </c>
      <c r="R683" t="n">
        <v>0</v>
      </c>
      <c r="S683" t="n">
        <v>1</v>
      </c>
      <c r="T683" t="n">
        <v>1</v>
      </c>
      <c r="U683" t="n">
        <v>0</v>
      </c>
      <c r="V683" s="2" t="inlineStr">
        <is>
          <t>Kryddspindling</t>
        </is>
      </c>
      <c r="W683">
        <f>HYPERLINK("https://klasma.github.io/Logging_0360/artfynd/A 8772-2023 artfynd.xlsx", "A 8772-2023")</f>
        <v/>
      </c>
      <c r="X683">
        <f>HYPERLINK("https://klasma.github.io/Logging_0360/kartor/A 8772-2023 karta.png", "A 8772-2023")</f>
        <v/>
      </c>
      <c r="Y683">
        <f>HYPERLINK("https://klasma.github.io/Logging_0360/kartor_geotiff/A 8772-2023 georefererad karta.tif", "A 8772-2023")</f>
        <v/>
      </c>
      <c r="AA683">
        <f>HYPERLINK("https://klasma.github.io/Logging_0360/klagomål/A 8772-2023 FSC-klagomål.docx", "A 8772-2023")</f>
        <v/>
      </c>
      <c r="AB683">
        <f>HYPERLINK("https://klasma.github.io/Logging_0360/klagomålsmail/A 8772-2023 FSC-klagomål mail.docx", "A 8772-2023")</f>
        <v/>
      </c>
      <c r="AC683">
        <f>HYPERLINK("https://klasma.github.io/Logging_0360/tillsyn/A 8772-2023 tillsynsbegäran.docx", "A 8772-2023")</f>
        <v/>
      </c>
      <c r="AD683">
        <f>HYPERLINK("https://klasma.github.io/Logging_0360/tillsynsmail/A 8772-2023 tillsynsbegäran mail.docx", "A 8772-2023")</f>
        <v/>
      </c>
    </row>
    <row r="684" ht="15" customHeight="1">
      <c r="A684" t="inlineStr">
        <is>
          <t>A 37417-2026</t>
        </is>
      </c>
      <c r="B684" t="inlineStr">
        <is>
          <t>avverkningsanmälan</t>
        </is>
      </c>
      <c r="C684" t="inlineStr">
        <is>
          <t>Föryngringsavverkning</t>
        </is>
      </c>
      <c r="D684" s="1" t="n">
        <v>46275</v>
      </c>
      <c r="E684" s="1" t="n">
        <v>46309</v>
      </c>
      <c r="F684" t="inlineStr">
        <is>
          <t>UPPSALA LÄN</t>
        </is>
      </c>
      <c r="G684" t="inlineStr">
        <is>
          <t>UPPSALA</t>
        </is>
      </c>
      <c r="I684" t="n">
        <v>11.9</v>
      </c>
      <c r="J684" t="n">
        <v>0</v>
      </c>
      <c r="K684" t="n">
        <v>1</v>
      </c>
      <c r="L684" t="n">
        <v>0</v>
      </c>
      <c r="M684" t="n">
        <v>0</v>
      </c>
      <c r="N684" t="n">
        <v>0</v>
      </c>
      <c r="O684" t="n">
        <v>0</v>
      </c>
      <c r="P684" t="n">
        <v>0</v>
      </c>
      <c r="Q684" t="n">
        <v>0</v>
      </c>
      <c r="R684" t="n">
        <v>0</v>
      </c>
      <c r="S684" t="n">
        <v>1</v>
      </c>
      <c r="T684" t="n">
        <v>1</v>
      </c>
      <c r="U684" t="n">
        <v>0</v>
      </c>
      <c r="V684" s="2" t="inlineStr">
        <is>
          <t>Blåmossa</t>
        </is>
      </c>
      <c r="W684">
        <f>HYPERLINK("https://klasma.github.io/Logging_0380/artfynd/A 37417-2026 artfynd.xlsx", "A 37417-2026")</f>
        <v/>
      </c>
      <c r="X684">
        <f>HYPERLINK("https://klasma.github.io/Logging_0380/kartor/A 37417-2026 karta.png", "A 37417-2026")</f>
        <v/>
      </c>
      <c r="Y684">
        <f>HYPERLINK("https://klasma.github.io/Logging_0380/kartor_geotiff/A 37417-2026 georefererad karta.tif", "A 37417-2026")</f>
        <v/>
      </c>
      <c r="AA684">
        <f>HYPERLINK("https://klasma.github.io/Logging_0380/klagomål/A 37417-2026 FSC-klagomål.docx", "A 37417-2026")</f>
        <v/>
      </c>
      <c r="AB684">
        <f>HYPERLINK("https://klasma.github.io/Logging_0380/klagomålsmail/A 37417-2026 FSC-klagomål mail.docx", "A 37417-2026")</f>
        <v/>
      </c>
      <c r="AC684">
        <f>HYPERLINK("https://klasma.github.io/Logging_0380/tillsyn/A 37417-2026 tillsynsbegäran.docx", "A 37417-2026")</f>
        <v/>
      </c>
      <c r="AD684">
        <f>HYPERLINK("https://klasma.github.io/Logging_0380/tillsynsmail/A 37417-2026 tillsynsbegäran mail.docx", "A 37417-2026")</f>
        <v/>
      </c>
    </row>
    <row r="685" ht="15" customHeight="1">
      <c r="A685" t="inlineStr">
        <is>
          <t>A 37970-2026</t>
        </is>
      </c>
      <c r="B685" t="inlineStr">
        <is>
          <t>avverkningsanmälan</t>
        </is>
      </c>
      <c r="C685" t="inlineStr">
        <is>
          <t>Föryngringsavverkning</t>
        </is>
      </c>
      <c r="D685" s="1" t="n">
        <v>46280</v>
      </c>
      <c r="E685" s="1" t="n">
        <v>46309</v>
      </c>
      <c r="F685" t="inlineStr">
        <is>
          <t>UPPSALA LÄN</t>
        </is>
      </c>
      <c r="G685" t="inlineStr">
        <is>
          <t>TIERP</t>
        </is>
      </c>
      <c r="H685" t="inlineStr">
        <is>
          <t>Bergvik skog öst AB</t>
        </is>
      </c>
      <c r="I685" t="n">
        <v>1.7</v>
      </c>
      <c r="J685" t="n">
        <v>1</v>
      </c>
      <c r="K685" t="n">
        <v>0</v>
      </c>
      <c r="L685" t="n">
        <v>0</v>
      </c>
      <c r="M685" t="n">
        <v>0</v>
      </c>
      <c r="N685" t="n">
        <v>0</v>
      </c>
      <c r="O685" t="n">
        <v>0</v>
      </c>
      <c r="P685" t="n">
        <v>0</v>
      </c>
      <c r="Q685" t="n">
        <v>0</v>
      </c>
      <c r="R685" t="n">
        <v>0</v>
      </c>
      <c r="S685" t="n">
        <v>1</v>
      </c>
      <c r="T685" t="n">
        <v>1</v>
      </c>
      <c r="U685" t="n">
        <v>0</v>
      </c>
      <c r="V685" s="2" t="inlineStr">
        <is>
          <t>Orre</t>
        </is>
      </c>
      <c r="W685">
        <f>HYPERLINK("https://klasma.github.io/Logging_0360/artfynd/A 37970-2026 artfynd.xlsx", "A 37970-2026")</f>
        <v/>
      </c>
      <c r="X685">
        <f>HYPERLINK("https://klasma.github.io/Logging_0360/kartor/A 37970-2026 karta.png", "A 37970-2026")</f>
        <v/>
      </c>
      <c r="Y685">
        <f>HYPERLINK("https://klasma.github.io/Logging_0360/kartor_geotiff/A 37970-2026 georefererad karta.tif", "A 37970-2026")</f>
        <v/>
      </c>
      <c r="AA685">
        <f>HYPERLINK("https://klasma.github.io/Logging_0360/klagomål/A 37970-2026 FSC-klagomål.docx", "A 37970-2026")</f>
        <v/>
      </c>
      <c r="AB685">
        <f>HYPERLINK("https://klasma.github.io/Logging_0360/klagomålsmail/A 37970-2026 FSC-klagomål mail.docx", "A 37970-2026")</f>
        <v/>
      </c>
      <c r="AC685">
        <f>HYPERLINK("https://klasma.github.io/Logging_0360/tillsyn/A 37970-2026 tillsynsbegäran.docx", "A 37970-2026")</f>
        <v/>
      </c>
      <c r="AD685">
        <f>HYPERLINK("https://klasma.github.io/Logging_0360/tillsynsmail/A 37970-2026 tillsynsbegäran mail.docx", "A 37970-2026")</f>
        <v/>
      </c>
      <c r="AE685">
        <f>HYPERLINK("https://klasma.github.io/Logging_0360/fåglar/A 37970-2026 prioriterade fågelarter.docx", "A 37970-2026")</f>
        <v/>
      </c>
    </row>
    <row r="686" ht="15" customHeight="1">
      <c r="A686" t="inlineStr">
        <is>
          <t>A 32152-2026</t>
        </is>
      </c>
      <c r="B686" t="inlineStr">
        <is>
          <t>avverkningsanmälan</t>
        </is>
      </c>
      <c r="C686" t="inlineStr">
        <is>
          <t>Föryngringsavverkning</t>
        </is>
      </c>
      <c r="D686" s="1" t="n">
        <v>46235</v>
      </c>
      <c r="E686" s="1" t="n">
        <v>46309</v>
      </c>
      <c r="F686" t="inlineStr">
        <is>
          <t>UPPSALA LÄN</t>
        </is>
      </c>
      <c r="G686" t="inlineStr">
        <is>
          <t>ÖSTHAMMAR</t>
        </is>
      </c>
      <c r="H686" t="inlineStr">
        <is>
          <t>Bergvik skog öst AB</t>
        </is>
      </c>
      <c r="I686" t="n">
        <v>5.2</v>
      </c>
      <c r="J686" t="n">
        <v>0</v>
      </c>
      <c r="K686" t="n">
        <v>1</v>
      </c>
      <c r="L686" t="n">
        <v>0</v>
      </c>
      <c r="M686" t="n">
        <v>0</v>
      </c>
      <c r="N686" t="n">
        <v>0</v>
      </c>
      <c r="O686" t="n">
        <v>0</v>
      </c>
      <c r="P686" t="n">
        <v>0</v>
      </c>
      <c r="Q686" t="n">
        <v>0</v>
      </c>
      <c r="R686" t="n">
        <v>0</v>
      </c>
      <c r="S686" t="n">
        <v>1</v>
      </c>
      <c r="T686" t="n">
        <v>1</v>
      </c>
      <c r="U686" t="n">
        <v>0</v>
      </c>
      <c r="V686" s="2" t="inlineStr">
        <is>
          <t>Trädporella</t>
        </is>
      </c>
      <c r="W686">
        <f>HYPERLINK("https://klasma.github.io/Logging_0382/artfynd/A 32152-2026 artfynd.xlsx", "A 32152-2026")</f>
        <v/>
      </c>
      <c r="X686">
        <f>HYPERLINK("https://klasma.github.io/Logging_0382/kartor/A 32152-2026 karta.png", "A 32152-2026")</f>
        <v/>
      </c>
      <c r="Y686">
        <f>HYPERLINK("https://klasma.github.io/Logging_0382/kartor_geotiff/A 32152-2026 georefererad karta.tif", "A 32152-2026")</f>
        <v/>
      </c>
      <c r="AA686">
        <f>HYPERLINK("https://klasma.github.io/Logging_0382/klagomål/A 32152-2026 FSC-klagomål.docx", "A 32152-2026")</f>
        <v/>
      </c>
      <c r="AB686">
        <f>HYPERLINK("https://klasma.github.io/Logging_0382/klagomålsmail/A 32152-2026 FSC-klagomål mail.docx", "A 32152-2026")</f>
        <v/>
      </c>
      <c r="AC686">
        <f>HYPERLINK("https://klasma.github.io/Logging_0382/tillsyn/A 32152-2026 tillsynsbegäran.docx", "A 32152-2026")</f>
        <v/>
      </c>
      <c r="AD686">
        <f>HYPERLINK("https://klasma.github.io/Logging_0382/tillsynsmail/A 32152-2026 tillsynsbegäran mail.docx", "A 32152-2026")</f>
        <v/>
      </c>
    </row>
    <row r="687" ht="15" customHeight="1">
      <c r="A687" t="inlineStr">
        <is>
          <t>A 37779-2026</t>
        </is>
      </c>
      <c r="B687" t="inlineStr">
        <is>
          <t>avverkningsanmälan</t>
        </is>
      </c>
      <c r="C687" t="inlineStr">
        <is>
          <t>Föryngringsavverkning</t>
        </is>
      </c>
      <c r="D687" s="1" t="n">
        <v>46279</v>
      </c>
      <c r="E687" s="1" t="n">
        <v>46309</v>
      </c>
      <c r="F687" t="inlineStr">
        <is>
          <t>UPPSALA LÄN</t>
        </is>
      </c>
      <c r="G687" t="inlineStr">
        <is>
          <t>ENKÖPING</t>
        </is>
      </c>
      <c r="I687" t="n">
        <v>1.3</v>
      </c>
      <c r="J687" t="n">
        <v>0</v>
      </c>
      <c r="K687" t="n">
        <v>1</v>
      </c>
      <c r="L687" t="n">
        <v>0</v>
      </c>
      <c r="M687" t="n">
        <v>0</v>
      </c>
      <c r="N687" t="n">
        <v>0</v>
      </c>
      <c r="O687" t="n">
        <v>0</v>
      </c>
      <c r="P687" t="n">
        <v>0</v>
      </c>
      <c r="Q687" t="n">
        <v>0</v>
      </c>
      <c r="R687" t="n">
        <v>0</v>
      </c>
      <c r="S687" t="n">
        <v>1</v>
      </c>
      <c r="T687" t="n">
        <v>1</v>
      </c>
      <c r="U687" t="n">
        <v>0</v>
      </c>
      <c r="V687" s="2" t="inlineStr">
        <is>
          <t>Svart trolldruva</t>
        </is>
      </c>
      <c r="W687">
        <f>HYPERLINK("https://klasma.github.io/Logging_0381/artfynd/A 37779-2026 artfynd.xlsx", "A 37779-2026")</f>
        <v/>
      </c>
      <c r="X687">
        <f>HYPERLINK("https://klasma.github.io/Logging_0381/kartor/A 37779-2026 karta.png", "A 37779-2026")</f>
        <v/>
      </c>
      <c r="Y687">
        <f>HYPERLINK("https://klasma.github.io/Logging_0381/kartor_geotiff/A 37779-2026 georefererad karta.tif", "A 37779-2026")</f>
        <v/>
      </c>
      <c r="AA687">
        <f>HYPERLINK("https://klasma.github.io/Logging_0381/klagomål/A 37779-2026 FSC-klagomål.docx", "A 37779-2026")</f>
        <v/>
      </c>
      <c r="AB687">
        <f>HYPERLINK("https://klasma.github.io/Logging_0381/klagomålsmail/A 37779-2026 FSC-klagomål mail.docx", "A 37779-2026")</f>
        <v/>
      </c>
      <c r="AC687">
        <f>HYPERLINK("https://klasma.github.io/Logging_0381/tillsyn/A 37779-2026 tillsynsbegäran.docx", "A 37779-2026")</f>
        <v/>
      </c>
      <c r="AD687">
        <f>HYPERLINK("https://klasma.github.io/Logging_0381/tillsynsmail/A 37779-2026 tillsynsbegäran mail.docx", "A 37779-2026")</f>
        <v/>
      </c>
    </row>
    <row r="688" ht="15" customHeight="1">
      <c r="A688" t="inlineStr">
        <is>
          <t>A 32103-2026</t>
        </is>
      </c>
      <c r="B688" t="inlineStr">
        <is>
          <t>avverkningsanmälan</t>
        </is>
      </c>
      <c r="C688" t="inlineStr">
        <is>
          <t>Föryngringsavverkning</t>
        </is>
      </c>
      <c r="D688" s="1" t="n">
        <v>46234</v>
      </c>
      <c r="E688" s="1" t="n">
        <v>46309</v>
      </c>
      <c r="F688" t="inlineStr">
        <is>
          <t>UPPSALA LÄN</t>
        </is>
      </c>
      <c r="G688" t="inlineStr">
        <is>
          <t>UPPSALA</t>
        </is>
      </c>
      <c r="I688" t="n">
        <v>10.7</v>
      </c>
      <c r="J688" t="n">
        <v>1</v>
      </c>
      <c r="K688" t="n">
        <v>0</v>
      </c>
      <c r="L688" t="n">
        <v>1</v>
      </c>
      <c r="M688" t="n">
        <v>0</v>
      </c>
      <c r="N688" t="n">
        <v>0</v>
      </c>
      <c r="O688" t="n">
        <v>0</v>
      </c>
      <c r="P688" t="n">
        <v>0</v>
      </c>
      <c r="Q688" t="n">
        <v>1</v>
      </c>
      <c r="R688" t="n">
        <v>0</v>
      </c>
      <c r="S688" t="n">
        <v>1</v>
      </c>
      <c r="T688" t="n">
        <v>1</v>
      </c>
      <c r="U688" t="n">
        <v>1</v>
      </c>
      <c r="V688" s="2" t="inlineStr">
        <is>
          <t>Nötkråka</t>
        </is>
      </c>
      <c r="W688">
        <f>HYPERLINK("https://klasma.github.io/Logging_0380/artfynd/A 32103-2026 artfynd.xlsx", "A 32103-2026")</f>
        <v/>
      </c>
      <c r="X688">
        <f>HYPERLINK("https://klasma.github.io/Logging_0380/kartor/A 32103-2026 karta.png", "A 32103-2026")</f>
        <v/>
      </c>
      <c r="Y688">
        <f>HYPERLINK("https://klasma.github.io/Logging_0380/kartor_geotiff/A 32103-2026 georefererad karta.tif", "A 32103-2026")</f>
        <v/>
      </c>
      <c r="AA688">
        <f>HYPERLINK("https://klasma.github.io/Logging_0380/klagomål/A 32103-2026 FSC-klagomål.docx", "A 32103-2026")</f>
        <v/>
      </c>
      <c r="AB688">
        <f>HYPERLINK("https://klasma.github.io/Logging_0380/klagomålsmail/A 32103-2026 FSC-klagomål mail.docx", "A 32103-2026")</f>
        <v/>
      </c>
      <c r="AC688">
        <f>HYPERLINK("https://klasma.github.io/Logging_0380/tillsyn/A 32103-2026 tillsynsbegäran.docx", "A 32103-2026")</f>
        <v/>
      </c>
      <c r="AD688">
        <f>HYPERLINK("https://klasma.github.io/Logging_0380/tillsynsmail/A 32103-2026 tillsynsbegäran mail.docx", "A 32103-2026")</f>
        <v/>
      </c>
      <c r="AE688">
        <f>HYPERLINK("https://klasma.github.io/Logging_0380/fåglar/A 32103-2026 prioriterade fågelarter.docx", "A 32103-2026")</f>
        <v/>
      </c>
    </row>
    <row r="689" ht="15" customHeight="1">
      <c r="A689" t="inlineStr">
        <is>
          <t>A 14706-2023</t>
        </is>
      </c>
      <c r="B689" t="inlineStr">
        <is>
          <t>avverkningsanmälan</t>
        </is>
      </c>
      <c r="C689" t="inlineStr">
        <is>
          <t>Föryngringsavverkning</t>
        </is>
      </c>
      <c r="D689" s="1" t="n">
        <v>45013</v>
      </c>
      <c r="E689" s="1" t="n">
        <v>46309</v>
      </c>
      <c r="F689" t="inlineStr">
        <is>
          <t>UPPSALA LÄN</t>
        </is>
      </c>
      <c r="G689" t="inlineStr">
        <is>
          <t>ÖSTHAMMAR</t>
        </is>
      </c>
      <c r="I689" t="n">
        <v>0.9</v>
      </c>
      <c r="J689" t="n">
        <v>0</v>
      </c>
      <c r="K689" t="n">
        <v>1</v>
      </c>
      <c r="L689" t="n">
        <v>0</v>
      </c>
      <c r="M689" t="n">
        <v>0</v>
      </c>
      <c r="N689" t="n">
        <v>0</v>
      </c>
      <c r="O689" t="n">
        <v>0</v>
      </c>
      <c r="P689" t="n">
        <v>0</v>
      </c>
      <c r="Q689" t="n">
        <v>0</v>
      </c>
      <c r="R689" t="n">
        <v>0</v>
      </c>
      <c r="S689" t="n">
        <v>1</v>
      </c>
      <c r="T689" t="n">
        <v>1</v>
      </c>
      <c r="U689" t="n">
        <v>0</v>
      </c>
      <c r="V689" s="2" t="inlineStr">
        <is>
          <t>Olivspindling</t>
        </is>
      </c>
      <c r="W689">
        <f>HYPERLINK("https://klasma.github.io/Logging_0382/artfynd/A 14706-2023 artfynd.xlsx", "A 14706-2023")</f>
        <v/>
      </c>
      <c r="X689">
        <f>HYPERLINK("https://klasma.github.io/Logging_0382/kartor/A 14706-2023 karta.png", "A 14706-2023")</f>
        <v/>
      </c>
      <c r="Y689">
        <f>HYPERLINK("https://klasma.github.io/Logging_0382/kartor_geotiff/A 14706-2023 georefererad karta.tif", "A 14706-2023")</f>
        <v/>
      </c>
      <c r="AA689">
        <f>HYPERLINK("https://klasma.github.io/Logging_0382/klagomål/A 14706-2023 FSC-klagomål.docx", "A 14706-2023")</f>
        <v/>
      </c>
      <c r="AB689">
        <f>HYPERLINK("https://klasma.github.io/Logging_0382/klagomålsmail/A 14706-2023 FSC-klagomål mail.docx", "A 14706-2023")</f>
        <v/>
      </c>
      <c r="AC689">
        <f>HYPERLINK("https://klasma.github.io/Logging_0382/tillsyn/A 14706-2023 tillsynsbegäran.docx", "A 14706-2023")</f>
        <v/>
      </c>
      <c r="AD689">
        <f>HYPERLINK("https://klasma.github.io/Logging_0382/tillsynsmail/A 14706-2023 tillsynsbegäran mail.docx", "A 14706-2023")</f>
        <v/>
      </c>
    </row>
    <row r="690" ht="15" customHeight="1">
      <c r="A690" t="inlineStr">
        <is>
          <t>A 6046-2025</t>
        </is>
      </c>
      <c r="B690" t="inlineStr">
        <is>
          <t>avverkningsanmälan</t>
        </is>
      </c>
      <c r="C690" t="inlineStr">
        <is>
          <t>Föryngringsavverkning</t>
        </is>
      </c>
      <c r="D690" s="1" t="n">
        <v>45695</v>
      </c>
      <c r="E690" s="1" t="n">
        <v>46309</v>
      </c>
      <c r="F690" t="inlineStr">
        <is>
          <t>UPPSALA LÄN</t>
        </is>
      </c>
      <c r="G690" t="inlineStr">
        <is>
          <t>ÖSTHAMMAR</t>
        </is>
      </c>
      <c r="I690" t="n">
        <v>0.8</v>
      </c>
      <c r="J690" t="n">
        <v>1</v>
      </c>
      <c r="K690" t="n">
        <v>0</v>
      </c>
      <c r="L690" t="n">
        <v>0</v>
      </c>
      <c r="M690" t="n">
        <v>1</v>
      </c>
      <c r="N690" t="n">
        <v>0</v>
      </c>
      <c r="O690" t="n">
        <v>0</v>
      </c>
      <c r="P690" t="n">
        <v>0</v>
      </c>
      <c r="Q690" t="n">
        <v>1</v>
      </c>
      <c r="R690" t="n">
        <v>1</v>
      </c>
      <c r="S690" t="n">
        <v>1</v>
      </c>
      <c r="T690" t="n">
        <v>2</v>
      </c>
      <c r="U690" t="n">
        <v>0</v>
      </c>
      <c r="V690" s="2" t="inlineStr">
        <is>
          <t>Knärot</t>
        </is>
      </c>
      <c r="W690">
        <f>HYPERLINK("https://klasma.github.io/Logging_0382/artfynd/A 6046-2025 artfynd.xlsx", "A 6046-2025")</f>
        <v/>
      </c>
      <c r="X690">
        <f>HYPERLINK("https://klasma.github.io/Logging_0382/kartor/A 6046-2025 karta.png", "A 6046-2025")</f>
        <v/>
      </c>
      <c r="Y690">
        <f>HYPERLINK("https://klasma.github.io/Logging_0382/kartor_geotiff/A 6046-2025 georefererad karta.tif", "A 6046-2025")</f>
        <v/>
      </c>
      <c r="Z690">
        <f>HYPERLINK("https://klasma.github.io/Logging_0382/knärot/A 6046-2025 karta knärot.png", "A 6046-2025")</f>
        <v/>
      </c>
      <c r="AA690">
        <f>HYPERLINK("https://klasma.github.io/Logging_0382/klagomål/A 6046-2025 FSC-klagomål.docx", "A 6046-2025")</f>
        <v/>
      </c>
      <c r="AB690">
        <f>HYPERLINK("https://klasma.github.io/Logging_0382/klagomålsmail/A 6046-2025 FSC-klagomål mail.docx", "A 6046-2025")</f>
        <v/>
      </c>
      <c r="AC690">
        <f>HYPERLINK("https://klasma.github.io/Logging_0382/tillsyn/A 6046-2025 tillsynsbegäran.docx", "A 6046-2025")</f>
        <v/>
      </c>
      <c r="AD690">
        <f>HYPERLINK("https://klasma.github.io/Logging_0382/tillsynsmail/A 6046-2025 tillsynsbegäran mail.docx", "A 6046-2025")</f>
        <v/>
      </c>
    </row>
    <row r="691" ht="15" customHeight="1">
      <c r="A691" t="inlineStr">
        <is>
          <t>A 39838-2026</t>
        </is>
      </c>
      <c r="B691" t="inlineStr">
        <is>
          <t>avverkningsanmälan</t>
        </is>
      </c>
      <c r="C691" t="inlineStr">
        <is>
          <t>Föryngringsavverkning</t>
        </is>
      </c>
      <c r="D691" s="1" t="n">
        <v>46290</v>
      </c>
      <c r="E691" s="1" t="n">
        <v>46309</v>
      </c>
      <c r="F691" t="inlineStr">
        <is>
          <t>UPPSALA LÄN</t>
        </is>
      </c>
      <c r="G691" t="inlineStr">
        <is>
          <t>ÖSTHAMMAR</t>
        </is>
      </c>
      <c r="I691" t="n">
        <v>3.6</v>
      </c>
      <c r="J691" t="n">
        <v>1</v>
      </c>
      <c r="K691" t="n">
        <v>1</v>
      </c>
      <c r="L691" t="n">
        <v>0</v>
      </c>
      <c r="M691" t="n">
        <v>0</v>
      </c>
      <c r="N691" t="n">
        <v>0</v>
      </c>
      <c r="O691" t="n">
        <v>0</v>
      </c>
      <c r="P691" t="n">
        <v>0</v>
      </c>
      <c r="Q691" t="n">
        <v>0</v>
      </c>
      <c r="R691" t="n">
        <v>0</v>
      </c>
      <c r="S691" t="n">
        <v>1</v>
      </c>
      <c r="T691" t="n">
        <v>1</v>
      </c>
      <c r="U691" t="n">
        <v>0</v>
      </c>
      <c r="V691" s="2" t="inlineStr">
        <is>
          <t>Guckusko</t>
        </is>
      </c>
      <c r="W691">
        <f>HYPERLINK("https://klasma.github.io/Logging_0382/artfynd/A 39838-2026 artfynd.xlsx", "A 39838-2026")</f>
        <v/>
      </c>
      <c r="X691">
        <f>HYPERLINK("https://klasma.github.io/Logging_0382/kartor/A 39838-2026 karta.png", "A 39838-2026")</f>
        <v/>
      </c>
      <c r="Y691">
        <f>HYPERLINK("https://klasma.github.io/Logging_0382/kartor_geotiff/A 39838-2026 georefererad karta.tif", "A 39838-2026")</f>
        <v/>
      </c>
      <c r="AA691">
        <f>HYPERLINK("https://klasma.github.io/Logging_0382/klagomål/A 39838-2026 FSC-klagomål.docx", "A 39838-2026")</f>
        <v/>
      </c>
      <c r="AB691">
        <f>HYPERLINK("https://klasma.github.io/Logging_0382/klagomålsmail/A 39838-2026 FSC-klagomål mail.docx", "A 39838-2026")</f>
        <v/>
      </c>
      <c r="AC691">
        <f>HYPERLINK("https://klasma.github.io/Logging_0382/tillsyn/A 39838-2026 tillsynsbegäran.docx", "A 39838-2026")</f>
        <v/>
      </c>
      <c r="AD691">
        <f>HYPERLINK("https://klasma.github.io/Logging_0382/tillsynsmail/A 39838-2026 tillsynsbegäran mail.docx", "A 39838-2026")</f>
        <v/>
      </c>
    </row>
    <row r="692" ht="15" customHeight="1">
      <c r="A692" t="inlineStr">
        <is>
          <t>A 58270-2023</t>
        </is>
      </c>
      <c r="B692" t="inlineStr">
        <is>
          <t>avverkningsanmälan</t>
        </is>
      </c>
      <c r="C692" t="inlineStr">
        <is>
          <t>Föryngringsavverkning</t>
        </is>
      </c>
      <c r="D692" s="1" t="n">
        <v>45250</v>
      </c>
      <c r="E692" s="1" t="n">
        <v>46309</v>
      </c>
      <c r="F692" t="inlineStr">
        <is>
          <t>UPPSALA LÄN</t>
        </is>
      </c>
      <c r="G692" t="inlineStr">
        <is>
          <t>ÖSTHAMMAR</t>
        </is>
      </c>
      <c r="I692" t="n">
        <v>1.3</v>
      </c>
      <c r="J692" t="n">
        <v>1</v>
      </c>
      <c r="K692" t="n">
        <v>0</v>
      </c>
      <c r="L692" t="n">
        <v>0</v>
      </c>
      <c r="M692" t="n">
        <v>0</v>
      </c>
      <c r="N692" t="n">
        <v>0</v>
      </c>
      <c r="O692" t="n">
        <v>0</v>
      </c>
      <c r="P692" t="n">
        <v>0</v>
      </c>
      <c r="Q692" t="n">
        <v>0</v>
      </c>
      <c r="R692" t="n">
        <v>0</v>
      </c>
      <c r="S692" t="n">
        <v>1</v>
      </c>
      <c r="T692" t="n">
        <v>1</v>
      </c>
      <c r="U692" t="n">
        <v>0</v>
      </c>
      <c r="V692" s="2" t="inlineStr">
        <is>
          <t>Gullviva</t>
        </is>
      </c>
      <c r="W692">
        <f>HYPERLINK("https://klasma.github.io/Logging_0382/artfynd/A 58270-2023 artfynd.xlsx", "A 58270-2023")</f>
        <v/>
      </c>
      <c r="X692">
        <f>HYPERLINK("https://klasma.github.io/Logging_0382/kartor/A 58270-2023 karta.png", "A 58270-2023")</f>
        <v/>
      </c>
      <c r="Y692">
        <f>HYPERLINK("https://klasma.github.io/Logging_0382/kartor_geotiff/A 58270-2023 georefererad karta.tif", "A 58270-2023")</f>
        <v/>
      </c>
      <c r="AA692">
        <f>HYPERLINK("https://klasma.github.io/Logging_0382/klagomål/A 58270-2023 FSC-klagomål.docx", "A 58270-2023")</f>
        <v/>
      </c>
      <c r="AB692">
        <f>HYPERLINK("https://klasma.github.io/Logging_0382/klagomålsmail/A 58270-2023 FSC-klagomål mail.docx", "A 58270-2023")</f>
        <v/>
      </c>
      <c r="AC692">
        <f>HYPERLINK("https://klasma.github.io/Logging_0382/tillsyn/A 58270-2023 tillsynsbegäran.docx", "A 58270-2023")</f>
        <v/>
      </c>
      <c r="AD692">
        <f>HYPERLINK("https://klasma.github.io/Logging_0382/tillsynsmail/A 58270-2023 tillsynsbegäran mail.docx", "A 58270-2023")</f>
        <v/>
      </c>
    </row>
    <row r="693" ht="15" customHeight="1">
      <c r="A693" t="inlineStr">
        <is>
          <t>A 14860-2022</t>
        </is>
      </c>
      <c r="B693" t="inlineStr">
        <is>
          <t>avverkningsanmälan</t>
        </is>
      </c>
      <c r="C693" t="inlineStr">
        <is>
          <t>Föryngringsavverkning</t>
        </is>
      </c>
      <c r="D693" s="1" t="n">
        <v>44656</v>
      </c>
      <c r="E693" s="1" t="n">
        <v>46309</v>
      </c>
      <c r="F693" t="inlineStr">
        <is>
          <t>UPPSALA LÄN</t>
        </is>
      </c>
      <c r="G693" t="inlineStr">
        <is>
          <t>TIERP</t>
        </is>
      </c>
      <c r="H693" t="inlineStr">
        <is>
          <t>Bergvik skog öst AB</t>
        </is>
      </c>
      <c r="I693" t="n">
        <v>1.4</v>
      </c>
      <c r="J693" t="n">
        <v>1</v>
      </c>
      <c r="K693" t="n">
        <v>0</v>
      </c>
      <c r="L693" t="n">
        <v>0</v>
      </c>
      <c r="M693" t="n">
        <v>0</v>
      </c>
      <c r="N693" t="n">
        <v>0</v>
      </c>
      <c r="O693" t="n">
        <v>0</v>
      </c>
      <c r="P693" t="n">
        <v>0</v>
      </c>
      <c r="Q693" t="n">
        <v>0</v>
      </c>
      <c r="R693" t="n">
        <v>0</v>
      </c>
      <c r="S693" t="n">
        <v>1</v>
      </c>
      <c r="T693" t="n">
        <v>1</v>
      </c>
      <c r="U693" t="n">
        <v>1</v>
      </c>
      <c r="V693" s="2" t="inlineStr">
        <is>
          <t>Kungsfågel</t>
        </is>
      </c>
      <c r="W693">
        <f>HYPERLINK("https://klasma.github.io/Logging_0360/artfynd/A 14860-2022 artfynd.xlsx", "A 14860-2022")</f>
        <v/>
      </c>
      <c r="X693">
        <f>HYPERLINK("https://klasma.github.io/Logging_0360/kartor/A 14860-2022 karta.png", "A 14860-2022")</f>
        <v/>
      </c>
      <c r="Y693">
        <f>HYPERLINK("https://klasma.github.io/Logging_0360/kartor_geotiff/A 14860-2022 georefererad karta.tif", "A 14860-2022")</f>
        <v/>
      </c>
      <c r="AA693">
        <f>HYPERLINK("https://klasma.github.io/Logging_0360/klagomål/A 14860-2022 FSC-klagomål.docx", "A 14860-2022")</f>
        <v/>
      </c>
      <c r="AB693">
        <f>HYPERLINK("https://klasma.github.io/Logging_0360/klagomålsmail/A 14860-2022 FSC-klagomål mail.docx", "A 14860-2022")</f>
        <v/>
      </c>
      <c r="AC693">
        <f>HYPERLINK("https://klasma.github.io/Logging_0360/tillsyn/A 14860-2022 tillsynsbegäran.docx", "A 14860-2022")</f>
        <v/>
      </c>
      <c r="AD693">
        <f>HYPERLINK("https://klasma.github.io/Logging_0360/tillsynsmail/A 14860-2022 tillsynsbegäran mail.docx", "A 14860-2022")</f>
        <v/>
      </c>
    </row>
    <row r="694" ht="15" customHeight="1">
      <c r="A694" t="inlineStr">
        <is>
          <t>A 20709-2026</t>
        </is>
      </c>
      <c r="B694" t="inlineStr">
        <is>
          <t>avverkningsanmälan</t>
        </is>
      </c>
      <c r="C694" t="inlineStr">
        <is>
          <t>Föryngringsavverkning</t>
        </is>
      </c>
      <c r="D694" s="1" t="n">
        <v>46141</v>
      </c>
      <c r="E694" s="1" t="n">
        <v>46309</v>
      </c>
      <c r="F694" t="inlineStr">
        <is>
          <t>UPPSALA LÄN</t>
        </is>
      </c>
      <c r="G694" t="inlineStr">
        <is>
          <t>UPPSALA</t>
        </is>
      </c>
      <c r="I694" t="n">
        <v>0.9</v>
      </c>
      <c r="J694" t="n">
        <v>1</v>
      </c>
      <c r="K694" t="n">
        <v>0</v>
      </c>
      <c r="L694" t="n">
        <v>1</v>
      </c>
      <c r="M694" t="n">
        <v>0</v>
      </c>
      <c r="N694" t="n">
        <v>0</v>
      </c>
      <c r="O694" t="n">
        <v>0</v>
      </c>
      <c r="P694" t="n">
        <v>0</v>
      </c>
      <c r="Q694" t="n">
        <v>1</v>
      </c>
      <c r="R694" t="n">
        <v>0</v>
      </c>
      <c r="S694" t="n">
        <v>1</v>
      </c>
      <c r="T694" t="n">
        <v>1</v>
      </c>
      <c r="U694" t="n">
        <v>1</v>
      </c>
      <c r="V694" s="2" t="inlineStr">
        <is>
          <t>Nordfladdermus</t>
        </is>
      </c>
      <c r="W694">
        <f>HYPERLINK("https://klasma.github.io/Logging_0380/artfynd/A 20709-2026 artfynd.xlsx", "A 20709-2026")</f>
        <v/>
      </c>
      <c r="X694">
        <f>HYPERLINK("https://klasma.github.io/Logging_0380/kartor/A 20709-2026 karta.png", "A 20709-2026")</f>
        <v/>
      </c>
      <c r="Y694">
        <f>HYPERLINK("https://klasma.github.io/Logging_0380/kartor_geotiff/A 20709-2026 georefererad karta.tif", "A 20709-2026")</f>
        <v/>
      </c>
      <c r="AA694">
        <f>HYPERLINK("https://klasma.github.io/Logging_0380/klagomål/A 20709-2026 FSC-klagomål.docx", "A 20709-2026")</f>
        <v/>
      </c>
      <c r="AB694">
        <f>HYPERLINK("https://klasma.github.io/Logging_0380/klagomålsmail/A 20709-2026 FSC-klagomål mail.docx", "A 20709-2026")</f>
        <v/>
      </c>
      <c r="AC694">
        <f>HYPERLINK("https://klasma.github.io/Logging_0380/tillsyn/A 20709-2026 tillsynsbegäran.docx", "A 20709-2026")</f>
        <v/>
      </c>
      <c r="AD694">
        <f>HYPERLINK("https://klasma.github.io/Logging_0380/tillsynsmail/A 20709-2026 tillsynsbegäran mail.docx", "A 20709-2026")</f>
        <v/>
      </c>
    </row>
    <row r="695" ht="15" customHeight="1">
      <c r="A695" t="inlineStr">
        <is>
          <t>A 20757-2026</t>
        </is>
      </c>
      <c r="B695" t="inlineStr">
        <is>
          <t>avverkningsanmälan</t>
        </is>
      </c>
      <c r="C695" t="inlineStr">
        <is>
          <t>Föryngringsavverkning</t>
        </is>
      </c>
      <c r="D695" s="1" t="n">
        <v>46141</v>
      </c>
      <c r="E695" s="1" t="n">
        <v>46309</v>
      </c>
      <c r="F695" t="inlineStr">
        <is>
          <t>UPPSALA LÄN</t>
        </is>
      </c>
      <c r="G695" t="inlineStr">
        <is>
          <t>UPPSALA</t>
        </is>
      </c>
      <c r="I695" t="n">
        <v>2.8</v>
      </c>
      <c r="J695" t="n">
        <v>1</v>
      </c>
      <c r="K695" t="n">
        <v>0</v>
      </c>
      <c r="L695" t="n">
        <v>1</v>
      </c>
      <c r="M695" t="n">
        <v>0</v>
      </c>
      <c r="N695" t="n">
        <v>0</v>
      </c>
      <c r="O695" t="n">
        <v>0</v>
      </c>
      <c r="P695" t="n">
        <v>0</v>
      </c>
      <c r="Q695" t="n">
        <v>1</v>
      </c>
      <c r="R695" t="n">
        <v>0</v>
      </c>
      <c r="S695" t="n">
        <v>1</v>
      </c>
      <c r="T695" t="n">
        <v>1</v>
      </c>
      <c r="U695" t="n">
        <v>1</v>
      </c>
      <c r="V695" s="2" t="inlineStr">
        <is>
          <t>Nordfladdermus</t>
        </is>
      </c>
      <c r="W695">
        <f>HYPERLINK("https://klasma.github.io/Logging_0380/artfynd/A 20757-2026 artfynd.xlsx", "A 20757-2026")</f>
        <v/>
      </c>
      <c r="X695">
        <f>HYPERLINK("https://klasma.github.io/Logging_0380/kartor/A 20757-2026 karta.png", "A 20757-2026")</f>
        <v/>
      </c>
      <c r="Y695">
        <f>HYPERLINK("https://klasma.github.io/Logging_0380/kartor_geotiff/A 20757-2026 georefererad karta.tif", "A 20757-2026")</f>
        <v/>
      </c>
      <c r="AA695">
        <f>HYPERLINK("https://klasma.github.io/Logging_0380/klagomål/A 20757-2026 FSC-klagomål.docx", "A 20757-2026")</f>
        <v/>
      </c>
      <c r="AB695">
        <f>HYPERLINK("https://klasma.github.io/Logging_0380/klagomålsmail/A 20757-2026 FSC-klagomål mail.docx", "A 20757-2026")</f>
        <v/>
      </c>
      <c r="AC695">
        <f>HYPERLINK("https://klasma.github.io/Logging_0380/tillsyn/A 20757-2026 tillsynsbegäran.docx", "A 20757-2026")</f>
        <v/>
      </c>
      <c r="AD695">
        <f>HYPERLINK("https://klasma.github.io/Logging_0380/tillsynsmail/A 20757-2026 tillsynsbegäran mail.docx", "A 20757-2026")</f>
        <v/>
      </c>
    </row>
    <row r="696" ht="15" customHeight="1">
      <c r="A696" t="inlineStr">
        <is>
          <t>A 24033-2023</t>
        </is>
      </c>
      <c r="B696" t="inlineStr">
        <is>
          <t>avverkningsanmälan</t>
        </is>
      </c>
      <c r="C696" t="inlineStr">
        <is>
          <t>Föryngringsavverkning</t>
        </is>
      </c>
      <c r="D696" s="1" t="n">
        <v>45078</v>
      </c>
      <c r="E696" s="1" t="n">
        <v>46309</v>
      </c>
      <c r="F696" t="inlineStr">
        <is>
          <t>UPPSALA LÄN</t>
        </is>
      </c>
      <c r="G696" t="inlineStr">
        <is>
          <t>ÖSTHAMMAR</t>
        </is>
      </c>
      <c r="H696" t="inlineStr">
        <is>
          <t>Bergvik skog öst AB</t>
        </is>
      </c>
      <c r="I696" t="n">
        <v>0.7</v>
      </c>
      <c r="J696" t="n">
        <v>1</v>
      </c>
      <c r="K696" t="n">
        <v>0</v>
      </c>
      <c r="L696" t="n">
        <v>0</v>
      </c>
      <c r="M696" t="n">
        <v>0</v>
      </c>
      <c r="N696" t="n">
        <v>0</v>
      </c>
      <c r="O696" t="n">
        <v>0</v>
      </c>
      <c r="P696" t="n">
        <v>0</v>
      </c>
      <c r="Q696" t="n">
        <v>0</v>
      </c>
      <c r="R696" t="n">
        <v>0</v>
      </c>
      <c r="S696" t="n">
        <v>1</v>
      </c>
      <c r="T696" t="n">
        <v>1</v>
      </c>
      <c r="U696" t="n">
        <v>0</v>
      </c>
      <c r="V696" s="2" t="inlineStr">
        <is>
          <t>Vattenfladdermus</t>
        </is>
      </c>
      <c r="W696">
        <f>HYPERLINK("https://klasma.github.io/Logging_0382/artfynd/A 24033-2023 artfynd.xlsx", "A 24033-2023")</f>
        <v/>
      </c>
      <c r="X696">
        <f>HYPERLINK("https://klasma.github.io/Logging_0382/kartor/A 24033-2023 karta.png", "A 24033-2023")</f>
        <v/>
      </c>
      <c r="Y696">
        <f>HYPERLINK("https://klasma.github.io/Logging_0382/kartor_geotiff/A 24033-2023 georefererad karta.tif", "A 24033-2023")</f>
        <v/>
      </c>
      <c r="AA696">
        <f>HYPERLINK("https://klasma.github.io/Logging_0382/klagomål/A 24033-2023 FSC-klagomål.docx", "A 24033-2023")</f>
        <v/>
      </c>
      <c r="AB696">
        <f>HYPERLINK("https://klasma.github.io/Logging_0382/klagomålsmail/A 24033-2023 FSC-klagomål mail.docx", "A 24033-2023")</f>
        <v/>
      </c>
      <c r="AC696">
        <f>HYPERLINK("https://klasma.github.io/Logging_0382/tillsyn/A 24033-2023 tillsynsbegäran.docx", "A 24033-2023")</f>
        <v/>
      </c>
      <c r="AD696">
        <f>HYPERLINK("https://klasma.github.io/Logging_0382/tillsynsmail/A 24033-2023 tillsynsbegäran mail.docx", "A 24033-2023")</f>
        <v/>
      </c>
    </row>
    <row r="697" ht="15" customHeight="1">
      <c r="A697" t="inlineStr">
        <is>
          <t>A 13093-2024</t>
        </is>
      </c>
      <c r="B697" t="inlineStr">
        <is>
          <t>avverkningsanmälan</t>
        </is>
      </c>
      <c r="C697" t="inlineStr">
        <is>
          <t>Föryngringsavverkning</t>
        </is>
      </c>
      <c r="D697" s="1" t="n">
        <v>45385</v>
      </c>
      <c r="E697" s="1" t="n">
        <v>46309</v>
      </c>
      <c r="F697" t="inlineStr">
        <is>
          <t>UPPSALA LÄN</t>
        </is>
      </c>
      <c r="G697" t="inlineStr">
        <is>
          <t>UPPSALA</t>
        </is>
      </c>
      <c r="I697" t="n">
        <v>1.1</v>
      </c>
      <c r="J697" t="n">
        <v>1</v>
      </c>
      <c r="K697" t="n">
        <v>1</v>
      </c>
      <c r="L697" t="n">
        <v>0</v>
      </c>
      <c r="M697" t="n">
        <v>0</v>
      </c>
      <c r="N697" t="n">
        <v>0</v>
      </c>
      <c r="O697" t="n">
        <v>0</v>
      </c>
      <c r="P697" t="n">
        <v>0</v>
      </c>
      <c r="Q697" t="n">
        <v>0</v>
      </c>
      <c r="R697" t="n">
        <v>0</v>
      </c>
      <c r="S697" t="n">
        <v>1</v>
      </c>
      <c r="T697" t="n">
        <v>1</v>
      </c>
      <c r="U697" t="n">
        <v>0</v>
      </c>
      <c r="V697" s="2" t="inlineStr">
        <is>
          <t>Skogsknipprot</t>
        </is>
      </c>
      <c r="W697">
        <f>HYPERLINK("https://klasma.github.io/Logging_0380/artfynd/A 13093-2024 artfynd.xlsx", "A 13093-2024")</f>
        <v/>
      </c>
      <c r="X697">
        <f>HYPERLINK("https://klasma.github.io/Logging_0380/kartor/A 13093-2024 karta.png", "A 13093-2024")</f>
        <v/>
      </c>
      <c r="Y697">
        <f>HYPERLINK("https://klasma.github.io/Logging_0380/kartor_geotiff/A 13093-2024 georefererad karta.tif", "A 13093-2024")</f>
        <v/>
      </c>
      <c r="AA697">
        <f>HYPERLINK("https://klasma.github.io/Logging_0380/klagomål/A 13093-2024 FSC-klagomål.docx", "A 13093-2024")</f>
        <v/>
      </c>
      <c r="AB697">
        <f>HYPERLINK("https://klasma.github.io/Logging_0380/klagomålsmail/A 13093-2024 FSC-klagomål mail.docx", "A 13093-2024")</f>
        <v/>
      </c>
      <c r="AC697">
        <f>HYPERLINK("https://klasma.github.io/Logging_0380/tillsyn/A 13093-2024 tillsynsbegäran.docx", "A 13093-2024")</f>
        <v/>
      </c>
      <c r="AD697">
        <f>HYPERLINK("https://klasma.github.io/Logging_0380/tillsynsmail/A 13093-2024 tillsynsbegäran mail.docx", "A 13093-2024")</f>
        <v/>
      </c>
    </row>
    <row r="698" ht="15" customHeight="1">
      <c r="A698" t="inlineStr">
        <is>
          <t>A 12262-2023</t>
        </is>
      </c>
      <c r="B698" t="inlineStr">
        <is>
          <t>avverkningsanmälan</t>
        </is>
      </c>
      <c r="C698" t="inlineStr">
        <is>
          <t>Föryngringsavverkning</t>
        </is>
      </c>
      <c r="D698" s="1" t="n">
        <v>44998</v>
      </c>
      <c r="E698" s="1" t="n">
        <v>46309</v>
      </c>
      <c r="F698" t="inlineStr">
        <is>
          <t>UPPSALA LÄN</t>
        </is>
      </c>
      <c r="G698" t="inlineStr">
        <is>
          <t>ÖSTHAMMAR</t>
        </is>
      </c>
      <c r="I698" t="n">
        <v>4.1</v>
      </c>
      <c r="J698" t="n">
        <v>0</v>
      </c>
      <c r="K698" t="n">
        <v>0</v>
      </c>
      <c r="L698" t="n">
        <v>1</v>
      </c>
      <c r="M698" t="n">
        <v>0</v>
      </c>
      <c r="N698" t="n">
        <v>0</v>
      </c>
      <c r="O698" t="n">
        <v>0</v>
      </c>
      <c r="P698" t="n">
        <v>0</v>
      </c>
      <c r="Q698" t="n">
        <v>1</v>
      </c>
      <c r="R698" t="n">
        <v>0</v>
      </c>
      <c r="S698" t="n">
        <v>1</v>
      </c>
      <c r="T698" t="n">
        <v>1</v>
      </c>
      <c r="U698" t="n">
        <v>1</v>
      </c>
      <c r="V698" s="2" t="inlineStr">
        <is>
          <t>Vårärt</t>
        </is>
      </c>
      <c r="W698">
        <f>HYPERLINK("https://klasma.github.io/Logging_0382/artfynd/A 12262-2023 artfynd.xlsx", "A 12262-2023")</f>
        <v/>
      </c>
      <c r="X698">
        <f>HYPERLINK("https://klasma.github.io/Logging_0382/kartor/A 12262-2023 karta.png", "A 12262-2023")</f>
        <v/>
      </c>
      <c r="Y698">
        <f>HYPERLINK("https://klasma.github.io/Logging_0382/kartor_geotiff/A 12262-2023 georefererad karta.tif", "A 12262-2023")</f>
        <v/>
      </c>
      <c r="AA698">
        <f>HYPERLINK("https://klasma.github.io/Logging_0382/klagomål/A 12262-2023 FSC-klagomål.docx", "A 12262-2023")</f>
        <v/>
      </c>
      <c r="AB698">
        <f>HYPERLINK("https://klasma.github.io/Logging_0382/klagomålsmail/A 12262-2023 FSC-klagomål mail.docx", "A 12262-2023")</f>
        <v/>
      </c>
      <c r="AC698">
        <f>HYPERLINK("https://klasma.github.io/Logging_0382/tillsyn/A 12262-2023 tillsynsbegäran.docx", "A 12262-2023")</f>
        <v/>
      </c>
      <c r="AD698">
        <f>HYPERLINK("https://klasma.github.io/Logging_0382/tillsynsmail/A 12262-2023 tillsynsbegäran mail.docx", "A 12262-2023")</f>
        <v/>
      </c>
    </row>
    <row r="699" ht="15" customHeight="1">
      <c r="A699" t="inlineStr">
        <is>
          <t>A 37865-2023</t>
        </is>
      </c>
      <c r="B699" t="inlineStr">
        <is>
          <t>avverkningsanmälan</t>
        </is>
      </c>
      <c r="C699" t="inlineStr">
        <is>
          <t>Föryngringsavverkning</t>
        </is>
      </c>
      <c r="D699" s="1" t="n">
        <v>45160</v>
      </c>
      <c r="E699" s="1" t="n">
        <v>46309</v>
      </c>
      <c r="F699" t="inlineStr">
        <is>
          <t>UPPSALA LÄN</t>
        </is>
      </c>
      <c r="G699" t="inlineStr">
        <is>
          <t>ÖSTHAMMAR</t>
        </is>
      </c>
      <c r="I699" t="n">
        <v>1.4</v>
      </c>
      <c r="J699" t="n">
        <v>0</v>
      </c>
      <c r="K699" t="n">
        <v>0</v>
      </c>
      <c r="L699" t="n">
        <v>1</v>
      </c>
      <c r="M699" t="n">
        <v>0</v>
      </c>
      <c r="N699" t="n">
        <v>0</v>
      </c>
      <c r="O699" t="n">
        <v>0</v>
      </c>
      <c r="P699" t="n">
        <v>0</v>
      </c>
      <c r="Q699" t="n">
        <v>1</v>
      </c>
      <c r="R699" t="n">
        <v>0</v>
      </c>
      <c r="S699" t="n">
        <v>1</v>
      </c>
      <c r="T699" t="n">
        <v>2</v>
      </c>
      <c r="U699" t="n">
        <v>1</v>
      </c>
      <c r="V699" s="2" t="inlineStr">
        <is>
          <t>Backklöver</t>
        </is>
      </c>
      <c r="W699">
        <f>HYPERLINK("https://klasma.github.io/Logging_0382/artfynd/A 37865-2023 artfynd.xlsx", "A 37865-2023")</f>
        <v/>
      </c>
      <c r="X699">
        <f>HYPERLINK("https://klasma.github.io/Logging_0382/kartor/A 37865-2023 karta.png", "A 37865-2023")</f>
        <v/>
      </c>
      <c r="Y699">
        <f>HYPERLINK("https://klasma.github.io/Logging_0382/kartor_geotiff/A 37865-2023 georefererad karta.tif", "A 37865-2023")</f>
        <v/>
      </c>
      <c r="AA699">
        <f>HYPERLINK("https://klasma.github.io/Logging_0382/klagomål/A 37865-2023 FSC-klagomål.docx", "A 37865-2023")</f>
        <v/>
      </c>
      <c r="AB699">
        <f>HYPERLINK("https://klasma.github.io/Logging_0382/klagomålsmail/A 37865-2023 FSC-klagomål mail.docx", "A 37865-2023")</f>
        <v/>
      </c>
      <c r="AC699">
        <f>HYPERLINK("https://klasma.github.io/Logging_0382/tillsyn/A 37865-2023 tillsynsbegäran.docx", "A 37865-2023")</f>
        <v/>
      </c>
      <c r="AD699">
        <f>HYPERLINK("https://klasma.github.io/Logging_0382/tillsynsmail/A 37865-2023 tillsynsbegäran mail.docx", "A 37865-2023")</f>
        <v/>
      </c>
    </row>
    <row r="700" ht="15" customHeight="1">
      <c r="A700" t="inlineStr">
        <is>
          <t>A 12753-2024</t>
        </is>
      </c>
      <c r="B700" t="inlineStr">
        <is>
          <t>avverkningsanmälan</t>
        </is>
      </c>
      <c r="C700" t="inlineStr">
        <is>
          <t>Föryngringsavverkning</t>
        </is>
      </c>
      <c r="D700" s="1" t="n">
        <v>45384</v>
      </c>
      <c r="E700" s="1" t="n">
        <v>46309</v>
      </c>
      <c r="F700" t="inlineStr">
        <is>
          <t>UPPSALA LÄN</t>
        </is>
      </c>
      <c r="G700" t="inlineStr">
        <is>
          <t>ÖSTHAMMAR</t>
        </is>
      </c>
      <c r="I700" t="n">
        <v>1.7</v>
      </c>
      <c r="J700" t="n">
        <v>0</v>
      </c>
      <c r="K700" t="n">
        <v>0</v>
      </c>
      <c r="L700" t="n">
        <v>1</v>
      </c>
      <c r="M700" t="n">
        <v>0</v>
      </c>
      <c r="N700" t="n">
        <v>0</v>
      </c>
      <c r="O700" t="n">
        <v>0</v>
      </c>
      <c r="P700" t="n">
        <v>0</v>
      </c>
      <c r="Q700" t="n">
        <v>1</v>
      </c>
      <c r="R700" t="n">
        <v>0</v>
      </c>
      <c r="S700" t="n">
        <v>1</v>
      </c>
      <c r="T700" t="n">
        <v>1</v>
      </c>
      <c r="U700" t="n">
        <v>0</v>
      </c>
      <c r="V700" s="2" t="inlineStr">
        <is>
          <t>Flattoppad klubbsvamp</t>
        </is>
      </c>
      <c r="W700">
        <f>HYPERLINK("https://klasma.github.io/Logging_0382/artfynd/A 12753-2024 artfynd.xlsx", "A 12753-2024")</f>
        <v/>
      </c>
      <c r="X700">
        <f>HYPERLINK("https://klasma.github.io/Logging_0382/kartor/A 12753-2024 karta.png", "A 12753-2024")</f>
        <v/>
      </c>
      <c r="Y700">
        <f>HYPERLINK("https://klasma.github.io/Logging_0382/kartor_geotiff/A 12753-2024 georefererad karta.tif", "A 12753-2024")</f>
        <v/>
      </c>
      <c r="AA700">
        <f>HYPERLINK("https://klasma.github.io/Logging_0382/klagomål/A 12753-2024 FSC-klagomål.docx", "A 12753-2024")</f>
        <v/>
      </c>
      <c r="AB700">
        <f>HYPERLINK("https://klasma.github.io/Logging_0382/klagomålsmail/A 12753-2024 FSC-klagomål mail.docx", "A 12753-2024")</f>
        <v/>
      </c>
      <c r="AC700">
        <f>HYPERLINK("https://klasma.github.io/Logging_0382/tillsyn/A 12753-2024 tillsynsbegäran.docx", "A 12753-2024")</f>
        <v/>
      </c>
      <c r="AD700">
        <f>HYPERLINK("https://klasma.github.io/Logging_0382/tillsynsmail/A 12753-2024 tillsynsbegäran mail.docx", "A 12753-2024")</f>
        <v/>
      </c>
    </row>
    <row r="701" ht="15" customHeight="1">
      <c r="A701" t="inlineStr">
        <is>
          <t>A 17697-2024</t>
        </is>
      </c>
      <c r="B701" t="inlineStr">
        <is>
          <t>avverkningsanmälan</t>
        </is>
      </c>
      <c r="C701" t="inlineStr">
        <is>
          <t>Föryngringsavverkning</t>
        </is>
      </c>
      <c r="D701" s="1" t="n">
        <v>45418</v>
      </c>
      <c r="E701" s="1" t="n">
        <v>46309</v>
      </c>
      <c r="F701" t="inlineStr">
        <is>
          <t>UPPSALA LÄN</t>
        </is>
      </c>
      <c r="G701" t="inlineStr">
        <is>
          <t>HEBY</t>
        </is>
      </c>
      <c r="I701" t="n">
        <v>0.6</v>
      </c>
      <c r="J701" t="n">
        <v>0</v>
      </c>
      <c r="K701" t="n">
        <v>0</v>
      </c>
      <c r="L701" t="n">
        <v>0</v>
      </c>
      <c r="M701" t="n">
        <v>1</v>
      </c>
      <c r="N701" t="n">
        <v>0</v>
      </c>
      <c r="O701" t="n">
        <v>0</v>
      </c>
      <c r="P701" t="n">
        <v>0</v>
      </c>
      <c r="Q701" t="n">
        <v>1</v>
      </c>
      <c r="R701" t="n">
        <v>1</v>
      </c>
      <c r="S701" t="n">
        <v>1</v>
      </c>
      <c r="T701" t="n">
        <v>1</v>
      </c>
      <c r="U701" t="n">
        <v>0</v>
      </c>
      <c r="V701" s="2" t="inlineStr">
        <is>
          <t>Mindre bastardsvärmare</t>
        </is>
      </c>
      <c r="W701">
        <f>HYPERLINK("https://klasma.github.io/Logging_0331/artfynd/A 17697-2024 artfynd.xlsx", "A 17697-2024")</f>
        <v/>
      </c>
      <c r="X701">
        <f>HYPERLINK("https://klasma.github.io/Logging_0331/kartor/A 17697-2024 karta.png", "A 17697-2024")</f>
        <v/>
      </c>
      <c r="Y701">
        <f>HYPERLINK("https://klasma.github.io/Logging_0331/kartor_geotiff/A 17697-2024 georefererad karta.tif", "A 17697-2024")</f>
        <v/>
      </c>
      <c r="AA701">
        <f>HYPERLINK("https://klasma.github.io/Logging_0331/klagomål/A 17697-2024 FSC-klagomål.docx", "A 17697-2024")</f>
        <v/>
      </c>
      <c r="AB701">
        <f>HYPERLINK("https://klasma.github.io/Logging_0331/klagomålsmail/A 17697-2024 FSC-klagomål mail.docx", "A 17697-2024")</f>
        <v/>
      </c>
      <c r="AC701">
        <f>HYPERLINK("https://klasma.github.io/Logging_0331/tillsyn/A 17697-2024 tillsynsbegäran.docx", "A 17697-2024")</f>
        <v/>
      </c>
      <c r="AD701">
        <f>HYPERLINK("https://klasma.github.io/Logging_0331/tillsynsmail/A 17697-2024 tillsynsbegäran mail.docx", "A 17697-2024")</f>
        <v/>
      </c>
    </row>
    <row r="702" ht="15" customHeight="1">
      <c r="A702" t="inlineStr">
        <is>
          <t>A 2171-2024</t>
        </is>
      </c>
      <c r="B702" t="inlineStr">
        <is>
          <t>avverkningsanmälan</t>
        </is>
      </c>
      <c r="C702" t="inlineStr">
        <is>
          <t>Föryngringsavverkning</t>
        </is>
      </c>
      <c r="D702" s="1" t="n">
        <v>45309</v>
      </c>
      <c r="E702" s="1" t="n">
        <v>46309</v>
      </c>
      <c r="F702" t="inlineStr">
        <is>
          <t>UPPSALA LÄN</t>
        </is>
      </c>
      <c r="G702" t="inlineStr">
        <is>
          <t>KNIVSTA</t>
        </is>
      </c>
      <c r="H702" t="inlineStr">
        <is>
          <t>Holmen skog AB</t>
        </is>
      </c>
      <c r="I702" t="n">
        <v>3.3</v>
      </c>
      <c r="J702" t="n">
        <v>1</v>
      </c>
      <c r="K702" t="n">
        <v>0</v>
      </c>
      <c r="L702" t="n">
        <v>0</v>
      </c>
      <c r="M702" t="n">
        <v>0</v>
      </c>
      <c r="N702" t="n">
        <v>0</v>
      </c>
      <c r="O702" t="n">
        <v>0</v>
      </c>
      <c r="P702" t="n">
        <v>0</v>
      </c>
      <c r="Q702" t="n">
        <v>0</v>
      </c>
      <c r="R702" t="n">
        <v>0</v>
      </c>
      <c r="S702" t="n">
        <v>1</v>
      </c>
      <c r="T702" t="n">
        <v>1</v>
      </c>
      <c r="U702" t="n">
        <v>1</v>
      </c>
      <c r="V702" s="2" t="inlineStr">
        <is>
          <t>Blåsippa</t>
        </is>
      </c>
      <c r="W702">
        <f>HYPERLINK("https://klasma.github.io/Logging_0330/artfynd/A 2171-2024 artfynd.xlsx", "A 2171-2024")</f>
        <v/>
      </c>
      <c r="X702">
        <f>HYPERLINK("https://klasma.github.io/Logging_0330/kartor/A 2171-2024 karta.png", "A 2171-2024")</f>
        <v/>
      </c>
      <c r="Y702">
        <f>HYPERLINK("https://klasma.github.io/Logging_0330/kartor_geotiff/A 2171-2024 georefererad karta.tif", "A 2171-2024")</f>
        <v/>
      </c>
      <c r="AA702">
        <f>HYPERLINK("https://klasma.github.io/Logging_0330/klagomål/A 2171-2024 FSC-klagomål.docx", "A 2171-2024")</f>
        <v/>
      </c>
      <c r="AB702">
        <f>HYPERLINK("https://klasma.github.io/Logging_0330/klagomålsmail/A 2171-2024 FSC-klagomål mail.docx", "A 2171-2024")</f>
        <v/>
      </c>
      <c r="AC702">
        <f>HYPERLINK("https://klasma.github.io/Logging_0330/tillsyn/A 2171-2024 tillsynsbegäran.docx", "A 2171-2024")</f>
        <v/>
      </c>
      <c r="AD702">
        <f>HYPERLINK("https://klasma.github.io/Logging_0330/tillsynsmail/A 2171-2024 tillsynsbegäran mail.docx", "A 2171-2024")</f>
        <v/>
      </c>
    </row>
    <row r="703" ht="15" customHeight="1">
      <c r="A703" t="inlineStr">
        <is>
          <t>A 40506-2026</t>
        </is>
      </c>
      <c r="B703" t="inlineStr">
        <is>
          <t>avverkningsanmälan</t>
        </is>
      </c>
      <c r="C703" t="inlineStr">
        <is>
          <t>Föryngringsavverkning</t>
        </is>
      </c>
      <c r="D703" s="1" t="n">
        <v>46295</v>
      </c>
      <c r="E703" s="1" t="n">
        <v>46309</v>
      </c>
      <c r="F703" t="inlineStr">
        <is>
          <t>UPPSALA LÄN</t>
        </is>
      </c>
      <c r="G703" t="inlineStr">
        <is>
          <t>HEBY</t>
        </is>
      </c>
      <c r="H703" t="inlineStr">
        <is>
          <t>Allmännings- och besparingsskogar</t>
        </is>
      </c>
      <c r="I703" t="n">
        <v>7.1</v>
      </c>
      <c r="J703" t="n">
        <v>1</v>
      </c>
      <c r="K703" t="n">
        <v>0</v>
      </c>
      <c r="L703" t="n">
        <v>0</v>
      </c>
      <c r="M703" t="n">
        <v>0</v>
      </c>
      <c r="N703" t="n">
        <v>0</v>
      </c>
      <c r="O703" t="n">
        <v>0</v>
      </c>
      <c r="P703" t="n">
        <v>0</v>
      </c>
      <c r="Q703" t="n">
        <v>0</v>
      </c>
      <c r="R703" t="n">
        <v>0</v>
      </c>
      <c r="S703" t="n">
        <v>1</v>
      </c>
      <c r="T703" t="n">
        <v>1</v>
      </c>
      <c r="U703" t="n">
        <v>0</v>
      </c>
      <c r="V703" s="2" t="inlineStr">
        <is>
          <t>Röd glada</t>
        </is>
      </c>
      <c r="W703">
        <f>HYPERLINK("https://klasma.github.io/Logging_0331/artfynd/A 40506-2026 artfynd.xlsx", "A 40506-2026")</f>
        <v/>
      </c>
      <c r="X703">
        <f>HYPERLINK("https://klasma.github.io/Logging_0331/kartor/A 40506-2026 karta.png", "A 40506-2026")</f>
        <v/>
      </c>
      <c r="Y703">
        <f>HYPERLINK("https://klasma.github.io/Logging_0331/kartor_geotiff/A 40506-2026 georefererad karta.tif", "A 40506-2026")</f>
        <v/>
      </c>
      <c r="AA703">
        <f>HYPERLINK("https://klasma.github.io/Logging_0331/klagomål/A 40506-2026 FSC-klagomål.docx", "A 40506-2026")</f>
        <v/>
      </c>
      <c r="AB703">
        <f>HYPERLINK("https://klasma.github.io/Logging_0331/klagomålsmail/A 40506-2026 FSC-klagomål mail.docx", "A 40506-2026")</f>
        <v/>
      </c>
      <c r="AC703">
        <f>HYPERLINK("https://klasma.github.io/Logging_0331/tillsyn/A 40506-2026 tillsynsbegäran.docx", "A 40506-2026")</f>
        <v/>
      </c>
      <c r="AD703">
        <f>HYPERLINK("https://klasma.github.io/Logging_0331/tillsynsmail/A 40506-2026 tillsynsbegäran mail.docx", "A 40506-2026")</f>
        <v/>
      </c>
      <c r="AE703">
        <f>HYPERLINK("https://klasma.github.io/Logging_0331/fåglar/A 40506-2026 prioriterade fågelarter.docx", "A 40506-2026")</f>
        <v/>
      </c>
    </row>
    <row r="704" ht="15" customHeight="1">
      <c r="A704" t="inlineStr">
        <is>
          <t>A 21889-2025</t>
        </is>
      </c>
      <c r="B704" t="inlineStr">
        <is>
          <t>avverkningsanmälan</t>
        </is>
      </c>
      <c r="C704" t="inlineStr">
        <is>
          <t>Föryngringsavverkning</t>
        </is>
      </c>
      <c r="D704" s="1" t="n">
        <v>45784</v>
      </c>
      <c r="E704" s="1" t="n">
        <v>46309</v>
      </c>
      <c r="F704" t="inlineStr">
        <is>
          <t>UPPSALA LÄN</t>
        </is>
      </c>
      <c r="G704" t="inlineStr">
        <is>
          <t>TIERP</t>
        </is>
      </c>
      <c r="I704" t="n">
        <v>0.8</v>
      </c>
      <c r="J704" t="n">
        <v>0</v>
      </c>
      <c r="K704" t="n">
        <v>0</v>
      </c>
      <c r="L704" t="n">
        <v>0</v>
      </c>
      <c r="M704" t="n">
        <v>1</v>
      </c>
      <c r="N704" t="n">
        <v>0</v>
      </c>
      <c r="O704" t="n">
        <v>0</v>
      </c>
      <c r="P704" t="n">
        <v>0</v>
      </c>
      <c r="Q704" t="n">
        <v>1</v>
      </c>
      <c r="R704" t="n">
        <v>1</v>
      </c>
      <c r="S704" t="n">
        <v>1</v>
      </c>
      <c r="T704" t="n">
        <v>2</v>
      </c>
      <c r="U704" t="n">
        <v>2</v>
      </c>
      <c r="V704" s="2" t="inlineStr">
        <is>
          <t>Igelkott</t>
        </is>
      </c>
      <c r="W704">
        <f>HYPERLINK("https://klasma.github.io/Logging_0360/artfynd/A 21889-2025 artfynd.xlsx", "A 21889-2025")</f>
        <v/>
      </c>
      <c r="X704">
        <f>HYPERLINK("https://klasma.github.io/Logging_0360/kartor/A 21889-2025 karta.png", "A 21889-2025")</f>
        <v/>
      </c>
      <c r="Y704">
        <f>HYPERLINK("https://klasma.github.io/Logging_0360/kartor_geotiff/A 21889-2025 georefererad karta.tif", "A 21889-2025")</f>
        <v/>
      </c>
      <c r="AA704">
        <f>HYPERLINK("https://klasma.github.io/Logging_0360/klagomål/A 21889-2025 FSC-klagomål.docx", "A 21889-2025")</f>
        <v/>
      </c>
      <c r="AB704">
        <f>HYPERLINK("https://klasma.github.io/Logging_0360/klagomålsmail/A 21889-2025 FSC-klagomål mail.docx", "A 21889-2025")</f>
        <v/>
      </c>
      <c r="AC704">
        <f>HYPERLINK("https://klasma.github.io/Logging_0360/tillsyn/A 21889-2025 tillsynsbegäran.docx", "A 21889-2025")</f>
        <v/>
      </c>
      <c r="AD704">
        <f>HYPERLINK("https://klasma.github.io/Logging_0360/tillsynsmail/A 21889-2025 tillsynsbegäran mail.docx", "A 21889-2025")</f>
        <v/>
      </c>
    </row>
    <row r="705" ht="15" customHeight="1">
      <c r="A705" t="inlineStr">
        <is>
          <t>A 37933-2026</t>
        </is>
      </c>
      <c r="B705" t="inlineStr">
        <is>
          <t>avverkningsanmälan</t>
        </is>
      </c>
      <c r="C705" t="inlineStr">
        <is>
          <t>Föryngringsavverkning</t>
        </is>
      </c>
      <c r="D705" s="1" t="n">
        <v>46280</v>
      </c>
      <c r="E705" s="1" t="n">
        <v>46309</v>
      </c>
      <c r="F705" t="inlineStr">
        <is>
          <t>UPPSALA LÄN</t>
        </is>
      </c>
      <c r="G705" t="inlineStr">
        <is>
          <t>UPPSALA</t>
        </is>
      </c>
      <c r="I705" t="n">
        <v>1.7</v>
      </c>
      <c r="J705" t="n">
        <v>0</v>
      </c>
      <c r="K705" t="n">
        <v>1</v>
      </c>
      <c r="L705" t="n">
        <v>0</v>
      </c>
      <c r="M705" t="n">
        <v>0</v>
      </c>
      <c r="N705" t="n">
        <v>0</v>
      </c>
      <c r="O705" t="n">
        <v>0</v>
      </c>
      <c r="P705" t="n">
        <v>0</v>
      </c>
      <c r="Q705" t="n">
        <v>0</v>
      </c>
      <c r="R705" t="n">
        <v>0</v>
      </c>
      <c r="S705" t="n">
        <v>1</v>
      </c>
      <c r="T705" t="n">
        <v>1</v>
      </c>
      <c r="U705" t="n">
        <v>0</v>
      </c>
      <c r="V705" s="2" t="inlineStr">
        <is>
          <t>Vedticka</t>
        </is>
      </c>
      <c r="W705">
        <f>HYPERLINK("https://klasma.github.io/Logging_0380/artfynd/A 37933-2026 artfynd.xlsx", "A 37933-2026")</f>
        <v/>
      </c>
      <c r="X705">
        <f>HYPERLINK("https://klasma.github.io/Logging_0380/kartor/A 37933-2026 karta.png", "A 37933-2026")</f>
        <v/>
      </c>
      <c r="Y705">
        <f>HYPERLINK("https://klasma.github.io/Logging_0380/kartor_geotiff/A 37933-2026 georefererad karta.tif", "A 37933-2026")</f>
        <v/>
      </c>
      <c r="AA705">
        <f>HYPERLINK("https://klasma.github.io/Logging_0380/klagomål/A 37933-2026 FSC-klagomål.docx", "A 37933-2026")</f>
        <v/>
      </c>
      <c r="AB705">
        <f>HYPERLINK("https://klasma.github.io/Logging_0380/klagomålsmail/A 37933-2026 FSC-klagomål mail.docx", "A 37933-2026")</f>
        <v/>
      </c>
      <c r="AC705">
        <f>HYPERLINK("https://klasma.github.io/Logging_0380/tillsyn/A 37933-2026 tillsynsbegäran.docx", "A 37933-2026")</f>
        <v/>
      </c>
      <c r="AD705">
        <f>HYPERLINK("https://klasma.github.io/Logging_0380/tillsynsmail/A 37933-2026 tillsynsbegäran mail.docx", "A 37933-2026")</f>
        <v/>
      </c>
    </row>
    <row r="706" ht="15" customHeight="1">
      <c r="A706" t="inlineStr">
        <is>
          <t>A 63615-2021</t>
        </is>
      </c>
      <c r="B706" t="inlineStr">
        <is>
          <t>avverkningsanmälan</t>
        </is>
      </c>
      <c r="C706" t="inlineStr">
        <is>
          <t>Föryngringsavverkning</t>
        </is>
      </c>
      <c r="D706" s="1" t="n">
        <v>44509</v>
      </c>
      <c r="E706" s="1" t="n">
        <v>46309</v>
      </c>
      <c r="F706" t="inlineStr">
        <is>
          <t>UPPSALA LÄN</t>
        </is>
      </c>
      <c r="G706" t="inlineStr">
        <is>
          <t>ÖSTHAMMAR</t>
        </is>
      </c>
      <c r="I706" t="n">
        <v>1.9</v>
      </c>
      <c r="J706" t="n">
        <v>0</v>
      </c>
      <c r="K706" t="n">
        <v>0</v>
      </c>
      <c r="L706" t="n">
        <v>0</v>
      </c>
      <c r="M706" t="n">
        <v>1</v>
      </c>
      <c r="N706" t="n">
        <v>0</v>
      </c>
      <c r="O706" t="n">
        <v>0</v>
      </c>
      <c r="P706" t="n">
        <v>0</v>
      </c>
      <c r="Q706" t="n">
        <v>1</v>
      </c>
      <c r="R706" t="n">
        <v>1</v>
      </c>
      <c r="S706" t="n">
        <v>1</v>
      </c>
      <c r="T706" t="n">
        <v>1</v>
      </c>
      <c r="U706" t="n">
        <v>0</v>
      </c>
      <c r="V706" s="2" t="inlineStr">
        <is>
          <t>Gul taggsvamp</t>
        </is>
      </c>
      <c r="W706">
        <f>HYPERLINK("https://klasma.github.io/Logging_0382/artfynd/A 63615-2021 artfynd.xlsx", "A 63615-2021")</f>
        <v/>
      </c>
      <c r="X706">
        <f>HYPERLINK("https://klasma.github.io/Logging_0382/kartor/A 63615-2021 karta.png", "A 63615-2021")</f>
        <v/>
      </c>
      <c r="Y706">
        <f>HYPERLINK("https://klasma.github.io/Logging_0382/kartor_geotiff/A 63615-2021 georefererad karta.tif", "A 63615-2021")</f>
        <v/>
      </c>
      <c r="AA706">
        <f>HYPERLINK("https://klasma.github.io/Logging_0382/klagomål/A 63615-2021 FSC-klagomål.docx", "A 63615-2021")</f>
        <v/>
      </c>
      <c r="AB706">
        <f>HYPERLINK("https://klasma.github.io/Logging_0382/klagomålsmail/A 63615-2021 FSC-klagomål mail.docx", "A 63615-2021")</f>
        <v/>
      </c>
      <c r="AC706">
        <f>HYPERLINK("https://klasma.github.io/Logging_0382/tillsyn/A 63615-2021 tillsynsbegäran.docx", "A 63615-2021")</f>
        <v/>
      </c>
      <c r="AD706">
        <f>HYPERLINK("https://klasma.github.io/Logging_0382/tillsynsmail/A 63615-2021 tillsynsbegäran mail.docx", "A 63615-2021")</f>
        <v/>
      </c>
    </row>
    <row r="707" ht="15" customHeight="1">
      <c r="A707" t="inlineStr">
        <is>
          <t>A 32483-2024</t>
        </is>
      </c>
      <c r="B707" t="inlineStr">
        <is>
          <t>avverkningsanmälan</t>
        </is>
      </c>
      <c r="C707" t="inlineStr">
        <is>
          <t>Föryngringsavverkning</t>
        </is>
      </c>
      <c r="D707" s="1" t="n">
        <v>45513</v>
      </c>
      <c r="E707" s="1" t="n">
        <v>46309</v>
      </c>
      <c r="F707" t="inlineStr">
        <is>
          <t>UPPSALA LÄN</t>
        </is>
      </c>
      <c r="G707" t="inlineStr">
        <is>
          <t>ÖSTHAMMAR</t>
        </is>
      </c>
      <c r="H707" t="inlineStr">
        <is>
          <t>Kyrkan</t>
        </is>
      </c>
      <c r="I707" t="n">
        <v>4.7</v>
      </c>
      <c r="J707" t="n">
        <v>1</v>
      </c>
      <c r="K707" t="n">
        <v>0</v>
      </c>
      <c r="L707" t="n">
        <v>0</v>
      </c>
      <c r="M707" t="n">
        <v>0</v>
      </c>
      <c r="N707" t="n">
        <v>0</v>
      </c>
      <c r="O707" t="n">
        <v>0</v>
      </c>
      <c r="P707" t="n">
        <v>0</v>
      </c>
      <c r="Q707" t="n">
        <v>0</v>
      </c>
      <c r="R707" t="n">
        <v>0</v>
      </c>
      <c r="S707" t="n">
        <v>1</v>
      </c>
      <c r="T707" t="n">
        <v>1</v>
      </c>
      <c r="U707" t="n">
        <v>1</v>
      </c>
      <c r="V707" s="2" t="inlineStr">
        <is>
          <t>Blåsippa</t>
        </is>
      </c>
      <c r="W707">
        <f>HYPERLINK("https://klasma.github.io/Logging_0382/artfynd/A 32483-2024 artfynd.xlsx", "A 32483-2024")</f>
        <v/>
      </c>
      <c r="X707">
        <f>HYPERLINK("https://klasma.github.io/Logging_0382/kartor/A 32483-2024 karta.png", "A 32483-2024")</f>
        <v/>
      </c>
      <c r="Y707">
        <f>HYPERLINK("https://klasma.github.io/Logging_0382/kartor_geotiff/A 32483-2024 georefererad karta.tif", "A 32483-2024")</f>
        <v/>
      </c>
      <c r="AA707">
        <f>HYPERLINK("https://klasma.github.io/Logging_0382/klagomål/A 32483-2024 FSC-klagomål.docx", "A 32483-2024")</f>
        <v/>
      </c>
      <c r="AB707">
        <f>HYPERLINK("https://klasma.github.io/Logging_0382/klagomålsmail/A 32483-2024 FSC-klagomål mail.docx", "A 32483-2024")</f>
        <v/>
      </c>
      <c r="AC707">
        <f>HYPERLINK("https://klasma.github.io/Logging_0382/tillsyn/A 32483-2024 tillsynsbegäran.docx", "A 32483-2024")</f>
        <v/>
      </c>
      <c r="AD707">
        <f>HYPERLINK("https://klasma.github.io/Logging_0382/tillsynsmail/A 32483-2024 tillsynsbegäran mail.docx", "A 32483-2024")</f>
        <v/>
      </c>
    </row>
    <row r="708" ht="15" customHeight="1">
      <c r="A708" t="inlineStr">
        <is>
          <t>A 22601-2025</t>
        </is>
      </c>
      <c r="B708" t="inlineStr">
        <is>
          <t>avverkningsanmälan</t>
        </is>
      </c>
      <c r="C708" t="inlineStr">
        <is>
          <t>Föryngringsavverkning</t>
        </is>
      </c>
      <c r="D708" s="1" t="n">
        <v>45789</v>
      </c>
      <c r="E708" s="1" t="n">
        <v>46309</v>
      </c>
      <c r="F708" t="inlineStr">
        <is>
          <t>UPPSALA LÄN</t>
        </is>
      </c>
      <c r="G708" t="inlineStr">
        <is>
          <t>TIERP</t>
        </is>
      </c>
      <c r="H708" t="inlineStr">
        <is>
          <t>Bergvik skog väst AB</t>
        </is>
      </c>
      <c r="I708" t="n">
        <v>5.2</v>
      </c>
      <c r="J708" t="n">
        <v>0</v>
      </c>
      <c r="K708" t="n">
        <v>0</v>
      </c>
      <c r="L708" t="n">
        <v>0</v>
      </c>
      <c r="M708" t="n">
        <v>0</v>
      </c>
      <c r="N708" t="n">
        <v>1</v>
      </c>
      <c r="O708" t="n">
        <v>0</v>
      </c>
      <c r="P708" t="n">
        <v>0</v>
      </c>
      <c r="Q708" t="n">
        <v>1</v>
      </c>
      <c r="R708" t="n">
        <v>1</v>
      </c>
      <c r="S708" t="n">
        <v>1</v>
      </c>
      <c r="T708" t="n">
        <v>2</v>
      </c>
      <c r="U708" t="n">
        <v>0</v>
      </c>
      <c r="V708" s="2" t="inlineStr">
        <is>
          <t>Ask</t>
        </is>
      </c>
      <c r="W708">
        <f>HYPERLINK("https://klasma.github.io/Logging_0360/artfynd/A 22601-2025 artfynd.xlsx", "A 22601-2025")</f>
        <v/>
      </c>
      <c r="X708">
        <f>HYPERLINK("https://klasma.github.io/Logging_0360/kartor/A 22601-2025 karta.png", "A 22601-2025")</f>
        <v/>
      </c>
      <c r="Y708">
        <f>HYPERLINK("https://klasma.github.io/Logging_0360/kartor_geotiff/A 22601-2025 georefererad karta.tif", "A 22601-2025")</f>
        <v/>
      </c>
      <c r="AA708">
        <f>HYPERLINK("https://klasma.github.io/Logging_0360/klagomål/A 22601-2025 FSC-klagomål.docx", "A 22601-2025")</f>
        <v/>
      </c>
      <c r="AB708">
        <f>HYPERLINK("https://klasma.github.io/Logging_0360/klagomålsmail/A 22601-2025 FSC-klagomål mail.docx", "A 22601-2025")</f>
        <v/>
      </c>
      <c r="AC708">
        <f>HYPERLINK("https://klasma.github.io/Logging_0360/tillsyn/A 22601-2025 tillsynsbegäran.docx", "A 22601-2025")</f>
        <v/>
      </c>
      <c r="AD708">
        <f>HYPERLINK("https://klasma.github.io/Logging_0360/tillsynsmail/A 22601-2025 tillsynsbegäran mail.docx", "A 22601-2025")</f>
        <v/>
      </c>
    </row>
    <row r="709" ht="15" customHeight="1">
      <c r="A709" t="inlineStr">
        <is>
          <t>A 24611-2026</t>
        </is>
      </c>
      <c r="B709" t="inlineStr">
        <is>
          <t>avverkningsanmälan</t>
        </is>
      </c>
      <c r="C709" t="inlineStr">
        <is>
          <t>Föryngringsavverkning</t>
        </is>
      </c>
      <c r="D709" s="1" t="n">
        <v>46171</v>
      </c>
      <c r="E709" s="1" t="n">
        <v>46309</v>
      </c>
      <c r="F709" t="inlineStr">
        <is>
          <t>UPPSALA LÄN</t>
        </is>
      </c>
      <c r="G709" t="inlineStr">
        <is>
          <t>TIERP</t>
        </is>
      </c>
      <c r="H709" t="inlineStr">
        <is>
          <t>Bergvik skog väst AB</t>
        </is>
      </c>
      <c r="I709" t="n">
        <v>2.9</v>
      </c>
      <c r="J709" t="n">
        <v>0</v>
      </c>
      <c r="K709" t="n">
        <v>0</v>
      </c>
      <c r="L709" t="n">
        <v>1</v>
      </c>
      <c r="M709" t="n">
        <v>0</v>
      </c>
      <c r="N709" t="n">
        <v>0</v>
      </c>
      <c r="O709" t="n">
        <v>0</v>
      </c>
      <c r="P709" t="n">
        <v>0</v>
      </c>
      <c r="Q709" t="n">
        <v>1</v>
      </c>
      <c r="R709" t="n">
        <v>0</v>
      </c>
      <c r="S709" t="n">
        <v>1</v>
      </c>
      <c r="T709" t="n">
        <v>1</v>
      </c>
      <c r="U709" t="n">
        <v>0</v>
      </c>
      <c r="V709" s="2" t="inlineStr">
        <is>
          <t>Skogsklocka</t>
        </is>
      </c>
      <c r="W709">
        <f>HYPERLINK("https://klasma.github.io/Logging_0360/artfynd/A 24611-2026 artfynd.xlsx", "A 24611-2026")</f>
        <v/>
      </c>
      <c r="X709">
        <f>HYPERLINK("https://klasma.github.io/Logging_0360/kartor/A 24611-2026 karta.png", "A 24611-2026")</f>
        <v/>
      </c>
      <c r="Y709">
        <f>HYPERLINK("https://klasma.github.io/Logging_0360/kartor_geotiff/A 24611-2026 georefererad karta.tif", "A 24611-2026")</f>
        <v/>
      </c>
      <c r="AA709">
        <f>HYPERLINK("https://klasma.github.io/Logging_0360/klagomål/A 24611-2026 FSC-klagomål.docx", "A 24611-2026")</f>
        <v/>
      </c>
      <c r="AB709">
        <f>HYPERLINK("https://klasma.github.io/Logging_0360/klagomålsmail/A 24611-2026 FSC-klagomål mail.docx", "A 24611-2026")</f>
        <v/>
      </c>
      <c r="AC709">
        <f>HYPERLINK("https://klasma.github.io/Logging_0360/tillsyn/A 24611-2026 tillsynsbegäran.docx", "A 24611-2026")</f>
        <v/>
      </c>
      <c r="AD709">
        <f>HYPERLINK("https://klasma.github.io/Logging_0360/tillsynsmail/A 24611-2026 tillsynsbegäran mail.docx", "A 24611-2026")</f>
        <v/>
      </c>
    </row>
    <row r="710" ht="15" customHeight="1">
      <c r="A710" t="inlineStr">
        <is>
          <t>A 34967-2026</t>
        </is>
      </c>
      <c r="B710" t="inlineStr">
        <is>
          <t>avverkningsanmälan</t>
        </is>
      </c>
      <c r="C710" t="inlineStr">
        <is>
          <t>Föryngringsavverkning</t>
        </is>
      </c>
      <c r="D710" s="1" t="n">
        <v>46259</v>
      </c>
      <c r="E710" s="1" t="n">
        <v>46309</v>
      </c>
      <c r="F710" t="inlineStr">
        <is>
          <t>UPPSALA LÄN</t>
        </is>
      </c>
      <c r="G710" t="inlineStr">
        <is>
          <t>ÖSTHAMMAR</t>
        </is>
      </c>
      <c r="H710" t="inlineStr">
        <is>
          <t>Bergvik skog öst AB</t>
        </is>
      </c>
      <c r="I710" t="n">
        <v>1.2</v>
      </c>
      <c r="J710" t="n">
        <v>0</v>
      </c>
      <c r="K710" t="n">
        <v>0</v>
      </c>
      <c r="L710" t="n">
        <v>1</v>
      </c>
      <c r="M710" t="n">
        <v>0</v>
      </c>
      <c r="N710" t="n">
        <v>0</v>
      </c>
      <c r="O710" t="n">
        <v>0</v>
      </c>
      <c r="P710" t="n">
        <v>0</v>
      </c>
      <c r="Q710" t="n">
        <v>1</v>
      </c>
      <c r="R710" t="n">
        <v>0</v>
      </c>
      <c r="S710" t="n">
        <v>1</v>
      </c>
      <c r="T710" t="n">
        <v>1</v>
      </c>
      <c r="U710" t="n">
        <v>0</v>
      </c>
      <c r="V710" s="2" t="inlineStr">
        <is>
          <t>Gullpudra</t>
        </is>
      </c>
      <c r="W710">
        <f>HYPERLINK("https://klasma.github.io/Logging_0382/artfynd/A 34967-2026 artfynd.xlsx", "A 34967-2026")</f>
        <v/>
      </c>
      <c r="X710">
        <f>HYPERLINK("https://klasma.github.io/Logging_0382/kartor/A 34967-2026 karta.png", "A 34967-2026")</f>
        <v/>
      </c>
      <c r="Y710">
        <f>HYPERLINK("https://klasma.github.io/Logging_0382/kartor_geotiff/A 34967-2026 georefererad karta.tif", "A 34967-2026")</f>
        <v/>
      </c>
      <c r="AA710">
        <f>HYPERLINK("https://klasma.github.io/Logging_0382/klagomål/A 34967-2026 FSC-klagomål.docx", "A 34967-2026")</f>
        <v/>
      </c>
      <c r="AB710">
        <f>HYPERLINK("https://klasma.github.io/Logging_0382/klagomålsmail/A 34967-2026 FSC-klagomål mail.docx", "A 34967-2026")</f>
        <v/>
      </c>
      <c r="AC710">
        <f>HYPERLINK("https://klasma.github.io/Logging_0382/tillsyn/A 34967-2026 tillsynsbegäran.docx", "A 34967-2026")</f>
        <v/>
      </c>
      <c r="AD710">
        <f>HYPERLINK("https://klasma.github.io/Logging_0382/tillsynsmail/A 34967-2026 tillsynsbegäran mail.docx", "A 34967-2026")</f>
        <v/>
      </c>
    </row>
    <row r="711" ht="15" customHeight="1">
      <c r="A711" t="inlineStr">
        <is>
          <t>A 28669-2026</t>
        </is>
      </c>
      <c r="B711" t="inlineStr">
        <is>
          <t>avverkningsanmälan</t>
        </is>
      </c>
      <c r="C711" t="inlineStr">
        <is>
          <t>Föryngringsavverkning</t>
        </is>
      </c>
      <c r="D711" s="1" t="n">
        <v>46194</v>
      </c>
      <c r="E711" s="1" t="n">
        <v>46309</v>
      </c>
      <c r="F711" t="inlineStr">
        <is>
          <t>UPPSALA LÄN</t>
        </is>
      </c>
      <c r="G711" t="inlineStr">
        <is>
          <t>ENKÖPING</t>
        </is>
      </c>
      <c r="I711" t="n">
        <v>12.4</v>
      </c>
      <c r="J711" t="n">
        <v>1</v>
      </c>
      <c r="K711" t="n">
        <v>0</v>
      </c>
      <c r="L711" t="n">
        <v>0</v>
      </c>
      <c r="M711" t="n">
        <v>0</v>
      </c>
      <c r="N711" t="n">
        <v>0</v>
      </c>
      <c r="O711" t="n">
        <v>0</v>
      </c>
      <c r="P711" t="n">
        <v>0</v>
      </c>
      <c r="Q711" t="n">
        <v>0</v>
      </c>
      <c r="R711" t="n">
        <v>0</v>
      </c>
      <c r="S711" t="n">
        <v>1</v>
      </c>
      <c r="T711" t="n">
        <v>2</v>
      </c>
      <c r="U711" t="n">
        <v>0</v>
      </c>
      <c r="V711" s="2" t="inlineStr">
        <is>
          <t>Tjäder</t>
        </is>
      </c>
      <c r="W711">
        <f>HYPERLINK("https://klasma.github.io/Logging_0381/artfynd/A 28669-2026 artfynd.xlsx", "A 28669-2026")</f>
        <v/>
      </c>
      <c r="X711">
        <f>HYPERLINK("https://klasma.github.io/Logging_0381/kartor/A 28669-2026 karta.png", "A 28669-2026")</f>
        <v/>
      </c>
      <c r="Y711">
        <f>HYPERLINK("https://klasma.github.io/Logging_0381/kartor_geotiff/A 28669-2026 georefererad karta.tif", "A 28669-2026")</f>
        <v/>
      </c>
      <c r="AA711">
        <f>HYPERLINK("https://klasma.github.io/Logging_0381/klagomål/A 28669-2026 FSC-klagomål.docx", "A 28669-2026")</f>
        <v/>
      </c>
      <c r="AB711">
        <f>HYPERLINK("https://klasma.github.io/Logging_0381/klagomålsmail/A 28669-2026 FSC-klagomål mail.docx", "A 28669-2026")</f>
        <v/>
      </c>
      <c r="AC711">
        <f>HYPERLINK("https://klasma.github.io/Logging_0381/tillsyn/A 28669-2026 tillsynsbegäran.docx", "A 28669-2026")</f>
        <v/>
      </c>
      <c r="AD711">
        <f>HYPERLINK("https://klasma.github.io/Logging_0381/tillsynsmail/A 28669-2026 tillsynsbegäran mail.docx", "A 28669-2026")</f>
        <v/>
      </c>
      <c r="AE711">
        <f>HYPERLINK("https://klasma.github.io/Logging_0381/fåglar/A 28669-2026 prioriterade fågelarter.docx", "A 28669-2026")</f>
        <v/>
      </c>
    </row>
    <row r="712" ht="15" customHeight="1">
      <c r="A712" t="inlineStr">
        <is>
          <t>A 9618-2026</t>
        </is>
      </c>
      <c r="B712" t="inlineStr">
        <is>
          <t>avverkningsanmälan</t>
        </is>
      </c>
      <c r="C712" t="inlineStr">
        <is>
          <t>Föryngringsavverkning</t>
        </is>
      </c>
      <c r="D712" s="1" t="n">
        <v>46072</v>
      </c>
      <c r="E712" s="1" t="n">
        <v>46309</v>
      </c>
      <c r="F712" t="inlineStr">
        <is>
          <t>UPPSALA LÄN</t>
        </is>
      </c>
      <c r="G712" t="inlineStr">
        <is>
          <t>HEBY</t>
        </is>
      </c>
      <c r="I712" t="n">
        <v>2.3</v>
      </c>
      <c r="J712" t="n">
        <v>0</v>
      </c>
      <c r="K712" t="n">
        <v>0</v>
      </c>
      <c r="L712" t="n">
        <v>1</v>
      </c>
      <c r="M712" t="n">
        <v>0</v>
      </c>
      <c r="N712" t="n">
        <v>0</v>
      </c>
      <c r="O712" t="n">
        <v>0</v>
      </c>
      <c r="P712" t="n">
        <v>0</v>
      </c>
      <c r="Q712" t="n">
        <v>1</v>
      </c>
      <c r="R712" t="n">
        <v>0</v>
      </c>
      <c r="S712" t="n">
        <v>1</v>
      </c>
      <c r="T712" t="n">
        <v>1</v>
      </c>
      <c r="U712" t="n">
        <v>0</v>
      </c>
      <c r="V712" s="2" t="inlineStr">
        <is>
          <t>Vedtrappmossa</t>
        </is>
      </c>
      <c r="W712">
        <f>HYPERLINK("https://klasma.github.io/Logging_0331/artfynd/A 9618-2026 artfynd.xlsx", "A 9618-2026")</f>
        <v/>
      </c>
      <c r="X712">
        <f>HYPERLINK("https://klasma.github.io/Logging_0331/kartor/A 9618-2026 karta.png", "A 9618-2026")</f>
        <v/>
      </c>
      <c r="Y712">
        <f>HYPERLINK("https://klasma.github.io/Logging_0331/kartor_geotiff/A 9618-2026 georefererad karta.tif", "A 9618-2026")</f>
        <v/>
      </c>
      <c r="AA712">
        <f>HYPERLINK("https://klasma.github.io/Logging_0331/klagomål/A 9618-2026 FSC-klagomål.docx", "A 9618-2026")</f>
        <v/>
      </c>
      <c r="AB712">
        <f>HYPERLINK("https://klasma.github.io/Logging_0331/klagomålsmail/A 9618-2026 FSC-klagomål mail.docx", "A 9618-2026")</f>
        <v/>
      </c>
      <c r="AC712">
        <f>HYPERLINK("https://klasma.github.io/Logging_0331/tillsyn/A 9618-2026 tillsynsbegäran.docx", "A 9618-2026")</f>
        <v/>
      </c>
      <c r="AD712">
        <f>HYPERLINK("https://klasma.github.io/Logging_0331/tillsynsmail/A 9618-2026 tillsynsbegäran mail.docx", "A 9618-2026")</f>
        <v/>
      </c>
    </row>
    <row r="713" ht="15" customHeight="1">
      <c r="A713" t="inlineStr">
        <is>
          <t>A 42147-2026</t>
        </is>
      </c>
      <c r="B713" t="inlineStr">
        <is>
          <t>avverkningsanmälan</t>
        </is>
      </c>
      <c r="C713" t="inlineStr">
        <is>
          <t>Föryngringsavverkning</t>
        </is>
      </c>
      <c r="D713" s="1" t="n">
        <v>46304</v>
      </c>
      <c r="E713" s="1" t="n">
        <v>46309</v>
      </c>
      <c r="F713" t="inlineStr">
        <is>
          <t>UPPSALA LÄN</t>
        </is>
      </c>
      <c r="G713" t="inlineStr">
        <is>
          <t>TIERP</t>
        </is>
      </c>
      <c r="H713" t="inlineStr">
        <is>
          <t>Bergvik skog öst AB</t>
        </is>
      </c>
      <c r="I713" t="n">
        <v>2.9</v>
      </c>
      <c r="J713" t="n">
        <v>0</v>
      </c>
      <c r="K713" t="n">
        <v>1</v>
      </c>
      <c r="L713" t="n">
        <v>0</v>
      </c>
      <c r="M713" t="n">
        <v>0</v>
      </c>
      <c r="N713" t="n">
        <v>0</v>
      </c>
      <c r="O713" t="n">
        <v>0</v>
      </c>
      <c r="P713" t="n">
        <v>0</v>
      </c>
      <c r="Q713" t="n">
        <v>0</v>
      </c>
      <c r="R713" t="n">
        <v>0</v>
      </c>
      <c r="S713" t="n">
        <v>1</v>
      </c>
      <c r="T713" t="n">
        <v>1</v>
      </c>
      <c r="U713" t="n">
        <v>0</v>
      </c>
      <c r="V713" s="2" t="inlineStr">
        <is>
          <t>Vanlig rörsvepemossa</t>
        </is>
      </c>
      <c r="W713">
        <f>HYPERLINK("https://klasma.github.io/Logging_0360/artfynd/A 42147-2026 artfynd.xlsx", "A 42147-2026")</f>
        <v/>
      </c>
      <c r="X713">
        <f>HYPERLINK("https://klasma.github.io/Logging_0360/kartor/A 42147-2026 karta.png", "A 42147-2026")</f>
        <v/>
      </c>
      <c r="Y713">
        <f>HYPERLINK("https://klasma.github.io/Logging_0360/kartor_geotiff/A 42147-2026 georefererad karta.tif", "A 42147-2026")</f>
        <v/>
      </c>
      <c r="AA713">
        <f>HYPERLINK("https://klasma.github.io/Logging_0360/klagomål/A 42147-2026 FSC-klagomål.docx", "A 42147-2026")</f>
        <v/>
      </c>
      <c r="AB713">
        <f>HYPERLINK("https://klasma.github.io/Logging_0360/klagomålsmail/A 42147-2026 FSC-klagomål mail.docx", "A 42147-2026")</f>
        <v/>
      </c>
      <c r="AC713">
        <f>HYPERLINK("https://klasma.github.io/Logging_0360/tillsyn/A 42147-2026 tillsynsbegäran.docx", "A 42147-2026")</f>
        <v/>
      </c>
      <c r="AD713">
        <f>HYPERLINK("https://klasma.github.io/Logging_0360/tillsynsmail/A 42147-2026 tillsynsbegäran mail.docx", "A 42147-2026")</f>
        <v/>
      </c>
    </row>
    <row r="714" ht="15" customHeight="1">
      <c r="A714" t="inlineStr">
        <is>
          <t>A 35313-2026</t>
        </is>
      </c>
      <c r="B714" t="inlineStr">
        <is>
          <t>avverkningsanmälan</t>
        </is>
      </c>
      <c r="C714" t="inlineStr">
        <is>
          <t>Föryngringsavverkning</t>
        </is>
      </c>
      <c r="D714" s="1" t="n">
        <v>46261</v>
      </c>
      <c r="E714" s="1" t="n">
        <v>46309</v>
      </c>
      <c r="F714" t="inlineStr">
        <is>
          <t>UPPSALA LÄN</t>
        </is>
      </c>
      <c r="G714" t="inlineStr">
        <is>
          <t>UPPSALA</t>
        </is>
      </c>
      <c r="H714" t="inlineStr">
        <is>
          <t>Allmännings- och besparingsskogar</t>
        </is>
      </c>
      <c r="I714" t="n">
        <v>2</v>
      </c>
      <c r="J714" t="n">
        <v>0</v>
      </c>
      <c r="K714" t="n">
        <v>1</v>
      </c>
      <c r="L714" t="n">
        <v>0</v>
      </c>
      <c r="M714" t="n">
        <v>0</v>
      </c>
      <c r="N714" t="n">
        <v>0</v>
      </c>
      <c r="O714" t="n">
        <v>0</v>
      </c>
      <c r="P714" t="n">
        <v>0</v>
      </c>
      <c r="Q714" t="n">
        <v>0</v>
      </c>
      <c r="R714" t="n">
        <v>0</v>
      </c>
      <c r="S714" t="n">
        <v>1</v>
      </c>
      <c r="T714" t="n">
        <v>1</v>
      </c>
      <c r="U714" t="n">
        <v>0</v>
      </c>
      <c r="V714" s="2" t="inlineStr">
        <is>
          <t>Källpraktmossa</t>
        </is>
      </c>
      <c r="W714">
        <f>HYPERLINK("https://klasma.github.io/Logging_0380/artfynd/A 35313-2026 artfynd.xlsx", "A 35313-2026")</f>
        <v/>
      </c>
      <c r="X714">
        <f>HYPERLINK("https://klasma.github.io/Logging_0380/kartor/A 35313-2026 karta.png", "A 35313-2026")</f>
        <v/>
      </c>
      <c r="Y714">
        <f>HYPERLINK("https://klasma.github.io/Logging_0380/kartor_geotiff/A 35313-2026 georefererad karta.tif", "A 35313-2026")</f>
        <v/>
      </c>
      <c r="AA714">
        <f>HYPERLINK("https://klasma.github.io/Logging_0380/klagomål/A 35313-2026 FSC-klagomål.docx", "A 35313-2026")</f>
        <v/>
      </c>
      <c r="AB714">
        <f>HYPERLINK("https://klasma.github.io/Logging_0380/klagomålsmail/A 35313-2026 FSC-klagomål mail.docx", "A 35313-2026")</f>
        <v/>
      </c>
      <c r="AC714">
        <f>HYPERLINK("https://klasma.github.io/Logging_0380/tillsyn/A 35313-2026 tillsynsbegäran.docx", "A 35313-2026")</f>
        <v/>
      </c>
      <c r="AD714">
        <f>HYPERLINK("https://klasma.github.io/Logging_0380/tillsynsmail/A 35313-2026 tillsynsbegäran mail.docx", "A 35313-2026")</f>
        <v/>
      </c>
    </row>
    <row r="715" ht="15" customHeight="1">
      <c r="A715" t="inlineStr">
        <is>
          <t>A 35195-2026</t>
        </is>
      </c>
      <c r="B715" t="inlineStr">
        <is>
          <t>avverkningsanmälan</t>
        </is>
      </c>
      <c r="C715" t="inlineStr">
        <is>
          <t>Föryngringsavverkning</t>
        </is>
      </c>
      <c r="D715" s="1" t="n">
        <v>46260</v>
      </c>
      <c r="E715" s="1" t="n">
        <v>46309</v>
      </c>
      <c r="F715" t="inlineStr">
        <is>
          <t>UPPSALA LÄN</t>
        </is>
      </c>
      <c r="G715" t="inlineStr">
        <is>
          <t>ÖSTHAMMAR</t>
        </is>
      </c>
      <c r="H715" t="inlineStr">
        <is>
          <t>Bergvik skog öst AB</t>
        </is>
      </c>
      <c r="I715" t="n">
        <v>11.2</v>
      </c>
      <c r="J715" t="n">
        <v>1</v>
      </c>
      <c r="K715" t="n">
        <v>0</v>
      </c>
      <c r="L715" t="n">
        <v>0</v>
      </c>
      <c r="M715" t="n">
        <v>0</v>
      </c>
      <c r="N715" t="n">
        <v>0</v>
      </c>
      <c r="O715" t="n">
        <v>0</v>
      </c>
      <c r="P715" t="n">
        <v>0</v>
      </c>
      <c r="Q715" t="n">
        <v>0</v>
      </c>
      <c r="R715" t="n">
        <v>0</v>
      </c>
      <c r="S715" t="n">
        <v>1</v>
      </c>
      <c r="T715" t="n">
        <v>1</v>
      </c>
      <c r="U715" t="n">
        <v>0</v>
      </c>
      <c r="V715" s="2" t="inlineStr">
        <is>
          <t>Lopplummer (aggregat)</t>
        </is>
      </c>
      <c r="W715">
        <f>HYPERLINK("https://klasma.github.io/Logging_0382/artfynd/A 35195-2026 artfynd.xlsx", "A 35195-2026")</f>
        <v/>
      </c>
      <c r="X715">
        <f>HYPERLINK("https://klasma.github.io/Logging_0382/kartor/A 35195-2026 karta.png", "A 35195-2026")</f>
        <v/>
      </c>
      <c r="Y715">
        <f>HYPERLINK("https://klasma.github.io/Logging_0382/kartor_geotiff/A 35195-2026 georefererad karta.tif", "A 35195-2026")</f>
        <v/>
      </c>
      <c r="AA715">
        <f>HYPERLINK("https://klasma.github.io/Logging_0382/klagomål/A 35195-2026 FSC-klagomål.docx", "A 35195-2026")</f>
        <v/>
      </c>
      <c r="AB715">
        <f>HYPERLINK("https://klasma.github.io/Logging_0382/klagomålsmail/A 35195-2026 FSC-klagomål mail.docx", "A 35195-2026")</f>
        <v/>
      </c>
      <c r="AC715">
        <f>HYPERLINK("https://klasma.github.io/Logging_0382/tillsyn/A 35195-2026 tillsynsbegäran.docx", "A 35195-2026")</f>
        <v/>
      </c>
      <c r="AD715">
        <f>HYPERLINK("https://klasma.github.io/Logging_0382/tillsynsmail/A 35195-2026 tillsynsbegäran mail.docx", "A 35195-2026")</f>
        <v/>
      </c>
    </row>
    <row r="716" ht="15" customHeight="1">
      <c r="A716" t="inlineStr">
        <is>
          <t>A 35710-2026</t>
        </is>
      </c>
      <c r="B716" t="inlineStr">
        <is>
          <t>avverkningsanmälan</t>
        </is>
      </c>
      <c r="C716" t="inlineStr">
        <is>
          <t>Föryngringsavverkning</t>
        </is>
      </c>
      <c r="D716" s="1" t="n">
        <v>46265</v>
      </c>
      <c r="E716" s="1" t="n">
        <v>46309</v>
      </c>
      <c r="F716" t="inlineStr">
        <is>
          <t>UPPSALA LÄN</t>
        </is>
      </c>
      <c r="G716" t="inlineStr">
        <is>
          <t>ENKÖPING</t>
        </is>
      </c>
      <c r="H716" t="inlineStr">
        <is>
          <t>Övriga statliga verk och myndigheter</t>
        </is>
      </c>
      <c r="I716" t="n">
        <v>1</v>
      </c>
      <c r="J716" t="n">
        <v>1</v>
      </c>
      <c r="K716" t="n">
        <v>0</v>
      </c>
      <c r="L716" t="n">
        <v>0</v>
      </c>
      <c r="M716" t="n">
        <v>0</v>
      </c>
      <c r="N716" t="n">
        <v>0</v>
      </c>
      <c r="O716" t="n">
        <v>0</v>
      </c>
      <c r="P716" t="n">
        <v>0</v>
      </c>
      <c r="Q716" t="n">
        <v>0</v>
      </c>
      <c r="R716" t="n">
        <v>0</v>
      </c>
      <c r="S716" t="n">
        <v>1</v>
      </c>
      <c r="T716" t="n">
        <v>1</v>
      </c>
      <c r="U716" t="n">
        <v>0</v>
      </c>
      <c r="V716" s="2" t="inlineStr">
        <is>
          <t>Tjäder</t>
        </is>
      </c>
      <c r="W716">
        <f>HYPERLINK("https://klasma.github.io/Logging_0381/artfynd/A 35710-2026 artfynd.xlsx", "A 35710-2026")</f>
        <v/>
      </c>
      <c r="X716">
        <f>HYPERLINK("https://klasma.github.io/Logging_0381/kartor/A 35710-2026 karta.png", "A 35710-2026")</f>
        <v/>
      </c>
      <c r="Y716">
        <f>HYPERLINK("https://klasma.github.io/Logging_0381/kartor_geotiff/A 35710-2026 georefererad karta.tif", "A 35710-2026")</f>
        <v/>
      </c>
      <c r="AA716">
        <f>HYPERLINK("https://klasma.github.io/Logging_0381/klagomål/A 35710-2026 FSC-klagomål.docx", "A 35710-2026")</f>
        <v/>
      </c>
      <c r="AB716">
        <f>HYPERLINK("https://klasma.github.io/Logging_0381/klagomålsmail/A 35710-2026 FSC-klagomål mail.docx", "A 35710-2026")</f>
        <v/>
      </c>
      <c r="AC716">
        <f>HYPERLINK("https://klasma.github.io/Logging_0381/tillsyn/A 35710-2026 tillsynsbegäran.docx", "A 35710-2026")</f>
        <v/>
      </c>
      <c r="AD716">
        <f>HYPERLINK("https://klasma.github.io/Logging_0381/tillsynsmail/A 35710-2026 tillsynsbegäran mail.docx", "A 35710-2026")</f>
        <v/>
      </c>
      <c r="AE716">
        <f>HYPERLINK("https://klasma.github.io/Logging_0381/fåglar/A 35710-2026 prioriterade fågelarter.docx", "A 35710-2026")</f>
        <v/>
      </c>
    </row>
    <row r="717" ht="15" customHeight="1">
      <c r="A717" t="inlineStr">
        <is>
          <t>A 42379-2026</t>
        </is>
      </c>
      <c r="B717" t="inlineStr">
        <is>
          <t>avverkningsanmälan</t>
        </is>
      </c>
      <c r="C717" t="inlineStr">
        <is>
          <t>Avverkning för att bevara och utveckla /försöksver</t>
        </is>
      </c>
      <c r="D717" s="1" t="n">
        <v>46307</v>
      </c>
      <c r="E717" s="1" t="n">
        <v>46309</v>
      </c>
      <c r="F717" t="inlineStr">
        <is>
          <t>UPPSALA LÄN</t>
        </is>
      </c>
      <c r="G717" t="inlineStr">
        <is>
          <t>ÄLVKARLEBY</t>
        </is>
      </c>
      <c r="H717" t="inlineStr">
        <is>
          <t>Bergvik skog öst AB</t>
        </is>
      </c>
      <c r="I717" t="n">
        <v>2.6</v>
      </c>
      <c r="J717" t="n">
        <v>1</v>
      </c>
      <c r="K717" t="n">
        <v>0</v>
      </c>
      <c r="L717" t="n">
        <v>0</v>
      </c>
      <c r="M717" t="n">
        <v>0</v>
      </c>
      <c r="N717" t="n">
        <v>0</v>
      </c>
      <c r="O717" t="n">
        <v>0</v>
      </c>
      <c r="P717" t="n">
        <v>0</v>
      </c>
      <c r="Q717" t="n">
        <v>0</v>
      </c>
      <c r="R717" t="n">
        <v>0</v>
      </c>
      <c r="S717" t="n">
        <v>1</v>
      </c>
      <c r="T717" t="n">
        <v>1</v>
      </c>
      <c r="U717" t="n">
        <v>0</v>
      </c>
      <c r="V717" s="2" t="inlineStr">
        <is>
          <t>Lopplummer (aggregat)</t>
        </is>
      </c>
      <c r="W717">
        <f>HYPERLINK("https://klasma.github.io/Logging_0319/artfynd/A 42379-2026 artfynd.xlsx", "A 42379-2026")</f>
        <v/>
      </c>
      <c r="X717">
        <f>HYPERLINK("https://klasma.github.io/Logging_0319/kartor/A 42379-2026 karta.png", "A 42379-2026")</f>
        <v/>
      </c>
      <c r="Y717">
        <f>HYPERLINK("https://klasma.github.io/Logging_0319/kartor_geotiff/A 42379-2026 georefererad karta.tif", "A 42379-2026")</f>
        <v/>
      </c>
      <c r="AA717">
        <f>HYPERLINK("https://klasma.github.io/Logging_0319/klagomål/A 42379-2026 FSC-klagomål.docx", "A 42379-2026")</f>
        <v/>
      </c>
      <c r="AB717">
        <f>HYPERLINK("https://klasma.github.io/Logging_0319/klagomålsmail/A 42379-2026 FSC-klagomål mail.docx", "A 42379-2026")</f>
        <v/>
      </c>
      <c r="AC717">
        <f>HYPERLINK("https://klasma.github.io/Logging_0319/tillsyn/A 42379-2026 tillsynsbegäran.docx", "A 42379-2026")</f>
        <v/>
      </c>
      <c r="AD717">
        <f>HYPERLINK("https://klasma.github.io/Logging_0319/tillsynsmail/A 42379-2026 tillsynsbegäran mail.docx", "A 42379-2026")</f>
        <v/>
      </c>
    </row>
    <row r="718" ht="15" customHeight="1">
      <c r="A718" t="inlineStr">
        <is>
          <t>S 1381-2022</t>
        </is>
      </c>
      <c r="B718" t="inlineStr">
        <is>
          <t>samrådsanmälan</t>
        </is>
      </c>
      <c r="C718" t="inlineStr">
        <is>
          <t>Skogsgödsling</t>
        </is>
      </c>
      <c r="D718" s="1" t="n">
        <v>44630</v>
      </c>
      <c r="E718" s="1" t="n">
        <v>46309</v>
      </c>
      <c r="F718" t="inlineStr">
        <is>
          <t>UPPSALA LÄN</t>
        </is>
      </c>
      <c r="G718" t="inlineStr">
        <is>
          <t>UPPSALA</t>
        </is>
      </c>
      <c r="I718" t="n">
        <v>36.9</v>
      </c>
      <c r="J718" t="n">
        <v>1</v>
      </c>
      <c r="K718" t="n">
        <v>0</v>
      </c>
      <c r="L718" t="n">
        <v>0</v>
      </c>
      <c r="M718" t="n">
        <v>0</v>
      </c>
      <c r="N718" t="n">
        <v>0</v>
      </c>
      <c r="O718" t="n">
        <v>0</v>
      </c>
      <c r="P718" t="n">
        <v>0</v>
      </c>
      <c r="Q718" t="n">
        <v>0</v>
      </c>
      <c r="R718" t="n">
        <v>0</v>
      </c>
      <c r="S718" t="n">
        <v>1</v>
      </c>
      <c r="T718" t="n">
        <v>1</v>
      </c>
      <c r="U718" t="n">
        <v>0</v>
      </c>
      <c r="V718" s="2" t="inlineStr">
        <is>
          <t>Mattlummer</t>
        </is>
      </c>
      <c r="W718">
        <f>HYPERLINK("https://klasma.github.io/Logging_0380/artfynd/S 1381-2022 artfynd.xlsx", "S 1381-2022")</f>
        <v/>
      </c>
      <c r="X718">
        <f>HYPERLINK("https://klasma.github.io/Logging_0380/kartor/S 1381-2022 karta.png", "S 1381-2022")</f>
        <v/>
      </c>
      <c r="Y718">
        <f>HYPERLINK("https://klasma.github.io/Logging_0380/kartor_geotiff/S 1381-2022 georefererad karta.tif", "S 1381-2022")</f>
        <v/>
      </c>
      <c r="AA718">
        <f>HYPERLINK("https://klasma.github.io/Logging_0380/klagomål/S 1381-2022 FSC-klagomål.docx", "S 1381-2022")</f>
        <v/>
      </c>
      <c r="AB718">
        <f>HYPERLINK("https://klasma.github.io/Logging_0380/klagomålsmail/S 1381-2022 FSC-klagomål mail.docx", "S 1381-2022")</f>
        <v/>
      </c>
      <c r="AC718">
        <f>HYPERLINK("https://klasma.github.io/Logging_0380/tillsyn/S 1381-2022 tillsynsbegäran.docx", "S 1381-2022")</f>
        <v/>
      </c>
      <c r="AD718">
        <f>HYPERLINK("https://klasma.github.io/Logging_0380/tillsynsmail/S 1381-2022 tillsynsbegäran mail.docx", "S 1381-2022")</f>
        <v/>
      </c>
    </row>
    <row r="719" ht="15" customHeight="1">
      <c r="A719" t="inlineStr">
        <is>
          <t>S 1786-2022</t>
        </is>
      </c>
      <c r="B719" t="inlineStr">
        <is>
          <t>samrådsanmälan</t>
        </is>
      </c>
      <c r="C719" t="inlineStr">
        <is>
          <t>Åtgärd i nyckelbiotop</t>
        </is>
      </c>
      <c r="D719" s="1" t="n">
        <v>44655</v>
      </c>
      <c r="E719" s="1" t="n">
        <v>46309</v>
      </c>
      <c r="F719" t="inlineStr">
        <is>
          <t>UPPSALA LÄN</t>
        </is>
      </c>
      <c r="G719" t="inlineStr">
        <is>
          <t>KNIVSTA</t>
        </is>
      </c>
      <c r="H719" t="inlineStr">
        <is>
          <t>Kyrkan</t>
        </is>
      </c>
      <c r="I719" t="n">
        <v>4.3</v>
      </c>
      <c r="J719" t="n">
        <v>0</v>
      </c>
      <c r="K719" t="n">
        <v>0</v>
      </c>
      <c r="L719" t="n">
        <v>1</v>
      </c>
      <c r="M719" t="n">
        <v>0</v>
      </c>
      <c r="N719" t="n">
        <v>0</v>
      </c>
      <c r="O719" t="n">
        <v>0</v>
      </c>
      <c r="P719" t="n">
        <v>0</v>
      </c>
      <c r="Q719" t="n">
        <v>1</v>
      </c>
      <c r="R719" t="n">
        <v>0</v>
      </c>
      <c r="S719" t="n">
        <v>1</v>
      </c>
      <c r="T719" t="n">
        <v>1</v>
      </c>
      <c r="U719" t="n">
        <v>0</v>
      </c>
      <c r="V719" s="2" t="inlineStr">
        <is>
          <t>Tallticka</t>
        </is>
      </c>
      <c r="W719">
        <f>HYPERLINK("https://klasma.github.io/Logging_0330/artfynd/S 1786-2022 artfynd.xlsx", "S 1786-2022")</f>
        <v/>
      </c>
      <c r="X719">
        <f>HYPERLINK("https://klasma.github.io/Logging_0330/kartor/S 1786-2022 karta.png", "S 1786-2022")</f>
        <v/>
      </c>
      <c r="Y719">
        <f>HYPERLINK("https://klasma.github.io/Logging_0330/kartor_geotiff/S 1786-2022 georefererad karta.tif", "S 1786-2022")</f>
        <v/>
      </c>
      <c r="AA719">
        <f>HYPERLINK("https://klasma.github.io/Logging_0330/klagomål/S 1786-2022 FSC-klagomål.docx", "S 1786-2022")</f>
        <v/>
      </c>
      <c r="AB719">
        <f>HYPERLINK("https://klasma.github.io/Logging_0330/klagomålsmail/S 1786-2022 FSC-klagomål mail.docx", "S 1786-2022")</f>
        <v/>
      </c>
      <c r="AC719">
        <f>HYPERLINK("https://klasma.github.io/Logging_0330/tillsyn/S 1786-2022 tillsynsbegäran.docx", "S 1786-2022")</f>
        <v/>
      </c>
      <c r="AD719">
        <f>HYPERLINK("https://klasma.github.io/Logging_0330/tillsynsmail/S 1786-2022 tillsynsbegäran mail.docx", "S 1786-2022")</f>
        <v/>
      </c>
    </row>
    <row r="720" ht="15" customHeight="1">
      <c r="A720" t="inlineStr">
        <is>
          <t>S 2188-2022</t>
        </is>
      </c>
      <c r="B720" t="inlineStr">
        <is>
          <t>samrådsanmälan</t>
        </is>
      </c>
      <c r="C720" t="inlineStr">
        <is>
          <t>Annan skogsbruksåtgärd</t>
        </is>
      </c>
      <c r="D720" s="1" t="n">
        <v>44678</v>
      </c>
      <c r="E720" s="1" t="n">
        <v>46309</v>
      </c>
      <c r="F720" t="inlineStr">
        <is>
          <t>UPPSALA LÄN</t>
        </is>
      </c>
      <c r="G720" t="inlineStr">
        <is>
          <t>UPPSALA</t>
        </is>
      </c>
      <c r="H720" t="inlineStr">
        <is>
          <t>Övriga Aktiebolag</t>
        </is>
      </c>
      <c r="I720" t="n">
        <v>5</v>
      </c>
      <c r="J720" t="n">
        <v>1</v>
      </c>
      <c r="K720" t="n">
        <v>0</v>
      </c>
      <c r="L720" t="n">
        <v>1</v>
      </c>
      <c r="M720" t="n">
        <v>0</v>
      </c>
      <c r="N720" t="n">
        <v>0</v>
      </c>
      <c r="O720" t="n">
        <v>0</v>
      </c>
      <c r="P720" t="n">
        <v>0</v>
      </c>
      <c r="Q720" t="n">
        <v>1</v>
      </c>
      <c r="R720" t="n">
        <v>0</v>
      </c>
      <c r="S720" t="n">
        <v>1</v>
      </c>
      <c r="T720" t="n">
        <v>1</v>
      </c>
      <c r="U720" t="n">
        <v>1</v>
      </c>
      <c r="V720" s="2" t="inlineStr">
        <is>
          <t>Mindre hackspett</t>
        </is>
      </c>
      <c r="W720">
        <f>HYPERLINK("https://klasma.github.io/Logging_0380/artfynd/S 2188-2022 artfynd.xlsx", "S 2188-2022")</f>
        <v/>
      </c>
      <c r="X720">
        <f>HYPERLINK("https://klasma.github.io/Logging_0380/kartor/S 2188-2022 karta.png", "S 2188-2022")</f>
        <v/>
      </c>
      <c r="Y720">
        <f>HYPERLINK("https://klasma.github.io/Logging_0380/kartor_geotiff/S 2188-2022 georefererad karta.tif", "S 2188-2022")</f>
        <v/>
      </c>
      <c r="AA720">
        <f>HYPERLINK("https://klasma.github.io/Logging_0380/klagomål/S 2188-2022 FSC-klagomål.docx", "S 2188-2022")</f>
        <v/>
      </c>
      <c r="AB720">
        <f>HYPERLINK("https://klasma.github.io/Logging_0380/klagomålsmail/S 2188-2022 FSC-klagomål mail.docx", "S 2188-2022")</f>
        <v/>
      </c>
      <c r="AC720">
        <f>HYPERLINK("https://klasma.github.io/Logging_0380/tillsyn/S 2188-2022 tillsynsbegäran.docx", "S 2188-2022")</f>
        <v/>
      </c>
      <c r="AD720">
        <f>HYPERLINK("https://klasma.github.io/Logging_0380/tillsynsmail/S 2188-2022 tillsynsbegäran mail.docx", "S 2188-2022")</f>
        <v/>
      </c>
      <c r="AE720">
        <f>HYPERLINK("https://klasma.github.io/Logging_0380/fåglar/S 2188-2022 prioriterade fågelarter.docx", "S 2188-2022")</f>
        <v/>
      </c>
    </row>
    <row r="721" ht="15" customHeight="1">
      <c r="A721" t="inlineStr">
        <is>
          <t>S 3291-2022</t>
        </is>
      </c>
      <c r="B721" t="inlineStr">
        <is>
          <t>samrådsanmälan</t>
        </is>
      </c>
      <c r="C721" t="inlineStr">
        <is>
          <t>Annan skogsbruksåtgärd</t>
        </is>
      </c>
      <c r="D721" s="1" t="n">
        <v>44726</v>
      </c>
      <c r="E721" s="1" t="n">
        <v>46309</v>
      </c>
      <c r="F721" t="inlineStr">
        <is>
          <t>UPPSALA LÄN</t>
        </is>
      </c>
      <c r="G721" t="inlineStr">
        <is>
          <t>ÖSTHAMMAR</t>
        </is>
      </c>
      <c r="I721" t="n">
        <v>1.4</v>
      </c>
      <c r="J721" t="n">
        <v>0</v>
      </c>
      <c r="K721" t="n">
        <v>0</v>
      </c>
      <c r="L721" t="n">
        <v>0</v>
      </c>
      <c r="M721" t="n">
        <v>1</v>
      </c>
      <c r="N721" t="n">
        <v>0</v>
      </c>
      <c r="O721" t="n">
        <v>0</v>
      </c>
      <c r="P721" t="n">
        <v>0</v>
      </c>
      <c r="Q721" t="n">
        <v>1</v>
      </c>
      <c r="R721" t="n">
        <v>1</v>
      </c>
      <c r="S721" t="n">
        <v>1</v>
      </c>
      <c r="T721" t="n">
        <v>2</v>
      </c>
      <c r="U721" t="n">
        <v>0</v>
      </c>
      <c r="V721" s="2" t="inlineStr">
        <is>
          <t>Aspgelélav</t>
        </is>
      </c>
      <c r="W721">
        <f>HYPERLINK("https://klasma.github.io/Logging_0382/artfynd/S 3291-2022 artfynd.xlsx", "S 3291-2022")</f>
        <v/>
      </c>
      <c r="X721">
        <f>HYPERLINK("https://klasma.github.io/Logging_0382/kartor/S 3291-2022 karta.png", "S 3291-2022")</f>
        <v/>
      </c>
      <c r="Y721">
        <f>HYPERLINK("https://klasma.github.io/Logging_0382/kartor_geotiff/S 3291-2022 georefererad karta.tif", "S 3291-2022")</f>
        <v/>
      </c>
      <c r="AA721">
        <f>HYPERLINK("https://klasma.github.io/Logging_0382/klagomål/S 3291-2022 FSC-klagomål.docx", "S 3291-2022")</f>
        <v/>
      </c>
      <c r="AB721">
        <f>HYPERLINK("https://klasma.github.io/Logging_0382/klagomålsmail/S 3291-2022 FSC-klagomål mail.docx", "S 3291-2022")</f>
        <v/>
      </c>
      <c r="AC721">
        <f>HYPERLINK("https://klasma.github.io/Logging_0382/tillsyn/S 3291-2022 tillsynsbegäran.docx", "S 3291-2022")</f>
        <v/>
      </c>
      <c r="AD721">
        <f>HYPERLINK("https://klasma.github.io/Logging_0382/tillsynsmail/S 3291-2022 tillsynsbegäran mail.docx", "S 3291-2022")</f>
        <v/>
      </c>
    </row>
    <row r="722" ht="15" customHeight="1">
      <c r="A722" t="inlineStr">
        <is>
          <t>S 1001-2022</t>
        </is>
      </c>
      <c r="B722" t="inlineStr">
        <is>
          <t>samrådsanmälan</t>
        </is>
      </c>
      <c r="C722" t="inlineStr">
        <is>
          <t>Annan skogsbruksåtgärd</t>
        </is>
      </c>
      <c r="D722" s="1" t="n">
        <v>44610</v>
      </c>
      <c r="E722" s="1" t="n">
        <v>46309</v>
      </c>
      <c r="F722" t="inlineStr">
        <is>
          <t>UPPSALA LÄN</t>
        </is>
      </c>
      <c r="G722" t="inlineStr">
        <is>
          <t>ÖSTHAMMAR</t>
        </is>
      </c>
      <c r="I722" t="n">
        <v>0.1</v>
      </c>
      <c r="J722" t="n">
        <v>0</v>
      </c>
      <c r="K722" t="n">
        <v>0</v>
      </c>
      <c r="L722" t="n">
        <v>0</v>
      </c>
      <c r="M722" t="n">
        <v>1</v>
      </c>
      <c r="N722" t="n">
        <v>0</v>
      </c>
      <c r="O722" t="n">
        <v>0</v>
      </c>
      <c r="P722" t="n">
        <v>0</v>
      </c>
      <c r="Q722" t="n">
        <v>1</v>
      </c>
      <c r="R722" t="n">
        <v>1</v>
      </c>
      <c r="S722" t="n">
        <v>1</v>
      </c>
      <c r="T722" t="n">
        <v>2</v>
      </c>
      <c r="U722" t="n">
        <v>0</v>
      </c>
      <c r="V722" s="2" t="inlineStr">
        <is>
          <t>Aspgelélav</t>
        </is>
      </c>
      <c r="W722">
        <f>HYPERLINK("https://klasma.github.io/Logging_0382/artfynd/S 1001-2022 artfynd.xlsx", "S 1001-2022")</f>
        <v/>
      </c>
      <c r="X722">
        <f>HYPERLINK("https://klasma.github.io/Logging_0382/kartor/S 1001-2022 karta.png", "S 1001-2022")</f>
        <v/>
      </c>
      <c r="Y722">
        <f>HYPERLINK("https://klasma.github.io/Logging_0382/kartor_geotiff/S 1001-2022 georefererad karta.tif", "S 1001-2022")</f>
        <v/>
      </c>
      <c r="AA722">
        <f>HYPERLINK("https://klasma.github.io/Logging_0382/klagomål/S 1001-2022 FSC-klagomål.docx", "S 1001-2022")</f>
        <v/>
      </c>
      <c r="AB722">
        <f>HYPERLINK("https://klasma.github.io/Logging_0382/klagomålsmail/S 1001-2022 FSC-klagomål mail.docx", "S 1001-2022")</f>
        <v/>
      </c>
      <c r="AC722">
        <f>HYPERLINK("https://klasma.github.io/Logging_0382/tillsyn/S 1001-2022 tillsynsbegäran.docx", "S 1001-2022")</f>
        <v/>
      </c>
      <c r="AD722">
        <f>HYPERLINK("https://klasma.github.io/Logging_0382/tillsynsmail/S 1001-2022 tillsynsbegäran mail.docx", "S 1001-2022")</f>
        <v/>
      </c>
    </row>
    <row r="723" ht="15" customHeight="1">
      <c r="A723" t="inlineStr">
        <is>
          <t>S 490-2022</t>
        </is>
      </c>
      <c r="B723" t="inlineStr">
        <is>
          <t>samrådsanmälan</t>
        </is>
      </c>
      <c r="C723" t="inlineStr">
        <is>
          <t>Skogsgödsling</t>
        </is>
      </c>
      <c r="D723" s="1" t="n">
        <v>44587</v>
      </c>
      <c r="E723" s="1" t="n">
        <v>46309</v>
      </c>
      <c r="F723" t="inlineStr">
        <is>
          <t>UPPSALA LÄN</t>
        </is>
      </c>
      <c r="G723" t="inlineStr">
        <is>
          <t>TIERP</t>
        </is>
      </c>
      <c r="H723" t="inlineStr">
        <is>
          <t>Bergvik skog väst AB</t>
        </is>
      </c>
      <c r="I723" t="n">
        <v>57.7</v>
      </c>
      <c r="J723" t="n">
        <v>1</v>
      </c>
      <c r="K723" t="n">
        <v>0</v>
      </c>
      <c r="L723" t="n">
        <v>0</v>
      </c>
      <c r="M723" t="n">
        <v>0</v>
      </c>
      <c r="N723" t="n">
        <v>0</v>
      </c>
      <c r="O723" t="n">
        <v>0</v>
      </c>
      <c r="P723" t="n">
        <v>0</v>
      </c>
      <c r="Q723" t="n">
        <v>0</v>
      </c>
      <c r="R723" t="n">
        <v>0</v>
      </c>
      <c r="S723" t="n">
        <v>1</v>
      </c>
      <c r="T723" t="n">
        <v>1</v>
      </c>
      <c r="U723" t="n">
        <v>0</v>
      </c>
      <c r="V723" s="2" t="inlineStr">
        <is>
          <t>Brudsporre</t>
        </is>
      </c>
      <c r="W723">
        <f>HYPERLINK("https://klasma.github.io/Logging_0360/artfynd/S 490-2022 artfynd.xlsx", "S 490-2022")</f>
        <v/>
      </c>
      <c r="X723">
        <f>HYPERLINK("https://klasma.github.io/Logging_0360/kartor/S 490-2022 karta.png", "S 490-2022")</f>
        <v/>
      </c>
      <c r="Y723">
        <f>HYPERLINK("https://klasma.github.io/Logging_0360/kartor_geotiff/S 490-2022 georefererad karta.tif", "S 490-2022")</f>
        <v/>
      </c>
      <c r="AA723">
        <f>HYPERLINK("https://klasma.github.io/Logging_0360/klagomål/S 490-2022 FSC-klagomål.docx", "S 490-2022")</f>
        <v/>
      </c>
      <c r="AB723">
        <f>HYPERLINK("https://klasma.github.io/Logging_0360/klagomålsmail/S 490-2022 FSC-klagomål mail.docx", "S 490-2022")</f>
        <v/>
      </c>
      <c r="AC723">
        <f>HYPERLINK("https://klasma.github.io/Logging_0360/tillsyn/S 490-2022 tillsynsbegäran.docx", "S 490-2022")</f>
        <v/>
      </c>
      <c r="AD723">
        <f>HYPERLINK("https://klasma.github.io/Logging_0360/tillsynsmail/S 490-2022 tillsynsbegäran mail.docx", "S 490-2022")</f>
        <v/>
      </c>
    </row>
    <row r="724" ht="15" customHeight="1">
      <c r="A724" t="inlineStr">
        <is>
          <t>S 1335-2022</t>
        </is>
      </c>
      <c r="B724" t="inlineStr">
        <is>
          <t>samrådsanmälan</t>
        </is>
      </c>
      <c r="C724" t="inlineStr">
        <is>
          <t>Skogsgödsling</t>
        </is>
      </c>
      <c r="D724" s="1" t="n">
        <v>44629</v>
      </c>
      <c r="E724" s="1" t="n">
        <v>46309</v>
      </c>
      <c r="F724" t="inlineStr">
        <is>
          <t>UPPSALA LÄN</t>
        </is>
      </c>
      <c r="G724" t="inlineStr">
        <is>
          <t>HEBY</t>
        </is>
      </c>
      <c r="I724" t="n">
        <v>21.8</v>
      </c>
      <c r="J724" t="n">
        <v>0</v>
      </c>
      <c r="K724" t="n">
        <v>1</v>
      </c>
      <c r="L724" t="n">
        <v>0</v>
      </c>
      <c r="M724" t="n">
        <v>0</v>
      </c>
      <c r="N724" t="n">
        <v>0</v>
      </c>
      <c r="O724" t="n">
        <v>0</v>
      </c>
      <c r="P724" t="n">
        <v>0</v>
      </c>
      <c r="Q724" t="n">
        <v>0</v>
      </c>
      <c r="R724" t="n">
        <v>0</v>
      </c>
      <c r="S724" t="n">
        <v>1</v>
      </c>
      <c r="T724" t="n">
        <v>1</v>
      </c>
      <c r="U724" t="n">
        <v>0</v>
      </c>
      <c r="V724" s="2" t="inlineStr">
        <is>
          <t>Vedticka</t>
        </is>
      </c>
      <c r="W724">
        <f>HYPERLINK("https://klasma.github.io/Logging_0331/artfynd/S 1335-2022 artfynd.xlsx", "S 1335-2022")</f>
        <v/>
      </c>
      <c r="X724">
        <f>HYPERLINK("https://klasma.github.io/Logging_0331/kartor/S 1335-2022 karta.png", "S 1335-2022")</f>
        <v/>
      </c>
      <c r="Y724">
        <f>HYPERLINK("https://klasma.github.io/Logging_0331/kartor_geotiff/S 1335-2022 georefererad karta.tif", "S 1335-2022")</f>
        <v/>
      </c>
      <c r="AA724">
        <f>HYPERLINK("https://klasma.github.io/Logging_0331/klagomål/S 1335-2022 FSC-klagomål.docx", "S 1335-2022")</f>
        <v/>
      </c>
      <c r="AB724">
        <f>HYPERLINK("https://klasma.github.io/Logging_0331/klagomålsmail/S 1335-2022 FSC-klagomål mail.docx", "S 1335-2022")</f>
        <v/>
      </c>
      <c r="AC724">
        <f>HYPERLINK("https://klasma.github.io/Logging_0331/tillsyn/S 1335-2022 tillsynsbegäran.docx", "S 1335-2022")</f>
        <v/>
      </c>
      <c r="AD724">
        <f>HYPERLINK("https://klasma.github.io/Logging_0331/tillsynsmail/S 1335-2022 tillsynsbegäran mail.docx", "S 1335-2022")</f>
        <v/>
      </c>
    </row>
    <row r="725" ht="15" customHeight="1">
      <c r="A725" t="inlineStr">
        <is>
          <t>S 1922-2023</t>
        </is>
      </c>
      <c r="B725" t="inlineStr">
        <is>
          <t>samrådsanmälan</t>
        </is>
      </c>
      <c r="C725" t="inlineStr">
        <is>
          <t>Annan skogsbruksåtgärd</t>
        </is>
      </c>
      <c r="D725" s="1" t="n">
        <v>45078</v>
      </c>
      <c r="E725" s="1" t="n">
        <v>46309</v>
      </c>
      <c r="F725" t="inlineStr">
        <is>
          <t>UPPSALA LÄN</t>
        </is>
      </c>
      <c r="G725" t="inlineStr">
        <is>
          <t>ÖSTHAMMAR</t>
        </is>
      </c>
      <c r="I725" t="n">
        <v>3.1</v>
      </c>
      <c r="J725" t="n">
        <v>1</v>
      </c>
      <c r="K725" t="n">
        <v>1</v>
      </c>
      <c r="L725" t="n">
        <v>0</v>
      </c>
      <c r="M725" t="n">
        <v>0</v>
      </c>
      <c r="N725" t="n">
        <v>0</v>
      </c>
      <c r="O725" t="n">
        <v>0</v>
      </c>
      <c r="P725" t="n">
        <v>0</v>
      </c>
      <c r="Q725" t="n">
        <v>0</v>
      </c>
      <c r="R725" t="n">
        <v>0</v>
      </c>
      <c r="S725" t="n">
        <v>1</v>
      </c>
      <c r="T725" t="n">
        <v>1</v>
      </c>
      <c r="U725" t="n">
        <v>0</v>
      </c>
      <c r="V725" s="2" t="inlineStr">
        <is>
          <t>Nästrot</t>
        </is>
      </c>
      <c r="W725">
        <f>HYPERLINK("https://klasma.github.io/Logging_0382/artfynd/S 1922-2023 artfynd.xlsx", "S 1922-2023")</f>
        <v/>
      </c>
      <c r="X725">
        <f>HYPERLINK("https://klasma.github.io/Logging_0382/kartor/S 1922-2023 karta.png", "S 1922-2023")</f>
        <v/>
      </c>
      <c r="Y725">
        <f>HYPERLINK("https://klasma.github.io/Logging_0382/kartor_geotiff/S 1922-2023 georefererad karta.tif", "S 1922-2023")</f>
        <v/>
      </c>
      <c r="AA725">
        <f>HYPERLINK("https://klasma.github.io/Logging_0382/klagomål/S 1922-2023 FSC-klagomål.docx", "S 1922-2023")</f>
        <v/>
      </c>
      <c r="AB725">
        <f>HYPERLINK("https://klasma.github.io/Logging_0382/klagomålsmail/S 1922-2023 FSC-klagomål mail.docx", "S 1922-2023")</f>
        <v/>
      </c>
      <c r="AC725">
        <f>HYPERLINK("https://klasma.github.io/Logging_0382/tillsyn/S 1922-2023 tillsynsbegäran.docx", "S 1922-2023")</f>
        <v/>
      </c>
      <c r="AD725">
        <f>HYPERLINK("https://klasma.github.io/Logging_0382/tillsynsmail/S 1922-2023 tillsynsbegäran mail.docx", "S 1922-2023")</f>
        <v/>
      </c>
    </row>
    <row r="726" ht="15" customHeight="1">
      <c r="A726" t="inlineStr">
        <is>
          <t>S 3586-2023</t>
        </is>
      </c>
      <c r="B726" t="inlineStr">
        <is>
          <t>samrådsanmälan</t>
        </is>
      </c>
      <c r="C726" t="inlineStr">
        <is>
          <t>Annan skogsbruksåtgärd</t>
        </is>
      </c>
      <c r="D726" s="1" t="n">
        <v>45218</v>
      </c>
      <c r="E726" s="1" t="n">
        <v>46309</v>
      </c>
      <c r="F726" t="inlineStr">
        <is>
          <t>UPPSALA LÄN</t>
        </is>
      </c>
      <c r="G726" t="inlineStr">
        <is>
          <t>ÖSTHAMMAR</t>
        </is>
      </c>
      <c r="I726" t="n">
        <v>0.2</v>
      </c>
      <c r="J726" t="n">
        <v>0</v>
      </c>
      <c r="K726" t="n">
        <v>1</v>
      </c>
      <c r="L726" t="n">
        <v>0</v>
      </c>
      <c r="M726" t="n">
        <v>0</v>
      </c>
      <c r="N726" t="n">
        <v>0</v>
      </c>
      <c r="O726" t="n">
        <v>0</v>
      </c>
      <c r="P726" t="n">
        <v>0</v>
      </c>
      <c r="Q726" t="n">
        <v>0</v>
      </c>
      <c r="R726" t="n">
        <v>0</v>
      </c>
      <c r="S726" t="n">
        <v>1</v>
      </c>
      <c r="T726" t="n">
        <v>1</v>
      </c>
      <c r="U726" t="n">
        <v>0</v>
      </c>
      <c r="V726" s="2" t="inlineStr">
        <is>
          <t>Diskvaxskivling</t>
        </is>
      </c>
      <c r="W726">
        <f>HYPERLINK("https://klasma.github.io/Logging_0382/artfynd/S 3586-2023 artfynd.xlsx", "S 3586-2023")</f>
        <v/>
      </c>
      <c r="X726">
        <f>HYPERLINK("https://klasma.github.io/Logging_0382/kartor/S 3586-2023 karta.png", "S 3586-2023")</f>
        <v/>
      </c>
      <c r="Y726">
        <f>HYPERLINK("https://klasma.github.io/Logging_0382/kartor_geotiff/S 3586-2023 georefererad karta.tif", "S 3586-2023")</f>
        <v/>
      </c>
      <c r="AA726">
        <f>HYPERLINK("https://klasma.github.io/Logging_0382/klagomål/S 3586-2023 FSC-klagomål.docx", "S 3586-2023")</f>
        <v/>
      </c>
      <c r="AB726">
        <f>HYPERLINK("https://klasma.github.io/Logging_0382/klagomålsmail/S 3586-2023 FSC-klagomål mail.docx", "S 3586-2023")</f>
        <v/>
      </c>
      <c r="AC726">
        <f>HYPERLINK("https://klasma.github.io/Logging_0382/tillsyn/S 3586-2023 tillsynsbegäran.docx", "S 3586-2023")</f>
        <v/>
      </c>
      <c r="AD726">
        <f>HYPERLINK("https://klasma.github.io/Logging_0382/tillsynsmail/S 3586-2023 tillsynsbegäran mail.docx", "S 3586-2023")</f>
        <v/>
      </c>
    </row>
    <row r="727" ht="15" customHeight="1">
      <c r="A727" t="inlineStr">
        <is>
          <t>S 3126-2023</t>
        </is>
      </c>
      <c r="B727" t="inlineStr">
        <is>
          <t>samrådsanmälan</t>
        </is>
      </c>
      <c r="C727" t="inlineStr">
        <is>
          <t>Annan skogsbruksåtgärd</t>
        </is>
      </c>
      <c r="D727" s="1" t="n">
        <v>45178</v>
      </c>
      <c r="E727" s="1" t="n">
        <v>46309</v>
      </c>
      <c r="F727" t="inlineStr">
        <is>
          <t>UPPSALA LÄN</t>
        </is>
      </c>
      <c r="G727" t="inlineStr">
        <is>
          <t>ÖSTHAMMAR</t>
        </is>
      </c>
      <c r="H727" t="inlineStr">
        <is>
          <t>Bergvik skog öst AB</t>
        </is>
      </c>
      <c r="I727" t="n">
        <v>42.4</v>
      </c>
      <c r="J727" t="n">
        <v>0</v>
      </c>
      <c r="K727" t="n">
        <v>1</v>
      </c>
      <c r="L727" t="n">
        <v>0</v>
      </c>
      <c r="M727" t="n">
        <v>0</v>
      </c>
      <c r="N727" t="n">
        <v>0</v>
      </c>
      <c r="O727" t="n">
        <v>0</v>
      </c>
      <c r="P727" t="n">
        <v>0</v>
      </c>
      <c r="Q727" t="n">
        <v>0</v>
      </c>
      <c r="R727" t="n">
        <v>0</v>
      </c>
      <c r="S727" t="n">
        <v>1</v>
      </c>
      <c r="T727" t="n">
        <v>1</v>
      </c>
      <c r="U727" t="n">
        <v>0</v>
      </c>
      <c r="V727" s="2" t="inlineStr">
        <is>
          <t>Granbarkgnagare</t>
        </is>
      </c>
      <c r="W727">
        <f>HYPERLINK("https://klasma.github.io/Logging_0382/artfynd/S 3126-2023 artfynd.xlsx", "S 3126-2023")</f>
        <v/>
      </c>
      <c r="X727">
        <f>HYPERLINK("https://klasma.github.io/Logging_0382/kartor/S 3126-2023 karta.png", "S 3126-2023")</f>
        <v/>
      </c>
      <c r="Y727">
        <f>HYPERLINK("https://klasma.github.io/Logging_0382/kartor_geotiff/S 3126-2023 georefererad karta.tif", "S 3126-2023")</f>
        <v/>
      </c>
      <c r="AA727">
        <f>HYPERLINK("https://klasma.github.io/Logging_0382/klagomål/S 3126-2023 FSC-klagomål.docx", "S 3126-2023")</f>
        <v/>
      </c>
      <c r="AB727">
        <f>HYPERLINK("https://klasma.github.io/Logging_0382/klagomålsmail/S 3126-2023 FSC-klagomål mail.docx", "S 3126-2023")</f>
        <v/>
      </c>
      <c r="AC727">
        <f>HYPERLINK("https://klasma.github.io/Logging_0382/tillsyn/S 3126-2023 tillsynsbegäran.docx", "S 3126-2023")</f>
        <v/>
      </c>
      <c r="AD727">
        <f>HYPERLINK("https://klasma.github.io/Logging_0382/tillsynsmail/S 3126-2023 tillsynsbegäran mail.docx", "S 3126-2023")</f>
        <v/>
      </c>
    </row>
    <row r="728" ht="15" customHeight="1">
      <c r="A728" t="inlineStr">
        <is>
          <t>S 3624-2024</t>
        </is>
      </c>
      <c r="B728" t="inlineStr">
        <is>
          <t>samrådsanmälan</t>
        </is>
      </c>
      <c r="C728" t="inlineStr">
        <is>
          <t>Annan skogsbruksåtgärd</t>
        </is>
      </c>
      <c r="D728" s="1" t="n">
        <v>45548</v>
      </c>
      <c r="E728" s="1" t="n">
        <v>46309</v>
      </c>
      <c r="F728" t="inlineStr">
        <is>
          <t>UPPSALA LÄN</t>
        </is>
      </c>
      <c r="G728" t="inlineStr">
        <is>
          <t>HEBY</t>
        </is>
      </c>
      <c r="I728" t="n">
        <v>1.5</v>
      </c>
      <c r="J728" t="n">
        <v>0</v>
      </c>
      <c r="K728" t="n">
        <v>0</v>
      </c>
      <c r="L728" t="n">
        <v>0</v>
      </c>
      <c r="M728" t="n">
        <v>1</v>
      </c>
      <c r="N728" t="n">
        <v>0</v>
      </c>
      <c r="O728" t="n">
        <v>0</v>
      </c>
      <c r="P728" t="n">
        <v>0</v>
      </c>
      <c r="Q728" t="n">
        <v>1</v>
      </c>
      <c r="R728" t="n">
        <v>1</v>
      </c>
      <c r="S728" t="n">
        <v>1</v>
      </c>
      <c r="T728" t="n">
        <v>1</v>
      </c>
      <c r="U728" t="n">
        <v>1</v>
      </c>
      <c r="V728" s="2" t="inlineStr">
        <is>
          <t>Gränsticka</t>
        </is>
      </c>
      <c r="W728">
        <f>HYPERLINK("https://klasma.github.io/Logging_0331/artfynd/S 3624-2024 artfynd.xlsx", "S 3624-2024")</f>
        <v/>
      </c>
      <c r="X728">
        <f>HYPERLINK("https://klasma.github.io/Logging_0331/kartor/S 3624-2024 karta.png", "S 3624-2024")</f>
        <v/>
      </c>
      <c r="Y728">
        <f>HYPERLINK("https://klasma.github.io/Logging_0331/kartor_geotiff/S 3624-2024 georefererad karta.tif", "S 3624-2024")</f>
        <v/>
      </c>
      <c r="AA728">
        <f>HYPERLINK("https://klasma.github.io/Logging_0331/klagomål/S 3624-2024 FSC-klagomål.docx", "S 3624-2024")</f>
        <v/>
      </c>
      <c r="AB728">
        <f>HYPERLINK("https://klasma.github.io/Logging_0331/klagomålsmail/S 3624-2024 FSC-klagomål mail.docx", "S 3624-2024")</f>
        <v/>
      </c>
      <c r="AC728">
        <f>HYPERLINK("https://klasma.github.io/Logging_0331/tillsyn/S 3624-2024 tillsynsbegäran.docx", "S 3624-2024")</f>
        <v/>
      </c>
      <c r="AD728">
        <f>HYPERLINK("https://klasma.github.io/Logging_0331/tillsynsmail/S 3624-2024 tillsynsbegäran mail.docx", "S 3624-2024")</f>
        <v/>
      </c>
    </row>
    <row r="729" ht="15" customHeight="1">
      <c r="A729" t="inlineStr">
        <is>
          <t>S 1000-2023</t>
        </is>
      </c>
      <c r="B729" t="inlineStr">
        <is>
          <t>samrådsanmälan</t>
        </is>
      </c>
      <c r="C729" t="inlineStr">
        <is>
          <t>Annan skogsbruksåtgärd</t>
        </is>
      </c>
      <c r="D729" s="1" t="n">
        <v>45007</v>
      </c>
      <c r="E729" s="1" t="n">
        <v>46309</v>
      </c>
      <c r="F729" t="inlineStr">
        <is>
          <t>UPPSALA LÄN</t>
        </is>
      </c>
      <c r="G729" t="inlineStr">
        <is>
          <t>ÖSTHAMMAR</t>
        </is>
      </c>
      <c r="I729" t="n">
        <v>0.2</v>
      </c>
      <c r="J729" t="n">
        <v>0</v>
      </c>
      <c r="K729" t="n">
        <v>0</v>
      </c>
      <c r="L729" t="n">
        <v>0</v>
      </c>
      <c r="M729" t="n">
        <v>0</v>
      </c>
      <c r="N729" t="n">
        <v>1</v>
      </c>
      <c r="O729" t="n">
        <v>0</v>
      </c>
      <c r="P729" t="n">
        <v>0</v>
      </c>
      <c r="Q729" t="n">
        <v>1</v>
      </c>
      <c r="R729" t="n">
        <v>1</v>
      </c>
      <c r="S729" t="n">
        <v>1</v>
      </c>
      <c r="T729" t="n">
        <v>2</v>
      </c>
      <c r="U729" t="n">
        <v>0</v>
      </c>
      <c r="V729" s="2" t="inlineStr">
        <is>
          <t>Violgubbe</t>
        </is>
      </c>
      <c r="W729">
        <f>HYPERLINK("https://klasma.github.io/Logging_0382/artfynd/S 1000-2023 artfynd.xlsx", "S 1000-2023")</f>
        <v/>
      </c>
      <c r="X729">
        <f>HYPERLINK("https://klasma.github.io/Logging_0382/kartor/S 1000-2023 karta.png", "S 1000-2023")</f>
        <v/>
      </c>
      <c r="Y729">
        <f>HYPERLINK("https://klasma.github.io/Logging_0382/kartor_geotiff/S 1000-2023 georefererad karta.tif", "S 1000-2023")</f>
        <v/>
      </c>
      <c r="AA729">
        <f>HYPERLINK("https://klasma.github.io/Logging_0382/klagomål/S 1000-2023 FSC-klagomål.docx", "S 1000-2023")</f>
        <v/>
      </c>
      <c r="AB729">
        <f>HYPERLINK("https://klasma.github.io/Logging_0382/klagomålsmail/S 1000-2023 FSC-klagomål mail.docx", "S 1000-2023")</f>
        <v/>
      </c>
      <c r="AC729">
        <f>HYPERLINK("https://klasma.github.io/Logging_0382/tillsyn/S 1000-2023 tillsynsbegäran.docx", "S 1000-2023")</f>
        <v/>
      </c>
      <c r="AD729">
        <f>HYPERLINK("https://klasma.github.io/Logging_0382/tillsynsmail/S 1000-2023 tillsynsbegäran mail.docx", "S 1000-2023")</f>
        <v/>
      </c>
    </row>
    <row r="730" ht="15" customHeight="1">
      <c r="A730" t="inlineStr">
        <is>
          <t>S 3579-2023</t>
        </is>
      </c>
      <c r="B730" t="inlineStr">
        <is>
          <t>samrådsanmälan</t>
        </is>
      </c>
      <c r="C730" t="inlineStr">
        <is>
          <t>Annan skogsbruksåtgärd</t>
        </is>
      </c>
      <c r="D730" s="1" t="n">
        <v>45211</v>
      </c>
      <c r="E730" s="1" t="n">
        <v>46309</v>
      </c>
      <c r="F730" t="inlineStr">
        <is>
          <t>UPPSALA LÄN</t>
        </is>
      </c>
      <c r="G730" t="inlineStr">
        <is>
          <t>HÅBO</t>
        </is>
      </c>
      <c r="H730" t="inlineStr">
        <is>
          <t>Kommuner</t>
        </is>
      </c>
      <c r="I730" t="n">
        <v>0.6</v>
      </c>
      <c r="J730" t="n">
        <v>1</v>
      </c>
      <c r="K730" t="n">
        <v>0</v>
      </c>
      <c r="L730" t="n">
        <v>0</v>
      </c>
      <c r="M730" t="n">
        <v>0</v>
      </c>
      <c r="N730" t="n">
        <v>1</v>
      </c>
      <c r="O730" t="n">
        <v>0</v>
      </c>
      <c r="P730" t="n">
        <v>0</v>
      </c>
      <c r="Q730" t="n">
        <v>1</v>
      </c>
      <c r="R730" t="n">
        <v>1</v>
      </c>
      <c r="S730" t="n">
        <v>1</v>
      </c>
      <c r="T730" t="n">
        <v>2</v>
      </c>
      <c r="U730" t="n">
        <v>0</v>
      </c>
      <c r="V730" s="2" t="inlineStr">
        <is>
          <t>Bombmurkla</t>
        </is>
      </c>
      <c r="W730">
        <f>HYPERLINK("https://klasma.github.io/Logging_0305/artfynd/S 3579-2023 artfynd.xlsx", "S 3579-2023")</f>
        <v/>
      </c>
      <c r="X730">
        <f>HYPERLINK("https://klasma.github.io/Logging_0305/kartor/S 3579-2023 karta.png", "S 3579-2023")</f>
        <v/>
      </c>
      <c r="Y730">
        <f>HYPERLINK("https://klasma.github.io/Logging_0305/kartor_geotiff/S 3579-2023 georefererad karta.tif", "S 3579-2023")</f>
        <v/>
      </c>
      <c r="AA730">
        <f>HYPERLINK("https://klasma.github.io/Logging_0305/klagomål/S 3579-2023 FSC-klagomål.docx", "S 3579-2023")</f>
        <v/>
      </c>
      <c r="AB730">
        <f>HYPERLINK("https://klasma.github.io/Logging_0305/klagomålsmail/S 3579-2023 FSC-klagomål mail.docx", "S 3579-2023")</f>
        <v/>
      </c>
      <c r="AC730">
        <f>HYPERLINK("https://klasma.github.io/Logging_0305/tillsyn/S 3579-2023 tillsynsbegäran.docx", "S 3579-2023")</f>
        <v/>
      </c>
      <c r="AD730">
        <f>HYPERLINK("https://klasma.github.io/Logging_0305/tillsynsmail/S 3579-2023 tillsynsbegäran mail.docx", "S 3579-2023")</f>
        <v/>
      </c>
    </row>
    <row r="731" ht="15" customHeight="1">
      <c r="A731" t="inlineStr">
        <is>
          <t>S 8274-2021</t>
        </is>
      </c>
      <c r="B731" t="inlineStr">
        <is>
          <t>samrådsanmälan</t>
        </is>
      </c>
      <c r="C731" t="inlineStr">
        <is>
          <t>Annan skogsbruksåtgärd</t>
        </is>
      </c>
      <c r="D731" s="1" t="n">
        <v>44491</v>
      </c>
      <c r="E731" s="1" t="n">
        <v>46309</v>
      </c>
      <c r="F731" t="inlineStr">
        <is>
          <t>UPPSALA LÄN</t>
        </is>
      </c>
      <c r="G731" t="inlineStr">
        <is>
          <t>ÖSTHAMMAR</t>
        </is>
      </c>
      <c r="I731" t="n">
        <v>1.7</v>
      </c>
      <c r="J731" t="n">
        <v>0</v>
      </c>
      <c r="K731" t="n">
        <v>0</v>
      </c>
      <c r="L731" t="n">
        <v>0</v>
      </c>
      <c r="M731" t="n">
        <v>1</v>
      </c>
      <c r="N731" t="n">
        <v>0</v>
      </c>
      <c r="O731" t="n">
        <v>0</v>
      </c>
      <c r="P731" t="n">
        <v>0</v>
      </c>
      <c r="Q731" t="n">
        <v>1</v>
      </c>
      <c r="R731" t="n">
        <v>1</v>
      </c>
      <c r="S731" t="n">
        <v>1</v>
      </c>
      <c r="T731" t="n">
        <v>1</v>
      </c>
      <c r="U731" t="n">
        <v>0</v>
      </c>
      <c r="V731" s="2" t="inlineStr">
        <is>
          <t>Gul taggsvamp</t>
        </is>
      </c>
      <c r="W731">
        <f>HYPERLINK("https://klasma.github.io/Logging_0382/artfynd/S 8274-2021 artfynd.xlsx", "S 8274-2021")</f>
        <v/>
      </c>
      <c r="X731">
        <f>HYPERLINK("https://klasma.github.io/Logging_0382/kartor/S 8274-2021 karta.png", "S 8274-2021")</f>
        <v/>
      </c>
      <c r="Y731">
        <f>HYPERLINK("https://klasma.github.io/Logging_0382/kartor_geotiff/S 8274-2021 georefererad karta.tif", "S 8274-2021")</f>
        <v/>
      </c>
      <c r="AA731">
        <f>HYPERLINK("https://klasma.github.io/Logging_0382/klagomål/S 8274-2021 FSC-klagomål.docx", "S 8274-2021")</f>
        <v/>
      </c>
      <c r="AB731">
        <f>HYPERLINK("https://klasma.github.io/Logging_0382/klagomålsmail/S 8274-2021 FSC-klagomål mail.docx", "S 8274-2021")</f>
        <v/>
      </c>
      <c r="AC731">
        <f>HYPERLINK("https://klasma.github.io/Logging_0382/tillsyn/S 8274-2021 tillsynsbegäran.docx", "S 8274-2021")</f>
        <v/>
      </c>
      <c r="AD731">
        <f>HYPERLINK("https://klasma.github.io/Logging_0382/tillsynsmail/S 8274-2021 tillsynsbegäran mail.docx", "S 8274-2021")</f>
        <v/>
      </c>
    </row>
    <row r="732" ht="15" customHeight="1">
      <c r="A732" t="inlineStr">
        <is>
          <t>S 1926-2023</t>
        </is>
      </c>
      <c r="B732" t="inlineStr">
        <is>
          <t>samrådsanmälan</t>
        </is>
      </c>
      <c r="C732" t="inlineStr">
        <is>
          <t>Annan skogsbruksåtgärd</t>
        </is>
      </c>
      <c r="D732" s="1" t="n">
        <v>45078</v>
      </c>
      <c r="E732" s="1" t="n">
        <v>46309</v>
      </c>
      <c r="F732" t="inlineStr">
        <is>
          <t>UPPSALA LÄN</t>
        </is>
      </c>
      <c r="G732" t="inlineStr">
        <is>
          <t>ÖSTHAMMAR</t>
        </is>
      </c>
      <c r="I732" t="n">
        <v>3.1</v>
      </c>
      <c r="J732" t="n">
        <v>1</v>
      </c>
      <c r="K732" t="n">
        <v>1</v>
      </c>
      <c r="L732" t="n">
        <v>0</v>
      </c>
      <c r="M732" t="n">
        <v>0</v>
      </c>
      <c r="N732" t="n">
        <v>0</v>
      </c>
      <c r="O732" t="n">
        <v>0</v>
      </c>
      <c r="P732" t="n">
        <v>0</v>
      </c>
      <c r="Q732" t="n">
        <v>0</v>
      </c>
      <c r="R732" t="n">
        <v>0</v>
      </c>
      <c r="S732" t="n">
        <v>1</v>
      </c>
      <c r="T732" t="n">
        <v>1</v>
      </c>
      <c r="U732" t="n">
        <v>0</v>
      </c>
      <c r="V732" s="2" t="inlineStr">
        <is>
          <t>Nästrot</t>
        </is>
      </c>
      <c r="W732">
        <f>HYPERLINK("https://klasma.github.io/Logging_0382/artfynd/S 1926-2023 artfynd.xlsx", "S 1926-2023")</f>
        <v/>
      </c>
      <c r="X732">
        <f>HYPERLINK("https://klasma.github.io/Logging_0382/kartor/S 1926-2023 karta.png", "S 1926-2023")</f>
        <v/>
      </c>
      <c r="Y732">
        <f>HYPERLINK("https://klasma.github.io/Logging_0382/kartor_geotiff/S 1926-2023 georefererad karta.tif", "S 1926-2023")</f>
        <v/>
      </c>
      <c r="AA732">
        <f>HYPERLINK("https://klasma.github.io/Logging_0382/klagomål/S 1926-2023 FSC-klagomål.docx", "S 1926-2023")</f>
        <v/>
      </c>
      <c r="AB732">
        <f>HYPERLINK("https://klasma.github.io/Logging_0382/klagomålsmail/S 1926-2023 FSC-klagomål mail.docx", "S 1926-2023")</f>
        <v/>
      </c>
      <c r="AC732">
        <f>HYPERLINK("https://klasma.github.io/Logging_0382/tillsyn/S 1926-2023 tillsynsbegäran.docx", "S 1926-2023")</f>
        <v/>
      </c>
      <c r="AD732">
        <f>HYPERLINK("https://klasma.github.io/Logging_0382/tillsynsmail/S 1926-2023 tillsynsbegäran mail.docx", "S 1926-2023")</f>
        <v/>
      </c>
    </row>
    <row r="733" ht="15" customHeight="1">
      <c r="A733" t="inlineStr">
        <is>
          <t>S 3035-2023</t>
        </is>
      </c>
      <c r="B733" t="inlineStr">
        <is>
          <t>samrådsanmälan</t>
        </is>
      </c>
      <c r="C733" t="inlineStr">
        <is>
          <t>Annan skogsbruksåtgärd</t>
        </is>
      </c>
      <c r="D733" s="1" t="n">
        <v>45177</v>
      </c>
      <c r="E733" s="1" t="n">
        <v>46309</v>
      </c>
      <c r="F733" t="inlineStr">
        <is>
          <t>UPPSALA LÄN</t>
        </is>
      </c>
      <c r="G733" t="inlineStr">
        <is>
          <t>ENKÖPING</t>
        </is>
      </c>
      <c r="I733" t="n">
        <v>5.9</v>
      </c>
      <c r="J733" t="n">
        <v>0</v>
      </c>
      <c r="K733" t="n">
        <v>0</v>
      </c>
      <c r="L733" t="n">
        <v>0</v>
      </c>
      <c r="M733" t="n">
        <v>1</v>
      </c>
      <c r="N733" t="n">
        <v>0</v>
      </c>
      <c r="O733" t="n">
        <v>0</v>
      </c>
      <c r="P733" t="n">
        <v>0</v>
      </c>
      <c r="Q733" t="n">
        <v>1</v>
      </c>
      <c r="R733" t="n">
        <v>1</v>
      </c>
      <c r="S733" t="n">
        <v>1</v>
      </c>
      <c r="T733" t="n">
        <v>2</v>
      </c>
      <c r="U733" t="n">
        <v>0</v>
      </c>
      <c r="V733" s="2" t="inlineStr">
        <is>
          <t>Frösöstarr</t>
        </is>
      </c>
      <c r="W733">
        <f>HYPERLINK("https://klasma.github.io/Logging_0381/artfynd/S 3035-2023 artfynd.xlsx", "S 3035-2023")</f>
        <v/>
      </c>
      <c r="X733">
        <f>HYPERLINK("https://klasma.github.io/Logging_0381/kartor/S 3035-2023 karta.png", "S 3035-2023")</f>
        <v/>
      </c>
      <c r="Y733">
        <f>HYPERLINK("https://klasma.github.io/Logging_0381/kartor_geotiff/S 3035-2023 georefererad karta.tif", "S 3035-2023")</f>
        <v/>
      </c>
      <c r="AA733">
        <f>HYPERLINK("https://klasma.github.io/Logging_0381/klagomål/S 3035-2023 FSC-klagomål.docx", "S 3035-2023")</f>
        <v/>
      </c>
      <c r="AB733">
        <f>HYPERLINK("https://klasma.github.io/Logging_0381/klagomålsmail/S 3035-2023 FSC-klagomål mail.docx", "S 3035-2023")</f>
        <v/>
      </c>
      <c r="AC733">
        <f>HYPERLINK("https://klasma.github.io/Logging_0381/tillsyn/S 3035-2023 tillsynsbegäran.docx", "S 3035-2023")</f>
        <v/>
      </c>
      <c r="AD733">
        <f>HYPERLINK("https://klasma.github.io/Logging_0381/tillsynsmail/S 3035-2023 tillsynsbegäran mail.docx", "S 3035-2023")</f>
        <v/>
      </c>
    </row>
    <row r="734" ht="15" customHeight="1">
      <c r="A734" t="inlineStr">
        <is>
          <t>S 4505-2023</t>
        </is>
      </c>
      <c r="B734" t="inlineStr">
        <is>
          <t>samrådsanmälan</t>
        </is>
      </c>
      <c r="C734" t="inlineStr">
        <is>
          <t>Skogsgödsling</t>
        </is>
      </c>
      <c r="D734" s="1" t="n">
        <v>45274</v>
      </c>
      <c r="E734" s="1" t="n">
        <v>46309</v>
      </c>
      <c r="F734" t="inlineStr">
        <is>
          <t>UPPSALA LÄN</t>
        </is>
      </c>
      <c r="G734" t="inlineStr">
        <is>
          <t>TIERP</t>
        </is>
      </c>
      <c r="H734" t="inlineStr">
        <is>
          <t>Bergvik skog väst AB</t>
        </is>
      </c>
      <c r="I734" t="n">
        <v>56.2</v>
      </c>
      <c r="J734" t="n">
        <v>1</v>
      </c>
      <c r="K734" t="n">
        <v>0</v>
      </c>
      <c r="L734" t="n">
        <v>0</v>
      </c>
      <c r="M734" t="n">
        <v>0</v>
      </c>
      <c r="N734" t="n">
        <v>0</v>
      </c>
      <c r="O734" t="n">
        <v>0</v>
      </c>
      <c r="P734" t="n">
        <v>0</v>
      </c>
      <c r="Q734" t="n">
        <v>0</v>
      </c>
      <c r="R734" t="n">
        <v>0</v>
      </c>
      <c r="S734" t="n">
        <v>1</v>
      </c>
      <c r="T734" t="n">
        <v>1</v>
      </c>
      <c r="U734" t="n">
        <v>0</v>
      </c>
      <c r="V734" s="2" t="inlineStr">
        <is>
          <t>Brudsporre</t>
        </is>
      </c>
      <c r="W734">
        <f>HYPERLINK("https://klasma.github.io/Logging_0360/artfynd/S 4505-2023 artfynd.xlsx", "S 4505-2023")</f>
        <v/>
      </c>
      <c r="X734">
        <f>HYPERLINK("https://klasma.github.io/Logging_0360/kartor/S 4505-2023 karta.png", "S 4505-2023")</f>
        <v/>
      </c>
      <c r="Y734">
        <f>HYPERLINK("https://klasma.github.io/Logging_0360/kartor_geotiff/S 4505-2023 georefererad karta.tif", "S 4505-2023")</f>
        <v/>
      </c>
      <c r="AA734">
        <f>HYPERLINK("https://klasma.github.io/Logging_0360/klagomål/S 4505-2023 FSC-klagomål.docx", "S 4505-2023")</f>
        <v/>
      </c>
      <c r="AB734">
        <f>HYPERLINK("https://klasma.github.io/Logging_0360/klagomålsmail/S 4505-2023 FSC-klagomål mail.docx", "S 4505-2023")</f>
        <v/>
      </c>
      <c r="AC734">
        <f>HYPERLINK("https://klasma.github.io/Logging_0360/tillsyn/S 4505-2023 tillsynsbegäran.docx", "S 4505-2023")</f>
        <v/>
      </c>
      <c r="AD734">
        <f>HYPERLINK("https://klasma.github.io/Logging_0360/tillsynsmail/S 4505-2023 tillsynsbegäran mail.docx", "S 4505-2023")</f>
        <v/>
      </c>
    </row>
    <row r="735" ht="15" customHeight="1">
      <c r="A735" t="inlineStr">
        <is>
          <t>S 707-2023</t>
        </is>
      </c>
      <c r="B735" t="inlineStr">
        <is>
          <t>samrådsanmälan</t>
        </is>
      </c>
      <c r="C735" t="inlineStr">
        <is>
          <t>Annan skogsbruksåtgärd</t>
        </is>
      </c>
      <c r="D735" s="1" t="n">
        <v>44984</v>
      </c>
      <c r="E735" s="1" t="n">
        <v>46309</v>
      </c>
      <c r="F735" t="inlineStr">
        <is>
          <t>UPPSALA LÄN</t>
        </is>
      </c>
      <c r="G735" t="inlineStr">
        <is>
          <t>UPPSALA</t>
        </is>
      </c>
      <c r="I735" t="n">
        <v>4.1</v>
      </c>
      <c r="J735" t="n">
        <v>0</v>
      </c>
      <c r="K735" t="n">
        <v>1</v>
      </c>
      <c r="L735" t="n">
        <v>0</v>
      </c>
      <c r="M735" t="n">
        <v>0</v>
      </c>
      <c r="N735" t="n">
        <v>0</v>
      </c>
      <c r="O735" t="n">
        <v>0</v>
      </c>
      <c r="P735" t="n">
        <v>0</v>
      </c>
      <c r="Q735" t="n">
        <v>0</v>
      </c>
      <c r="R735" t="n">
        <v>0</v>
      </c>
      <c r="S735" t="n">
        <v>1</v>
      </c>
      <c r="T735" t="n">
        <v>1</v>
      </c>
      <c r="U735" t="n">
        <v>1</v>
      </c>
      <c r="V735" s="2" t="inlineStr">
        <is>
          <t>Spindelbock</t>
        </is>
      </c>
      <c r="W735">
        <f>HYPERLINK("https://klasma.github.io/Logging_0380/artfynd/S 707-2023 artfynd.xlsx", "S 707-2023")</f>
        <v/>
      </c>
      <c r="X735">
        <f>HYPERLINK("https://klasma.github.io/Logging_0380/kartor/S 707-2023 karta.png", "S 707-2023")</f>
        <v/>
      </c>
      <c r="Y735">
        <f>HYPERLINK("https://klasma.github.io/Logging_0380/kartor_geotiff/S 707-2023 georefererad karta.tif", "S 707-2023")</f>
        <v/>
      </c>
      <c r="AA735">
        <f>HYPERLINK("https://klasma.github.io/Logging_0380/klagomål/S 707-2023 FSC-klagomål.docx", "S 707-2023")</f>
        <v/>
      </c>
      <c r="AB735">
        <f>HYPERLINK("https://klasma.github.io/Logging_0380/klagomålsmail/S 707-2023 FSC-klagomål mail.docx", "S 707-2023")</f>
        <v/>
      </c>
      <c r="AC735">
        <f>HYPERLINK("https://klasma.github.io/Logging_0380/tillsyn/S 707-2023 tillsynsbegäran.docx", "S 707-2023")</f>
        <v/>
      </c>
      <c r="AD735">
        <f>HYPERLINK("https://klasma.github.io/Logging_0380/tillsynsmail/S 707-2023 tillsynsbegäran mail.docx", "S 707-2023")</f>
        <v/>
      </c>
    </row>
    <row r="736" ht="15" customHeight="1">
      <c r="A736" t="inlineStr">
        <is>
          <t>S 1836-2025</t>
        </is>
      </c>
      <c r="B736" t="inlineStr">
        <is>
          <t>samrådsanmälan</t>
        </is>
      </c>
      <c r="C736" t="inlineStr">
        <is>
          <t>Annan skogsbruksåtgärd</t>
        </is>
      </c>
      <c r="D736" s="1" t="n">
        <v>45820</v>
      </c>
      <c r="E736" s="1" t="n">
        <v>46309</v>
      </c>
      <c r="F736" t="inlineStr">
        <is>
          <t>UPPSALA LÄN</t>
        </is>
      </c>
      <c r="G736" t="inlineStr">
        <is>
          <t>ÖSTHAMMAR</t>
        </is>
      </c>
      <c r="I736" t="n">
        <v>5.1</v>
      </c>
      <c r="J736" t="n">
        <v>0</v>
      </c>
      <c r="K736" t="n">
        <v>1</v>
      </c>
      <c r="L736" t="n">
        <v>0</v>
      </c>
      <c r="M736" t="n">
        <v>0</v>
      </c>
      <c r="N736" t="n">
        <v>0</v>
      </c>
      <c r="O736" t="n">
        <v>0</v>
      </c>
      <c r="P736" t="n">
        <v>0</v>
      </c>
      <c r="Q736" t="n">
        <v>0</v>
      </c>
      <c r="R736" t="n">
        <v>0</v>
      </c>
      <c r="S736" t="n">
        <v>1</v>
      </c>
      <c r="T736" t="n">
        <v>1</v>
      </c>
      <c r="U736" t="n">
        <v>0</v>
      </c>
      <c r="V736" s="2" t="inlineStr">
        <is>
          <t>Flagellkvastmossa</t>
        </is>
      </c>
      <c r="W736">
        <f>HYPERLINK("https://klasma.github.io/Logging_0382/artfynd/S 1836-2025 artfynd.xlsx", "S 1836-2025")</f>
        <v/>
      </c>
      <c r="X736">
        <f>HYPERLINK("https://klasma.github.io/Logging_0382/kartor/S 1836-2025 karta.png", "S 1836-2025")</f>
        <v/>
      </c>
      <c r="Y736">
        <f>HYPERLINK("https://klasma.github.io/Logging_0382/kartor_geotiff/S 1836-2025 georefererad karta.tif", "S 1836-2025")</f>
        <v/>
      </c>
      <c r="AA736">
        <f>HYPERLINK("https://klasma.github.io/Logging_0382/klagomål/S 1836-2025 FSC-klagomål.docx", "S 1836-2025")</f>
        <v/>
      </c>
      <c r="AB736">
        <f>HYPERLINK("https://klasma.github.io/Logging_0382/klagomålsmail/S 1836-2025 FSC-klagomål mail.docx", "S 1836-2025")</f>
        <v/>
      </c>
      <c r="AC736">
        <f>HYPERLINK("https://klasma.github.io/Logging_0382/tillsyn/S 1836-2025 tillsynsbegäran.docx", "S 1836-2025")</f>
        <v/>
      </c>
      <c r="AD736">
        <f>HYPERLINK("https://klasma.github.io/Logging_0382/tillsynsmail/S 1836-2025 tillsynsbegäran mail.docx", "S 1836-2025")</f>
        <v/>
      </c>
    </row>
    <row r="737" ht="15" customHeight="1">
      <c r="A737" t="inlineStr">
        <is>
          <t>S 785-2025</t>
        </is>
      </c>
      <c r="B737" t="inlineStr">
        <is>
          <t>samrådsanmälan</t>
        </is>
      </c>
      <c r="C737" t="inlineStr">
        <is>
          <t>Annan skogsbruksåtgärd</t>
        </is>
      </c>
      <c r="D737" s="1" t="n">
        <v>45728</v>
      </c>
      <c r="E737" s="1" t="n">
        <v>46309</v>
      </c>
      <c r="F737" t="inlineStr">
        <is>
          <t>UPPSALA LÄN</t>
        </is>
      </c>
      <c r="G737" t="inlineStr">
        <is>
          <t>ÖSTHAMMAR</t>
        </is>
      </c>
      <c r="I737" t="n">
        <v>16.9</v>
      </c>
      <c r="J737" t="n">
        <v>1</v>
      </c>
      <c r="K737" t="n">
        <v>1</v>
      </c>
      <c r="L737" t="n">
        <v>0</v>
      </c>
      <c r="M737" t="n">
        <v>0</v>
      </c>
      <c r="N737" t="n">
        <v>0</v>
      </c>
      <c r="O737" t="n">
        <v>0</v>
      </c>
      <c r="P737" t="n">
        <v>0</v>
      </c>
      <c r="Q737" t="n">
        <v>0</v>
      </c>
      <c r="R737" t="n">
        <v>0</v>
      </c>
      <c r="S737" t="n">
        <v>1</v>
      </c>
      <c r="T737" t="n">
        <v>1</v>
      </c>
      <c r="U737" t="n">
        <v>0</v>
      </c>
      <c r="V737" s="2" t="inlineStr">
        <is>
          <t>Skogsknipprot</t>
        </is>
      </c>
      <c r="W737">
        <f>HYPERLINK("https://klasma.github.io/Logging_0382/artfynd/S 785-2025 artfynd.xlsx", "S 785-2025")</f>
        <v/>
      </c>
      <c r="X737">
        <f>HYPERLINK("https://klasma.github.io/Logging_0382/kartor/S 785-2025 karta.png", "S 785-2025")</f>
        <v/>
      </c>
      <c r="Y737">
        <f>HYPERLINK("https://klasma.github.io/Logging_0382/kartor_geotiff/S 785-2025 georefererad karta.tif", "S 785-2025")</f>
        <v/>
      </c>
      <c r="AA737">
        <f>HYPERLINK("https://klasma.github.io/Logging_0382/klagomål/S 785-2025 FSC-klagomål.docx", "S 785-2025")</f>
        <v/>
      </c>
      <c r="AB737">
        <f>HYPERLINK("https://klasma.github.io/Logging_0382/klagomålsmail/S 785-2025 FSC-klagomål mail.docx", "S 785-2025")</f>
        <v/>
      </c>
      <c r="AC737">
        <f>HYPERLINK("https://klasma.github.io/Logging_0382/tillsyn/S 785-2025 tillsynsbegäran.docx", "S 785-2025")</f>
        <v/>
      </c>
      <c r="AD737">
        <f>HYPERLINK("https://klasma.github.io/Logging_0382/tillsynsmail/S 785-2025 tillsynsbegäran mail.docx", "S 785-2025")</f>
        <v/>
      </c>
    </row>
    <row r="738" ht="15" customHeight="1">
      <c r="A738" t="inlineStr">
        <is>
          <t>S 3399-2025</t>
        </is>
      </c>
      <c r="B738" t="inlineStr">
        <is>
          <t>samrådsanmälan</t>
        </is>
      </c>
      <c r="C738" t="inlineStr">
        <is>
          <t>Skogsgödsling</t>
        </is>
      </c>
      <c r="D738" s="1" t="n">
        <v>45994</v>
      </c>
      <c r="E738" s="1" t="n">
        <v>46309</v>
      </c>
      <c r="F738" t="inlineStr">
        <is>
          <t>UPPSALA LÄN</t>
        </is>
      </c>
      <c r="G738" t="inlineStr">
        <is>
          <t>UPPSALA</t>
        </is>
      </c>
      <c r="H738" t="inlineStr">
        <is>
          <t>Holmen skog AB</t>
        </is>
      </c>
      <c r="I738" t="n">
        <v>87.59999999999999</v>
      </c>
      <c r="J738" t="n">
        <v>0</v>
      </c>
      <c r="K738" t="n">
        <v>0</v>
      </c>
      <c r="L738" t="n">
        <v>0</v>
      </c>
      <c r="M738" t="n">
        <v>0</v>
      </c>
      <c r="N738" t="n">
        <v>1</v>
      </c>
      <c r="O738" t="n">
        <v>0</v>
      </c>
      <c r="P738" t="n">
        <v>0</v>
      </c>
      <c r="Q738" t="n">
        <v>1</v>
      </c>
      <c r="R738" t="n">
        <v>1</v>
      </c>
      <c r="S738" t="n">
        <v>1</v>
      </c>
      <c r="T738" t="n">
        <v>1</v>
      </c>
      <c r="U738" t="n">
        <v>0</v>
      </c>
      <c r="V738" s="2" t="inlineStr">
        <is>
          <t>Ask</t>
        </is>
      </c>
      <c r="W738">
        <f>HYPERLINK("https://klasma.github.io/Logging_0380/artfynd/S 3399-2025 artfynd.xlsx", "S 3399-2025")</f>
        <v/>
      </c>
      <c r="X738">
        <f>HYPERLINK("https://klasma.github.io/Logging_0380/kartor/S 3399-2025 karta.png", "S 3399-2025")</f>
        <v/>
      </c>
      <c r="Y738">
        <f>HYPERLINK("https://klasma.github.io/Logging_0380/kartor_geotiff/S 3399-2025 georefererad karta.tif", "S 3399-2025")</f>
        <v/>
      </c>
      <c r="AA738">
        <f>HYPERLINK("https://klasma.github.io/Logging_0380/klagomål/S 3399-2025 FSC-klagomål.docx", "S 3399-2025")</f>
        <v/>
      </c>
      <c r="AB738">
        <f>HYPERLINK("https://klasma.github.io/Logging_0380/klagomålsmail/S 3399-2025 FSC-klagomål mail.docx", "S 3399-2025")</f>
        <v/>
      </c>
      <c r="AC738">
        <f>HYPERLINK("https://klasma.github.io/Logging_0380/tillsyn/S 3399-2025 tillsynsbegäran.docx", "S 3399-2025")</f>
        <v/>
      </c>
      <c r="AD738">
        <f>HYPERLINK("https://klasma.github.io/Logging_0380/tillsynsmail/S 3399-2025 tillsynsbegäran mail.docx", "S 3399-2025")</f>
        <v/>
      </c>
    </row>
    <row r="739" ht="15" customHeight="1">
      <c r="A739" t="inlineStr">
        <is>
          <t>S 3395-2025</t>
        </is>
      </c>
      <c r="B739" t="inlineStr">
        <is>
          <t>samrådsanmälan</t>
        </is>
      </c>
      <c r="C739" t="inlineStr">
        <is>
          <t>Skogsgödsling</t>
        </is>
      </c>
      <c r="D739" s="1" t="n">
        <v>45994</v>
      </c>
      <c r="E739" s="1" t="n">
        <v>46309</v>
      </c>
      <c r="F739" t="inlineStr">
        <is>
          <t>UPPSALA LÄN</t>
        </is>
      </c>
      <c r="G739" t="inlineStr">
        <is>
          <t>UPPSALA</t>
        </is>
      </c>
      <c r="H739" t="inlineStr">
        <is>
          <t>Holmen skog AB</t>
        </is>
      </c>
      <c r="I739" t="n">
        <v>43.2</v>
      </c>
      <c r="J739" t="n">
        <v>0</v>
      </c>
      <c r="K739" t="n">
        <v>0</v>
      </c>
      <c r="L739" t="n">
        <v>1</v>
      </c>
      <c r="M739" t="n">
        <v>0</v>
      </c>
      <c r="N739" t="n">
        <v>0</v>
      </c>
      <c r="O739" t="n">
        <v>0</v>
      </c>
      <c r="P739" t="n">
        <v>0</v>
      </c>
      <c r="Q739" t="n">
        <v>1</v>
      </c>
      <c r="R739" t="n">
        <v>0</v>
      </c>
      <c r="S739" t="n">
        <v>1</v>
      </c>
      <c r="T739" t="n">
        <v>1</v>
      </c>
      <c r="U739" t="n">
        <v>1</v>
      </c>
      <c r="V739" s="2" t="inlineStr">
        <is>
          <t>Dropptaggsvamp</t>
        </is>
      </c>
      <c r="W739">
        <f>HYPERLINK("https://klasma.github.io/Logging_0380/artfynd/S 3395-2025 artfynd.xlsx", "S 3395-2025")</f>
        <v/>
      </c>
      <c r="X739">
        <f>HYPERLINK("https://klasma.github.io/Logging_0380/kartor/S 3395-2025 karta.png", "S 3395-2025")</f>
        <v/>
      </c>
      <c r="Y739">
        <f>HYPERLINK("https://klasma.github.io/Logging_0380/kartor_geotiff/S 3395-2025 georefererad karta.tif", "S 3395-2025")</f>
        <v/>
      </c>
      <c r="AA739">
        <f>HYPERLINK("https://klasma.github.io/Logging_0380/klagomål/S 3395-2025 FSC-klagomål.docx", "S 3395-2025")</f>
        <v/>
      </c>
      <c r="AB739">
        <f>HYPERLINK("https://klasma.github.io/Logging_0380/klagomålsmail/S 3395-2025 FSC-klagomål mail.docx", "S 3395-2025")</f>
        <v/>
      </c>
      <c r="AC739">
        <f>HYPERLINK("https://klasma.github.io/Logging_0380/tillsyn/S 3395-2025 tillsynsbegäran.docx", "S 3395-2025")</f>
        <v/>
      </c>
      <c r="AD739">
        <f>HYPERLINK("https://klasma.github.io/Logging_0380/tillsynsmail/S 3395-2025 tillsynsbegäran mail.docx", "S 3395-2025")</f>
        <v/>
      </c>
    </row>
    <row r="740" ht="15" customHeight="1">
      <c r="A740" t="inlineStr">
        <is>
          <t>S 883-2026</t>
        </is>
      </c>
      <c r="B740" t="inlineStr">
        <is>
          <t>samrådsanmälan</t>
        </is>
      </c>
      <c r="C740" t="inlineStr">
        <is>
          <t>Annan skogsbruksåtgärd</t>
        </is>
      </c>
      <c r="D740" s="1" t="n">
        <v>46107</v>
      </c>
      <c r="E740" s="1" t="n">
        <v>46309</v>
      </c>
      <c r="F740" t="inlineStr">
        <is>
          <t>UPPSALA LÄN</t>
        </is>
      </c>
      <c r="G740" t="inlineStr">
        <is>
          <t>HEBY</t>
        </is>
      </c>
      <c r="H740" t="inlineStr">
        <is>
          <t>Bergvik skog väst AB</t>
        </is>
      </c>
      <c r="I740" t="n">
        <v>0.7</v>
      </c>
      <c r="J740" t="n">
        <v>1</v>
      </c>
      <c r="K740" t="n">
        <v>0</v>
      </c>
      <c r="L740" t="n">
        <v>1</v>
      </c>
      <c r="M740" t="n">
        <v>0</v>
      </c>
      <c r="N740" t="n">
        <v>0</v>
      </c>
      <c r="O740" t="n">
        <v>0</v>
      </c>
      <c r="P740" t="n">
        <v>0</v>
      </c>
      <c r="Q740" t="n">
        <v>1</v>
      </c>
      <c r="R740" t="n">
        <v>0</v>
      </c>
      <c r="S740" t="n">
        <v>1</v>
      </c>
      <c r="T740" t="n">
        <v>1</v>
      </c>
      <c r="U740" t="n">
        <v>0</v>
      </c>
      <c r="V740" s="2" t="inlineStr">
        <is>
          <t>Talltita</t>
        </is>
      </c>
      <c r="W740">
        <f>HYPERLINK("https://klasma.github.io/Logging_0331/artfynd/S 883-2026 artfynd.xlsx", "S 883-2026")</f>
        <v/>
      </c>
      <c r="X740">
        <f>HYPERLINK("https://klasma.github.io/Logging_0331/kartor/S 883-2026 karta.png", "S 883-2026")</f>
        <v/>
      </c>
      <c r="Y740">
        <f>HYPERLINK("https://klasma.github.io/Logging_0331/kartor_geotiff/S 883-2026 georefererad karta.tif", "S 883-2026")</f>
        <v/>
      </c>
      <c r="AA740">
        <f>HYPERLINK("https://klasma.github.io/Logging_0331/klagomål/S 883-2026 FSC-klagomål.docx", "S 883-2026")</f>
        <v/>
      </c>
      <c r="AB740">
        <f>HYPERLINK("https://klasma.github.io/Logging_0331/klagomålsmail/S 883-2026 FSC-klagomål mail.docx", "S 883-2026")</f>
        <v/>
      </c>
      <c r="AC740">
        <f>HYPERLINK("https://klasma.github.io/Logging_0331/tillsyn/S 883-2026 tillsynsbegäran.docx", "S 883-2026")</f>
        <v/>
      </c>
      <c r="AD740">
        <f>HYPERLINK("https://klasma.github.io/Logging_0331/tillsynsmail/S 883-2026 tillsynsbegäran mail.docx", "S 883-2026")</f>
        <v/>
      </c>
      <c r="AE740">
        <f>HYPERLINK("https://klasma.github.io/Logging_0331/fåglar/S 883-2026 prioriterade fågelarter.docx", "S 883-2026")</f>
        <v/>
      </c>
    </row>
    <row r="741" ht="15" customHeight="1">
      <c r="A741" t="inlineStr">
        <is>
          <t>S 941-2026</t>
        </is>
      </c>
      <c r="B741" t="inlineStr">
        <is>
          <t>samrådsanmälan</t>
        </is>
      </c>
      <c r="C741" t="inlineStr">
        <is>
          <t>Annan skogsbruksåtgärd</t>
        </is>
      </c>
      <c r="D741" s="1" t="n">
        <v>46112</v>
      </c>
      <c r="E741" s="1" t="n">
        <v>46309</v>
      </c>
      <c r="F741" t="inlineStr">
        <is>
          <t>UPPSALA LÄN</t>
        </is>
      </c>
      <c r="G741" t="inlineStr">
        <is>
          <t>ÖSTHAMMAR</t>
        </is>
      </c>
      <c r="I741" t="n">
        <v>0.2</v>
      </c>
      <c r="J741" t="n">
        <v>1</v>
      </c>
      <c r="K741" t="n">
        <v>1</v>
      </c>
      <c r="L741" t="n">
        <v>0</v>
      </c>
      <c r="M741" t="n">
        <v>0</v>
      </c>
      <c r="N741" t="n">
        <v>0</v>
      </c>
      <c r="O741" t="n">
        <v>0</v>
      </c>
      <c r="P741" t="n">
        <v>0</v>
      </c>
      <c r="Q741" t="n">
        <v>0</v>
      </c>
      <c r="R741" t="n">
        <v>0</v>
      </c>
      <c r="S741" t="n">
        <v>1</v>
      </c>
      <c r="T741" t="n">
        <v>6</v>
      </c>
      <c r="U741" t="n">
        <v>0</v>
      </c>
      <c r="V741" s="2" t="inlineStr">
        <is>
          <t>Guckusko</t>
        </is>
      </c>
      <c r="W741">
        <f>HYPERLINK("https://klasma.github.io/Logging_0382/artfynd/S 941-2026 artfynd.xlsx", "S 941-2026")</f>
        <v/>
      </c>
      <c r="X741">
        <f>HYPERLINK("https://klasma.github.io/Logging_0382/kartor/S 941-2026 karta.png", "S 941-2026")</f>
        <v/>
      </c>
      <c r="Y741">
        <f>HYPERLINK("https://klasma.github.io/Logging_0382/kartor_geotiff/S 941-2026 georefererad karta.tif", "S 941-2026")</f>
        <v/>
      </c>
      <c r="AA741">
        <f>HYPERLINK("https://klasma.github.io/Logging_0382/klagomål/S 941-2026 FSC-klagomål.docx", "S 941-2026")</f>
        <v/>
      </c>
      <c r="AB741">
        <f>HYPERLINK("https://klasma.github.io/Logging_0382/klagomålsmail/S 941-2026 FSC-klagomål mail.docx", "S 941-2026")</f>
        <v/>
      </c>
      <c r="AC741">
        <f>HYPERLINK("https://klasma.github.io/Logging_0382/tillsyn/S 941-2026 tillsynsbegäran.docx", "S 941-2026")</f>
        <v/>
      </c>
      <c r="AD741">
        <f>HYPERLINK("https://klasma.github.io/Logging_0382/tillsynsmail/S 941-2026 tillsynsbegäran mail.docx", "S 941-2026")</f>
        <v/>
      </c>
    </row>
    <row r="742" ht="15" customHeight="1">
      <c r="A742" t="inlineStr">
        <is>
          <t>S 1833-2026</t>
        </is>
      </c>
      <c r="B742" t="inlineStr">
        <is>
          <t>samrådsanmälan</t>
        </is>
      </c>
      <c r="C742" t="inlineStr">
        <is>
          <t>Annan skogsbruksåtgärd</t>
        </is>
      </c>
      <c r="D742" s="1" t="n">
        <v>46191</v>
      </c>
      <c r="E742" s="1" t="n">
        <v>46309</v>
      </c>
      <c r="F742" t="inlineStr">
        <is>
          <t>UPPSALA LÄN</t>
        </is>
      </c>
      <c r="G742" t="inlineStr">
        <is>
          <t>ÖSTHAMMAR</t>
        </is>
      </c>
      <c r="I742" t="n">
        <v>0.5</v>
      </c>
      <c r="J742" t="n">
        <v>1</v>
      </c>
      <c r="K742" t="n">
        <v>1</v>
      </c>
      <c r="L742" t="n">
        <v>0</v>
      </c>
      <c r="M742" t="n">
        <v>0</v>
      </c>
      <c r="N742" t="n">
        <v>0</v>
      </c>
      <c r="O742" t="n">
        <v>0</v>
      </c>
      <c r="P742" t="n">
        <v>0</v>
      </c>
      <c r="Q742" t="n">
        <v>0</v>
      </c>
      <c r="R742" t="n">
        <v>0</v>
      </c>
      <c r="S742" t="n">
        <v>1</v>
      </c>
      <c r="T742" t="n">
        <v>1</v>
      </c>
      <c r="U742" t="n">
        <v>0</v>
      </c>
      <c r="V742" s="2" t="inlineStr">
        <is>
          <t>Guckusko</t>
        </is>
      </c>
      <c r="W742">
        <f>HYPERLINK("https://klasma.github.io/Logging_0382/artfynd/S 1833-2026 artfynd.xlsx", "S 1833-2026")</f>
        <v/>
      </c>
      <c r="X742">
        <f>HYPERLINK("https://klasma.github.io/Logging_0382/kartor/S 1833-2026 karta.png", "S 1833-2026")</f>
        <v/>
      </c>
      <c r="Y742">
        <f>HYPERLINK("https://klasma.github.io/Logging_0382/kartor_geotiff/S 1833-2026 georefererad karta.tif", "S 1833-2026")</f>
        <v/>
      </c>
      <c r="AA742">
        <f>HYPERLINK("https://klasma.github.io/Logging_0382/klagomål/S 1833-2026 FSC-klagomål.docx", "S 1833-2026")</f>
        <v/>
      </c>
      <c r="AB742">
        <f>HYPERLINK("https://klasma.github.io/Logging_0382/klagomålsmail/S 1833-2026 FSC-klagomål mail.docx", "S 1833-2026")</f>
        <v/>
      </c>
      <c r="AC742">
        <f>HYPERLINK("https://klasma.github.io/Logging_0382/tillsyn/S 1833-2026 tillsynsbegäran.docx", "S 1833-2026")</f>
        <v/>
      </c>
      <c r="AD742">
        <f>HYPERLINK("https://klasma.github.io/Logging_0382/tillsynsmail/S 1833-2026 tillsynsbegäran mail.docx", "S 1833-2026")</f>
        <v/>
      </c>
    </row>
    <row r="743" ht="15" customHeight="1">
      <c r="A743" t="inlineStr">
        <is>
          <t>S 1937-2026</t>
        </is>
      </c>
      <c r="B743" t="inlineStr">
        <is>
          <t>samrådsanmälan</t>
        </is>
      </c>
      <c r="C743" t="inlineStr">
        <is>
          <t>Annan skogsbruksåtgärd</t>
        </is>
      </c>
      <c r="D743" s="1" t="n">
        <v>46203</v>
      </c>
      <c r="E743" s="1" t="n">
        <v>46309</v>
      </c>
      <c r="F743" t="inlineStr">
        <is>
          <t>UPPSALA LÄN</t>
        </is>
      </c>
      <c r="G743" t="inlineStr">
        <is>
          <t>ENKÖPING</t>
        </is>
      </c>
      <c r="I743" t="n">
        <v>0.2</v>
      </c>
      <c r="J743" t="n">
        <v>0</v>
      </c>
      <c r="K743" t="n">
        <v>0</v>
      </c>
      <c r="L743" t="n">
        <v>1</v>
      </c>
      <c r="M743" t="n">
        <v>0</v>
      </c>
      <c r="N743" t="n">
        <v>0</v>
      </c>
      <c r="O743" t="n">
        <v>0</v>
      </c>
      <c r="P743" t="n">
        <v>0</v>
      </c>
      <c r="Q743" t="n">
        <v>1</v>
      </c>
      <c r="R743" t="n">
        <v>0</v>
      </c>
      <c r="S743" t="n">
        <v>1</v>
      </c>
      <c r="T743" t="n">
        <v>1</v>
      </c>
      <c r="U743" t="n">
        <v>0</v>
      </c>
      <c r="V743" s="2" t="inlineStr">
        <is>
          <t>Ullticka</t>
        </is>
      </c>
      <c r="W743">
        <f>HYPERLINK("https://klasma.github.io/Logging_0381/artfynd/S 1937-2026 artfynd.xlsx", "S 1937-2026")</f>
        <v/>
      </c>
      <c r="X743">
        <f>HYPERLINK("https://klasma.github.io/Logging_0381/kartor/S 1937-2026 karta.png", "S 1937-2026")</f>
        <v/>
      </c>
      <c r="Y743">
        <f>HYPERLINK("https://klasma.github.io/Logging_0381/kartor_geotiff/S 1937-2026 georefererad karta.tif", "S 1937-2026")</f>
        <v/>
      </c>
      <c r="AA743">
        <f>HYPERLINK("https://klasma.github.io/Logging_0381/klagomål/S 1937-2026 FSC-klagomål.docx", "S 1937-2026")</f>
        <v/>
      </c>
      <c r="AB743">
        <f>HYPERLINK("https://klasma.github.io/Logging_0381/klagomålsmail/S 1937-2026 FSC-klagomål mail.docx", "S 1937-2026")</f>
        <v/>
      </c>
      <c r="AC743">
        <f>HYPERLINK("https://klasma.github.io/Logging_0381/tillsyn/S 1937-2026 tillsynsbegäran.docx", "S 1937-2026")</f>
        <v/>
      </c>
      <c r="AD743">
        <f>HYPERLINK("https://klasma.github.io/Logging_0381/tillsynsmail/S 1937-2026 tillsynsbegäran mail.docx", "S 1937-2026")</f>
        <v/>
      </c>
    </row>
    <row r="744" ht="15" customHeight="1">
      <c r="A744" t="inlineStr">
        <is>
          <t>A 29841-2022</t>
        </is>
      </c>
      <c r="B744" t="inlineStr">
        <is>
          <t>avverkningsanmälan</t>
        </is>
      </c>
      <c r="C744" t="inlineStr">
        <is>
          <t>Föryngringsavverkning</t>
        </is>
      </c>
      <c r="D744" s="1" t="n">
        <v>44756</v>
      </c>
      <c r="E744" s="1" t="n">
        <v>46309</v>
      </c>
      <c r="F744" t="inlineStr">
        <is>
          <t>UPPSALA LÄN</t>
        </is>
      </c>
      <c r="G744" t="inlineStr">
        <is>
          <t>HEBY</t>
        </is>
      </c>
      <c r="H744" t="inlineStr">
        <is>
          <t>Bergvik skog öst AB</t>
        </is>
      </c>
      <c r="I744" t="n">
        <v>1.5</v>
      </c>
      <c r="J744" t="n">
        <v>0</v>
      </c>
      <c r="K744" t="n">
        <v>0</v>
      </c>
      <c r="L744" t="n">
        <v>0</v>
      </c>
      <c r="M744" t="n">
        <v>0</v>
      </c>
      <c r="N744" t="n">
        <v>0</v>
      </c>
      <c r="O744" t="n">
        <v>0</v>
      </c>
      <c r="P744" t="n">
        <v>0</v>
      </c>
      <c r="Q744" t="n">
        <v>0</v>
      </c>
      <c r="R744" t="n">
        <v>0</v>
      </c>
      <c r="S744" t="n">
        <v>0</v>
      </c>
      <c r="T744" t="n">
        <v>0</v>
      </c>
      <c r="U744" t="n">
        <v>0</v>
      </c>
      <c r="V744" s="2" t="inlineStr"/>
    </row>
    <row r="745" ht="15" customHeight="1">
      <c r="A745" t="inlineStr">
        <is>
          <t>A 55191-2022</t>
        </is>
      </c>
      <c r="B745" t="inlineStr">
        <is>
          <t>avverkningsanmälan</t>
        </is>
      </c>
      <c r="C745" t="inlineStr">
        <is>
          <t>Avverkning för annat ändamål</t>
        </is>
      </c>
      <c r="D745" s="1" t="n">
        <v>44886</v>
      </c>
      <c r="E745" s="1" t="n">
        <v>46309</v>
      </c>
      <c r="F745" t="inlineStr">
        <is>
          <t>UPPSALA LÄN</t>
        </is>
      </c>
      <c r="G745" t="inlineStr">
        <is>
          <t>HEBY</t>
        </is>
      </c>
      <c r="I745" t="n">
        <v>0.3</v>
      </c>
      <c r="J745" t="n">
        <v>0</v>
      </c>
      <c r="K745" t="n">
        <v>0</v>
      </c>
      <c r="L745" t="n">
        <v>0</v>
      </c>
      <c r="M745" t="n">
        <v>0</v>
      </c>
      <c r="N745" t="n">
        <v>0</v>
      </c>
      <c r="O745" t="n">
        <v>0</v>
      </c>
      <c r="P745" t="n">
        <v>0</v>
      </c>
      <c r="Q745" t="n">
        <v>0</v>
      </c>
      <c r="R745" t="n">
        <v>0</v>
      </c>
      <c r="S745" t="n">
        <v>0</v>
      </c>
      <c r="T745" t="n">
        <v>0</v>
      </c>
      <c r="U745" t="n">
        <v>0</v>
      </c>
      <c r="V745" s="2" t="inlineStr"/>
    </row>
    <row r="746" ht="15" customHeight="1">
      <c r="A746" t="inlineStr">
        <is>
          <t>A 43680-2022</t>
        </is>
      </c>
      <c r="B746" t="inlineStr">
        <is>
          <t>avverkningsanmälan</t>
        </is>
      </c>
      <c r="C746" t="inlineStr">
        <is>
          <t>Föryngringsavverkning</t>
        </is>
      </c>
      <c r="D746" s="1" t="n">
        <v>44837</v>
      </c>
      <c r="E746" s="1" t="n">
        <v>46309</v>
      </c>
      <c r="F746" t="inlineStr">
        <is>
          <t>UPPSALA LÄN</t>
        </is>
      </c>
      <c r="G746" t="inlineStr">
        <is>
          <t>TIERP</t>
        </is>
      </c>
      <c r="I746" t="n">
        <v>4.2</v>
      </c>
      <c r="J746" t="n">
        <v>0</v>
      </c>
      <c r="K746" t="n">
        <v>0</v>
      </c>
      <c r="L746" t="n">
        <v>0</v>
      </c>
      <c r="M746" t="n">
        <v>0</v>
      </c>
      <c r="N746" t="n">
        <v>0</v>
      </c>
      <c r="O746" t="n">
        <v>0</v>
      </c>
      <c r="P746" t="n">
        <v>0</v>
      </c>
      <c r="Q746" t="n">
        <v>0</v>
      </c>
      <c r="R746" t="n">
        <v>0</v>
      </c>
      <c r="S746" t="n">
        <v>0</v>
      </c>
      <c r="T746" t="n">
        <v>0</v>
      </c>
      <c r="U746" t="n">
        <v>0</v>
      </c>
      <c r="V746" s="2" t="inlineStr"/>
    </row>
    <row r="747" ht="15" customHeight="1">
      <c r="A747" t="inlineStr">
        <is>
          <t>A 3260-2022</t>
        </is>
      </c>
      <c r="B747" t="inlineStr">
        <is>
          <t>avverkningsanmälan</t>
        </is>
      </c>
      <c r="C747" t="inlineStr">
        <is>
          <t>Föryngringsavverkning</t>
        </is>
      </c>
      <c r="D747" s="1" t="n">
        <v>44583</v>
      </c>
      <c r="E747" s="1" t="n">
        <v>46309</v>
      </c>
      <c r="F747" t="inlineStr">
        <is>
          <t>UPPSALA LÄN</t>
        </is>
      </c>
      <c r="G747" t="inlineStr">
        <is>
          <t>UPPSALA</t>
        </is>
      </c>
      <c r="H747" t="inlineStr">
        <is>
          <t>Holmen skog AB</t>
        </is>
      </c>
      <c r="I747" t="n">
        <v>0.5</v>
      </c>
      <c r="J747" t="n">
        <v>0</v>
      </c>
      <c r="K747" t="n">
        <v>0</v>
      </c>
      <c r="L747" t="n">
        <v>0</v>
      </c>
      <c r="M747" t="n">
        <v>0</v>
      </c>
      <c r="N747" t="n">
        <v>0</v>
      </c>
      <c r="O747" t="n">
        <v>0</v>
      </c>
      <c r="P747" t="n">
        <v>0</v>
      </c>
      <c r="Q747" t="n">
        <v>0</v>
      </c>
      <c r="R747" t="n">
        <v>0</v>
      </c>
      <c r="S747" t="n">
        <v>0</v>
      </c>
      <c r="T747" t="n">
        <v>0</v>
      </c>
      <c r="U747" t="n">
        <v>0</v>
      </c>
      <c r="V747" s="2" t="inlineStr"/>
    </row>
    <row r="748" ht="15" customHeight="1">
      <c r="A748" t="inlineStr">
        <is>
          <t>A 61553-2021</t>
        </is>
      </c>
      <c r="B748" t="inlineStr">
        <is>
          <t>avverkningsanmälan</t>
        </is>
      </c>
      <c r="C748" t="inlineStr">
        <is>
          <t>Föryngringsavverkning</t>
        </is>
      </c>
      <c r="D748" s="1" t="n">
        <v>44501</v>
      </c>
      <c r="E748" s="1" t="n">
        <v>46309</v>
      </c>
      <c r="F748" t="inlineStr">
        <is>
          <t>UPPSALA LÄN</t>
        </is>
      </c>
      <c r="G748" t="inlineStr">
        <is>
          <t>ENKÖPING</t>
        </is>
      </c>
      <c r="I748" t="n">
        <v>1.3</v>
      </c>
      <c r="J748" t="n">
        <v>0</v>
      </c>
      <c r="K748" t="n">
        <v>0</v>
      </c>
      <c r="L748" t="n">
        <v>0</v>
      </c>
      <c r="M748" t="n">
        <v>0</v>
      </c>
      <c r="N748" t="n">
        <v>0</v>
      </c>
      <c r="O748" t="n">
        <v>0</v>
      </c>
      <c r="P748" t="n">
        <v>0</v>
      </c>
      <c r="Q748" t="n">
        <v>0</v>
      </c>
      <c r="R748" t="n">
        <v>0</v>
      </c>
      <c r="S748" t="n">
        <v>0</v>
      </c>
      <c r="T748" t="n">
        <v>0</v>
      </c>
      <c r="U748" t="n">
        <v>0</v>
      </c>
      <c r="V748" s="2" t="inlineStr"/>
    </row>
    <row r="749" ht="15" customHeight="1">
      <c r="A749" t="inlineStr">
        <is>
          <t>A 6853-2022</t>
        </is>
      </c>
      <c r="B749" t="inlineStr">
        <is>
          <t>avverkningsanmälan</t>
        </is>
      </c>
      <c r="C749" t="inlineStr">
        <is>
          <t>Föryngringsavverkning</t>
        </is>
      </c>
      <c r="D749" s="1" t="n">
        <v>44602</v>
      </c>
      <c r="E749" s="1" t="n">
        <v>46309</v>
      </c>
      <c r="F749" t="inlineStr">
        <is>
          <t>UPPSALA LÄN</t>
        </is>
      </c>
      <c r="G749" t="inlineStr">
        <is>
          <t>UPPSALA</t>
        </is>
      </c>
      <c r="I749" t="n">
        <v>12</v>
      </c>
      <c r="J749" t="n">
        <v>0</v>
      </c>
      <c r="K749" t="n">
        <v>0</v>
      </c>
      <c r="L749" t="n">
        <v>0</v>
      </c>
      <c r="M749" t="n">
        <v>0</v>
      </c>
      <c r="N749" t="n">
        <v>0</v>
      </c>
      <c r="O749" t="n">
        <v>0</v>
      </c>
      <c r="P749" t="n">
        <v>0</v>
      </c>
      <c r="Q749" t="n">
        <v>0</v>
      </c>
      <c r="R749" t="n">
        <v>0</v>
      </c>
      <c r="S749" t="n">
        <v>0</v>
      </c>
      <c r="T749" t="n">
        <v>0</v>
      </c>
      <c r="U749" t="n">
        <v>0</v>
      </c>
      <c r="V749" s="2" t="inlineStr"/>
    </row>
    <row r="750" ht="15" customHeight="1">
      <c r="A750" t="inlineStr">
        <is>
          <t>A 6863-2022</t>
        </is>
      </c>
      <c r="B750" t="inlineStr">
        <is>
          <t>avverkningsanmälan</t>
        </is>
      </c>
      <c r="C750" t="inlineStr">
        <is>
          <t>Föryngringsavverkning</t>
        </is>
      </c>
      <c r="D750" s="1" t="n">
        <v>44602</v>
      </c>
      <c r="E750" s="1" t="n">
        <v>46309</v>
      </c>
      <c r="F750" t="inlineStr">
        <is>
          <t>UPPSALA LÄN</t>
        </is>
      </c>
      <c r="G750" t="inlineStr">
        <is>
          <t>UPPSALA</t>
        </is>
      </c>
      <c r="I750" t="n">
        <v>1.5</v>
      </c>
      <c r="J750" t="n">
        <v>0</v>
      </c>
      <c r="K750" t="n">
        <v>0</v>
      </c>
      <c r="L750" t="n">
        <v>0</v>
      </c>
      <c r="M750" t="n">
        <v>0</v>
      </c>
      <c r="N750" t="n">
        <v>0</v>
      </c>
      <c r="O750" t="n">
        <v>0</v>
      </c>
      <c r="P750" t="n">
        <v>0</v>
      </c>
      <c r="Q750" t="n">
        <v>0</v>
      </c>
      <c r="R750" t="n">
        <v>0</v>
      </c>
      <c r="S750" t="n">
        <v>0</v>
      </c>
      <c r="T750" t="n">
        <v>0</v>
      </c>
      <c r="U750" t="n">
        <v>0</v>
      </c>
      <c r="V750" s="2" t="inlineStr"/>
    </row>
    <row r="751" ht="15" customHeight="1">
      <c r="A751" t="inlineStr">
        <is>
          <t>A 73983-2021</t>
        </is>
      </c>
      <c r="B751" t="inlineStr">
        <is>
          <t>avverkningsanmälan</t>
        </is>
      </c>
      <c r="C751" t="inlineStr">
        <is>
          <t>Föryngringsavverkning</t>
        </is>
      </c>
      <c r="D751" s="1" t="n">
        <v>44555</v>
      </c>
      <c r="E751" s="1" t="n">
        <v>46309</v>
      </c>
      <c r="F751" t="inlineStr">
        <is>
          <t>UPPSALA LÄN</t>
        </is>
      </c>
      <c r="G751" t="inlineStr">
        <is>
          <t>ÖSTHAMMAR</t>
        </is>
      </c>
      <c r="I751" t="n">
        <v>0.6</v>
      </c>
      <c r="J751" t="n">
        <v>0</v>
      </c>
      <c r="K751" t="n">
        <v>0</v>
      </c>
      <c r="L751" t="n">
        <v>0</v>
      </c>
      <c r="M751" t="n">
        <v>0</v>
      </c>
      <c r="N751" t="n">
        <v>0</v>
      </c>
      <c r="O751" t="n">
        <v>0</v>
      </c>
      <c r="P751" t="n">
        <v>0</v>
      </c>
      <c r="Q751" t="n">
        <v>0</v>
      </c>
      <c r="R751" t="n">
        <v>0</v>
      </c>
      <c r="S751" t="n">
        <v>0</v>
      </c>
      <c r="T751" t="n">
        <v>0</v>
      </c>
      <c r="U751" t="n">
        <v>0</v>
      </c>
      <c r="V751" s="2" t="inlineStr"/>
    </row>
    <row r="752" ht="15" customHeight="1">
      <c r="A752" t="inlineStr">
        <is>
          <t>A 8775-2022</t>
        </is>
      </c>
      <c r="B752" t="inlineStr">
        <is>
          <t>avverkningsanmälan</t>
        </is>
      </c>
      <c r="C752" t="inlineStr">
        <is>
          <t>Föryngringsavverkning</t>
        </is>
      </c>
      <c r="D752" s="1" t="n">
        <v>44614</v>
      </c>
      <c r="E752" s="1" t="n">
        <v>46309</v>
      </c>
      <c r="F752" t="inlineStr">
        <is>
          <t>UPPSALA LÄN</t>
        </is>
      </c>
      <c r="G752" t="inlineStr">
        <is>
          <t>ÖSTHAMMAR</t>
        </is>
      </c>
      <c r="I752" t="n">
        <v>0.3</v>
      </c>
      <c r="J752" t="n">
        <v>0</v>
      </c>
      <c r="K752" t="n">
        <v>0</v>
      </c>
      <c r="L752" t="n">
        <v>0</v>
      </c>
      <c r="M752" t="n">
        <v>0</v>
      </c>
      <c r="N752" t="n">
        <v>0</v>
      </c>
      <c r="O752" t="n">
        <v>0</v>
      </c>
      <c r="P752" t="n">
        <v>0</v>
      </c>
      <c r="Q752" t="n">
        <v>0</v>
      </c>
      <c r="R752" t="n">
        <v>0</v>
      </c>
      <c r="S752" t="n">
        <v>0</v>
      </c>
      <c r="T752" t="n">
        <v>0</v>
      </c>
      <c r="U752" t="n">
        <v>0</v>
      </c>
      <c r="V752" s="2" t="inlineStr"/>
    </row>
    <row r="753" ht="15" customHeight="1">
      <c r="A753" t="inlineStr">
        <is>
          <t>A 65811-2021</t>
        </is>
      </c>
      <c r="B753" t="inlineStr">
        <is>
          <t>avverkningsanmälan</t>
        </is>
      </c>
      <c r="C753" t="inlineStr">
        <is>
          <t>Föryngringsavverkning</t>
        </is>
      </c>
      <c r="D753" s="1" t="n">
        <v>44517</v>
      </c>
      <c r="E753" s="1" t="n">
        <v>46309</v>
      </c>
      <c r="F753" t="inlineStr">
        <is>
          <t>UPPSALA LÄN</t>
        </is>
      </c>
      <c r="G753" t="inlineStr">
        <is>
          <t>UPPSALA</t>
        </is>
      </c>
      <c r="I753" t="n">
        <v>0.3</v>
      </c>
      <c r="J753" t="n">
        <v>0</v>
      </c>
      <c r="K753" t="n">
        <v>0</v>
      </c>
      <c r="L753" t="n">
        <v>0</v>
      </c>
      <c r="M753" t="n">
        <v>0</v>
      </c>
      <c r="N753" t="n">
        <v>0</v>
      </c>
      <c r="O753" t="n">
        <v>0</v>
      </c>
      <c r="P753" t="n">
        <v>0</v>
      </c>
      <c r="Q753" t="n">
        <v>0</v>
      </c>
      <c r="R753" t="n">
        <v>0</v>
      </c>
      <c r="S753" t="n">
        <v>0</v>
      </c>
      <c r="T753" t="n">
        <v>0</v>
      </c>
      <c r="U753" t="n">
        <v>0</v>
      </c>
      <c r="V753" s="2" t="inlineStr"/>
    </row>
    <row r="754" ht="15" customHeight="1">
      <c r="A754" t="inlineStr">
        <is>
          <t>A 25076-2022</t>
        </is>
      </c>
      <c r="B754" t="inlineStr">
        <is>
          <t>avverkningsanmälan</t>
        </is>
      </c>
      <c r="C754" t="inlineStr">
        <is>
          <t>Avverkning för annat ändamål</t>
        </is>
      </c>
      <c r="D754" s="1" t="n">
        <v>44729</v>
      </c>
      <c r="E754" s="1" t="n">
        <v>46309</v>
      </c>
      <c r="F754" t="inlineStr">
        <is>
          <t>UPPSALA LÄN</t>
        </is>
      </c>
      <c r="G754" t="inlineStr">
        <is>
          <t>ÖSTHAMMAR</t>
        </is>
      </c>
      <c r="H754" t="inlineStr">
        <is>
          <t>Sveaskog</t>
        </is>
      </c>
      <c r="I754" t="n">
        <v>0.4</v>
      </c>
      <c r="J754" t="n">
        <v>0</v>
      </c>
      <c r="K754" t="n">
        <v>0</v>
      </c>
      <c r="L754" t="n">
        <v>0</v>
      </c>
      <c r="M754" t="n">
        <v>0</v>
      </c>
      <c r="N754" t="n">
        <v>0</v>
      </c>
      <c r="O754" t="n">
        <v>0</v>
      </c>
      <c r="P754" t="n">
        <v>0</v>
      </c>
      <c r="Q754" t="n">
        <v>0</v>
      </c>
      <c r="R754" t="n">
        <v>0</v>
      </c>
      <c r="S754" t="n">
        <v>0</v>
      </c>
      <c r="T754" t="n">
        <v>0</v>
      </c>
      <c r="U754" t="n">
        <v>0</v>
      </c>
      <c r="V754" s="2" t="inlineStr"/>
    </row>
    <row r="755" ht="15" customHeight="1">
      <c r="A755" t="inlineStr">
        <is>
          <t>A 612-2022</t>
        </is>
      </c>
      <c r="B755" t="inlineStr">
        <is>
          <t>avverkningsanmälan</t>
        </is>
      </c>
      <c r="C755" t="inlineStr">
        <is>
          <t>Föryngringsavverkning</t>
        </is>
      </c>
      <c r="D755" s="1" t="n">
        <v>44567</v>
      </c>
      <c r="E755" s="1" t="n">
        <v>46309</v>
      </c>
      <c r="F755" t="inlineStr">
        <is>
          <t>UPPSALA LÄN</t>
        </is>
      </c>
      <c r="G755" t="inlineStr">
        <is>
          <t>UPPSALA</t>
        </is>
      </c>
      <c r="H755" t="inlineStr">
        <is>
          <t>Holmen skog AB</t>
        </is>
      </c>
      <c r="I755" t="n">
        <v>6.6</v>
      </c>
      <c r="J755" t="n">
        <v>0</v>
      </c>
      <c r="K755" t="n">
        <v>0</v>
      </c>
      <c r="L755" t="n">
        <v>0</v>
      </c>
      <c r="M755" t="n">
        <v>0</v>
      </c>
      <c r="N755" t="n">
        <v>0</v>
      </c>
      <c r="O755" t="n">
        <v>0</v>
      </c>
      <c r="P755" t="n">
        <v>0</v>
      </c>
      <c r="Q755" t="n">
        <v>0</v>
      </c>
      <c r="R755" t="n">
        <v>0</v>
      </c>
      <c r="S755" t="n">
        <v>0</v>
      </c>
      <c r="T755" t="n">
        <v>0</v>
      </c>
      <c r="U755" t="n">
        <v>0</v>
      </c>
      <c r="V755" s="2" t="inlineStr"/>
    </row>
    <row r="756" ht="15" customHeight="1">
      <c r="A756" t="inlineStr">
        <is>
          <t>A 9824-2022</t>
        </is>
      </c>
      <c r="B756" t="inlineStr">
        <is>
          <t>avverkningsanmälan</t>
        </is>
      </c>
      <c r="C756" t="inlineStr">
        <is>
          <t>Föryngringsavverkning</t>
        </is>
      </c>
      <c r="D756" s="1" t="n">
        <v>44620</v>
      </c>
      <c r="E756" s="1" t="n">
        <v>46309</v>
      </c>
      <c r="F756" t="inlineStr">
        <is>
          <t>UPPSALA LÄN</t>
        </is>
      </c>
      <c r="G756" t="inlineStr">
        <is>
          <t>HEBY</t>
        </is>
      </c>
      <c r="I756" t="n">
        <v>2.4</v>
      </c>
      <c r="J756" t="n">
        <v>0</v>
      </c>
      <c r="K756" t="n">
        <v>0</v>
      </c>
      <c r="L756" t="n">
        <v>0</v>
      </c>
      <c r="M756" t="n">
        <v>0</v>
      </c>
      <c r="N756" t="n">
        <v>0</v>
      </c>
      <c r="O756" t="n">
        <v>0</v>
      </c>
      <c r="P756" t="n">
        <v>0</v>
      </c>
      <c r="Q756" t="n">
        <v>0</v>
      </c>
      <c r="R756" t="n">
        <v>0</v>
      </c>
      <c r="S756" t="n">
        <v>0</v>
      </c>
      <c r="T756" t="n">
        <v>0</v>
      </c>
      <c r="U756" t="n">
        <v>0</v>
      </c>
      <c r="V756" s="2" t="inlineStr"/>
    </row>
    <row r="757" ht="15" customHeight="1">
      <c r="A757" t="inlineStr">
        <is>
          <t>A 25434-2022</t>
        </is>
      </c>
      <c r="B757" t="inlineStr">
        <is>
          <t>avverkningsanmälan</t>
        </is>
      </c>
      <c r="C757" t="inlineStr">
        <is>
          <t>Föryngringsavverkning</t>
        </is>
      </c>
      <c r="D757" s="1" t="n">
        <v>44732</v>
      </c>
      <c r="E757" s="1" t="n">
        <v>46309</v>
      </c>
      <c r="F757" t="inlineStr">
        <is>
          <t>UPPSALA LÄN</t>
        </is>
      </c>
      <c r="G757" t="inlineStr">
        <is>
          <t>ÖSTHAMMAR</t>
        </is>
      </c>
      <c r="I757" t="n">
        <v>0.8</v>
      </c>
      <c r="J757" t="n">
        <v>0</v>
      </c>
      <c r="K757" t="n">
        <v>0</v>
      </c>
      <c r="L757" t="n">
        <v>0</v>
      </c>
      <c r="M757" t="n">
        <v>0</v>
      </c>
      <c r="N757" t="n">
        <v>0</v>
      </c>
      <c r="O757" t="n">
        <v>0</v>
      </c>
      <c r="P757" t="n">
        <v>0</v>
      </c>
      <c r="Q757" t="n">
        <v>0</v>
      </c>
      <c r="R757" t="n">
        <v>0</v>
      </c>
      <c r="S757" t="n">
        <v>0</v>
      </c>
      <c r="T757" t="n">
        <v>0</v>
      </c>
      <c r="U757" t="n">
        <v>0</v>
      </c>
      <c r="V757" s="2" t="inlineStr"/>
    </row>
    <row r="758" ht="15" customHeight="1">
      <c r="A758" t="inlineStr">
        <is>
          <t>A 10287-2022</t>
        </is>
      </c>
      <c r="B758" t="inlineStr">
        <is>
          <t>avverkningsanmälan</t>
        </is>
      </c>
      <c r="C758" t="inlineStr">
        <is>
          <t>Föryngringsavverkning</t>
        </is>
      </c>
      <c r="D758" s="1" t="n">
        <v>44622</v>
      </c>
      <c r="E758" s="1" t="n">
        <v>46309</v>
      </c>
      <c r="F758" t="inlineStr">
        <is>
          <t>UPPSALA LÄN</t>
        </is>
      </c>
      <c r="G758" t="inlineStr">
        <is>
          <t>ÖSTHAMMAR</t>
        </is>
      </c>
      <c r="H758" t="inlineStr">
        <is>
          <t>Bergvik skog öst AB</t>
        </is>
      </c>
      <c r="I758" t="n">
        <v>0.2</v>
      </c>
      <c r="J758" t="n">
        <v>0</v>
      </c>
      <c r="K758" t="n">
        <v>0</v>
      </c>
      <c r="L758" t="n">
        <v>0</v>
      </c>
      <c r="M758" t="n">
        <v>0</v>
      </c>
      <c r="N758" t="n">
        <v>0</v>
      </c>
      <c r="O758" t="n">
        <v>0</v>
      </c>
      <c r="P758" t="n">
        <v>0</v>
      </c>
      <c r="Q758" t="n">
        <v>0</v>
      </c>
      <c r="R758" t="n">
        <v>0</v>
      </c>
      <c r="S758" t="n">
        <v>0</v>
      </c>
      <c r="T758" t="n">
        <v>0</v>
      </c>
      <c r="U758" t="n">
        <v>0</v>
      </c>
      <c r="V758" s="2" t="inlineStr"/>
    </row>
    <row r="759" ht="15" customHeight="1">
      <c r="A759" t="inlineStr">
        <is>
          <t>A 61555-2021</t>
        </is>
      </c>
      <c r="B759" t="inlineStr">
        <is>
          <t>avverkningsanmälan</t>
        </is>
      </c>
      <c r="C759" t="inlineStr">
        <is>
          <t>Föryngringsavverkning</t>
        </is>
      </c>
      <c r="D759" s="1" t="n">
        <v>44501</v>
      </c>
      <c r="E759" s="1" t="n">
        <v>46309</v>
      </c>
      <c r="F759" t="inlineStr">
        <is>
          <t>UPPSALA LÄN</t>
        </is>
      </c>
      <c r="G759" t="inlineStr">
        <is>
          <t>ÖSTHAMMAR</t>
        </is>
      </c>
      <c r="H759" t="inlineStr">
        <is>
          <t>Sveaskog</t>
        </is>
      </c>
      <c r="I759" t="n">
        <v>0.6</v>
      </c>
      <c r="J759" t="n">
        <v>0</v>
      </c>
      <c r="K759" t="n">
        <v>0</v>
      </c>
      <c r="L759" t="n">
        <v>0</v>
      </c>
      <c r="M759" t="n">
        <v>0</v>
      </c>
      <c r="N759" t="n">
        <v>0</v>
      </c>
      <c r="O759" t="n">
        <v>0</v>
      </c>
      <c r="P759" t="n">
        <v>0</v>
      </c>
      <c r="Q759" t="n">
        <v>0</v>
      </c>
      <c r="R759" t="n">
        <v>0</v>
      </c>
      <c r="S759" t="n">
        <v>0</v>
      </c>
      <c r="T759" t="n">
        <v>0</v>
      </c>
      <c r="U759" t="n">
        <v>0</v>
      </c>
      <c r="V759" s="2" t="inlineStr"/>
    </row>
    <row r="760" ht="15" customHeight="1">
      <c r="A760" t="inlineStr">
        <is>
          <t>A 61076-2021</t>
        </is>
      </c>
      <c r="B760" t="inlineStr">
        <is>
          <t>avverkningsanmälan</t>
        </is>
      </c>
      <c r="C760" t="inlineStr">
        <is>
          <t>Föryngringsavverkning</t>
        </is>
      </c>
      <c r="D760" s="1" t="n">
        <v>44497</v>
      </c>
      <c r="E760" s="1" t="n">
        <v>46309</v>
      </c>
      <c r="F760" t="inlineStr">
        <is>
          <t>UPPSALA LÄN</t>
        </is>
      </c>
      <c r="G760" t="inlineStr">
        <is>
          <t>ENKÖPING</t>
        </is>
      </c>
      <c r="I760" t="n">
        <v>0.2</v>
      </c>
      <c r="J760" t="n">
        <v>0</v>
      </c>
      <c r="K760" t="n">
        <v>0</v>
      </c>
      <c r="L760" t="n">
        <v>0</v>
      </c>
      <c r="M760" t="n">
        <v>0</v>
      </c>
      <c r="N760" t="n">
        <v>0</v>
      </c>
      <c r="O760" t="n">
        <v>0</v>
      </c>
      <c r="P760" t="n">
        <v>0</v>
      </c>
      <c r="Q760" t="n">
        <v>0</v>
      </c>
      <c r="R760" t="n">
        <v>0</v>
      </c>
      <c r="S760" t="n">
        <v>0</v>
      </c>
      <c r="T760" t="n">
        <v>0</v>
      </c>
      <c r="U760" t="n">
        <v>0</v>
      </c>
      <c r="V760" s="2" t="inlineStr"/>
    </row>
    <row r="761" ht="15" customHeight="1">
      <c r="A761" t="inlineStr">
        <is>
          <t>A 72225-2021</t>
        </is>
      </c>
      <c r="B761" t="inlineStr">
        <is>
          <t>avverkningsanmälan</t>
        </is>
      </c>
      <c r="C761" t="inlineStr">
        <is>
          <t>Föryngringsavverkning</t>
        </is>
      </c>
      <c r="D761" s="1" t="n">
        <v>44544</v>
      </c>
      <c r="E761" s="1" t="n">
        <v>46309</v>
      </c>
      <c r="F761" t="inlineStr">
        <is>
          <t>UPPSALA LÄN</t>
        </is>
      </c>
      <c r="G761" t="inlineStr">
        <is>
          <t>UPPSALA</t>
        </is>
      </c>
      <c r="I761" t="n">
        <v>6.2</v>
      </c>
      <c r="J761" t="n">
        <v>0</v>
      </c>
      <c r="K761" t="n">
        <v>0</v>
      </c>
      <c r="L761" t="n">
        <v>0</v>
      </c>
      <c r="M761" t="n">
        <v>0</v>
      </c>
      <c r="N761" t="n">
        <v>0</v>
      </c>
      <c r="O761" t="n">
        <v>0</v>
      </c>
      <c r="P761" t="n">
        <v>0</v>
      </c>
      <c r="Q761" t="n">
        <v>0</v>
      </c>
      <c r="R761" t="n">
        <v>0</v>
      </c>
      <c r="S761" t="n">
        <v>0</v>
      </c>
      <c r="T761" t="n">
        <v>0</v>
      </c>
      <c r="U761" t="n">
        <v>0</v>
      </c>
      <c r="V761" s="2" t="inlineStr"/>
    </row>
    <row r="762" ht="15" customHeight="1">
      <c r="A762" t="inlineStr">
        <is>
          <t>A 68139-2021</t>
        </is>
      </c>
      <c r="B762" t="inlineStr">
        <is>
          <t>avverkningsanmälan</t>
        </is>
      </c>
      <c r="C762" t="inlineStr">
        <is>
          <t>Föryngringsavverkning</t>
        </is>
      </c>
      <c r="D762" s="1" t="n">
        <v>44526</v>
      </c>
      <c r="E762" s="1" t="n">
        <v>46309</v>
      </c>
      <c r="F762" t="inlineStr">
        <is>
          <t>UPPSALA LÄN</t>
        </is>
      </c>
      <c r="G762" t="inlineStr">
        <is>
          <t>UPPSALA</t>
        </is>
      </c>
      <c r="H762" t="inlineStr">
        <is>
          <t>Bergvik skog öst AB</t>
        </is>
      </c>
      <c r="I762" t="n">
        <v>3.4</v>
      </c>
      <c r="J762" t="n">
        <v>0</v>
      </c>
      <c r="K762" t="n">
        <v>0</v>
      </c>
      <c r="L762" t="n">
        <v>0</v>
      </c>
      <c r="M762" t="n">
        <v>0</v>
      </c>
      <c r="N762" t="n">
        <v>0</v>
      </c>
      <c r="O762" t="n">
        <v>0</v>
      </c>
      <c r="P762" t="n">
        <v>0</v>
      </c>
      <c r="Q762" t="n">
        <v>0</v>
      </c>
      <c r="R762" t="n">
        <v>0</v>
      </c>
      <c r="S762" t="n">
        <v>0</v>
      </c>
      <c r="T762" t="n">
        <v>0</v>
      </c>
      <c r="U762" t="n">
        <v>0</v>
      </c>
      <c r="V762" s="2" t="inlineStr"/>
    </row>
    <row r="763" ht="15" customHeight="1">
      <c r="A763" t="inlineStr">
        <is>
          <t>A 74473-2021</t>
        </is>
      </c>
      <c r="B763" t="inlineStr">
        <is>
          <t>avverkningsanmälan</t>
        </is>
      </c>
      <c r="C763" t="inlineStr">
        <is>
          <t>Föryngringsavverkning</t>
        </is>
      </c>
      <c r="D763" s="1" t="n">
        <v>44560</v>
      </c>
      <c r="E763" s="1" t="n">
        <v>46309</v>
      </c>
      <c r="F763" t="inlineStr">
        <is>
          <t>UPPSALA LÄN</t>
        </is>
      </c>
      <c r="G763" t="inlineStr">
        <is>
          <t>TIERP</t>
        </is>
      </c>
      <c r="I763" t="n">
        <v>0.5</v>
      </c>
      <c r="J763" t="n">
        <v>0</v>
      </c>
      <c r="K763" t="n">
        <v>0</v>
      </c>
      <c r="L763" t="n">
        <v>0</v>
      </c>
      <c r="M763" t="n">
        <v>0</v>
      </c>
      <c r="N763" t="n">
        <v>0</v>
      </c>
      <c r="O763" t="n">
        <v>0</v>
      </c>
      <c r="P763" t="n">
        <v>0</v>
      </c>
      <c r="Q763" t="n">
        <v>0</v>
      </c>
      <c r="R763" t="n">
        <v>0</v>
      </c>
      <c r="S763" t="n">
        <v>0</v>
      </c>
      <c r="T763" t="n">
        <v>0</v>
      </c>
      <c r="U763" t="n">
        <v>0</v>
      </c>
      <c r="V763" s="2" t="inlineStr"/>
    </row>
    <row r="764" ht="15" customHeight="1">
      <c r="A764" t="inlineStr">
        <is>
          <t>A 5204-2022</t>
        </is>
      </c>
      <c r="B764" t="inlineStr">
        <is>
          <t>avverkningsanmälan</t>
        </is>
      </c>
      <c r="C764" t="inlineStr">
        <is>
          <t>Föryngringsavverkning</t>
        </is>
      </c>
      <c r="D764" s="1" t="n">
        <v>44594</v>
      </c>
      <c r="E764" s="1" t="n">
        <v>46309</v>
      </c>
      <c r="F764" t="inlineStr">
        <is>
          <t>UPPSALA LÄN</t>
        </is>
      </c>
      <c r="G764" t="inlineStr">
        <is>
          <t>TIERP</t>
        </is>
      </c>
      <c r="H764" t="inlineStr">
        <is>
          <t>Bergvik skog öst AB</t>
        </is>
      </c>
      <c r="I764" t="n">
        <v>0.9</v>
      </c>
      <c r="J764" t="n">
        <v>0</v>
      </c>
      <c r="K764" t="n">
        <v>0</v>
      </c>
      <c r="L764" t="n">
        <v>0</v>
      </c>
      <c r="M764" t="n">
        <v>0</v>
      </c>
      <c r="N764" t="n">
        <v>0</v>
      </c>
      <c r="O764" t="n">
        <v>0</v>
      </c>
      <c r="P764" t="n">
        <v>0</v>
      </c>
      <c r="Q764" t="n">
        <v>0</v>
      </c>
      <c r="R764" t="n">
        <v>0</v>
      </c>
      <c r="S764" t="n">
        <v>0</v>
      </c>
      <c r="T764" t="n">
        <v>0</v>
      </c>
      <c r="U764" t="n">
        <v>0</v>
      </c>
      <c r="V764" s="2" t="inlineStr"/>
    </row>
    <row r="765" ht="15" customHeight="1">
      <c r="A765" t="inlineStr">
        <is>
          <t>A 58897-2021</t>
        </is>
      </c>
      <c r="B765" t="inlineStr">
        <is>
          <t>avverkningsanmälan</t>
        </is>
      </c>
      <c r="C765" t="inlineStr">
        <is>
          <t>Föryngringsavverkning</t>
        </is>
      </c>
      <c r="D765" s="1" t="n">
        <v>44489</v>
      </c>
      <c r="E765" s="1" t="n">
        <v>46309</v>
      </c>
      <c r="F765" t="inlineStr">
        <is>
          <t>UPPSALA LÄN</t>
        </is>
      </c>
      <c r="G765" t="inlineStr">
        <is>
          <t>UPPSALA</t>
        </is>
      </c>
      <c r="I765" t="n">
        <v>8.800000000000001</v>
      </c>
      <c r="J765" t="n">
        <v>0</v>
      </c>
      <c r="K765" t="n">
        <v>0</v>
      </c>
      <c r="L765" t="n">
        <v>0</v>
      </c>
      <c r="M765" t="n">
        <v>0</v>
      </c>
      <c r="N765" t="n">
        <v>0</v>
      </c>
      <c r="O765" t="n">
        <v>0</v>
      </c>
      <c r="P765" t="n">
        <v>0</v>
      </c>
      <c r="Q765" t="n">
        <v>0</v>
      </c>
      <c r="R765" t="n">
        <v>0</v>
      </c>
      <c r="S765" t="n">
        <v>0</v>
      </c>
      <c r="T765" t="n">
        <v>0</v>
      </c>
      <c r="U765" t="n">
        <v>0</v>
      </c>
      <c r="V765" s="2" t="inlineStr"/>
    </row>
    <row r="766" ht="15" customHeight="1">
      <c r="A766" t="inlineStr">
        <is>
          <t>A 10288-2022</t>
        </is>
      </c>
      <c r="B766" t="inlineStr">
        <is>
          <t>avverkningsanmälan</t>
        </is>
      </c>
      <c r="C766" t="inlineStr">
        <is>
          <t>Föryngringsavverkning</t>
        </is>
      </c>
      <c r="D766" s="1" t="n">
        <v>44622</v>
      </c>
      <c r="E766" s="1" t="n">
        <v>46309</v>
      </c>
      <c r="F766" t="inlineStr">
        <is>
          <t>UPPSALA LÄN</t>
        </is>
      </c>
      <c r="G766" t="inlineStr">
        <is>
          <t>ÖSTHAMMAR</t>
        </is>
      </c>
      <c r="H766" t="inlineStr">
        <is>
          <t>Bergvik skog öst AB</t>
        </is>
      </c>
      <c r="I766" t="n">
        <v>0.3</v>
      </c>
      <c r="J766" t="n">
        <v>0</v>
      </c>
      <c r="K766" t="n">
        <v>0</v>
      </c>
      <c r="L766" t="n">
        <v>0</v>
      </c>
      <c r="M766" t="n">
        <v>0</v>
      </c>
      <c r="N766" t="n">
        <v>0</v>
      </c>
      <c r="O766" t="n">
        <v>0</v>
      </c>
      <c r="P766" t="n">
        <v>0</v>
      </c>
      <c r="Q766" t="n">
        <v>0</v>
      </c>
      <c r="R766" t="n">
        <v>0</v>
      </c>
      <c r="S766" t="n">
        <v>0</v>
      </c>
      <c r="T766" t="n">
        <v>0</v>
      </c>
      <c r="U766" t="n">
        <v>0</v>
      </c>
      <c r="V766" s="2" t="inlineStr"/>
    </row>
    <row r="767" ht="15" customHeight="1">
      <c r="A767" t="inlineStr">
        <is>
          <t>A 66298-2021</t>
        </is>
      </c>
      <c r="B767" t="inlineStr">
        <is>
          <t>avverkningsanmälan</t>
        </is>
      </c>
      <c r="C767" t="inlineStr">
        <is>
          <t>Föryngringsavverkning</t>
        </is>
      </c>
      <c r="D767" s="1" t="n">
        <v>44518</v>
      </c>
      <c r="E767" s="1" t="n">
        <v>46309</v>
      </c>
      <c r="F767" t="inlineStr">
        <is>
          <t>UPPSALA LÄN</t>
        </is>
      </c>
      <c r="G767" t="inlineStr">
        <is>
          <t>KNIVSTA</t>
        </is>
      </c>
      <c r="I767" t="n">
        <v>0.9</v>
      </c>
      <c r="J767" t="n">
        <v>0</v>
      </c>
      <c r="K767" t="n">
        <v>0</v>
      </c>
      <c r="L767" t="n">
        <v>0</v>
      </c>
      <c r="M767" t="n">
        <v>0</v>
      </c>
      <c r="N767" t="n">
        <v>0</v>
      </c>
      <c r="O767" t="n">
        <v>0</v>
      </c>
      <c r="P767" t="n">
        <v>0</v>
      </c>
      <c r="Q767" t="n">
        <v>0</v>
      </c>
      <c r="R767" t="n">
        <v>0</v>
      </c>
      <c r="S767" t="n">
        <v>0</v>
      </c>
      <c r="T767" t="n">
        <v>0</v>
      </c>
      <c r="U767" t="n">
        <v>0</v>
      </c>
      <c r="V767" s="2" t="inlineStr"/>
    </row>
    <row r="768" ht="15" customHeight="1">
      <c r="A768" t="inlineStr">
        <is>
          <t>A 18727-2022</t>
        </is>
      </c>
      <c r="B768" t="inlineStr">
        <is>
          <t>avverkningsanmälan</t>
        </is>
      </c>
      <c r="C768" t="inlineStr">
        <is>
          <t>Föryngringsavverkning</t>
        </is>
      </c>
      <c r="D768" s="1" t="n">
        <v>44687</v>
      </c>
      <c r="E768" s="1" t="n">
        <v>46309</v>
      </c>
      <c r="F768" t="inlineStr">
        <is>
          <t>UPPSALA LÄN</t>
        </is>
      </c>
      <c r="G768" t="inlineStr">
        <is>
          <t>ÖSTHAMMAR</t>
        </is>
      </c>
      <c r="I768" t="n">
        <v>0.4</v>
      </c>
      <c r="J768" t="n">
        <v>0</v>
      </c>
      <c r="K768" t="n">
        <v>0</v>
      </c>
      <c r="L768" t="n">
        <v>0</v>
      </c>
      <c r="M768" t="n">
        <v>0</v>
      </c>
      <c r="N768" t="n">
        <v>0</v>
      </c>
      <c r="O768" t="n">
        <v>0</v>
      </c>
      <c r="P768" t="n">
        <v>0</v>
      </c>
      <c r="Q768" t="n">
        <v>0</v>
      </c>
      <c r="R768" t="n">
        <v>0</v>
      </c>
      <c r="S768" t="n">
        <v>0</v>
      </c>
      <c r="T768" t="n">
        <v>0</v>
      </c>
      <c r="U768" t="n">
        <v>0</v>
      </c>
      <c r="V768" s="2" t="inlineStr"/>
    </row>
    <row r="769" ht="15" customHeight="1">
      <c r="A769" t="inlineStr">
        <is>
          <t>A 15847-2022</t>
        </is>
      </c>
      <c r="B769" t="inlineStr">
        <is>
          <t>avverkningsanmälan</t>
        </is>
      </c>
      <c r="C769" t="inlineStr">
        <is>
          <t>Föryngringsavverkning</t>
        </is>
      </c>
      <c r="D769" s="1" t="n">
        <v>44664</v>
      </c>
      <c r="E769" s="1" t="n">
        <v>46309</v>
      </c>
      <c r="F769" t="inlineStr">
        <is>
          <t>UPPSALA LÄN</t>
        </is>
      </c>
      <c r="G769" t="inlineStr">
        <is>
          <t>ÖSTHAMMAR</t>
        </is>
      </c>
      <c r="I769" t="n">
        <v>0.3</v>
      </c>
      <c r="J769" t="n">
        <v>0</v>
      </c>
      <c r="K769" t="n">
        <v>0</v>
      </c>
      <c r="L769" t="n">
        <v>0</v>
      </c>
      <c r="M769" t="n">
        <v>0</v>
      </c>
      <c r="N769" t="n">
        <v>0</v>
      </c>
      <c r="O769" t="n">
        <v>0</v>
      </c>
      <c r="P769" t="n">
        <v>0</v>
      </c>
      <c r="Q769" t="n">
        <v>0</v>
      </c>
      <c r="R769" t="n">
        <v>0</v>
      </c>
      <c r="S769" t="n">
        <v>0</v>
      </c>
      <c r="T769" t="n">
        <v>0</v>
      </c>
      <c r="U769" t="n">
        <v>0</v>
      </c>
      <c r="V769" s="2" t="inlineStr"/>
    </row>
    <row r="770" ht="15" customHeight="1">
      <c r="A770" t="inlineStr">
        <is>
          <t>A 22592-2022</t>
        </is>
      </c>
      <c r="B770" t="inlineStr">
        <is>
          <t>avverkningsanmälan</t>
        </is>
      </c>
      <c r="C770" t="inlineStr">
        <is>
          <t>Föryngringsavverkning</t>
        </is>
      </c>
      <c r="D770" s="1" t="n">
        <v>44713</v>
      </c>
      <c r="E770" s="1" t="n">
        <v>46309</v>
      </c>
      <c r="F770" t="inlineStr">
        <is>
          <t>UPPSALA LÄN</t>
        </is>
      </c>
      <c r="G770" t="inlineStr">
        <is>
          <t>TIERP</t>
        </is>
      </c>
      <c r="H770" t="inlineStr">
        <is>
          <t>Bergvik skog väst AB</t>
        </is>
      </c>
      <c r="I770" t="n">
        <v>9.800000000000001</v>
      </c>
      <c r="J770" t="n">
        <v>0</v>
      </c>
      <c r="K770" t="n">
        <v>0</v>
      </c>
      <c r="L770" t="n">
        <v>0</v>
      </c>
      <c r="M770" t="n">
        <v>0</v>
      </c>
      <c r="N770" t="n">
        <v>0</v>
      </c>
      <c r="O770" t="n">
        <v>0</v>
      </c>
      <c r="P770" t="n">
        <v>0</v>
      </c>
      <c r="Q770" t="n">
        <v>0</v>
      </c>
      <c r="R770" t="n">
        <v>0</v>
      </c>
      <c r="S770" t="n">
        <v>0</v>
      </c>
      <c r="T770" t="n">
        <v>0</v>
      </c>
      <c r="U770" t="n">
        <v>0</v>
      </c>
      <c r="V770" s="2" t="inlineStr"/>
    </row>
    <row r="771" ht="15" customHeight="1">
      <c r="A771" t="inlineStr">
        <is>
          <t>A 8139-2022</t>
        </is>
      </c>
      <c r="B771" t="inlineStr">
        <is>
          <t>avverkningsanmälan</t>
        </is>
      </c>
      <c r="C771" t="inlineStr">
        <is>
          <t>Föryngringsavverkning</t>
        </is>
      </c>
      <c r="D771" s="1" t="n">
        <v>44609</v>
      </c>
      <c r="E771" s="1" t="n">
        <v>46309</v>
      </c>
      <c r="F771" t="inlineStr">
        <is>
          <t>UPPSALA LÄN</t>
        </is>
      </c>
      <c r="G771" t="inlineStr">
        <is>
          <t>UPPSALA</t>
        </is>
      </c>
      <c r="I771" t="n">
        <v>0.6</v>
      </c>
      <c r="J771" t="n">
        <v>0</v>
      </c>
      <c r="K771" t="n">
        <v>0</v>
      </c>
      <c r="L771" t="n">
        <v>0</v>
      </c>
      <c r="M771" t="n">
        <v>0</v>
      </c>
      <c r="N771" t="n">
        <v>0</v>
      </c>
      <c r="O771" t="n">
        <v>0</v>
      </c>
      <c r="P771" t="n">
        <v>0</v>
      </c>
      <c r="Q771" t="n">
        <v>0</v>
      </c>
      <c r="R771" t="n">
        <v>0</v>
      </c>
      <c r="S771" t="n">
        <v>0</v>
      </c>
      <c r="T771" t="n">
        <v>0</v>
      </c>
      <c r="U771" t="n">
        <v>0</v>
      </c>
      <c r="V771" s="2" t="inlineStr"/>
    </row>
    <row r="772" ht="15" customHeight="1">
      <c r="A772" t="inlineStr">
        <is>
          <t>A 65491-2021</t>
        </is>
      </c>
      <c r="B772" t="inlineStr">
        <is>
          <t>avverkningsanmälan</t>
        </is>
      </c>
      <c r="C772" t="inlineStr">
        <is>
          <t>Föryngringsavverkning</t>
        </is>
      </c>
      <c r="D772" s="1" t="n">
        <v>44516</v>
      </c>
      <c r="E772" s="1" t="n">
        <v>46309</v>
      </c>
      <c r="F772" t="inlineStr">
        <is>
          <t>UPPSALA LÄN</t>
        </is>
      </c>
      <c r="G772" t="inlineStr">
        <is>
          <t>TIERP</t>
        </is>
      </c>
      <c r="I772" t="n">
        <v>0.8</v>
      </c>
      <c r="J772" t="n">
        <v>0</v>
      </c>
      <c r="K772" t="n">
        <v>0</v>
      </c>
      <c r="L772" t="n">
        <v>0</v>
      </c>
      <c r="M772" t="n">
        <v>0</v>
      </c>
      <c r="N772" t="n">
        <v>0</v>
      </c>
      <c r="O772" t="n">
        <v>0</v>
      </c>
      <c r="P772" t="n">
        <v>0</v>
      </c>
      <c r="Q772" t="n">
        <v>0</v>
      </c>
      <c r="R772" t="n">
        <v>0</v>
      </c>
      <c r="S772" t="n">
        <v>0</v>
      </c>
      <c r="T772" t="n">
        <v>0</v>
      </c>
      <c r="U772" t="n">
        <v>0</v>
      </c>
      <c r="V772" s="2" t="inlineStr"/>
    </row>
    <row r="773" ht="15" customHeight="1">
      <c r="A773" t="inlineStr">
        <is>
          <t>A 14271-2022</t>
        </is>
      </c>
      <c r="B773" t="inlineStr">
        <is>
          <t>avverkningsanmälan</t>
        </is>
      </c>
      <c r="C773" t="inlineStr">
        <is>
          <t>Föryngringsavverkning</t>
        </is>
      </c>
      <c r="D773" s="1" t="n">
        <v>44651</v>
      </c>
      <c r="E773" s="1" t="n">
        <v>46309</v>
      </c>
      <c r="F773" t="inlineStr">
        <is>
          <t>UPPSALA LÄN</t>
        </is>
      </c>
      <c r="G773" t="inlineStr">
        <is>
          <t>ÖSTHAMMAR</t>
        </is>
      </c>
      <c r="H773" t="inlineStr">
        <is>
          <t>Bergvik skog öst AB</t>
        </is>
      </c>
      <c r="I773" t="n">
        <v>0.5</v>
      </c>
      <c r="J773" t="n">
        <v>0</v>
      </c>
      <c r="K773" t="n">
        <v>0</v>
      </c>
      <c r="L773" t="n">
        <v>0</v>
      </c>
      <c r="M773" t="n">
        <v>0</v>
      </c>
      <c r="N773" t="n">
        <v>0</v>
      </c>
      <c r="O773" t="n">
        <v>0</v>
      </c>
      <c r="P773" t="n">
        <v>0</v>
      </c>
      <c r="Q773" t="n">
        <v>0</v>
      </c>
      <c r="R773" t="n">
        <v>0</v>
      </c>
      <c r="S773" t="n">
        <v>0</v>
      </c>
      <c r="T773" t="n">
        <v>0</v>
      </c>
      <c r="U773" t="n">
        <v>0</v>
      </c>
      <c r="V773" s="2" t="inlineStr"/>
    </row>
    <row r="774" ht="15" customHeight="1">
      <c r="A774" t="inlineStr">
        <is>
          <t>A 22810-2022</t>
        </is>
      </c>
      <c r="B774" t="inlineStr">
        <is>
          <t>avverkningsanmälan</t>
        </is>
      </c>
      <c r="C774" t="inlineStr">
        <is>
          <t>Föryngringsavverkning</t>
        </is>
      </c>
      <c r="D774" s="1" t="n">
        <v>44715</v>
      </c>
      <c r="E774" s="1" t="n">
        <v>46309</v>
      </c>
      <c r="F774" t="inlineStr">
        <is>
          <t>UPPSALA LÄN</t>
        </is>
      </c>
      <c r="G774" t="inlineStr">
        <is>
          <t>TIERP</t>
        </is>
      </c>
      <c r="H774" t="inlineStr">
        <is>
          <t>Övriga Aktiebolag</t>
        </is>
      </c>
      <c r="I774" t="n">
        <v>0.5</v>
      </c>
      <c r="J774" t="n">
        <v>0</v>
      </c>
      <c r="K774" t="n">
        <v>0</v>
      </c>
      <c r="L774" t="n">
        <v>0</v>
      </c>
      <c r="M774" t="n">
        <v>0</v>
      </c>
      <c r="N774" t="n">
        <v>0</v>
      </c>
      <c r="O774" t="n">
        <v>0</v>
      </c>
      <c r="P774" t="n">
        <v>0</v>
      </c>
      <c r="Q774" t="n">
        <v>0</v>
      </c>
      <c r="R774" t="n">
        <v>0</v>
      </c>
      <c r="S774" t="n">
        <v>0</v>
      </c>
      <c r="T774" t="n">
        <v>0</v>
      </c>
      <c r="U774" t="n">
        <v>0</v>
      </c>
      <c r="V774" s="2" t="inlineStr"/>
    </row>
    <row r="775" ht="15" customHeight="1">
      <c r="A775" t="inlineStr">
        <is>
          <t>A 10202-2022</t>
        </is>
      </c>
      <c r="B775" t="inlineStr">
        <is>
          <t>avverkningsanmälan</t>
        </is>
      </c>
      <c r="C775" t="inlineStr">
        <is>
          <t>Föryngringsavverkning</t>
        </is>
      </c>
      <c r="D775" s="1" t="n">
        <v>44622</v>
      </c>
      <c r="E775" s="1" t="n">
        <v>46309</v>
      </c>
      <c r="F775" t="inlineStr">
        <is>
          <t>UPPSALA LÄN</t>
        </is>
      </c>
      <c r="G775" t="inlineStr">
        <is>
          <t>ENKÖPING</t>
        </is>
      </c>
      <c r="I775" t="n">
        <v>5.6</v>
      </c>
      <c r="J775" t="n">
        <v>0</v>
      </c>
      <c r="K775" t="n">
        <v>0</v>
      </c>
      <c r="L775" t="n">
        <v>0</v>
      </c>
      <c r="M775" t="n">
        <v>0</v>
      </c>
      <c r="N775" t="n">
        <v>0</v>
      </c>
      <c r="O775" t="n">
        <v>0</v>
      </c>
      <c r="P775" t="n">
        <v>0</v>
      </c>
      <c r="Q775" t="n">
        <v>0</v>
      </c>
      <c r="R775" t="n">
        <v>0</v>
      </c>
      <c r="S775" t="n">
        <v>0</v>
      </c>
      <c r="T775" t="n">
        <v>0</v>
      </c>
      <c r="U775" t="n">
        <v>0</v>
      </c>
      <c r="V775" s="2" t="inlineStr"/>
    </row>
    <row r="776" ht="15" customHeight="1">
      <c r="A776" t="inlineStr">
        <is>
          <t>A 65255-2021</t>
        </is>
      </c>
      <c r="B776" t="inlineStr">
        <is>
          <t>avverkningsanmälan</t>
        </is>
      </c>
      <c r="C776" t="inlineStr">
        <is>
          <t>Föryngringsavverkning</t>
        </is>
      </c>
      <c r="D776" s="1" t="n">
        <v>44515</v>
      </c>
      <c r="E776" s="1" t="n">
        <v>46309</v>
      </c>
      <c r="F776" t="inlineStr">
        <is>
          <t>UPPSALA LÄN</t>
        </is>
      </c>
      <c r="G776" t="inlineStr">
        <is>
          <t>TIERP</t>
        </is>
      </c>
      <c r="I776" t="n">
        <v>6.3</v>
      </c>
      <c r="J776" t="n">
        <v>0</v>
      </c>
      <c r="K776" t="n">
        <v>0</v>
      </c>
      <c r="L776" t="n">
        <v>0</v>
      </c>
      <c r="M776" t="n">
        <v>0</v>
      </c>
      <c r="N776" t="n">
        <v>0</v>
      </c>
      <c r="O776" t="n">
        <v>0</v>
      </c>
      <c r="P776" t="n">
        <v>0</v>
      </c>
      <c r="Q776" t="n">
        <v>0</v>
      </c>
      <c r="R776" t="n">
        <v>0</v>
      </c>
      <c r="S776" t="n">
        <v>0</v>
      </c>
      <c r="T776" t="n">
        <v>0</v>
      </c>
      <c r="U776" t="n">
        <v>0</v>
      </c>
      <c r="V776" s="2" t="inlineStr"/>
    </row>
    <row r="777" ht="15" customHeight="1">
      <c r="A777" t="inlineStr">
        <is>
          <t>A 10207-2022</t>
        </is>
      </c>
      <c r="B777" t="inlineStr">
        <is>
          <t>avverkningsanmälan</t>
        </is>
      </c>
      <c r="C777" t="inlineStr">
        <is>
          <t>Föryngringsavverkning</t>
        </is>
      </c>
      <c r="D777" s="1" t="n">
        <v>44622</v>
      </c>
      <c r="E777" s="1" t="n">
        <v>46309</v>
      </c>
      <c r="F777" t="inlineStr">
        <is>
          <t>UPPSALA LÄN</t>
        </is>
      </c>
      <c r="G777" t="inlineStr">
        <is>
          <t>ENKÖPING</t>
        </is>
      </c>
      <c r="I777" t="n">
        <v>4.9</v>
      </c>
      <c r="J777" t="n">
        <v>0</v>
      </c>
      <c r="K777" t="n">
        <v>0</v>
      </c>
      <c r="L777" t="n">
        <v>0</v>
      </c>
      <c r="M777" t="n">
        <v>0</v>
      </c>
      <c r="N777" t="n">
        <v>0</v>
      </c>
      <c r="O777" t="n">
        <v>0</v>
      </c>
      <c r="P777" t="n">
        <v>0</v>
      </c>
      <c r="Q777" t="n">
        <v>0</v>
      </c>
      <c r="R777" t="n">
        <v>0</v>
      </c>
      <c r="S777" t="n">
        <v>0</v>
      </c>
      <c r="T777" t="n">
        <v>0</v>
      </c>
      <c r="U777" t="n">
        <v>0</v>
      </c>
      <c r="V777" s="2" t="inlineStr"/>
    </row>
    <row r="778" ht="15" customHeight="1">
      <c r="A778" t="inlineStr">
        <is>
          <t>A 17704-2022</t>
        </is>
      </c>
      <c r="B778" t="inlineStr">
        <is>
          <t>avverkningsanmälan</t>
        </is>
      </c>
      <c r="C778" t="inlineStr">
        <is>
          <t>Föryngringsavverkning</t>
        </is>
      </c>
      <c r="D778" s="1" t="n">
        <v>44680</v>
      </c>
      <c r="E778" s="1" t="n">
        <v>46309</v>
      </c>
      <c r="F778" t="inlineStr">
        <is>
          <t>UPPSALA LÄN</t>
        </is>
      </c>
      <c r="G778" t="inlineStr">
        <is>
          <t>ENKÖPING</t>
        </is>
      </c>
      <c r="I778" t="n">
        <v>0.8</v>
      </c>
      <c r="J778" t="n">
        <v>0</v>
      </c>
      <c r="K778" t="n">
        <v>0</v>
      </c>
      <c r="L778" t="n">
        <v>0</v>
      </c>
      <c r="M778" t="n">
        <v>0</v>
      </c>
      <c r="N778" t="n">
        <v>0</v>
      </c>
      <c r="O778" t="n">
        <v>0</v>
      </c>
      <c r="P778" t="n">
        <v>0</v>
      </c>
      <c r="Q778" t="n">
        <v>0</v>
      </c>
      <c r="R778" t="n">
        <v>0</v>
      </c>
      <c r="S778" t="n">
        <v>0</v>
      </c>
      <c r="T778" t="n">
        <v>0</v>
      </c>
      <c r="U778" t="n">
        <v>0</v>
      </c>
      <c r="V778" s="2" t="inlineStr"/>
    </row>
    <row r="779" ht="15" customHeight="1">
      <c r="A779" t="inlineStr">
        <is>
          <t>A 13238-2022</t>
        </is>
      </c>
      <c r="B779" t="inlineStr">
        <is>
          <t>avverkningsanmälan</t>
        </is>
      </c>
      <c r="C779" t="inlineStr">
        <is>
          <t>Föryngringsavverkning</t>
        </is>
      </c>
      <c r="D779" s="1" t="n">
        <v>44644</v>
      </c>
      <c r="E779" s="1" t="n">
        <v>46309</v>
      </c>
      <c r="F779" t="inlineStr">
        <is>
          <t>UPPSALA LÄN</t>
        </is>
      </c>
      <c r="G779" t="inlineStr">
        <is>
          <t>ÖSTHAMMAR</t>
        </is>
      </c>
      <c r="I779" t="n">
        <v>6.5</v>
      </c>
      <c r="J779" t="n">
        <v>0</v>
      </c>
      <c r="K779" t="n">
        <v>0</v>
      </c>
      <c r="L779" t="n">
        <v>0</v>
      </c>
      <c r="M779" t="n">
        <v>0</v>
      </c>
      <c r="N779" t="n">
        <v>0</v>
      </c>
      <c r="O779" t="n">
        <v>0</v>
      </c>
      <c r="P779" t="n">
        <v>0</v>
      </c>
      <c r="Q779" t="n">
        <v>0</v>
      </c>
      <c r="R779" t="n">
        <v>0</v>
      </c>
      <c r="S779" t="n">
        <v>0</v>
      </c>
      <c r="T779" t="n">
        <v>0</v>
      </c>
      <c r="U779" t="n">
        <v>0</v>
      </c>
      <c r="V779" s="2" t="inlineStr"/>
    </row>
    <row r="780" ht="15" customHeight="1">
      <c r="A780" t="inlineStr">
        <is>
          <t>A 46749-2022</t>
        </is>
      </c>
      <c r="B780" t="inlineStr">
        <is>
          <t>avverkningsanmälan</t>
        </is>
      </c>
      <c r="C780" t="inlineStr">
        <is>
          <t>Föryngringsavverkning</t>
        </is>
      </c>
      <c r="D780" s="1" t="n">
        <v>44851</v>
      </c>
      <c r="E780" s="1" t="n">
        <v>46309</v>
      </c>
      <c r="F780" t="inlineStr">
        <is>
          <t>UPPSALA LÄN</t>
        </is>
      </c>
      <c r="G780" t="inlineStr">
        <is>
          <t>ENKÖPING</t>
        </is>
      </c>
      <c r="I780" t="n">
        <v>6.6</v>
      </c>
      <c r="J780" t="n">
        <v>0</v>
      </c>
      <c r="K780" t="n">
        <v>0</v>
      </c>
      <c r="L780" t="n">
        <v>0</v>
      </c>
      <c r="M780" t="n">
        <v>0</v>
      </c>
      <c r="N780" t="n">
        <v>0</v>
      </c>
      <c r="O780" t="n">
        <v>0</v>
      </c>
      <c r="P780" t="n">
        <v>0</v>
      </c>
      <c r="Q780" t="n">
        <v>0</v>
      </c>
      <c r="R780" t="n">
        <v>0</v>
      </c>
      <c r="S780" t="n">
        <v>0</v>
      </c>
      <c r="T780" t="n">
        <v>0</v>
      </c>
      <c r="U780" t="n">
        <v>0</v>
      </c>
      <c r="V780" s="2" t="inlineStr"/>
    </row>
    <row r="781" ht="15" customHeight="1">
      <c r="A781" t="inlineStr">
        <is>
          <t>A 51055-2022</t>
        </is>
      </c>
      <c r="B781" t="inlineStr">
        <is>
          <t>avverkningsanmälan</t>
        </is>
      </c>
      <c r="C781" t="inlineStr">
        <is>
          <t>Föryngringsavverkning</t>
        </is>
      </c>
      <c r="D781" s="1" t="n">
        <v>44868</v>
      </c>
      <c r="E781" s="1" t="n">
        <v>46309</v>
      </c>
      <c r="F781" t="inlineStr">
        <is>
          <t>UPPSALA LÄN</t>
        </is>
      </c>
      <c r="G781" t="inlineStr">
        <is>
          <t>ÖSTHAMMAR</t>
        </is>
      </c>
      <c r="I781" t="n">
        <v>0.4</v>
      </c>
      <c r="J781" t="n">
        <v>0</v>
      </c>
      <c r="K781" t="n">
        <v>0</v>
      </c>
      <c r="L781" t="n">
        <v>0</v>
      </c>
      <c r="M781" t="n">
        <v>0</v>
      </c>
      <c r="N781" t="n">
        <v>0</v>
      </c>
      <c r="O781" t="n">
        <v>0</v>
      </c>
      <c r="P781" t="n">
        <v>0</v>
      </c>
      <c r="Q781" t="n">
        <v>0</v>
      </c>
      <c r="R781" t="n">
        <v>0</v>
      </c>
      <c r="S781" t="n">
        <v>0</v>
      </c>
      <c r="T781" t="n">
        <v>0</v>
      </c>
      <c r="U781" t="n">
        <v>0</v>
      </c>
      <c r="V781" s="2" t="inlineStr"/>
    </row>
    <row r="782" ht="15" customHeight="1">
      <c r="A782" t="inlineStr">
        <is>
          <t>A 61746-2021</t>
        </is>
      </c>
      <c r="B782" t="inlineStr">
        <is>
          <t>avverkningsanmälan</t>
        </is>
      </c>
      <c r="C782" t="inlineStr">
        <is>
          <t>Föryngringsavverkning</t>
        </is>
      </c>
      <c r="D782" s="1" t="n">
        <v>44498</v>
      </c>
      <c r="E782" s="1" t="n">
        <v>46309</v>
      </c>
      <c r="F782" t="inlineStr">
        <is>
          <t>UPPSALA LÄN</t>
        </is>
      </c>
      <c r="G782" t="inlineStr">
        <is>
          <t>ÖSTHAMMAR</t>
        </is>
      </c>
      <c r="I782" t="n">
        <v>5.6</v>
      </c>
      <c r="J782" t="n">
        <v>0</v>
      </c>
      <c r="K782" t="n">
        <v>0</v>
      </c>
      <c r="L782" t="n">
        <v>0</v>
      </c>
      <c r="M782" t="n">
        <v>0</v>
      </c>
      <c r="N782" t="n">
        <v>0</v>
      </c>
      <c r="O782" t="n">
        <v>0</v>
      </c>
      <c r="P782" t="n">
        <v>0</v>
      </c>
      <c r="Q782" t="n">
        <v>0</v>
      </c>
      <c r="R782" t="n">
        <v>0</v>
      </c>
      <c r="S782" t="n">
        <v>0</v>
      </c>
      <c r="T782" t="n">
        <v>0</v>
      </c>
      <c r="U782" t="n">
        <v>0</v>
      </c>
      <c r="V782" s="2" t="inlineStr"/>
    </row>
    <row r="783" ht="15" customHeight="1">
      <c r="A783" t="inlineStr">
        <is>
          <t>A 18785-2022</t>
        </is>
      </c>
      <c r="B783" t="inlineStr">
        <is>
          <t>avverkningsanmälan</t>
        </is>
      </c>
      <c r="C783" t="inlineStr">
        <is>
          <t>Föryngringsavverkning</t>
        </is>
      </c>
      <c r="D783" s="1" t="n">
        <v>44687</v>
      </c>
      <c r="E783" s="1" t="n">
        <v>46309</v>
      </c>
      <c r="F783" t="inlineStr">
        <is>
          <t>UPPSALA LÄN</t>
        </is>
      </c>
      <c r="G783" t="inlineStr">
        <is>
          <t>ENKÖPING</t>
        </is>
      </c>
      <c r="I783" t="n">
        <v>3.4</v>
      </c>
      <c r="J783" t="n">
        <v>0</v>
      </c>
      <c r="K783" t="n">
        <v>0</v>
      </c>
      <c r="L783" t="n">
        <v>0</v>
      </c>
      <c r="M783" t="n">
        <v>0</v>
      </c>
      <c r="N783" t="n">
        <v>0</v>
      </c>
      <c r="O783" t="n">
        <v>0</v>
      </c>
      <c r="P783" t="n">
        <v>0</v>
      </c>
      <c r="Q783" t="n">
        <v>0</v>
      </c>
      <c r="R783" t="n">
        <v>0</v>
      </c>
      <c r="S783" t="n">
        <v>0</v>
      </c>
      <c r="T783" t="n">
        <v>0</v>
      </c>
      <c r="U783" t="n">
        <v>0</v>
      </c>
      <c r="V783" s="2" t="inlineStr"/>
    </row>
    <row r="784" ht="15" customHeight="1">
      <c r="A784" t="inlineStr">
        <is>
          <t>A 59479-2021</t>
        </is>
      </c>
      <c r="B784" t="inlineStr">
        <is>
          <t>avverkningsanmälan</t>
        </is>
      </c>
      <c r="C784" t="inlineStr">
        <is>
          <t>Föryngringsavverkning</t>
        </is>
      </c>
      <c r="D784" s="1" t="n">
        <v>44491</v>
      </c>
      <c r="E784" s="1" t="n">
        <v>46309</v>
      </c>
      <c r="F784" t="inlineStr">
        <is>
          <t>UPPSALA LÄN</t>
        </is>
      </c>
      <c r="G784" t="inlineStr">
        <is>
          <t>UPPSALA</t>
        </is>
      </c>
      <c r="H784" t="inlineStr">
        <is>
          <t>Bergvik skog öst AB</t>
        </is>
      </c>
      <c r="I784" t="n">
        <v>0.6</v>
      </c>
      <c r="J784" t="n">
        <v>0</v>
      </c>
      <c r="K784" t="n">
        <v>0</v>
      </c>
      <c r="L784" t="n">
        <v>0</v>
      </c>
      <c r="M784" t="n">
        <v>0</v>
      </c>
      <c r="N784" t="n">
        <v>0</v>
      </c>
      <c r="O784" t="n">
        <v>0</v>
      </c>
      <c r="P784" t="n">
        <v>0</v>
      </c>
      <c r="Q784" t="n">
        <v>0</v>
      </c>
      <c r="R784" t="n">
        <v>0</v>
      </c>
      <c r="S784" t="n">
        <v>0</v>
      </c>
      <c r="T784" t="n">
        <v>0</v>
      </c>
      <c r="U784" t="n">
        <v>0</v>
      </c>
      <c r="V784" s="2" t="inlineStr"/>
    </row>
    <row r="785" ht="15" customHeight="1">
      <c r="A785" t="inlineStr">
        <is>
          <t>A 59498-2021</t>
        </is>
      </c>
      <c r="B785" t="inlineStr">
        <is>
          <t>avverkningsanmälan</t>
        </is>
      </c>
      <c r="C785" t="inlineStr">
        <is>
          <t>Föryngringsavverkning</t>
        </is>
      </c>
      <c r="D785" s="1" t="n">
        <v>44491</v>
      </c>
      <c r="E785" s="1" t="n">
        <v>46309</v>
      </c>
      <c r="F785" t="inlineStr">
        <is>
          <t>UPPSALA LÄN</t>
        </is>
      </c>
      <c r="G785" t="inlineStr">
        <is>
          <t>ÖSTHAMMAR</t>
        </is>
      </c>
      <c r="H785" t="inlineStr">
        <is>
          <t>Bergvik skog öst AB</t>
        </is>
      </c>
      <c r="I785" t="n">
        <v>0.6</v>
      </c>
      <c r="J785" t="n">
        <v>0</v>
      </c>
      <c r="K785" t="n">
        <v>0</v>
      </c>
      <c r="L785" t="n">
        <v>0</v>
      </c>
      <c r="M785" t="n">
        <v>0</v>
      </c>
      <c r="N785" t="n">
        <v>0</v>
      </c>
      <c r="O785" t="n">
        <v>0</v>
      </c>
      <c r="P785" t="n">
        <v>0</v>
      </c>
      <c r="Q785" t="n">
        <v>0</v>
      </c>
      <c r="R785" t="n">
        <v>0</v>
      </c>
      <c r="S785" t="n">
        <v>0</v>
      </c>
      <c r="T785" t="n">
        <v>0</v>
      </c>
      <c r="U785" t="n">
        <v>0</v>
      </c>
      <c r="V785" s="2" t="inlineStr"/>
    </row>
    <row r="786" ht="15" customHeight="1">
      <c r="A786" t="inlineStr">
        <is>
          <t>A 44019-2022</t>
        </is>
      </c>
      <c r="B786" t="inlineStr">
        <is>
          <t>avverkningsanmälan</t>
        </is>
      </c>
      <c r="C786" t="inlineStr">
        <is>
          <t>Föryngringsavverkning</t>
        </is>
      </c>
      <c r="D786" s="1" t="n">
        <v>44838</v>
      </c>
      <c r="E786" s="1" t="n">
        <v>46309</v>
      </c>
      <c r="F786" t="inlineStr">
        <is>
          <t>UPPSALA LÄN</t>
        </is>
      </c>
      <c r="G786" t="inlineStr">
        <is>
          <t>ÖSTHAMMAR</t>
        </is>
      </c>
      <c r="H786" t="inlineStr">
        <is>
          <t>Bergvik skog öst AB</t>
        </is>
      </c>
      <c r="I786" t="n">
        <v>0.4</v>
      </c>
      <c r="J786" t="n">
        <v>0</v>
      </c>
      <c r="K786" t="n">
        <v>0</v>
      </c>
      <c r="L786" t="n">
        <v>0</v>
      </c>
      <c r="M786" t="n">
        <v>0</v>
      </c>
      <c r="N786" t="n">
        <v>0</v>
      </c>
      <c r="O786" t="n">
        <v>0</v>
      </c>
      <c r="P786" t="n">
        <v>0</v>
      </c>
      <c r="Q786" t="n">
        <v>0</v>
      </c>
      <c r="R786" t="n">
        <v>0</v>
      </c>
      <c r="S786" t="n">
        <v>0</v>
      </c>
      <c r="T786" t="n">
        <v>0</v>
      </c>
      <c r="U786" t="n">
        <v>0</v>
      </c>
      <c r="V786" s="2" t="inlineStr"/>
    </row>
    <row r="787" ht="15" customHeight="1">
      <c r="A787" t="inlineStr">
        <is>
          <t>A 36217-2022</t>
        </is>
      </c>
      <c r="B787" t="inlineStr">
        <is>
          <t>avverkningsanmälan</t>
        </is>
      </c>
      <c r="C787" t="inlineStr">
        <is>
          <t>Avverkning för annat ändamål</t>
        </is>
      </c>
      <c r="D787" s="1" t="n">
        <v>44803</v>
      </c>
      <c r="E787" s="1" t="n">
        <v>46309</v>
      </c>
      <c r="F787" t="inlineStr">
        <is>
          <t>UPPSALA LÄN</t>
        </is>
      </c>
      <c r="G787" t="inlineStr">
        <is>
          <t>ÄLVKARLEBY</t>
        </is>
      </c>
      <c r="H787" t="inlineStr">
        <is>
          <t>Bergvik skog väst AB</t>
        </is>
      </c>
      <c r="I787" t="n">
        <v>0.2</v>
      </c>
      <c r="J787" t="n">
        <v>0</v>
      </c>
      <c r="K787" t="n">
        <v>0</v>
      </c>
      <c r="L787" t="n">
        <v>0</v>
      </c>
      <c r="M787" t="n">
        <v>0</v>
      </c>
      <c r="N787" t="n">
        <v>0</v>
      </c>
      <c r="O787" t="n">
        <v>0</v>
      </c>
      <c r="P787" t="n">
        <v>0</v>
      </c>
      <c r="Q787" t="n">
        <v>0</v>
      </c>
      <c r="R787" t="n">
        <v>0</v>
      </c>
      <c r="S787" t="n">
        <v>0</v>
      </c>
      <c r="T787" t="n">
        <v>0</v>
      </c>
      <c r="U787" t="n">
        <v>0</v>
      </c>
      <c r="V787" s="2" t="inlineStr"/>
    </row>
    <row r="788" ht="15" customHeight="1">
      <c r="A788" t="inlineStr">
        <is>
          <t>A 29644-2022</t>
        </is>
      </c>
      <c r="B788" t="inlineStr">
        <is>
          <t>avverkningsanmälan</t>
        </is>
      </c>
      <c r="C788" t="inlineStr">
        <is>
          <t>Föryngringsavverkning</t>
        </is>
      </c>
      <c r="D788" s="1" t="n">
        <v>44754</v>
      </c>
      <c r="E788" s="1" t="n">
        <v>46309</v>
      </c>
      <c r="F788" t="inlineStr">
        <is>
          <t>UPPSALA LÄN</t>
        </is>
      </c>
      <c r="G788" t="inlineStr">
        <is>
          <t>HEBY</t>
        </is>
      </c>
      <c r="I788" t="n">
        <v>0.6</v>
      </c>
      <c r="J788" t="n">
        <v>0</v>
      </c>
      <c r="K788" t="n">
        <v>0</v>
      </c>
      <c r="L788" t="n">
        <v>0</v>
      </c>
      <c r="M788" t="n">
        <v>0</v>
      </c>
      <c r="N788" t="n">
        <v>0</v>
      </c>
      <c r="O788" t="n">
        <v>0</v>
      </c>
      <c r="P788" t="n">
        <v>0</v>
      </c>
      <c r="Q788" t="n">
        <v>0</v>
      </c>
      <c r="R788" t="n">
        <v>0</v>
      </c>
      <c r="S788" t="n">
        <v>0</v>
      </c>
      <c r="T788" t="n">
        <v>0</v>
      </c>
      <c r="U788" t="n">
        <v>0</v>
      </c>
      <c r="V788" s="2" t="inlineStr"/>
    </row>
    <row r="789" ht="15" customHeight="1">
      <c r="A789" t="inlineStr">
        <is>
          <t>A 39922-2022</t>
        </is>
      </c>
      <c r="B789" t="inlineStr">
        <is>
          <t>avverkningsanmälan</t>
        </is>
      </c>
      <c r="C789" t="inlineStr">
        <is>
          <t>Föryngringsavverkning</t>
        </is>
      </c>
      <c r="D789" s="1" t="n">
        <v>44819</v>
      </c>
      <c r="E789" s="1" t="n">
        <v>46309</v>
      </c>
      <c r="F789" t="inlineStr">
        <is>
          <t>UPPSALA LÄN</t>
        </is>
      </c>
      <c r="G789" t="inlineStr">
        <is>
          <t>ENKÖPING</t>
        </is>
      </c>
      <c r="I789" t="n">
        <v>1.7</v>
      </c>
      <c r="J789" t="n">
        <v>0</v>
      </c>
      <c r="K789" t="n">
        <v>0</v>
      </c>
      <c r="L789" t="n">
        <v>0</v>
      </c>
      <c r="M789" t="n">
        <v>0</v>
      </c>
      <c r="N789" t="n">
        <v>0</v>
      </c>
      <c r="O789" t="n">
        <v>0</v>
      </c>
      <c r="P789" t="n">
        <v>0</v>
      </c>
      <c r="Q789" t="n">
        <v>0</v>
      </c>
      <c r="R789" t="n">
        <v>0</v>
      </c>
      <c r="S789" t="n">
        <v>0</v>
      </c>
      <c r="T789" t="n">
        <v>0</v>
      </c>
      <c r="U789" t="n">
        <v>0</v>
      </c>
      <c r="V789" s="2" t="inlineStr"/>
    </row>
    <row r="790" ht="15" customHeight="1">
      <c r="A790" t="inlineStr">
        <is>
          <t>A 2108-2022</t>
        </is>
      </c>
      <c r="B790" t="inlineStr">
        <is>
          <t>avverkningsanmälan</t>
        </is>
      </c>
      <c r="C790" t="inlineStr">
        <is>
          <t>Föryngringsavverkning</t>
        </is>
      </c>
      <c r="D790" s="1" t="n">
        <v>44577</v>
      </c>
      <c r="E790" s="1" t="n">
        <v>46309</v>
      </c>
      <c r="F790" t="inlineStr">
        <is>
          <t>UPPSALA LÄN</t>
        </is>
      </c>
      <c r="G790" t="inlineStr">
        <is>
          <t>ÖSTHAMMAR</t>
        </is>
      </c>
      <c r="H790" t="inlineStr">
        <is>
          <t>Bergvik skog öst AB</t>
        </is>
      </c>
      <c r="I790" t="n">
        <v>0.7</v>
      </c>
      <c r="J790" t="n">
        <v>0</v>
      </c>
      <c r="K790" t="n">
        <v>0</v>
      </c>
      <c r="L790" t="n">
        <v>0</v>
      </c>
      <c r="M790" t="n">
        <v>0</v>
      </c>
      <c r="N790" t="n">
        <v>0</v>
      </c>
      <c r="O790" t="n">
        <v>0</v>
      </c>
      <c r="P790" t="n">
        <v>0</v>
      </c>
      <c r="Q790" t="n">
        <v>0</v>
      </c>
      <c r="R790" t="n">
        <v>0</v>
      </c>
      <c r="S790" t="n">
        <v>0</v>
      </c>
      <c r="T790" t="n">
        <v>0</v>
      </c>
      <c r="U790" t="n">
        <v>0</v>
      </c>
      <c r="V790" s="2" t="inlineStr"/>
    </row>
    <row r="791" ht="15" customHeight="1">
      <c r="A791" t="inlineStr">
        <is>
          <t>A 19174-2022</t>
        </is>
      </c>
      <c r="B791" t="inlineStr">
        <is>
          <t>avverkningsanmälan</t>
        </is>
      </c>
      <c r="C791" t="inlineStr">
        <is>
          <t>Föryngringsavverkning</t>
        </is>
      </c>
      <c r="D791" s="1" t="n">
        <v>44691</v>
      </c>
      <c r="E791" s="1" t="n">
        <v>46309</v>
      </c>
      <c r="F791" t="inlineStr">
        <is>
          <t>UPPSALA LÄN</t>
        </is>
      </c>
      <c r="G791" t="inlineStr">
        <is>
          <t>ÖSTHAMMAR</t>
        </is>
      </c>
      <c r="I791" t="n">
        <v>0.8</v>
      </c>
      <c r="J791" t="n">
        <v>0</v>
      </c>
      <c r="K791" t="n">
        <v>0</v>
      </c>
      <c r="L791" t="n">
        <v>0</v>
      </c>
      <c r="M791" t="n">
        <v>0</v>
      </c>
      <c r="N791" t="n">
        <v>0</v>
      </c>
      <c r="O791" t="n">
        <v>0</v>
      </c>
      <c r="P791" t="n">
        <v>0</v>
      </c>
      <c r="Q791" t="n">
        <v>0</v>
      </c>
      <c r="R791" t="n">
        <v>0</v>
      </c>
      <c r="S791" t="n">
        <v>0</v>
      </c>
      <c r="T791" t="n">
        <v>0</v>
      </c>
      <c r="U791" t="n">
        <v>0</v>
      </c>
      <c r="V791" s="2" t="inlineStr"/>
    </row>
    <row r="792" ht="15" customHeight="1">
      <c r="A792" t="inlineStr">
        <is>
          <t>A 752-2022</t>
        </is>
      </c>
      <c r="B792" t="inlineStr">
        <is>
          <t>avverkningsanmälan</t>
        </is>
      </c>
      <c r="C792" t="inlineStr">
        <is>
          <t>Föryngringsavverkning</t>
        </is>
      </c>
      <c r="D792" s="1" t="n">
        <v>44569</v>
      </c>
      <c r="E792" s="1" t="n">
        <v>46309</v>
      </c>
      <c r="F792" t="inlineStr">
        <is>
          <t>UPPSALA LÄN</t>
        </is>
      </c>
      <c r="G792" t="inlineStr">
        <is>
          <t>UPPSALA</t>
        </is>
      </c>
      <c r="H792" t="inlineStr">
        <is>
          <t>Holmen skog AB</t>
        </is>
      </c>
      <c r="I792" t="n">
        <v>1</v>
      </c>
      <c r="J792" t="n">
        <v>0</v>
      </c>
      <c r="K792" t="n">
        <v>0</v>
      </c>
      <c r="L792" t="n">
        <v>0</v>
      </c>
      <c r="M792" t="n">
        <v>0</v>
      </c>
      <c r="N792" t="n">
        <v>0</v>
      </c>
      <c r="O792" t="n">
        <v>0</v>
      </c>
      <c r="P792" t="n">
        <v>0</v>
      </c>
      <c r="Q792" t="n">
        <v>0</v>
      </c>
      <c r="R792" t="n">
        <v>0</v>
      </c>
      <c r="S792" t="n">
        <v>0</v>
      </c>
      <c r="T792" t="n">
        <v>0</v>
      </c>
      <c r="U792" t="n">
        <v>0</v>
      </c>
      <c r="V792" s="2" t="inlineStr"/>
    </row>
    <row r="793" ht="15" customHeight="1">
      <c r="A793" t="inlineStr">
        <is>
          <t>A 2559-2022</t>
        </is>
      </c>
      <c r="B793" t="inlineStr">
        <is>
          <t>avverkningsanmälan</t>
        </is>
      </c>
      <c r="C793" t="inlineStr">
        <is>
          <t>Föryngringsavverkning</t>
        </is>
      </c>
      <c r="D793" s="1" t="n">
        <v>44580</v>
      </c>
      <c r="E793" s="1" t="n">
        <v>46309</v>
      </c>
      <c r="F793" t="inlineStr">
        <is>
          <t>UPPSALA LÄN</t>
        </is>
      </c>
      <c r="G793" t="inlineStr">
        <is>
          <t>TIERP</t>
        </is>
      </c>
      <c r="I793" t="n">
        <v>1.1</v>
      </c>
      <c r="J793" t="n">
        <v>0</v>
      </c>
      <c r="K793" t="n">
        <v>0</v>
      </c>
      <c r="L793" t="n">
        <v>0</v>
      </c>
      <c r="M793" t="n">
        <v>0</v>
      </c>
      <c r="N793" t="n">
        <v>0</v>
      </c>
      <c r="O793" t="n">
        <v>0</v>
      </c>
      <c r="P793" t="n">
        <v>0</v>
      </c>
      <c r="Q793" t="n">
        <v>0</v>
      </c>
      <c r="R793" t="n">
        <v>0</v>
      </c>
      <c r="S793" t="n">
        <v>0</v>
      </c>
      <c r="T793" t="n">
        <v>0</v>
      </c>
      <c r="U793" t="n">
        <v>0</v>
      </c>
      <c r="V793" s="2" t="inlineStr"/>
    </row>
    <row r="794" ht="15" customHeight="1">
      <c r="A794" t="inlineStr">
        <is>
          <t>A 21775-2022</t>
        </is>
      </c>
      <c r="B794" t="inlineStr">
        <is>
          <t>avverkningsanmälan</t>
        </is>
      </c>
      <c r="C794" t="inlineStr">
        <is>
          <t>Avverkning för annat ändamål</t>
        </is>
      </c>
      <c r="D794" s="1" t="n">
        <v>44708</v>
      </c>
      <c r="E794" s="1" t="n">
        <v>46309</v>
      </c>
      <c r="F794" t="inlineStr">
        <is>
          <t>UPPSALA LÄN</t>
        </is>
      </c>
      <c r="G794" t="inlineStr">
        <is>
          <t>TIERP</t>
        </is>
      </c>
      <c r="H794" t="inlineStr">
        <is>
          <t>Bergvik skog väst AB</t>
        </is>
      </c>
      <c r="I794" t="n">
        <v>1</v>
      </c>
      <c r="J794" t="n">
        <v>0</v>
      </c>
      <c r="K794" t="n">
        <v>0</v>
      </c>
      <c r="L794" t="n">
        <v>0</v>
      </c>
      <c r="M794" t="n">
        <v>0</v>
      </c>
      <c r="N794" t="n">
        <v>0</v>
      </c>
      <c r="O794" t="n">
        <v>0</v>
      </c>
      <c r="P794" t="n">
        <v>0</v>
      </c>
      <c r="Q794" t="n">
        <v>0</v>
      </c>
      <c r="R794" t="n">
        <v>0</v>
      </c>
      <c r="S794" t="n">
        <v>0</v>
      </c>
      <c r="T794" t="n">
        <v>0</v>
      </c>
      <c r="U794" t="n">
        <v>0</v>
      </c>
      <c r="V794" s="2" t="inlineStr"/>
    </row>
    <row r="795" ht="15" customHeight="1">
      <c r="A795" t="inlineStr">
        <is>
          <t>A 57890-2021</t>
        </is>
      </c>
      <c r="B795" t="inlineStr">
        <is>
          <t>avverkningsanmälan</t>
        </is>
      </c>
      <c r="C795" t="inlineStr">
        <is>
          <t>Föryngringsavverkning</t>
        </is>
      </c>
      <c r="D795" s="1" t="n">
        <v>44486</v>
      </c>
      <c r="E795" s="1" t="n">
        <v>46309</v>
      </c>
      <c r="F795" t="inlineStr">
        <is>
          <t>UPPSALA LÄN</t>
        </is>
      </c>
      <c r="G795" t="inlineStr">
        <is>
          <t>UPPSALA</t>
        </is>
      </c>
      <c r="I795" t="n">
        <v>0.8</v>
      </c>
      <c r="J795" t="n">
        <v>0</v>
      </c>
      <c r="K795" t="n">
        <v>0</v>
      </c>
      <c r="L795" t="n">
        <v>0</v>
      </c>
      <c r="M795" t="n">
        <v>0</v>
      </c>
      <c r="N795" t="n">
        <v>0</v>
      </c>
      <c r="O795" t="n">
        <v>0</v>
      </c>
      <c r="P795" t="n">
        <v>0</v>
      </c>
      <c r="Q795" t="n">
        <v>0</v>
      </c>
      <c r="R795" t="n">
        <v>0</v>
      </c>
      <c r="S795" t="n">
        <v>0</v>
      </c>
      <c r="T795" t="n">
        <v>0</v>
      </c>
      <c r="U795" t="n">
        <v>0</v>
      </c>
      <c r="V795" s="2" t="inlineStr"/>
    </row>
    <row r="796" ht="15" customHeight="1">
      <c r="A796" t="inlineStr">
        <is>
          <t>A 21776-2022</t>
        </is>
      </c>
      <c r="B796" t="inlineStr">
        <is>
          <t>avverkningsanmälan</t>
        </is>
      </c>
      <c r="C796" t="inlineStr">
        <is>
          <t>Avverkning för annat ändamål</t>
        </is>
      </c>
      <c r="D796" s="1" t="n">
        <v>44708</v>
      </c>
      <c r="E796" s="1" t="n">
        <v>46309</v>
      </c>
      <c r="F796" t="inlineStr">
        <is>
          <t>UPPSALA LÄN</t>
        </is>
      </c>
      <c r="G796" t="inlineStr">
        <is>
          <t>TIERP</t>
        </is>
      </c>
      <c r="H796" t="inlineStr">
        <is>
          <t>Bergvik skog väst AB</t>
        </is>
      </c>
      <c r="I796" t="n">
        <v>0.9</v>
      </c>
      <c r="J796" t="n">
        <v>0</v>
      </c>
      <c r="K796" t="n">
        <v>0</v>
      </c>
      <c r="L796" t="n">
        <v>0</v>
      </c>
      <c r="M796" t="n">
        <v>0</v>
      </c>
      <c r="N796" t="n">
        <v>0</v>
      </c>
      <c r="O796" t="n">
        <v>0</v>
      </c>
      <c r="P796" t="n">
        <v>0</v>
      </c>
      <c r="Q796" t="n">
        <v>0</v>
      </c>
      <c r="R796" t="n">
        <v>0</v>
      </c>
      <c r="S796" t="n">
        <v>0</v>
      </c>
      <c r="T796" t="n">
        <v>0</v>
      </c>
      <c r="U796" t="n">
        <v>0</v>
      </c>
      <c r="V796" s="2" t="inlineStr"/>
    </row>
    <row r="797" ht="15" customHeight="1">
      <c r="A797" t="inlineStr">
        <is>
          <t>A 3861-2022</t>
        </is>
      </c>
      <c r="B797" t="inlineStr">
        <is>
          <t>avverkningsanmälan</t>
        </is>
      </c>
      <c r="C797" t="inlineStr">
        <is>
          <t>Avverkning för att bevara och utveckla /försöksver</t>
        </is>
      </c>
      <c r="D797" s="1" t="n">
        <v>44587</v>
      </c>
      <c r="E797" s="1" t="n">
        <v>46309</v>
      </c>
      <c r="F797" t="inlineStr">
        <is>
          <t>UPPSALA LÄN</t>
        </is>
      </c>
      <c r="G797" t="inlineStr">
        <is>
          <t>ENKÖPING</t>
        </is>
      </c>
      <c r="I797" t="n">
        <v>0.5</v>
      </c>
      <c r="J797" t="n">
        <v>0</v>
      </c>
      <c r="K797" t="n">
        <v>0</v>
      </c>
      <c r="L797" t="n">
        <v>0</v>
      </c>
      <c r="M797" t="n">
        <v>0</v>
      </c>
      <c r="N797" t="n">
        <v>0</v>
      </c>
      <c r="O797" t="n">
        <v>0</v>
      </c>
      <c r="P797" t="n">
        <v>0</v>
      </c>
      <c r="Q797" t="n">
        <v>0</v>
      </c>
      <c r="R797" t="n">
        <v>0</v>
      </c>
      <c r="S797" t="n">
        <v>0</v>
      </c>
      <c r="T797" t="n">
        <v>0</v>
      </c>
      <c r="U797" t="n">
        <v>0</v>
      </c>
      <c r="V797" s="2" t="inlineStr"/>
    </row>
    <row r="798" ht="15" customHeight="1">
      <c r="A798" t="inlineStr">
        <is>
          <t>A 1148-2022</t>
        </is>
      </c>
      <c r="B798" t="inlineStr">
        <is>
          <t>avverkningsanmälan</t>
        </is>
      </c>
      <c r="C798" t="inlineStr">
        <is>
          <t>Föryngringsavverkning</t>
        </is>
      </c>
      <c r="D798" s="1" t="n">
        <v>44572</v>
      </c>
      <c r="E798" s="1" t="n">
        <v>46309</v>
      </c>
      <c r="F798" t="inlineStr">
        <is>
          <t>UPPSALA LÄN</t>
        </is>
      </c>
      <c r="G798" t="inlineStr">
        <is>
          <t>UPPSALA</t>
        </is>
      </c>
      <c r="H798" t="inlineStr">
        <is>
          <t>Kyrkan</t>
        </is>
      </c>
      <c r="I798" t="n">
        <v>0.5</v>
      </c>
      <c r="J798" t="n">
        <v>0</v>
      </c>
      <c r="K798" t="n">
        <v>0</v>
      </c>
      <c r="L798" t="n">
        <v>0</v>
      </c>
      <c r="M798" t="n">
        <v>0</v>
      </c>
      <c r="N798" t="n">
        <v>0</v>
      </c>
      <c r="O798" t="n">
        <v>0</v>
      </c>
      <c r="P798" t="n">
        <v>0</v>
      </c>
      <c r="Q798" t="n">
        <v>0</v>
      </c>
      <c r="R798" t="n">
        <v>0</v>
      </c>
      <c r="S798" t="n">
        <v>0</v>
      </c>
      <c r="T798" t="n">
        <v>0</v>
      </c>
      <c r="U798" t="n">
        <v>0</v>
      </c>
      <c r="V798" s="2" t="inlineStr"/>
    </row>
    <row r="799" ht="15" customHeight="1">
      <c r="A799" t="inlineStr">
        <is>
          <t>A 9167-2022</t>
        </is>
      </c>
      <c r="B799" t="inlineStr">
        <is>
          <t>avverkningsanmälan</t>
        </is>
      </c>
      <c r="C799" t="inlineStr">
        <is>
          <t>Föryngringsavverkning</t>
        </is>
      </c>
      <c r="D799" s="1" t="n">
        <v>44615</v>
      </c>
      <c r="E799" s="1" t="n">
        <v>46309</v>
      </c>
      <c r="F799" t="inlineStr">
        <is>
          <t>UPPSALA LÄN</t>
        </is>
      </c>
      <c r="G799" t="inlineStr">
        <is>
          <t>HEBY</t>
        </is>
      </c>
      <c r="I799" t="n">
        <v>2.1</v>
      </c>
      <c r="J799" t="n">
        <v>0</v>
      </c>
      <c r="K799" t="n">
        <v>0</v>
      </c>
      <c r="L799" t="n">
        <v>0</v>
      </c>
      <c r="M799" t="n">
        <v>0</v>
      </c>
      <c r="N799" t="n">
        <v>0</v>
      </c>
      <c r="O799" t="n">
        <v>0</v>
      </c>
      <c r="P799" t="n">
        <v>0</v>
      </c>
      <c r="Q799" t="n">
        <v>0</v>
      </c>
      <c r="R799" t="n">
        <v>0</v>
      </c>
      <c r="S799" t="n">
        <v>0</v>
      </c>
      <c r="T799" t="n">
        <v>0</v>
      </c>
      <c r="U799" t="n">
        <v>0</v>
      </c>
      <c r="V799" s="2" t="inlineStr"/>
    </row>
    <row r="800" ht="15" customHeight="1">
      <c r="A800" t="inlineStr">
        <is>
          <t>A 67859-2021</t>
        </is>
      </c>
      <c r="B800" t="inlineStr">
        <is>
          <t>avverkningsanmälan</t>
        </is>
      </c>
      <c r="C800" t="inlineStr">
        <is>
          <t>Föryngringsavverkning</t>
        </is>
      </c>
      <c r="D800" s="1" t="n">
        <v>44525</v>
      </c>
      <c r="E800" s="1" t="n">
        <v>46309</v>
      </c>
      <c r="F800" t="inlineStr">
        <is>
          <t>UPPSALA LÄN</t>
        </is>
      </c>
      <c r="G800" t="inlineStr">
        <is>
          <t>ÖSTHAMMAR</t>
        </is>
      </c>
      <c r="I800" t="n">
        <v>1.9</v>
      </c>
      <c r="J800" t="n">
        <v>0</v>
      </c>
      <c r="K800" t="n">
        <v>0</v>
      </c>
      <c r="L800" t="n">
        <v>0</v>
      </c>
      <c r="M800" t="n">
        <v>0</v>
      </c>
      <c r="N800" t="n">
        <v>0</v>
      </c>
      <c r="O800" t="n">
        <v>0</v>
      </c>
      <c r="P800" t="n">
        <v>0</v>
      </c>
      <c r="Q800" t="n">
        <v>0</v>
      </c>
      <c r="R800" t="n">
        <v>0</v>
      </c>
      <c r="S800" t="n">
        <v>0</v>
      </c>
      <c r="T800" t="n">
        <v>0</v>
      </c>
      <c r="U800" t="n">
        <v>0</v>
      </c>
      <c r="V800" s="2" t="inlineStr"/>
    </row>
    <row r="801" ht="15" customHeight="1">
      <c r="A801" t="inlineStr">
        <is>
          <t>A 15436-2022</t>
        </is>
      </c>
      <c r="B801" t="inlineStr">
        <is>
          <t>avverkningsanmälan</t>
        </is>
      </c>
      <c r="C801" t="inlineStr">
        <is>
          <t>Föryngringsavverkning</t>
        </is>
      </c>
      <c r="D801" s="1" t="n">
        <v>44659</v>
      </c>
      <c r="E801" s="1" t="n">
        <v>46309</v>
      </c>
      <c r="F801" t="inlineStr">
        <is>
          <t>UPPSALA LÄN</t>
        </is>
      </c>
      <c r="G801" t="inlineStr">
        <is>
          <t>UPPSALA</t>
        </is>
      </c>
      <c r="I801" t="n">
        <v>14.4</v>
      </c>
      <c r="J801" t="n">
        <v>0</v>
      </c>
      <c r="K801" t="n">
        <v>0</v>
      </c>
      <c r="L801" t="n">
        <v>0</v>
      </c>
      <c r="M801" t="n">
        <v>0</v>
      </c>
      <c r="N801" t="n">
        <v>0</v>
      </c>
      <c r="O801" t="n">
        <v>0</v>
      </c>
      <c r="P801" t="n">
        <v>0</v>
      </c>
      <c r="Q801" t="n">
        <v>0</v>
      </c>
      <c r="R801" t="n">
        <v>0</v>
      </c>
      <c r="S801" t="n">
        <v>0</v>
      </c>
      <c r="T801" t="n">
        <v>0</v>
      </c>
      <c r="U801" t="n">
        <v>0</v>
      </c>
      <c r="V801" s="2" t="inlineStr"/>
    </row>
    <row r="802" ht="15" customHeight="1">
      <c r="A802" t="inlineStr">
        <is>
          <t>A 15456-2022</t>
        </is>
      </c>
      <c r="B802" t="inlineStr">
        <is>
          <t>avverkningsanmälan</t>
        </is>
      </c>
      <c r="C802" t="inlineStr">
        <is>
          <t>Föryngringsavverkning</t>
        </is>
      </c>
      <c r="D802" s="1" t="n">
        <v>44661</v>
      </c>
      <c r="E802" s="1" t="n">
        <v>46309</v>
      </c>
      <c r="F802" t="inlineStr">
        <is>
          <t>UPPSALA LÄN</t>
        </is>
      </c>
      <c r="G802" t="inlineStr">
        <is>
          <t>ÖSTHAMMAR</t>
        </is>
      </c>
      <c r="H802" t="inlineStr">
        <is>
          <t>Bergvik skog öst AB</t>
        </is>
      </c>
      <c r="I802" t="n">
        <v>0.4</v>
      </c>
      <c r="J802" t="n">
        <v>0</v>
      </c>
      <c r="K802" t="n">
        <v>0</v>
      </c>
      <c r="L802" t="n">
        <v>0</v>
      </c>
      <c r="M802" t="n">
        <v>0</v>
      </c>
      <c r="N802" t="n">
        <v>0</v>
      </c>
      <c r="O802" t="n">
        <v>0</v>
      </c>
      <c r="P802" t="n">
        <v>0</v>
      </c>
      <c r="Q802" t="n">
        <v>0</v>
      </c>
      <c r="R802" t="n">
        <v>0</v>
      </c>
      <c r="S802" t="n">
        <v>0</v>
      </c>
      <c r="T802" t="n">
        <v>0</v>
      </c>
      <c r="U802" t="n">
        <v>0</v>
      </c>
      <c r="V802" s="2" t="inlineStr"/>
    </row>
    <row r="803" ht="15" customHeight="1">
      <c r="A803" t="inlineStr">
        <is>
          <t>A 13867-2022</t>
        </is>
      </c>
      <c r="B803" t="inlineStr">
        <is>
          <t>avverkningsanmälan</t>
        </is>
      </c>
      <c r="C803" t="inlineStr">
        <is>
          <t>Föryngringsavverkning</t>
        </is>
      </c>
      <c r="D803" s="1" t="n">
        <v>44649</v>
      </c>
      <c r="E803" s="1" t="n">
        <v>46309</v>
      </c>
      <c r="F803" t="inlineStr">
        <is>
          <t>UPPSALA LÄN</t>
        </is>
      </c>
      <c r="G803" t="inlineStr">
        <is>
          <t>ÖSTHAMMAR</t>
        </is>
      </c>
      <c r="H803" t="inlineStr">
        <is>
          <t>Bergvik skog öst AB</t>
        </is>
      </c>
      <c r="I803" t="n">
        <v>1.1</v>
      </c>
      <c r="J803" t="n">
        <v>0</v>
      </c>
      <c r="K803" t="n">
        <v>0</v>
      </c>
      <c r="L803" t="n">
        <v>0</v>
      </c>
      <c r="M803" t="n">
        <v>0</v>
      </c>
      <c r="N803" t="n">
        <v>0</v>
      </c>
      <c r="O803" t="n">
        <v>0</v>
      </c>
      <c r="P803" t="n">
        <v>0</v>
      </c>
      <c r="Q803" t="n">
        <v>0</v>
      </c>
      <c r="R803" t="n">
        <v>0</v>
      </c>
      <c r="S803" t="n">
        <v>0</v>
      </c>
      <c r="T803" t="n">
        <v>0</v>
      </c>
      <c r="U803" t="n">
        <v>0</v>
      </c>
      <c r="V803" s="2" t="inlineStr"/>
    </row>
    <row r="804" ht="15" customHeight="1">
      <c r="A804" t="inlineStr">
        <is>
          <t>A 59881-2021</t>
        </is>
      </c>
      <c r="B804" t="inlineStr">
        <is>
          <t>avverkningsanmälan</t>
        </is>
      </c>
      <c r="C804" t="inlineStr">
        <is>
          <t>Föryngringsavverkning</t>
        </is>
      </c>
      <c r="D804" s="1" t="n">
        <v>44494</v>
      </c>
      <c r="E804" s="1" t="n">
        <v>46309</v>
      </c>
      <c r="F804" t="inlineStr">
        <is>
          <t>UPPSALA LÄN</t>
        </is>
      </c>
      <c r="G804" t="inlineStr">
        <is>
          <t>UPPSALA</t>
        </is>
      </c>
      <c r="H804" t="inlineStr">
        <is>
          <t>Allmännings- och besparingsskogar</t>
        </is>
      </c>
      <c r="I804" t="n">
        <v>1.6</v>
      </c>
      <c r="J804" t="n">
        <v>0</v>
      </c>
      <c r="K804" t="n">
        <v>0</v>
      </c>
      <c r="L804" t="n">
        <v>0</v>
      </c>
      <c r="M804" t="n">
        <v>0</v>
      </c>
      <c r="N804" t="n">
        <v>0</v>
      </c>
      <c r="O804" t="n">
        <v>0</v>
      </c>
      <c r="P804" t="n">
        <v>0</v>
      </c>
      <c r="Q804" t="n">
        <v>0</v>
      </c>
      <c r="R804" t="n">
        <v>0</v>
      </c>
      <c r="S804" t="n">
        <v>0</v>
      </c>
      <c r="T804" t="n">
        <v>0</v>
      </c>
      <c r="U804" t="n">
        <v>0</v>
      </c>
      <c r="V804" s="2" t="inlineStr"/>
    </row>
    <row r="805" ht="15" customHeight="1">
      <c r="A805" t="inlineStr">
        <is>
          <t>A 44265-2022</t>
        </is>
      </c>
      <c r="B805" t="inlineStr">
        <is>
          <t>avverkningsanmälan</t>
        </is>
      </c>
      <c r="C805" t="inlineStr">
        <is>
          <t>Föryngringsavverkning</t>
        </is>
      </c>
      <c r="D805" s="1" t="n">
        <v>44839</v>
      </c>
      <c r="E805" s="1" t="n">
        <v>46309</v>
      </c>
      <c r="F805" t="inlineStr">
        <is>
          <t>UPPSALA LÄN</t>
        </is>
      </c>
      <c r="G805" t="inlineStr">
        <is>
          <t>UPPSALA</t>
        </is>
      </c>
      <c r="I805" t="n">
        <v>2</v>
      </c>
      <c r="J805" t="n">
        <v>0</v>
      </c>
      <c r="K805" t="n">
        <v>0</v>
      </c>
      <c r="L805" t="n">
        <v>0</v>
      </c>
      <c r="M805" t="n">
        <v>0</v>
      </c>
      <c r="N805" t="n">
        <v>0</v>
      </c>
      <c r="O805" t="n">
        <v>0</v>
      </c>
      <c r="P805" t="n">
        <v>0</v>
      </c>
      <c r="Q805" t="n">
        <v>0</v>
      </c>
      <c r="R805" t="n">
        <v>0</v>
      </c>
      <c r="S805" t="n">
        <v>0</v>
      </c>
      <c r="T805" t="n">
        <v>0</v>
      </c>
      <c r="U805" t="n">
        <v>0</v>
      </c>
      <c r="V805" s="2" t="inlineStr"/>
    </row>
    <row r="806" ht="15" customHeight="1">
      <c r="A806" t="inlineStr">
        <is>
          <t>A 20764-2022</t>
        </is>
      </c>
      <c r="B806" t="inlineStr">
        <is>
          <t>avverkningsanmälan</t>
        </is>
      </c>
      <c r="C806" t="inlineStr">
        <is>
          <t>Föryngringsavverkning</t>
        </is>
      </c>
      <c r="D806" s="1" t="n">
        <v>44700</v>
      </c>
      <c r="E806" s="1" t="n">
        <v>46309</v>
      </c>
      <c r="F806" t="inlineStr">
        <is>
          <t>UPPSALA LÄN</t>
        </is>
      </c>
      <c r="G806" t="inlineStr">
        <is>
          <t>UPPSALA</t>
        </is>
      </c>
      <c r="I806" t="n">
        <v>0.7</v>
      </c>
      <c r="J806" t="n">
        <v>0</v>
      </c>
      <c r="K806" t="n">
        <v>0</v>
      </c>
      <c r="L806" t="n">
        <v>0</v>
      </c>
      <c r="M806" t="n">
        <v>0</v>
      </c>
      <c r="N806" t="n">
        <v>0</v>
      </c>
      <c r="O806" t="n">
        <v>0</v>
      </c>
      <c r="P806" t="n">
        <v>0</v>
      </c>
      <c r="Q806" t="n">
        <v>0</v>
      </c>
      <c r="R806" t="n">
        <v>0</v>
      </c>
      <c r="S806" t="n">
        <v>0</v>
      </c>
      <c r="T806" t="n">
        <v>0</v>
      </c>
      <c r="U806" t="n">
        <v>0</v>
      </c>
      <c r="V806" s="2" t="inlineStr"/>
    </row>
    <row r="807" ht="15" customHeight="1">
      <c r="A807" t="inlineStr">
        <is>
          <t>A 7124-2022</t>
        </is>
      </c>
      <c r="B807" t="inlineStr">
        <is>
          <t>avverkningsanmälan</t>
        </is>
      </c>
      <c r="C807" t="inlineStr">
        <is>
          <t>Föryngringsavverkning</t>
        </is>
      </c>
      <c r="D807" s="1" t="n">
        <v>44603</v>
      </c>
      <c r="E807" s="1" t="n">
        <v>46309</v>
      </c>
      <c r="F807" t="inlineStr">
        <is>
          <t>UPPSALA LÄN</t>
        </is>
      </c>
      <c r="G807" t="inlineStr">
        <is>
          <t>UPPSALA</t>
        </is>
      </c>
      <c r="I807" t="n">
        <v>0.5</v>
      </c>
      <c r="J807" t="n">
        <v>0</v>
      </c>
      <c r="K807" t="n">
        <v>0</v>
      </c>
      <c r="L807" t="n">
        <v>0</v>
      </c>
      <c r="M807" t="n">
        <v>0</v>
      </c>
      <c r="N807" t="n">
        <v>0</v>
      </c>
      <c r="O807" t="n">
        <v>0</v>
      </c>
      <c r="P807" t="n">
        <v>0</v>
      </c>
      <c r="Q807" t="n">
        <v>0</v>
      </c>
      <c r="R807" t="n">
        <v>0</v>
      </c>
      <c r="S807" t="n">
        <v>0</v>
      </c>
      <c r="T807" t="n">
        <v>0</v>
      </c>
      <c r="U807" t="n">
        <v>0</v>
      </c>
      <c r="V807" s="2" t="inlineStr"/>
    </row>
    <row r="808" ht="15" customHeight="1">
      <c r="A808" t="inlineStr">
        <is>
          <t>A 65623-2021</t>
        </is>
      </c>
      <c r="B808" t="inlineStr">
        <is>
          <t>avverkningsanmälan</t>
        </is>
      </c>
      <c r="C808" t="inlineStr">
        <is>
          <t>Föryngringsavverkning</t>
        </is>
      </c>
      <c r="D808" s="1" t="n">
        <v>44516</v>
      </c>
      <c r="E808" s="1" t="n">
        <v>46309</v>
      </c>
      <c r="F808" t="inlineStr">
        <is>
          <t>UPPSALA LÄN</t>
        </is>
      </c>
      <c r="G808" t="inlineStr">
        <is>
          <t>HEBY</t>
        </is>
      </c>
      <c r="I808" t="n">
        <v>0.2</v>
      </c>
      <c r="J808" t="n">
        <v>0</v>
      </c>
      <c r="K808" t="n">
        <v>0</v>
      </c>
      <c r="L808" t="n">
        <v>0</v>
      </c>
      <c r="M808" t="n">
        <v>0</v>
      </c>
      <c r="N808" t="n">
        <v>0</v>
      </c>
      <c r="O808" t="n">
        <v>0</v>
      </c>
      <c r="P808" t="n">
        <v>0</v>
      </c>
      <c r="Q808" t="n">
        <v>0</v>
      </c>
      <c r="R808" t="n">
        <v>0</v>
      </c>
      <c r="S808" t="n">
        <v>0</v>
      </c>
      <c r="T808" t="n">
        <v>0</v>
      </c>
      <c r="U808" t="n">
        <v>0</v>
      </c>
      <c r="V808" s="2" t="inlineStr"/>
    </row>
    <row r="809" ht="15" customHeight="1">
      <c r="A809" t="inlineStr">
        <is>
          <t>A 498-2022</t>
        </is>
      </c>
      <c r="B809" t="inlineStr">
        <is>
          <t>avverkningsanmälan</t>
        </is>
      </c>
      <c r="C809" t="inlineStr">
        <is>
          <t>Föryngringsavverkning</t>
        </is>
      </c>
      <c r="D809" s="1" t="n">
        <v>44566</v>
      </c>
      <c r="E809" s="1" t="n">
        <v>46309</v>
      </c>
      <c r="F809" t="inlineStr">
        <is>
          <t>UPPSALA LÄN</t>
        </is>
      </c>
      <c r="G809" t="inlineStr">
        <is>
          <t>ENKÖPING</t>
        </is>
      </c>
      <c r="H809" t="inlineStr">
        <is>
          <t>Övriga statliga verk och myndigheter</t>
        </is>
      </c>
      <c r="I809" t="n">
        <v>11.1</v>
      </c>
      <c r="J809" t="n">
        <v>0</v>
      </c>
      <c r="K809" t="n">
        <v>0</v>
      </c>
      <c r="L809" t="n">
        <v>0</v>
      </c>
      <c r="M809" t="n">
        <v>0</v>
      </c>
      <c r="N809" t="n">
        <v>0</v>
      </c>
      <c r="O809" t="n">
        <v>0</v>
      </c>
      <c r="P809" t="n">
        <v>0</v>
      </c>
      <c r="Q809" t="n">
        <v>0</v>
      </c>
      <c r="R809" t="n">
        <v>0</v>
      </c>
      <c r="S809" t="n">
        <v>0</v>
      </c>
      <c r="T809" t="n">
        <v>0</v>
      </c>
      <c r="U809" t="n">
        <v>0</v>
      </c>
      <c r="V809" s="2" t="inlineStr"/>
    </row>
    <row r="810" ht="15" customHeight="1">
      <c r="A810" t="inlineStr">
        <is>
          <t>A 3496-2022</t>
        </is>
      </c>
      <c r="B810" t="inlineStr">
        <is>
          <t>avverkningsanmälan</t>
        </is>
      </c>
      <c r="C810" t="inlineStr">
        <is>
          <t>Föryngringsavverkning</t>
        </is>
      </c>
      <c r="D810" s="1" t="n">
        <v>44585</v>
      </c>
      <c r="E810" s="1" t="n">
        <v>46309</v>
      </c>
      <c r="F810" t="inlineStr">
        <is>
          <t>UPPSALA LÄN</t>
        </is>
      </c>
      <c r="G810" t="inlineStr">
        <is>
          <t>HEBY</t>
        </is>
      </c>
      <c r="I810" t="n">
        <v>0.5</v>
      </c>
      <c r="J810" t="n">
        <v>0</v>
      </c>
      <c r="K810" t="n">
        <v>0</v>
      </c>
      <c r="L810" t="n">
        <v>0</v>
      </c>
      <c r="M810" t="n">
        <v>0</v>
      </c>
      <c r="N810" t="n">
        <v>0</v>
      </c>
      <c r="O810" t="n">
        <v>0</v>
      </c>
      <c r="P810" t="n">
        <v>0</v>
      </c>
      <c r="Q810" t="n">
        <v>0</v>
      </c>
      <c r="R810" t="n">
        <v>0</v>
      </c>
      <c r="S810" t="n">
        <v>0</v>
      </c>
      <c r="T810" t="n">
        <v>0</v>
      </c>
      <c r="U810" t="n">
        <v>0</v>
      </c>
      <c r="V810" s="2" t="inlineStr"/>
    </row>
    <row r="811" ht="15" customHeight="1">
      <c r="A811" t="inlineStr">
        <is>
          <t>A 64413-2021</t>
        </is>
      </c>
      <c r="B811" t="inlineStr">
        <is>
          <t>avverkningsanmälan</t>
        </is>
      </c>
      <c r="C811" t="inlineStr">
        <is>
          <t>Föryngringsavverkning</t>
        </is>
      </c>
      <c r="D811" s="1" t="n">
        <v>44511</v>
      </c>
      <c r="E811" s="1" t="n">
        <v>46309</v>
      </c>
      <c r="F811" t="inlineStr">
        <is>
          <t>UPPSALA LÄN</t>
        </is>
      </c>
      <c r="G811" t="inlineStr">
        <is>
          <t>HEBY</t>
        </is>
      </c>
      <c r="I811" t="n">
        <v>0.6</v>
      </c>
      <c r="J811" t="n">
        <v>0</v>
      </c>
      <c r="K811" t="n">
        <v>0</v>
      </c>
      <c r="L811" t="n">
        <v>0</v>
      </c>
      <c r="M811" t="n">
        <v>0</v>
      </c>
      <c r="N811" t="n">
        <v>0</v>
      </c>
      <c r="O811" t="n">
        <v>0</v>
      </c>
      <c r="P811" t="n">
        <v>0</v>
      </c>
      <c r="Q811" t="n">
        <v>0</v>
      </c>
      <c r="R811" t="n">
        <v>0</v>
      </c>
      <c r="S811" t="n">
        <v>0</v>
      </c>
      <c r="T811" t="n">
        <v>0</v>
      </c>
      <c r="U811" t="n">
        <v>0</v>
      </c>
      <c r="V811" s="2" t="inlineStr"/>
    </row>
    <row r="812" ht="15" customHeight="1">
      <c r="A812" t="inlineStr">
        <is>
          <t>A 32954-2022</t>
        </is>
      </c>
      <c r="B812" t="inlineStr">
        <is>
          <t>avverkningsanmälan</t>
        </is>
      </c>
      <c r="C812" t="inlineStr">
        <is>
          <t>Föryngringsavverkning</t>
        </is>
      </c>
      <c r="D812" s="1" t="n">
        <v>44784</v>
      </c>
      <c r="E812" s="1" t="n">
        <v>46309</v>
      </c>
      <c r="F812" t="inlineStr">
        <is>
          <t>UPPSALA LÄN</t>
        </is>
      </c>
      <c r="G812" t="inlineStr">
        <is>
          <t>UPPSALA</t>
        </is>
      </c>
      <c r="I812" t="n">
        <v>2.6</v>
      </c>
      <c r="J812" t="n">
        <v>0</v>
      </c>
      <c r="K812" t="n">
        <v>0</v>
      </c>
      <c r="L812" t="n">
        <v>0</v>
      </c>
      <c r="M812" t="n">
        <v>0</v>
      </c>
      <c r="N812" t="n">
        <v>0</v>
      </c>
      <c r="O812" t="n">
        <v>0</v>
      </c>
      <c r="P812" t="n">
        <v>0</v>
      </c>
      <c r="Q812" t="n">
        <v>0</v>
      </c>
      <c r="R812" t="n">
        <v>0</v>
      </c>
      <c r="S812" t="n">
        <v>0</v>
      </c>
      <c r="T812" t="n">
        <v>0</v>
      </c>
      <c r="U812" t="n">
        <v>0</v>
      </c>
      <c r="V812" s="2" t="inlineStr"/>
    </row>
    <row r="813" ht="15" customHeight="1">
      <c r="A813" t="inlineStr">
        <is>
          <t>A 3574-2022</t>
        </is>
      </c>
      <c r="B813" t="inlineStr">
        <is>
          <t>avverkningsanmälan</t>
        </is>
      </c>
      <c r="C813" t="inlineStr">
        <is>
          <t>Föryngringsavverkning</t>
        </is>
      </c>
      <c r="D813" s="1" t="n">
        <v>44586</v>
      </c>
      <c r="E813" s="1" t="n">
        <v>46309</v>
      </c>
      <c r="F813" t="inlineStr">
        <is>
          <t>UPPSALA LÄN</t>
        </is>
      </c>
      <c r="G813" t="inlineStr">
        <is>
          <t>HEBY</t>
        </is>
      </c>
      <c r="I813" t="n">
        <v>1.4</v>
      </c>
      <c r="J813" t="n">
        <v>0</v>
      </c>
      <c r="K813" t="n">
        <v>0</v>
      </c>
      <c r="L813" t="n">
        <v>0</v>
      </c>
      <c r="M813" t="n">
        <v>0</v>
      </c>
      <c r="N813" t="n">
        <v>0</v>
      </c>
      <c r="O813" t="n">
        <v>0</v>
      </c>
      <c r="P813" t="n">
        <v>0</v>
      </c>
      <c r="Q813" t="n">
        <v>0</v>
      </c>
      <c r="R813" t="n">
        <v>0</v>
      </c>
      <c r="S813" t="n">
        <v>0</v>
      </c>
      <c r="T813" t="n">
        <v>0</v>
      </c>
      <c r="U813" t="n">
        <v>0</v>
      </c>
      <c r="V813" s="2" t="inlineStr"/>
    </row>
    <row r="814" ht="15" customHeight="1">
      <c r="A814" t="inlineStr">
        <is>
          <t>A 1965-2022</t>
        </is>
      </c>
      <c r="B814" t="inlineStr">
        <is>
          <t>avverkningsanmälan</t>
        </is>
      </c>
      <c r="C814" t="inlineStr">
        <is>
          <t>Föryngringsavverkning</t>
        </is>
      </c>
      <c r="D814" s="1" t="n">
        <v>44575</v>
      </c>
      <c r="E814" s="1" t="n">
        <v>46309</v>
      </c>
      <c r="F814" t="inlineStr">
        <is>
          <t>UPPSALA LÄN</t>
        </is>
      </c>
      <c r="G814" t="inlineStr">
        <is>
          <t>ENKÖPING</t>
        </is>
      </c>
      <c r="I814" t="n">
        <v>0.7</v>
      </c>
      <c r="J814" t="n">
        <v>0</v>
      </c>
      <c r="K814" t="n">
        <v>0</v>
      </c>
      <c r="L814" t="n">
        <v>0</v>
      </c>
      <c r="M814" t="n">
        <v>0</v>
      </c>
      <c r="N814" t="n">
        <v>0</v>
      </c>
      <c r="O814" t="n">
        <v>0</v>
      </c>
      <c r="P814" t="n">
        <v>0</v>
      </c>
      <c r="Q814" t="n">
        <v>0</v>
      </c>
      <c r="R814" t="n">
        <v>0</v>
      </c>
      <c r="S814" t="n">
        <v>0</v>
      </c>
      <c r="T814" t="n">
        <v>0</v>
      </c>
      <c r="U814" t="n">
        <v>0</v>
      </c>
      <c r="V814" s="2" t="inlineStr"/>
    </row>
    <row r="815" ht="15" customHeight="1">
      <c r="A815" t="inlineStr">
        <is>
          <t>A 15583-2022</t>
        </is>
      </c>
      <c r="B815" t="inlineStr">
        <is>
          <t>avverkningsanmälan</t>
        </is>
      </c>
      <c r="C815" t="inlineStr">
        <is>
          <t>Föryngringsavverkning</t>
        </is>
      </c>
      <c r="D815" s="1" t="n">
        <v>44662</v>
      </c>
      <c r="E815" s="1" t="n">
        <v>46309</v>
      </c>
      <c r="F815" t="inlineStr">
        <is>
          <t>UPPSALA LÄN</t>
        </is>
      </c>
      <c r="G815" t="inlineStr">
        <is>
          <t>UPPSALA</t>
        </is>
      </c>
      <c r="H815" t="inlineStr">
        <is>
          <t>Övriga Aktiebolag</t>
        </is>
      </c>
      <c r="I815" t="n">
        <v>4.3</v>
      </c>
      <c r="J815" t="n">
        <v>0</v>
      </c>
      <c r="K815" t="n">
        <v>0</v>
      </c>
      <c r="L815" t="n">
        <v>0</v>
      </c>
      <c r="M815" t="n">
        <v>0</v>
      </c>
      <c r="N815" t="n">
        <v>0</v>
      </c>
      <c r="O815" t="n">
        <v>0</v>
      </c>
      <c r="P815" t="n">
        <v>0</v>
      </c>
      <c r="Q815" t="n">
        <v>0</v>
      </c>
      <c r="R815" t="n">
        <v>0</v>
      </c>
      <c r="S815" t="n">
        <v>0</v>
      </c>
      <c r="T815" t="n">
        <v>0</v>
      </c>
      <c r="U815" t="n">
        <v>0</v>
      </c>
      <c r="V815" s="2" t="inlineStr"/>
    </row>
    <row r="816" ht="15" customHeight="1">
      <c r="A816" t="inlineStr">
        <is>
          <t>A 30182-2022</t>
        </is>
      </c>
      <c r="B816" t="inlineStr">
        <is>
          <t>avverkningsanmälan</t>
        </is>
      </c>
      <c r="C816" t="inlineStr">
        <is>
          <t>Föryngringsavverkning</t>
        </is>
      </c>
      <c r="D816" s="1" t="n">
        <v>44757</v>
      </c>
      <c r="E816" s="1" t="n">
        <v>46309</v>
      </c>
      <c r="F816" t="inlineStr">
        <is>
          <t>UPPSALA LÄN</t>
        </is>
      </c>
      <c r="G816" t="inlineStr">
        <is>
          <t>HEBY</t>
        </is>
      </c>
      <c r="I816" t="n">
        <v>5</v>
      </c>
      <c r="J816" t="n">
        <v>0</v>
      </c>
      <c r="K816" t="n">
        <v>0</v>
      </c>
      <c r="L816" t="n">
        <v>0</v>
      </c>
      <c r="M816" t="n">
        <v>0</v>
      </c>
      <c r="N816" t="n">
        <v>0</v>
      </c>
      <c r="O816" t="n">
        <v>0</v>
      </c>
      <c r="P816" t="n">
        <v>0</v>
      </c>
      <c r="Q816" t="n">
        <v>0</v>
      </c>
      <c r="R816" t="n">
        <v>0</v>
      </c>
      <c r="S816" t="n">
        <v>0</v>
      </c>
      <c r="T816" t="n">
        <v>0</v>
      </c>
      <c r="U816" t="n">
        <v>0</v>
      </c>
      <c r="V816" s="2" t="inlineStr"/>
    </row>
    <row r="817" ht="15" customHeight="1">
      <c r="A817" t="inlineStr">
        <is>
          <t>A 40765-2022</t>
        </is>
      </c>
      <c r="B817" t="inlineStr">
        <is>
          <t>avverkningsanmälan</t>
        </is>
      </c>
      <c r="C817" t="inlineStr">
        <is>
          <t>Föryngringsavverkning</t>
        </is>
      </c>
      <c r="D817" s="1" t="n">
        <v>44824</v>
      </c>
      <c r="E817" s="1" t="n">
        <v>46309</v>
      </c>
      <c r="F817" t="inlineStr">
        <is>
          <t>UPPSALA LÄN</t>
        </is>
      </c>
      <c r="G817" t="inlineStr">
        <is>
          <t>TIERP</t>
        </is>
      </c>
      <c r="I817" t="n">
        <v>2.6</v>
      </c>
      <c r="J817" t="n">
        <v>0</v>
      </c>
      <c r="K817" t="n">
        <v>0</v>
      </c>
      <c r="L817" t="n">
        <v>0</v>
      </c>
      <c r="M817" t="n">
        <v>0</v>
      </c>
      <c r="N817" t="n">
        <v>0</v>
      </c>
      <c r="O817" t="n">
        <v>0</v>
      </c>
      <c r="P817" t="n">
        <v>0</v>
      </c>
      <c r="Q817" t="n">
        <v>0</v>
      </c>
      <c r="R817" t="n">
        <v>0</v>
      </c>
      <c r="S817" t="n">
        <v>0</v>
      </c>
      <c r="T817" t="n">
        <v>0</v>
      </c>
      <c r="U817" t="n">
        <v>0</v>
      </c>
      <c r="V817" s="2" t="inlineStr"/>
    </row>
    <row r="818" ht="15" customHeight="1">
      <c r="A818" t="inlineStr">
        <is>
          <t>A 48230-2022</t>
        </is>
      </c>
      <c r="B818" t="inlineStr">
        <is>
          <t>avverkningsanmälan</t>
        </is>
      </c>
      <c r="C818" t="inlineStr">
        <is>
          <t>Föryngringsavverkning</t>
        </is>
      </c>
      <c r="D818" s="1" t="n">
        <v>44858</v>
      </c>
      <c r="E818" s="1" t="n">
        <v>46309</v>
      </c>
      <c r="F818" t="inlineStr">
        <is>
          <t>UPPSALA LÄN</t>
        </is>
      </c>
      <c r="G818" t="inlineStr">
        <is>
          <t>ENKÖPING</t>
        </is>
      </c>
      <c r="I818" t="n">
        <v>0.5</v>
      </c>
      <c r="J818" t="n">
        <v>0</v>
      </c>
      <c r="K818" t="n">
        <v>0</v>
      </c>
      <c r="L818" t="n">
        <v>0</v>
      </c>
      <c r="M818" t="n">
        <v>0</v>
      </c>
      <c r="N818" t="n">
        <v>0</v>
      </c>
      <c r="O818" t="n">
        <v>0</v>
      </c>
      <c r="P818" t="n">
        <v>0</v>
      </c>
      <c r="Q818" t="n">
        <v>0</v>
      </c>
      <c r="R818" t="n">
        <v>0</v>
      </c>
      <c r="S818" t="n">
        <v>0</v>
      </c>
      <c r="T818" t="n">
        <v>0</v>
      </c>
      <c r="U818" t="n">
        <v>0</v>
      </c>
      <c r="V818" s="2" t="inlineStr"/>
    </row>
    <row r="819" ht="15" customHeight="1">
      <c r="A819" t="inlineStr">
        <is>
          <t>A 46149-2022</t>
        </is>
      </c>
      <c r="B819" t="inlineStr">
        <is>
          <t>avverkningsanmälan</t>
        </is>
      </c>
      <c r="C819" t="inlineStr">
        <is>
          <t>Föryngringsavverkning</t>
        </is>
      </c>
      <c r="D819" s="1" t="n">
        <v>44847</v>
      </c>
      <c r="E819" s="1" t="n">
        <v>46309</v>
      </c>
      <c r="F819" t="inlineStr">
        <is>
          <t>UPPSALA LÄN</t>
        </is>
      </c>
      <c r="G819" t="inlineStr">
        <is>
          <t>KNIVSTA</t>
        </is>
      </c>
      <c r="I819" t="n">
        <v>0.7</v>
      </c>
      <c r="J819" t="n">
        <v>0</v>
      </c>
      <c r="K819" t="n">
        <v>0</v>
      </c>
      <c r="L819" t="n">
        <v>0</v>
      </c>
      <c r="M819" t="n">
        <v>0</v>
      </c>
      <c r="N819" t="n">
        <v>0</v>
      </c>
      <c r="O819" t="n">
        <v>0</v>
      </c>
      <c r="P819" t="n">
        <v>0</v>
      </c>
      <c r="Q819" t="n">
        <v>0</v>
      </c>
      <c r="R819" t="n">
        <v>0</v>
      </c>
      <c r="S819" t="n">
        <v>0</v>
      </c>
      <c r="T819" t="n">
        <v>0</v>
      </c>
      <c r="U819" t="n">
        <v>0</v>
      </c>
      <c r="V819" s="2" t="inlineStr"/>
    </row>
    <row r="820" ht="15" customHeight="1">
      <c r="A820" t="inlineStr">
        <is>
          <t>A 14531-2022</t>
        </is>
      </c>
      <c r="B820" t="inlineStr">
        <is>
          <t>avverkningsanmälan</t>
        </is>
      </c>
      <c r="C820" t="inlineStr">
        <is>
          <t>Föryngringsavverkning</t>
        </is>
      </c>
      <c r="D820" s="1" t="n">
        <v>44655</v>
      </c>
      <c r="E820" s="1" t="n">
        <v>46309</v>
      </c>
      <c r="F820" t="inlineStr">
        <is>
          <t>UPPSALA LÄN</t>
        </is>
      </c>
      <c r="G820" t="inlineStr">
        <is>
          <t>ENKÖPING</t>
        </is>
      </c>
      <c r="I820" t="n">
        <v>0.5</v>
      </c>
      <c r="J820" t="n">
        <v>0</v>
      </c>
      <c r="K820" t="n">
        <v>0</v>
      </c>
      <c r="L820" t="n">
        <v>0</v>
      </c>
      <c r="M820" t="n">
        <v>0</v>
      </c>
      <c r="N820" t="n">
        <v>0</v>
      </c>
      <c r="O820" t="n">
        <v>0</v>
      </c>
      <c r="P820" t="n">
        <v>0</v>
      </c>
      <c r="Q820" t="n">
        <v>0</v>
      </c>
      <c r="R820" t="n">
        <v>0</v>
      </c>
      <c r="S820" t="n">
        <v>0</v>
      </c>
      <c r="T820" t="n">
        <v>0</v>
      </c>
      <c r="U820" t="n">
        <v>0</v>
      </c>
      <c r="V820" s="2" t="inlineStr"/>
    </row>
    <row r="821" ht="15" customHeight="1">
      <c r="A821" t="inlineStr">
        <is>
          <t>A 8451-2022</t>
        </is>
      </c>
      <c r="B821" t="inlineStr">
        <is>
          <t>avverkningsanmälan</t>
        </is>
      </c>
      <c r="C821" t="inlineStr">
        <is>
          <t>Föryngringsavverkning</t>
        </is>
      </c>
      <c r="D821" s="1" t="n">
        <v>44612</v>
      </c>
      <c r="E821" s="1" t="n">
        <v>46309</v>
      </c>
      <c r="F821" t="inlineStr">
        <is>
          <t>UPPSALA LÄN</t>
        </is>
      </c>
      <c r="G821" t="inlineStr">
        <is>
          <t>UPPSALA</t>
        </is>
      </c>
      <c r="I821" t="n">
        <v>1.8</v>
      </c>
      <c r="J821" t="n">
        <v>0</v>
      </c>
      <c r="K821" t="n">
        <v>0</v>
      </c>
      <c r="L821" t="n">
        <v>0</v>
      </c>
      <c r="M821" t="n">
        <v>0</v>
      </c>
      <c r="N821" t="n">
        <v>0</v>
      </c>
      <c r="O821" t="n">
        <v>0</v>
      </c>
      <c r="P821" t="n">
        <v>0</v>
      </c>
      <c r="Q821" t="n">
        <v>0</v>
      </c>
      <c r="R821" t="n">
        <v>0</v>
      </c>
      <c r="S821" t="n">
        <v>0</v>
      </c>
      <c r="T821" t="n">
        <v>0</v>
      </c>
      <c r="U821" t="n">
        <v>0</v>
      </c>
      <c r="V821" s="2" t="inlineStr"/>
    </row>
    <row r="822" ht="15" customHeight="1">
      <c r="A822" t="inlineStr">
        <is>
          <t>A 10298-2022</t>
        </is>
      </c>
      <c r="B822" t="inlineStr">
        <is>
          <t>avverkningsanmälan</t>
        </is>
      </c>
      <c r="C822" t="inlineStr">
        <is>
          <t>Föryngringsavverkning</t>
        </is>
      </c>
      <c r="D822" s="1" t="n">
        <v>44622</v>
      </c>
      <c r="E822" s="1" t="n">
        <v>46309</v>
      </c>
      <c r="F822" t="inlineStr">
        <is>
          <t>UPPSALA LÄN</t>
        </is>
      </c>
      <c r="G822" t="inlineStr">
        <is>
          <t>ÖSTHAMMAR</t>
        </is>
      </c>
      <c r="H822" t="inlineStr">
        <is>
          <t>Bergvik skog öst AB</t>
        </is>
      </c>
      <c r="I822" t="n">
        <v>1.2</v>
      </c>
      <c r="J822" t="n">
        <v>0</v>
      </c>
      <c r="K822" t="n">
        <v>0</v>
      </c>
      <c r="L822" t="n">
        <v>0</v>
      </c>
      <c r="M822" t="n">
        <v>0</v>
      </c>
      <c r="N822" t="n">
        <v>0</v>
      </c>
      <c r="O822" t="n">
        <v>0</v>
      </c>
      <c r="P822" t="n">
        <v>0</v>
      </c>
      <c r="Q822" t="n">
        <v>0</v>
      </c>
      <c r="R822" t="n">
        <v>0</v>
      </c>
      <c r="S822" t="n">
        <v>0</v>
      </c>
      <c r="T822" t="n">
        <v>0</v>
      </c>
      <c r="U822" t="n">
        <v>0</v>
      </c>
      <c r="V822" s="2" t="inlineStr"/>
    </row>
    <row r="823" ht="15" customHeight="1">
      <c r="A823" t="inlineStr">
        <is>
          <t>A 48233-2022</t>
        </is>
      </c>
      <c r="B823" t="inlineStr">
        <is>
          <t>avverkningsanmälan</t>
        </is>
      </c>
      <c r="C823" t="inlineStr">
        <is>
          <t>Föryngringsavverkning</t>
        </is>
      </c>
      <c r="D823" s="1" t="n">
        <v>44858</v>
      </c>
      <c r="E823" s="1" t="n">
        <v>46309</v>
      </c>
      <c r="F823" t="inlineStr">
        <is>
          <t>UPPSALA LÄN</t>
        </is>
      </c>
      <c r="G823" t="inlineStr">
        <is>
          <t>ENKÖPING</t>
        </is>
      </c>
      <c r="I823" t="n">
        <v>0.7</v>
      </c>
      <c r="J823" t="n">
        <v>0</v>
      </c>
      <c r="K823" t="n">
        <v>0</v>
      </c>
      <c r="L823" t="n">
        <v>0</v>
      </c>
      <c r="M823" t="n">
        <v>0</v>
      </c>
      <c r="N823" t="n">
        <v>0</v>
      </c>
      <c r="O823" t="n">
        <v>0</v>
      </c>
      <c r="P823" t="n">
        <v>0</v>
      </c>
      <c r="Q823" t="n">
        <v>0</v>
      </c>
      <c r="R823" t="n">
        <v>0</v>
      </c>
      <c r="S823" t="n">
        <v>0</v>
      </c>
      <c r="T823" t="n">
        <v>0</v>
      </c>
      <c r="U823" t="n">
        <v>0</v>
      </c>
      <c r="V823" s="2" t="inlineStr"/>
    </row>
    <row r="824" ht="15" customHeight="1">
      <c r="A824" t="inlineStr">
        <is>
          <t>A 8556-2022</t>
        </is>
      </c>
      <c r="B824" t="inlineStr">
        <is>
          <t>avverkningsanmälan</t>
        </is>
      </c>
      <c r="C824" t="inlineStr">
        <is>
          <t>Föryngringsavverkning</t>
        </is>
      </c>
      <c r="D824" s="1" t="n">
        <v>44613</v>
      </c>
      <c r="E824" s="1" t="n">
        <v>46309</v>
      </c>
      <c r="F824" t="inlineStr">
        <is>
          <t>UPPSALA LÄN</t>
        </is>
      </c>
      <c r="G824" t="inlineStr">
        <is>
          <t>ÖSTHAMMAR</t>
        </is>
      </c>
      <c r="I824" t="n">
        <v>0.5</v>
      </c>
      <c r="J824" t="n">
        <v>0</v>
      </c>
      <c r="K824" t="n">
        <v>0</v>
      </c>
      <c r="L824" t="n">
        <v>0</v>
      </c>
      <c r="M824" t="n">
        <v>0</v>
      </c>
      <c r="N824" t="n">
        <v>0</v>
      </c>
      <c r="O824" t="n">
        <v>0</v>
      </c>
      <c r="P824" t="n">
        <v>0</v>
      </c>
      <c r="Q824" t="n">
        <v>0</v>
      </c>
      <c r="R824" t="n">
        <v>0</v>
      </c>
      <c r="S824" t="n">
        <v>0</v>
      </c>
      <c r="T824" t="n">
        <v>0</v>
      </c>
      <c r="U824" t="n">
        <v>0</v>
      </c>
      <c r="V824" s="2" t="inlineStr"/>
    </row>
    <row r="825" ht="15" customHeight="1">
      <c r="A825" t="inlineStr">
        <is>
          <t>A 63955-2021</t>
        </is>
      </c>
      <c r="B825" t="inlineStr">
        <is>
          <t>avverkningsanmälan</t>
        </is>
      </c>
      <c r="C825" t="inlineStr">
        <is>
          <t>Föryngringsavverkning</t>
        </is>
      </c>
      <c r="D825" s="1" t="n">
        <v>44509</v>
      </c>
      <c r="E825" s="1" t="n">
        <v>46309</v>
      </c>
      <c r="F825" t="inlineStr">
        <is>
          <t>UPPSALA LÄN</t>
        </is>
      </c>
      <c r="G825" t="inlineStr">
        <is>
          <t>HEBY</t>
        </is>
      </c>
      <c r="I825" t="n">
        <v>3.3</v>
      </c>
      <c r="J825" t="n">
        <v>0</v>
      </c>
      <c r="K825" t="n">
        <v>0</v>
      </c>
      <c r="L825" t="n">
        <v>0</v>
      </c>
      <c r="M825" t="n">
        <v>0</v>
      </c>
      <c r="N825" t="n">
        <v>0</v>
      </c>
      <c r="O825" t="n">
        <v>0</v>
      </c>
      <c r="P825" t="n">
        <v>0</v>
      </c>
      <c r="Q825" t="n">
        <v>0</v>
      </c>
      <c r="R825" t="n">
        <v>0</v>
      </c>
      <c r="S825" t="n">
        <v>0</v>
      </c>
      <c r="T825" t="n">
        <v>0</v>
      </c>
      <c r="U825" t="n">
        <v>0</v>
      </c>
      <c r="V825" s="2" t="inlineStr"/>
    </row>
    <row r="826" ht="15" customHeight="1">
      <c r="A826" t="inlineStr">
        <is>
          <t>A 63501-2021</t>
        </is>
      </c>
      <c r="B826" t="inlineStr">
        <is>
          <t>avverkningsanmälan</t>
        </is>
      </c>
      <c r="C826" t="inlineStr">
        <is>
          <t>Föryngringsavverkning</t>
        </is>
      </c>
      <c r="D826" s="1" t="n">
        <v>44508</v>
      </c>
      <c r="E826" s="1" t="n">
        <v>46309</v>
      </c>
      <c r="F826" t="inlineStr">
        <is>
          <t>UPPSALA LÄN</t>
        </is>
      </c>
      <c r="G826" t="inlineStr">
        <is>
          <t>HEBY</t>
        </is>
      </c>
      <c r="I826" t="n">
        <v>0.9</v>
      </c>
      <c r="J826" t="n">
        <v>0</v>
      </c>
      <c r="K826" t="n">
        <v>0</v>
      </c>
      <c r="L826" t="n">
        <v>0</v>
      </c>
      <c r="M826" t="n">
        <v>0</v>
      </c>
      <c r="N826" t="n">
        <v>0</v>
      </c>
      <c r="O826" t="n">
        <v>0</v>
      </c>
      <c r="P826" t="n">
        <v>0</v>
      </c>
      <c r="Q826" t="n">
        <v>0</v>
      </c>
      <c r="R826" t="n">
        <v>0</v>
      </c>
      <c r="S826" t="n">
        <v>0</v>
      </c>
      <c r="T826" t="n">
        <v>0</v>
      </c>
      <c r="U826" t="n">
        <v>0</v>
      </c>
      <c r="V826" s="2" t="inlineStr"/>
    </row>
    <row r="827" ht="15" customHeight="1">
      <c r="A827" t="inlineStr">
        <is>
          <t>A 55040-2022</t>
        </is>
      </c>
      <c r="B827" t="inlineStr">
        <is>
          <t>avverkningsanmälan</t>
        </is>
      </c>
      <c r="C827" t="inlineStr">
        <is>
          <t>Föryngringsavverkning</t>
        </is>
      </c>
      <c r="D827" s="1" t="n">
        <v>44886</v>
      </c>
      <c r="E827" s="1" t="n">
        <v>46309</v>
      </c>
      <c r="F827" t="inlineStr">
        <is>
          <t>UPPSALA LÄN</t>
        </is>
      </c>
      <c r="G827" t="inlineStr">
        <is>
          <t>UPPSALA</t>
        </is>
      </c>
      <c r="H827" t="inlineStr">
        <is>
          <t>Sveaskog</t>
        </is>
      </c>
      <c r="I827" t="n">
        <v>5.3</v>
      </c>
      <c r="J827" t="n">
        <v>0</v>
      </c>
      <c r="K827" t="n">
        <v>0</v>
      </c>
      <c r="L827" t="n">
        <v>0</v>
      </c>
      <c r="M827" t="n">
        <v>0</v>
      </c>
      <c r="N827" t="n">
        <v>0</v>
      </c>
      <c r="O827" t="n">
        <v>0</v>
      </c>
      <c r="P827" t="n">
        <v>0</v>
      </c>
      <c r="Q827" t="n">
        <v>0</v>
      </c>
      <c r="R827" t="n">
        <v>0</v>
      </c>
      <c r="S827" t="n">
        <v>0</v>
      </c>
      <c r="T827" t="n">
        <v>0</v>
      </c>
      <c r="U827" t="n">
        <v>0</v>
      </c>
      <c r="V827" s="2" t="inlineStr"/>
    </row>
    <row r="828" ht="15" customHeight="1">
      <c r="A828" t="inlineStr">
        <is>
          <t>A 29435-2022</t>
        </is>
      </c>
      <c r="B828" t="inlineStr">
        <is>
          <t>avverkningsanmälan</t>
        </is>
      </c>
      <c r="C828" t="inlineStr">
        <is>
          <t>Föryngringsavverkning</t>
        </is>
      </c>
      <c r="D828" s="1" t="n">
        <v>44753</v>
      </c>
      <c r="E828" s="1" t="n">
        <v>46309</v>
      </c>
      <c r="F828" t="inlineStr">
        <is>
          <t>UPPSALA LÄN</t>
        </is>
      </c>
      <c r="G828" t="inlineStr">
        <is>
          <t>ENKÖPING</t>
        </is>
      </c>
      <c r="I828" t="n">
        <v>0.7</v>
      </c>
      <c r="J828" t="n">
        <v>0</v>
      </c>
      <c r="K828" t="n">
        <v>0</v>
      </c>
      <c r="L828" t="n">
        <v>0</v>
      </c>
      <c r="M828" t="n">
        <v>0</v>
      </c>
      <c r="N828" t="n">
        <v>0</v>
      </c>
      <c r="O828" t="n">
        <v>0</v>
      </c>
      <c r="P828" t="n">
        <v>0</v>
      </c>
      <c r="Q828" t="n">
        <v>0</v>
      </c>
      <c r="R828" t="n">
        <v>0</v>
      </c>
      <c r="S828" t="n">
        <v>0</v>
      </c>
      <c r="T828" t="n">
        <v>0</v>
      </c>
      <c r="U828" t="n">
        <v>0</v>
      </c>
      <c r="V828" s="2" t="inlineStr"/>
    </row>
    <row r="829" ht="15" customHeight="1">
      <c r="A829" t="inlineStr">
        <is>
          <t>A 29935-2022</t>
        </is>
      </c>
      <c r="B829" t="inlineStr">
        <is>
          <t>avverkningsanmälan</t>
        </is>
      </c>
      <c r="C829" t="inlineStr">
        <is>
          <t>Föryngringsavverkning</t>
        </is>
      </c>
      <c r="D829" s="1" t="n">
        <v>44756</v>
      </c>
      <c r="E829" s="1" t="n">
        <v>46309</v>
      </c>
      <c r="F829" t="inlineStr">
        <is>
          <t>UPPSALA LÄN</t>
        </is>
      </c>
      <c r="G829" t="inlineStr">
        <is>
          <t>HEBY</t>
        </is>
      </c>
      <c r="H829" t="inlineStr">
        <is>
          <t>Övriga Aktiebolag</t>
        </is>
      </c>
      <c r="I829" t="n">
        <v>0.5</v>
      </c>
      <c r="J829" t="n">
        <v>0</v>
      </c>
      <c r="K829" t="n">
        <v>0</v>
      </c>
      <c r="L829" t="n">
        <v>0</v>
      </c>
      <c r="M829" t="n">
        <v>0</v>
      </c>
      <c r="N829" t="n">
        <v>0</v>
      </c>
      <c r="O829" t="n">
        <v>0</v>
      </c>
      <c r="P829" t="n">
        <v>0</v>
      </c>
      <c r="Q829" t="n">
        <v>0</v>
      </c>
      <c r="R829" t="n">
        <v>0</v>
      </c>
      <c r="S829" t="n">
        <v>0</v>
      </c>
      <c r="T829" t="n">
        <v>0</v>
      </c>
      <c r="U829" t="n">
        <v>0</v>
      </c>
      <c r="V829" s="2" t="inlineStr"/>
    </row>
    <row r="830" ht="15" customHeight="1">
      <c r="A830" t="inlineStr">
        <is>
          <t>A 10783-2022</t>
        </is>
      </c>
      <c r="B830" t="inlineStr">
        <is>
          <t>avverkningsanmälan</t>
        </is>
      </c>
      <c r="C830" t="inlineStr">
        <is>
          <t>Föryngringsavverkning</t>
        </is>
      </c>
      <c r="D830" s="1" t="n">
        <v>44627</v>
      </c>
      <c r="E830" s="1" t="n">
        <v>46309</v>
      </c>
      <c r="F830" t="inlineStr">
        <is>
          <t>UPPSALA LÄN</t>
        </is>
      </c>
      <c r="G830" t="inlineStr">
        <is>
          <t>TIERP</t>
        </is>
      </c>
      <c r="I830" t="n">
        <v>0.2</v>
      </c>
      <c r="J830" t="n">
        <v>0</v>
      </c>
      <c r="K830" t="n">
        <v>0</v>
      </c>
      <c r="L830" t="n">
        <v>0</v>
      </c>
      <c r="M830" t="n">
        <v>0</v>
      </c>
      <c r="N830" t="n">
        <v>0</v>
      </c>
      <c r="O830" t="n">
        <v>0</v>
      </c>
      <c r="P830" t="n">
        <v>0</v>
      </c>
      <c r="Q830" t="n">
        <v>0</v>
      </c>
      <c r="R830" t="n">
        <v>0</v>
      </c>
      <c r="S830" t="n">
        <v>0</v>
      </c>
      <c r="T830" t="n">
        <v>0</v>
      </c>
      <c r="U830" t="n">
        <v>0</v>
      </c>
      <c r="V830" s="2" t="inlineStr"/>
    </row>
    <row r="831" ht="15" customHeight="1">
      <c r="A831" t="inlineStr">
        <is>
          <t>A 2795-2022</t>
        </is>
      </c>
      <c r="B831" t="inlineStr">
        <is>
          <t>avverkningsanmälan</t>
        </is>
      </c>
      <c r="C831" t="inlineStr">
        <is>
          <t>Föryngringsavverkning</t>
        </is>
      </c>
      <c r="D831" s="1" t="n">
        <v>44581</v>
      </c>
      <c r="E831" s="1" t="n">
        <v>46309</v>
      </c>
      <c r="F831" t="inlineStr">
        <is>
          <t>UPPSALA LÄN</t>
        </is>
      </c>
      <c r="G831" t="inlineStr">
        <is>
          <t>TIERP</t>
        </is>
      </c>
      <c r="I831" t="n">
        <v>0.7</v>
      </c>
      <c r="J831" t="n">
        <v>0</v>
      </c>
      <c r="K831" t="n">
        <v>0</v>
      </c>
      <c r="L831" t="n">
        <v>0</v>
      </c>
      <c r="M831" t="n">
        <v>0</v>
      </c>
      <c r="N831" t="n">
        <v>0</v>
      </c>
      <c r="O831" t="n">
        <v>0</v>
      </c>
      <c r="P831" t="n">
        <v>0</v>
      </c>
      <c r="Q831" t="n">
        <v>0</v>
      </c>
      <c r="R831" t="n">
        <v>0</v>
      </c>
      <c r="S831" t="n">
        <v>0</v>
      </c>
      <c r="T831" t="n">
        <v>0</v>
      </c>
      <c r="U831" t="n">
        <v>0</v>
      </c>
      <c r="V831" s="2" t="inlineStr"/>
    </row>
    <row r="832" ht="15" customHeight="1">
      <c r="A832" t="inlineStr">
        <is>
          <t>A 2128-2022</t>
        </is>
      </c>
      <c r="B832" t="inlineStr">
        <is>
          <t>avverkningsanmälan</t>
        </is>
      </c>
      <c r="C832" t="inlineStr">
        <is>
          <t>Föryngringsavverkning</t>
        </is>
      </c>
      <c r="D832" s="1" t="n">
        <v>44578</v>
      </c>
      <c r="E832" s="1" t="n">
        <v>46309</v>
      </c>
      <c r="F832" t="inlineStr">
        <is>
          <t>UPPSALA LÄN</t>
        </is>
      </c>
      <c r="G832" t="inlineStr">
        <is>
          <t>HEBY</t>
        </is>
      </c>
      <c r="H832" t="inlineStr">
        <is>
          <t>Bergvik skog väst AB</t>
        </is>
      </c>
      <c r="I832" t="n">
        <v>3.7</v>
      </c>
      <c r="J832" t="n">
        <v>0</v>
      </c>
      <c r="K832" t="n">
        <v>0</v>
      </c>
      <c r="L832" t="n">
        <v>0</v>
      </c>
      <c r="M832" t="n">
        <v>0</v>
      </c>
      <c r="N832" t="n">
        <v>0</v>
      </c>
      <c r="O832" t="n">
        <v>0</v>
      </c>
      <c r="P832" t="n">
        <v>0</v>
      </c>
      <c r="Q832" t="n">
        <v>0</v>
      </c>
      <c r="R832" t="n">
        <v>0</v>
      </c>
      <c r="S832" t="n">
        <v>0</v>
      </c>
      <c r="T832" t="n">
        <v>0</v>
      </c>
      <c r="U832" t="n">
        <v>0</v>
      </c>
      <c r="V832" s="2" t="inlineStr"/>
    </row>
    <row r="833" ht="15" customHeight="1">
      <c r="A833" t="inlineStr">
        <is>
          <t>A 33284-2022</t>
        </is>
      </c>
      <c r="B833" t="inlineStr">
        <is>
          <t>avverkningsanmälan</t>
        </is>
      </c>
      <c r="C833" t="inlineStr">
        <is>
          <t>Föryngringsavverkning</t>
        </is>
      </c>
      <c r="D833" s="1" t="n">
        <v>44788</v>
      </c>
      <c r="E833" s="1" t="n">
        <v>46309</v>
      </c>
      <c r="F833" t="inlineStr">
        <is>
          <t>UPPSALA LÄN</t>
        </is>
      </c>
      <c r="G833" t="inlineStr">
        <is>
          <t>HEBY</t>
        </is>
      </c>
      <c r="I833" t="n">
        <v>1</v>
      </c>
      <c r="J833" t="n">
        <v>0</v>
      </c>
      <c r="K833" t="n">
        <v>0</v>
      </c>
      <c r="L833" t="n">
        <v>0</v>
      </c>
      <c r="M833" t="n">
        <v>0</v>
      </c>
      <c r="N833" t="n">
        <v>0</v>
      </c>
      <c r="O833" t="n">
        <v>0</v>
      </c>
      <c r="P833" t="n">
        <v>0</v>
      </c>
      <c r="Q833" t="n">
        <v>0</v>
      </c>
      <c r="R833" t="n">
        <v>0</v>
      </c>
      <c r="S833" t="n">
        <v>0</v>
      </c>
      <c r="T833" t="n">
        <v>0</v>
      </c>
      <c r="U833" t="n">
        <v>0</v>
      </c>
      <c r="V833" s="2" t="inlineStr"/>
    </row>
    <row r="834" ht="15" customHeight="1">
      <c r="A834" t="inlineStr">
        <is>
          <t>A 5924-2022</t>
        </is>
      </c>
      <c r="B834" t="inlineStr">
        <is>
          <t>avverkningsanmälan</t>
        </is>
      </c>
      <c r="C834" t="inlineStr">
        <is>
          <t>Föryngringsavverkning</t>
        </is>
      </c>
      <c r="D834" s="1" t="n">
        <v>44598</v>
      </c>
      <c r="E834" s="1" t="n">
        <v>46309</v>
      </c>
      <c r="F834" t="inlineStr">
        <is>
          <t>UPPSALA LÄN</t>
        </is>
      </c>
      <c r="G834" t="inlineStr">
        <is>
          <t>UPPSALA</t>
        </is>
      </c>
      <c r="I834" t="n">
        <v>6.8</v>
      </c>
      <c r="J834" t="n">
        <v>0</v>
      </c>
      <c r="K834" t="n">
        <v>0</v>
      </c>
      <c r="L834" t="n">
        <v>0</v>
      </c>
      <c r="M834" t="n">
        <v>0</v>
      </c>
      <c r="N834" t="n">
        <v>0</v>
      </c>
      <c r="O834" t="n">
        <v>0</v>
      </c>
      <c r="P834" t="n">
        <v>0</v>
      </c>
      <c r="Q834" t="n">
        <v>0</v>
      </c>
      <c r="R834" t="n">
        <v>0</v>
      </c>
      <c r="S834" t="n">
        <v>0</v>
      </c>
      <c r="T834" t="n">
        <v>0</v>
      </c>
      <c r="U834" t="n">
        <v>0</v>
      </c>
      <c r="V834" s="2" t="inlineStr"/>
    </row>
    <row r="835" ht="15" customHeight="1">
      <c r="A835" t="inlineStr">
        <is>
          <t>A 54732-2022</t>
        </is>
      </c>
      <c r="B835" t="inlineStr">
        <is>
          <t>avverkningsanmälan</t>
        </is>
      </c>
      <c r="C835" t="inlineStr">
        <is>
          <t>Föryngringsavverkning</t>
        </is>
      </c>
      <c r="D835" s="1" t="n">
        <v>44883</v>
      </c>
      <c r="E835" s="1" t="n">
        <v>46309</v>
      </c>
      <c r="F835" t="inlineStr">
        <is>
          <t>UPPSALA LÄN</t>
        </is>
      </c>
      <c r="G835" t="inlineStr">
        <is>
          <t>UPPSALA</t>
        </is>
      </c>
      <c r="H835" t="inlineStr">
        <is>
          <t>Övriga Aktiebolag</t>
        </is>
      </c>
      <c r="I835" t="n">
        <v>0.7</v>
      </c>
      <c r="J835" t="n">
        <v>0</v>
      </c>
      <c r="K835" t="n">
        <v>0</v>
      </c>
      <c r="L835" t="n">
        <v>0</v>
      </c>
      <c r="M835" t="n">
        <v>0</v>
      </c>
      <c r="N835" t="n">
        <v>0</v>
      </c>
      <c r="O835" t="n">
        <v>0</v>
      </c>
      <c r="P835" t="n">
        <v>0</v>
      </c>
      <c r="Q835" t="n">
        <v>0</v>
      </c>
      <c r="R835" t="n">
        <v>0</v>
      </c>
      <c r="S835" t="n">
        <v>0</v>
      </c>
      <c r="T835" t="n">
        <v>0</v>
      </c>
      <c r="U835" t="n">
        <v>0</v>
      </c>
      <c r="V835" s="2" t="inlineStr"/>
    </row>
    <row r="836" ht="15" customHeight="1">
      <c r="A836" t="inlineStr">
        <is>
          <t>A 47199-2022</t>
        </is>
      </c>
      <c r="B836" t="inlineStr">
        <is>
          <t>avverkningsanmälan</t>
        </is>
      </c>
      <c r="C836" t="inlineStr">
        <is>
          <t>Föryngringsavverkning</t>
        </is>
      </c>
      <c r="D836" s="1" t="n">
        <v>44852</v>
      </c>
      <c r="E836" s="1" t="n">
        <v>46309</v>
      </c>
      <c r="F836" t="inlineStr">
        <is>
          <t>UPPSALA LÄN</t>
        </is>
      </c>
      <c r="G836" t="inlineStr">
        <is>
          <t>HEBY</t>
        </is>
      </c>
      <c r="I836" t="n">
        <v>1.6</v>
      </c>
      <c r="J836" t="n">
        <v>0</v>
      </c>
      <c r="K836" t="n">
        <v>0</v>
      </c>
      <c r="L836" t="n">
        <v>0</v>
      </c>
      <c r="M836" t="n">
        <v>0</v>
      </c>
      <c r="N836" t="n">
        <v>0</v>
      </c>
      <c r="O836" t="n">
        <v>0</v>
      </c>
      <c r="P836" t="n">
        <v>0</v>
      </c>
      <c r="Q836" t="n">
        <v>0</v>
      </c>
      <c r="R836" t="n">
        <v>0</v>
      </c>
      <c r="S836" t="n">
        <v>0</v>
      </c>
      <c r="T836" t="n">
        <v>0</v>
      </c>
      <c r="U836" t="n">
        <v>0</v>
      </c>
      <c r="V836" s="2" t="inlineStr"/>
    </row>
    <row r="837" ht="15" customHeight="1">
      <c r="A837" t="inlineStr">
        <is>
          <t>A 16775-2022</t>
        </is>
      </c>
      <c r="B837" t="inlineStr">
        <is>
          <t>avverkningsanmälan</t>
        </is>
      </c>
      <c r="C837" t="inlineStr">
        <is>
          <t>Avverkning för annat ändamål</t>
        </is>
      </c>
      <c r="D837" s="1" t="n">
        <v>44673</v>
      </c>
      <c r="E837" s="1" t="n">
        <v>46309</v>
      </c>
      <c r="F837" t="inlineStr">
        <is>
          <t>UPPSALA LÄN</t>
        </is>
      </c>
      <c r="G837" t="inlineStr">
        <is>
          <t>KNIVSTA</t>
        </is>
      </c>
      <c r="I837" t="n">
        <v>0.8</v>
      </c>
      <c r="J837" t="n">
        <v>0</v>
      </c>
      <c r="K837" t="n">
        <v>0</v>
      </c>
      <c r="L837" t="n">
        <v>0</v>
      </c>
      <c r="M837" t="n">
        <v>0</v>
      </c>
      <c r="N837" t="n">
        <v>0</v>
      </c>
      <c r="O837" t="n">
        <v>0</v>
      </c>
      <c r="P837" t="n">
        <v>0</v>
      </c>
      <c r="Q837" t="n">
        <v>0</v>
      </c>
      <c r="R837" t="n">
        <v>0</v>
      </c>
      <c r="S837" t="n">
        <v>0</v>
      </c>
      <c r="T837" t="n">
        <v>0</v>
      </c>
      <c r="U837" t="n">
        <v>0</v>
      </c>
      <c r="V837" s="2" t="inlineStr"/>
    </row>
    <row r="838" ht="15" customHeight="1">
      <c r="A838" t="inlineStr">
        <is>
          <t>A 38005-2022</t>
        </is>
      </c>
      <c r="B838" t="inlineStr">
        <is>
          <t>avverkningsanmälan</t>
        </is>
      </c>
      <c r="C838" t="inlineStr">
        <is>
          <t>Föryngringsavverkning</t>
        </is>
      </c>
      <c r="D838" s="1" t="n">
        <v>44810</v>
      </c>
      <c r="E838" s="1" t="n">
        <v>46309</v>
      </c>
      <c r="F838" t="inlineStr">
        <is>
          <t>UPPSALA LÄN</t>
        </is>
      </c>
      <c r="G838" t="inlineStr">
        <is>
          <t>ENKÖPING</t>
        </is>
      </c>
      <c r="I838" t="n">
        <v>1.5</v>
      </c>
      <c r="J838" t="n">
        <v>0</v>
      </c>
      <c r="K838" t="n">
        <v>0</v>
      </c>
      <c r="L838" t="n">
        <v>0</v>
      </c>
      <c r="M838" t="n">
        <v>0</v>
      </c>
      <c r="N838" t="n">
        <v>0</v>
      </c>
      <c r="O838" t="n">
        <v>0</v>
      </c>
      <c r="P838" t="n">
        <v>0</v>
      </c>
      <c r="Q838" t="n">
        <v>0</v>
      </c>
      <c r="R838" t="n">
        <v>0</v>
      </c>
      <c r="S838" t="n">
        <v>0</v>
      </c>
      <c r="T838" t="n">
        <v>0</v>
      </c>
      <c r="U838" t="n">
        <v>0</v>
      </c>
      <c r="V838" s="2" t="inlineStr"/>
    </row>
    <row r="839" ht="15" customHeight="1">
      <c r="A839" t="inlineStr">
        <is>
          <t>A 29425-2022</t>
        </is>
      </c>
      <c r="B839" t="inlineStr">
        <is>
          <t>avverkningsanmälan</t>
        </is>
      </c>
      <c r="C839" t="inlineStr">
        <is>
          <t>Föryngringsavverkning</t>
        </is>
      </c>
      <c r="D839" s="1" t="n">
        <v>44753</v>
      </c>
      <c r="E839" s="1" t="n">
        <v>46309</v>
      </c>
      <c r="F839" t="inlineStr">
        <is>
          <t>UPPSALA LÄN</t>
        </is>
      </c>
      <c r="G839" t="inlineStr">
        <is>
          <t>ENKÖPING</t>
        </is>
      </c>
      <c r="I839" t="n">
        <v>2.5</v>
      </c>
      <c r="J839" t="n">
        <v>0</v>
      </c>
      <c r="K839" t="n">
        <v>0</v>
      </c>
      <c r="L839" t="n">
        <v>0</v>
      </c>
      <c r="M839" t="n">
        <v>0</v>
      </c>
      <c r="N839" t="n">
        <v>0</v>
      </c>
      <c r="O839" t="n">
        <v>0</v>
      </c>
      <c r="P839" t="n">
        <v>0</v>
      </c>
      <c r="Q839" t="n">
        <v>0</v>
      </c>
      <c r="R839" t="n">
        <v>0</v>
      </c>
      <c r="S839" t="n">
        <v>0</v>
      </c>
      <c r="T839" t="n">
        <v>0</v>
      </c>
      <c r="U839" t="n">
        <v>0</v>
      </c>
      <c r="V839" s="2" t="inlineStr"/>
    </row>
    <row r="840" ht="15" customHeight="1">
      <c r="A840" t="inlineStr">
        <is>
          <t>A 8465-2022</t>
        </is>
      </c>
      <c r="B840" t="inlineStr">
        <is>
          <t>avverkningsanmälan</t>
        </is>
      </c>
      <c r="C840" t="inlineStr">
        <is>
          <t>Föryngringsavverkning</t>
        </is>
      </c>
      <c r="D840" s="1" t="n">
        <v>44610</v>
      </c>
      <c r="E840" s="1" t="n">
        <v>46309</v>
      </c>
      <c r="F840" t="inlineStr">
        <is>
          <t>UPPSALA LÄN</t>
        </is>
      </c>
      <c r="G840" t="inlineStr">
        <is>
          <t>UPPSALA</t>
        </is>
      </c>
      <c r="H840" t="inlineStr">
        <is>
          <t>Allmännings- och besparingsskogar</t>
        </is>
      </c>
      <c r="I840" t="n">
        <v>1.1</v>
      </c>
      <c r="J840" t="n">
        <v>0</v>
      </c>
      <c r="K840" t="n">
        <v>0</v>
      </c>
      <c r="L840" t="n">
        <v>0</v>
      </c>
      <c r="M840" t="n">
        <v>0</v>
      </c>
      <c r="N840" t="n">
        <v>0</v>
      </c>
      <c r="O840" t="n">
        <v>0</v>
      </c>
      <c r="P840" t="n">
        <v>0</v>
      </c>
      <c r="Q840" t="n">
        <v>0</v>
      </c>
      <c r="R840" t="n">
        <v>0</v>
      </c>
      <c r="S840" t="n">
        <v>0</v>
      </c>
      <c r="T840" t="n">
        <v>0</v>
      </c>
      <c r="U840" t="n">
        <v>0</v>
      </c>
      <c r="V840" s="2" t="inlineStr"/>
    </row>
    <row r="841" ht="15" customHeight="1">
      <c r="A841" t="inlineStr">
        <is>
          <t>A 63393-2021</t>
        </is>
      </c>
      <c r="B841" t="inlineStr">
        <is>
          <t>avverkningsanmälan</t>
        </is>
      </c>
      <c r="C841" t="inlineStr">
        <is>
          <t>Föryngringsavverkning</t>
        </is>
      </c>
      <c r="D841" s="1" t="n">
        <v>44508</v>
      </c>
      <c r="E841" s="1" t="n">
        <v>46309</v>
      </c>
      <c r="F841" t="inlineStr">
        <is>
          <t>UPPSALA LÄN</t>
        </is>
      </c>
      <c r="G841" t="inlineStr">
        <is>
          <t>HEBY</t>
        </is>
      </c>
      <c r="H841" t="inlineStr">
        <is>
          <t>Bergvik skog öst AB</t>
        </is>
      </c>
      <c r="I841" t="n">
        <v>4.9</v>
      </c>
      <c r="J841" t="n">
        <v>0</v>
      </c>
      <c r="K841" t="n">
        <v>0</v>
      </c>
      <c r="L841" t="n">
        <v>0</v>
      </c>
      <c r="M841" t="n">
        <v>0</v>
      </c>
      <c r="N841" t="n">
        <v>0</v>
      </c>
      <c r="O841" t="n">
        <v>0</v>
      </c>
      <c r="P841" t="n">
        <v>0</v>
      </c>
      <c r="Q841" t="n">
        <v>0</v>
      </c>
      <c r="R841" t="n">
        <v>0</v>
      </c>
      <c r="S841" t="n">
        <v>0</v>
      </c>
      <c r="T841" t="n">
        <v>0</v>
      </c>
      <c r="U841" t="n">
        <v>0</v>
      </c>
      <c r="V841" s="2" t="inlineStr"/>
    </row>
    <row r="842" ht="15" customHeight="1">
      <c r="A842" t="inlineStr">
        <is>
          <t>A 50006-2022</t>
        </is>
      </c>
      <c r="B842" t="inlineStr">
        <is>
          <t>avverkningsanmälan</t>
        </is>
      </c>
      <c r="C842" t="inlineStr">
        <is>
          <t>Föryngringsavverkning</t>
        </is>
      </c>
      <c r="D842" s="1" t="n">
        <v>44865</v>
      </c>
      <c r="E842" s="1" t="n">
        <v>46309</v>
      </c>
      <c r="F842" t="inlineStr">
        <is>
          <t>UPPSALA LÄN</t>
        </is>
      </c>
      <c r="G842" t="inlineStr">
        <is>
          <t>UPPSALA</t>
        </is>
      </c>
      <c r="I842" t="n">
        <v>1.5</v>
      </c>
      <c r="J842" t="n">
        <v>0</v>
      </c>
      <c r="K842" t="n">
        <v>0</v>
      </c>
      <c r="L842" t="n">
        <v>0</v>
      </c>
      <c r="M842" t="n">
        <v>0</v>
      </c>
      <c r="N842" t="n">
        <v>0</v>
      </c>
      <c r="O842" t="n">
        <v>0</v>
      </c>
      <c r="P842" t="n">
        <v>0</v>
      </c>
      <c r="Q842" t="n">
        <v>0</v>
      </c>
      <c r="R842" t="n">
        <v>0</v>
      </c>
      <c r="S842" t="n">
        <v>0</v>
      </c>
      <c r="T842" t="n">
        <v>0</v>
      </c>
      <c r="U842" t="n">
        <v>0</v>
      </c>
      <c r="V842" s="2" t="inlineStr"/>
    </row>
    <row r="843" ht="15" customHeight="1">
      <c r="A843" t="inlineStr">
        <is>
          <t>A 62897-2021</t>
        </is>
      </c>
      <c r="B843" t="inlineStr">
        <is>
          <t>avverkningsanmälan</t>
        </is>
      </c>
      <c r="C843" t="inlineStr">
        <is>
          <t>Föryngringsavverkning</t>
        </is>
      </c>
      <c r="D843" s="1" t="n">
        <v>44504</v>
      </c>
      <c r="E843" s="1" t="n">
        <v>46309</v>
      </c>
      <c r="F843" t="inlineStr">
        <is>
          <t>UPPSALA LÄN</t>
        </is>
      </c>
      <c r="G843" t="inlineStr">
        <is>
          <t>TIERP</t>
        </is>
      </c>
      <c r="I843" t="n">
        <v>1.2</v>
      </c>
      <c r="J843" t="n">
        <v>0</v>
      </c>
      <c r="K843" t="n">
        <v>0</v>
      </c>
      <c r="L843" t="n">
        <v>0</v>
      </c>
      <c r="M843" t="n">
        <v>0</v>
      </c>
      <c r="N843" t="n">
        <v>0</v>
      </c>
      <c r="O843" t="n">
        <v>0</v>
      </c>
      <c r="P843" t="n">
        <v>0</v>
      </c>
      <c r="Q843" t="n">
        <v>0</v>
      </c>
      <c r="R843" t="n">
        <v>0</v>
      </c>
      <c r="S843" t="n">
        <v>0</v>
      </c>
      <c r="T843" t="n">
        <v>0</v>
      </c>
      <c r="U843" t="n">
        <v>0</v>
      </c>
      <c r="V843" s="2" t="inlineStr"/>
    </row>
    <row r="844" ht="15" customHeight="1">
      <c r="A844" t="inlineStr">
        <is>
          <t>A 2680-2022</t>
        </is>
      </c>
      <c r="B844" t="inlineStr">
        <is>
          <t>avverkningsanmälan</t>
        </is>
      </c>
      <c r="C844" t="inlineStr">
        <is>
          <t>Föryngringsavverkning</t>
        </is>
      </c>
      <c r="D844" s="1" t="n">
        <v>44580</v>
      </c>
      <c r="E844" s="1" t="n">
        <v>46309</v>
      </c>
      <c r="F844" t="inlineStr">
        <is>
          <t>UPPSALA LÄN</t>
        </is>
      </c>
      <c r="G844" t="inlineStr">
        <is>
          <t>ENKÖPING</t>
        </is>
      </c>
      <c r="I844" t="n">
        <v>0.6</v>
      </c>
      <c r="J844" t="n">
        <v>0</v>
      </c>
      <c r="K844" t="n">
        <v>0</v>
      </c>
      <c r="L844" t="n">
        <v>0</v>
      </c>
      <c r="M844" t="n">
        <v>0</v>
      </c>
      <c r="N844" t="n">
        <v>0</v>
      </c>
      <c r="O844" t="n">
        <v>0</v>
      </c>
      <c r="P844" t="n">
        <v>0</v>
      </c>
      <c r="Q844" t="n">
        <v>0</v>
      </c>
      <c r="R844" t="n">
        <v>0</v>
      </c>
      <c r="S844" t="n">
        <v>0</v>
      </c>
      <c r="T844" t="n">
        <v>0</v>
      </c>
      <c r="U844" t="n">
        <v>0</v>
      </c>
      <c r="V844" s="2" t="inlineStr"/>
    </row>
    <row r="845" ht="15" customHeight="1">
      <c r="A845" t="inlineStr">
        <is>
          <t>A 9288-2022</t>
        </is>
      </c>
      <c r="B845" t="inlineStr">
        <is>
          <t>avverkningsanmälan</t>
        </is>
      </c>
      <c r="C845" t="inlineStr">
        <is>
          <t>Föryngringsavverkning</t>
        </is>
      </c>
      <c r="D845" s="1" t="n">
        <v>44616</v>
      </c>
      <c r="E845" s="1" t="n">
        <v>46309</v>
      </c>
      <c r="F845" t="inlineStr">
        <is>
          <t>UPPSALA LÄN</t>
        </is>
      </c>
      <c r="G845" t="inlineStr">
        <is>
          <t>TIERP</t>
        </is>
      </c>
      <c r="I845" t="n">
        <v>7.9</v>
      </c>
      <c r="J845" t="n">
        <v>0</v>
      </c>
      <c r="K845" t="n">
        <v>0</v>
      </c>
      <c r="L845" t="n">
        <v>0</v>
      </c>
      <c r="M845" t="n">
        <v>0</v>
      </c>
      <c r="N845" t="n">
        <v>0</v>
      </c>
      <c r="O845" t="n">
        <v>0</v>
      </c>
      <c r="P845" t="n">
        <v>0</v>
      </c>
      <c r="Q845" t="n">
        <v>0</v>
      </c>
      <c r="R845" t="n">
        <v>0</v>
      </c>
      <c r="S845" t="n">
        <v>0</v>
      </c>
      <c r="T845" t="n">
        <v>0</v>
      </c>
      <c r="U845" t="n">
        <v>0</v>
      </c>
      <c r="V845" s="2" t="inlineStr"/>
    </row>
    <row r="846" ht="15" customHeight="1">
      <c r="A846" t="inlineStr">
        <is>
          <t>A 10777-2022</t>
        </is>
      </c>
      <c r="B846" t="inlineStr">
        <is>
          <t>avverkningsanmälan</t>
        </is>
      </c>
      <c r="C846" t="inlineStr">
        <is>
          <t>Föryngringsavverkning</t>
        </is>
      </c>
      <c r="D846" s="1" t="n">
        <v>44627</v>
      </c>
      <c r="E846" s="1" t="n">
        <v>46309</v>
      </c>
      <c r="F846" t="inlineStr">
        <is>
          <t>UPPSALA LÄN</t>
        </is>
      </c>
      <c r="G846" t="inlineStr">
        <is>
          <t>TIERP</t>
        </is>
      </c>
      <c r="I846" t="n">
        <v>0.3</v>
      </c>
      <c r="J846" t="n">
        <v>0</v>
      </c>
      <c r="K846" t="n">
        <v>0</v>
      </c>
      <c r="L846" t="n">
        <v>0</v>
      </c>
      <c r="M846" t="n">
        <v>0</v>
      </c>
      <c r="N846" t="n">
        <v>0</v>
      </c>
      <c r="O846" t="n">
        <v>0</v>
      </c>
      <c r="P846" t="n">
        <v>0</v>
      </c>
      <c r="Q846" t="n">
        <v>0</v>
      </c>
      <c r="R846" t="n">
        <v>0</v>
      </c>
      <c r="S846" t="n">
        <v>0</v>
      </c>
      <c r="T846" t="n">
        <v>0</v>
      </c>
      <c r="U846" t="n">
        <v>0</v>
      </c>
      <c r="V846" s="2" t="inlineStr"/>
    </row>
    <row r="847" ht="15" customHeight="1">
      <c r="A847" t="inlineStr">
        <is>
          <t>A 4315-2022</t>
        </is>
      </c>
      <c r="B847" t="inlineStr">
        <is>
          <t>avverkningsanmälan</t>
        </is>
      </c>
      <c r="C847" t="inlineStr">
        <is>
          <t>Föryngringsavverkning</t>
        </is>
      </c>
      <c r="D847" s="1" t="n">
        <v>44588</v>
      </c>
      <c r="E847" s="1" t="n">
        <v>46309</v>
      </c>
      <c r="F847" t="inlineStr">
        <is>
          <t>UPPSALA LÄN</t>
        </is>
      </c>
      <c r="G847" t="inlineStr">
        <is>
          <t>ÖSTHAMMAR</t>
        </is>
      </c>
      <c r="H847" t="inlineStr">
        <is>
          <t>Bergvik skog öst AB</t>
        </is>
      </c>
      <c r="I847" t="n">
        <v>0.5</v>
      </c>
      <c r="J847" t="n">
        <v>0</v>
      </c>
      <c r="K847" t="n">
        <v>0</v>
      </c>
      <c r="L847" t="n">
        <v>0</v>
      </c>
      <c r="M847" t="n">
        <v>0</v>
      </c>
      <c r="N847" t="n">
        <v>0</v>
      </c>
      <c r="O847" t="n">
        <v>0</v>
      </c>
      <c r="P847" t="n">
        <v>0</v>
      </c>
      <c r="Q847" t="n">
        <v>0</v>
      </c>
      <c r="R847" t="n">
        <v>0</v>
      </c>
      <c r="S847" t="n">
        <v>0</v>
      </c>
      <c r="T847" t="n">
        <v>0</v>
      </c>
      <c r="U847" t="n">
        <v>0</v>
      </c>
      <c r="V847" s="2" t="inlineStr"/>
    </row>
    <row r="848" ht="15" customHeight="1">
      <c r="A848" t="inlineStr">
        <is>
          <t>A 21228-2022</t>
        </is>
      </c>
      <c r="B848" t="inlineStr">
        <is>
          <t>avverkningsanmälan</t>
        </is>
      </c>
      <c r="C848" t="inlineStr">
        <is>
          <t>Föryngringsavverkning</t>
        </is>
      </c>
      <c r="D848" s="1" t="n">
        <v>44704</v>
      </c>
      <c r="E848" s="1" t="n">
        <v>46309</v>
      </c>
      <c r="F848" t="inlineStr">
        <is>
          <t>UPPSALA LÄN</t>
        </is>
      </c>
      <c r="G848" t="inlineStr">
        <is>
          <t>UPPSALA</t>
        </is>
      </c>
      <c r="I848" t="n">
        <v>0.2</v>
      </c>
      <c r="J848" t="n">
        <v>0</v>
      </c>
      <c r="K848" t="n">
        <v>0</v>
      </c>
      <c r="L848" t="n">
        <v>0</v>
      </c>
      <c r="M848" t="n">
        <v>0</v>
      </c>
      <c r="N848" t="n">
        <v>0</v>
      </c>
      <c r="O848" t="n">
        <v>0</v>
      </c>
      <c r="P848" t="n">
        <v>0</v>
      </c>
      <c r="Q848" t="n">
        <v>0</v>
      </c>
      <c r="R848" t="n">
        <v>0</v>
      </c>
      <c r="S848" t="n">
        <v>0</v>
      </c>
      <c r="T848" t="n">
        <v>0</v>
      </c>
      <c r="U848" t="n">
        <v>0</v>
      </c>
      <c r="V848" s="2" t="inlineStr"/>
    </row>
    <row r="849" ht="15" customHeight="1">
      <c r="A849" t="inlineStr">
        <is>
          <t>A 63047-2021</t>
        </is>
      </c>
      <c r="B849" t="inlineStr">
        <is>
          <t>avverkningsanmälan</t>
        </is>
      </c>
      <c r="C849" t="inlineStr">
        <is>
          <t>Föryngringsavverkning</t>
        </is>
      </c>
      <c r="D849" s="1" t="n">
        <v>44505</v>
      </c>
      <c r="E849" s="1" t="n">
        <v>46309</v>
      </c>
      <c r="F849" t="inlineStr">
        <is>
          <t>UPPSALA LÄN</t>
        </is>
      </c>
      <c r="G849" t="inlineStr">
        <is>
          <t>HEBY</t>
        </is>
      </c>
      <c r="I849" t="n">
        <v>1.1</v>
      </c>
      <c r="J849" t="n">
        <v>0</v>
      </c>
      <c r="K849" t="n">
        <v>0</v>
      </c>
      <c r="L849" t="n">
        <v>0</v>
      </c>
      <c r="M849" t="n">
        <v>0</v>
      </c>
      <c r="N849" t="n">
        <v>0</v>
      </c>
      <c r="O849" t="n">
        <v>0</v>
      </c>
      <c r="P849" t="n">
        <v>0</v>
      </c>
      <c r="Q849" t="n">
        <v>0</v>
      </c>
      <c r="R849" t="n">
        <v>0</v>
      </c>
      <c r="S849" t="n">
        <v>0</v>
      </c>
      <c r="T849" t="n">
        <v>0</v>
      </c>
      <c r="U849" t="n">
        <v>0</v>
      </c>
      <c r="V849" s="2" t="inlineStr"/>
    </row>
    <row r="850" ht="15" customHeight="1">
      <c r="A850" t="inlineStr">
        <is>
          <t>A 70032-2021</t>
        </is>
      </c>
      <c r="B850" t="inlineStr">
        <is>
          <t>avverkningsanmälan</t>
        </is>
      </c>
      <c r="C850" t="inlineStr">
        <is>
          <t>Föryngringsavverkning</t>
        </is>
      </c>
      <c r="D850" s="1" t="n">
        <v>44533</v>
      </c>
      <c r="E850" s="1" t="n">
        <v>46309</v>
      </c>
      <c r="F850" t="inlineStr">
        <is>
          <t>UPPSALA LÄN</t>
        </is>
      </c>
      <c r="G850" t="inlineStr">
        <is>
          <t>UPPSALA</t>
        </is>
      </c>
      <c r="I850" t="n">
        <v>0.6</v>
      </c>
      <c r="J850" t="n">
        <v>0</v>
      </c>
      <c r="K850" t="n">
        <v>0</v>
      </c>
      <c r="L850" t="n">
        <v>0</v>
      </c>
      <c r="M850" t="n">
        <v>0</v>
      </c>
      <c r="N850" t="n">
        <v>0</v>
      </c>
      <c r="O850" t="n">
        <v>0</v>
      </c>
      <c r="P850" t="n">
        <v>0</v>
      </c>
      <c r="Q850" t="n">
        <v>0</v>
      </c>
      <c r="R850" t="n">
        <v>0</v>
      </c>
      <c r="S850" t="n">
        <v>0</v>
      </c>
      <c r="T850" t="n">
        <v>0</v>
      </c>
      <c r="U850" t="n">
        <v>0</v>
      </c>
      <c r="V850" s="2" t="inlineStr"/>
    </row>
    <row r="851" ht="15" customHeight="1">
      <c r="A851" t="inlineStr">
        <is>
          <t>A 24149-2022</t>
        </is>
      </c>
      <c r="B851" t="inlineStr">
        <is>
          <t>avverkningsanmälan</t>
        </is>
      </c>
      <c r="C851" t="inlineStr">
        <is>
          <t>Föryngringsavverkning</t>
        </is>
      </c>
      <c r="D851" s="1" t="n">
        <v>44725</v>
      </c>
      <c r="E851" s="1" t="n">
        <v>46309</v>
      </c>
      <c r="F851" t="inlineStr">
        <is>
          <t>UPPSALA LÄN</t>
        </is>
      </c>
      <c r="G851" t="inlineStr">
        <is>
          <t>ÖSTHAMMAR</t>
        </is>
      </c>
      <c r="I851" t="n">
        <v>1.1</v>
      </c>
      <c r="J851" t="n">
        <v>0</v>
      </c>
      <c r="K851" t="n">
        <v>0</v>
      </c>
      <c r="L851" t="n">
        <v>0</v>
      </c>
      <c r="M851" t="n">
        <v>0</v>
      </c>
      <c r="N851" t="n">
        <v>0</v>
      </c>
      <c r="O851" t="n">
        <v>0</v>
      </c>
      <c r="P851" t="n">
        <v>0</v>
      </c>
      <c r="Q851" t="n">
        <v>0</v>
      </c>
      <c r="R851" t="n">
        <v>0</v>
      </c>
      <c r="S851" t="n">
        <v>0</v>
      </c>
      <c r="T851" t="n">
        <v>0</v>
      </c>
      <c r="U851" t="n">
        <v>0</v>
      </c>
      <c r="V851" s="2" t="inlineStr"/>
    </row>
    <row r="852" ht="15" customHeight="1">
      <c r="A852" t="inlineStr">
        <is>
          <t>A 33890-2022</t>
        </is>
      </c>
      <c r="B852" t="inlineStr">
        <is>
          <t>avverkningsanmälan</t>
        </is>
      </c>
      <c r="C852" t="inlineStr">
        <is>
          <t>Föryngringsavverkning</t>
        </is>
      </c>
      <c r="D852" s="1" t="n">
        <v>44790</v>
      </c>
      <c r="E852" s="1" t="n">
        <v>46309</v>
      </c>
      <c r="F852" t="inlineStr">
        <is>
          <t>UPPSALA LÄN</t>
        </is>
      </c>
      <c r="G852" t="inlineStr">
        <is>
          <t>TIERP</t>
        </is>
      </c>
      <c r="I852" t="n">
        <v>0.7</v>
      </c>
      <c r="J852" t="n">
        <v>0</v>
      </c>
      <c r="K852" t="n">
        <v>0</v>
      </c>
      <c r="L852" t="n">
        <v>0</v>
      </c>
      <c r="M852" t="n">
        <v>0</v>
      </c>
      <c r="N852" t="n">
        <v>0</v>
      </c>
      <c r="O852" t="n">
        <v>0</v>
      </c>
      <c r="P852" t="n">
        <v>0</v>
      </c>
      <c r="Q852" t="n">
        <v>0</v>
      </c>
      <c r="R852" t="n">
        <v>0</v>
      </c>
      <c r="S852" t="n">
        <v>0</v>
      </c>
      <c r="T852" t="n">
        <v>0</v>
      </c>
      <c r="U852" t="n">
        <v>0</v>
      </c>
      <c r="V852" s="2" t="inlineStr"/>
    </row>
    <row r="853" ht="15" customHeight="1">
      <c r="A853" t="inlineStr">
        <is>
          <t>A 30783-2022</t>
        </is>
      </c>
      <c r="B853" t="inlineStr">
        <is>
          <t>avverkningsanmälan</t>
        </is>
      </c>
      <c r="C853" t="inlineStr">
        <is>
          <t>Föryngringsavverkning</t>
        </is>
      </c>
      <c r="D853" s="1" t="n">
        <v>44764</v>
      </c>
      <c r="E853" s="1" t="n">
        <v>46309</v>
      </c>
      <c r="F853" t="inlineStr">
        <is>
          <t>UPPSALA LÄN</t>
        </is>
      </c>
      <c r="G853" t="inlineStr">
        <is>
          <t>UPPSALA</t>
        </is>
      </c>
      <c r="H853" t="inlineStr">
        <is>
          <t>Bergvik skog öst AB</t>
        </is>
      </c>
      <c r="I853" t="n">
        <v>1.5</v>
      </c>
      <c r="J853" t="n">
        <v>0</v>
      </c>
      <c r="K853" t="n">
        <v>0</v>
      </c>
      <c r="L853" t="n">
        <v>0</v>
      </c>
      <c r="M853" t="n">
        <v>0</v>
      </c>
      <c r="N853" t="n">
        <v>0</v>
      </c>
      <c r="O853" t="n">
        <v>0</v>
      </c>
      <c r="P853" t="n">
        <v>0</v>
      </c>
      <c r="Q853" t="n">
        <v>0</v>
      </c>
      <c r="R853" t="n">
        <v>0</v>
      </c>
      <c r="S853" t="n">
        <v>0</v>
      </c>
      <c r="T853" t="n">
        <v>0</v>
      </c>
      <c r="U853" t="n">
        <v>0</v>
      </c>
      <c r="V853" s="2" t="inlineStr"/>
    </row>
    <row r="854" ht="15" customHeight="1">
      <c r="A854" t="inlineStr">
        <is>
          <t>A 24138-2022</t>
        </is>
      </c>
      <c r="B854" t="inlineStr">
        <is>
          <t>avverkningsanmälan</t>
        </is>
      </c>
      <c r="C854" t="inlineStr">
        <is>
          <t>Föryngringsavverkning</t>
        </is>
      </c>
      <c r="D854" s="1" t="n">
        <v>44725</v>
      </c>
      <c r="E854" s="1" t="n">
        <v>46309</v>
      </c>
      <c r="F854" t="inlineStr">
        <is>
          <t>UPPSALA LÄN</t>
        </is>
      </c>
      <c r="G854" t="inlineStr">
        <is>
          <t>ÖSTHAMMAR</t>
        </is>
      </c>
      <c r="I854" t="n">
        <v>0.4</v>
      </c>
      <c r="J854" t="n">
        <v>0</v>
      </c>
      <c r="K854" t="n">
        <v>0</v>
      </c>
      <c r="L854" t="n">
        <v>0</v>
      </c>
      <c r="M854" t="n">
        <v>0</v>
      </c>
      <c r="N854" t="n">
        <v>0</v>
      </c>
      <c r="O854" t="n">
        <v>0</v>
      </c>
      <c r="P854" t="n">
        <v>0</v>
      </c>
      <c r="Q854" t="n">
        <v>0</v>
      </c>
      <c r="R854" t="n">
        <v>0</v>
      </c>
      <c r="S854" t="n">
        <v>0</v>
      </c>
      <c r="T854" t="n">
        <v>0</v>
      </c>
      <c r="U854" t="n">
        <v>0</v>
      </c>
      <c r="V854" s="2" t="inlineStr"/>
    </row>
    <row r="855" ht="15" customHeight="1">
      <c r="A855" t="inlineStr">
        <is>
          <t>A 47163-2022</t>
        </is>
      </c>
      <c r="B855" t="inlineStr">
        <is>
          <t>avverkningsanmälan</t>
        </is>
      </c>
      <c r="C855" t="inlineStr">
        <is>
          <t>Föryngringsavverkning</t>
        </is>
      </c>
      <c r="D855" s="1" t="n">
        <v>44852</v>
      </c>
      <c r="E855" s="1" t="n">
        <v>46309</v>
      </c>
      <c r="F855" t="inlineStr">
        <is>
          <t>UPPSALA LÄN</t>
        </is>
      </c>
      <c r="G855" t="inlineStr">
        <is>
          <t>ÖSTHAMMAR</t>
        </is>
      </c>
      <c r="I855" t="n">
        <v>5.5</v>
      </c>
      <c r="J855" t="n">
        <v>0</v>
      </c>
      <c r="K855" t="n">
        <v>0</v>
      </c>
      <c r="L855" t="n">
        <v>0</v>
      </c>
      <c r="M855" t="n">
        <v>0</v>
      </c>
      <c r="N855" t="n">
        <v>0</v>
      </c>
      <c r="O855" t="n">
        <v>0</v>
      </c>
      <c r="P855" t="n">
        <v>0</v>
      </c>
      <c r="Q855" t="n">
        <v>0</v>
      </c>
      <c r="R855" t="n">
        <v>0</v>
      </c>
      <c r="S855" t="n">
        <v>0</v>
      </c>
      <c r="T855" t="n">
        <v>0</v>
      </c>
      <c r="U855" t="n">
        <v>0</v>
      </c>
      <c r="V855" s="2" t="inlineStr"/>
    </row>
    <row r="856" ht="15" customHeight="1">
      <c r="A856" t="inlineStr">
        <is>
          <t>A 37410-2022</t>
        </is>
      </c>
      <c r="B856" t="inlineStr">
        <is>
          <t>avverkningsanmälan</t>
        </is>
      </c>
      <c r="C856" t="inlineStr">
        <is>
          <t>Föryngringsavverkning</t>
        </is>
      </c>
      <c r="D856" s="1" t="n">
        <v>44809</v>
      </c>
      <c r="E856" s="1" t="n">
        <v>46309</v>
      </c>
      <c r="F856" t="inlineStr">
        <is>
          <t>UPPSALA LÄN</t>
        </is>
      </c>
      <c r="G856" t="inlineStr">
        <is>
          <t>ENKÖPING</t>
        </is>
      </c>
      <c r="I856" t="n">
        <v>3.6</v>
      </c>
      <c r="J856" t="n">
        <v>0</v>
      </c>
      <c r="K856" t="n">
        <v>0</v>
      </c>
      <c r="L856" t="n">
        <v>0</v>
      </c>
      <c r="M856" t="n">
        <v>0</v>
      </c>
      <c r="N856" t="n">
        <v>0</v>
      </c>
      <c r="O856" t="n">
        <v>0</v>
      </c>
      <c r="P856" t="n">
        <v>0</v>
      </c>
      <c r="Q856" t="n">
        <v>0</v>
      </c>
      <c r="R856" t="n">
        <v>0</v>
      </c>
      <c r="S856" t="n">
        <v>0</v>
      </c>
      <c r="T856" t="n">
        <v>0</v>
      </c>
      <c r="U856" t="n">
        <v>0</v>
      </c>
      <c r="V856" s="2" t="inlineStr"/>
    </row>
    <row r="857" ht="15" customHeight="1">
      <c r="A857" t="inlineStr">
        <is>
          <t>A 66549-2021</t>
        </is>
      </c>
      <c r="B857" t="inlineStr">
        <is>
          <t>avverkningsanmälan</t>
        </is>
      </c>
      <c r="C857" t="inlineStr">
        <is>
          <t>Föryngringsavverkning</t>
        </is>
      </c>
      <c r="D857" s="1" t="n">
        <v>44519</v>
      </c>
      <c r="E857" s="1" t="n">
        <v>46309</v>
      </c>
      <c r="F857" t="inlineStr">
        <is>
          <t>UPPSALA LÄN</t>
        </is>
      </c>
      <c r="G857" t="inlineStr">
        <is>
          <t>ÖSTHAMMAR</t>
        </is>
      </c>
      <c r="H857" t="inlineStr">
        <is>
          <t>Bergvik skog öst AB</t>
        </is>
      </c>
      <c r="I857" t="n">
        <v>2.8</v>
      </c>
      <c r="J857" t="n">
        <v>0</v>
      </c>
      <c r="K857" t="n">
        <v>0</v>
      </c>
      <c r="L857" t="n">
        <v>0</v>
      </c>
      <c r="M857" t="n">
        <v>0</v>
      </c>
      <c r="N857" t="n">
        <v>0</v>
      </c>
      <c r="O857" t="n">
        <v>0</v>
      </c>
      <c r="P857" t="n">
        <v>0</v>
      </c>
      <c r="Q857" t="n">
        <v>0</v>
      </c>
      <c r="R857" t="n">
        <v>0</v>
      </c>
      <c r="S857" t="n">
        <v>0</v>
      </c>
      <c r="T857" t="n">
        <v>0</v>
      </c>
      <c r="U857" t="n">
        <v>0</v>
      </c>
      <c r="V857" s="2" t="inlineStr"/>
    </row>
    <row r="858" ht="15" customHeight="1">
      <c r="A858" t="inlineStr">
        <is>
          <t>A 1979-2022</t>
        </is>
      </c>
      <c r="B858" t="inlineStr">
        <is>
          <t>avverkningsanmälan</t>
        </is>
      </c>
      <c r="C858" t="inlineStr">
        <is>
          <t>Föryngringsavverkning</t>
        </is>
      </c>
      <c r="D858" s="1" t="n">
        <v>44575</v>
      </c>
      <c r="E858" s="1" t="n">
        <v>46309</v>
      </c>
      <c r="F858" t="inlineStr">
        <is>
          <t>UPPSALA LÄN</t>
        </is>
      </c>
      <c r="G858" t="inlineStr">
        <is>
          <t>ENKÖPING</t>
        </is>
      </c>
      <c r="I858" t="n">
        <v>1.5</v>
      </c>
      <c r="J858" t="n">
        <v>0</v>
      </c>
      <c r="K858" t="n">
        <v>0</v>
      </c>
      <c r="L858" t="n">
        <v>0</v>
      </c>
      <c r="M858" t="n">
        <v>0</v>
      </c>
      <c r="N858" t="n">
        <v>0</v>
      </c>
      <c r="O858" t="n">
        <v>0</v>
      </c>
      <c r="P858" t="n">
        <v>0</v>
      </c>
      <c r="Q858" t="n">
        <v>0</v>
      </c>
      <c r="R858" t="n">
        <v>0</v>
      </c>
      <c r="S858" t="n">
        <v>0</v>
      </c>
      <c r="T858" t="n">
        <v>0</v>
      </c>
      <c r="U858" t="n">
        <v>0</v>
      </c>
      <c r="V858" s="2" t="inlineStr"/>
    </row>
    <row r="859" ht="15" customHeight="1">
      <c r="A859" t="inlineStr">
        <is>
          <t>A 5932-2022</t>
        </is>
      </c>
      <c r="B859" t="inlineStr">
        <is>
          <t>avverkningsanmälan</t>
        </is>
      </c>
      <c r="C859" t="inlineStr">
        <is>
          <t>Föryngringsavverkning</t>
        </is>
      </c>
      <c r="D859" s="1" t="n">
        <v>44598</v>
      </c>
      <c r="E859" s="1" t="n">
        <v>46309</v>
      </c>
      <c r="F859" t="inlineStr">
        <is>
          <t>UPPSALA LÄN</t>
        </is>
      </c>
      <c r="G859" t="inlineStr">
        <is>
          <t>ÖSTHAMMAR</t>
        </is>
      </c>
      <c r="H859" t="inlineStr">
        <is>
          <t>Bergvik skog öst AB</t>
        </is>
      </c>
      <c r="I859" t="n">
        <v>0.3</v>
      </c>
      <c r="J859" t="n">
        <v>0</v>
      </c>
      <c r="K859" t="n">
        <v>0</v>
      </c>
      <c r="L859" t="n">
        <v>0</v>
      </c>
      <c r="M859" t="n">
        <v>0</v>
      </c>
      <c r="N859" t="n">
        <v>0</v>
      </c>
      <c r="O859" t="n">
        <v>0</v>
      </c>
      <c r="P859" t="n">
        <v>0</v>
      </c>
      <c r="Q859" t="n">
        <v>0</v>
      </c>
      <c r="R859" t="n">
        <v>0</v>
      </c>
      <c r="S859" t="n">
        <v>0</v>
      </c>
      <c r="T859" t="n">
        <v>0</v>
      </c>
      <c r="U859" t="n">
        <v>0</v>
      </c>
      <c r="V859" s="2" t="inlineStr"/>
    </row>
    <row r="860" ht="15" customHeight="1">
      <c r="A860" t="inlineStr">
        <is>
          <t>A 62451-2021</t>
        </is>
      </c>
      <c r="B860" t="inlineStr">
        <is>
          <t>avverkningsanmälan</t>
        </is>
      </c>
      <c r="C860" t="inlineStr">
        <is>
          <t>Föryngringsavverkning</t>
        </is>
      </c>
      <c r="D860" s="1" t="n">
        <v>44509</v>
      </c>
      <c r="E860" s="1" t="n">
        <v>46309</v>
      </c>
      <c r="F860" t="inlineStr">
        <is>
          <t>UPPSALA LÄN</t>
        </is>
      </c>
      <c r="G860" t="inlineStr">
        <is>
          <t>KNIVSTA</t>
        </is>
      </c>
      <c r="I860" t="n">
        <v>2.5</v>
      </c>
      <c r="J860" t="n">
        <v>0</v>
      </c>
      <c r="K860" t="n">
        <v>0</v>
      </c>
      <c r="L860" t="n">
        <v>0</v>
      </c>
      <c r="M860" t="n">
        <v>0</v>
      </c>
      <c r="N860" t="n">
        <v>0</v>
      </c>
      <c r="O860" t="n">
        <v>0</v>
      </c>
      <c r="P860" t="n">
        <v>0</v>
      </c>
      <c r="Q860" t="n">
        <v>0</v>
      </c>
      <c r="R860" t="n">
        <v>0</v>
      </c>
      <c r="S860" t="n">
        <v>0</v>
      </c>
      <c r="T860" t="n">
        <v>0</v>
      </c>
      <c r="U860" t="n">
        <v>0</v>
      </c>
      <c r="V860" s="2" t="inlineStr"/>
    </row>
    <row r="861" ht="15" customHeight="1">
      <c r="A861" t="inlineStr">
        <is>
          <t>A 7996-2022</t>
        </is>
      </c>
      <c r="B861" t="inlineStr">
        <is>
          <t>avverkningsanmälan</t>
        </is>
      </c>
      <c r="C861" t="inlineStr">
        <is>
          <t>Föryngringsavverkning</t>
        </is>
      </c>
      <c r="D861" s="1" t="n">
        <v>44609</v>
      </c>
      <c r="E861" s="1" t="n">
        <v>46309</v>
      </c>
      <c r="F861" t="inlineStr">
        <is>
          <t>UPPSALA LÄN</t>
        </is>
      </c>
      <c r="G861" t="inlineStr">
        <is>
          <t>UPPSALA</t>
        </is>
      </c>
      <c r="H861" t="inlineStr">
        <is>
          <t>Övriga Aktiebolag</t>
        </is>
      </c>
      <c r="I861" t="n">
        <v>2.9</v>
      </c>
      <c r="J861" t="n">
        <v>0</v>
      </c>
      <c r="K861" t="n">
        <v>0</v>
      </c>
      <c r="L861" t="n">
        <v>0</v>
      </c>
      <c r="M861" t="n">
        <v>0</v>
      </c>
      <c r="N861" t="n">
        <v>0</v>
      </c>
      <c r="O861" t="n">
        <v>0</v>
      </c>
      <c r="P861" t="n">
        <v>0</v>
      </c>
      <c r="Q861" t="n">
        <v>0</v>
      </c>
      <c r="R861" t="n">
        <v>0</v>
      </c>
      <c r="S861" t="n">
        <v>0</v>
      </c>
      <c r="T861" t="n">
        <v>0</v>
      </c>
      <c r="U861" t="n">
        <v>0</v>
      </c>
      <c r="V861" s="2" t="inlineStr"/>
    </row>
    <row r="862" ht="15" customHeight="1">
      <c r="A862" t="inlineStr">
        <is>
          <t>A 59241-2021</t>
        </is>
      </c>
      <c r="B862" t="inlineStr">
        <is>
          <t>avverkningsanmälan</t>
        </is>
      </c>
      <c r="C862" t="inlineStr">
        <is>
          <t>Föryngringsavverkning</t>
        </is>
      </c>
      <c r="D862" s="1" t="n">
        <v>44490</v>
      </c>
      <c r="E862" s="1" t="n">
        <v>46309</v>
      </c>
      <c r="F862" t="inlineStr">
        <is>
          <t>UPPSALA LÄN</t>
        </is>
      </c>
      <c r="G862" t="inlineStr">
        <is>
          <t>UPPSALA</t>
        </is>
      </c>
      <c r="I862" t="n">
        <v>0.7</v>
      </c>
      <c r="J862" t="n">
        <v>0</v>
      </c>
      <c r="K862" t="n">
        <v>0</v>
      </c>
      <c r="L862" t="n">
        <v>0</v>
      </c>
      <c r="M862" t="n">
        <v>0</v>
      </c>
      <c r="N862" t="n">
        <v>0</v>
      </c>
      <c r="O862" t="n">
        <v>0</v>
      </c>
      <c r="P862" t="n">
        <v>0</v>
      </c>
      <c r="Q862" t="n">
        <v>0</v>
      </c>
      <c r="R862" t="n">
        <v>0</v>
      </c>
      <c r="S862" t="n">
        <v>0</v>
      </c>
      <c r="T862" t="n">
        <v>0</v>
      </c>
      <c r="U862" t="n">
        <v>0</v>
      </c>
      <c r="V862" s="2" t="inlineStr"/>
    </row>
    <row r="863" ht="15" customHeight="1">
      <c r="A863" t="inlineStr">
        <is>
          <t>A 65814-2021</t>
        </is>
      </c>
      <c r="B863" t="inlineStr">
        <is>
          <t>avverkningsanmälan</t>
        </is>
      </c>
      <c r="C863" t="inlineStr">
        <is>
          <t>Föryngringsavverkning</t>
        </is>
      </c>
      <c r="D863" s="1" t="n">
        <v>44517</v>
      </c>
      <c r="E863" s="1" t="n">
        <v>46309</v>
      </c>
      <c r="F863" t="inlineStr">
        <is>
          <t>UPPSALA LÄN</t>
        </is>
      </c>
      <c r="G863" t="inlineStr">
        <is>
          <t>TIERP</t>
        </is>
      </c>
      <c r="I863" t="n">
        <v>1.1</v>
      </c>
      <c r="J863" t="n">
        <v>0</v>
      </c>
      <c r="K863" t="n">
        <v>0</v>
      </c>
      <c r="L863" t="n">
        <v>0</v>
      </c>
      <c r="M863" t="n">
        <v>0</v>
      </c>
      <c r="N863" t="n">
        <v>0</v>
      </c>
      <c r="O863" t="n">
        <v>0</v>
      </c>
      <c r="P863" t="n">
        <v>0</v>
      </c>
      <c r="Q863" t="n">
        <v>0</v>
      </c>
      <c r="R863" t="n">
        <v>0</v>
      </c>
      <c r="S863" t="n">
        <v>0</v>
      </c>
      <c r="T863" t="n">
        <v>0</v>
      </c>
      <c r="U863" t="n">
        <v>0</v>
      </c>
      <c r="V863" s="2" t="inlineStr"/>
    </row>
    <row r="864" ht="15" customHeight="1">
      <c r="A864" t="inlineStr">
        <is>
          <t>A 64044-2021</t>
        </is>
      </c>
      <c r="B864" t="inlineStr">
        <is>
          <t>avverkningsanmälan</t>
        </is>
      </c>
      <c r="C864" t="inlineStr">
        <is>
          <t>Föryngringsavverkning</t>
        </is>
      </c>
      <c r="D864" s="1" t="n">
        <v>44510</v>
      </c>
      <c r="E864" s="1" t="n">
        <v>46309</v>
      </c>
      <c r="F864" t="inlineStr">
        <is>
          <t>UPPSALA LÄN</t>
        </is>
      </c>
      <c r="G864" t="inlineStr">
        <is>
          <t>KNIVSTA</t>
        </is>
      </c>
      <c r="I864" t="n">
        <v>0.5</v>
      </c>
      <c r="J864" t="n">
        <v>0</v>
      </c>
      <c r="K864" t="n">
        <v>0</v>
      </c>
      <c r="L864" t="n">
        <v>0</v>
      </c>
      <c r="M864" t="n">
        <v>0</v>
      </c>
      <c r="N864" t="n">
        <v>0</v>
      </c>
      <c r="O864" t="n">
        <v>0</v>
      </c>
      <c r="P864" t="n">
        <v>0</v>
      </c>
      <c r="Q864" t="n">
        <v>0</v>
      </c>
      <c r="R864" t="n">
        <v>0</v>
      </c>
      <c r="S864" t="n">
        <v>0</v>
      </c>
      <c r="T864" t="n">
        <v>0</v>
      </c>
      <c r="U864" t="n">
        <v>0</v>
      </c>
      <c r="V864" s="2" t="inlineStr"/>
    </row>
    <row r="865" ht="15" customHeight="1">
      <c r="A865" t="inlineStr">
        <is>
          <t>A 66025-2021</t>
        </is>
      </c>
      <c r="B865" t="inlineStr">
        <is>
          <t>avverkningsanmälan</t>
        </is>
      </c>
      <c r="C865" t="inlineStr">
        <is>
          <t>Föryngringsavverkning</t>
        </is>
      </c>
      <c r="D865" s="1" t="n">
        <v>44517</v>
      </c>
      <c r="E865" s="1" t="n">
        <v>46309</v>
      </c>
      <c r="F865" t="inlineStr">
        <is>
          <t>UPPSALA LÄN</t>
        </is>
      </c>
      <c r="G865" t="inlineStr">
        <is>
          <t>HEBY</t>
        </is>
      </c>
      <c r="H865" t="inlineStr">
        <is>
          <t>Bergvik skog öst AB</t>
        </is>
      </c>
      <c r="I865" t="n">
        <v>0.4</v>
      </c>
      <c r="J865" t="n">
        <v>0</v>
      </c>
      <c r="K865" t="n">
        <v>0</v>
      </c>
      <c r="L865" t="n">
        <v>0</v>
      </c>
      <c r="M865" t="n">
        <v>0</v>
      </c>
      <c r="N865" t="n">
        <v>0</v>
      </c>
      <c r="O865" t="n">
        <v>0</v>
      </c>
      <c r="P865" t="n">
        <v>0</v>
      </c>
      <c r="Q865" t="n">
        <v>0</v>
      </c>
      <c r="R865" t="n">
        <v>0</v>
      </c>
      <c r="S865" t="n">
        <v>0</v>
      </c>
      <c r="T865" t="n">
        <v>0</v>
      </c>
      <c r="U865" t="n">
        <v>0</v>
      </c>
      <c r="V865" s="2" t="inlineStr"/>
    </row>
    <row r="866" ht="15" customHeight="1">
      <c r="A866" t="inlineStr">
        <is>
          <t>A 64858-2021</t>
        </is>
      </c>
      <c r="B866" t="inlineStr">
        <is>
          <t>avverkningsanmälan</t>
        </is>
      </c>
      <c r="C866" t="inlineStr">
        <is>
          <t>Föryngringsavverkning</t>
        </is>
      </c>
      <c r="D866" s="1" t="n">
        <v>44512</v>
      </c>
      <c r="E866" s="1" t="n">
        <v>46309</v>
      </c>
      <c r="F866" t="inlineStr">
        <is>
          <t>UPPSALA LÄN</t>
        </is>
      </c>
      <c r="G866" t="inlineStr">
        <is>
          <t>UPPSALA</t>
        </is>
      </c>
      <c r="I866" t="n">
        <v>1.2</v>
      </c>
      <c r="J866" t="n">
        <v>0</v>
      </c>
      <c r="K866" t="n">
        <v>0</v>
      </c>
      <c r="L866" t="n">
        <v>0</v>
      </c>
      <c r="M866" t="n">
        <v>0</v>
      </c>
      <c r="N866" t="n">
        <v>0</v>
      </c>
      <c r="O866" t="n">
        <v>0</v>
      </c>
      <c r="P866" t="n">
        <v>0</v>
      </c>
      <c r="Q866" t="n">
        <v>0</v>
      </c>
      <c r="R866" t="n">
        <v>0</v>
      </c>
      <c r="S866" t="n">
        <v>0</v>
      </c>
      <c r="T866" t="n">
        <v>0</v>
      </c>
      <c r="U866" t="n">
        <v>0</v>
      </c>
      <c r="V866" s="2" t="inlineStr"/>
    </row>
    <row r="867" ht="15" customHeight="1">
      <c r="A867" t="inlineStr">
        <is>
          <t>A 19287-2022</t>
        </is>
      </c>
      <c r="B867" t="inlineStr">
        <is>
          <t>avverkningsanmälan</t>
        </is>
      </c>
      <c r="C867" t="inlineStr">
        <is>
          <t>Föryngringsavverkning</t>
        </is>
      </c>
      <c r="D867" s="1" t="n">
        <v>44692</v>
      </c>
      <c r="E867" s="1" t="n">
        <v>46309</v>
      </c>
      <c r="F867" t="inlineStr">
        <is>
          <t>UPPSALA LÄN</t>
        </is>
      </c>
      <c r="G867" t="inlineStr">
        <is>
          <t>ÖSTHAMMAR</t>
        </is>
      </c>
      <c r="H867" t="inlineStr">
        <is>
          <t>Bergvik skog öst AB</t>
        </is>
      </c>
      <c r="I867" t="n">
        <v>0.5</v>
      </c>
      <c r="J867" t="n">
        <v>0</v>
      </c>
      <c r="K867" t="n">
        <v>0</v>
      </c>
      <c r="L867" t="n">
        <v>0</v>
      </c>
      <c r="M867" t="n">
        <v>0</v>
      </c>
      <c r="N867" t="n">
        <v>0</v>
      </c>
      <c r="O867" t="n">
        <v>0</v>
      </c>
      <c r="P867" t="n">
        <v>0</v>
      </c>
      <c r="Q867" t="n">
        <v>0</v>
      </c>
      <c r="R867" t="n">
        <v>0</v>
      </c>
      <c r="S867" t="n">
        <v>0</v>
      </c>
      <c r="T867" t="n">
        <v>0</v>
      </c>
      <c r="U867" t="n">
        <v>0</v>
      </c>
      <c r="V867" s="2" t="inlineStr"/>
    </row>
    <row r="868" ht="15" customHeight="1">
      <c r="A868" t="inlineStr">
        <is>
          <t>A 65626-2021</t>
        </is>
      </c>
      <c r="B868" t="inlineStr">
        <is>
          <t>avverkningsanmälan</t>
        </is>
      </c>
      <c r="C868" t="inlineStr">
        <is>
          <t>Föryngringsavverkning</t>
        </is>
      </c>
      <c r="D868" s="1" t="n">
        <v>44516</v>
      </c>
      <c r="E868" s="1" t="n">
        <v>46309</v>
      </c>
      <c r="F868" t="inlineStr">
        <is>
          <t>UPPSALA LÄN</t>
        </is>
      </c>
      <c r="G868" t="inlineStr">
        <is>
          <t>HEBY</t>
        </is>
      </c>
      <c r="I868" t="n">
        <v>1.1</v>
      </c>
      <c r="J868" t="n">
        <v>0</v>
      </c>
      <c r="K868" t="n">
        <v>0</v>
      </c>
      <c r="L868" t="n">
        <v>0</v>
      </c>
      <c r="M868" t="n">
        <v>0</v>
      </c>
      <c r="N868" t="n">
        <v>0</v>
      </c>
      <c r="O868" t="n">
        <v>0</v>
      </c>
      <c r="P868" t="n">
        <v>0</v>
      </c>
      <c r="Q868" t="n">
        <v>0</v>
      </c>
      <c r="R868" t="n">
        <v>0</v>
      </c>
      <c r="S868" t="n">
        <v>0</v>
      </c>
      <c r="T868" t="n">
        <v>0</v>
      </c>
      <c r="U868" t="n">
        <v>0</v>
      </c>
      <c r="V868" s="2" t="inlineStr"/>
    </row>
    <row r="869" ht="15" customHeight="1">
      <c r="A869" t="inlineStr">
        <is>
          <t>A 312-2022</t>
        </is>
      </c>
      <c r="B869" t="inlineStr">
        <is>
          <t>avverkningsanmälan</t>
        </is>
      </c>
      <c r="C869" t="inlineStr">
        <is>
          <t>Avverkning för annat ändamål</t>
        </is>
      </c>
      <c r="D869" s="1" t="n">
        <v>44565</v>
      </c>
      <c r="E869" s="1" t="n">
        <v>46309</v>
      </c>
      <c r="F869" t="inlineStr">
        <is>
          <t>UPPSALA LÄN</t>
        </is>
      </c>
      <c r="G869" t="inlineStr">
        <is>
          <t>HEBY</t>
        </is>
      </c>
      <c r="I869" t="n">
        <v>0.7</v>
      </c>
      <c r="J869" t="n">
        <v>0</v>
      </c>
      <c r="K869" t="n">
        <v>0</v>
      </c>
      <c r="L869" t="n">
        <v>0</v>
      </c>
      <c r="M869" t="n">
        <v>0</v>
      </c>
      <c r="N869" t="n">
        <v>0</v>
      </c>
      <c r="O869" t="n">
        <v>0</v>
      </c>
      <c r="P869" t="n">
        <v>0</v>
      </c>
      <c r="Q869" t="n">
        <v>0</v>
      </c>
      <c r="R869" t="n">
        <v>0</v>
      </c>
      <c r="S869" t="n">
        <v>0</v>
      </c>
      <c r="T869" t="n">
        <v>0</v>
      </c>
      <c r="U869" t="n">
        <v>0</v>
      </c>
      <c r="V869" s="2" t="inlineStr"/>
    </row>
    <row r="870" ht="15" customHeight="1">
      <c r="A870" t="inlineStr">
        <is>
          <t>A 26972-2022</t>
        </is>
      </c>
      <c r="B870" t="inlineStr">
        <is>
          <t>avverkningsanmälan</t>
        </is>
      </c>
      <c r="C870" t="inlineStr">
        <is>
          <t>Föryngringsavverkning</t>
        </is>
      </c>
      <c r="D870" s="1" t="n">
        <v>44740</v>
      </c>
      <c r="E870" s="1" t="n">
        <v>46309</v>
      </c>
      <c r="F870" t="inlineStr">
        <is>
          <t>UPPSALA LÄN</t>
        </is>
      </c>
      <c r="G870" t="inlineStr">
        <is>
          <t>UPPSALA</t>
        </is>
      </c>
      <c r="H870" t="inlineStr">
        <is>
          <t>Bergvik skog öst AB</t>
        </is>
      </c>
      <c r="I870" t="n">
        <v>1.2</v>
      </c>
      <c r="J870" t="n">
        <v>0</v>
      </c>
      <c r="K870" t="n">
        <v>0</v>
      </c>
      <c r="L870" t="n">
        <v>0</v>
      </c>
      <c r="M870" t="n">
        <v>0</v>
      </c>
      <c r="N870" t="n">
        <v>0</v>
      </c>
      <c r="O870" t="n">
        <v>0</v>
      </c>
      <c r="P870" t="n">
        <v>0</v>
      </c>
      <c r="Q870" t="n">
        <v>0</v>
      </c>
      <c r="R870" t="n">
        <v>0</v>
      </c>
      <c r="S870" t="n">
        <v>0</v>
      </c>
      <c r="T870" t="n">
        <v>0</v>
      </c>
      <c r="U870" t="n">
        <v>0</v>
      </c>
      <c r="V870" s="2" t="inlineStr"/>
    </row>
    <row r="871" ht="15" customHeight="1">
      <c r="A871" t="inlineStr">
        <is>
          <t>A 38892-2022</t>
        </is>
      </c>
      <c r="B871" t="inlineStr">
        <is>
          <t>avverkningsanmälan</t>
        </is>
      </c>
      <c r="C871" t="inlineStr">
        <is>
          <t>Föryngringsavverkning</t>
        </is>
      </c>
      <c r="D871" s="1" t="n">
        <v>44816</v>
      </c>
      <c r="E871" s="1" t="n">
        <v>46309</v>
      </c>
      <c r="F871" t="inlineStr">
        <is>
          <t>UPPSALA LÄN</t>
        </is>
      </c>
      <c r="G871" t="inlineStr">
        <is>
          <t>UPPSALA</t>
        </is>
      </c>
      <c r="I871" t="n">
        <v>1.3</v>
      </c>
      <c r="J871" t="n">
        <v>0</v>
      </c>
      <c r="K871" t="n">
        <v>0</v>
      </c>
      <c r="L871" t="n">
        <v>0</v>
      </c>
      <c r="M871" t="n">
        <v>0</v>
      </c>
      <c r="N871" t="n">
        <v>0</v>
      </c>
      <c r="O871" t="n">
        <v>0</v>
      </c>
      <c r="P871" t="n">
        <v>0</v>
      </c>
      <c r="Q871" t="n">
        <v>0</v>
      </c>
      <c r="R871" t="n">
        <v>0</v>
      </c>
      <c r="S871" t="n">
        <v>0</v>
      </c>
      <c r="T871" t="n">
        <v>0</v>
      </c>
      <c r="U871" t="n">
        <v>0</v>
      </c>
      <c r="V871" s="2" t="inlineStr"/>
    </row>
    <row r="872" ht="15" customHeight="1">
      <c r="A872" t="inlineStr">
        <is>
          <t>A 19181-2022</t>
        </is>
      </c>
      <c r="B872" t="inlineStr">
        <is>
          <t>avverkningsanmälan</t>
        </is>
      </c>
      <c r="C872" t="inlineStr">
        <is>
          <t>Föryngringsavverkning</t>
        </is>
      </c>
      <c r="D872" s="1" t="n">
        <v>44691</v>
      </c>
      <c r="E872" s="1" t="n">
        <v>46309</v>
      </c>
      <c r="F872" t="inlineStr">
        <is>
          <t>UPPSALA LÄN</t>
        </is>
      </c>
      <c r="G872" t="inlineStr">
        <is>
          <t>ÖSTHAMMAR</t>
        </is>
      </c>
      <c r="I872" t="n">
        <v>0.6</v>
      </c>
      <c r="J872" t="n">
        <v>0</v>
      </c>
      <c r="K872" t="n">
        <v>0</v>
      </c>
      <c r="L872" t="n">
        <v>0</v>
      </c>
      <c r="M872" t="n">
        <v>0</v>
      </c>
      <c r="N872" t="n">
        <v>0</v>
      </c>
      <c r="O872" t="n">
        <v>0</v>
      </c>
      <c r="P872" t="n">
        <v>0</v>
      </c>
      <c r="Q872" t="n">
        <v>0</v>
      </c>
      <c r="R872" t="n">
        <v>0</v>
      </c>
      <c r="S872" t="n">
        <v>0</v>
      </c>
      <c r="T872" t="n">
        <v>0</v>
      </c>
      <c r="U872" t="n">
        <v>0</v>
      </c>
      <c r="V872" s="2" t="inlineStr"/>
    </row>
    <row r="873" ht="15" customHeight="1">
      <c r="A873" t="inlineStr">
        <is>
          <t>A 19707-2022</t>
        </is>
      </c>
      <c r="B873" t="inlineStr">
        <is>
          <t>avverkningsanmälan</t>
        </is>
      </c>
      <c r="C873" t="inlineStr">
        <is>
          <t>Föryngringsavverkning</t>
        </is>
      </c>
      <c r="D873" s="1" t="n">
        <v>44694</v>
      </c>
      <c r="E873" s="1" t="n">
        <v>46309</v>
      </c>
      <c r="F873" t="inlineStr">
        <is>
          <t>UPPSALA LÄN</t>
        </is>
      </c>
      <c r="G873" t="inlineStr">
        <is>
          <t>ÖSTHAMMAR</t>
        </is>
      </c>
      <c r="H873" t="inlineStr">
        <is>
          <t>Allmännings- och besparingsskogar</t>
        </is>
      </c>
      <c r="I873" t="n">
        <v>0.5</v>
      </c>
      <c r="J873" t="n">
        <v>0</v>
      </c>
      <c r="K873" t="n">
        <v>0</v>
      </c>
      <c r="L873" t="n">
        <v>0</v>
      </c>
      <c r="M873" t="n">
        <v>0</v>
      </c>
      <c r="N873" t="n">
        <v>0</v>
      </c>
      <c r="O873" t="n">
        <v>0</v>
      </c>
      <c r="P873" t="n">
        <v>0</v>
      </c>
      <c r="Q873" t="n">
        <v>0</v>
      </c>
      <c r="R873" t="n">
        <v>0</v>
      </c>
      <c r="S873" t="n">
        <v>0</v>
      </c>
      <c r="T873" t="n">
        <v>0</v>
      </c>
      <c r="U873" t="n">
        <v>0</v>
      </c>
      <c r="V873" s="2" t="inlineStr"/>
    </row>
    <row r="874" ht="15" customHeight="1">
      <c r="A874" t="inlineStr">
        <is>
          <t>A 26111-2022</t>
        </is>
      </c>
      <c r="B874" t="inlineStr">
        <is>
          <t>avverkningsanmälan</t>
        </is>
      </c>
      <c r="C874" t="inlineStr">
        <is>
          <t>Föryngringsavverkning</t>
        </is>
      </c>
      <c r="D874" s="1" t="n">
        <v>44734</v>
      </c>
      <c r="E874" s="1" t="n">
        <v>46309</v>
      </c>
      <c r="F874" t="inlineStr">
        <is>
          <t>UPPSALA LÄN</t>
        </is>
      </c>
      <c r="G874" t="inlineStr">
        <is>
          <t>TIERP</t>
        </is>
      </c>
      <c r="I874" t="n">
        <v>1.1</v>
      </c>
      <c r="J874" t="n">
        <v>0</v>
      </c>
      <c r="K874" t="n">
        <v>0</v>
      </c>
      <c r="L874" t="n">
        <v>0</v>
      </c>
      <c r="M874" t="n">
        <v>0</v>
      </c>
      <c r="N874" t="n">
        <v>0</v>
      </c>
      <c r="O874" t="n">
        <v>0</v>
      </c>
      <c r="P874" t="n">
        <v>0</v>
      </c>
      <c r="Q874" t="n">
        <v>0</v>
      </c>
      <c r="R874" t="n">
        <v>0</v>
      </c>
      <c r="S874" t="n">
        <v>0</v>
      </c>
      <c r="T874" t="n">
        <v>0</v>
      </c>
      <c r="U874" t="n">
        <v>0</v>
      </c>
      <c r="V874" s="2" t="inlineStr"/>
    </row>
    <row r="875" ht="15" customHeight="1">
      <c r="A875" t="inlineStr">
        <is>
          <t>A 15334-2022</t>
        </is>
      </c>
      <c r="B875" t="inlineStr">
        <is>
          <t>avverkningsanmälan</t>
        </is>
      </c>
      <c r="C875" t="inlineStr">
        <is>
          <t>Föryngringsavverkning</t>
        </is>
      </c>
      <c r="D875" s="1" t="n">
        <v>44659</v>
      </c>
      <c r="E875" s="1" t="n">
        <v>46309</v>
      </c>
      <c r="F875" t="inlineStr">
        <is>
          <t>UPPSALA LÄN</t>
        </is>
      </c>
      <c r="G875" t="inlineStr">
        <is>
          <t>ÖSTHAMMAR</t>
        </is>
      </c>
      <c r="I875" t="n">
        <v>1.4</v>
      </c>
      <c r="J875" t="n">
        <v>0</v>
      </c>
      <c r="K875" t="n">
        <v>0</v>
      </c>
      <c r="L875" t="n">
        <v>0</v>
      </c>
      <c r="M875" t="n">
        <v>0</v>
      </c>
      <c r="N875" t="n">
        <v>0</v>
      </c>
      <c r="O875" t="n">
        <v>0</v>
      </c>
      <c r="P875" t="n">
        <v>0</v>
      </c>
      <c r="Q875" t="n">
        <v>0</v>
      </c>
      <c r="R875" t="n">
        <v>0</v>
      </c>
      <c r="S875" t="n">
        <v>0</v>
      </c>
      <c r="T875" t="n">
        <v>0</v>
      </c>
      <c r="U875" t="n">
        <v>0</v>
      </c>
      <c r="V875" s="2" t="inlineStr"/>
    </row>
    <row r="876" ht="15" customHeight="1">
      <c r="A876" t="inlineStr">
        <is>
          <t>A 68107-2021</t>
        </is>
      </c>
      <c r="B876" t="inlineStr">
        <is>
          <t>avverkningsanmälan</t>
        </is>
      </c>
      <c r="C876" t="inlineStr">
        <is>
          <t>Föryngringsavverkning</t>
        </is>
      </c>
      <c r="D876" s="1" t="n">
        <v>44526</v>
      </c>
      <c r="E876" s="1" t="n">
        <v>46309</v>
      </c>
      <c r="F876" t="inlineStr">
        <is>
          <t>UPPSALA LÄN</t>
        </is>
      </c>
      <c r="G876" t="inlineStr">
        <is>
          <t>ENKÖPING</t>
        </is>
      </c>
      <c r="I876" t="n">
        <v>0.8</v>
      </c>
      <c r="J876" t="n">
        <v>0</v>
      </c>
      <c r="K876" t="n">
        <v>0</v>
      </c>
      <c r="L876" t="n">
        <v>0</v>
      </c>
      <c r="M876" t="n">
        <v>0</v>
      </c>
      <c r="N876" t="n">
        <v>0</v>
      </c>
      <c r="O876" t="n">
        <v>0</v>
      </c>
      <c r="P876" t="n">
        <v>0</v>
      </c>
      <c r="Q876" t="n">
        <v>0</v>
      </c>
      <c r="R876" t="n">
        <v>0</v>
      </c>
      <c r="S876" t="n">
        <v>0</v>
      </c>
      <c r="T876" t="n">
        <v>0</v>
      </c>
      <c r="U876" t="n">
        <v>0</v>
      </c>
      <c r="V876" s="2" t="inlineStr"/>
    </row>
    <row r="877" ht="15" customHeight="1">
      <c r="A877" t="inlineStr">
        <is>
          <t>A 21387-2022</t>
        </is>
      </c>
      <c r="B877" t="inlineStr">
        <is>
          <t>avverkningsanmälan</t>
        </is>
      </c>
      <c r="C877" t="inlineStr">
        <is>
          <t>Föryngringsavverkning</t>
        </is>
      </c>
      <c r="D877" s="1" t="n">
        <v>44705</v>
      </c>
      <c r="E877" s="1" t="n">
        <v>46309</v>
      </c>
      <c r="F877" t="inlineStr">
        <is>
          <t>UPPSALA LÄN</t>
        </is>
      </c>
      <c r="G877" t="inlineStr">
        <is>
          <t>UPPSALA</t>
        </is>
      </c>
      <c r="I877" t="n">
        <v>2.2</v>
      </c>
      <c r="J877" t="n">
        <v>0</v>
      </c>
      <c r="K877" t="n">
        <v>0</v>
      </c>
      <c r="L877" t="n">
        <v>0</v>
      </c>
      <c r="M877" t="n">
        <v>0</v>
      </c>
      <c r="N877" t="n">
        <v>0</v>
      </c>
      <c r="O877" t="n">
        <v>0</v>
      </c>
      <c r="P877" t="n">
        <v>0</v>
      </c>
      <c r="Q877" t="n">
        <v>0</v>
      </c>
      <c r="R877" t="n">
        <v>0</v>
      </c>
      <c r="S877" t="n">
        <v>0</v>
      </c>
      <c r="T877" t="n">
        <v>0</v>
      </c>
      <c r="U877" t="n">
        <v>0</v>
      </c>
      <c r="V877" s="2" t="inlineStr"/>
    </row>
    <row r="878" ht="15" customHeight="1">
      <c r="A878" t="inlineStr">
        <is>
          <t>A 21391-2022</t>
        </is>
      </c>
      <c r="B878" t="inlineStr">
        <is>
          <t>avverkningsanmälan</t>
        </is>
      </c>
      <c r="C878" t="inlineStr">
        <is>
          <t>Föryngringsavverkning</t>
        </is>
      </c>
      <c r="D878" s="1" t="n">
        <v>44705</v>
      </c>
      <c r="E878" s="1" t="n">
        <v>46309</v>
      </c>
      <c r="F878" t="inlineStr">
        <is>
          <t>UPPSALA LÄN</t>
        </is>
      </c>
      <c r="G878" t="inlineStr">
        <is>
          <t>UPPSALA</t>
        </is>
      </c>
      <c r="I878" t="n">
        <v>0.9</v>
      </c>
      <c r="J878" t="n">
        <v>0</v>
      </c>
      <c r="K878" t="n">
        <v>0</v>
      </c>
      <c r="L878" t="n">
        <v>0</v>
      </c>
      <c r="M878" t="n">
        <v>0</v>
      </c>
      <c r="N878" t="n">
        <v>0</v>
      </c>
      <c r="O878" t="n">
        <v>0</v>
      </c>
      <c r="P878" t="n">
        <v>0</v>
      </c>
      <c r="Q878" t="n">
        <v>0</v>
      </c>
      <c r="R878" t="n">
        <v>0</v>
      </c>
      <c r="S878" t="n">
        <v>0</v>
      </c>
      <c r="T878" t="n">
        <v>0</v>
      </c>
      <c r="U878" t="n">
        <v>0</v>
      </c>
      <c r="V878" s="2" t="inlineStr"/>
    </row>
    <row r="879" ht="15" customHeight="1">
      <c r="A879" t="inlineStr">
        <is>
          <t>A 23713-2022</t>
        </is>
      </c>
      <c r="B879" t="inlineStr">
        <is>
          <t>avverkningsanmälan</t>
        </is>
      </c>
      <c r="C879" t="inlineStr">
        <is>
          <t>Föryngringsavverkning</t>
        </is>
      </c>
      <c r="D879" s="1" t="n">
        <v>44722</v>
      </c>
      <c r="E879" s="1" t="n">
        <v>46309</v>
      </c>
      <c r="F879" t="inlineStr">
        <is>
          <t>UPPSALA LÄN</t>
        </is>
      </c>
      <c r="G879" t="inlineStr">
        <is>
          <t>UPPSALA</t>
        </is>
      </c>
      <c r="H879" t="inlineStr">
        <is>
          <t>Bergvik skog öst AB</t>
        </is>
      </c>
      <c r="I879" t="n">
        <v>1</v>
      </c>
      <c r="J879" t="n">
        <v>0</v>
      </c>
      <c r="K879" t="n">
        <v>0</v>
      </c>
      <c r="L879" t="n">
        <v>0</v>
      </c>
      <c r="M879" t="n">
        <v>0</v>
      </c>
      <c r="N879" t="n">
        <v>0</v>
      </c>
      <c r="O879" t="n">
        <v>0</v>
      </c>
      <c r="P879" t="n">
        <v>0</v>
      </c>
      <c r="Q879" t="n">
        <v>0</v>
      </c>
      <c r="R879" t="n">
        <v>0</v>
      </c>
      <c r="S879" t="n">
        <v>0</v>
      </c>
      <c r="T879" t="n">
        <v>0</v>
      </c>
      <c r="U879" t="n">
        <v>0</v>
      </c>
      <c r="V879" s="2" t="inlineStr"/>
    </row>
    <row r="880" ht="15" customHeight="1">
      <c r="A880" t="inlineStr">
        <is>
          <t>A 69791-2021</t>
        </is>
      </c>
      <c r="B880" t="inlineStr">
        <is>
          <t>avverkningsanmälan</t>
        </is>
      </c>
      <c r="C880" t="inlineStr">
        <is>
          <t>Föryngringsavverkning</t>
        </is>
      </c>
      <c r="D880" s="1" t="n">
        <v>44532</v>
      </c>
      <c r="E880" s="1" t="n">
        <v>46309</v>
      </c>
      <c r="F880" t="inlineStr">
        <is>
          <t>UPPSALA LÄN</t>
        </is>
      </c>
      <c r="G880" t="inlineStr">
        <is>
          <t>ENKÖPING</t>
        </is>
      </c>
      <c r="I880" t="n">
        <v>0.8</v>
      </c>
      <c r="J880" t="n">
        <v>0</v>
      </c>
      <c r="K880" t="n">
        <v>0</v>
      </c>
      <c r="L880" t="n">
        <v>0</v>
      </c>
      <c r="M880" t="n">
        <v>0</v>
      </c>
      <c r="N880" t="n">
        <v>0</v>
      </c>
      <c r="O880" t="n">
        <v>0</v>
      </c>
      <c r="P880" t="n">
        <v>0</v>
      </c>
      <c r="Q880" t="n">
        <v>0</v>
      </c>
      <c r="R880" t="n">
        <v>0</v>
      </c>
      <c r="S880" t="n">
        <v>0</v>
      </c>
      <c r="T880" t="n">
        <v>0</v>
      </c>
      <c r="U880" t="n">
        <v>0</v>
      </c>
      <c r="V880" s="2" t="inlineStr"/>
    </row>
    <row r="881" ht="15" customHeight="1">
      <c r="A881" t="inlineStr">
        <is>
          <t>A 48575-2022</t>
        </is>
      </c>
      <c r="B881" t="inlineStr">
        <is>
          <t>avverkningsanmälan</t>
        </is>
      </c>
      <c r="C881" t="inlineStr">
        <is>
          <t>Föryngringsavverkning</t>
        </is>
      </c>
      <c r="D881" s="1" t="n">
        <v>44859</v>
      </c>
      <c r="E881" s="1" t="n">
        <v>46309</v>
      </c>
      <c r="F881" t="inlineStr">
        <is>
          <t>UPPSALA LÄN</t>
        </is>
      </c>
      <c r="G881" t="inlineStr">
        <is>
          <t>TIERP</t>
        </is>
      </c>
      <c r="I881" t="n">
        <v>0.9</v>
      </c>
      <c r="J881" t="n">
        <v>0</v>
      </c>
      <c r="K881" t="n">
        <v>0</v>
      </c>
      <c r="L881" t="n">
        <v>0</v>
      </c>
      <c r="M881" t="n">
        <v>0</v>
      </c>
      <c r="N881" t="n">
        <v>0</v>
      </c>
      <c r="O881" t="n">
        <v>0</v>
      </c>
      <c r="P881" t="n">
        <v>0</v>
      </c>
      <c r="Q881" t="n">
        <v>0</v>
      </c>
      <c r="R881" t="n">
        <v>0</v>
      </c>
      <c r="S881" t="n">
        <v>0</v>
      </c>
      <c r="T881" t="n">
        <v>0</v>
      </c>
      <c r="U881" t="n">
        <v>0</v>
      </c>
      <c r="V881" s="2" t="inlineStr"/>
    </row>
    <row r="882" ht="15" customHeight="1">
      <c r="A882" t="inlineStr">
        <is>
          <t>A 49914-2022</t>
        </is>
      </c>
      <c r="B882" t="inlineStr">
        <is>
          <t>avverkningsanmälan</t>
        </is>
      </c>
      <c r="C882" t="inlineStr">
        <is>
          <t>Föryngringsavverkning</t>
        </is>
      </c>
      <c r="D882" s="1" t="n">
        <v>44865</v>
      </c>
      <c r="E882" s="1" t="n">
        <v>46309</v>
      </c>
      <c r="F882" t="inlineStr">
        <is>
          <t>UPPSALA LÄN</t>
        </is>
      </c>
      <c r="G882" t="inlineStr">
        <is>
          <t>ÖSTHAMMAR</t>
        </is>
      </c>
      <c r="H882" t="inlineStr">
        <is>
          <t>Bergvik skog öst AB</t>
        </is>
      </c>
      <c r="I882" t="n">
        <v>0.5</v>
      </c>
      <c r="J882" t="n">
        <v>0</v>
      </c>
      <c r="K882" t="n">
        <v>0</v>
      </c>
      <c r="L882" t="n">
        <v>0</v>
      </c>
      <c r="M882" t="n">
        <v>0</v>
      </c>
      <c r="N882" t="n">
        <v>0</v>
      </c>
      <c r="O882" t="n">
        <v>0</v>
      </c>
      <c r="P882" t="n">
        <v>0</v>
      </c>
      <c r="Q882" t="n">
        <v>0</v>
      </c>
      <c r="R882" t="n">
        <v>0</v>
      </c>
      <c r="S882" t="n">
        <v>0</v>
      </c>
      <c r="T882" t="n">
        <v>0</v>
      </c>
      <c r="U882" t="n">
        <v>0</v>
      </c>
      <c r="V882" s="2" t="inlineStr"/>
    </row>
    <row r="883" ht="15" customHeight="1">
      <c r="A883" t="inlineStr">
        <is>
          <t>A 19382-2022</t>
        </is>
      </c>
      <c r="B883" t="inlineStr">
        <is>
          <t>avverkningsanmälan</t>
        </is>
      </c>
      <c r="C883" t="inlineStr">
        <is>
          <t>Föryngringsavverkning</t>
        </is>
      </c>
      <c r="D883" s="1" t="n">
        <v>44692</v>
      </c>
      <c r="E883" s="1" t="n">
        <v>46309</v>
      </c>
      <c r="F883" t="inlineStr">
        <is>
          <t>UPPSALA LÄN</t>
        </is>
      </c>
      <c r="G883" t="inlineStr">
        <is>
          <t>UPPSALA</t>
        </is>
      </c>
      <c r="I883" t="n">
        <v>4.3</v>
      </c>
      <c r="J883" t="n">
        <v>0</v>
      </c>
      <c r="K883" t="n">
        <v>0</v>
      </c>
      <c r="L883" t="n">
        <v>0</v>
      </c>
      <c r="M883" t="n">
        <v>0</v>
      </c>
      <c r="N883" t="n">
        <v>0</v>
      </c>
      <c r="O883" t="n">
        <v>0</v>
      </c>
      <c r="P883" t="n">
        <v>0</v>
      </c>
      <c r="Q883" t="n">
        <v>0</v>
      </c>
      <c r="R883" t="n">
        <v>0</v>
      </c>
      <c r="S883" t="n">
        <v>0</v>
      </c>
      <c r="T883" t="n">
        <v>0</v>
      </c>
      <c r="U883" t="n">
        <v>0</v>
      </c>
      <c r="V883" s="2" t="inlineStr"/>
    </row>
    <row r="884" ht="15" customHeight="1">
      <c r="A884" t="inlineStr">
        <is>
          <t>A 27860-2022</t>
        </is>
      </c>
      <c r="B884" t="inlineStr">
        <is>
          <t>avverkningsanmälan</t>
        </is>
      </c>
      <c r="C884" t="inlineStr">
        <is>
          <t>Föryngringsavverkning</t>
        </is>
      </c>
      <c r="D884" s="1" t="n">
        <v>44743</v>
      </c>
      <c r="E884" s="1" t="n">
        <v>46309</v>
      </c>
      <c r="F884" t="inlineStr">
        <is>
          <t>UPPSALA LÄN</t>
        </is>
      </c>
      <c r="G884" t="inlineStr">
        <is>
          <t>TIERP</t>
        </is>
      </c>
      <c r="I884" t="n">
        <v>5.6</v>
      </c>
      <c r="J884" t="n">
        <v>0</v>
      </c>
      <c r="K884" t="n">
        <v>0</v>
      </c>
      <c r="L884" t="n">
        <v>0</v>
      </c>
      <c r="M884" t="n">
        <v>0</v>
      </c>
      <c r="N884" t="n">
        <v>0</v>
      </c>
      <c r="O884" t="n">
        <v>0</v>
      </c>
      <c r="P884" t="n">
        <v>0</v>
      </c>
      <c r="Q884" t="n">
        <v>0</v>
      </c>
      <c r="R884" t="n">
        <v>0</v>
      </c>
      <c r="S884" t="n">
        <v>0</v>
      </c>
      <c r="T884" t="n">
        <v>0</v>
      </c>
      <c r="U884" t="n">
        <v>0</v>
      </c>
      <c r="V884" s="2" t="inlineStr"/>
    </row>
    <row r="885" ht="15" customHeight="1">
      <c r="A885" t="inlineStr">
        <is>
          <t>A 22945-2022</t>
        </is>
      </c>
      <c r="B885" t="inlineStr">
        <is>
          <t>avverkningsanmälan</t>
        </is>
      </c>
      <c r="C885" t="inlineStr">
        <is>
          <t>Föryngringsavverkning</t>
        </is>
      </c>
      <c r="D885" s="1" t="n">
        <v>44715</v>
      </c>
      <c r="E885" s="1" t="n">
        <v>46309</v>
      </c>
      <c r="F885" t="inlineStr">
        <is>
          <t>UPPSALA LÄN</t>
        </is>
      </c>
      <c r="G885" t="inlineStr">
        <is>
          <t>ÖSTHAMMAR</t>
        </is>
      </c>
      <c r="H885" t="inlineStr">
        <is>
          <t>Bergvik skog öst AB</t>
        </is>
      </c>
      <c r="I885" t="n">
        <v>1</v>
      </c>
      <c r="J885" t="n">
        <v>0</v>
      </c>
      <c r="K885" t="n">
        <v>0</v>
      </c>
      <c r="L885" t="n">
        <v>0</v>
      </c>
      <c r="M885" t="n">
        <v>0</v>
      </c>
      <c r="N885" t="n">
        <v>0</v>
      </c>
      <c r="O885" t="n">
        <v>0</v>
      </c>
      <c r="P885" t="n">
        <v>0</v>
      </c>
      <c r="Q885" t="n">
        <v>0</v>
      </c>
      <c r="R885" t="n">
        <v>0</v>
      </c>
      <c r="S885" t="n">
        <v>0</v>
      </c>
      <c r="T885" t="n">
        <v>0</v>
      </c>
      <c r="U885" t="n">
        <v>0</v>
      </c>
      <c r="V885" s="2" t="inlineStr"/>
    </row>
    <row r="886" ht="15" customHeight="1">
      <c r="A886" t="inlineStr">
        <is>
          <t>A 45185-2022</t>
        </is>
      </c>
      <c r="B886" t="inlineStr">
        <is>
          <t>avverkningsanmälan</t>
        </is>
      </c>
      <c r="C886" t="inlineStr">
        <is>
          <t>Föryngringsavverkning</t>
        </is>
      </c>
      <c r="D886" s="1" t="n">
        <v>44844</v>
      </c>
      <c r="E886" s="1" t="n">
        <v>46309</v>
      </c>
      <c r="F886" t="inlineStr">
        <is>
          <t>UPPSALA LÄN</t>
        </is>
      </c>
      <c r="G886" t="inlineStr">
        <is>
          <t>HEBY</t>
        </is>
      </c>
      <c r="I886" t="n">
        <v>1.9</v>
      </c>
      <c r="J886" t="n">
        <v>0</v>
      </c>
      <c r="K886" t="n">
        <v>0</v>
      </c>
      <c r="L886" t="n">
        <v>0</v>
      </c>
      <c r="M886" t="n">
        <v>0</v>
      </c>
      <c r="N886" t="n">
        <v>0</v>
      </c>
      <c r="O886" t="n">
        <v>0</v>
      </c>
      <c r="P886" t="n">
        <v>0</v>
      </c>
      <c r="Q886" t="n">
        <v>0</v>
      </c>
      <c r="R886" t="n">
        <v>0</v>
      </c>
      <c r="S886" t="n">
        <v>0</v>
      </c>
      <c r="T886" t="n">
        <v>0</v>
      </c>
      <c r="U886" t="n">
        <v>0</v>
      </c>
      <c r="V886" s="2" t="inlineStr"/>
    </row>
    <row r="887" ht="15" customHeight="1">
      <c r="A887" t="inlineStr">
        <is>
          <t>A 60874-2021</t>
        </is>
      </c>
      <c r="B887" t="inlineStr">
        <is>
          <t>avverkningsanmälan</t>
        </is>
      </c>
      <c r="C887" t="inlineStr">
        <is>
          <t>Avverkning för annat ändamål</t>
        </is>
      </c>
      <c r="D887" s="1" t="n">
        <v>44497</v>
      </c>
      <c r="E887" s="1" t="n">
        <v>46309</v>
      </c>
      <c r="F887" t="inlineStr">
        <is>
          <t>UPPSALA LÄN</t>
        </is>
      </c>
      <c r="G887" t="inlineStr">
        <is>
          <t>ENKÖPING</t>
        </is>
      </c>
      <c r="I887" t="n">
        <v>0.6</v>
      </c>
      <c r="J887" t="n">
        <v>0</v>
      </c>
      <c r="K887" t="n">
        <v>0</v>
      </c>
      <c r="L887" t="n">
        <v>0</v>
      </c>
      <c r="M887" t="n">
        <v>0</v>
      </c>
      <c r="N887" t="n">
        <v>0</v>
      </c>
      <c r="O887" t="n">
        <v>0</v>
      </c>
      <c r="P887" t="n">
        <v>0</v>
      </c>
      <c r="Q887" t="n">
        <v>0</v>
      </c>
      <c r="R887" t="n">
        <v>0</v>
      </c>
      <c r="S887" t="n">
        <v>0</v>
      </c>
      <c r="T887" t="n">
        <v>0</v>
      </c>
      <c r="U887" t="n">
        <v>0</v>
      </c>
      <c r="V887" s="2" t="inlineStr"/>
    </row>
    <row r="888" ht="15" customHeight="1">
      <c r="A888" t="inlineStr">
        <is>
          <t>A 15845-2022</t>
        </is>
      </c>
      <c r="B888" t="inlineStr">
        <is>
          <t>avverkningsanmälan</t>
        </is>
      </c>
      <c r="C888" t="inlineStr">
        <is>
          <t>Föryngringsavverkning</t>
        </is>
      </c>
      <c r="D888" s="1" t="n">
        <v>44664</v>
      </c>
      <c r="E888" s="1" t="n">
        <v>46309</v>
      </c>
      <c r="F888" t="inlineStr">
        <is>
          <t>UPPSALA LÄN</t>
        </is>
      </c>
      <c r="G888" t="inlineStr">
        <is>
          <t>ÖSTHAMMAR</t>
        </is>
      </c>
      <c r="I888" t="n">
        <v>4.5</v>
      </c>
      <c r="J888" t="n">
        <v>0</v>
      </c>
      <c r="K888" t="n">
        <v>0</v>
      </c>
      <c r="L888" t="n">
        <v>0</v>
      </c>
      <c r="M888" t="n">
        <v>0</v>
      </c>
      <c r="N888" t="n">
        <v>0</v>
      </c>
      <c r="O888" t="n">
        <v>0</v>
      </c>
      <c r="P888" t="n">
        <v>0</v>
      </c>
      <c r="Q888" t="n">
        <v>0</v>
      </c>
      <c r="R888" t="n">
        <v>0</v>
      </c>
      <c r="S888" t="n">
        <v>0</v>
      </c>
      <c r="T888" t="n">
        <v>0</v>
      </c>
      <c r="U888" t="n">
        <v>0</v>
      </c>
      <c r="V888" s="2" t="inlineStr"/>
    </row>
    <row r="889" ht="15" customHeight="1">
      <c r="A889" t="inlineStr">
        <is>
          <t>A 22216-2022</t>
        </is>
      </c>
      <c r="B889" t="inlineStr">
        <is>
          <t>avverkningsanmälan</t>
        </is>
      </c>
      <c r="C889" t="inlineStr">
        <is>
          <t>Föryngringsavverkning</t>
        </is>
      </c>
      <c r="D889" s="1" t="n">
        <v>44712</v>
      </c>
      <c r="E889" s="1" t="n">
        <v>46309</v>
      </c>
      <c r="F889" t="inlineStr">
        <is>
          <t>UPPSALA LÄN</t>
        </is>
      </c>
      <c r="G889" t="inlineStr">
        <is>
          <t>HEBY</t>
        </is>
      </c>
      <c r="I889" t="n">
        <v>5</v>
      </c>
      <c r="J889" t="n">
        <v>0</v>
      </c>
      <c r="K889" t="n">
        <v>0</v>
      </c>
      <c r="L889" t="n">
        <v>0</v>
      </c>
      <c r="M889" t="n">
        <v>0</v>
      </c>
      <c r="N889" t="n">
        <v>0</v>
      </c>
      <c r="O889" t="n">
        <v>0</v>
      </c>
      <c r="P889" t="n">
        <v>0</v>
      </c>
      <c r="Q889" t="n">
        <v>0</v>
      </c>
      <c r="R889" t="n">
        <v>0</v>
      </c>
      <c r="S889" t="n">
        <v>0</v>
      </c>
      <c r="T889" t="n">
        <v>0</v>
      </c>
      <c r="U889" t="n">
        <v>0</v>
      </c>
      <c r="V889" s="2" t="inlineStr"/>
    </row>
    <row r="890" ht="15" customHeight="1">
      <c r="A890" t="inlineStr">
        <is>
          <t>A 30209-2022</t>
        </is>
      </c>
      <c r="B890" t="inlineStr">
        <is>
          <t>avverkningsanmälan</t>
        </is>
      </c>
      <c r="C890" t="inlineStr">
        <is>
          <t>Föryngringsavverkning</t>
        </is>
      </c>
      <c r="D890" s="1" t="n">
        <v>44757</v>
      </c>
      <c r="E890" s="1" t="n">
        <v>46309</v>
      </c>
      <c r="F890" t="inlineStr">
        <is>
          <t>UPPSALA LÄN</t>
        </is>
      </c>
      <c r="G890" t="inlineStr">
        <is>
          <t>ÖSTHAMMAR</t>
        </is>
      </c>
      <c r="H890" t="inlineStr">
        <is>
          <t>Bergvik skog öst AB</t>
        </is>
      </c>
      <c r="I890" t="n">
        <v>0.4</v>
      </c>
      <c r="J890" t="n">
        <v>0</v>
      </c>
      <c r="K890" t="n">
        <v>0</v>
      </c>
      <c r="L890" t="n">
        <v>0</v>
      </c>
      <c r="M890" t="n">
        <v>0</v>
      </c>
      <c r="N890" t="n">
        <v>0</v>
      </c>
      <c r="O890" t="n">
        <v>0</v>
      </c>
      <c r="P890" t="n">
        <v>0</v>
      </c>
      <c r="Q890" t="n">
        <v>0</v>
      </c>
      <c r="R890" t="n">
        <v>0</v>
      </c>
      <c r="S890" t="n">
        <v>0</v>
      </c>
      <c r="T890" t="n">
        <v>0</v>
      </c>
      <c r="U890" t="n">
        <v>0</v>
      </c>
      <c r="V890" s="2" t="inlineStr"/>
    </row>
    <row r="891" ht="15" customHeight="1">
      <c r="A891" t="inlineStr">
        <is>
          <t>A 70275-2021</t>
        </is>
      </c>
      <c r="B891" t="inlineStr">
        <is>
          <t>avverkningsanmälan</t>
        </is>
      </c>
      <c r="C891" t="inlineStr">
        <is>
          <t>Föryngringsavverkning</t>
        </is>
      </c>
      <c r="D891" s="1" t="n">
        <v>44536</v>
      </c>
      <c r="E891" s="1" t="n">
        <v>46309</v>
      </c>
      <c r="F891" t="inlineStr">
        <is>
          <t>UPPSALA LÄN</t>
        </is>
      </c>
      <c r="G891" t="inlineStr">
        <is>
          <t>KNIVSTA</t>
        </is>
      </c>
      <c r="H891" t="inlineStr">
        <is>
          <t>Holmen skog AB</t>
        </is>
      </c>
      <c r="I891" t="n">
        <v>0.7</v>
      </c>
      <c r="J891" t="n">
        <v>0</v>
      </c>
      <c r="K891" t="n">
        <v>0</v>
      </c>
      <c r="L891" t="n">
        <v>0</v>
      </c>
      <c r="M891" t="n">
        <v>0</v>
      </c>
      <c r="N891" t="n">
        <v>0</v>
      </c>
      <c r="O891" t="n">
        <v>0</v>
      </c>
      <c r="P891" t="n">
        <v>0</v>
      </c>
      <c r="Q891" t="n">
        <v>0</v>
      </c>
      <c r="R891" t="n">
        <v>0</v>
      </c>
      <c r="S891" t="n">
        <v>0</v>
      </c>
      <c r="T891" t="n">
        <v>0</v>
      </c>
      <c r="U891" t="n">
        <v>0</v>
      </c>
      <c r="V891" s="2" t="inlineStr"/>
    </row>
    <row r="892" ht="15" customHeight="1">
      <c r="A892" t="inlineStr">
        <is>
          <t>A 13009-2022</t>
        </is>
      </c>
      <c r="B892" t="inlineStr">
        <is>
          <t>avverkningsanmälan</t>
        </is>
      </c>
      <c r="C892" t="inlineStr">
        <is>
          <t>Föryngringsavverkning</t>
        </is>
      </c>
      <c r="D892" s="1" t="n">
        <v>44643</v>
      </c>
      <c r="E892" s="1" t="n">
        <v>46309</v>
      </c>
      <c r="F892" t="inlineStr">
        <is>
          <t>UPPSALA LÄN</t>
        </is>
      </c>
      <c r="G892" t="inlineStr">
        <is>
          <t>UPPSALA</t>
        </is>
      </c>
      <c r="I892" t="n">
        <v>2.2</v>
      </c>
      <c r="J892" t="n">
        <v>0</v>
      </c>
      <c r="K892" t="n">
        <v>0</v>
      </c>
      <c r="L892" t="n">
        <v>0</v>
      </c>
      <c r="M892" t="n">
        <v>0</v>
      </c>
      <c r="N892" t="n">
        <v>0</v>
      </c>
      <c r="O892" t="n">
        <v>0</v>
      </c>
      <c r="P892" t="n">
        <v>0</v>
      </c>
      <c r="Q892" t="n">
        <v>0</v>
      </c>
      <c r="R892" t="n">
        <v>0</v>
      </c>
      <c r="S892" t="n">
        <v>0</v>
      </c>
      <c r="T892" t="n">
        <v>0</v>
      </c>
      <c r="U892" t="n">
        <v>0</v>
      </c>
      <c r="V892" s="2" t="inlineStr"/>
    </row>
    <row r="893" ht="15" customHeight="1">
      <c r="A893" t="inlineStr">
        <is>
          <t>A 29134-2022</t>
        </is>
      </c>
      <c r="B893" t="inlineStr">
        <is>
          <t>avverkningsanmälan</t>
        </is>
      </c>
      <c r="C893" t="inlineStr">
        <is>
          <t>Föryngringsavverkning</t>
        </is>
      </c>
      <c r="D893" s="1" t="n">
        <v>44750</v>
      </c>
      <c r="E893" s="1" t="n">
        <v>46309</v>
      </c>
      <c r="F893" t="inlineStr">
        <is>
          <t>UPPSALA LÄN</t>
        </is>
      </c>
      <c r="G893" t="inlineStr">
        <is>
          <t>UPPSALA</t>
        </is>
      </c>
      <c r="I893" t="n">
        <v>1.2</v>
      </c>
      <c r="J893" t="n">
        <v>0</v>
      </c>
      <c r="K893" t="n">
        <v>0</v>
      </c>
      <c r="L893" t="n">
        <v>0</v>
      </c>
      <c r="M893" t="n">
        <v>0</v>
      </c>
      <c r="N893" t="n">
        <v>0</v>
      </c>
      <c r="O893" t="n">
        <v>0</v>
      </c>
      <c r="P893" t="n">
        <v>0</v>
      </c>
      <c r="Q893" t="n">
        <v>0</v>
      </c>
      <c r="R893" t="n">
        <v>0</v>
      </c>
      <c r="S893" t="n">
        <v>0</v>
      </c>
      <c r="T893" t="n">
        <v>0</v>
      </c>
      <c r="U893" t="n">
        <v>0</v>
      </c>
      <c r="V893" s="2" t="inlineStr"/>
    </row>
    <row r="894" ht="15" customHeight="1">
      <c r="A894" t="inlineStr">
        <is>
          <t>A 62865-2021</t>
        </is>
      </c>
      <c r="B894" t="inlineStr">
        <is>
          <t>avverkningsanmälan</t>
        </is>
      </c>
      <c r="C894" t="inlineStr">
        <is>
          <t>Föryngringsavverkning</t>
        </is>
      </c>
      <c r="D894" s="1" t="n">
        <v>44504</v>
      </c>
      <c r="E894" s="1" t="n">
        <v>46309</v>
      </c>
      <c r="F894" t="inlineStr">
        <is>
          <t>UPPSALA LÄN</t>
        </is>
      </c>
      <c r="G894" t="inlineStr">
        <is>
          <t>UPPSALA</t>
        </is>
      </c>
      <c r="H894" t="inlineStr">
        <is>
          <t>Bergvik skog öst AB</t>
        </is>
      </c>
      <c r="I894" t="n">
        <v>1.7</v>
      </c>
      <c r="J894" t="n">
        <v>0</v>
      </c>
      <c r="K894" t="n">
        <v>0</v>
      </c>
      <c r="L894" t="n">
        <v>0</v>
      </c>
      <c r="M894" t="n">
        <v>0</v>
      </c>
      <c r="N894" t="n">
        <v>0</v>
      </c>
      <c r="O894" t="n">
        <v>0</v>
      </c>
      <c r="P894" t="n">
        <v>0</v>
      </c>
      <c r="Q894" t="n">
        <v>0</v>
      </c>
      <c r="R894" t="n">
        <v>0</v>
      </c>
      <c r="S894" t="n">
        <v>0</v>
      </c>
      <c r="T894" t="n">
        <v>0</v>
      </c>
      <c r="U894" t="n">
        <v>0</v>
      </c>
      <c r="V894" s="2" t="inlineStr"/>
    </row>
    <row r="895" ht="15" customHeight="1">
      <c r="A895" t="inlineStr">
        <is>
          <t>A 49334-2022</t>
        </is>
      </c>
      <c r="B895" t="inlineStr">
        <is>
          <t>avverkningsanmälan</t>
        </is>
      </c>
      <c r="C895" t="inlineStr">
        <is>
          <t>Avverkning för att bevara och utveckla /försöksver</t>
        </is>
      </c>
      <c r="D895" s="1" t="n">
        <v>44861</v>
      </c>
      <c r="E895" s="1" t="n">
        <v>46309</v>
      </c>
      <c r="F895" t="inlineStr">
        <is>
          <t>UPPSALA LÄN</t>
        </is>
      </c>
      <c r="G895" t="inlineStr">
        <is>
          <t>ÖSTHAMMAR</t>
        </is>
      </c>
      <c r="I895" t="n">
        <v>3.5</v>
      </c>
      <c r="J895" t="n">
        <v>0</v>
      </c>
      <c r="K895" t="n">
        <v>0</v>
      </c>
      <c r="L895" t="n">
        <v>0</v>
      </c>
      <c r="M895" t="n">
        <v>0</v>
      </c>
      <c r="N895" t="n">
        <v>0</v>
      </c>
      <c r="O895" t="n">
        <v>0</v>
      </c>
      <c r="P895" t="n">
        <v>0</v>
      </c>
      <c r="Q895" t="n">
        <v>0</v>
      </c>
      <c r="R895" t="n">
        <v>0</v>
      </c>
      <c r="S895" t="n">
        <v>0</v>
      </c>
      <c r="T895" t="n">
        <v>0</v>
      </c>
      <c r="U895" t="n">
        <v>0</v>
      </c>
      <c r="V895" s="2" t="inlineStr"/>
    </row>
    <row r="896" ht="15" customHeight="1">
      <c r="A896" t="inlineStr">
        <is>
          <t>A 45849-2022</t>
        </is>
      </c>
      <c r="B896" t="inlineStr">
        <is>
          <t>avverkningsanmälan</t>
        </is>
      </c>
      <c r="C896" t="inlineStr">
        <is>
          <t>Föryngringsavverkning</t>
        </is>
      </c>
      <c r="D896" s="1" t="n">
        <v>44846</v>
      </c>
      <c r="E896" s="1" t="n">
        <v>46309</v>
      </c>
      <c r="F896" t="inlineStr">
        <is>
          <t>UPPSALA LÄN</t>
        </is>
      </c>
      <c r="G896" t="inlineStr">
        <is>
          <t>UPPSALA</t>
        </is>
      </c>
      <c r="I896" t="n">
        <v>2.2</v>
      </c>
      <c r="J896" t="n">
        <v>0</v>
      </c>
      <c r="K896" t="n">
        <v>0</v>
      </c>
      <c r="L896" t="n">
        <v>0</v>
      </c>
      <c r="M896" t="n">
        <v>0</v>
      </c>
      <c r="N896" t="n">
        <v>0</v>
      </c>
      <c r="O896" t="n">
        <v>0</v>
      </c>
      <c r="P896" t="n">
        <v>0</v>
      </c>
      <c r="Q896" t="n">
        <v>0</v>
      </c>
      <c r="R896" t="n">
        <v>0</v>
      </c>
      <c r="S896" t="n">
        <v>0</v>
      </c>
      <c r="T896" t="n">
        <v>0</v>
      </c>
      <c r="U896" t="n">
        <v>0</v>
      </c>
      <c r="V896" s="2" t="inlineStr"/>
    </row>
    <row r="897" ht="15" customHeight="1">
      <c r="A897" t="inlineStr">
        <is>
          <t>A 42855-2022</t>
        </is>
      </c>
      <c r="B897" t="inlineStr">
        <is>
          <t>avverkningsanmälan</t>
        </is>
      </c>
      <c r="C897" t="inlineStr">
        <is>
          <t>Föryngringsavverkning</t>
        </is>
      </c>
      <c r="D897" s="1" t="n">
        <v>44832</v>
      </c>
      <c r="E897" s="1" t="n">
        <v>46309</v>
      </c>
      <c r="F897" t="inlineStr">
        <is>
          <t>UPPSALA LÄN</t>
        </is>
      </c>
      <c r="G897" t="inlineStr">
        <is>
          <t>HEBY</t>
        </is>
      </c>
      <c r="I897" t="n">
        <v>0.7</v>
      </c>
      <c r="J897" t="n">
        <v>0</v>
      </c>
      <c r="K897" t="n">
        <v>0</v>
      </c>
      <c r="L897" t="n">
        <v>0</v>
      </c>
      <c r="M897" t="n">
        <v>0</v>
      </c>
      <c r="N897" t="n">
        <v>0</v>
      </c>
      <c r="O897" t="n">
        <v>0</v>
      </c>
      <c r="P897" t="n">
        <v>0</v>
      </c>
      <c r="Q897" t="n">
        <v>0</v>
      </c>
      <c r="R897" t="n">
        <v>0</v>
      </c>
      <c r="S897" t="n">
        <v>0</v>
      </c>
      <c r="T897" t="n">
        <v>0</v>
      </c>
      <c r="U897" t="n">
        <v>0</v>
      </c>
      <c r="V897" s="2" t="inlineStr"/>
    </row>
    <row r="898" ht="15" customHeight="1">
      <c r="A898" t="inlineStr">
        <is>
          <t>A 15021-2022</t>
        </is>
      </c>
      <c r="B898" t="inlineStr">
        <is>
          <t>avverkningsanmälan</t>
        </is>
      </c>
      <c r="C898" t="inlineStr">
        <is>
          <t>Föryngringsavverkning</t>
        </is>
      </c>
      <c r="D898" s="1" t="n">
        <v>44657</v>
      </c>
      <c r="E898" s="1" t="n">
        <v>46309</v>
      </c>
      <c r="F898" t="inlineStr">
        <is>
          <t>UPPSALA LÄN</t>
        </is>
      </c>
      <c r="G898" t="inlineStr">
        <is>
          <t>ENKÖPING</t>
        </is>
      </c>
      <c r="I898" t="n">
        <v>1.1</v>
      </c>
      <c r="J898" t="n">
        <v>0</v>
      </c>
      <c r="K898" t="n">
        <v>0</v>
      </c>
      <c r="L898" t="n">
        <v>0</v>
      </c>
      <c r="M898" t="n">
        <v>0</v>
      </c>
      <c r="N898" t="n">
        <v>0</v>
      </c>
      <c r="O898" t="n">
        <v>0</v>
      </c>
      <c r="P898" t="n">
        <v>0</v>
      </c>
      <c r="Q898" t="n">
        <v>0</v>
      </c>
      <c r="R898" t="n">
        <v>0</v>
      </c>
      <c r="S898" t="n">
        <v>0</v>
      </c>
      <c r="T898" t="n">
        <v>0</v>
      </c>
      <c r="U898" t="n">
        <v>0</v>
      </c>
      <c r="V898" s="2" t="inlineStr"/>
    </row>
    <row r="899" ht="15" customHeight="1">
      <c r="A899" t="inlineStr">
        <is>
          <t>A 73238-2021</t>
        </is>
      </c>
      <c r="B899" t="inlineStr">
        <is>
          <t>avverkningsanmälan</t>
        </is>
      </c>
      <c r="C899" t="inlineStr">
        <is>
          <t>Föryngringsavverkning</t>
        </is>
      </c>
      <c r="D899" s="1" t="n">
        <v>44550</v>
      </c>
      <c r="E899" s="1" t="n">
        <v>46309</v>
      </c>
      <c r="F899" t="inlineStr">
        <is>
          <t>UPPSALA LÄN</t>
        </is>
      </c>
      <c r="G899" t="inlineStr">
        <is>
          <t>HEBY</t>
        </is>
      </c>
      <c r="I899" t="n">
        <v>4.5</v>
      </c>
      <c r="J899" t="n">
        <v>0</v>
      </c>
      <c r="K899" t="n">
        <v>0</v>
      </c>
      <c r="L899" t="n">
        <v>0</v>
      </c>
      <c r="M899" t="n">
        <v>0</v>
      </c>
      <c r="N899" t="n">
        <v>0</v>
      </c>
      <c r="O899" t="n">
        <v>0</v>
      </c>
      <c r="P899" t="n">
        <v>0</v>
      </c>
      <c r="Q899" t="n">
        <v>0</v>
      </c>
      <c r="R899" t="n">
        <v>0</v>
      </c>
      <c r="S899" t="n">
        <v>0</v>
      </c>
      <c r="T899" t="n">
        <v>0</v>
      </c>
      <c r="U899" t="n">
        <v>0</v>
      </c>
      <c r="V899" s="2" t="inlineStr"/>
    </row>
    <row r="900" ht="15" customHeight="1">
      <c r="A900" t="inlineStr">
        <is>
          <t>A 59500-2021</t>
        </is>
      </c>
      <c r="B900" t="inlineStr">
        <is>
          <t>avverkningsanmälan</t>
        </is>
      </c>
      <c r="C900" t="inlineStr">
        <is>
          <t>Föryngringsavverkning</t>
        </is>
      </c>
      <c r="D900" s="1" t="n">
        <v>44491</v>
      </c>
      <c r="E900" s="1" t="n">
        <v>46309</v>
      </c>
      <c r="F900" t="inlineStr">
        <is>
          <t>UPPSALA LÄN</t>
        </is>
      </c>
      <c r="G900" t="inlineStr">
        <is>
          <t>UPPSALA</t>
        </is>
      </c>
      <c r="H900" t="inlineStr">
        <is>
          <t>Bergvik skog öst AB</t>
        </is>
      </c>
      <c r="I900" t="n">
        <v>1.6</v>
      </c>
      <c r="J900" t="n">
        <v>0</v>
      </c>
      <c r="K900" t="n">
        <v>0</v>
      </c>
      <c r="L900" t="n">
        <v>0</v>
      </c>
      <c r="M900" t="n">
        <v>0</v>
      </c>
      <c r="N900" t="n">
        <v>0</v>
      </c>
      <c r="O900" t="n">
        <v>0</v>
      </c>
      <c r="P900" t="n">
        <v>0</v>
      </c>
      <c r="Q900" t="n">
        <v>0</v>
      </c>
      <c r="R900" t="n">
        <v>0</v>
      </c>
      <c r="S900" t="n">
        <v>0</v>
      </c>
      <c r="T900" t="n">
        <v>0</v>
      </c>
      <c r="U900" t="n">
        <v>0</v>
      </c>
      <c r="V900" s="2" t="inlineStr"/>
    </row>
    <row r="901" ht="15" customHeight="1">
      <c r="A901" t="inlineStr">
        <is>
          <t>A 16978-2022</t>
        </is>
      </c>
      <c r="B901" t="inlineStr">
        <is>
          <t>avverkningsanmälan</t>
        </is>
      </c>
      <c r="C901" t="inlineStr">
        <is>
          <t>Föryngringsavverkning</t>
        </is>
      </c>
      <c r="D901" s="1" t="n">
        <v>44676</v>
      </c>
      <c r="E901" s="1" t="n">
        <v>46309</v>
      </c>
      <c r="F901" t="inlineStr">
        <is>
          <t>UPPSALA LÄN</t>
        </is>
      </c>
      <c r="G901" t="inlineStr">
        <is>
          <t>UPPSALA</t>
        </is>
      </c>
      <c r="I901" t="n">
        <v>0.8</v>
      </c>
      <c r="J901" t="n">
        <v>0</v>
      </c>
      <c r="K901" t="n">
        <v>0</v>
      </c>
      <c r="L901" t="n">
        <v>0</v>
      </c>
      <c r="M901" t="n">
        <v>0</v>
      </c>
      <c r="N901" t="n">
        <v>0</v>
      </c>
      <c r="O901" t="n">
        <v>0</v>
      </c>
      <c r="P901" t="n">
        <v>0</v>
      </c>
      <c r="Q901" t="n">
        <v>0</v>
      </c>
      <c r="R901" t="n">
        <v>0</v>
      </c>
      <c r="S901" t="n">
        <v>0</v>
      </c>
      <c r="T901" t="n">
        <v>0</v>
      </c>
      <c r="U901" t="n">
        <v>0</v>
      </c>
      <c r="V901" s="2" t="inlineStr"/>
    </row>
    <row r="902" ht="15" customHeight="1">
      <c r="A902" t="inlineStr">
        <is>
          <t>A 52295-2022</t>
        </is>
      </c>
      <c r="B902" t="inlineStr">
        <is>
          <t>avverkningsanmälan</t>
        </is>
      </c>
      <c r="C902" t="inlineStr">
        <is>
          <t>Föryngringsavverkning</t>
        </is>
      </c>
      <c r="D902" s="1" t="n">
        <v>44873</v>
      </c>
      <c r="E902" s="1" t="n">
        <v>46309</v>
      </c>
      <c r="F902" t="inlineStr">
        <is>
          <t>UPPSALA LÄN</t>
        </is>
      </c>
      <c r="G902" t="inlineStr">
        <is>
          <t>ÖSTHAMMAR</t>
        </is>
      </c>
      <c r="I902" t="n">
        <v>0.4</v>
      </c>
      <c r="J902" t="n">
        <v>0</v>
      </c>
      <c r="K902" t="n">
        <v>0</v>
      </c>
      <c r="L902" t="n">
        <v>0</v>
      </c>
      <c r="M902" t="n">
        <v>0</v>
      </c>
      <c r="N902" t="n">
        <v>0</v>
      </c>
      <c r="O902" t="n">
        <v>0</v>
      </c>
      <c r="P902" t="n">
        <v>0</v>
      </c>
      <c r="Q902" t="n">
        <v>0</v>
      </c>
      <c r="R902" t="n">
        <v>0</v>
      </c>
      <c r="S902" t="n">
        <v>0</v>
      </c>
      <c r="T902" t="n">
        <v>0</v>
      </c>
      <c r="U902" t="n">
        <v>0</v>
      </c>
      <c r="V902" s="2" t="inlineStr"/>
    </row>
    <row r="903" ht="15" customHeight="1">
      <c r="A903" t="inlineStr">
        <is>
          <t>A 46079-2022</t>
        </is>
      </c>
      <c r="B903" t="inlineStr">
        <is>
          <t>avverkningsanmälan</t>
        </is>
      </c>
      <c r="C903" t="inlineStr">
        <is>
          <t>Föryngringsavverkning</t>
        </is>
      </c>
      <c r="D903" s="1" t="n">
        <v>44847</v>
      </c>
      <c r="E903" s="1" t="n">
        <v>46309</v>
      </c>
      <c r="F903" t="inlineStr">
        <is>
          <t>UPPSALA LÄN</t>
        </is>
      </c>
      <c r="G903" t="inlineStr">
        <is>
          <t>UPPSALA</t>
        </is>
      </c>
      <c r="I903" t="n">
        <v>2.2</v>
      </c>
      <c r="J903" t="n">
        <v>0</v>
      </c>
      <c r="K903" t="n">
        <v>0</v>
      </c>
      <c r="L903" t="n">
        <v>0</v>
      </c>
      <c r="M903" t="n">
        <v>0</v>
      </c>
      <c r="N903" t="n">
        <v>0</v>
      </c>
      <c r="O903" t="n">
        <v>0</v>
      </c>
      <c r="P903" t="n">
        <v>0</v>
      </c>
      <c r="Q903" t="n">
        <v>0</v>
      </c>
      <c r="R903" t="n">
        <v>0</v>
      </c>
      <c r="S903" t="n">
        <v>0</v>
      </c>
      <c r="T903" t="n">
        <v>0</v>
      </c>
      <c r="U903" t="n">
        <v>0</v>
      </c>
      <c r="V903" s="2" t="inlineStr"/>
    </row>
    <row r="904" ht="15" customHeight="1">
      <c r="A904" t="inlineStr">
        <is>
          <t>A 63959-2021</t>
        </is>
      </c>
      <c r="B904" t="inlineStr">
        <is>
          <t>avverkningsanmälan</t>
        </is>
      </c>
      <c r="C904" t="inlineStr">
        <is>
          <t>Föryngringsavverkning</t>
        </is>
      </c>
      <c r="D904" s="1" t="n">
        <v>44509</v>
      </c>
      <c r="E904" s="1" t="n">
        <v>46309</v>
      </c>
      <c r="F904" t="inlineStr">
        <is>
          <t>UPPSALA LÄN</t>
        </is>
      </c>
      <c r="G904" t="inlineStr">
        <is>
          <t>HEBY</t>
        </is>
      </c>
      <c r="I904" t="n">
        <v>0.6</v>
      </c>
      <c r="J904" t="n">
        <v>0</v>
      </c>
      <c r="K904" t="n">
        <v>0</v>
      </c>
      <c r="L904" t="n">
        <v>0</v>
      </c>
      <c r="M904" t="n">
        <v>0</v>
      </c>
      <c r="N904" t="n">
        <v>0</v>
      </c>
      <c r="O904" t="n">
        <v>0</v>
      </c>
      <c r="P904" t="n">
        <v>0</v>
      </c>
      <c r="Q904" t="n">
        <v>0</v>
      </c>
      <c r="R904" t="n">
        <v>0</v>
      </c>
      <c r="S904" t="n">
        <v>0</v>
      </c>
      <c r="T904" t="n">
        <v>0</v>
      </c>
      <c r="U904" t="n">
        <v>0</v>
      </c>
      <c r="V904" s="2" t="inlineStr"/>
    </row>
    <row r="905" ht="15" customHeight="1">
      <c r="A905" t="inlineStr">
        <is>
          <t>A 15457-2022</t>
        </is>
      </c>
      <c r="B905" t="inlineStr">
        <is>
          <t>avverkningsanmälan</t>
        </is>
      </c>
      <c r="C905" t="inlineStr">
        <is>
          <t>Föryngringsavverkning</t>
        </is>
      </c>
      <c r="D905" s="1" t="n">
        <v>44661</v>
      </c>
      <c r="E905" s="1" t="n">
        <v>46309</v>
      </c>
      <c r="F905" t="inlineStr">
        <is>
          <t>UPPSALA LÄN</t>
        </is>
      </c>
      <c r="G905" t="inlineStr">
        <is>
          <t>ÖSTHAMMAR</t>
        </is>
      </c>
      <c r="H905" t="inlineStr">
        <is>
          <t>Bergvik skog öst AB</t>
        </is>
      </c>
      <c r="I905" t="n">
        <v>0.5</v>
      </c>
      <c r="J905" t="n">
        <v>0</v>
      </c>
      <c r="K905" t="n">
        <v>0</v>
      </c>
      <c r="L905" t="n">
        <v>0</v>
      </c>
      <c r="M905" t="n">
        <v>0</v>
      </c>
      <c r="N905" t="n">
        <v>0</v>
      </c>
      <c r="O905" t="n">
        <v>0</v>
      </c>
      <c r="P905" t="n">
        <v>0</v>
      </c>
      <c r="Q905" t="n">
        <v>0</v>
      </c>
      <c r="R905" t="n">
        <v>0</v>
      </c>
      <c r="S905" t="n">
        <v>0</v>
      </c>
      <c r="T905" t="n">
        <v>0</v>
      </c>
      <c r="U905" t="n">
        <v>0</v>
      </c>
      <c r="V905" s="2" t="inlineStr"/>
    </row>
    <row r="906" ht="15" customHeight="1">
      <c r="A906" t="inlineStr">
        <is>
          <t>A 21394-2022</t>
        </is>
      </c>
      <c r="B906" t="inlineStr">
        <is>
          <t>avverkningsanmälan</t>
        </is>
      </c>
      <c r="C906" t="inlineStr">
        <is>
          <t>Föryngringsavverkning</t>
        </is>
      </c>
      <c r="D906" s="1" t="n">
        <v>44705</v>
      </c>
      <c r="E906" s="1" t="n">
        <v>46309</v>
      </c>
      <c r="F906" t="inlineStr">
        <is>
          <t>UPPSALA LÄN</t>
        </is>
      </c>
      <c r="G906" t="inlineStr">
        <is>
          <t>UPPSALA</t>
        </is>
      </c>
      <c r="I906" t="n">
        <v>0.8</v>
      </c>
      <c r="J906" t="n">
        <v>0</v>
      </c>
      <c r="K906" t="n">
        <v>0</v>
      </c>
      <c r="L906" t="n">
        <v>0</v>
      </c>
      <c r="M906" t="n">
        <v>0</v>
      </c>
      <c r="N906" t="n">
        <v>0</v>
      </c>
      <c r="O906" t="n">
        <v>0</v>
      </c>
      <c r="P906" t="n">
        <v>0</v>
      </c>
      <c r="Q906" t="n">
        <v>0</v>
      </c>
      <c r="R906" t="n">
        <v>0</v>
      </c>
      <c r="S906" t="n">
        <v>0</v>
      </c>
      <c r="T906" t="n">
        <v>0</v>
      </c>
      <c r="U906" t="n">
        <v>0</v>
      </c>
      <c r="V906" s="2" t="inlineStr"/>
    </row>
    <row r="907" ht="15" customHeight="1">
      <c r="A907" t="inlineStr">
        <is>
          <t>A 26316-2022</t>
        </is>
      </c>
      <c r="B907" t="inlineStr">
        <is>
          <t>avverkningsanmälan</t>
        </is>
      </c>
      <c r="C907" t="inlineStr">
        <is>
          <t>Föryngringsavverkning</t>
        </is>
      </c>
      <c r="D907" s="1" t="n">
        <v>44735</v>
      </c>
      <c r="E907" s="1" t="n">
        <v>46309</v>
      </c>
      <c r="F907" t="inlineStr">
        <is>
          <t>UPPSALA LÄN</t>
        </is>
      </c>
      <c r="G907" t="inlineStr">
        <is>
          <t>HEBY</t>
        </is>
      </c>
      <c r="I907" t="n">
        <v>4</v>
      </c>
      <c r="J907" t="n">
        <v>0</v>
      </c>
      <c r="K907" t="n">
        <v>0</v>
      </c>
      <c r="L907" t="n">
        <v>0</v>
      </c>
      <c r="M907" t="n">
        <v>0</v>
      </c>
      <c r="N907" t="n">
        <v>0</v>
      </c>
      <c r="O907" t="n">
        <v>0</v>
      </c>
      <c r="P907" t="n">
        <v>0</v>
      </c>
      <c r="Q907" t="n">
        <v>0</v>
      </c>
      <c r="R907" t="n">
        <v>0</v>
      </c>
      <c r="S907" t="n">
        <v>0</v>
      </c>
      <c r="T907" t="n">
        <v>0</v>
      </c>
      <c r="U907" t="n">
        <v>0</v>
      </c>
      <c r="V907" s="2" t="inlineStr"/>
    </row>
    <row r="908" ht="15" customHeight="1">
      <c r="A908" t="inlineStr">
        <is>
          <t>A 73317-2021</t>
        </is>
      </c>
      <c r="B908" t="inlineStr">
        <is>
          <t>avverkningsanmälan</t>
        </is>
      </c>
      <c r="C908" t="inlineStr">
        <is>
          <t>Föryngringsavverkning</t>
        </is>
      </c>
      <c r="D908" s="1" t="n">
        <v>44551</v>
      </c>
      <c r="E908" s="1" t="n">
        <v>46309</v>
      </c>
      <c r="F908" t="inlineStr">
        <is>
          <t>UPPSALA LÄN</t>
        </is>
      </c>
      <c r="G908" t="inlineStr">
        <is>
          <t>TIERP</t>
        </is>
      </c>
      <c r="I908" t="n">
        <v>2.7</v>
      </c>
      <c r="J908" t="n">
        <v>0</v>
      </c>
      <c r="K908" t="n">
        <v>0</v>
      </c>
      <c r="L908" t="n">
        <v>0</v>
      </c>
      <c r="M908" t="n">
        <v>0</v>
      </c>
      <c r="N908" t="n">
        <v>0</v>
      </c>
      <c r="O908" t="n">
        <v>0</v>
      </c>
      <c r="P908" t="n">
        <v>0</v>
      </c>
      <c r="Q908" t="n">
        <v>0</v>
      </c>
      <c r="R908" t="n">
        <v>0</v>
      </c>
      <c r="S908" t="n">
        <v>0</v>
      </c>
      <c r="T908" t="n">
        <v>0</v>
      </c>
      <c r="U908" t="n">
        <v>0</v>
      </c>
      <c r="V908" s="2" t="inlineStr"/>
    </row>
    <row r="909" ht="15" customHeight="1">
      <c r="A909" t="inlineStr">
        <is>
          <t>A 61560-2021</t>
        </is>
      </c>
      <c r="B909" t="inlineStr">
        <is>
          <t>avverkningsanmälan</t>
        </is>
      </c>
      <c r="C909" t="inlineStr">
        <is>
          <t>Föryngringsavverkning</t>
        </is>
      </c>
      <c r="D909" s="1" t="n">
        <v>44501</v>
      </c>
      <c r="E909" s="1" t="n">
        <v>46309</v>
      </c>
      <c r="F909" t="inlineStr">
        <is>
          <t>UPPSALA LÄN</t>
        </is>
      </c>
      <c r="G909" t="inlineStr">
        <is>
          <t>ÖSTHAMMAR</t>
        </is>
      </c>
      <c r="H909" t="inlineStr">
        <is>
          <t>Sveaskog</t>
        </is>
      </c>
      <c r="I909" t="n">
        <v>1.2</v>
      </c>
      <c r="J909" t="n">
        <v>0</v>
      </c>
      <c r="K909" t="n">
        <v>0</v>
      </c>
      <c r="L909" t="n">
        <v>0</v>
      </c>
      <c r="M909" t="n">
        <v>0</v>
      </c>
      <c r="N909" t="n">
        <v>0</v>
      </c>
      <c r="O909" t="n">
        <v>0</v>
      </c>
      <c r="P909" t="n">
        <v>0</v>
      </c>
      <c r="Q909" t="n">
        <v>0</v>
      </c>
      <c r="R909" t="n">
        <v>0</v>
      </c>
      <c r="S909" t="n">
        <v>0</v>
      </c>
      <c r="T909" t="n">
        <v>0</v>
      </c>
      <c r="U909" t="n">
        <v>0</v>
      </c>
      <c r="V909" s="2" t="inlineStr"/>
    </row>
    <row r="910" ht="15" customHeight="1">
      <c r="A910" t="inlineStr">
        <is>
          <t>A 36282-2022</t>
        </is>
      </c>
      <c r="B910" t="inlineStr">
        <is>
          <t>avverkningsanmälan</t>
        </is>
      </c>
      <c r="C910" t="inlineStr">
        <is>
          <t>Avverkning för annat ändamål</t>
        </is>
      </c>
      <c r="D910" s="1" t="n">
        <v>44803</v>
      </c>
      <c r="E910" s="1" t="n">
        <v>46309</v>
      </c>
      <c r="F910" t="inlineStr">
        <is>
          <t>UPPSALA LÄN</t>
        </is>
      </c>
      <c r="G910" t="inlineStr">
        <is>
          <t>ÄLVKARLEBY</t>
        </is>
      </c>
      <c r="I910" t="n">
        <v>0.1</v>
      </c>
      <c r="J910" t="n">
        <v>0</v>
      </c>
      <c r="K910" t="n">
        <v>0</v>
      </c>
      <c r="L910" t="n">
        <v>0</v>
      </c>
      <c r="M910" t="n">
        <v>0</v>
      </c>
      <c r="N910" t="n">
        <v>0</v>
      </c>
      <c r="O910" t="n">
        <v>0</v>
      </c>
      <c r="P910" t="n">
        <v>0</v>
      </c>
      <c r="Q910" t="n">
        <v>0</v>
      </c>
      <c r="R910" t="n">
        <v>0</v>
      </c>
      <c r="S910" t="n">
        <v>0</v>
      </c>
      <c r="T910" t="n">
        <v>0</v>
      </c>
      <c r="U910" t="n">
        <v>0</v>
      </c>
      <c r="V910" s="2" t="inlineStr"/>
    </row>
    <row r="911" ht="15" customHeight="1">
      <c r="A911" t="inlineStr">
        <is>
          <t>A 37570-2022</t>
        </is>
      </c>
      <c r="B911" t="inlineStr">
        <is>
          <t>avverkningsanmälan</t>
        </is>
      </c>
      <c r="C911" t="inlineStr">
        <is>
          <t>Föryngringsavverkning</t>
        </is>
      </c>
      <c r="D911" s="1" t="n">
        <v>44809</v>
      </c>
      <c r="E911" s="1" t="n">
        <v>46309</v>
      </c>
      <c r="F911" t="inlineStr">
        <is>
          <t>UPPSALA LÄN</t>
        </is>
      </c>
      <c r="G911" t="inlineStr">
        <is>
          <t>ÖSTHAMMAR</t>
        </is>
      </c>
      <c r="I911" t="n">
        <v>0.6</v>
      </c>
      <c r="J911" t="n">
        <v>0</v>
      </c>
      <c r="K911" t="n">
        <v>0</v>
      </c>
      <c r="L911" t="n">
        <v>0</v>
      </c>
      <c r="M911" t="n">
        <v>0</v>
      </c>
      <c r="N911" t="n">
        <v>0</v>
      </c>
      <c r="O911" t="n">
        <v>0</v>
      </c>
      <c r="P911" t="n">
        <v>0</v>
      </c>
      <c r="Q911" t="n">
        <v>0</v>
      </c>
      <c r="R911" t="n">
        <v>0</v>
      </c>
      <c r="S911" t="n">
        <v>0</v>
      </c>
      <c r="T911" t="n">
        <v>0</v>
      </c>
      <c r="U911" t="n">
        <v>0</v>
      </c>
      <c r="V911" s="2" t="inlineStr"/>
    </row>
    <row r="912" ht="15" customHeight="1">
      <c r="A912" t="inlineStr">
        <is>
          <t>A 31013-2022</t>
        </is>
      </c>
      <c r="B912" t="inlineStr">
        <is>
          <t>avverkningsanmälan</t>
        </is>
      </c>
      <c r="C912" t="inlineStr">
        <is>
          <t>Föryngringsavverkning</t>
        </is>
      </c>
      <c r="D912" s="1" t="n">
        <v>44768</v>
      </c>
      <c r="E912" s="1" t="n">
        <v>46309</v>
      </c>
      <c r="F912" t="inlineStr">
        <is>
          <t>UPPSALA LÄN</t>
        </is>
      </c>
      <c r="G912" t="inlineStr">
        <is>
          <t>ENKÖPING</t>
        </is>
      </c>
      <c r="H912" t="inlineStr">
        <is>
          <t>Allmännings- och besparingsskogar</t>
        </is>
      </c>
      <c r="I912" t="n">
        <v>0.5</v>
      </c>
      <c r="J912" t="n">
        <v>0</v>
      </c>
      <c r="K912" t="n">
        <v>0</v>
      </c>
      <c r="L912" t="n">
        <v>0</v>
      </c>
      <c r="M912" t="n">
        <v>0</v>
      </c>
      <c r="N912" t="n">
        <v>0</v>
      </c>
      <c r="O912" t="n">
        <v>0</v>
      </c>
      <c r="P912" t="n">
        <v>0</v>
      </c>
      <c r="Q912" t="n">
        <v>0</v>
      </c>
      <c r="R912" t="n">
        <v>0</v>
      </c>
      <c r="S912" t="n">
        <v>0</v>
      </c>
      <c r="T912" t="n">
        <v>0</v>
      </c>
      <c r="U912" t="n">
        <v>0</v>
      </c>
      <c r="V912" s="2" t="inlineStr"/>
    </row>
    <row r="913" ht="15" customHeight="1">
      <c r="A913" t="inlineStr">
        <is>
          <t>A 27858-2022</t>
        </is>
      </c>
      <c r="B913" t="inlineStr">
        <is>
          <t>avverkningsanmälan</t>
        </is>
      </c>
      <c r="C913" t="inlineStr">
        <is>
          <t>Föryngringsavverkning</t>
        </is>
      </c>
      <c r="D913" s="1" t="n">
        <v>44743</v>
      </c>
      <c r="E913" s="1" t="n">
        <v>46309</v>
      </c>
      <c r="F913" t="inlineStr">
        <is>
          <t>UPPSALA LÄN</t>
        </is>
      </c>
      <c r="G913" t="inlineStr">
        <is>
          <t>HEBY</t>
        </is>
      </c>
      <c r="I913" t="n">
        <v>2.4</v>
      </c>
      <c r="J913" t="n">
        <v>0</v>
      </c>
      <c r="K913" t="n">
        <v>0</v>
      </c>
      <c r="L913" t="n">
        <v>0</v>
      </c>
      <c r="M913" t="n">
        <v>0</v>
      </c>
      <c r="N913" t="n">
        <v>0</v>
      </c>
      <c r="O913" t="n">
        <v>0</v>
      </c>
      <c r="P913" t="n">
        <v>0</v>
      </c>
      <c r="Q913" t="n">
        <v>0</v>
      </c>
      <c r="R913" t="n">
        <v>0</v>
      </c>
      <c r="S913" t="n">
        <v>0</v>
      </c>
      <c r="T913" t="n">
        <v>0</v>
      </c>
      <c r="U913" t="n">
        <v>0</v>
      </c>
      <c r="V913" s="2" t="inlineStr"/>
    </row>
    <row r="914" ht="15" customHeight="1">
      <c r="A914" t="inlineStr">
        <is>
          <t>A 66519-2021</t>
        </is>
      </c>
      <c r="B914" t="inlineStr">
        <is>
          <t>avverkningsanmälan</t>
        </is>
      </c>
      <c r="C914" t="inlineStr">
        <is>
          <t>Föryngringsavverkning</t>
        </is>
      </c>
      <c r="D914" s="1" t="n">
        <v>44519</v>
      </c>
      <c r="E914" s="1" t="n">
        <v>46309</v>
      </c>
      <c r="F914" t="inlineStr">
        <is>
          <t>UPPSALA LÄN</t>
        </is>
      </c>
      <c r="G914" t="inlineStr">
        <is>
          <t>HEBY</t>
        </is>
      </c>
      <c r="H914" t="inlineStr">
        <is>
          <t>Sveaskog</t>
        </is>
      </c>
      <c r="I914" t="n">
        <v>0.8</v>
      </c>
      <c r="J914" t="n">
        <v>0</v>
      </c>
      <c r="K914" t="n">
        <v>0</v>
      </c>
      <c r="L914" t="n">
        <v>0</v>
      </c>
      <c r="M914" t="n">
        <v>0</v>
      </c>
      <c r="N914" t="n">
        <v>0</v>
      </c>
      <c r="O914" t="n">
        <v>0</v>
      </c>
      <c r="P914" t="n">
        <v>0</v>
      </c>
      <c r="Q914" t="n">
        <v>0</v>
      </c>
      <c r="R914" t="n">
        <v>0</v>
      </c>
      <c r="S914" t="n">
        <v>0</v>
      </c>
      <c r="T914" t="n">
        <v>0</v>
      </c>
      <c r="U914" t="n">
        <v>0</v>
      </c>
      <c r="V914" s="2" t="inlineStr"/>
    </row>
    <row r="915" ht="15" customHeight="1">
      <c r="A915" t="inlineStr">
        <is>
          <t>A 37545-2022</t>
        </is>
      </c>
      <c r="B915" t="inlineStr">
        <is>
          <t>avverkningsanmälan</t>
        </is>
      </c>
      <c r="C915" t="inlineStr">
        <is>
          <t>Föryngringsavverkning</t>
        </is>
      </c>
      <c r="D915" s="1" t="n">
        <v>44809</v>
      </c>
      <c r="E915" s="1" t="n">
        <v>46309</v>
      </c>
      <c r="F915" t="inlineStr">
        <is>
          <t>UPPSALA LÄN</t>
        </is>
      </c>
      <c r="G915" t="inlineStr">
        <is>
          <t>ÖSTHAMMAR</t>
        </is>
      </c>
      <c r="I915" t="n">
        <v>3.1</v>
      </c>
      <c r="J915" t="n">
        <v>0</v>
      </c>
      <c r="K915" t="n">
        <v>0</v>
      </c>
      <c r="L915" t="n">
        <v>0</v>
      </c>
      <c r="M915" t="n">
        <v>0</v>
      </c>
      <c r="N915" t="n">
        <v>0</v>
      </c>
      <c r="O915" t="n">
        <v>0</v>
      </c>
      <c r="P915" t="n">
        <v>0</v>
      </c>
      <c r="Q915" t="n">
        <v>0</v>
      </c>
      <c r="R915" t="n">
        <v>0</v>
      </c>
      <c r="S915" t="n">
        <v>0</v>
      </c>
      <c r="T915" t="n">
        <v>0</v>
      </c>
      <c r="U915" t="n">
        <v>0</v>
      </c>
      <c r="V915" s="2" t="inlineStr"/>
    </row>
    <row r="916" ht="15" customHeight="1">
      <c r="A916" t="inlineStr">
        <is>
          <t>A 35539-2022</t>
        </is>
      </c>
      <c r="B916" t="inlineStr">
        <is>
          <t>avverkningsanmälan</t>
        </is>
      </c>
      <c r="C916" t="inlineStr">
        <is>
          <t>Föryngringsavverkning</t>
        </is>
      </c>
      <c r="D916" s="1" t="n">
        <v>44799</v>
      </c>
      <c r="E916" s="1" t="n">
        <v>46309</v>
      </c>
      <c r="F916" t="inlineStr">
        <is>
          <t>UPPSALA LÄN</t>
        </is>
      </c>
      <c r="G916" t="inlineStr">
        <is>
          <t>UPPSALA</t>
        </is>
      </c>
      <c r="I916" t="n">
        <v>0.9</v>
      </c>
      <c r="J916" t="n">
        <v>0</v>
      </c>
      <c r="K916" t="n">
        <v>0</v>
      </c>
      <c r="L916" t="n">
        <v>0</v>
      </c>
      <c r="M916" t="n">
        <v>0</v>
      </c>
      <c r="N916" t="n">
        <v>0</v>
      </c>
      <c r="O916" t="n">
        <v>0</v>
      </c>
      <c r="P916" t="n">
        <v>0</v>
      </c>
      <c r="Q916" t="n">
        <v>0</v>
      </c>
      <c r="R916" t="n">
        <v>0</v>
      </c>
      <c r="S916" t="n">
        <v>0</v>
      </c>
      <c r="T916" t="n">
        <v>0</v>
      </c>
      <c r="U916" t="n">
        <v>0</v>
      </c>
      <c r="V916" s="2" t="inlineStr"/>
    </row>
    <row r="917" ht="15" customHeight="1">
      <c r="A917" t="inlineStr">
        <is>
          <t>A 49933-2022</t>
        </is>
      </c>
      <c r="B917" t="inlineStr">
        <is>
          <t>avverkningsanmälan</t>
        </is>
      </c>
      <c r="C917" t="inlineStr">
        <is>
          <t>Föryngringsavverkning</t>
        </is>
      </c>
      <c r="D917" s="1" t="n">
        <v>44865</v>
      </c>
      <c r="E917" s="1" t="n">
        <v>46309</v>
      </c>
      <c r="F917" t="inlineStr">
        <is>
          <t>UPPSALA LÄN</t>
        </is>
      </c>
      <c r="G917" t="inlineStr">
        <is>
          <t>TIERP</t>
        </is>
      </c>
      <c r="I917" t="n">
        <v>11.3</v>
      </c>
      <c r="J917" t="n">
        <v>0</v>
      </c>
      <c r="K917" t="n">
        <v>0</v>
      </c>
      <c r="L917" t="n">
        <v>0</v>
      </c>
      <c r="M917" t="n">
        <v>0</v>
      </c>
      <c r="N917" t="n">
        <v>0</v>
      </c>
      <c r="O917" t="n">
        <v>0</v>
      </c>
      <c r="P917" t="n">
        <v>0</v>
      </c>
      <c r="Q917" t="n">
        <v>0</v>
      </c>
      <c r="R917" t="n">
        <v>0</v>
      </c>
      <c r="S917" t="n">
        <v>0</v>
      </c>
      <c r="T917" t="n">
        <v>0</v>
      </c>
      <c r="U917" t="n">
        <v>0</v>
      </c>
      <c r="V917" s="2" t="inlineStr"/>
    </row>
    <row r="918" ht="15" customHeight="1">
      <c r="A918" t="inlineStr">
        <is>
          <t>A 71774-2021</t>
        </is>
      </c>
      <c r="B918" t="inlineStr">
        <is>
          <t>avverkningsanmälan</t>
        </is>
      </c>
      <c r="C918" t="inlineStr">
        <is>
          <t>Föryngringsavverkning</t>
        </is>
      </c>
      <c r="D918" s="1" t="n">
        <v>44543</v>
      </c>
      <c r="E918" s="1" t="n">
        <v>46309</v>
      </c>
      <c r="F918" t="inlineStr">
        <is>
          <t>UPPSALA LÄN</t>
        </is>
      </c>
      <c r="G918" t="inlineStr">
        <is>
          <t>TIERP</t>
        </is>
      </c>
      <c r="I918" t="n">
        <v>12.9</v>
      </c>
      <c r="J918" t="n">
        <v>0</v>
      </c>
      <c r="K918" t="n">
        <v>0</v>
      </c>
      <c r="L918" t="n">
        <v>0</v>
      </c>
      <c r="M918" t="n">
        <v>0</v>
      </c>
      <c r="N918" t="n">
        <v>0</v>
      </c>
      <c r="O918" t="n">
        <v>0</v>
      </c>
      <c r="P918" t="n">
        <v>0</v>
      </c>
      <c r="Q918" t="n">
        <v>0</v>
      </c>
      <c r="R918" t="n">
        <v>0</v>
      </c>
      <c r="S918" t="n">
        <v>0</v>
      </c>
      <c r="T918" t="n">
        <v>0</v>
      </c>
      <c r="U918" t="n">
        <v>0</v>
      </c>
      <c r="V918" s="2" t="inlineStr"/>
    </row>
    <row r="919" ht="15" customHeight="1">
      <c r="A919" t="inlineStr">
        <is>
          <t>A 2814-2022</t>
        </is>
      </c>
      <c r="B919" t="inlineStr">
        <is>
          <t>avverkningsanmälan</t>
        </is>
      </c>
      <c r="C919" t="inlineStr">
        <is>
          <t>Föryngringsavverkning</t>
        </is>
      </c>
      <c r="D919" s="1" t="n">
        <v>44581</v>
      </c>
      <c r="E919" s="1" t="n">
        <v>46309</v>
      </c>
      <c r="F919" t="inlineStr">
        <is>
          <t>UPPSALA LÄN</t>
        </is>
      </c>
      <c r="G919" t="inlineStr">
        <is>
          <t>TIERP</t>
        </is>
      </c>
      <c r="I919" t="n">
        <v>0.7</v>
      </c>
      <c r="J919" t="n">
        <v>0</v>
      </c>
      <c r="K919" t="n">
        <v>0</v>
      </c>
      <c r="L919" t="n">
        <v>0</v>
      </c>
      <c r="M919" t="n">
        <v>0</v>
      </c>
      <c r="N919" t="n">
        <v>0</v>
      </c>
      <c r="O919" t="n">
        <v>0</v>
      </c>
      <c r="P919" t="n">
        <v>0</v>
      </c>
      <c r="Q919" t="n">
        <v>0</v>
      </c>
      <c r="R919" t="n">
        <v>0</v>
      </c>
      <c r="S919" t="n">
        <v>0</v>
      </c>
      <c r="T919" t="n">
        <v>0</v>
      </c>
      <c r="U919" t="n">
        <v>0</v>
      </c>
      <c r="V919" s="2" t="inlineStr"/>
    </row>
    <row r="920" ht="15" customHeight="1">
      <c r="A920" t="inlineStr">
        <is>
          <t>A 2017-2022</t>
        </is>
      </c>
      <c r="B920" t="inlineStr">
        <is>
          <t>avverkningsanmälan</t>
        </is>
      </c>
      <c r="C920" t="inlineStr">
        <is>
          <t>Föryngringsavverkning</t>
        </is>
      </c>
      <c r="D920" s="1" t="n">
        <v>44575</v>
      </c>
      <c r="E920" s="1" t="n">
        <v>46309</v>
      </c>
      <c r="F920" t="inlineStr">
        <is>
          <t>UPPSALA LÄN</t>
        </is>
      </c>
      <c r="G920" t="inlineStr">
        <is>
          <t>UPPSALA</t>
        </is>
      </c>
      <c r="I920" t="n">
        <v>1.1</v>
      </c>
      <c r="J920" t="n">
        <v>0</v>
      </c>
      <c r="K920" t="n">
        <v>0</v>
      </c>
      <c r="L920" t="n">
        <v>0</v>
      </c>
      <c r="M920" t="n">
        <v>0</v>
      </c>
      <c r="N920" t="n">
        <v>0</v>
      </c>
      <c r="O920" t="n">
        <v>0</v>
      </c>
      <c r="P920" t="n">
        <v>0</v>
      </c>
      <c r="Q920" t="n">
        <v>0</v>
      </c>
      <c r="R920" t="n">
        <v>0</v>
      </c>
      <c r="S920" t="n">
        <v>0</v>
      </c>
      <c r="T920" t="n">
        <v>0</v>
      </c>
      <c r="U920" t="n">
        <v>0</v>
      </c>
      <c r="V920" s="2" t="inlineStr"/>
    </row>
    <row r="921" ht="15" customHeight="1">
      <c r="A921" t="inlineStr">
        <is>
          <t>A 38501-2022</t>
        </is>
      </c>
      <c r="B921" t="inlineStr">
        <is>
          <t>avverkningsanmälan</t>
        </is>
      </c>
      <c r="C921" t="inlineStr">
        <is>
          <t>Avverkning för annat ändamål</t>
        </is>
      </c>
      <c r="D921" s="1" t="n">
        <v>44813</v>
      </c>
      <c r="E921" s="1" t="n">
        <v>46309</v>
      </c>
      <c r="F921" t="inlineStr">
        <is>
          <t>UPPSALA LÄN</t>
        </is>
      </c>
      <c r="G921" t="inlineStr">
        <is>
          <t>ÖSTHAMMAR</t>
        </is>
      </c>
      <c r="H921" t="inlineStr">
        <is>
          <t>Bergvik skog öst AB</t>
        </is>
      </c>
      <c r="I921" t="n">
        <v>2.2</v>
      </c>
      <c r="J921" t="n">
        <v>0</v>
      </c>
      <c r="K921" t="n">
        <v>0</v>
      </c>
      <c r="L921" t="n">
        <v>0</v>
      </c>
      <c r="M921" t="n">
        <v>0</v>
      </c>
      <c r="N921" t="n">
        <v>0</v>
      </c>
      <c r="O921" t="n">
        <v>0</v>
      </c>
      <c r="P921" t="n">
        <v>0</v>
      </c>
      <c r="Q921" t="n">
        <v>0</v>
      </c>
      <c r="R921" t="n">
        <v>0</v>
      </c>
      <c r="S921" t="n">
        <v>0</v>
      </c>
      <c r="T921" t="n">
        <v>0</v>
      </c>
      <c r="U921" t="n">
        <v>0</v>
      </c>
      <c r="V921" s="2" t="inlineStr"/>
    </row>
    <row r="922" ht="15" customHeight="1">
      <c r="A922" t="inlineStr">
        <is>
          <t>A 1936-2022</t>
        </is>
      </c>
      <c r="B922" t="inlineStr">
        <is>
          <t>avverkningsanmälan</t>
        </is>
      </c>
      <c r="C922" t="inlineStr">
        <is>
          <t>Avverkning för att bevara och utveckla /försöksver</t>
        </is>
      </c>
      <c r="D922" s="1" t="n">
        <v>44575</v>
      </c>
      <c r="E922" s="1" t="n">
        <v>46309</v>
      </c>
      <c r="F922" t="inlineStr">
        <is>
          <t>UPPSALA LÄN</t>
        </is>
      </c>
      <c r="G922" t="inlineStr">
        <is>
          <t>UPPSALA</t>
        </is>
      </c>
      <c r="H922" t="inlineStr">
        <is>
          <t>Bergvik skog öst AB</t>
        </is>
      </c>
      <c r="I922" t="n">
        <v>0.8</v>
      </c>
      <c r="J922" t="n">
        <v>0</v>
      </c>
      <c r="K922" t="n">
        <v>0</v>
      </c>
      <c r="L922" t="n">
        <v>0</v>
      </c>
      <c r="M922" t="n">
        <v>0</v>
      </c>
      <c r="N922" t="n">
        <v>0</v>
      </c>
      <c r="O922" t="n">
        <v>0</v>
      </c>
      <c r="P922" t="n">
        <v>0</v>
      </c>
      <c r="Q922" t="n">
        <v>0</v>
      </c>
      <c r="R922" t="n">
        <v>0</v>
      </c>
      <c r="S922" t="n">
        <v>0</v>
      </c>
      <c r="T922" t="n">
        <v>0</v>
      </c>
      <c r="U922" t="n">
        <v>0</v>
      </c>
      <c r="V922" s="2" t="inlineStr"/>
    </row>
    <row r="923" ht="15" customHeight="1">
      <c r="A923" t="inlineStr">
        <is>
          <t>A 1971-2022</t>
        </is>
      </c>
      <c r="B923" t="inlineStr">
        <is>
          <t>avverkningsanmälan</t>
        </is>
      </c>
      <c r="C923" t="inlineStr">
        <is>
          <t>Föryngringsavverkning</t>
        </is>
      </c>
      <c r="D923" s="1" t="n">
        <v>44575</v>
      </c>
      <c r="E923" s="1" t="n">
        <v>46309</v>
      </c>
      <c r="F923" t="inlineStr">
        <is>
          <t>UPPSALA LÄN</t>
        </is>
      </c>
      <c r="G923" t="inlineStr">
        <is>
          <t>ENKÖPING</t>
        </is>
      </c>
      <c r="I923" t="n">
        <v>1.4</v>
      </c>
      <c r="J923" t="n">
        <v>0</v>
      </c>
      <c r="K923" t="n">
        <v>0</v>
      </c>
      <c r="L923" t="n">
        <v>0</v>
      </c>
      <c r="M923" t="n">
        <v>0</v>
      </c>
      <c r="N923" t="n">
        <v>0</v>
      </c>
      <c r="O923" t="n">
        <v>0</v>
      </c>
      <c r="P923" t="n">
        <v>0</v>
      </c>
      <c r="Q923" t="n">
        <v>0</v>
      </c>
      <c r="R923" t="n">
        <v>0</v>
      </c>
      <c r="S923" t="n">
        <v>0</v>
      </c>
      <c r="T923" t="n">
        <v>0</v>
      </c>
      <c r="U923" t="n">
        <v>0</v>
      </c>
      <c r="V923" s="2" t="inlineStr"/>
    </row>
    <row r="924" ht="15" customHeight="1">
      <c r="A924" t="inlineStr">
        <is>
          <t>A 46651-2022</t>
        </is>
      </c>
      <c r="B924" t="inlineStr">
        <is>
          <t>avverkningsanmälan</t>
        </is>
      </c>
      <c r="C924" t="inlineStr">
        <is>
          <t>Föryngringsavverkning</t>
        </is>
      </c>
      <c r="D924" s="1" t="n">
        <v>44850</v>
      </c>
      <c r="E924" s="1" t="n">
        <v>46309</v>
      </c>
      <c r="F924" t="inlineStr">
        <is>
          <t>UPPSALA LÄN</t>
        </is>
      </c>
      <c r="G924" t="inlineStr">
        <is>
          <t>HEBY</t>
        </is>
      </c>
      <c r="I924" t="n">
        <v>0.9</v>
      </c>
      <c r="J924" t="n">
        <v>0</v>
      </c>
      <c r="K924" t="n">
        <v>0</v>
      </c>
      <c r="L924" t="n">
        <v>0</v>
      </c>
      <c r="M924" t="n">
        <v>0</v>
      </c>
      <c r="N924" t="n">
        <v>0</v>
      </c>
      <c r="O924" t="n">
        <v>0</v>
      </c>
      <c r="P924" t="n">
        <v>0</v>
      </c>
      <c r="Q924" t="n">
        <v>0</v>
      </c>
      <c r="R924" t="n">
        <v>0</v>
      </c>
      <c r="S924" t="n">
        <v>0</v>
      </c>
      <c r="T924" t="n">
        <v>0</v>
      </c>
      <c r="U924" t="n">
        <v>0</v>
      </c>
      <c r="V924" s="2" t="inlineStr"/>
    </row>
    <row r="925" ht="15" customHeight="1">
      <c r="A925" t="inlineStr">
        <is>
          <t>A 8762-2022</t>
        </is>
      </c>
      <c r="B925" t="inlineStr">
        <is>
          <t>avverkningsanmälan</t>
        </is>
      </c>
      <c r="C925" t="inlineStr">
        <is>
          <t>Föryngringsavverkning</t>
        </is>
      </c>
      <c r="D925" s="1" t="n">
        <v>44614</v>
      </c>
      <c r="E925" s="1" t="n">
        <v>46309</v>
      </c>
      <c r="F925" t="inlineStr">
        <is>
          <t>UPPSALA LÄN</t>
        </is>
      </c>
      <c r="G925" t="inlineStr">
        <is>
          <t>HEBY</t>
        </is>
      </c>
      <c r="I925" t="n">
        <v>0.7</v>
      </c>
      <c r="J925" t="n">
        <v>0</v>
      </c>
      <c r="K925" t="n">
        <v>0</v>
      </c>
      <c r="L925" t="n">
        <v>0</v>
      </c>
      <c r="M925" t="n">
        <v>0</v>
      </c>
      <c r="N925" t="n">
        <v>0</v>
      </c>
      <c r="O925" t="n">
        <v>0</v>
      </c>
      <c r="P925" t="n">
        <v>0</v>
      </c>
      <c r="Q925" t="n">
        <v>0</v>
      </c>
      <c r="R925" t="n">
        <v>0</v>
      </c>
      <c r="S925" t="n">
        <v>0</v>
      </c>
      <c r="T925" t="n">
        <v>0</v>
      </c>
      <c r="U925" t="n">
        <v>0</v>
      </c>
      <c r="V925" s="2" t="inlineStr"/>
    </row>
    <row r="926" ht="15" customHeight="1">
      <c r="A926" t="inlineStr">
        <is>
          <t>A 21047-2022</t>
        </is>
      </c>
      <c r="B926" t="inlineStr">
        <is>
          <t>avverkningsanmälan</t>
        </is>
      </c>
      <c r="C926" t="inlineStr">
        <is>
          <t>Föryngringsavverkning</t>
        </is>
      </c>
      <c r="D926" s="1" t="n">
        <v>44704</v>
      </c>
      <c r="E926" s="1" t="n">
        <v>46309</v>
      </c>
      <c r="F926" t="inlineStr">
        <is>
          <t>UPPSALA LÄN</t>
        </is>
      </c>
      <c r="G926" t="inlineStr">
        <is>
          <t>TIERP</t>
        </is>
      </c>
      <c r="I926" t="n">
        <v>0.7</v>
      </c>
      <c r="J926" t="n">
        <v>0</v>
      </c>
      <c r="K926" t="n">
        <v>0</v>
      </c>
      <c r="L926" t="n">
        <v>0</v>
      </c>
      <c r="M926" t="n">
        <v>0</v>
      </c>
      <c r="N926" t="n">
        <v>0</v>
      </c>
      <c r="O926" t="n">
        <v>0</v>
      </c>
      <c r="P926" t="n">
        <v>0</v>
      </c>
      <c r="Q926" t="n">
        <v>0</v>
      </c>
      <c r="R926" t="n">
        <v>0</v>
      </c>
      <c r="S926" t="n">
        <v>0</v>
      </c>
      <c r="T926" t="n">
        <v>0</v>
      </c>
      <c r="U926" t="n">
        <v>0</v>
      </c>
      <c r="V926" s="2" t="inlineStr"/>
    </row>
    <row r="927" ht="15" customHeight="1">
      <c r="A927" t="inlineStr">
        <is>
          <t>A 37813-2022</t>
        </is>
      </c>
      <c r="B927" t="inlineStr">
        <is>
          <t>avverkningsanmälan</t>
        </is>
      </c>
      <c r="C927" t="inlineStr">
        <is>
          <t>Föryngringsavverkning</t>
        </is>
      </c>
      <c r="D927" s="1" t="n">
        <v>44810</v>
      </c>
      <c r="E927" s="1" t="n">
        <v>46309</v>
      </c>
      <c r="F927" t="inlineStr">
        <is>
          <t>UPPSALA LÄN</t>
        </is>
      </c>
      <c r="G927" t="inlineStr">
        <is>
          <t>ÖSTHAMMAR</t>
        </is>
      </c>
      <c r="I927" t="n">
        <v>0.5</v>
      </c>
      <c r="J927" t="n">
        <v>0</v>
      </c>
      <c r="K927" t="n">
        <v>0</v>
      </c>
      <c r="L927" t="n">
        <v>0</v>
      </c>
      <c r="M927" t="n">
        <v>0</v>
      </c>
      <c r="N927" t="n">
        <v>0</v>
      </c>
      <c r="O927" t="n">
        <v>0</v>
      </c>
      <c r="P927" t="n">
        <v>0</v>
      </c>
      <c r="Q927" t="n">
        <v>0</v>
      </c>
      <c r="R927" t="n">
        <v>0</v>
      </c>
      <c r="S927" t="n">
        <v>0</v>
      </c>
      <c r="T927" t="n">
        <v>0</v>
      </c>
      <c r="U927" t="n">
        <v>0</v>
      </c>
      <c r="V927" s="2" t="inlineStr"/>
    </row>
    <row r="928" ht="15" customHeight="1">
      <c r="A928" t="inlineStr">
        <is>
          <t>A 15924-2022</t>
        </is>
      </c>
      <c r="B928" t="inlineStr">
        <is>
          <t>avverkningsanmälan</t>
        </is>
      </c>
      <c r="C928" t="inlineStr">
        <is>
          <t>Föryngringsavverkning</t>
        </is>
      </c>
      <c r="D928" s="1" t="n">
        <v>44664</v>
      </c>
      <c r="E928" s="1" t="n">
        <v>46309</v>
      </c>
      <c r="F928" t="inlineStr">
        <is>
          <t>UPPSALA LÄN</t>
        </is>
      </c>
      <c r="G928" t="inlineStr">
        <is>
          <t>ENKÖPING</t>
        </is>
      </c>
      <c r="I928" t="n">
        <v>0.7</v>
      </c>
      <c r="J928" t="n">
        <v>0</v>
      </c>
      <c r="K928" t="n">
        <v>0</v>
      </c>
      <c r="L928" t="n">
        <v>0</v>
      </c>
      <c r="M928" t="n">
        <v>0</v>
      </c>
      <c r="N928" t="n">
        <v>0</v>
      </c>
      <c r="O928" t="n">
        <v>0</v>
      </c>
      <c r="P928" t="n">
        <v>0</v>
      </c>
      <c r="Q928" t="n">
        <v>0</v>
      </c>
      <c r="R928" t="n">
        <v>0</v>
      </c>
      <c r="S928" t="n">
        <v>0</v>
      </c>
      <c r="T928" t="n">
        <v>0</v>
      </c>
      <c r="U928" t="n">
        <v>0</v>
      </c>
      <c r="V928" s="2" t="inlineStr"/>
    </row>
    <row r="929" ht="15" customHeight="1">
      <c r="A929" t="inlineStr">
        <is>
          <t>A 15943-2022</t>
        </is>
      </c>
      <c r="B929" t="inlineStr">
        <is>
          <t>avverkningsanmälan</t>
        </is>
      </c>
      <c r="C929" t="inlineStr">
        <is>
          <t>Föryngringsavverkning</t>
        </is>
      </c>
      <c r="D929" s="1" t="n">
        <v>44664</v>
      </c>
      <c r="E929" s="1" t="n">
        <v>46309</v>
      </c>
      <c r="F929" t="inlineStr">
        <is>
          <t>UPPSALA LÄN</t>
        </is>
      </c>
      <c r="G929" t="inlineStr">
        <is>
          <t>ENKÖPING</t>
        </is>
      </c>
      <c r="I929" t="n">
        <v>0.6</v>
      </c>
      <c r="J929" t="n">
        <v>0</v>
      </c>
      <c r="K929" t="n">
        <v>0</v>
      </c>
      <c r="L929" t="n">
        <v>0</v>
      </c>
      <c r="M929" t="n">
        <v>0</v>
      </c>
      <c r="N929" t="n">
        <v>0</v>
      </c>
      <c r="O929" t="n">
        <v>0</v>
      </c>
      <c r="P929" t="n">
        <v>0</v>
      </c>
      <c r="Q929" t="n">
        <v>0</v>
      </c>
      <c r="R929" t="n">
        <v>0</v>
      </c>
      <c r="S929" t="n">
        <v>0</v>
      </c>
      <c r="T929" t="n">
        <v>0</v>
      </c>
      <c r="U929" t="n">
        <v>0</v>
      </c>
      <c r="V929" s="2" t="inlineStr"/>
    </row>
    <row r="930" ht="15" customHeight="1">
      <c r="A930" t="inlineStr">
        <is>
          <t>A 11987-2022</t>
        </is>
      </c>
      <c r="B930" t="inlineStr">
        <is>
          <t>avverkningsanmälan</t>
        </is>
      </c>
      <c r="C930" t="inlineStr">
        <is>
          <t>Föryngringsavverkning</t>
        </is>
      </c>
      <c r="D930" s="1" t="n">
        <v>44635</v>
      </c>
      <c r="E930" s="1" t="n">
        <v>46309</v>
      </c>
      <c r="F930" t="inlineStr">
        <is>
          <t>UPPSALA LÄN</t>
        </is>
      </c>
      <c r="G930" t="inlineStr">
        <is>
          <t>ÖSTHAMMAR</t>
        </is>
      </c>
      <c r="H930" t="inlineStr">
        <is>
          <t>Bergvik skog öst AB</t>
        </is>
      </c>
      <c r="I930" t="n">
        <v>0.3</v>
      </c>
      <c r="J930" t="n">
        <v>0</v>
      </c>
      <c r="K930" t="n">
        <v>0</v>
      </c>
      <c r="L930" t="n">
        <v>0</v>
      </c>
      <c r="M930" t="n">
        <v>0</v>
      </c>
      <c r="N930" t="n">
        <v>0</v>
      </c>
      <c r="O930" t="n">
        <v>0</v>
      </c>
      <c r="P930" t="n">
        <v>0</v>
      </c>
      <c r="Q930" t="n">
        <v>0</v>
      </c>
      <c r="R930" t="n">
        <v>0</v>
      </c>
      <c r="S930" t="n">
        <v>0</v>
      </c>
      <c r="T930" t="n">
        <v>0</v>
      </c>
      <c r="U930" t="n">
        <v>0</v>
      </c>
      <c r="V930" s="2" t="inlineStr"/>
    </row>
    <row r="931" ht="15" customHeight="1">
      <c r="A931" t="inlineStr">
        <is>
          <t>A 22207-2022</t>
        </is>
      </c>
      <c r="B931" t="inlineStr">
        <is>
          <t>avverkningsanmälan</t>
        </is>
      </c>
      <c r="C931" t="inlineStr">
        <is>
          <t>Föryngringsavverkning</t>
        </is>
      </c>
      <c r="D931" s="1" t="n">
        <v>44712</v>
      </c>
      <c r="E931" s="1" t="n">
        <v>46309</v>
      </c>
      <c r="F931" t="inlineStr">
        <is>
          <t>UPPSALA LÄN</t>
        </is>
      </c>
      <c r="G931" t="inlineStr">
        <is>
          <t>ÖSTHAMMAR</t>
        </is>
      </c>
      <c r="H931" t="inlineStr">
        <is>
          <t>Bergvik skog öst AB</t>
        </is>
      </c>
      <c r="I931" t="n">
        <v>0.6</v>
      </c>
      <c r="J931" t="n">
        <v>0</v>
      </c>
      <c r="K931" t="n">
        <v>0</v>
      </c>
      <c r="L931" t="n">
        <v>0</v>
      </c>
      <c r="M931" t="n">
        <v>0</v>
      </c>
      <c r="N931" t="n">
        <v>0</v>
      </c>
      <c r="O931" t="n">
        <v>0</v>
      </c>
      <c r="P931" t="n">
        <v>0</v>
      </c>
      <c r="Q931" t="n">
        <v>0</v>
      </c>
      <c r="R931" t="n">
        <v>0</v>
      </c>
      <c r="S931" t="n">
        <v>0</v>
      </c>
      <c r="T931" t="n">
        <v>0</v>
      </c>
      <c r="U931" t="n">
        <v>0</v>
      </c>
      <c r="V931" s="2" t="inlineStr"/>
    </row>
    <row r="932" ht="15" customHeight="1">
      <c r="A932" t="inlineStr">
        <is>
          <t>A 19731-2022</t>
        </is>
      </c>
      <c r="B932" t="inlineStr">
        <is>
          <t>avverkningsanmälan</t>
        </is>
      </c>
      <c r="C932" t="inlineStr">
        <is>
          <t>Föryngringsavverkning</t>
        </is>
      </c>
      <c r="D932" s="1" t="n">
        <v>44694</v>
      </c>
      <c r="E932" s="1" t="n">
        <v>46309</v>
      </c>
      <c r="F932" t="inlineStr">
        <is>
          <t>UPPSALA LÄN</t>
        </is>
      </c>
      <c r="G932" t="inlineStr">
        <is>
          <t>ENKÖPING</t>
        </is>
      </c>
      <c r="I932" t="n">
        <v>0.7</v>
      </c>
      <c r="J932" t="n">
        <v>0</v>
      </c>
      <c r="K932" t="n">
        <v>0</v>
      </c>
      <c r="L932" t="n">
        <v>0</v>
      </c>
      <c r="M932" t="n">
        <v>0</v>
      </c>
      <c r="N932" t="n">
        <v>0</v>
      </c>
      <c r="O932" t="n">
        <v>0</v>
      </c>
      <c r="P932" t="n">
        <v>0</v>
      </c>
      <c r="Q932" t="n">
        <v>0</v>
      </c>
      <c r="R932" t="n">
        <v>0</v>
      </c>
      <c r="S932" t="n">
        <v>0</v>
      </c>
      <c r="T932" t="n">
        <v>0</v>
      </c>
      <c r="U932" t="n">
        <v>0</v>
      </c>
      <c r="V932" s="2" t="inlineStr"/>
    </row>
    <row r="933" ht="15" customHeight="1">
      <c r="A933" t="inlineStr">
        <is>
          <t>A 66256-2021</t>
        </is>
      </c>
      <c r="B933" t="inlineStr">
        <is>
          <t>avverkningsanmälan</t>
        </is>
      </c>
      <c r="C933" t="inlineStr">
        <is>
          <t>Föryngringsavverkning</t>
        </is>
      </c>
      <c r="D933" s="1" t="n">
        <v>44518</v>
      </c>
      <c r="E933" s="1" t="n">
        <v>46309</v>
      </c>
      <c r="F933" t="inlineStr">
        <is>
          <t>UPPSALA LÄN</t>
        </is>
      </c>
      <c r="G933" t="inlineStr">
        <is>
          <t>KNIVSTA</t>
        </is>
      </c>
      <c r="I933" t="n">
        <v>0.3</v>
      </c>
      <c r="J933" t="n">
        <v>0</v>
      </c>
      <c r="K933" t="n">
        <v>0</v>
      </c>
      <c r="L933" t="n">
        <v>0</v>
      </c>
      <c r="M933" t="n">
        <v>0</v>
      </c>
      <c r="N933" t="n">
        <v>0</v>
      </c>
      <c r="O933" t="n">
        <v>0</v>
      </c>
      <c r="P933" t="n">
        <v>0</v>
      </c>
      <c r="Q933" t="n">
        <v>0</v>
      </c>
      <c r="R933" t="n">
        <v>0</v>
      </c>
      <c r="S933" t="n">
        <v>0</v>
      </c>
      <c r="T933" t="n">
        <v>0</v>
      </c>
      <c r="U933" t="n">
        <v>0</v>
      </c>
      <c r="V933" s="2" t="inlineStr"/>
    </row>
    <row r="934" ht="15" customHeight="1">
      <c r="A934" t="inlineStr">
        <is>
          <t>A 20980-2022</t>
        </is>
      </c>
      <c r="B934" t="inlineStr">
        <is>
          <t>avverkningsanmälan</t>
        </is>
      </c>
      <c r="C934" t="inlineStr">
        <is>
          <t>Föryngringsavverkning</t>
        </is>
      </c>
      <c r="D934" s="1" t="n">
        <v>44702</v>
      </c>
      <c r="E934" s="1" t="n">
        <v>46309</v>
      </c>
      <c r="F934" t="inlineStr">
        <is>
          <t>UPPSALA LÄN</t>
        </is>
      </c>
      <c r="G934" t="inlineStr">
        <is>
          <t>UPPSALA</t>
        </is>
      </c>
      <c r="I934" t="n">
        <v>0.8</v>
      </c>
      <c r="J934" t="n">
        <v>0</v>
      </c>
      <c r="K934" t="n">
        <v>0</v>
      </c>
      <c r="L934" t="n">
        <v>0</v>
      </c>
      <c r="M934" t="n">
        <v>0</v>
      </c>
      <c r="N934" t="n">
        <v>0</v>
      </c>
      <c r="O934" t="n">
        <v>0</v>
      </c>
      <c r="P934" t="n">
        <v>0</v>
      </c>
      <c r="Q934" t="n">
        <v>0</v>
      </c>
      <c r="R934" t="n">
        <v>0</v>
      </c>
      <c r="S934" t="n">
        <v>0</v>
      </c>
      <c r="T934" t="n">
        <v>0</v>
      </c>
      <c r="U934" t="n">
        <v>0</v>
      </c>
      <c r="V934" s="2" t="inlineStr"/>
    </row>
    <row r="935" ht="15" customHeight="1">
      <c r="A935" t="inlineStr">
        <is>
          <t>A 20885-2022</t>
        </is>
      </c>
      <c r="B935" t="inlineStr">
        <is>
          <t>avverkningsanmälan</t>
        </is>
      </c>
      <c r="C935" t="inlineStr">
        <is>
          <t>Föryngringsavverkning</t>
        </is>
      </c>
      <c r="D935" s="1" t="n">
        <v>44701</v>
      </c>
      <c r="E935" s="1" t="n">
        <v>46309</v>
      </c>
      <c r="F935" t="inlineStr">
        <is>
          <t>UPPSALA LÄN</t>
        </is>
      </c>
      <c r="G935" t="inlineStr">
        <is>
          <t>TIERP</t>
        </is>
      </c>
      <c r="H935" t="inlineStr">
        <is>
          <t>Övriga Aktiebolag</t>
        </is>
      </c>
      <c r="I935" t="n">
        <v>0.5</v>
      </c>
      <c r="J935" t="n">
        <v>0</v>
      </c>
      <c r="K935" t="n">
        <v>0</v>
      </c>
      <c r="L935" t="n">
        <v>0</v>
      </c>
      <c r="M935" t="n">
        <v>0</v>
      </c>
      <c r="N935" t="n">
        <v>0</v>
      </c>
      <c r="O935" t="n">
        <v>0</v>
      </c>
      <c r="P935" t="n">
        <v>0</v>
      </c>
      <c r="Q935" t="n">
        <v>0</v>
      </c>
      <c r="R935" t="n">
        <v>0</v>
      </c>
      <c r="S935" t="n">
        <v>0</v>
      </c>
      <c r="T935" t="n">
        <v>0</v>
      </c>
      <c r="U935" t="n">
        <v>0</v>
      </c>
      <c r="V935" s="2" t="inlineStr"/>
    </row>
    <row r="936" ht="15" customHeight="1">
      <c r="A936" t="inlineStr">
        <is>
          <t>A 59599-2021</t>
        </is>
      </c>
      <c r="B936" t="inlineStr">
        <is>
          <t>avverkningsanmälan</t>
        </is>
      </c>
      <c r="C936" t="inlineStr">
        <is>
          <t>Föryngringsavverkning</t>
        </is>
      </c>
      <c r="D936" s="1" t="n">
        <v>44491</v>
      </c>
      <c r="E936" s="1" t="n">
        <v>46309</v>
      </c>
      <c r="F936" t="inlineStr">
        <is>
          <t>UPPSALA LÄN</t>
        </is>
      </c>
      <c r="G936" t="inlineStr">
        <is>
          <t>HEBY</t>
        </is>
      </c>
      <c r="I936" t="n">
        <v>2.2</v>
      </c>
      <c r="J936" t="n">
        <v>0</v>
      </c>
      <c r="K936" t="n">
        <v>0</v>
      </c>
      <c r="L936" t="n">
        <v>0</v>
      </c>
      <c r="M936" t="n">
        <v>0</v>
      </c>
      <c r="N936" t="n">
        <v>0</v>
      </c>
      <c r="O936" t="n">
        <v>0</v>
      </c>
      <c r="P936" t="n">
        <v>0</v>
      </c>
      <c r="Q936" t="n">
        <v>0</v>
      </c>
      <c r="R936" t="n">
        <v>0</v>
      </c>
      <c r="S936" t="n">
        <v>0</v>
      </c>
      <c r="T936" t="n">
        <v>0</v>
      </c>
      <c r="U936" t="n">
        <v>0</v>
      </c>
      <c r="V936" s="2" t="inlineStr"/>
    </row>
    <row r="937" ht="15" customHeight="1">
      <c r="A937" t="inlineStr">
        <is>
          <t>A 24091-2022</t>
        </is>
      </c>
      <c r="B937" t="inlineStr">
        <is>
          <t>avverkningsanmälan</t>
        </is>
      </c>
      <c r="C937" t="inlineStr">
        <is>
          <t>Föryngringsavverkning</t>
        </is>
      </c>
      <c r="D937" s="1" t="n">
        <v>44725</v>
      </c>
      <c r="E937" s="1" t="n">
        <v>46309</v>
      </c>
      <c r="F937" t="inlineStr">
        <is>
          <t>UPPSALA LÄN</t>
        </is>
      </c>
      <c r="G937" t="inlineStr">
        <is>
          <t>HEBY</t>
        </is>
      </c>
      <c r="I937" t="n">
        <v>0.7</v>
      </c>
      <c r="J937" t="n">
        <v>0</v>
      </c>
      <c r="K937" t="n">
        <v>0</v>
      </c>
      <c r="L937" t="n">
        <v>0</v>
      </c>
      <c r="M937" t="n">
        <v>0</v>
      </c>
      <c r="N937" t="n">
        <v>0</v>
      </c>
      <c r="O937" t="n">
        <v>0</v>
      </c>
      <c r="P937" t="n">
        <v>0</v>
      </c>
      <c r="Q937" t="n">
        <v>0</v>
      </c>
      <c r="R937" t="n">
        <v>0</v>
      </c>
      <c r="S937" t="n">
        <v>0</v>
      </c>
      <c r="T937" t="n">
        <v>0</v>
      </c>
      <c r="U937" t="n">
        <v>0</v>
      </c>
      <c r="V937" s="2" t="inlineStr"/>
    </row>
    <row r="938" ht="15" customHeight="1">
      <c r="A938" t="inlineStr">
        <is>
          <t>A 72975-2021</t>
        </is>
      </c>
      <c r="B938" t="inlineStr">
        <is>
          <t>avverkningsanmälan</t>
        </is>
      </c>
      <c r="C938" t="inlineStr">
        <is>
          <t>Föryngringsavverkning</t>
        </is>
      </c>
      <c r="D938" s="1" t="n">
        <v>44548</v>
      </c>
      <c r="E938" s="1" t="n">
        <v>46309</v>
      </c>
      <c r="F938" t="inlineStr">
        <is>
          <t>UPPSALA LÄN</t>
        </is>
      </c>
      <c r="G938" t="inlineStr">
        <is>
          <t>TIERP</t>
        </is>
      </c>
      <c r="I938" t="n">
        <v>1.3</v>
      </c>
      <c r="J938" t="n">
        <v>0</v>
      </c>
      <c r="K938" t="n">
        <v>0</v>
      </c>
      <c r="L938" t="n">
        <v>0</v>
      </c>
      <c r="M938" t="n">
        <v>0</v>
      </c>
      <c r="N938" t="n">
        <v>0</v>
      </c>
      <c r="O938" t="n">
        <v>0</v>
      </c>
      <c r="P938" t="n">
        <v>0</v>
      </c>
      <c r="Q938" t="n">
        <v>0</v>
      </c>
      <c r="R938" t="n">
        <v>0</v>
      </c>
      <c r="S938" t="n">
        <v>0</v>
      </c>
      <c r="T938" t="n">
        <v>0</v>
      </c>
      <c r="U938" t="n">
        <v>0</v>
      </c>
      <c r="V938" s="2" t="inlineStr"/>
    </row>
    <row r="939" ht="15" customHeight="1">
      <c r="A939" t="inlineStr">
        <is>
          <t>A 73468-2021</t>
        </is>
      </c>
      <c r="B939" t="inlineStr">
        <is>
          <t>avverkningsanmälan</t>
        </is>
      </c>
      <c r="C939" t="inlineStr">
        <is>
          <t>Föryngringsavverkning</t>
        </is>
      </c>
      <c r="D939" s="1" t="n">
        <v>44551</v>
      </c>
      <c r="E939" s="1" t="n">
        <v>46309</v>
      </c>
      <c r="F939" t="inlineStr">
        <is>
          <t>UPPSALA LÄN</t>
        </is>
      </c>
      <c r="G939" t="inlineStr">
        <is>
          <t>UPPSALA</t>
        </is>
      </c>
      <c r="I939" t="n">
        <v>0.7</v>
      </c>
      <c r="J939" t="n">
        <v>0</v>
      </c>
      <c r="K939" t="n">
        <v>0</v>
      </c>
      <c r="L939" t="n">
        <v>0</v>
      </c>
      <c r="M939" t="n">
        <v>0</v>
      </c>
      <c r="N939" t="n">
        <v>0</v>
      </c>
      <c r="O939" t="n">
        <v>0</v>
      </c>
      <c r="P939" t="n">
        <v>0</v>
      </c>
      <c r="Q939" t="n">
        <v>0</v>
      </c>
      <c r="R939" t="n">
        <v>0</v>
      </c>
      <c r="S939" t="n">
        <v>0</v>
      </c>
      <c r="T939" t="n">
        <v>0</v>
      </c>
      <c r="U939" t="n">
        <v>0</v>
      </c>
      <c r="V939" s="2" t="inlineStr"/>
    </row>
    <row r="940" ht="15" customHeight="1">
      <c r="A940" t="inlineStr">
        <is>
          <t>A 66818-2021</t>
        </is>
      </c>
      <c r="B940" t="inlineStr">
        <is>
          <t>avverkningsanmälan</t>
        </is>
      </c>
      <c r="C940" t="inlineStr">
        <is>
          <t>Föryngringsavverkning</t>
        </is>
      </c>
      <c r="D940" s="1" t="n">
        <v>44522</v>
      </c>
      <c r="E940" s="1" t="n">
        <v>46309</v>
      </c>
      <c r="F940" t="inlineStr">
        <is>
          <t>UPPSALA LÄN</t>
        </is>
      </c>
      <c r="G940" t="inlineStr">
        <is>
          <t>HEBY</t>
        </is>
      </c>
      <c r="I940" t="n">
        <v>1</v>
      </c>
      <c r="J940" t="n">
        <v>0</v>
      </c>
      <c r="K940" t="n">
        <v>0</v>
      </c>
      <c r="L940" t="n">
        <v>0</v>
      </c>
      <c r="M940" t="n">
        <v>0</v>
      </c>
      <c r="N940" t="n">
        <v>0</v>
      </c>
      <c r="O940" t="n">
        <v>0</v>
      </c>
      <c r="P940" t="n">
        <v>0</v>
      </c>
      <c r="Q940" t="n">
        <v>0</v>
      </c>
      <c r="R940" t="n">
        <v>0</v>
      </c>
      <c r="S940" t="n">
        <v>0</v>
      </c>
      <c r="T940" t="n">
        <v>0</v>
      </c>
      <c r="U940" t="n">
        <v>0</v>
      </c>
      <c r="V940" s="2" t="inlineStr"/>
    </row>
    <row r="941" ht="15" customHeight="1">
      <c r="A941" t="inlineStr">
        <is>
          <t>A 27533-2022</t>
        </is>
      </c>
      <c r="B941" t="inlineStr">
        <is>
          <t>avverkningsanmälan</t>
        </is>
      </c>
      <c r="C941" t="inlineStr">
        <is>
          <t>Föryngringsavverkning</t>
        </is>
      </c>
      <c r="D941" s="1" t="n">
        <v>44742</v>
      </c>
      <c r="E941" s="1" t="n">
        <v>46309</v>
      </c>
      <c r="F941" t="inlineStr">
        <is>
          <t>UPPSALA LÄN</t>
        </is>
      </c>
      <c r="G941" t="inlineStr">
        <is>
          <t>TIERP</t>
        </is>
      </c>
      <c r="H941" t="inlineStr">
        <is>
          <t>Bergvik skog öst AB</t>
        </is>
      </c>
      <c r="I941" t="n">
        <v>0.6</v>
      </c>
      <c r="J941" t="n">
        <v>0</v>
      </c>
      <c r="K941" t="n">
        <v>0</v>
      </c>
      <c r="L941" t="n">
        <v>0</v>
      </c>
      <c r="M941" t="n">
        <v>0</v>
      </c>
      <c r="N941" t="n">
        <v>0</v>
      </c>
      <c r="O941" t="n">
        <v>0</v>
      </c>
      <c r="P941" t="n">
        <v>0</v>
      </c>
      <c r="Q941" t="n">
        <v>0</v>
      </c>
      <c r="R941" t="n">
        <v>0</v>
      </c>
      <c r="S941" t="n">
        <v>0</v>
      </c>
      <c r="T941" t="n">
        <v>0</v>
      </c>
      <c r="U941" t="n">
        <v>0</v>
      </c>
      <c r="V941" s="2" t="inlineStr"/>
    </row>
    <row r="942" ht="15" customHeight="1">
      <c r="A942" t="inlineStr">
        <is>
          <t>A 16184-2022</t>
        </is>
      </c>
      <c r="B942" t="inlineStr">
        <is>
          <t>avverkningsanmälan</t>
        </is>
      </c>
      <c r="C942" t="inlineStr">
        <is>
          <t>Föryngringsavverkning</t>
        </is>
      </c>
      <c r="D942" s="1" t="n">
        <v>44669</v>
      </c>
      <c r="E942" s="1" t="n">
        <v>46309</v>
      </c>
      <c r="F942" t="inlineStr">
        <is>
          <t>UPPSALA LÄN</t>
        </is>
      </c>
      <c r="G942" t="inlineStr">
        <is>
          <t>ÖSTHAMMAR</t>
        </is>
      </c>
      <c r="H942" t="inlineStr">
        <is>
          <t>Bergvik skog öst AB</t>
        </is>
      </c>
      <c r="I942" t="n">
        <v>0.8</v>
      </c>
      <c r="J942" t="n">
        <v>0</v>
      </c>
      <c r="K942" t="n">
        <v>0</v>
      </c>
      <c r="L942" t="n">
        <v>0</v>
      </c>
      <c r="M942" t="n">
        <v>0</v>
      </c>
      <c r="N942" t="n">
        <v>0</v>
      </c>
      <c r="O942" t="n">
        <v>0</v>
      </c>
      <c r="P942" t="n">
        <v>0</v>
      </c>
      <c r="Q942" t="n">
        <v>0</v>
      </c>
      <c r="R942" t="n">
        <v>0</v>
      </c>
      <c r="S942" t="n">
        <v>0</v>
      </c>
      <c r="T942" t="n">
        <v>0</v>
      </c>
      <c r="U942" t="n">
        <v>0</v>
      </c>
      <c r="V942" s="2" t="inlineStr"/>
    </row>
    <row r="943" ht="15" customHeight="1">
      <c r="A943" t="inlineStr">
        <is>
          <t>A 874-2022</t>
        </is>
      </c>
      <c r="B943" t="inlineStr">
        <is>
          <t>avverkningsanmälan</t>
        </is>
      </c>
      <c r="C943" t="inlineStr">
        <is>
          <t>Föryngringsavverkning</t>
        </is>
      </c>
      <c r="D943" s="1" t="n">
        <v>44571</v>
      </c>
      <c r="E943" s="1" t="n">
        <v>46309</v>
      </c>
      <c r="F943" t="inlineStr">
        <is>
          <t>UPPSALA LÄN</t>
        </is>
      </c>
      <c r="G943" t="inlineStr">
        <is>
          <t>UPPSALA</t>
        </is>
      </c>
      <c r="I943" t="n">
        <v>7.2</v>
      </c>
      <c r="J943" t="n">
        <v>0</v>
      </c>
      <c r="K943" t="n">
        <v>0</v>
      </c>
      <c r="L943" t="n">
        <v>0</v>
      </c>
      <c r="M943" t="n">
        <v>0</v>
      </c>
      <c r="N943" t="n">
        <v>0</v>
      </c>
      <c r="O943" t="n">
        <v>0</v>
      </c>
      <c r="P943" t="n">
        <v>0</v>
      </c>
      <c r="Q943" t="n">
        <v>0</v>
      </c>
      <c r="R943" t="n">
        <v>0</v>
      </c>
      <c r="S943" t="n">
        <v>0</v>
      </c>
      <c r="T943" t="n">
        <v>0</v>
      </c>
      <c r="U943" t="n">
        <v>0</v>
      </c>
      <c r="V943" s="2" t="inlineStr"/>
    </row>
    <row r="944" ht="15" customHeight="1">
      <c r="A944" t="inlineStr">
        <is>
          <t>A 18736-2022</t>
        </is>
      </c>
      <c r="B944" t="inlineStr">
        <is>
          <t>avverkningsanmälan</t>
        </is>
      </c>
      <c r="C944" t="inlineStr">
        <is>
          <t>Föryngringsavverkning</t>
        </is>
      </c>
      <c r="D944" s="1" t="n">
        <v>44687</v>
      </c>
      <c r="E944" s="1" t="n">
        <v>46309</v>
      </c>
      <c r="F944" t="inlineStr">
        <is>
          <t>UPPSALA LÄN</t>
        </is>
      </c>
      <c r="G944" t="inlineStr">
        <is>
          <t>ÖSTHAMMAR</t>
        </is>
      </c>
      <c r="H944" t="inlineStr">
        <is>
          <t>Bergvik skog öst AB</t>
        </is>
      </c>
      <c r="I944" t="n">
        <v>0.4</v>
      </c>
      <c r="J944" t="n">
        <v>0</v>
      </c>
      <c r="K944" t="n">
        <v>0</v>
      </c>
      <c r="L944" t="n">
        <v>0</v>
      </c>
      <c r="M944" t="n">
        <v>0</v>
      </c>
      <c r="N944" t="n">
        <v>0</v>
      </c>
      <c r="O944" t="n">
        <v>0</v>
      </c>
      <c r="P944" t="n">
        <v>0</v>
      </c>
      <c r="Q944" t="n">
        <v>0</v>
      </c>
      <c r="R944" t="n">
        <v>0</v>
      </c>
      <c r="S944" t="n">
        <v>0</v>
      </c>
      <c r="T944" t="n">
        <v>0</v>
      </c>
      <c r="U944" t="n">
        <v>0</v>
      </c>
      <c r="V944" s="2" t="inlineStr"/>
    </row>
    <row r="945" ht="15" customHeight="1">
      <c r="A945" t="inlineStr">
        <is>
          <t>A 18820-2022</t>
        </is>
      </c>
      <c r="B945" t="inlineStr">
        <is>
          <t>avverkningsanmälan</t>
        </is>
      </c>
      <c r="C945" t="inlineStr">
        <is>
          <t>Föryngringsavverkning</t>
        </is>
      </c>
      <c r="D945" s="1" t="n">
        <v>44690</v>
      </c>
      <c r="E945" s="1" t="n">
        <v>46309</v>
      </c>
      <c r="F945" t="inlineStr">
        <is>
          <t>UPPSALA LÄN</t>
        </is>
      </c>
      <c r="G945" t="inlineStr">
        <is>
          <t>KNIVSTA</t>
        </is>
      </c>
      <c r="I945" t="n">
        <v>0.9</v>
      </c>
      <c r="J945" t="n">
        <v>0</v>
      </c>
      <c r="K945" t="n">
        <v>0</v>
      </c>
      <c r="L945" t="n">
        <v>0</v>
      </c>
      <c r="M945" t="n">
        <v>0</v>
      </c>
      <c r="N945" t="n">
        <v>0</v>
      </c>
      <c r="O945" t="n">
        <v>0</v>
      </c>
      <c r="P945" t="n">
        <v>0</v>
      </c>
      <c r="Q945" t="n">
        <v>0</v>
      </c>
      <c r="R945" t="n">
        <v>0</v>
      </c>
      <c r="S945" t="n">
        <v>0</v>
      </c>
      <c r="T945" t="n">
        <v>0</v>
      </c>
      <c r="U945" t="n">
        <v>0</v>
      </c>
      <c r="V945" s="2" t="inlineStr"/>
    </row>
    <row r="946" ht="15" customHeight="1">
      <c r="A946" t="inlineStr">
        <is>
          <t>A 42859-2022</t>
        </is>
      </c>
      <c r="B946" t="inlineStr">
        <is>
          <t>avverkningsanmälan</t>
        </is>
      </c>
      <c r="C946" t="inlineStr">
        <is>
          <t>Föryngringsavverkning</t>
        </is>
      </c>
      <c r="D946" s="1" t="n">
        <v>44832</v>
      </c>
      <c r="E946" s="1" t="n">
        <v>46309</v>
      </c>
      <c r="F946" t="inlineStr">
        <is>
          <t>UPPSALA LÄN</t>
        </is>
      </c>
      <c r="G946" t="inlineStr">
        <is>
          <t>HEBY</t>
        </is>
      </c>
      <c r="I946" t="n">
        <v>2.1</v>
      </c>
      <c r="J946" t="n">
        <v>0</v>
      </c>
      <c r="K946" t="n">
        <v>0</v>
      </c>
      <c r="L946" t="n">
        <v>0</v>
      </c>
      <c r="M946" t="n">
        <v>0</v>
      </c>
      <c r="N946" t="n">
        <v>0</v>
      </c>
      <c r="O946" t="n">
        <v>0</v>
      </c>
      <c r="P946" t="n">
        <v>0</v>
      </c>
      <c r="Q946" t="n">
        <v>0</v>
      </c>
      <c r="R946" t="n">
        <v>0</v>
      </c>
      <c r="S946" t="n">
        <v>0</v>
      </c>
      <c r="T946" t="n">
        <v>0</v>
      </c>
      <c r="U946" t="n">
        <v>0</v>
      </c>
      <c r="V946" s="2" t="inlineStr"/>
    </row>
    <row r="947" ht="15" customHeight="1">
      <c r="A947" t="inlineStr">
        <is>
          <t>A 11693-2022</t>
        </is>
      </c>
      <c r="B947" t="inlineStr">
        <is>
          <t>avverkningsanmälan</t>
        </is>
      </c>
      <c r="C947" t="inlineStr">
        <is>
          <t>Föryngringsavverkning</t>
        </is>
      </c>
      <c r="D947" s="1" t="n">
        <v>44634</v>
      </c>
      <c r="E947" s="1" t="n">
        <v>46309</v>
      </c>
      <c r="F947" t="inlineStr">
        <is>
          <t>UPPSALA LÄN</t>
        </is>
      </c>
      <c r="G947" t="inlineStr">
        <is>
          <t>UPPSALA</t>
        </is>
      </c>
      <c r="I947" t="n">
        <v>4</v>
      </c>
      <c r="J947" t="n">
        <v>0</v>
      </c>
      <c r="K947" t="n">
        <v>0</v>
      </c>
      <c r="L947" t="n">
        <v>0</v>
      </c>
      <c r="M947" t="n">
        <v>0</v>
      </c>
      <c r="N947" t="n">
        <v>0</v>
      </c>
      <c r="O947" t="n">
        <v>0</v>
      </c>
      <c r="P947" t="n">
        <v>0</v>
      </c>
      <c r="Q947" t="n">
        <v>0</v>
      </c>
      <c r="R947" t="n">
        <v>0</v>
      </c>
      <c r="S947" t="n">
        <v>0</v>
      </c>
      <c r="T947" t="n">
        <v>0</v>
      </c>
      <c r="U947" t="n">
        <v>0</v>
      </c>
      <c r="V947" s="2" t="inlineStr"/>
    </row>
    <row r="948" ht="15" customHeight="1">
      <c r="A948" t="inlineStr">
        <is>
          <t>A 28620-2022</t>
        </is>
      </c>
      <c r="B948" t="inlineStr">
        <is>
          <t>avverkningsanmälan</t>
        </is>
      </c>
      <c r="C948" t="inlineStr">
        <is>
          <t>Föryngringsavverkning</t>
        </is>
      </c>
      <c r="D948" s="1" t="n">
        <v>44748</v>
      </c>
      <c r="E948" s="1" t="n">
        <v>46309</v>
      </c>
      <c r="F948" t="inlineStr">
        <is>
          <t>UPPSALA LÄN</t>
        </is>
      </c>
      <c r="G948" t="inlineStr">
        <is>
          <t>HEBY</t>
        </is>
      </c>
      <c r="I948" t="n">
        <v>1</v>
      </c>
      <c r="J948" t="n">
        <v>0</v>
      </c>
      <c r="K948" t="n">
        <v>0</v>
      </c>
      <c r="L948" t="n">
        <v>0</v>
      </c>
      <c r="M948" t="n">
        <v>0</v>
      </c>
      <c r="N948" t="n">
        <v>0</v>
      </c>
      <c r="O948" t="n">
        <v>0</v>
      </c>
      <c r="P948" t="n">
        <v>0</v>
      </c>
      <c r="Q948" t="n">
        <v>0</v>
      </c>
      <c r="R948" t="n">
        <v>0</v>
      </c>
      <c r="S948" t="n">
        <v>0</v>
      </c>
      <c r="T948" t="n">
        <v>0</v>
      </c>
      <c r="U948" t="n">
        <v>0</v>
      </c>
      <c r="V948" s="2" t="inlineStr"/>
    </row>
    <row r="949" ht="15" customHeight="1">
      <c r="A949" t="inlineStr">
        <is>
          <t>A 7871-2022</t>
        </is>
      </c>
      <c r="B949" t="inlineStr">
        <is>
          <t>avverkningsanmälan</t>
        </is>
      </c>
      <c r="C949" t="inlineStr">
        <is>
          <t>Föryngringsavverkning</t>
        </is>
      </c>
      <c r="D949" s="1" t="n">
        <v>44608</v>
      </c>
      <c r="E949" s="1" t="n">
        <v>46309</v>
      </c>
      <c r="F949" t="inlineStr">
        <is>
          <t>UPPSALA LÄN</t>
        </is>
      </c>
      <c r="G949" t="inlineStr">
        <is>
          <t>ÖSTHAMMAR</t>
        </is>
      </c>
      <c r="I949" t="n">
        <v>1.1</v>
      </c>
      <c r="J949" t="n">
        <v>0</v>
      </c>
      <c r="K949" t="n">
        <v>0</v>
      </c>
      <c r="L949" t="n">
        <v>0</v>
      </c>
      <c r="M949" t="n">
        <v>0</v>
      </c>
      <c r="N949" t="n">
        <v>0</v>
      </c>
      <c r="O949" t="n">
        <v>0</v>
      </c>
      <c r="P949" t="n">
        <v>0</v>
      </c>
      <c r="Q949" t="n">
        <v>0</v>
      </c>
      <c r="R949" t="n">
        <v>0</v>
      </c>
      <c r="S949" t="n">
        <v>0</v>
      </c>
      <c r="T949" t="n">
        <v>0</v>
      </c>
      <c r="U949" t="n">
        <v>0</v>
      </c>
      <c r="V949" s="2" t="inlineStr"/>
    </row>
    <row r="950" ht="15" customHeight="1">
      <c r="A950" t="inlineStr">
        <is>
          <t>A 24817-2022</t>
        </is>
      </c>
      <c r="B950" t="inlineStr">
        <is>
          <t>avverkningsanmälan</t>
        </is>
      </c>
      <c r="C950" t="inlineStr">
        <is>
          <t>Avverkning för annat ändamål</t>
        </is>
      </c>
      <c r="D950" s="1" t="n">
        <v>44728</v>
      </c>
      <c r="E950" s="1" t="n">
        <v>46309</v>
      </c>
      <c r="F950" t="inlineStr">
        <is>
          <t>UPPSALA LÄN</t>
        </is>
      </c>
      <c r="G950" t="inlineStr">
        <is>
          <t>ÖSTHAMMAR</t>
        </is>
      </c>
      <c r="H950" t="inlineStr">
        <is>
          <t>Sveaskog</t>
        </is>
      </c>
      <c r="I950" t="n">
        <v>0.2</v>
      </c>
      <c r="J950" t="n">
        <v>0</v>
      </c>
      <c r="K950" t="n">
        <v>0</v>
      </c>
      <c r="L950" t="n">
        <v>0</v>
      </c>
      <c r="M950" t="n">
        <v>0</v>
      </c>
      <c r="N950" t="n">
        <v>0</v>
      </c>
      <c r="O950" t="n">
        <v>0</v>
      </c>
      <c r="P950" t="n">
        <v>0</v>
      </c>
      <c r="Q950" t="n">
        <v>0</v>
      </c>
      <c r="R950" t="n">
        <v>0</v>
      </c>
      <c r="S950" t="n">
        <v>0</v>
      </c>
      <c r="T950" t="n">
        <v>0</v>
      </c>
      <c r="U950" t="n">
        <v>0</v>
      </c>
      <c r="V950" s="2" t="inlineStr"/>
    </row>
    <row r="951" ht="15" customHeight="1">
      <c r="A951" t="inlineStr">
        <is>
          <t>A 33286-2022</t>
        </is>
      </c>
      <c r="B951" t="inlineStr">
        <is>
          <t>avverkningsanmälan</t>
        </is>
      </c>
      <c r="C951" t="inlineStr">
        <is>
          <t>Avverkning för annat ändamål</t>
        </is>
      </c>
      <c r="D951" s="1" t="n">
        <v>44788</v>
      </c>
      <c r="E951" s="1" t="n">
        <v>46309</v>
      </c>
      <c r="F951" t="inlineStr">
        <is>
          <t>UPPSALA LÄN</t>
        </is>
      </c>
      <c r="G951" t="inlineStr">
        <is>
          <t>TIERP</t>
        </is>
      </c>
      <c r="I951" t="n">
        <v>0.5</v>
      </c>
      <c r="J951" t="n">
        <v>0</v>
      </c>
      <c r="K951" t="n">
        <v>0</v>
      </c>
      <c r="L951" t="n">
        <v>0</v>
      </c>
      <c r="M951" t="n">
        <v>0</v>
      </c>
      <c r="N951" t="n">
        <v>0</v>
      </c>
      <c r="O951" t="n">
        <v>0</v>
      </c>
      <c r="P951" t="n">
        <v>0</v>
      </c>
      <c r="Q951" t="n">
        <v>0</v>
      </c>
      <c r="R951" t="n">
        <v>0</v>
      </c>
      <c r="S951" t="n">
        <v>0</v>
      </c>
      <c r="T951" t="n">
        <v>0</v>
      </c>
      <c r="U951" t="n">
        <v>0</v>
      </c>
      <c r="V951" s="2" t="inlineStr"/>
    </row>
    <row r="952" ht="15" customHeight="1">
      <c r="A952" t="inlineStr">
        <is>
          <t>A 51906-2022</t>
        </is>
      </c>
      <c r="B952" t="inlineStr">
        <is>
          <t>avverkningsanmälan</t>
        </is>
      </c>
      <c r="C952" t="inlineStr">
        <is>
          <t>Föryngringsavverkning</t>
        </is>
      </c>
      <c r="D952" s="1" t="n">
        <v>44872</v>
      </c>
      <c r="E952" s="1" t="n">
        <v>46309</v>
      </c>
      <c r="F952" t="inlineStr">
        <is>
          <t>UPPSALA LÄN</t>
        </is>
      </c>
      <c r="G952" t="inlineStr">
        <is>
          <t>ÖSTHAMMAR</t>
        </is>
      </c>
      <c r="I952" t="n">
        <v>0.4</v>
      </c>
      <c r="J952" t="n">
        <v>0</v>
      </c>
      <c r="K952" t="n">
        <v>0</v>
      </c>
      <c r="L952" t="n">
        <v>0</v>
      </c>
      <c r="M952" t="n">
        <v>0</v>
      </c>
      <c r="N952" t="n">
        <v>0</v>
      </c>
      <c r="O952" t="n">
        <v>0</v>
      </c>
      <c r="P952" t="n">
        <v>0</v>
      </c>
      <c r="Q952" t="n">
        <v>0</v>
      </c>
      <c r="R952" t="n">
        <v>0</v>
      </c>
      <c r="S952" t="n">
        <v>0</v>
      </c>
      <c r="T952" t="n">
        <v>0</v>
      </c>
      <c r="U952" t="n">
        <v>0</v>
      </c>
      <c r="V952" s="2" t="inlineStr"/>
    </row>
    <row r="953" ht="15" customHeight="1">
      <c r="A953" t="inlineStr">
        <is>
          <t>A 20265-2022</t>
        </is>
      </c>
      <c r="B953" t="inlineStr">
        <is>
          <t>avverkningsanmälan</t>
        </is>
      </c>
      <c r="C953" t="inlineStr">
        <is>
          <t>Föryngringsavverkning</t>
        </is>
      </c>
      <c r="D953" s="1" t="n">
        <v>44698</v>
      </c>
      <c r="E953" s="1" t="n">
        <v>46309</v>
      </c>
      <c r="F953" t="inlineStr">
        <is>
          <t>UPPSALA LÄN</t>
        </is>
      </c>
      <c r="G953" t="inlineStr">
        <is>
          <t>UPPSALA</t>
        </is>
      </c>
      <c r="H953" t="inlineStr">
        <is>
          <t>Bergvik skog öst AB</t>
        </is>
      </c>
      <c r="I953" t="n">
        <v>1.6</v>
      </c>
      <c r="J953" t="n">
        <v>0</v>
      </c>
      <c r="K953" t="n">
        <v>0</v>
      </c>
      <c r="L953" t="n">
        <v>0</v>
      </c>
      <c r="M953" t="n">
        <v>0</v>
      </c>
      <c r="N953" t="n">
        <v>0</v>
      </c>
      <c r="O953" t="n">
        <v>0</v>
      </c>
      <c r="P953" t="n">
        <v>0</v>
      </c>
      <c r="Q953" t="n">
        <v>0</v>
      </c>
      <c r="R953" t="n">
        <v>0</v>
      </c>
      <c r="S953" t="n">
        <v>0</v>
      </c>
      <c r="T953" t="n">
        <v>0</v>
      </c>
      <c r="U953" t="n">
        <v>0</v>
      </c>
      <c r="V953" s="2" t="inlineStr"/>
    </row>
    <row r="954" ht="15" customHeight="1">
      <c r="A954" t="inlineStr">
        <is>
          <t>A 24883-2022</t>
        </is>
      </c>
      <c r="B954" t="inlineStr">
        <is>
          <t>avverkningsanmälan</t>
        </is>
      </c>
      <c r="C954" t="inlineStr">
        <is>
          <t>Föryngringsavverkning</t>
        </is>
      </c>
      <c r="D954" s="1" t="n">
        <v>44728</v>
      </c>
      <c r="E954" s="1" t="n">
        <v>46309</v>
      </c>
      <c r="F954" t="inlineStr">
        <is>
          <t>UPPSALA LÄN</t>
        </is>
      </c>
      <c r="G954" t="inlineStr">
        <is>
          <t>ENKÖPING</t>
        </is>
      </c>
      <c r="I954" t="n">
        <v>2.5</v>
      </c>
      <c r="J954" t="n">
        <v>0</v>
      </c>
      <c r="K954" t="n">
        <v>0</v>
      </c>
      <c r="L954" t="n">
        <v>0</v>
      </c>
      <c r="M954" t="n">
        <v>0</v>
      </c>
      <c r="N954" t="n">
        <v>0</v>
      </c>
      <c r="O954" t="n">
        <v>0</v>
      </c>
      <c r="P954" t="n">
        <v>0</v>
      </c>
      <c r="Q954" t="n">
        <v>0</v>
      </c>
      <c r="R954" t="n">
        <v>0</v>
      </c>
      <c r="S954" t="n">
        <v>0</v>
      </c>
      <c r="T954" t="n">
        <v>0</v>
      </c>
      <c r="U954" t="n">
        <v>0</v>
      </c>
      <c r="V954" s="2" t="inlineStr"/>
    </row>
    <row r="955" ht="15" customHeight="1">
      <c r="A955" t="inlineStr">
        <is>
          <t>A 5996-2022</t>
        </is>
      </c>
      <c r="B955" t="inlineStr">
        <is>
          <t>avverkningsanmälan</t>
        </is>
      </c>
      <c r="C955" t="inlineStr">
        <is>
          <t>Föryngringsavverkning</t>
        </is>
      </c>
      <c r="D955" s="1" t="n">
        <v>44599</v>
      </c>
      <c r="E955" s="1" t="n">
        <v>46309</v>
      </c>
      <c r="F955" t="inlineStr">
        <is>
          <t>UPPSALA LÄN</t>
        </is>
      </c>
      <c r="G955" t="inlineStr">
        <is>
          <t>UPPSALA</t>
        </is>
      </c>
      <c r="I955" t="n">
        <v>0.6</v>
      </c>
      <c r="J955" t="n">
        <v>0</v>
      </c>
      <c r="K955" t="n">
        <v>0</v>
      </c>
      <c r="L955" t="n">
        <v>0</v>
      </c>
      <c r="M955" t="n">
        <v>0</v>
      </c>
      <c r="N955" t="n">
        <v>0</v>
      </c>
      <c r="O955" t="n">
        <v>0</v>
      </c>
      <c r="P955" t="n">
        <v>0</v>
      </c>
      <c r="Q955" t="n">
        <v>0</v>
      </c>
      <c r="R955" t="n">
        <v>0</v>
      </c>
      <c r="S955" t="n">
        <v>0</v>
      </c>
      <c r="T955" t="n">
        <v>0</v>
      </c>
      <c r="U955" t="n">
        <v>0</v>
      </c>
      <c r="V955" s="2" t="inlineStr"/>
    </row>
    <row r="956" ht="15" customHeight="1">
      <c r="A956" t="inlineStr">
        <is>
          <t>A 50092-2022</t>
        </is>
      </c>
      <c r="B956" t="inlineStr">
        <is>
          <t>avverkningsanmälan</t>
        </is>
      </c>
      <c r="C956" t="inlineStr">
        <is>
          <t>Föryngringsavverkning</t>
        </is>
      </c>
      <c r="D956" s="1" t="n">
        <v>44865</v>
      </c>
      <c r="E956" s="1" t="n">
        <v>46309</v>
      </c>
      <c r="F956" t="inlineStr">
        <is>
          <t>UPPSALA LÄN</t>
        </is>
      </c>
      <c r="G956" t="inlineStr">
        <is>
          <t>UPPSALA</t>
        </is>
      </c>
      <c r="I956" t="n">
        <v>1.1</v>
      </c>
      <c r="J956" t="n">
        <v>0</v>
      </c>
      <c r="K956" t="n">
        <v>0</v>
      </c>
      <c r="L956" t="n">
        <v>0</v>
      </c>
      <c r="M956" t="n">
        <v>0</v>
      </c>
      <c r="N956" t="n">
        <v>0</v>
      </c>
      <c r="O956" t="n">
        <v>0</v>
      </c>
      <c r="P956" t="n">
        <v>0</v>
      </c>
      <c r="Q956" t="n">
        <v>0</v>
      </c>
      <c r="R956" t="n">
        <v>0</v>
      </c>
      <c r="S956" t="n">
        <v>0</v>
      </c>
      <c r="T956" t="n">
        <v>0</v>
      </c>
      <c r="U956" t="n">
        <v>0</v>
      </c>
      <c r="V956" s="2" t="inlineStr"/>
    </row>
    <row r="957" ht="15" customHeight="1">
      <c r="A957" t="inlineStr">
        <is>
          <t>A 31182-2022</t>
        </is>
      </c>
      <c r="B957" t="inlineStr">
        <is>
          <t>avverkningsanmälan</t>
        </is>
      </c>
      <c r="C957" t="inlineStr">
        <is>
          <t>Föryngringsavverkning</t>
        </is>
      </c>
      <c r="D957" s="1" t="n">
        <v>44770</v>
      </c>
      <c r="E957" s="1" t="n">
        <v>46309</v>
      </c>
      <c r="F957" t="inlineStr">
        <is>
          <t>UPPSALA LÄN</t>
        </is>
      </c>
      <c r="G957" t="inlineStr">
        <is>
          <t>ÖSTHAMMAR</t>
        </is>
      </c>
      <c r="H957" t="inlineStr">
        <is>
          <t>Bergvik skog öst AB</t>
        </is>
      </c>
      <c r="I957" t="n">
        <v>0.3</v>
      </c>
      <c r="J957" t="n">
        <v>0</v>
      </c>
      <c r="K957" t="n">
        <v>0</v>
      </c>
      <c r="L957" t="n">
        <v>0</v>
      </c>
      <c r="M957" t="n">
        <v>0</v>
      </c>
      <c r="N957" t="n">
        <v>0</v>
      </c>
      <c r="O957" t="n">
        <v>0</v>
      </c>
      <c r="P957" t="n">
        <v>0</v>
      </c>
      <c r="Q957" t="n">
        <v>0</v>
      </c>
      <c r="R957" t="n">
        <v>0</v>
      </c>
      <c r="S957" t="n">
        <v>0</v>
      </c>
      <c r="T957" t="n">
        <v>0</v>
      </c>
      <c r="U957" t="n">
        <v>0</v>
      </c>
      <c r="V957" s="2" t="inlineStr"/>
    </row>
    <row r="958" ht="15" customHeight="1">
      <c r="A958" t="inlineStr">
        <is>
          <t>A 26534-2022</t>
        </is>
      </c>
      <c r="B958" t="inlineStr">
        <is>
          <t>avverkningsanmälan</t>
        </is>
      </c>
      <c r="C958" t="inlineStr">
        <is>
          <t>Föryngringsavverkning</t>
        </is>
      </c>
      <c r="D958" s="1" t="n">
        <v>44739</v>
      </c>
      <c r="E958" s="1" t="n">
        <v>46309</v>
      </c>
      <c r="F958" t="inlineStr">
        <is>
          <t>UPPSALA LÄN</t>
        </is>
      </c>
      <c r="G958" t="inlineStr">
        <is>
          <t>ÖSTHAMMAR</t>
        </is>
      </c>
      <c r="H958" t="inlineStr">
        <is>
          <t>Övriga statliga verk och myndigheter</t>
        </is>
      </c>
      <c r="I958" t="n">
        <v>0.6</v>
      </c>
      <c r="J958" t="n">
        <v>0</v>
      </c>
      <c r="K958" t="n">
        <v>0</v>
      </c>
      <c r="L958" t="n">
        <v>0</v>
      </c>
      <c r="M958" t="n">
        <v>0</v>
      </c>
      <c r="N958" t="n">
        <v>0</v>
      </c>
      <c r="O958" t="n">
        <v>0</v>
      </c>
      <c r="P958" t="n">
        <v>0</v>
      </c>
      <c r="Q958" t="n">
        <v>0</v>
      </c>
      <c r="R958" t="n">
        <v>0</v>
      </c>
      <c r="S958" t="n">
        <v>0</v>
      </c>
      <c r="T958" t="n">
        <v>0</v>
      </c>
      <c r="U958" t="n">
        <v>0</v>
      </c>
      <c r="V958" s="2" t="inlineStr"/>
    </row>
    <row r="959" ht="15" customHeight="1">
      <c r="A959" t="inlineStr">
        <is>
          <t>A 13650-2022</t>
        </is>
      </c>
      <c r="B959" t="inlineStr">
        <is>
          <t>avverkningsanmälan</t>
        </is>
      </c>
      <c r="C959" t="inlineStr">
        <is>
          <t>Föryngringsavverkning</t>
        </is>
      </c>
      <c r="D959" s="1" t="n">
        <v>44648</v>
      </c>
      <c r="E959" s="1" t="n">
        <v>46309</v>
      </c>
      <c r="F959" t="inlineStr">
        <is>
          <t>UPPSALA LÄN</t>
        </is>
      </c>
      <c r="G959" t="inlineStr">
        <is>
          <t>TIERP</t>
        </is>
      </c>
      <c r="I959" t="n">
        <v>1.2</v>
      </c>
      <c r="J959" t="n">
        <v>0</v>
      </c>
      <c r="K959" t="n">
        <v>0</v>
      </c>
      <c r="L959" t="n">
        <v>0</v>
      </c>
      <c r="M959" t="n">
        <v>0</v>
      </c>
      <c r="N959" t="n">
        <v>0</v>
      </c>
      <c r="O959" t="n">
        <v>0</v>
      </c>
      <c r="P959" t="n">
        <v>0</v>
      </c>
      <c r="Q959" t="n">
        <v>0</v>
      </c>
      <c r="R959" t="n">
        <v>0</v>
      </c>
      <c r="S959" t="n">
        <v>0</v>
      </c>
      <c r="T959" t="n">
        <v>0</v>
      </c>
      <c r="U959" t="n">
        <v>0</v>
      </c>
      <c r="V959" s="2" t="inlineStr"/>
    </row>
    <row r="960" ht="15" customHeight="1">
      <c r="A960" t="inlineStr">
        <is>
          <t>A 13656-2022</t>
        </is>
      </c>
      <c r="B960" t="inlineStr">
        <is>
          <t>avverkningsanmälan</t>
        </is>
      </c>
      <c r="C960" t="inlineStr">
        <is>
          <t>Föryngringsavverkning</t>
        </is>
      </c>
      <c r="D960" s="1" t="n">
        <v>44648</v>
      </c>
      <c r="E960" s="1" t="n">
        <v>46309</v>
      </c>
      <c r="F960" t="inlineStr">
        <is>
          <t>UPPSALA LÄN</t>
        </is>
      </c>
      <c r="G960" t="inlineStr">
        <is>
          <t>TIERP</t>
        </is>
      </c>
      <c r="I960" t="n">
        <v>0.7</v>
      </c>
      <c r="J960" t="n">
        <v>0</v>
      </c>
      <c r="K960" t="n">
        <v>0</v>
      </c>
      <c r="L960" t="n">
        <v>0</v>
      </c>
      <c r="M960" t="n">
        <v>0</v>
      </c>
      <c r="N960" t="n">
        <v>0</v>
      </c>
      <c r="O960" t="n">
        <v>0</v>
      </c>
      <c r="P960" t="n">
        <v>0</v>
      </c>
      <c r="Q960" t="n">
        <v>0</v>
      </c>
      <c r="R960" t="n">
        <v>0</v>
      </c>
      <c r="S960" t="n">
        <v>0</v>
      </c>
      <c r="T960" t="n">
        <v>0</v>
      </c>
      <c r="U960" t="n">
        <v>0</v>
      </c>
      <c r="V960" s="2" t="inlineStr"/>
    </row>
    <row r="961" ht="15" customHeight="1">
      <c r="A961" t="inlineStr">
        <is>
          <t>A 5081-2022</t>
        </is>
      </c>
      <c r="B961" t="inlineStr">
        <is>
          <t>avverkningsanmälan</t>
        </is>
      </c>
      <c r="C961" t="inlineStr">
        <is>
          <t>Föryngringsavverkning</t>
        </is>
      </c>
      <c r="D961" s="1" t="n">
        <v>44593</v>
      </c>
      <c r="E961" s="1" t="n">
        <v>46309</v>
      </c>
      <c r="F961" t="inlineStr">
        <is>
          <t>UPPSALA LÄN</t>
        </is>
      </c>
      <c r="G961" t="inlineStr">
        <is>
          <t>UPPSALA</t>
        </is>
      </c>
      <c r="I961" t="n">
        <v>3</v>
      </c>
      <c r="J961" t="n">
        <v>0</v>
      </c>
      <c r="K961" t="n">
        <v>0</v>
      </c>
      <c r="L961" t="n">
        <v>0</v>
      </c>
      <c r="M961" t="n">
        <v>0</v>
      </c>
      <c r="N961" t="n">
        <v>0</v>
      </c>
      <c r="O961" t="n">
        <v>0</v>
      </c>
      <c r="P961" t="n">
        <v>0</v>
      </c>
      <c r="Q961" t="n">
        <v>0</v>
      </c>
      <c r="R961" t="n">
        <v>0</v>
      </c>
      <c r="S961" t="n">
        <v>0</v>
      </c>
      <c r="T961" t="n">
        <v>0</v>
      </c>
      <c r="U961" t="n">
        <v>0</v>
      </c>
      <c r="V961" s="2" t="inlineStr"/>
    </row>
    <row r="962" ht="15" customHeight="1">
      <c r="A962" t="inlineStr">
        <is>
          <t>A 59378-2021</t>
        </is>
      </c>
      <c r="B962" t="inlineStr">
        <is>
          <t>avverkningsanmälan</t>
        </is>
      </c>
      <c r="C962" t="inlineStr">
        <is>
          <t>Föryngringsavverkning</t>
        </is>
      </c>
      <c r="D962" s="1" t="n">
        <v>44491</v>
      </c>
      <c r="E962" s="1" t="n">
        <v>46309</v>
      </c>
      <c r="F962" t="inlineStr">
        <is>
          <t>UPPSALA LÄN</t>
        </is>
      </c>
      <c r="G962" t="inlineStr">
        <is>
          <t>TIERP</t>
        </is>
      </c>
      <c r="H962" t="inlineStr">
        <is>
          <t>Bergvik skog öst AB</t>
        </is>
      </c>
      <c r="I962" t="n">
        <v>0.5</v>
      </c>
      <c r="J962" t="n">
        <v>0</v>
      </c>
      <c r="K962" t="n">
        <v>0</v>
      </c>
      <c r="L962" t="n">
        <v>0</v>
      </c>
      <c r="M962" t="n">
        <v>0</v>
      </c>
      <c r="N962" t="n">
        <v>0</v>
      </c>
      <c r="O962" t="n">
        <v>0</v>
      </c>
      <c r="P962" t="n">
        <v>0</v>
      </c>
      <c r="Q962" t="n">
        <v>0</v>
      </c>
      <c r="R962" t="n">
        <v>0</v>
      </c>
      <c r="S962" t="n">
        <v>0</v>
      </c>
      <c r="T962" t="n">
        <v>0</v>
      </c>
      <c r="U962" t="n">
        <v>0</v>
      </c>
      <c r="V962" s="2" t="inlineStr"/>
    </row>
    <row r="963" ht="15" customHeight="1">
      <c r="A963" t="inlineStr">
        <is>
          <t>A 60032-2021</t>
        </is>
      </c>
      <c r="B963" t="inlineStr">
        <is>
          <t>avverkningsanmälan</t>
        </is>
      </c>
      <c r="C963" t="inlineStr">
        <is>
          <t>Föryngringsavverkning</t>
        </is>
      </c>
      <c r="D963" s="1" t="n">
        <v>44495</v>
      </c>
      <c r="E963" s="1" t="n">
        <v>46309</v>
      </c>
      <c r="F963" t="inlineStr">
        <is>
          <t>UPPSALA LÄN</t>
        </is>
      </c>
      <c r="G963" t="inlineStr">
        <is>
          <t>UPPSALA</t>
        </is>
      </c>
      <c r="I963" t="n">
        <v>1.8</v>
      </c>
      <c r="J963" t="n">
        <v>0</v>
      </c>
      <c r="K963" t="n">
        <v>0</v>
      </c>
      <c r="L963" t="n">
        <v>0</v>
      </c>
      <c r="M963" t="n">
        <v>0</v>
      </c>
      <c r="N963" t="n">
        <v>0</v>
      </c>
      <c r="O963" t="n">
        <v>0</v>
      </c>
      <c r="P963" t="n">
        <v>0</v>
      </c>
      <c r="Q963" t="n">
        <v>0</v>
      </c>
      <c r="R963" t="n">
        <v>0</v>
      </c>
      <c r="S963" t="n">
        <v>0</v>
      </c>
      <c r="T963" t="n">
        <v>0</v>
      </c>
      <c r="U963" t="n">
        <v>0</v>
      </c>
      <c r="V963" s="2" t="inlineStr"/>
    </row>
    <row r="964" ht="15" customHeight="1">
      <c r="A964" t="inlineStr">
        <is>
          <t>A 71643-2021</t>
        </is>
      </c>
      <c r="B964" t="inlineStr">
        <is>
          <t>avverkningsanmälan</t>
        </is>
      </c>
      <c r="C964" t="inlineStr">
        <is>
          <t>Föryngringsavverkning</t>
        </is>
      </c>
      <c r="D964" s="1" t="n">
        <v>44543</v>
      </c>
      <c r="E964" s="1" t="n">
        <v>46309</v>
      </c>
      <c r="F964" t="inlineStr">
        <is>
          <t>UPPSALA LÄN</t>
        </is>
      </c>
      <c r="G964" t="inlineStr">
        <is>
          <t>UPPSALA</t>
        </is>
      </c>
      <c r="I964" t="n">
        <v>3</v>
      </c>
      <c r="J964" t="n">
        <v>0</v>
      </c>
      <c r="K964" t="n">
        <v>0</v>
      </c>
      <c r="L964" t="n">
        <v>0</v>
      </c>
      <c r="M964" t="n">
        <v>0</v>
      </c>
      <c r="N964" t="n">
        <v>0</v>
      </c>
      <c r="O964" t="n">
        <v>0</v>
      </c>
      <c r="P964" t="n">
        <v>0</v>
      </c>
      <c r="Q964" t="n">
        <v>0</v>
      </c>
      <c r="R964" t="n">
        <v>0</v>
      </c>
      <c r="S964" t="n">
        <v>0</v>
      </c>
      <c r="T964" t="n">
        <v>0</v>
      </c>
      <c r="U964" t="n">
        <v>0</v>
      </c>
      <c r="V964" s="2" t="inlineStr"/>
    </row>
    <row r="965" ht="15" customHeight="1">
      <c r="A965" t="inlineStr">
        <is>
          <t>A 12194-2022</t>
        </is>
      </c>
      <c r="B965" t="inlineStr">
        <is>
          <t>avverkningsanmälan</t>
        </is>
      </c>
      <c r="C965" t="inlineStr">
        <is>
          <t>Föryngringsavverkning</t>
        </is>
      </c>
      <c r="D965" s="1" t="n">
        <v>44636</v>
      </c>
      <c r="E965" s="1" t="n">
        <v>46309</v>
      </c>
      <c r="F965" t="inlineStr">
        <is>
          <t>UPPSALA LÄN</t>
        </is>
      </c>
      <c r="G965" t="inlineStr">
        <is>
          <t>TIERP</t>
        </is>
      </c>
      <c r="I965" t="n">
        <v>0.4</v>
      </c>
      <c r="J965" t="n">
        <v>0</v>
      </c>
      <c r="K965" t="n">
        <v>0</v>
      </c>
      <c r="L965" t="n">
        <v>0</v>
      </c>
      <c r="M965" t="n">
        <v>0</v>
      </c>
      <c r="N965" t="n">
        <v>0</v>
      </c>
      <c r="O965" t="n">
        <v>0</v>
      </c>
      <c r="P965" t="n">
        <v>0</v>
      </c>
      <c r="Q965" t="n">
        <v>0</v>
      </c>
      <c r="R965" t="n">
        <v>0</v>
      </c>
      <c r="S965" t="n">
        <v>0</v>
      </c>
      <c r="T965" t="n">
        <v>0</v>
      </c>
      <c r="U965" t="n">
        <v>0</v>
      </c>
      <c r="V965" s="2" t="inlineStr"/>
    </row>
    <row r="966" ht="15" customHeight="1">
      <c r="A966" t="inlineStr">
        <is>
          <t>A 9789-2022</t>
        </is>
      </c>
      <c r="B966" t="inlineStr">
        <is>
          <t>avverkningsanmälan</t>
        </is>
      </c>
      <c r="C966" t="inlineStr">
        <is>
          <t>Föryngringsavverkning</t>
        </is>
      </c>
      <c r="D966" s="1" t="n">
        <v>44620</v>
      </c>
      <c r="E966" s="1" t="n">
        <v>46309</v>
      </c>
      <c r="F966" t="inlineStr">
        <is>
          <t>UPPSALA LÄN</t>
        </is>
      </c>
      <c r="G966" t="inlineStr">
        <is>
          <t>ÖSTHAMMAR</t>
        </is>
      </c>
      <c r="I966" t="n">
        <v>1.2</v>
      </c>
      <c r="J966" t="n">
        <v>0</v>
      </c>
      <c r="K966" t="n">
        <v>0</v>
      </c>
      <c r="L966" t="n">
        <v>0</v>
      </c>
      <c r="M966" t="n">
        <v>0</v>
      </c>
      <c r="N966" t="n">
        <v>0</v>
      </c>
      <c r="O966" t="n">
        <v>0</v>
      </c>
      <c r="P966" t="n">
        <v>0</v>
      </c>
      <c r="Q966" t="n">
        <v>0</v>
      </c>
      <c r="R966" t="n">
        <v>0</v>
      </c>
      <c r="S966" t="n">
        <v>0</v>
      </c>
      <c r="T966" t="n">
        <v>0</v>
      </c>
      <c r="U966" t="n">
        <v>0</v>
      </c>
      <c r="V966" s="2" t="inlineStr"/>
    </row>
    <row r="967" ht="15" customHeight="1">
      <c r="A967" t="inlineStr">
        <is>
          <t>A 66927-2021</t>
        </is>
      </c>
      <c r="B967" t="inlineStr">
        <is>
          <t>avverkningsanmälan</t>
        </is>
      </c>
      <c r="C967" t="inlineStr">
        <is>
          <t>Föryngringsavverkning</t>
        </is>
      </c>
      <c r="D967" s="1" t="n">
        <v>44522</v>
      </c>
      <c r="E967" s="1" t="n">
        <v>46309</v>
      </c>
      <c r="F967" t="inlineStr">
        <is>
          <t>UPPSALA LÄN</t>
        </is>
      </c>
      <c r="G967" t="inlineStr">
        <is>
          <t>UPPSALA</t>
        </is>
      </c>
      <c r="I967" t="n">
        <v>2.9</v>
      </c>
      <c r="J967" t="n">
        <v>0</v>
      </c>
      <c r="K967" t="n">
        <v>0</v>
      </c>
      <c r="L967" t="n">
        <v>0</v>
      </c>
      <c r="M967" t="n">
        <v>0</v>
      </c>
      <c r="N967" t="n">
        <v>0</v>
      </c>
      <c r="O967" t="n">
        <v>0</v>
      </c>
      <c r="P967" t="n">
        <v>0</v>
      </c>
      <c r="Q967" t="n">
        <v>0</v>
      </c>
      <c r="R967" t="n">
        <v>0</v>
      </c>
      <c r="S967" t="n">
        <v>0</v>
      </c>
      <c r="T967" t="n">
        <v>0</v>
      </c>
      <c r="U967" t="n">
        <v>0</v>
      </c>
      <c r="V967" s="2" t="inlineStr"/>
    </row>
    <row r="968" ht="15" customHeight="1">
      <c r="A968" t="inlineStr">
        <is>
          <t>A 17467-2022</t>
        </is>
      </c>
      <c r="B968" t="inlineStr">
        <is>
          <t>avverkningsanmälan</t>
        </is>
      </c>
      <c r="C968" t="inlineStr">
        <is>
          <t>Föryngringsavverkning</t>
        </is>
      </c>
      <c r="D968" s="1" t="n">
        <v>44679</v>
      </c>
      <c r="E968" s="1" t="n">
        <v>46309</v>
      </c>
      <c r="F968" t="inlineStr">
        <is>
          <t>UPPSALA LÄN</t>
        </is>
      </c>
      <c r="G968" t="inlineStr">
        <is>
          <t>ENKÖPING</t>
        </is>
      </c>
      <c r="I968" t="n">
        <v>0.7</v>
      </c>
      <c r="J968" t="n">
        <v>0</v>
      </c>
      <c r="K968" t="n">
        <v>0</v>
      </c>
      <c r="L968" t="n">
        <v>0</v>
      </c>
      <c r="M968" t="n">
        <v>0</v>
      </c>
      <c r="N968" t="n">
        <v>0</v>
      </c>
      <c r="O968" t="n">
        <v>0</v>
      </c>
      <c r="P968" t="n">
        <v>0</v>
      </c>
      <c r="Q968" t="n">
        <v>0</v>
      </c>
      <c r="R968" t="n">
        <v>0</v>
      </c>
      <c r="S968" t="n">
        <v>0</v>
      </c>
      <c r="T968" t="n">
        <v>0</v>
      </c>
      <c r="U968" t="n">
        <v>0</v>
      </c>
      <c r="V968" s="2" t="inlineStr"/>
    </row>
    <row r="969" ht="15" customHeight="1">
      <c r="A969" t="inlineStr">
        <is>
          <t>A 11884-2022</t>
        </is>
      </c>
      <c r="B969" t="inlineStr">
        <is>
          <t>avverkningsanmälan</t>
        </is>
      </c>
      <c r="C969" t="inlineStr">
        <is>
          <t>Föryngringsavverkning</t>
        </is>
      </c>
      <c r="D969" s="1" t="n">
        <v>44635</v>
      </c>
      <c r="E969" s="1" t="n">
        <v>46309</v>
      </c>
      <c r="F969" t="inlineStr">
        <is>
          <t>UPPSALA LÄN</t>
        </is>
      </c>
      <c r="G969" t="inlineStr">
        <is>
          <t>ÖSTHAMMAR</t>
        </is>
      </c>
      <c r="I969" t="n">
        <v>0.8</v>
      </c>
      <c r="J969" t="n">
        <v>0</v>
      </c>
      <c r="K969" t="n">
        <v>0</v>
      </c>
      <c r="L969" t="n">
        <v>0</v>
      </c>
      <c r="M969" t="n">
        <v>0</v>
      </c>
      <c r="N969" t="n">
        <v>0</v>
      </c>
      <c r="O969" t="n">
        <v>0</v>
      </c>
      <c r="P969" t="n">
        <v>0</v>
      </c>
      <c r="Q969" t="n">
        <v>0</v>
      </c>
      <c r="R969" t="n">
        <v>0</v>
      </c>
      <c r="S969" t="n">
        <v>0</v>
      </c>
      <c r="T969" t="n">
        <v>0</v>
      </c>
      <c r="U969" t="n">
        <v>0</v>
      </c>
      <c r="V969" s="2" t="inlineStr"/>
    </row>
    <row r="970" ht="15" customHeight="1">
      <c r="A970" t="inlineStr">
        <is>
          <t>A 18734-2022</t>
        </is>
      </c>
      <c r="B970" t="inlineStr">
        <is>
          <t>avverkningsanmälan</t>
        </is>
      </c>
      <c r="C970" t="inlineStr">
        <is>
          <t>Föryngringsavverkning</t>
        </is>
      </c>
      <c r="D970" s="1" t="n">
        <v>44687</v>
      </c>
      <c r="E970" s="1" t="n">
        <v>46309</v>
      </c>
      <c r="F970" t="inlineStr">
        <is>
          <t>UPPSALA LÄN</t>
        </is>
      </c>
      <c r="G970" t="inlineStr">
        <is>
          <t>ÖSTHAMMAR</t>
        </is>
      </c>
      <c r="H970" t="inlineStr">
        <is>
          <t>Bergvik skog öst AB</t>
        </is>
      </c>
      <c r="I970" t="n">
        <v>0.3</v>
      </c>
      <c r="J970" t="n">
        <v>0</v>
      </c>
      <c r="K970" t="n">
        <v>0</v>
      </c>
      <c r="L970" t="n">
        <v>0</v>
      </c>
      <c r="M970" t="n">
        <v>0</v>
      </c>
      <c r="N970" t="n">
        <v>0</v>
      </c>
      <c r="O970" t="n">
        <v>0</v>
      </c>
      <c r="P970" t="n">
        <v>0</v>
      </c>
      <c r="Q970" t="n">
        <v>0</v>
      </c>
      <c r="R970" t="n">
        <v>0</v>
      </c>
      <c r="S970" t="n">
        <v>0</v>
      </c>
      <c r="T970" t="n">
        <v>0</v>
      </c>
      <c r="U970" t="n">
        <v>0</v>
      </c>
      <c r="V970" s="2" t="inlineStr"/>
    </row>
    <row r="971" ht="15" customHeight="1">
      <c r="A971" t="inlineStr">
        <is>
          <t>A 73385-2021</t>
        </is>
      </c>
      <c r="B971" t="inlineStr">
        <is>
          <t>avverkningsanmälan</t>
        </is>
      </c>
      <c r="C971" t="inlineStr">
        <is>
          <t>Föryngringsavverkning</t>
        </is>
      </c>
      <c r="D971" s="1" t="n">
        <v>44551</v>
      </c>
      <c r="E971" s="1" t="n">
        <v>46309</v>
      </c>
      <c r="F971" t="inlineStr">
        <is>
          <t>UPPSALA LÄN</t>
        </is>
      </c>
      <c r="G971" t="inlineStr">
        <is>
          <t>HEBY</t>
        </is>
      </c>
      <c r="I971" t="n">
        <v>1</v>
      </c>
      <c r="J971" t="n">
        <v>0</v>
      </c>
      <c r="K971" t="n">
        <v>0</v>
      </c>
      <c r="L971" t="n">
        <v>0</v>
      </c>
      <c r="M971" t="n">
        <v>0</v>
      </c>
      <c r="N971" t="n">
        <v>0</v>
      </c>
      <c r="O971" t="n">
        <v>0</v>
      </c>
      <c r="P971" t="n">
        <v>0</v>
      </c>
      <c r="Q971" t="n">
        <v>0</v>
      </c>
      <c r="R971" t="n">
        <v>0</v>
      </c>
      <c r="S971" t="n">
        <v>0</v>
      </c>
      <c r="T971" t="n">
        <v>0</v>
      </c>
      <c r="U971" t="n">
        <v>0</v>
      </c>
      <c r="V971" s="2" t="inlineStr"/>
    </row>
    <row r="972" ht="15" customHeight="1">
      <c r="A972" t="inlineStr">
        <is>
          <t>A 46293-2022</t>
        </is>
      </c>
      <c r="B972" t="inlineStr">
        <is>
          <t>avverkningsanmälan</t>
        </is>
      </c>
      <c r="C972" t="inlineStr">
        <is>
          <t>Föryngringsavverkning</t>
        </is>
      </c>
      <c r="D972" s="1" t="n">
        <v>44847</v>
      </c>
      <c r="E972" s="1" t="n">
        <v>46309</v>
      </c>
      <c r="F972" t="inlineStr">
        <is>
          <t>UPPSALA LÄN</t>
        </is>
      </c>
      <c r="G972" t="inlineStr">
        <is>
          <t>UPPSALA</t>
        </is>
      </c>
      <c r="I972" t="n">
        <v>2</v>
      </c>
      <c r="J972" t="n">
        <v>0</v>
      </c>
      <c r="K972" t="n">
        <v>0</v>
      </c>
      <c r="L972" t="n">
        <v>0</v>
      </c>
      <c r="M972" t="n">
        <v>0</v>
      </c>
      <c r="N972" t="n">
        <v>0</v>
      </c>
      <c r="O972" t="n">
        <v>0</v>
      </c>
      <c r="P972" t="n">
        <v>0</v>
      </c>
      <c r="Q972" t="n">
        <v>0</v>
      </c>
      <c r="R972" t="n">
        <v>0</v>
      </c>
      <c r="S972" t="n">
        <v>0</v>
      </c>
      <c r="T972" t="n">
        <v>0</v>
      </c>
      <c r="U972" t="n">
        <v>0</v>
      </c>
      <c r="V972" s="2" t="inlineStr"/>
    </row>
    <row r="973" ht="15" customHeight="1">
      <c r="A973" t="inlineStr">
        <is>
          <t>A 29277-2022</t>
        </is>
      </c>
      <c r="B973" t="inlineStr">
        <is>
          <t>avverkningsanmälan</t>
        </is>
      </c>
      <c r="C973" t="inlineStr">
        <is>
          <t>Föryngringsavverkning</t>
        </is>
      </c>
      <c r="D973" s="1" t="n">
        <v>44750</v>
      </c>
      <c r="E973" s="1" t="n">
        <v>46309</v>
      </c>
      <c r="F973" t="inlineStr">
        <is>
          <t>UPPSALA LÄN</t>
        </is>
      </c>
      <c r="G973" t="inlineStr">
        <is>
          <t>UPPSALA</t>
        </is>
      </c>
      <c r="H973" t="inlineStr">
        <is>
          <t>Bergvik skog öst AB</t>
        </is>
      </c>
      <c r="I973" t="n">
        <v>1.3</v>
      </c>
      <c r="J973" t="n">
        <v>0</v>
      </c>
      <c r="K973" t="n">
        <v>0</v>
      </c>
      <c r="L973" t="n">
        <v>0</v>
      </c>
      <c r="M973" t="n">
        <v>0</v>
      </c>
      <c r="N973" t="n">
        <v>0</v>
      </c>
      <c r="O973" t="n">
        <v>0</v>
      </c>
      <c r="P973" t="n">
        <v>0</v>
      </c>
      <c r="Q973" t="n">
        <v>0</v>
      </c>
      <c r="R973" t="n">
        <v>0</v>
      </c>
      <c r="S973" t="n">
        <v>0</v>
      </c>
      <c r="T973" t="n">
        <v>0</v>
      </c>
      <c r="U973" t="n">
        <v>0</v>
      </c>
      <c r="V973" s="2" t="inlineStr"/>
    </row>
    <row r="974" ht="15" customHeight="1">
      <c r="A974" t="inlineStr">
        <is>
          <t>A 17013-2022</t>
        </is>
      </c>
      <c r="B974" t="inlineStr">
        <is>
          <t>avverkningsanmälan</t>
        </is>
      </c>
      <c r="C974" t="inlineStr">
        <is>
          <t>Föryngringsavverkning</t>
        </is>
      </c>
      <c r="D974" s="1" t="n">
        <v>44676</v>
      </c>
      <c r="E974" s="1" t="n">
        <v>46309</v>
      </c>
      <c r="F974" t="inlineStr">
        <is>
          <t>UPPSALA LÄN</t>
        </is>
      </c>
      <c r="G974" t="inlineStr">
        <is>
          <t>ÖSTHAMMAR</t>
        </is>
      </c>
      <c r="H974" t="inlineStr">
        <is>
          <t>Bergvik skog öst AB</t>
        </is>
      </c>
      <c r="I974" t="n">
        <v>0.2</v>
      </c>
      <c r="J974" t="n">
        <v>0</v>
      </c>
      <c r="K974" t="n">
        <v>0</v>
      </c>
      <c r="L974" t="n">
        <v>0</v>
      </c>
      <c r="M974" t="n">
        <v>0</v>
      </c>
      <c r="N974" t="n">
        <v>0</v>
      </c>
      <c r="O974" t="n">
        <v>0</v>
      </c>
      <c r="P974" t="n">
        <v>0</v>
      </c>
      <c r="Q974" t="n">
        <v>0</v>
      </c>
      <c r="R974" t="n">
        <v>0</v>
      </c>
      <c r="S974" t="n">
        <v>0</v>
      </c>
      <c r="T974" t="n">
        <v>0</v>
      </c>
      <c r="U974" t="n">
        <v>0</v>
      </c>
      <c r="V974" s="2" t="inlineStr"/>
    </row>
    <row r="975" ht="15" customHeight="1">
      <c r="A975" t="inlineStr">
        <is>
          <t>A 16556-2022</t>
        </is>
      </c>
      <c r="B975" t="inlineStr">
        <is>
          <t>avverkningsanmälan</t>
        </is>
      </c>
      <c r="C975" t="inlineStr">
        <is>
          <t>Föryngringsavverkning</t>
        </is>
      </c>
      <c r="D975" s="1" t="n">
        <v>44672</v>
      </c>
      <c r="E975" s="1" t="n">
        <v>46309</v>
      </c>
      <c r="F975" t="inlineStr">
        <is>
          <t>UPPSALA LÄN</t>
        </is>
      </c>
      <c r="G975" t="inlineStr">
        <is>
          <t>TIERP</t>
        </is>
      </c>
      <c r="I975" t="n">
        <v>0.6</v>
      </c>
      <c r="J975" t="n">
        <v>0</v>
      </c>
      <c r="K975" t="n">
        <v>0</v>
      </c>
      <c r="L975" t="n">
        <v>0</v>
      </c>
      <c r="M975" t="n">
        <v>0</v>
      </c>
      <c r="N975" t="n">
        <v>0</v>
      </c>
      <c r="O975" t="n">
        <v>0</v>
      </c>
      <c r="P975" t="n">
        <v>0</v>
      </c>
      <c r="Q975" t="n">
        <v>0</v>
      </c>
      <c r="R975" t="n">
        <v>0</v>
      </c>
      <c r="S975" t="n">
        <v>0</v>
      </c>
      <c r="T975" t="n">
        <v>0</v>
      </c>
      <c r="U975" t="n">
        <v>0</v>
      </c>
      <c r="V975" s="2" t="inlineStr"/>
    </row>
    <row r="976" ht="15" customHeight="1">
      <c r="A976" t="inlineStr">
        <is>
          <t>A 18330-2022</t>
        </is>
      </c>
      <c r="B976" t="inlineStr">
        <is>
          <t>avverkningsanmälan</t>
        </is>
      </c>
      <c r="C976" t="inlineStr">
        <is>
          <t>Föryngringsavverkning</t>
        </is>
      </c>
      <c r="D976" s="1" t="n">
        <v>44685</v>
      </c>
      <c r="E976" s="1" t="n">
        <v>46309</v>
      </c>
      <c r="F976" t="inlineStr">
        <is>
          <t>UPPSALA LÄN</t>
        </is>
      </c>
      <c r="G976" t="inlineStr">
        <is>
          <t>UPPSALA</t>
        </is>
      </c>
      <c r="H976" t="inlineStr">
        <is>
          <t>Bergvik skog öst AB</t>
        </is>
      </c>
      <c r="I976" t="n">
        <v>0.4</v>
      </c>
      <c r="J976" t="n">
        <v>0</v>
      </c>
      <c r="K976" t="n">
        <v>0</v>
      </c>
      <c r="L976" t="n">
        <v>0</v>
      </c>
      <c r="M976" t="n">
        <v>0</v>
      </c>
      <c r="N976" t="n">
        <v>0</v>
      </c>
      <c r="O976" t="n">
        <v>0</v>
      </c>
      <c r="P976" t="n">
        <v>0</v>
      </c>
      <c r="Q976" t="n">
        <v>0</v>
      </c>
      <c r="R976" t="n">
        <v>0</v>
      </c>
      <c r="S976" t="n">
        <v>0</v>
      </c>
      <c r="T976" t="n">
        <v>0</v>
      </c>
      <c r="U976" t="n">
        <v>0</v>
      </c>
      <c r="V976" s="2" t="inlineStr"/>
    </row>
    <row r="977" ht="15" customHeight="1">
      <c r="A977" t="inlineStr">
        <is>
          <t>A 18336-2022</t>
        </is>
      </c>
      <c r="B977" t="inlineStr">
        <is>
          <t>avverkningsanmälan</t>
        </is>
      </c>
      <c r="C977" t="inlineStr">
        <is>
          <t>Föryngringsavverkning</t>
        </is>
      </c>
      <c r="D977" s="1" t="n">
        <v>44685</v>
      </c>
      <c r="E977" s="1" t="n">
        <v>46309</v>
      </c>
      <c r="F977" t="inlineStr">
        <is>
          <t>UPPSALA LÄN</t>
        </is>
      </c>
      <c r="G977" t="inlineStr">
        <is>
          <t>HEBY</t>
        </is>
      </c>
      <c r="I977" t="n">
        <v>9.6</v>
      </c>
      <c r="J977" t="n">
        <v>0</v>
      </c>
      <c r="K977" t="n">
        <v>0</v>
      </c>
      <c r="L977" t="n">
        <v>0</v>
      </c>
      <c r="M977" t="n">
        <v>0</v>
      </c>
      <c r="N977" t="n">
        <v>0</v>
      </c>
      <c r="O977" t="n">
        <v>0</v>
      </c>
      <c r="P977" t="n">
        <v>0</v>
      </c>
      <c r="Q977" t="n">
        <v>0</v>
      </c>
      <c r="R977" t="n">
        <v>0</v>
      </c>
      <c r="S977" t="n">
        <v>0</v>
      </c>
      <c r="T977" t="n">
        <v>0</v>
      </c>
      <c r="U977" t="n">
        <v>0</v>
      </c>
      <c r="V977" s="2" t="inlineStr"/>
    </row>
    <row r="978" ht="15" customHeight="1">
      <c r="A978" t="inlineStr">
        <is>
          <t>A 59121-2021</t>
        </is>
      </c>
      <c r="B978" t="inlineStr">
        <is>
          <t>avverkningsanmälan</t>
        </is>
      </c>
      <c r="C978" t="inlineStr">
        <is>
          <t>Föryngringsavverkning</t>
        </is>
      </c>
      <c r="D978" s="1" t="n">
        <v>44490</v>
      </c>
      <c r="E978" s="1" t="n">
        <v>46309</v>
      </c>
      <c r="F978" t="inlineStr">
        <is>
          <t>UPPSALA LÄN</t>
        </is>
      </c>
      <c r="G978" t="inlineStr">
        <is>
          <t>ENKÖPING</t>
        </is>
      </c>
      <c r="I978" t="n">
        <v>2.4</v>
      </c>
      <c r="J978" t="n">
        <v>0</v>
      </c>
      <c r="K978" t="n">
        <v>0</v>
      </c>
      <c r="L978" t="n">
        <v>0</v>
      </c>
      <c r="M978" t="n">
        <v>0</v>
      </c>
      <c r="N978" t="n">
        <v>0</v>
      </c>
      <c r="O978" t="n">
        <v>0</v>
      </c>
      <c r="P978" t="n">
        <v>0</v>
      </c>
      <c r="Q978" t="n">
        <v>0</v>
      </c>
      <c r="R978" t="n">
        <v>0</v>
      </c>
      <c r="S978" t="n">
        <v>0</v>
      </c>
      <c r="T978" t="n">
        <v>0</v>
      </c>
      <c r="U978" t="n">
        <v>0</v>
      </c>
      <c r="V978" s="2" t="inlineStr"/>
    </row>
    <row r="979" ht="15" customHeight="1">
      <c r="A979" t="inlineStr">
        <is>
          <t>A 31049-2022</t>
        </is>
      </c>
      <c r="B979" t="inlineStr">
        <is>
          <t>avverkningsanmälan</t>
        </is>
      </c>
      <c r="C979" t="inlineStr">
        <is>
          <t>Föryngringsavverkning</t>
        </is>
      </c>
      <c r="D979" s="1" t="n">
        <v>44769</v>
      </c>
      <c r="E979" s="1" t="n">
        <v>46309</v>
      </c>
      <c r="F979" t="inlineStr">
        <is>
          <t>UPPSALA LÄN</t>
        </is>
      </c>
      <c r="G979" t="inlineStr">
        <is>
          <t>HEBY</t>
        </is>
      </c>
      <c r="I979" t="n">
        <v>1</v>
      </c>
      <c r="J979" t="n">
        <v>0</v>
      </c>
      <c r="K979" t="n">
        <v>0</v>
      </c>
      <c r="L979" t="n">
        <v>0</v>
      </c>
      <c r="M979" t="n">
        <v>0</v>
      </c>
      <c r="N979" t="n">
        <v>0</v>
      </c>
      <c r="O979" t="n">
        <v>0</v>
      </c>
      <c r="P979" t="n">
        <v>0</v>
      </c>
      <c r="Q979" t="n">
        <v>0</v>
      </c>
      <c r="R979" t="n">
        <v>0</v>
      </c>
      <c r="S979" t="n">
        <v>0</v>
      </c>
      <c r="T979" t="n">
        <v>0</v>
      </c>
      <c r="U979" t="n">
        <v>0</v>
      </c>
      <c r="V979" s="2" t="inlineStr"/>
    </row>
    <row r="980" ht="15" customHeight="1">
      <c r="A980" t="inlineStr">
        <is>
          <t>A 25745-2022</t>
        </is>
      </c>
      <c r="B980" t="inlineStr">
        <is>
          <t>avverkningsanmälan</t>
        </is>
      </c>
      <c r="C980" t="inlineStr">
        <is>
          <t>Föryngringsavverkning</t>
        </is>
      </c>
      <c r="D980" s="1" t="n">
        <v>44733</v>
      </c>
      <c r="E980" s="1" t="n">
        <v>46309</v>
      </c>
      <c r="F980" t="inlineStr">
        <is>
          <t>UPPSALA LÄN</t>
        </is>
      </c>
      <c r="G980" t="inlineStr">
        <is>
          <t>UPPSALA</t>
        </is>
      </c>
      <c r="H980" t="inlineStr">
        <is>
          <t>Bergvik skog öst AB</t>
        </is>
      </c>
      <c r="I980" t="n">
        <v>0.8</v>
      </c>
      <c r="J980" t="n">
        <v>0</v>
      </c>
      <c r="K980" t="n">
        <v>0</v>
      </c>
      <c r="L980" t="n">
        <v>0</v>
      </c>
      <c r="M980" t="n">
        <v>0</v>
      </c>
      <c r="N980" t="n">
        <v>0</v>
      </c>
      <c r="O980" t="n">
        <v>0</v>
      </c>
      <c r="P980" t="n">
        <v>0</v>
      </c>
      <c r="Q980" t="n">
        <v>0</v>
      </c>
      <c r="R980" t="n">
        <v>0</v>
      </c>
      <c r="S980" t="n">
        <v>0</v>
      </c>
      <c r="T980" t="n">
        <v>0</v>
      </c>
      <c r="U980" t="n">
        <v>0</v>
      </c>
      <c r="V980" s="2" t="inlineStr"/>
    </row>
    <row r="981" ht="15" customHeight="1">
      <c r="A981" t="inlineStr">
        <is>
          <t>A 22021-2022</t>
        </is>
      </c>
      <c r="B981" t="inlineStr">
        <is>
          <t>avverkningsanmälan</t>
        </is>
      </c>
      <c r="C981" t="inlineStr">
        <is>
          <t>Föryngringsavverkning</t>
        </is>
      </c>
      <c r="D981" s="1" t="n">
        <v>44711</v>
      </c>
      <c r="E981" s="1" t="n">
        <v>46309</v>
      </c>
      <c r="F981" t="inlineStr">
        <is>
          <t>UPPSALA LÄN</t>
        </is>
      </c>
      <c r="G981" t="inlineStr">
        <is>
          <t>UPPSALA</t>
        </is>
      </c>
      <c r="H981" t="inlineStr">
        <is>
          <t>Allmännings- och besparingsskogar</t>
        </is>
      </c>
      <c r="I981" t="n">
        <v>2.1</v>
      </c>
      <c r="J981" t="n">
        <v>0</v>
      </c>
      <c r="K981" t="n">
        <v>0</v>
      </c>
      <c r="L981" t="n">
        <v>0</v>
      </c>
      <c r="M981" t="n">
        <v>0</v>
      </c>
      <c r="N981" t="n">
        <v>0</v>
      </c>
      <c r="O981" t="n">
        <v>0</v>
      </c>
      <c r="P981" t="n">
        <v>0</v>
      </c>
      <c r="Q981" t="n">
        <v>0</v>
      </c>
      <c r="R981" t="n">
        <v>0</v>
      </c>
      <c r="S981" t="n">
        <v>0</v>
      </c>
      <c r="T981" t="n">
        <v>0</v>
      </c>
      <c r="U981" t="n">
        <v>0</v>
      </c>
      <c r="V981" s="2" t="inlineStr"/>
    </row>
    <row r="982" ht="15" customHeight="1">
      <c r="A982" t="inlineStr">
        <is>
          <t>A 62441-2021</t>
        </is>
      </c>
      <c r="B982" t="inlineStr">
        <is>
          <t>avverkningsanmälan</t>
        </is>
      </c>
      <c r="C982" t="inlineStr">
        <is>
          <t>Föryngringsavverkning</t>
        </is>
      </c>
      <c r="D982" s="1" t="n">
        <v>44503</v>
      </c>
      <c r="E982" s="1" t="n">
        <v>46309</v>
      </c>
      <c r="F982" t="inlineStr">
        <is>
          <t>UPPSALA LÄN</t>
        </is>
      </c>
      <c r="G982" t="inlineStr">
        <is>
          <t>KNIVSTA</t>
        </is>
      </c>
      <c r="I982" t="n">
        <v>1.9</v>
      </c>
      <c r="J982" t="n">
        <v>0</v>
      </c>
      <c r="K982" t="n">
        <v>0</v>
      </c>
      <c r="L982" t="n">
        <v>0</v>
      </c>
      <c r="M982" t="n">
        <v>0</v>
      </c>
      <c r="N982" t="n">
        <v>0</v>
      </c>
      <c r="O982" t="n">
        <v>0</v>
      </c>
      <c r="P982" t="n">
        <v>0</v>
      </c>
      <c r="Q982" t="n">
        <v>0</v>
      </c>
      <c r="R982" t="n">
        <v>0</v>
      </c>
      <c r="S982" t="n">
        <v>0</v>
      </c>
      <c r="T982" t="n">
        <v>0</v>
      </c>
      <c r="U982" t="n">
        <v>0</v>
      </c>
      <c r="V982" s="2" t="inlineStr"/>
    </row>
    <row r="983" ht="15" customHeight="1">
      <c r="A983" t="inlineStr">
        <is>
          <t>A 27763-2022</t>
        </is>
      </c>
      <c r="B983" t="inlineStr">
        <is>
          <t>avverkningsanmälan</t>
        </is>
      </c>
      <c r="C983" t="inlineStr">
        <is>
          <t>Föryngringsavverkning</t>
        </is>
      </c>
      <c r="D983" s="1" t="n">
        <v>44743</v>
      </c>
      <c r="E983" s="1" t="n">
        <v>46309</v>
      </c>
      <c r="F983" t="inlineStr">
        <is>
          <t>UPPSALA LÄN</t>
        </is>
      </c>
      <c r="G983" t="inlineStr">
        <is>
          <t>UPPSALA</t>
        </is>
      </c>
      <c r="I983" t="n">
        <v>0.5</v>
      </c>
      <c r="J983" t="n">
        <v>0</v>
      </c>
      <c r="K983" t="n">
        <v>0</v>
      </c>
      <c r="L983" t="n">
        <v>0</v>
      </c>
      <c r="M983" t="n">
        <v>0</v>
      </c>
      <c r="N983" t="n">
        <v>0</v>
      </c>
      <c r="O983" t="n">
        <v>0</v>
      </c>
      <c r="P983" t="n">
        <v>0</v>
      </c>
      <c r="Q983" t="n">
        <v>0</v>
      </c>
      <c r="R983" t="n">
        <v>0</v>
      </c>
      <c r="S983" t="n">
        <v>0</v>
      </c>
      <c r="T983" t="n">
        <v>0</v>
      </c>
      <c r="U983" t="n">
        <v>0</v>
      </c>
      <c r="V983" s="2" t="inlineStr"/>
    </row>
    <row r="984" ht="15" customHeight="1">
      <c r="A984" t="inlineStr">
        <is>
          <t>A 24815-2022</t>
        </is>
      </c>
      <c r="B984" t="inlineStr">
        <is>
          <t>avverkningsanmälan</t>
        </is>
      </c>
      <c r="C984" t="inlineStr">
        <is>
          <t>Föryngringsavverkning</t>
        </is>
      </c>
      <c r="D984" s="1" t="n">
        <v>44728</v>
      </c>
      <c r="E984" s="1" t="n">
        <v>46309</v>
      </c>
      <c r="F984" t="inlineStr">
        <is>
          <t>UPPSALA LÄN</t>
        </is>
      </c>
      <c r="G984" t="inlineStr">
        <is>
          <t>ENKÖPING</t>
        </is>
      </c>
      <c r="I984" t="n">
        <v>1.8</v>
      </c>
      <c r="J984" t="n">
        <v>0</v>
      </c>
      <c r="K984" t="n">
        <v>0</v>
      </c>
      <c r="L984" t="n">
        <v>0</v>
      </c>
      <c r="M984" t="n">
        <v>0</v>
      </c>
      <c r="N984" t="n">
        <v>0</v>
      </c>
      <c r="O984" t="n">
        <v>0</v>
      </c>
      <c r="P984" t="n">
        <v>0</v>
      </c>
      <c r="Q984" t="n">
        <v>0</v>
      </c>
      <c r="R984" t="n">
        <v>0</v>
      </c>
      <c r="S984" t="n">
        <v>0</v>
      </c>
      <c r="T984" t="n">
        <v>0</v>
      </c>
      <c r="U984" t="n">
        <v>0</v>
      </c>
      <c r="V984" s="2" t="inlineStr"/>
    </row>
    <row r="985" ht="15" customHeight="1">
      <c r="A985" t="inlineStr">
        <is>
          <t>A 72966-2021</t>
        </is>
      </c>
      <c r="B985" t="inlineStr">
        <is>
          <t>avverkningsanmälan</t>
        </is>
      </c>
      <c r="C985" t="inlineStr">
        <is>
          <t>Föryngringsavverkning</t>
        </is>
      </c>
      <c r="D985" s="1" t="n">
        <v>44548</v>
      </c>
      <c r="E985" s="1" t="n">
        <v>46309</v>
      </c>
      <c r="F985" t="inlineStr">
        <is>
          <t>UPPSALA LÄN</t>
        </is>
      </c>
      <c r="G985" t="inlineStr">
        <is>
          <t>KNIVSTA</t>
        </is>
      </c>
      <c r="I985" t="n">
        <v>2</v>
      </c>
      <c r="J985" t="n">
        <v>0</v>
      </c>
      <c r="K985" t="n">
        <v>0</v>
      </c>
      <c r="L985" t="n">
        <v>0</v>
      </c>
      <c r="M985" t="n">
        <v>0</v>
      </c>
      <c r="N985" t="n">
        <v>0</v>
      </c>
      <c r="O985" t="n">
        <v>0</v>
      </c>
      <c r="P985" t="n">
        <v>0</v>
      </c>
      <c r="Q985" t="n">
        <v>0</v>
      </c>
      <c r="R985" t="n">
        <v>0</v>
      </c>
      <c r="S985" t="n">
        <v>0</v>
      </c>
      <c r="T985" t="n">
        <v>0</v>
      </c>
      <c r="U985" t="n">
        <v>0</v>
      </c>
      <c r="V985" s="2" t="inlineStr"/>
    </row>
    <row r="986" ht="15" customHeight="1">
      <c r="A986" t="inlineStr">
        <is>
          <t>A 11496-2022</t>
        </is>
      </c>
      <c r="B986" t="inlineStr">
        <is>
          <t>avverkningsanmälan</t>
        </is>
      </c>
      <c r="C986" t="inlineStr">
        <is>
          <t>Föryngringsavverkning</t>
        </is>
      </c>
      <c r="D986" s="1" t="n">
        <v>44631</v>
      </c>
      <c r="E986" s="1" t="n">
        <v>46309</v>
      </c>
      <c r="F986" t="inlineStr">
        <is>
          <t>UPPSALA LÄN</t>
        </is>
      </c>
      <c r="G986" t="inlineStr">
        <is>
          <t>TIERP</t>
        </is>
      </c>
      <c r="I986" t="n">
        <v>0.8</v>
      </c>
      <c r="J986" t="n">
        <v>0</v>
      </c>
      <c r="K986" t="n">
        <v>0</v>
      </c>
      <c r="L986" t="n">
        <v>0</v>
      </c>
      <c r="M986" t="n">
        <v>0</v>
      </c>
      <c r="N986" t="n">
        <v>0</v>
      </c>
      <c r="O986" t="n">
        <v>0</v>
      </c>
      <c r="P986" t="n">
        <v>0</v>
      </c>
      <c r="Q986" t="n">
        <v>0</v>
      </c>
      <c r="R986" t="n">
        <v>0</v>
      </c>
      <c r="S986" t="n">
        <v>0</v>
      </c>
      <c r="T986" t="n">
        <v>0</v>
      </c>
      <c r="U986" t="n">
        <v>0</v>
      </c>
      <c r="V986" s="2" t="inlineStr"/>
    </row>
    <row r="987" ht="15" customHeight="1">
      <c r="A987" t="inlineStr">
        <is>
          <t>A 14008-2022</t>
        </is>
      </c>
      <c r="B987" t="inlineStr">
        <is>
          <t>avverkningsanmälan</t>
        </is>
      </c>
      <c r="C987" t="inlineStr">
        <is>
          <t>Föryngringsavverkning</t>
        </is>
      </c>
      <c r="D987" s="1" t="n">
        <v>44650</v>
      </c>
      <c r="E987" s="1" t="n">
        <v>46309</v>
      </c>
      <c r="F987" t="inlineStr">
        <is>
          <t>UPPSALA LÄN</t>
        </is>
      </c>
      <c r="G987" t="inlineStr">
        <is>
          <t>HEBY</t>
        </is>
      </c>
      <c r="H987" t="inlineStr">
        <is>
          <t>Bergvik skog öst AB</t>
        </is>
      </c>
      <c r="I987" t="n">
        <v>1.4</v>
      </c>
      <c r="J987" t="n">
        <v>0</v>
      </c>
      <c r="K987" t="n">
        <v>0</v>
      </c>
      <c r="L987" t="n">
        <v>0</v>
      </c>
      <c r="M987" t="n">
        <v>0</v>
      </c>
      <c r="N987" t="n">
        <v>0</v>
      </c>
      <c r="O987" t="n">
        <v>0</v>
      </c>
      <c r="P987" t="n">
        <v>0</v>
      </c>
      <c r="Q987" t="n">
        <v>0</v>
      </c>
      <c r="R987" t="n">
        <v>0</v>
      </c>
      <c r="S987" t="n">
        <v>0</v>
      </c>
      <c r="T987" t="n">
        <v>0</v>
      </c>
      <c r="U987" t="n">
        <v>0</v>
      </c>
      <c r="V987" s="2" t="inlineStr"/>
    </row>
    <row r="988" ht="15" customHeight="1">
      <c r="A988" t="inlineStr">
        <is>
          <t>A 10411-2022</t>
        </is>
      </c>
      <c r="B988" t="inlineStr">
        <is>
          <t>avverkningsanmälan</t>
        </is>
      </c>
      <c r="C988" t="inlineStr">
        <is>
          <t>Föryngringsavverkning</t>
        </is>
      </c>
      <c r="D988" s="1" t="n">
        <v>44623</v>
      </c>
      <c r="E988" s="1" t="n">
        <v>46309</v>
      </c>
      <c r="F988" t="inlineStr">
        <is>
          <t>UPPSALA LÄN</t>
        </is>
      </c>
      <c r="G988" t="inlineStr">
        <is>
          <t>UPPSALA</t>
        </is>
      </c>
      <c r="H988" t="inlineStr">
        <is>
          <t>Övriga Aktiebolag</t>
        </is>
      </c>
      <c r="I988" t="n">
        <v>4.2</v>
      </c>
      <c r="J988" t="n">
        <v>0</v>
      </c>
      <c r="K988" t="n">
        <v>0</v>
      </c>
      <c r="L988" t="n">
        <v>0</v>
      </c>
      <c r="M988" t="n">
        <v>0</v>
      </c>
      <c r="N988" t="n">
        <v>0</v>
      </c>
      <c r="O988" t="n">
        <v>0</v>
      </c>
      <c r="P988" t="n">
        <v>0</v>
      </c>
      <c r="Q988" t="n">
        <v>0</v>
      </c>
      <c r="R988" t="n">
        <v>0</v>
      </c>
      <c r="S988" t="n">
        <v>0</v>
      </c>
      <c r="T988" t="n">
        <v>0</v>
      </c>
      <c r="U988" t="n">
        <v>0</v>
      </c>
      <c r="V988" s="2" t="inlineStr"/>
    </row>
    <row r="989" ht="15" customHeight="1">
      <c r="A989" t="inlineStr">
        <is>
          <t>A 12999-2022</t>
        </is>
      </c>
      <c r="B989" t="inlineStr">
        <is>
          <t>avverkningsanmälan</t>
        </is>
      </c>
      <c r="C989" t="inlineStr">
        <is>
          <t>Föryngringsavverkning</t>
        </is>
      </c>
      <c r="D989" s="1" t="n">
        <v>44643</v>
      </c>
      <c r="E989" s="1" t="n">
        <v>46309</v>
      </c>
      <c r="F989" t="inlineStr">
        <is>
          <t>UPPSALA LÄN</t>
        </is>
      </c>
      <c r="G989" t="inlineStr">
        <is>
          <t>ÖSTHAMMAR</t>
        </is>
      </c>
      <c r="I989" t="n">
        <v>0.5</v>
      </c>
      <c r="J989" t="n">
        <v>0</v>
      </c>
      <c r="K989" t="n">
        <v>0</v>
      </c>
      <c r="L989" t="n">
        <v>0</v>
      </c>
      <c r="M989" t="n">
        <v>0</v>
      </c>
      <c r="N989" t="n">
        <v>0</v>
      </c>
      <c r="O989" t="n">
        <v>0</v>
      </c>
      <c r="P989" t="n">
        <v>0</v>
      </c>
      <c r="Q989" t="n">
        <v>0</v>
      </c>
      <c r="R989" t="n">
        <v>0</v>
      </c>
      <c r="S989" t="n">
        <v>0</v>
      </c>
      <c r="T989" t="n">
        <v>0</v>
      </c>
      <c r="U989" t="n">
        <v>0</v>
      </c>
      <c r="V989" s="2" t="inlineStr"/>
    </row>
    <row r="990" ht="15" customHeight="1">
      <c r="A990" t="inlineStr">
        <is>
          <t>A 14603-2022</t>
        </is>
      </c>
      <c r="B990" t="inlineStr">
        <is>
          <t>avverkningsanmälan</t>
        </is>
      </c>
      <c r="C990" t="inlineStr">
        <is>
          <t>Föryngringsavverkning</t>
        </is>
      </c>
      <c r="D990" s="1" t="n">
        <v>44655</v>
      </c>
      <c r="E990" s="1" t="n">
        <v>46309</v>
      </c>
      <c r="F990" t="inlineStr">
        <is>
          <t>UPPSALA LÄN</t>
        </is>
      </c>
      <c r="G990" t="inlineStr">
        <is>
          <t>HEBY</t>
        </is>
      </c>
      <c r="I990" t="n">
        <v>0.6</v>
      </c>
      <c r="J990" t="n">
        <v>0</v>
      </c>
      <c r="K990" t="n">
        <v>0</v>
      </c>
      <c r="L990" t="n">
        <v>0</v>
      </c>
      <c r="M990" t="n">
        <v>0</v>
      </c>
      <c r="N990" t="n">
        <v>0</v>
      </c>
      <c r="O990" t="n">
        <v>0</v>
      </c>
      <c r="P990" t="n">
        <v>0</v>
      </c>
      <c r="Q990" t="n">
        <v>0</v>
      </c>
      <c r="R990" t="n">
        <v>0</v>
      </c>
      <c r="S990" t="n">
        <v>0</v>
      </c>
      <c r="T990" t="n">
        <v>0</v>
      </c>
      <c r="U990" t="n">
        <v>0</v>
      </c>
      <c r="V990" s="2" t="inlineStr"/>
    </row>
    <row r="991" ht="15" customHeight="1">
      <c r="A991" t="inlineStr">
        <is>
          <t>A 23979-2022</t>
        </is>
      </c>
      <c r="B991" t="inlineStr">
        <is>
          <t>avverkningsanmälan</t>
        </is>
      </c>
      <c r="C991" t="inlineStr">
        <is>
          <t>Föryngringsavverkning</t>
        </is>
      </c>
      <c r="D991" s="1" t="n">
        <v>44722</v>
      </c>
      <c r="E991" s="1" t="n">
        <v>46309</v>
      </c>
      <c r="F991" t="inlineStr">
        <is>
          <t>UPPSALA LÄN</t>
        </is>
      </c>
      <c r="G991" t="inlineStr">
        <is>
          <t>HEBY</t>
        </is>
      </c>
      <c r="I991" t="n">
        <v>0.6</v>
      </c>
      <c r="J991" t="n">
        <v>0</v>
      </c>
      <c r="K991" t="n">
        <v>0</v>
      </c>
      <c r="L991" t="n">
        <v>0</v>
      </c>
      <c r="M991" t="n">
        <v>0</v>
      </c>
      <c r="N991" t="n">
        <v>0</v>
      </c>
      <c r="O991" t="n">
        <v>0</v>
      </c>
      <c r="P991" t="n">
        <v>0</v>
      </c>
      <c r="Q991" t="n">
        <v>0</v>
      </c>
      <c r="R991" t="n">
        <v>0</v>
      </c>
      <c r="S991" t="n">
        <v>0</v>
      </c>
      <c r="T991" t="n">
        <v>0</v>
      </c>
      <c r="U991" t="n">
        <v>0</v>
      </c>
      <c r="V991" s="2" t="inlineStr"/>
    </row>
    <row r="992" ht="15" customHeight="1">
      <c r="A992" t="inlineStr">
        <is>
          <t>A 20627-2022</t>
        </is>
      </c>
      <c r="B992" t="inlineStr">
        <is>
          <t>avverkningsanmälan</t>
        </is>
      </c>
      <c r="C992" t="inlineStr">
        <is>
          <t>Föryngringsavverkning</t>
        </is>
      </c>
      <c r="D992" s="1" t="n">
        <v>44700</v>
      </c>
      <c r="E992" s="1" t="n">
        <v>46309</v>
      </c>
      <c r="F992" t="inlineStr">
        <is>
          <t>UPPSALA LÄN</t>
        </is>
      </c>
      <c r="G992" t="inlineStr">
        <is>
          <t>HEBY</t>
        </is>
      </c>
      <c r="I992" t="n">
        <v>0.9</v>
      </c>
      <c r="J992" t="n">
        <v>0</v>
      </c>
      <c r="K992" t="n">
        <v>0</v>
      </c>
      <c r="L992" t="n">
        <v>0</v>
      </c>
      <c r="M992" t="n">
        <v>0</v>
      </c>
      <c r="N992" t="n">
        <v>0</v>
      </c>
      <c r="O992" t="n">
        <v>0</v>
      </c>
      <c r="P992" t="n">
        <v>0</v>
      </c>
      <c r="Q992" t="n">
        <v>0</v>
      </c>
      <c r="R992" t="n">
        <v>0</v>
      </c>
      <c r="S992" t="n">
        <v>0</v>
      </c>
      <c r="T992" t="n">
        <v>0</v>
      </c>
      <c r="U992" t="n">
        <v>0</v>
      </c>
      <c r="V992" s="2" t="inlineStr"/>
    </row>
    <row r="993" ht="15" customHeight="1">
      <c r="A993" t="inlineStr">
        <is>
          <t>A 25120-2022</t>
        </is>
      </c>
      <c r="B993" t="inlineStr">
        <is>
          <t>avverkningsanmälan</t>
        </is>
      </c>
      <c r="C993" t="inlineStr">
        <is>
          <t>Avverkning för annat ändamål</t>
        </is>
      </c>
      <c r="D993" s="1" t="n">
        <v>44729</v>
      </c>
      <c r="E993" s="1" t="n">
        <v>46309</v>
      </c>
      <c r="F993" t="inlineStr">
        <is>
          <t>UPPSALA LÄN</t>
        </is>
      </c>
      <c r="G993" t="inlineStr">
        <is>
          <t>UPPSALA</t>
        </is>
      </c>
      <c r="I993" t="n">
        <v>0.5</v>
      </c>
      <c r="J993" t="n">
        <v>0</v>
      </c>
      <c r="K993" t="n">
        <v>0</v>
      </c>
      <c r="L993" t="n">
        <v>0</v>
      </c>
      <c r="M993" t="n">
        <v>0</v>
      </c>
      <c r="N993" t="n">
        <v>0</v>
      </c>
      <c r="O993" t="n">
        <v>0</v>
      </c>
      <c r="P993" t="n">
        <v>0</v>
      </c>
      <c r="Q993" t="n">
        <v>0</v>
      </c>
      <c r="R993" t="n">
        <v>0</v>
      </c>
      <c r="S993" t="n">
        <v>0</v>
      </c>
      <c r="T993" t="n">
        <v>0</v>
      </c>
      <c r="U993" t="n">
        <v>0</v>
      </c>
      <c r="V993" s="2" t="inlineStr"/>
    </row>
    <row r="994" ht="15" customHeight="1">
      <c r="A994" t="inlineStr">
        <is>
          <t>A 24869-2022</t>
        </is>
      </c>
      <c r="B994" t="inlineStr">
        <is>
          <t>avverkningsanmälan</t>
        </is>
      </c>
      <c r="C994" t="inlineStr">
        <is>
          <t>Föryngringsavverkning</t>
        </is>
      </c>
      <c r="D994" s="1" t="n">
        <v>44728</v>
      </c>
      <c r="E994" s="1" t="n">
        <v>46309</v>
      </c>
      <c r="F994" t="inlineStr">
        <is>
          <t>UPPSALA LÄN</t>
        </is>
      </c>
      <c r="G994" t="inlineStr">
        <is>
          <t>TIERP</t>
        </is>
      </c>
      <c r="I994" t="n">
        <v>5.6</v>
      </c>
      <c r="J994" t="n">
        <v>0</v>
      </c>
      <c r="K994" t="n">
        <v>0</v>
      </c>
      <c r="L994" t="n">
        <v>0</v>
      </c>
      <c r="M994" t="n">
        <v>0</v>
      </c>
      <c r="N994" t="n">
        <v>0</v>
      </c>
      <c r="O994" t="n">
        <v>0</v>
      </c>
      <c r="P994" t="n">
        <v>0</v>
      </c>
      <c r="Q994" t="n">
        <v>0</v>
      </c>
      <c r="R994" t="n">
        <v>0</v>
      </c>
      <c r="S994" t="n">
        <v>0</v>
      </c>
      <c r="T994" t="n">
        <v>0</v>
      </c>
      <c r="U994" t="n">
        <v>0</v>
      </c>
      <c r="V994" s="2" t="inlineStr"/>
    </row>
    <row r="995" ht="15" customHeight="1">
      <c r="A995" t="inlineStr">
        <is>
          <t>A 16185-2022</t>
        </is>
      </c>
      <c r="B995" t="inlineStr">
        <is>
          <t>avverkningsanmälan</t>
        </is>
      </c>
      <c r="C995" t="inlineStr">
        <is>
          <t>Föryngringsavverkning</t>
        </is>
      </c>
      <c r="D995" s="1" t="n">
        <v>44669</v>
      </c>
      <c r="E995" s="1" t="n">
        <v>46309</v>
      </c>
      <c r="F995" t="inlineStr">
        <is>
          <t>UPPSALA LÄN</t>
        </is>
      </c>
      <c r="G995" t="inlineStr">
        <is>
          <t>ÖSTHAMMAR</t>
        </is>
      </c>
      <c r="H995" t="inlineStr">
        <is>
          <t>Bergvik skog öst AB</t>
        </is>
      </c>
      <c r="I995" t="n">
        <v>0.3</v>
      </c>
      <c r="J995" t="n">
        <v>0</v>
      </c>
      <c r="K995" t="n">
        <v>0</v>
      </c>
      <c r="L995" t="n">
        <v>0</v>
      </c>
      <c r="M995" t="n">
        <v>0</v>
      </c>
      <c r="N995" t="n">
        <v>0</v>
      </c>
      <c r="O995" t="n">
        <v>0</v>
      </c>
      <c r="P995" t="n">
        <v>0</v>
      </c>
      <c r="Q995" t="n">
        <v>0</v>
      </c>
      <c r="R995" t="n">
        <v>0</v>
      </c>
      <c r="S995" t="n">
        <v>0</v>
      </c>
      <c r="T995" t="n">
        <v>0</v>
      </c>
      <c r="U995" t="n">
        <v>0</v>
      </c>
      <c r="V995" s="2" t="inlineStr"/>
    </row>
    <row r="996" ht="15" customHeight="1">
      <c r="A996" t="inlineStr">
        <is>
          <t>A 69597-2021</t>
        </is>
      </c>
      <c r="B996" t="inlineStr">
        <is>
          <t>avverkningsanmälan</t>
        </is>
      </c>
      <c r="C996" t="inlineStr">
        <is>
          <t>Föryngringsavverkning</t>
        </is>
      </c>
      <c r="D996" s="1" t="n">
        <v>44532</v>
      </c>
      <c r="E996" s="1" t="n">
        <v>46309</v>
      </c>
      <c r="F996" t="inlineStr">
        <is>
          <t>UPPSALA LÄN</t>
        </is>
      </c>
      <c r="G996" t="inlineStr">
        <is>
          <t>HEBY</t>
        </is>
      </c>
      <c r="I996" t="n">
        <v>0.6</v>
      </c>
      <c r="J996" t="n">
        <v>0</v>
      </c>
      <c r="K996" t="n">
        <v>0</v>
      </c>
      <c r="L996" t="n">
        <v>0</v>
      </c>
      <c r="M996" t="n">
        <v>0</v>
      </c>
      <c r="N996" t="n">
        <v>0</v>
      </c>
      <c r="O996" t="n">
        <v>0</v>
      </c>
      <c r="P996" t="n">
        <v>0</v>
      </c>
      <c r="Q996" t="n">
        <v>0</v>
      </c>
      <c r="R996" t="n">
        <v>0</v>
      </c>
      <c r="S996" t="n">
        <v>0</v>
      </c>
      <c r="T996" t="n">
        <v>0</v>
      </c>
      <c r="U996" t="n">
        <v>0</v>
      </c>
      <c r="V996" s="2" t="inlineStr"/>
    </row>
    <row r="997" ht="15" customHeight="1">
      <c r="A997" t="inlineStr">
        <is>
          <t>A 29391-2022</t>
        </is>
      </c>
      <c r="B997" t="inlineStr">
        <is>
          <t>avverkningsanmälan</t>
        </is>
      </c>
      <c r="C997" t="inlineStr">
        <is>
          <t>Föryngringsavverkning</t>
        </is>
      </c>
      <c r="D997" s="1" t="n">
        <v>44753</v>
      </c>
      <c r="E997" s="1" t="n">
        <v>46309</v>
      </c>
      <c r="F997" t="inlineStr">
        <is>
          <t>UPPSALA LÄN</t>
        </is>
      </c>
      <c r="G997" t="inlineStr">
        <is>
          <t>HEBY</t>
        </is>
      </c>
      <c r="I997" t="n">
        <v>0.4</v>
      </c>
      <c r="J997" t="n">
        <v>0</v>
      </c>
      <c r="K997" t="n">
        <v>0</v>
      </c>
      <c r="L997" t="n">
        <v>0</v>
      </c>
      <c r="M997" t="n">
        <v>0</v>
      </c>
      <c r="N997" t="n">
        <v>0</v>
      </c>
      <c r="O997" t="n">
        <v>0</v>
      </c>
      <c r="P997" t="n">
        <v>0</v>
      </c>
      <c r="Q997" t="n">
        <v>0</v>
      </c>
      <c r="R997" t="n">
        <v>0</v>
      </c>
      <c r="S997" t="n">
        <v>0</v>
      </c>
      <c r="T997" t="n">
        <v>0</v>
      </c>
      <c r="U997" t="n">
        <v>0</v>
      </c>
      <c r="V997" s="2" t="inlineStr"/>
    </row>
    <row r="998" ht="15" customHeight="1">
      <c r="A998" t="inlineStr">
        <is>
          <t>A 1462-2022</t>
        </is>
      </c>
      <c r="B998" t="inlineStr">
        <is>
          <t>avverkningsanmälan</t>
        </is>
      </c>
      <c r="C998" t="inlineStr">
        <is>
          <t>Avverkning för annat ändamål</t>
        </is>
      </c>
      <c r="D998" s="1" t="n">
        <v>44573</v>
      </c>
      <c r="E998" s="1" t="n">
        <v>46309</v>
      </c>
      <c r="F998" t="inlineStr">
        <is>
          <t>UPPSALA LÄN</t>
        </is>
      </c>
      <c r="G998" t="inlineStr">
        <is>
          <t>HEBY</t>
        </is>
      </c>
      <c r="I998" t="n">
        <v>0.7</v>
      </c>
      <c r="J998" t="n">
        <v>0</v>
      </c>
      <c r="K998" t="n">
        <v>0</v>
      </c>
      <c r="L998" t="n">
        <v>0</v>
      </c>
      <c r="M998" t="n">
        <v>0</v>
      </c>
      <c r="N998" t="n">
        <v>0</v>
      </c>
      <c r="O998" t="n">
        <v>0</v>
      </c>
      <c r="P998" t="n">
        <v>0</v>
      </c>
      <c r="Q998" t="n">
        <v>0</v>
      </c>
      <c r="R998" t="n">
        <v>0</v>
      </c>
      <c r="S998" t="n">
        <v>0</v>
      </c>
      <c r="T998" t="n">
        <v>0</v>
      </c>
      <c r="U998" t="n">
        <v>0</v>
      </c>
      <c r="V998" s="2" t="inlineStr"/>
    </row>
    <row r="999" ht="15" customHeight="1">
      <c r="A999" t="inlineStr">
        <is>
          <t>A 8850-2022</t>
        </is>
      </c>
      <c r="B999" t="inlineStr">
        <is>
          <t>avverkningsanmälan</t>
        </is>
      </c>
      <c r="C999" t="inlineStr">
        <is>
          <t>Föryngringsavverkning</t>
        </is>
      </c>
      <c r="D999" s="1" t="n">
        <v>44614</v>
      </c>
      <c r="E999" s="1" t="n">
        <v>46309</v>
      </c>
      <c r="F999" t="inlineStr">
        <is>
          <t>UPPSALA LÄN</t>
        </is>
      </c>
      <c r="G999" t="inlineStr">
        <is>
          <t>HEBY</t>
        </is>
      </c>
      <c r="I999" t="n">
        <v>0.5</v>
      </c>
      <c r="J999" t="n">
        <v>0</v>
      </c>
      <c r="K999" t="n">
        <v>0</v>
      </c>
      <c r="L999" t="n">
        <v>0</v>
      </c>
      <c r="M999" t="n">
        <v>0</v>
      </c>
      <c r="N999" t="n">
        <v>0</v>
      </c>
      <c r="O999" t="n">
        <v>0</v>
      </c>
      <c r="P999" t="n">
        <v>0</v>
      </c>
      <c r="Q999" t="n">
        <v>0</v>
      </c>
      <c r="R999" t="n">
        <v>0</v>
      </c>
      <c r="S999" t="n">
        <v>0</v>
      </c>
      <c r="T999" t="n">
        <v>0</v>
      </c>
      <c r="U999" t="n">
        <v>0</v>
      </c>
      <c r="V999" s="2" t="inlineStr"/>
    </row>
    <row r="1000" ht="15" customHeight="1">
      <c r="A1000" t="inlineStr">
        <is>
          <t>A 15377-2022</t>
        </is>
      </c>
      <c r="B1000" t="inlineStr">
        <is>
          <t>avverkningsanmälan</t>
        </is>
      </c>
      <c r="C1000" t="inlineStr">
        <is>
          <t>Föryngringsavverkning</t>
        </is>
      </c>
      <c r="D1000" s="1" t="n">
        <v>44659</v>
      </c>
      <c r="E1000" s="1" t="n">
        <v>46309</v>
      </c>
      <c r="F1000" t="inlineStr">
        <is>
          <t>UPPSALA LÄN</t>
        </is>
      </c>
      <c r="G1000" t="inlineStr">
        <is>
          <t>UPPSALA</t>
        </is>
      </c>
      <c r="H1000" t="inlineStr">
        <is>
          <t>Bergvik skog öst AB</t>
        </is>
      </c>
      <c r="I1000" t="n">
        <v>0.5</v>
      </c>
      <c r="J1000" t="n">
        <v>0</v>
      </c>
      <c r="K1000" t="n">
        <v>0</v>
      </c>
      <c r="L1000" t="n">
        <v>0</v>
      </c>
      <c r="M1000" t="n">
        <v>0</v>
      </c>
      <c r="N1000" t="n">
        <v>0</v>
      </c>
      <c r="O1000" t="n">
        <v>0</v>
      </c>
      <c r="P1000" t="n">
        <v>0</v>
      </c>
      <c r="Q1000" t="n">
        <v>0</v>
      </c>
      <c r="R1000" t="n">
        <v>0</v>
      </c>
      <c r="S1000" t="n">
        <v>0</v>
      </c>
      <c r="T1000" t="n">
        <v>0</v>
      </c>
      <c r="U1000" t="n">
        <v>0</v>
      </c>
      <c r="V1000" s="2" t="inlineStr"/>
    </row>
    <row r="1001" ht="15" customHeight="1">
      <c r="A1001" t="inlineStr">
        <is>
          <t>A 10464-2022</t>
        </is>
      </c>
      <c r="B1001" t="inlineStr">
        <is>
          <t>avverkningsanmälan</t>
        </is>
      </c>
      <c r="C1001" t="inlineStr">
        <is>
          <t>Föryngringsavverkning</t>
        </is>
      </c>
      <c r="D1001" s="1" t="n">
        <v>44623</v>
      </c>
      <c r="E1001" s="1" t="n">
        <v>46309</v>
      </c>
      <c r="F1001" t="inlineStr">
        <is>
          <t>UPPSALA LÄN</t>
        </is>
      </c>
      <c r="G1001" t="inlineStr">
        <is>
          <t>UPPSALA</t>
        </is>
      </c>
      <c r="H1001" t="inlineStr">
        <is>
          <t>Övriga Aktiebolag</t>
        </is>
      </c>
      <c r="I1001" t="n">
        <v>0.7</v>
      </c>
      <c r="J1001" t="n">
        <v>0</v>
      </c>
      <c r="K1001" t="n">
        <v>0</v>
      </c>
      <c r="L1001" t="n">
        <v>0</v>
      </c>
      <c r="M1001" t="n">
        <v>0</v>
      </c>
      <c r="N1001" t="n">
        <v>0</v>
      </c>
      <c r="O1001" t="n">
        <v>0</v>
      </c>
      <c r="P1001" t="n">
        <v>0</v>
      </c>
      <c r="Q1001" t="n">
        <v>0</v>
      </c>
      <c r="R1001" t="n">
        <v>0</v>
      </c>
      <c r="S1001" t="n">
        <v>0</v>
      </c>
      <c r="T1001" t="n">
        <v>0</v>
      </c>
      <c r="U1001" t="n">
        <v>0</v>
      </c>
      <c r="V1001" s="2" t="inlineStr"/>
    </row>
    <row r="1002" ht="15" customHeight="1">
      <c r="A1002" t="inlineStr">
        <is>
          <t>A 34061-2022</t>
        </is>
      </c>
      <c r="B1002" t="inlineStr">
        <is>
          <t>avverkningsanmälan</t>
        </is>
      </c>
      <c r="C1002" t="inlineStr">
        <is>
          <t>Föryngringsavverkning</t>
        </is>
      </c>
      <c r="D1002" s="1" t="n">
        <v>44791</v>
      </c>
      <c r="E1002" s="1" t="n">
        <v>46309</v>
      </c>
      <c r="F1002" t="inlineStr">
        <is>
          <t>UPPSALA LÄN</t>
        </is>
      </c>
      <c r="G1002" t="inlineStr">
        <is>
          <t>UPPSALA</t>
        </is>
      </c>
      <c r="H1002" t="inlineStr">
        <is>
          <t>Bergvik skog öst AB</t>
        </is>
      </c>
      <c r="I1002" t="n">
        <v>0.8</v>
      </c>
      <c r="J1002" t="n">
        <v>0</v>
      </c>
      <c r="K1002" t="n">
        <v>0</v>
      </c>
      <c r="L1002" t="n">
        <v>0</v>
      </c>
      <c r="M1002" t="n">
        <v>0</v>
      </c>
      <c r="N1002" t="n">
        <v>0</v>
      </c>
      <c r="O1002" t="n">
        <v>0</v>
      </c>
      <c r="P1002" t="n">
        <v>0</v>
      </c>
      <c r="Q1002" t="n">
        <v>0</v>
      </c>
      <c r="R1002" t="n">
        <v>0</v>
      </c>
      <c r="S1002" t="n">
        <v>0</v>
      </c>
      <c r="T1002" t="n">
        <v>0</v>
      </c>
      <c r="U1002" t="n">
        <v>0</v>
      </c>
      <c r="V1002" s="2" t="inlineStr"/>
    </row>
    <row r="1003" ht="15" customHeight="1">
      <c r="A1003" t="inlineStr">
        <is>
          <t>A 10780-2022</t>
        </is>
      </c>
      <c r="B1003" t="inlineStr">
        <is>
          <t>avverkningsanmälan</t>
        </is>
      </c>
      <c r="C1003" t="inlineStr">
        <is>
          <t>Föryngringsavverkning</t>
        </is>
      </c>
      <c r="D1003" s="1" t="n">
        <v>44627</v>
      </c>
      <c r="E1003" s="1" t="n">
        <v>46309</v>
      </c>
      <c r="F1003" t="inlineStr">
        <is>
          <t>UPPSALA LÄN</t>
        </is>
      </c>
      <c r="G1003" t="inlineStr">
        <is>
          <t>TIERP</t>
        </is>
      </c>
      <c r="I1003" t="n">
        <v>0.5</v>
      </c>
      <c r="J1003" t="n">
        <v>0</v>
      </c>
      <c r="K1003" t="n">
        <v>0</v>
      </c>
      <c r="L1003" t="n">
        <v>0</v>
      </c>
      <c r="M1003" t="n">
        <v>0</v>
      </c>
      <c r="N1003" t="n">
        <v>0</v>
      </c>
      <c r="O1003" t="n">
        <v>0</v>
      </c>
      <c r="P1003" t="n">
        <v>0</v>
      </c>
      <c r="Q1003" t="n">
        <v>0</v>
      </c>
      <c r="R1003" t="n">
        <v>0</v>
      </c>
      <c r="S1003" t="n">
        <v>0</v>
      </c>
      <c r="T1003" t="n">
        <v>0</v>
      </c>
      <c r="U1003" t="n">
        <v>0</v>
      </c>
      <c r="V1003" s="2" t="inlineStr"/>
    </row>
    <row r="1004" ht="15" customHeight="1">
      <c r="A1004" t="inlineStr">
        <is>
          <t>A 10785-2022</t>
        </is>
      </c>
      <c r="B1004" t="inlineStr">
        <is>
          <t>avverkningsanmälan</t>
        </is>
      </c>
      <c r="C1004" t="inlineStr">
        <is>
          <t>Föryngringsavverkning</t>
        </is>
      </c>
      <c r="D1004" s="1" t="n">
        <v>44627</v>
      </c>
      <c r="E1004" s="1" t="n">
        <v>46309</v>
      </c>
      <c r="F1004" t="inlineStr">
        <is>
          <t>UPPSALA LÄN</t>
        </is>
      </c>
      <c r="G1004" t="inlineStr">
        <is>
          <t>TIERP</t>
        </is>
      </c>
      <c r="I1004" t="n">
        <v>0.4</v>
      </c>
      <c r="J1004" t="n">
        <v>0</v>
      </c>
      <c r="K1004" t="n">
        <v>0</v>
      </c>
      <c r="L1004" t="n">
        <v>0</v>
      </c>
      <c r="M1004" t="n">
        <v>0</v>
      </c>
      <c r="N1004" t="n">
        <v>0</v>
      </c>
      <c r="O1004" t="n">
        <v>0</v>
      </c>
      <c r="P1004" t="n">
        <v>0</v>
      </c>
      <c r="Q1004" t="n">
        <v>0</v>
      </c>
      <c r="R1004" t="n">
        <v>0</v>
      </c>
      <c r="S1004" t="n">
        <v>0</v>
      </c>
      <c r="T1004" t="n">
        <v>0</v>
      </c>
      <c r="U1004" t="n">
        <v>0</v>
      </c>
      <c r="V1004" s="2" t="inlineStr"/>
    </row>
    <row r="1005" ht="15" customHeight="1">
      <c r="A1005" t="inlineStr">
        <is>
          <t>A 35411-2022</t>
        </is>
      </c>
      <c r="B1005" t="inlineStr">
        <is>
          <t>avverkningsanmälan</t>
        </is>
      </c>
      <c r="C1005" t="inlineStr">
        <is>
          <t>Föryngringsavverkning</t>
        </is>
      </c>
      <c r="D1005" s="1" t="n">
        <v>44798</v>
      </c>
      <c r="E1005" s="1" t="n">
        <v>46309</v>
      </c>
      <c r="F1005" t="inlineStr">
        <is>
          <t>UPPSALA LÄN</t>
        </is>
      </c>
      <c r="G1005" t="inlineStr">
        <is>
          <t>UPPSALA</t>
        </is>
      </c>
      <c r="I1005" t="n">
        <v>0.5</v>
      </c>
      <c r="J1005" t="n">
        <v>0</v>
      </c>
      <c r="K1005" t="n">
        <v>0</v>
      </c>
      <c r="L1005" t="n">
        <v>0</v>
      </c>
      <c r="M1005" t="n">
        <v>0</v>
      </c>
      <c r="N1005" t="n">
        <v>0</v>
      </c>
      <c r="O1005" t="n">
        <v>0</v>
      </c>
      <c r="P1005" t="n">
        <v>0</v>
      </c>
      <c r="Q1005" t="n">
        <v>0</v>
      </c>
      <c r="R1005" t="n">
        <v>0</v>
      </c>
      <c r="S1005" t="n">
        <v>0</v>
      </c>
      <c r="T1005" t="n">
        <v>0</v>
      </c>
      <c r="U1005" t="n">
        <v>0</v>
      </c>
      <c r="V1005" s="2" t="inlineStr"/>
    </row>
    <row r="1006" ht="15" customHeight="1">
      <c r="A1006" t="inlineStr">
        <is>
          <t>A 28881-2022</t>
        </is>
      </c>
      <c r="B1006" t="inlineStr">
        <is>
          <t>avverkningsanmälan</t>
        </is>
      </c>
      <c r="C1006" t="inlineStr">
        <is>
          <t>Föryngringsavverkning</t>
        </is>
      </c>
      <c r="D1006" s="1" t="n">
        <v>44749</v>
      </c>
      <c r="E1006" s="1" t="n">
        <v>46309</v>
      </c>
      <c r="F1006" t="inlineStr">
        <is>
          <t>UPPSALA LÄN</t>
        </is>
      </c>
      <c r="G1006" t="inlineStr">
        <is>
          <t>TIERP</t>
        </is>
      </c>
      <c r="I1006" t="n">
        <v>1.7</v>
      </c>
      <c r="J1006" t="n">
        <v>0</v>
      </c>
      <c r="K1006" t="n">
        <v>0</v>
      </c>
      <c r="L1006" t="n">
        <v>0</v>
      </c>
      <c r="M1006" t="n">
        <v>0</v>
      </c>
      <c r="N1006" t="n">
        <v>0</v>
      </c>
      <c r="O1006" t="n">
        <v>0</v>
      </c>
      <c r="P1006" t="n">
        <v>0</v>
      </c>
      <c r="Q1006" t="n">
        <v>0</v>
      </c>
      <c r="R1006" t="n">
        <v>0</v>
      </c>
      <c r="S1006" t="n">
        <v>0</v>
      </c>
      <c r="T1006" t="n">
        <v>0</v>
      </c>
      <c r="U1006" t="n">
        <v>0</v>
      </c>
      <c r="V1006" s="2" t="inlineStr"/>
    </row>
    <row r="1007" ht="15" customHeight="1">
      <c r="A1007" t="inlineStr">
        <is>
          <t>A 72967-2021</t>
        </is>
      </c>
      <c r="B1007" t="inlineStr">
        <is>
          <t>avverkningsanmälan</t>
        </is>
      </c>
      <c r="C1007" t="inlineStr">
        <is>
          <t>Föryngringsavverkning</t>
        </is>
      </c>
      <c r="D1007" s="1" t="n">
        <v>44548</v>
      </c>
      <c r="E1007" s="1" t="n">
        <v>46309</v>
      </c>
      <c r="F1007" t="inlineStr">
        <is>
          <t>UPPSALA LÄN</t>
        </is>
      </c>
      <c r="G1007" t="inlineStr">
        <is>
          <t>KNIVSTA</t>
        </is>
      </c>
      <c r="I1007" t="n">
        <v>1.1</v>
      </c>
      <c r="J1007" t="n">
        <v>0</v>
      </c>
      <c r="K1007" t="n">
        <v>0</v>
      </c>
      <c r="L1007" t="n">
        <v>0</v>
      </c>
      <c r="M1007" t="n">
        <v>0</v>
      </c>
      <c r="N1007" t="n">
        <v>0</v>
      </c>
      <c r="O1007" t="n">
        <v>0</v>
      </c>
      <c r="P1007" t="n">
        <v>0</v>
      </c>
      <c r="Q1007" t="n">
        <v>0</v>
      </c>
      <c r="R1007" t="n">
        <v>0</v>
      </c>
      <c r="S1007" t="n">
        <v>0</v>
      </c>
      <c r="T1007" t="n">
        <v>0</v>
      </c>
      <c r="U1007" t="n">
        <v>0</v>
      </c>
      <c r="V1007" s="2" t="inlineStr"/>
    </row>
    <row r="1008" ht="15" customHeight="1">
      <c r="A1008" t="inlineStr">
        <is>
          <t>A 32326-2022</t>
        </is>
      </c>
      <c r="B1008" t="inlineStr">
        <is>
          <t>avverkningsanmälan</t>
        </is>
      </c>
      <c r="C1008" t="inlineStr">
        <is>
          <t>Föryngringsavverkning</t>
        </is>
      </c>
      <c r="D1008" s="1" t="n">
        <v>44781</v>
      </c>
      <c r="E1008" s="1" t="n">
        <v>46309</v>
      </c>
      <c r="F1008" t="inlineStr">
        <is>
          <t>UPPSALA LÄN</t>
        </is>
      </c>
      <c r="G1008" t="inlineStr">
        <is>
          <t>TIERP</t>
        </is>
      </c>
      <c r="I1008" t="n">
        <v>3.6</v>
      </c>
      <c r="J1008" t="n">
        <v>0</v>
      </c>
      <c r="K1008" t="n">
        <v>0</v>
      </c>
      <c r="L1008" t="n">
        <v>0</v>
      </c>
      <c r="M1008" t="n">
        <v>0</v>
      </c>
      <c r="N1008" t="n">
        <v>0</v>
      </c>
      <c r="O1008" t="n">
        <v>0</v>
      </c>
      <c r="P1008" t="n">
        <v>0</v>
      </c>
      <c r="Q1008" t="n">
        <v>0</v>
      </c>
      <c r="R1008" t="n">
        <v>0</v>
      </c>
      <c r="S1008" t="n">
        <v>0</v>
      </c>
      <c r="T1008" t="n">
        <v>0</v>
      </c>
      <c r="U1008" t="n">
        <v>0</v>
      </c>
      <c r="V1008" s="2" t="inlineStr"/>
    </row>
    <row r="1009" ht="15" customHeight="1">
      <c r="A1009" t="inlineStr">
        <is>
          <t>A 43855-2023</t>
        </is>
      </c>
      <c r="B1009" t="inlineStr">
        <is>
          <t>avverkningsanmälan</t>
        </is>
      </c>
      <c r="C1009" t="inlineStr">
        <is>
          <t>Föryngringsavverkning</t>
        </is>
      </c>
      <c r="D1009" s="1" t="n">
        <v>45187</v>
      </c>
      <c r="E1009" s="1" t="n">
        <v>46309</v>
      </c>
      <c r="F1009" t="inlineStr">
        <is>
          <t>UPPSALA LÄN</t>
        </is>
      </c>
      <c r="G1009" t="inlineStr">
        <is>
          <t>UPPSALA</t>
        </is>
      </c>
      <c r="H1009" t="inlineStr">
        <is>
          <t>Bergvik skog öst AB</t>
        </is>
      </c>
      <c r="I1009" t="n">
        <v>2</v>
      </c>
      <c r="J1009" t="n">
        <v>0</v>
      </c>
      <c r="K1009" t="n">
        <v>0</v>
      </c>
      <c r="L1009" t="n">
        <v>0</v>
      </c>
      <c r="M1009" t="n">
        <v>0</v>
      </c>
      <c r="N1009" t="n">
        <v>0</v>
      </c>
      <c r="O1009" t="n">
        <v>0</v>
      </c>
      <c r="P1009" t="n">
        <v>0</v>
      </c>
      <c r="Q1009" t="n">
        <v>0</v>
      </c>
      <c r="R1009" t="n">
        <v>0</v>
      </c>
      <c r="S1009" t="n">
        <v>0</v>
      </c>
      <c r="T1009" t="n">
        <v>0</v>
      </c>
      <c r="U1009" t="n">
        <v>0</v>
      </c>
      <c r="V1009" s="2" t="inlineStr"/>
    </row>
    <row r="1010" ht="15" customHeight="1">
      <c r="A1010" t="inlineStr">
        <is>
          <t>A 13464-2024</t>
        </is>
      </c>
      <c r="B1010" t="inlineStr">
        <is>
          <t>avverkningsanmälan</t>
        </is>
      </c>
      <c r="C1010" t="inlineStr">
        <is>
          <t>Föryngringsavverkning</t>
        </is>
      </c>
      <c r="D1010" s="1" t="n">
        <v>45387</v>
      </c>
      <c r="E1010" s="1" t="n">
        <v>46309</v>
      </c>
      <c r="F1010" t="inlineStr">
        <is>
          <t>UPPSALA LÄN</t>
        </is>
      </c>
      <c r="G1010" t="inlineStr">
        <is>
          <t>TIERP</t>
        </is>
      </c>
      <c r="H1010" t="inlineStr">
        <is>
          <t>Bergvik skog väst AB</t>
        </is>
      </c>
      <c r="I1010" t="n">
        <v>2.5</v>
      </c>
      <c r="J1010" t="n">
        <v>0</v>
      </c>
      <c r="K1010" t="n">
        <v>0</v>
      </c>
      <c r="L1010" t="n">
        <v>0</v>
      </c>
      <c r="M1010" t="n">
        <v>0</v>
      </c>
      <c r="N1010" t="n">
        <v>0</v>
      </c>
      <c r="O1010" t="n">
        <v>0</v>
      </c>
      <c r="P1010" t="n">
        <v>0</v>
      </c>
      <c r="Q1010" t="n">
        <v>0</v>
      </c>
      <c r="R1010" t="n">
        <v>0</v>
      </c>
      <c r="S1010" t="n">
        <v>0</v>
      </c>
      <c r="T1010" t="n">
        <v>0</v>
      </c>
      <c r="U1010" t="n">
        <v>0</v>
      </c>
      <c r="V1010" s="2" t="inlineStr"/>
    </row>
    <row r="1011" ht="15" customHeight="1">
      <c r="A1011" t="inlineStr">
        <is>
          <t>A 5211-2024</t>
        </is>
      </c>
      <c r="B1011" t="inlineStr">
        <is>
          <t>avverkningsanmälan</t>
        </is>
      </c>
      <c r="C1011" t="inlineStr">
        <is>
          <t>Föryngringsavverkning</t>
        </is>
      </c>
      <c r="D1011" s="1" t="n">
        <v>45330</v>
      </c>
      <c r="E1011" s="1" t="n">
        <v>46309</v>
      </c>
      <c r="F1011" t="inlineStr">
        <is>
          <t>UPPSALA LÄN</t>
        </is>
      </c>
      <c r="G1011" t="inlineStr">
        <is>
          <t>ENKÖPING</t>
        </is>
      </c>
      <c r="I1011" t="n">
        <v>0.8</v>
      </c>
      <c r="J1011" t="n">
        <v>0</v>
      </c>
      <c r="K1011" t="n">
        <v>0</v>
      </c>
      <c r="L1011" t="n">
        <v>0</v>
      </c>
      <c r="M1011" t="n">
        <v>0</v>
      </c>
      <c r="N1011" t="n">
        <v>0</v>
      </c>
      <c r="O1011" t="n">
        <v>0</v>
      </c>
      <c r="P1011" t="n">
        <v>0</v>
      </c>
      <c r="Q1011" t="n">
        <v>0</v>
      </c>
      <c r="R1011" t="n">
        <v>0</v>
      </c>
      <c r="S1011" t="n">
        <v>0</v>
      </c>
      <c r="T1011" t="n">
        <v>0</v>
      </c>
      <c r="U1011" t="n">
        <v>0</v>
      </c>
      <c r="V1011" s="2" t="inlineStr"/>
    </row>
    <row r="1012" ht="15" customHeight="1">
      <c r="A1012" t="inlineStr">
        <is>
          <t>A 38702-2022</t>
        </is>
      </c>
      <c r="B1012" t="inlineStr">
        <is>
          <t>avverkningsanmälan</t>
        </is>
      </c>
      <c r="C1012" t="inlineStr">
        <is>
          <t>Föryngringsavverkning</t>
        </is>
      </c>
      <c r="D1012" s="1" t="n">
        <v>44814</v>
      </c>
      <c r="E1012" s="1" t="n">
        <v>46309</v>
      </c>
      <c r="F1012" t="inlineStr">
        <is>
          <t>UPPSALA LÄN</t>
        </is>
      </c>
      <c r="G1012" t="inlineStr">
        <is>
          <t>ÖSTHAMMAR</t>
        </is>
      </c>
      <c r="I1012" t="n">
        <v>1.2</v>
      </c>
      <c r="J1012" t="n">
        <v>0</v>
      </c>
      <c r="K1012" t="n">
        <v>0</v>
      </c>
      <c r="L1012" t="n">
        <v>0</v>
      </c>
      <c r="M1012" t="n">
        <v>0</v>
      </c>
      <c r="N1012" t="n">
        <v>0</v>
      </c>
      <c r="O1012" t="n">
        <v>0</v>
      </c>
      <c r="P1012" t="n">
        <v>0</v>
      </c>
      <c r="Q1012" t="n">
        <v>0</v>
      </c>
      <c r="R1012" t="n">
        <v>0</v>
      </c>
      <c r="S1012" t="n">
        <v>0</v>
      </c>
      <c r="T1012" t="n">
        <v>0</v>
      </c>
      <c r="U1012" t="n">
        <v>0</v>
      </c>
      <c r="V1012" s="2" t="inlineStr"/>
    </row>
    <row r="1013" ht="15" customHeight="1">
      <c r="A1013" t="inlineStr">
        <is>
          <t>A 12489-2024</t>
        </is>
      </c>
      <c r="B1013" t="inlineStr">
        <is>
          <t>avverkningsanmälan</t>
        </is>
      </c>
      <c r="C1013" t="inlineStr">
        <is>
          <t>Föryngringsavverkning</t>
        </is>
      </c>
      <c r="D1013" s="1" t="n">
        <v>45379</v>
      </c>
      <c r="E1013" s="1" t="n">
        <v>46309</v>
      </c>
      <c r="F1013" t="inlineStr">
        <is>
          <t>UPPSALA LÄN</t>
        </is>
      </c>
      <c r="G1013" t="inlineStr">
        <is>
          <t>HEBY</t>
        </is>
      </c>
      <c r="I1013" t="n">
        <v>1.5</v>
      </c>
      <c r="J1013" t="n">
        <v>0</v>
      </c>
      <c r="K1013" t="n">
        <v>0</v>
      </c>
      <c r="L1013" t="n">
        <v>0</v>
      </c>
      <c r="M1013" t="n">
        <v>0</v>
      </c>
      <c r="N1013" t="n">
        <v>0</v>
      </c>
      <c r="O1013" t="n">
        <v>0</v>
      </c>
      <c r="P1013" t="n">
        <v>0</v>
      </c>
      <c r="Q1013" t="n">
        <v>0</v>
      </c>
      <c r="R1013" t="n">
        <v>0</v>
      </c>
      <c r="S1013" t="n">
        <v>0</v>
      </c>
      <c r="T1013" t="n">
        <v>0</v>
      </c>
      <c r="U1013" t="n">
        <v>0</v>
      </c>
      <c r="V1013" s="2" t="inlineStr"/>
    </row>
    <row r="1014" ht="15" customHeight="1">
      <c r="A1014" t="inlineStr">
        <is>
          <t>A 4044-2024</t>
        </is>
      </c>
      <c r="B1014" t="inlineStr">
        <is>
          <t>avverkningsanmälan</t>
        </is>
      </c>
      <c r="C1014" t="inlineStr">
        <is>
          <t>Föryngringsavverkning</t>
        </is>
      </c>
      <c r="D1014" s="1" t="n">
        <v>45323</v>
      </c>
      <c r="E1014" s="1" t="n">
        <v>46309</v>
      </c>
      <c r="F1014" t="inlineStr">
        <is>
          <t>UPPSALA LÄN</t>
        </is>
      </c>
      <c r="G1014" t="inlineStr">
        <is>
          <t>ENKÖPING</t>
        </is>
      </c>
      <c r="I1014" t="n">
        <v>2.1</v>
      </c>
      <c r="J1014" t="n">
        <v>0</v>
      </c>
      <c r="K1014" t="n">
        <v>0</v>
      </c>
      <c r="L1014" t="n">
        <v>0</v>
      </c>
      <c r="M1014" t="n">
        <v>0</v>
      </c>
      <c r="N1014" t="n">
        <v>0</v>
      </c>
      <c r="O1014" t="n">
        <v>0</v>
      </c>
      <c r="P1014" t="n">
        <v>0</v>
      </c>
      <c r="Q1014" t="n">
        <v>0</v>
      </c>
      <c r="R1014" t="n">
        <v>0</v>
      </c>
      <c r="S1014" t="n">
        <v>0</v>
      </c>
      <c r="T1014" t="n">
        <v>0</v>
      </c>
      <c r="U1014" t="n">
        <v>0</v>
      </c>
      <c r="V1014" s="2" t="inlineStr"/>
    </row>
    <row r="1015" ht="15" customHeight="1">
      <c r="A1015" t="inlineStr">
        <is>
          <t>A 11173-2024</t>
        </is>
      </c>
      <c r="B1015" t="inlineStr">
        <is>
          <t>avverkningsanmälan</t>
        </is>
      </c>
      <c r="C1015" t="inlineStr">
        <is>
          <t>Föryngringsavverkning</t>
        </is>
      </c>
      <c r="D1015" s="1" t="n">
        <v>45371</v>
      </c>
      <c r="E1015" s="1" t="n">
        <v>46309</v>
      </c>
      <c r="F1015" t="inlineStr">
        <is>
          <t>UPPSALA LÄN</t>
        </is>
      </c>
      <c r="G1015" t="inlineStr">
        <is>
          <t>UPPSALA</t>
        </is>
      </c>
      <c r="H1015" t="inlineStr">
        <is>
          <t>Bergvik skog öst AB</t>
        </is>
      </c>
      <c r="I1015" t="n">
        <v>0.9</v>
      </c>
      <c r="J1015" t="n">
        <v>0</v>
      </c>
      <c r="K1015" t="n">
        <v>0</v>
      </c>
      <c r="L1015" t="n">
        <v>0</v>
      </c>
      <c r="M1015" t="n">
        <v>0</v>
      </c>
      <c r="N1015" t="n">
        <v>0</v>
      </c>
      <c r="O1015" t="n">
        <v>0</v>
      </c>
      <c r="P1015" t="n">
        <v>0</v>
      </c>
      <c r="Q1015" t="n">
        <v>0</v>
      </c>
      <c r="R1015" t="n">
        <v>0</v>
      </c>
      <c r="S1015" t="n">
        <v>0</v>
      </c>
      <c r="T1015" t="n">
        <v>0</v>
      </c>
      <c r="U1015" t="n">
        <v>0</v>
      </c>
      <c r="V1015" s="2" t="inlineStr"/>
    </row>
    <row r="1016" ht="15" customHeight="1">
      <c r="A1016" t="inlineStr">
        <is>
          <t>A 36216-2022</t>
        </is>
      </c>
      <c r="B1016" t="inlineStr">
        <is>
          <t>avverkningsanmälan</t>
        </is>
      </c>
      <c r="C1016" t="inlineStr">
        <is>
          <t>Avverkning för annat ändamål</t>
        </is>
      </c>
      <c r="D1016" s="1" t="n">
        <v>44803</v>
      </c>
      <c r="E1016" s="1" t="n">
        <v>46309</v>
      </c>
      <c r="F1016" t="inlineStr">
        <is>
          <t>UPPSALA LÄN</t>
        </is>
      </c>
      <c r="G1016" t="inlineStr">
        <is>
          <t>ÄLVKARLEBY</t>
        </is>
      </c>
      <c r="H1016" t="inlineStr">
        <is>
          <t>Bergvik skog väst AB</t>
        </is>
      </c>
      <c r="I1016" t="n">
        <v>0.5</v>
      </c>
      <c r="J1016" t="n">
        <v>0</v>
      </c>
      <c r="K1016" t="n">
        <v>0</v>
      </c>
      <c r="L1016" t="n">
        <v>0</v>
      </c>
      <c r="M1016" t="n">
        <v>0</v>
      </c>
      <c r="N1016" t="n">
        <v>0</v>
      </c>
      <c r="O1016" t="n">
        <v>0</v>
      </c>
      <c r="P1016" t="n">
        <v>0</v>
      </c>
      <c r="Q1016" t="n">
        <v>0</v>
      </c>
      <c r="R1016" t="n">
        <v>0</v>
      </c>
      <c r="S1016" t="n">
        <v>0</v>
      </c>
      <c r="T1016" t="n">
        <v>0</v>
      </c>
      <c r="U1016" t="n">
        <v>0</v>
      </c>
      <c r="V1016" s="2" t="inlineStr"/>
    </row>
    <row r="1017" ht="15" customHeight="1">
      <c r="A1017" t="inlineStr">
        <is>
          <t>A 48588-2022</t>
        </is>
      </c>
      <c r="B1017" t="inlineStr">
        <is>
          <t>avverkningsanmälan</t>
        </is>
      </c>
      <c r="C1017" t="inlineStr">
        <is>
          <t>Föryngringsavverkning</t>
        </is>
      </c>
      <c r="D1017" s="1" t="n">
        <v>44859</v>
      </c>
      <c r="E1017" s="1" t="n">
        <v>46309</v>
      </c>
      <c r="F1017" t="inlineStr">
        <is>
          <t>UPPSALA LÄN</t>
        </is>
      </c>
      <c r="G1017" t="inlineStr">
        <is>
          <t>UPPSALA</t>
        </is>
      </c>
      <c r="I1017" t="n">
        <v>2</v>
      </c>
      <c r="J1017" t="n">
        <v>0</v>
      </c>
      <c r="K1017" t="n">
        <v>0</v>
      </c>
      <c r="L1017" t="n">
        <v>0</v>
      </c>
      <c r="M1017" t="n">
        <v>0</v>
      </c>
      <c r="N1017" t="n">
        <v>0</v>
      </c>
      <c r="O1017" t="n">
        <v>0</v>
      </c>
      <c r="P1017" t="n">
        <v>0</v>
      </c>
      <c r="Q1017" t="n">
        <v>0</v>
      </c>
      <c r="R1017" t="n">
        <v>0</v>
      </c>
      <c r="S1017" t="n">
        <v>0</v>
      </c>
      <c r="T1017" t="n">
        <v>0</v>
      </c>
      <c r="U1017" t="n">
        <v>0</v>
      </c>
      <c r="V1017" s="2" t="inlineStr"/>
    </row>
    <row r="1018" ht="15" customHeight="1">
      <c r="A1018" t="inlineStr">
        <is>
          <t>A 43032-2022</t>
        </is>
      </c>
      <c r="B1018" t="inlineStr">
        <is>
          <t>avverkningsanmälan</t>
        </is>
      </c>
      <c r="C1018" t="inlineStr">
        <is>
          <t>Föryngringsavverkning</t>
        </is>
      </c>
      <c r="D1018" s="1" t="n">
        <v>44832</v>
      </c>
      <c r="E1018" s="1" t="n">
        <v>46309</v>
      </c>
      <c r="F1018" t="inlineStr">
        <is>
          <t>UPPSALA LÄN</t>
        </is>
      </c>
      <c r="G1018" t="inlineStr">
        <is>
          <t>UPPSALA</t>
        </is>
      </c>
      <c r="I1018" t="n">
        <v>1.5</v>
      </c>
      <c r="J1018" t="n">
        <v>0</v>
      </c>
      <c r="K1018" t="n">
        <v>0</v>
      </c>
      <c r="L1018" t="n">
        <v>0</v>
      </c>
      <c r="M1018" t="n">
        <v>0</v>
      </c>
      <c r="N1018" t="n">
        <v>0</v>
      </c>
      <c r="O1018" t="n">
        <v>0</v>
      </c>
      <c r="P1018" t="n">
        <v>0</v>
      </c>
      <c r="Q1018" t="n">
        <v>0</v>
      </c>
      <c r="R1018" t="n">
        <v>0</v>
      </c>
      <c r="S1018" t="n">
        <v>0</v>
      </c>
      <c r="T1018" t="n">
        <v>0</v>
      </c>
      <c r="U1018" t="n">
        <v>0</v>
      </c>
      <c r="V1018" s="2" t="inlineStr"/>
    </row>
    <row r="1019" ht="15" customHeight="1">
      <c r="A1019" t="inlineStr">
        <is>
          <t>A 48571-2023</t>
        </is>
      </c>
      <c r="B1019" t="inlineStr">
        <is>
          <t>avverkningsanmälan</t>
        </is>
      </c>
      <c r="C1019" t="inlineStr">
        <is>
          <t>Föryngringsavverkning</t>
        </is>
      </c>
      <c r="D1019" s="1" t="n">
        <v>45208</v>
      </c>
      <c r="E1019" s="1" t="n">
        <v>46309</v>
      </c>
      <c r="F1019" t="inlineStr">
        <is>
          <t>UPPSALA LÄN</t>
        </is>
      </c>
      <c r="G1019" t="inlineStr">
        <is>
          <t>UPPSALA</t>
        </is>
      </c>
      <c r="I1019" t="n">
        <v>1.8</v>
      </c>
      <c r="J1019" t="n">
        <v>0</v>
      </c>
      <c r="K1019" t="n">
        <v>0</v>
      </c>
      <c r="L1019" t="n">
        <v>0</v>
      </c>
      <c r="M1019" t="n">
        <v>0</v>
      </c>
      <c r="N1019" t="n">
        <v>0</v>
      </c>
      <c r="O1019" t="n">
        <v>0</v>
      </c>
      <c r="P1019" t="n">
        <v>0</v>
      </c>
      <c r="Q1019" t="n">
        <v>0</v>
      </c>
      <c r="R1019" t="n">
        <v>0</v>
      </c>
      <c r="S1019" t="n">
        <v>0</v>
      </c>
      <c r="T1019" t="n">
        <v>0</v>
      </c>
      <c r="U1019" t="n">
        <v>0</v>
      </c>
      <c r="V1019" s="2" t="inlineStr"/>
    </row>
    <row r="1020" ht="15" customHeight="1">
      <c r="A1020" t="inlineStr">
        <is>
          <t>A 5391-2024</t>
        </is>
      </c>
      <c r="B1020" t="inlineStr">
        <is>
          <t>avverkningsanmälan</t>
        </is>
      </c>
      <c r="C1020" t="inlineStr">
        <is>
          <t>Föryngringsavverkning</t>
        </is>
      </c>
      <c r="D1020" s="1" t="n">
        <v>45331</v>
      </c>
      <c r="E1020" s="1" t="n">
        <v>46309</v>
      </c>
      <c r="F1020" t="inlineStr">
        <is>
          <t>UPPSALA LÄN</t>
        </is>
      </c>
      <c r="G1020" t="inlineStr">
        <is>
          <t>HEBY</t>
        </is>
      </c>
      <c r="I1020" t="n">
        <v>1.8</v>
      </c>
      <c r="J1020" t="n">
        <v>0</v>
      </c>
      <c r="K1020" t="n">
        <v>0</v>
      </c>
      <c r="L1020" t="n">
        <v>0</v>
      </c>
      <c r="M1020" t="n">
        <v>0</v>
      </c>
      <c r="N1020" t="n">
        <v>0</v>
      </c>
      <c r="O1020" t="n">
        <v>0</v>
      </c>
      <c r="P1020" t="n">
        <v>0</v>
      </c>
      <c r="Q1020" t="n">
        <v>0</v>
      </c>
      <c r="R1020" t="n">
        <v>0</v>
      </c>
      <c r="S1020" t="n">
        <v>0</v>
      </c>
      <c r="T1020" t="n">
        <v>0</v>
      </c>
      <c r="U1020" t="n">
        <v>0</v>
      </c>
      <c r="V1020" s="2" t="inlineStr"/>
    </row>
    <row r="1021" ht="15" customHeight="1">
      <c r="A1021" t="inlineStr">
        <is>
          <t>A 6885-2024</t>
        </is>
      </c>
      <c r="B1021" t="inlineStr">
        <is>
          <t>avverkningsanmälan</t>
        </is>
      </c>
      <c r="C1021" t="inlineStr">
        <is>
          <t>Föryngringsavverkning</t>
        </is>
      </c>
      <c r="D1021" s="1" t="n">
        <v>45342</v>
      </c>
      <c r="E1021" s="1" t="n">
        <v>46309</v>
      </c>
      <c r="F1021" t="inlineStr">
        <is>
          <t>UPPSALA LÄN</t>
        </is>
      </c>
      <c r="G1021" t="inlineStr">
        <is>
          <t>HEBY</t>
        </is>
      </c>
      <c r="I1021" t="n">
        <v>1.9</v>
      </c>
      <c r="J1021" t="n">
        <v>0</v>
      </c>
      <c r="K1021" t="n">
        <v>0</v>
      </c>
      <c r="L1021" t="n">
        <v>0</v>
      </c>
      <c r="M1021" t="n">
        <v>0</v>
      </c>
      <c r="N1021" t="n">
        <v>0</v>
      </c>
      <c r="O1021" t="n">
        <v>0</v>
      </c>
      <c r="P1021" t="n">
        <v>0</v>
      </c>
      <c r="Q1021" t="n">
        <v>0</v>
      </c>
      <c r="R1021" t="n">
        <v>0</v>
      </c>
      <c r="S1021" t="n">
        <v>0</v>
      </c>
      <c r="T1021" t="n">
        <v>0</v>
      </c>
      <c r="U1021" t="n">
        <v>0</v>
      </c>
      <c r="V1021" s="2" t="inlineStr"/>
    </row>
    <row r="1022" ht="15" customHeight="1">
      <c r="A1022" t="inlineStr">
        <is>
          <t>A 34460-2022</t>
        </is>
      </c>
      <c r="B1022" t="inlineStr">
        <is>
          <t>avverkningsanmälan</t>
        </is>
      </c>
      <c r="C1022" t="inlineStr">
        <is>
          <t>Föryngringsavverkning</t>
        </is>
      </c>
      <c r="D1022" s="1" t="n">
        <v>44792</v>
      </c>
      <c r="E1022" s="1" t="n">
        <v>46309</v>
      </c>
      <c r="F1022" t="inlineStr">
        <is>
          <t>UPPSALA LÄN</t>
        </is>
      </c>
      <c r="G1022" t="inlineStr">
        <is>
          <t>TIERP</t>
        </is>
      </c>
      <c r="I1022" t="n">
        <v>1.1</v>
      </c>
      <c r="J1022" t="n">
        <v>0</v>
      </c>
      <c r="K1022" t="n">
        <v>0</v>
      </c>
      <c r="L1022" t="n">
        <v>0</v>
      </c>
      <c r="M1022" t="n">
        <v>0</v>
      </c>
      <c r="N1022" t="n">
        <v>0</v>
      </c>
      <c r="O1022" t="n">
        <v>0</v>
      </c>
      <c r="P1022" t="n">
        <v>0</v>
      </c>
      <c r="Q1022" t="n">
        <v>0</v>
      </c>
      <c r="R1022" t="n">
        <v>0</v>
      </c>
      <c r="S1022" t="n">
        <v>0</v>
      </c>
      <c r="T1022" t="n">
        <v>0</v>
      </c>
      <c r="U1022" t="n">
        <v>0</v>
      </c>
      <c r="V1022" s="2" t="inlineStr"/>
    </row>
    <row r="1023" ht="15" customHeight="1">
      <c r="A1023" t="inlineStr">
        <is>
          <t>A 16791-2023</t>
        </is>
      </c>
      <c r="B1023" t="inlineStr">
        <is>
          <t>avverkningsanmälan</t>
        </is>
      </c>
      <c r="C1023" t="inlineStr">
        <is>
          <t>Föryngringsavverkning</t>
        </is>
      </c>
      <c r="D1023" s="1" t="n">
        <v>45033</v>
      </c>
      <c r="E1023" s="1" t="n">
        <v>46309</v>
      </c>
      <c r="F1023" t="inlineStr">
        <is>
          <t>UPPSALA LÄN</t>
        </is>
      </c>
      <c r="G1023" t="inlineStr">
        <is>
          <t>TIERP</t>
        </is>
      </c>
      <c r="I1023" t="n">
        <v>1.3</v>
      </c>
      <c r="J1023" t="n">
        <v>0</v>
      </c>
      <c r="K1023" t="n">
        <v>0</v>
      </c>
      <c r="L1023" t="n">
        <v>0</v>
      </c>
      <c r="M1023" t="n">
        <v>0</v>
      </c>
      <c r="N1023" t="n">
        <v>0</v>
      </c>
      <c r="O1023" t="n">
        <v>0</v>
      </c>
      <c r="P1023" t="n">
        <v>0</v>
      </c>
      <c r="Q1023" t="n">
        <v>0</v>
      </c>
      <c r="R1023" t="n">
        <v>0</v>
      </c>
      <c r="S1023" t="n">
        <v>0</v>
      </c>
      <c r="T1023" t="n">
        <v>0</v>
      </c>
      <c r="U1023" t="n">
        <v>0</v>
      </c>
      <c r="V1023" s="2" t="inlineStr"/>
    </row>
    <row r="1024" ht="15" customHeight="1">
      <c r="A1024" t="inlineStr">
        <is>
          <t>A 59482-2023</t>
        </is>
      </c>
      <c r="B1024" t="inlineStr">
        <is>
          <t>avverkningsanmälan</t>
        </is>
      </c>
      <c r="C1024" t="inlineStr">
        <is>
          <t>Föryngringsavverkning</t>
        </is>
      </c>
      <c r="D1024" s="1" t="n">
        <v>45253</v>
      </c>
      <c r="E1024" s="1" t="n">
        <v>46309</v>
      </c>
      <c r="F1024" t="inlineStr">
        <is>
          <t>UPPSALA LÄN</t>
        </is>
      </c>
      <c r="G1024" t="inlineStr">
        <is>
          <t>TIERP</t>
        </is>
      </c>
      <c r="I1024" t="n">
        <v>11.3</v>
      </c>
      <c r="J1024" t="n">
        <v>0</v>
      </c>
      <c r="K1024" t="n">
        <v>0</v>
      </c>
      <c r="L1024" t="n">
        <v>0</v>
      </c>
      <c r="M1024" t="n">
        <v>0</v>
      </c>
      <c r="N1024" t="n">
        <v>0</v>
      </c>
      <c r="O1024" t="n">
        <v>0</v>
      </c>
      <c r="P1024" t="n">
        <v>0</v>
      </c>
      <c r="Q1024" t="n">
        <v>0</v>
      </c>
      <c r="R1024" t="n">
        <v>0</v>
      </c>
      <c r="S1024" t="n">
        <v>0</v>
      </c>
      <c r="T1024" t="n">
        <v>0</v>
      </c>
      <c r="U1024" t="n">
        <v>0</v>
      </c>
      <c r="V1024" s="2" t="inlineStr"/>
    </row>
    <row r="1025" ht="15" customHeight="1">
      <c r="A1025" t="inlineStr">
        <is>
          <t>A 25333-2023</t>
        </is>
      </c>
      <c r="B1025" t="inlineStr">
        <is>
          <t>avverkningsanmälan</t>
        </is>
      </c>
      <c r="C1025" t="inlineStr">
        <is>
          <t>Föryngringsavverkning</t>
        </is>
      </c>
      <c r="D1025" s="1" t="n">
        <v>45083</v>
      </c>
      <c r="E1025" s="1" t="n">
        <v>46309</v>
      </c>
      <c r="F1025" t="inlineStr">
        <is>
          <t>UPPSALA LÄN</t>
        </is>
      </c>
      <c r="G1025" t="inlineStr">
        <is>
          <t>ENKÖPING</t>
        </is>
      </c>
      <c r="I1025" t="n">
        <v>2.7</v>
      </c>
      <c r="J1025" t="n">
        <v>0</v>
      </c>
      <c r="K1025" t="n">
        <v>0</v>
      </c>
      <c r="L1025" t="n">
        <v>0</v>
      </c>
      <c r="M1025" t="n">
        <v>0</v>
      </c>
      <c r="N1025" t="n">
        <v>0</v>
      </c>
      <c r="O1025" t="n">
        <v>0</v>
      </c>
      <c r="P1025" t="n">
        <v>0</v>
      </c>
      <c r="Q1025" t="n">
        <v>0</v>
      </c>
      <c r="R1025" t="n">
        <v>0</v>
      </c>
      <c r="S1025" t="n">
        <v>0</v>
      </c>
      <c r="T1025" t="n">
        <v>0</v>
      </c>
      <c r="U1025" t="n">
        <v>0</v>
      </c>
      <c r="V1025" s="2" t="inlineStr"/>
    </row>
    <row r="1026" ht="15" customHeight="1">
      <c r="A1026" t="inlineStr">
        <is>
          <t>A 54018-2023</t>
        </is>
      </c>
      <c r="B1026" t="inlineStr">
        <is>
          <t>avverkningsanmälan</t>
        </is>
      </c>
      <c r="C1026" t="inlineStr">
        <is>
          <t>Föryngringsavverkning</t>
        </is>
      </c>
      <c r="D1026" s="1" t="n">
        <v>45231</v>
      </c>
      <c r="E1026" s="1" t="n">
        <v>46309</v>
      </c>
      <c r="F1026" t="inlineStr">
        <is>
          <t>UPPSALA LÄN</t>
        </is>
      </c>
      <c r="G1026" t="inlineStr">
        <is>
          <t>HEBY</t>
        </is>
      </c>
      <c r="I1026" t="n">
        <v>1.4</v>
      </c>
      <c r="J1026" t="n">
        <v>0</v>
      </c>
      <c r="K1026" t="n">
        <v>0</v>
      </c>
      <c r="L1026" t="n">
        <v>0</v>
      </c>
      <c r="M1026" t="n">
        <v>0</v>
      </c>
      <c r="N1026" t="n">
        <v>0</v>
      </c>
      <c r="O1026" t="n">
        <v>0</v>
      </c>
      <c r="P1026" t="n">
        <v>0</v>
      </c>
      <c r="Q1026" t="n">
        <v>0</v>
      </c>
      <c r="R1026" t="n">
        <v>0</v>
      </c>
      <c r="S1026" t="n">
        <v>0</v>
      </c>
      <c r="T1026" t="n">
        <v>0</v>
      </c>
      <c r="U1026" t="n">
        <v>0</v>
      </c>
      <c r="V1026" s="2" t="inlineStr"/>
    </row>
    <row r="1027" ht="15" customHeight="1">
      <c r="A1027" t="inlineStr">
        <is>
          <t>A 54715-2022</t>
        </is>
      </c>
      <c r="B1027" t="inlineStr">
        <is>
          <t>avverkningsanmälan</t>
        </is>
      </c>
      <c r="C1027" t="inlineStr">
        <is>
          <t>Föryngringsavverkning</t>
        </is>
      </c>
      <c r="D1027" s="1" t="n">
        <v>44883</v>
      </c>
      <c r="E1027" s="1" t="n">
        <v>46309</v>
      </c>
      <c r="F1027" t="inlineStr">
        <is>
          <t>UPPSALA LÄN</t>
        </is>
      </c>
      <c r="G1027" t="inlineStr">
        <is>
          <t>UPPSALA</t>
        </is>
      </c>
      <c r="H1027" t="inlineStr">
        <is>
          <t>Övriga Aktiebolag</t>
        </is>
      </c>
      <c r="I1027" t="n">
        <v>9.5</v>
      </c>
      <c r="J1027" t="n">
        <v>0</v>
      </c>
      <c r="K1027" t="n">
        <v>0</v>
      </c>
      <c r="L1027" t="n">
        <v>0</v>
      </c>
      <c r="M1027" t="n">
        <v>0</v>
      </c>
      <c r="N1027" t="n">
        <v>0</v>
      </c>
      <c r="O1027" t="n">
        <v>0</v>
      </c>
      <c r="P1027" t="n">
        <v>0</v>
      </c>
      <c r="Q1027" t="n">
        <v>0</v>
      </c>
      <c r="R1027" t="n">
        <v>0</v>
      </c>
      <c r="S1027" t="n">
        <v>0</v>
      </c>
      <c r="T1027" t="n">
        <v>0</v>
      </c>
      <c r="U1027" t="n">
        <v>0</v>
      </c>
      <c r="V1027" s="2" t="inlineStr"/>
    </row>
    <row r="1028" ht="15" customHeight="1">
      <c r="A1028" t="inlineStr">
        <is>
          <t>A 30437-2022</t>
        </is>
      </c>
      <c r="B1028" t="inlineStr">
        <is>
          <t>avverkningsanmälan</t>
        </is>
      </c>
      <c r="C1028" t="inlineStr">
        <is>
          <t>Föryngringsavverkning</t>
        </is>
      </c>
      <c r="D1028" s="1" t="n">
        <v>44761</v>
      </c>
      <c r="E1028" s="1" t="n">
        <v>46309</v>
      </c>
      <c r="F1028" t="inlineStr">
        <is>
          <t>UPPSALA LÄN</t>
        </is>
      </c>
      <c r="G1028" t="inlineStr">
        <is>
          <t>ENKÖPING</t>
        </is>
      </c>
      <c r="I1028" t="n">
        <v>3.4</v>
      </c>
      <c r="J1028" t="n">
        <v>0</v>
      </c>
      <c r="K1028" t="n">
        <v>0</v>
      </c>
      <c r="L1028" t="n">
        <v>0</v>
      </c>
      <c r="M1028" t="n">
        <v>0</v>
      </c>
      <c r="N1028" t="n">
        <v>0</v>
      </c>
      <c r="O1028" t="n">
        <v>0</v>
      </c>
      <c r="P1028" t="n">
        <v>0</v>
      </c>
      <c r="Q1028" t="n">
        <v>0</v>
      </c>
      <c r="R1028" t="n">
        <v>0</v>
      </c>
      <c r="S1028" t="n">
        <v>0</v>
      </c>
      <c r="T1028" t="n">
        <v>0</v>
      </c>
      <c r="U1028" t="n">
        <v>0</v>
      </c>
      <c r="V1028" s="2" t="inlineStr"/>
    </row>
    <row r="1029" ht="15" customHeight="1">
      <c r="A1029" t="inlineStr">
        <is>
          <t>A 5126-2024</t>
        </is>
      </c>
      <c r="B1029" t="inlineStr">
        <is>
          <t>avverkningsanmälan</t>
        </is>
      </c>
      <c r="C1029" t="inlineStr">
        <is>
          <t>Föryngringsavverkning</t>
        </is>
      </c>
      <c r="D1029" s="1" t="n">
        <v>45330</v>
      </c>
      <c r="E1029" s="1" t="n">
        <v>46309</v>
      </c>
      <c r="F1029" t="inlineStr">
        <is>
          <t>UPPSALA LÄN</t>
        </is>
      </c>
      <c r="G1029" t="inlineStr">
        <is>
          <t>TIERP</t>
        </is>
      </c>
      <c r="I1029" t="n">
        <v>1.4</v>
      </c>
      <c r="J1029" t="n">
        <v>0</v>
      </c>
      <c r="K1029" t="n">
        <v>0</v>
      </c>
      <c r="L1029" t="n">
        <v>0</v>
      </c>
      <c r="M1029" t="n">
        <v>0</v>
      </c>
      <c r="N1029" t="n">
        <v>0</v>
      </c>
      <c r="O1029" t="n">
        <v>0</v>
      </c>
      <c r="P1029" t="n">
        <v>0</v>
      </c>
      <c r="Q1029" t="n">
        <v>0</v>
      </c>
      <c r="R1029" t="n">
        <v>0</v>
      </c>
      <c r="S1029" t="n">
        <v>0</v>
      </c>
      <c r="T1029" t="n">
        <v>0</v>
      </c>
      <c r="U1029" t="n">
        <v>0</v>
      </c>
      <c r="V1029" s="2" t="inlineStr"/>
    </row>
    <row r="1030" ht="15" customHeight="1">
      <c r="A1030" t="inlineStr">
        <is>
          <t>A 50954-2022</t>
        </is>
      </c>
      <c r="B1030" t="inlineStr">
        <is>
          <t>avverkningsanmälan</t>
        </is>
      </c>
      <c r="C1030" t="inlineStr">
        <is>
          <t>Föryngringsavverkning</t>
        </is>
      </c>
      <c r="D1030" s="1" t="n">
        <v>44866</v>
      </c>
      <c r="E1030" s="1" t="n">
        <v>46309</v>
      </c>
      <c r="F1030" t="inlineStr">
        <is>
          <t>UPPSALA LÄN</t>
        </is>
      </c>
      <c r="G1030" t="inlineStr">
        <is>
          <t>UPPSALA</t>
        </is>
      </c>
      <c r="I1030" t="n">
        <v>0.6</v>
      </c>
      <c r="J1030" t="n">
        <v>0</v>
      </c>
      <c r="K1030" t="n">
        <v>0</v>
      </c>
      <c r="L1030" t="n">
        <v>0</v>
      </c>
      <c r="M1030" t="n">
        <v>0</v>
      </c>
      <c r="N1030" t="n">
        <v>0</v>
      </c>
      <c r="O1030" t="n">
        <v>0</v>
      </c>
      <c r="P1030" t="n">
        <v>0</v>
      </c>
      <c r="Q1030" t="n">
        <v>0</v>
      </c>
      <c r="R1030" t="n">
        <v>0</v>
      </c>
      <c r="S1030" t="n">
        <v>0</v>
      </c>
      <c r="T1030" t="n">
        <v>0</v>
      </c>
      <c r="U1030" t="n">
        <v>0</v>
      </c>
      <c r="V1030" s="2" t="inlineStr"/>
    </row>
    <row r="1031" ht="15" customHeight="1">
      <c r="A1031" t="inlineStr">
        <is>
          <t>A 50747-2022</t>
        </is>
      </c>
      <c r="B1031" t="inlineStr">
        <is>
          <t>avverkningsanmälan</t>
        </is>
      </c>
      <c r="C1031" t="inlineStr">
        <is>
          <t>Föryngringsavverkning</t>
        </is>
      </c>
      <c r="D1031" s="1" t="n">
        <v>44867</v>
      </c>
      <c r="E1031" s="1" t="n">
        <v>46309</v>
      </c>
      <c r="F1031" t="inlineStr">
        <is>
          <t>UPPSALA LÄN</t>
        </is>
      </c>
      <c r="G1031" t="inlineStr">
        <is>
          <t>ENKÖPING</t>
        </is>
      </c>
      <c r="I1031" t="n">
        <v>1.5</v>
      </c>
      <c r="J1031" t="n">
        <v>0</v>
      </c>
      <c r="K1031" t="n">
        <v>0</v>
      </c>
      <c r="L1031" t="n">
        <v>0</v>
      </c>
      <c r="M1031" t="n">
        <v>0</v>
      </c>
      <c r="N1031" t="n">
        <v>0</v>
      </c>
      <c r="O1031" t="n">
        <v>0</v>
      </c>
      <c r="P1031" t="n">
        <v>0</v>
      </c>
      <c r="Q1031" t="n">
        <v>0</v>
      </c>
      <c r="R1031" t="n">
        <v>0</v>
      </c>
      <c r="S1031" t="n">
        <v>0</v>
      </c>
      <c r="T1031" t="n">
        <v>0</v>
      </c>
      <c r="U1031" t="n">
        <v>0</v>
      </c>
      <c r="V1031" s="2" t="inlineStr"/>
    </row>
    <row r="1032" ht="15" customHeight="1">
      <c r="A1032" t="inlineStr">
        <is>
          <t>A 49097-2022</t>
        </is>
      </c>
      <c r="B1032" t="inlineStr">
        <is>
          <t>avverkningsanmälan</t>
        </is>
      </c>
      <c r="C1032" t="inlineStr">
        <is>
          <t>Föryngringsavverkning</t>
        </is>
      </c>
      <c r="D1032" s="1" t="n">
        <v>44860</v>
      </c>
      <c r="E1032" s="1" t="n">
        <v>46309</v>
      </c>
      <c r="F1032" t="inlineStr">
        <is>
          <t>UPPSALA LÄN</t>
        </is>
      </c>
      <c r="G1032" t="inlineStr">
        <is>
          <t>ÖSTHAMMAR</t>
        </is>
      </c>
      <c r="I1032" t="n">
        <v>6.9</v>
      </c>
      <c r="J1032" t="n">
        <v>0</v>
      </c>
      <c r="K1032" t="n">
        <v>0</v>
      </c>
      <c r="L1032" t="n">
        <v>0</v>
      </c>
      <c r="M1032" t="n">
        <v>0</v>
      </c>
      <c r="N1032" t="n">
        <v>0</v>
      </c>
      <c r="O1032" t="n">
        <v>0</v>
      </c>
      <c r="P1032" t="n">
        <v>0</v>
      </c>
      <c r="Q1032" t="n">
        <v>0</v>
      </c>
      <c r="R1032" t="n">
        <v>0</v>
      </c>
      <c r="S1032" t="n">
        <v>0</v>
      </c>
      <c r="T1032" t="n">
        <v>0</v>
      </c>
      <c r="U1032" t="n">
        <v>0</v>
      </c>
      <c r="V1032" s="2" t="inlineStr"/>
    </row>
    <row r="1033" ht="15" customHeight="1">
      <c r="A1033" t="inlineStr">
        <is>
          <t>A 51749-2023</t>
        </is>
      </c>
      <c r="B1033" t="inlineStr">
        <is>
          <t>avverkningsanmälan</t>
        </is>
      </c>
      <c r="C1033" t="inlineStr">
        <is>
          <t>Avverkning för annat ändamål</t>
        </is>
      </c>
      <c r="D1033" s="1" t="n">
        <v>45222</v>
      </c>
      <c r="E1033" s="1" t="n">
        <v>46309</v>
      </c>
      <c r="F1033" t="inlineStr">
        <is>
          <t>UPPSALA LÄN</t>
        </is>
      </c>
      <c r="G1033" t="inlineStr">
        <is>
          <t>UPPSALA</t>
        </is>
      </c>
      <c r="I1033" t="n">
        <v>3.6</v>
      </c>
      <c r="J1033" t="n">
        <v>0</v>
      </c>
      <c r="K1033" t="n">
        <v>0</v>
      </c>
      <c r="L1033" t="n">
        <v>0</v>
      </c>
      <c r="M1033" t="n">
        <v>0</v>
      </c>
      <c r="N1033" t="n">
        <v>0</v>
      </c>
      <c r="O1033" t="n">
        <v>0</v>
      </c>
      <c r="P1033" t="n">
        <v>0</v>
      </c>
      <c r="Q1033" t="n">
        <v>0</v>
      </c>
      <c r="R1033" t="n">
        <v>0</v>
      </c>
      <c r="S1033" t="n">
        <v>0</v>
      </c>
      <c r="T1033" t="n">
        <v>0</v>
      </c>
      <c r="U1033" t="n">
        <v>0</v>
      </c>
      <c r="V1033" s="2" t="inlineStr"/>
    </row>
    <row r="1034" ht="15" customHeight="1">
      <c r="A1034" t="inlineStr">
        <is>
          <t>A 44946-2022</t>
        </is>
      </c>
      <c r="B1034" t="inlineStr">
        <is>
          <t>avverkningsanmälan</t>
        </is>
      </c>
      <c r="C1034" t="inlineStr">
        <is>
          <t>Föryngringsavverkning</t>
        </is>
      </c>
      <c r="D1034" s="1" t="n">
        <v>44841</v>
      </c>
      <c r="E1034" s="1" t="n">
        <v>46309</v>
      </c>
      <c r="F1034" t="inlineStr">
        <is>
          <t>UPPSALA LÄN</t>
        </is>
      </c>
      <c r="G1034" t="inlineStr">
        <is>
          <t>TIERP</t>
        </is>
      </c>
      <c r="I1034" t="n">
        <v>2.5</v>
      </c>
      <c r="J1034" t="n">
        <v>0</v>
      </c>
      <c r="K1034" t="n">
        <v>0</v>
      </c>
      <c r="L1034" t="n">
        <v>0</v>
      </c>
      <c r="M1034" t="n">
        <v>0</v>
      </c>
      <c r="N1034" t="n">
        <v>0</v>
      </c>
      <c r="O1034" t="n">
        <v>0</v>
      </c>
      <c r="P1034" t="n">
        <v>0</v>
      </c>
      <c r="Q1034" t="n">
        <v>0</v>
      </c>
      <c r="R1034" t="n">
        <v>0</v>
      </c>
      <c r="S1034" t="n">
        <v>0</v>
      </c>
      <c r="T1034" t="n">
        <v>0</v>
      </c>
      <c r="U1034" t="n">
        <v>0</v>
      </c>
      <c r="V1034" s="2" t="inlineStr"/>
    </row>
    <row r="1035" ht="15" customHeight="1">
      <c r="A1035" t="inlineStr">
        <is>
          <t>A 13679-2024</t>
        </is>
      </c>
      <c r="B1035" t="inlineStr">
        <is>
          <t>avverkningsanmälan</t>
        </is>
      </c>
      <c r="C1035" t="inlineStr">
        <is>
          <t>Föryngringsavverkning</t>
        </is>
      </c>
      <c r="D1035" s="1" t="n">
        <v>45390</v>
      </c>
      <c r="E1035" s="1" t="n">
        <v>46309</v>
      </c>
      <c r="F1035" t="inlineStr">
        <is>
          <t>UPPSALA LÄN</t>
        </is>
      </c>
      <c r="G1035" t="inlineStr">
        <is>
          <t>HEBY</t>
        </is>
      </c>
      <c r="I1035" t="n">
        <v>4.9</v>
      </c>
      <c r="J1035" t="n">
        <v>0</v>
      </c>
      <c r="K1035" t="n">
        <v>0</v>
      </c>
      <c r="L1035" t="n">
        <v>0</v>
      </c>
      <c r="M1035" t="n">
        <v>0</v>
      </c>
      <c r="N1035" t="n">
        <v>0</v>
      </c>
      <c r="O1035" t="n">
        <v>0</v>
      </c>
      <c r="P1035" t="n">
        <v>0</v>
      </c>
      <c r="Q1035" t="n">
        <v>0</v>
      </c>
      <c r="R1035" t="n">
        <v>0</v>
      </c>
      <c r="S1035" t="n">
        <v>0</v>
      </c>
      <c r="T1035" t="n">
        <v>0</v>
      </c>
      <c r="U1035" t="n">
        <v>0</v>
      </c>
      <c r="V1035" s="2" t="inlineStr"/>
    </row>
    <row r="1036" ht="15" customHeight="1">
      <c r="A1036" t="inlineStr">
        <is>
          <t>A 13691-2024</t>
        </is>
      </c>
      <c r="B1036" t="inlineStr">
        <is>
          <t>avverkningsanmälan</t>
        </is>
      </c>
      <c r="C1036" t="inlineStr">
        <is>
          <t>Föryngringsavverkning</t>
        </is>
      </c>
      <c r="D1036" s="1" t="n">
        <v>45390</v>
      </c>
      <c r="E1036" s="1" t="n">
        <v>46309</v>
      </c>
      <c r="F1036" t="inlineStr">
        <is>
          <t>UPPSALA LÄN</t>
        </is>
      </c>
      <c r="G1036" t="inlineStr">
        <is>
          <t>TIERP</t>
        </is>
      </c>
      <c r="H1036" t="inlineStr">
        <is>
          <t>Bergvik skog väst AB</t>
        </is>
      </c>
      <c r="I1036" t="n">
        <v>2.6</v>
      </c>
      <c r="J1036" t="n">
        <v>0</v>
      </c>
      <c r="K1036" t="n">
        <v>0</v>
      </c>
      <c r="L1036" t="n">
        <v>0</v>
      </c>
      <c r="M1036" t="n">
        <v>0</v>
      </c>
      <c r="N1036" t="n">
        <v>0</v>
      </c>
      <c r="O1036" t="n">
        <v>0</v>
      </c>
      <c r="P1036" t="n">
        <v>0</v>
      </c>
      <c r="Q1036" t="n">
        <v>0</v>
      </c>
      <c r="R1036" t="n">
        <v>0</v>
      </c>
      <c r="S1036" t="n">
        <v>0</v>
      </c>
      <c r="T1036" t="n">
        <v>0</v>
      </c>
      <c r="U1036" t="n">
        <v>0</v>
      </c>
      <c r="V1036" s="2" t="inlineStr"/>
    </row>
    <row r="1037" ht="15" customHeight="1">
      <c r="A1037" t="inlineStr">
        <is>
          <t>A 19040-2023</t>
        </is>
      </c>
      <c r="B1037" t="inlineStr">
        <is>
          <t>avverkningsanmälan</t>
        </is>
      </c>
      <c r="C1037" t="inlineStr">
        <is>
          <t>Föryngringsavverkning</t>
        </is>
      </c>
      <c r="D1037" s="1" t="n">
        <v>45047</v>
      </c>
      <c r="E1037" s="1" t="n">
        <v>46309</v>
      </c>
      <c r="F1037" t="inlineStr">
        <is>
          <t>UPPSALA LÄN</t>
        </is>
      </c>
      <c r="G1037" t="inlineStr">
        <is>
          <t>ÖSTHAMMAR</t>
        </is>
      </c>
      <c r="H1037" t="inlineStr">
        <is>
          <t>Bergvik skog öst AB</t>
        </is>
      </c>
      <c r="I1037" t="n">
        <v>1.7</v>
      </c>
      <c r="J1037" t="n">
        <v>0</v>
      </c>
      <c r="K1037" t="n">
        <v>0</v>
      </c>
      <c r="L1037" t="n">
        <v>0</v>
      </c>
      <c r="M1037" t="n">
        <v>0</v>
      </c>
      <c r="N1037" t="n">
        <v>0</v>
      </c>
      <c r="O1037" t="n">
        <v>0</v>
      </c>
      <c r="P1037" t="n">
        <v>0</v>
      </c>
      <c r="Q1037" t="n">
        <v>0</v>
      </c>
      <c r="R1037" t="n">
        <v>0</v>
      </c>
      <c r="S1037" t="n">
        <v>0</v>
      </c>
      <c r="T1037" t="n">
        <v>0</v>
      </c>
      <c r="U1037" t="n">
        <v>0</v>
      </c>
      <c r="V1037" s="2" t="inlineStr"/>
    </row>
    <row r="1038" ht="15" customHeight="1">
      <c r="A1038" t="inlineStr">
        <is>
          <t>A 20112-2024</t>
        </is>
      </c>
      <c r="B1038" t="inlineStr">
        <is>
          <t>avverkningsanmälan</t>
        </is>
      </c>
      <c r="C1038" t="inlineStr">
        <is>
          <t>Föryngringsavverkning</t>
        </is>
      </c>
      <c r="D1038" s="1" t="n">
        <v>45434</v>
      </c>
      <c r="E1038" s="1" t="n">
        <v>46309</v>
      </c>
      <c r="F1038" t="inlineStr">
        <is>
          <t>UPPSALA LÄN</t>
        </is>
      </c>
      <c r="G1038" t="inlineStr">
        <is>
          <t>ENKÖPING</t>
        </is>
      </c>
      <c r="I1038" t="n">
        <v>1.8</v>
      </c>
      <c r="J1038" t="n">
        <v>0</v>
      </c>
      <c r="K1038" t="n">
        <v>0</v>
      </c>
      <c r="L1038" t="n">
        <v>0</v>
      </c>
      <c r="M1038" t="n">
        <v>0</v>
      </c>
      <c r="N1038" t="n">
        <v>0</v>
      </c>
      <c r="O1038" t="n">
        <v>0</v>
      </c>
      <c r="P1038" t="n">
        <v>0</v>
      </c>
      <c r="Q1038" t="n">
        <v>0</v>
      </c>
      <c r="R1038" t="n">
        <v>0</v>
      </c>
      <c r="S1038" t="n">
        <v>0</v>
      </c>
      <c r="T1038" t="n">
        <v>0</v>
      </c>
      <c r="U1038" t="n">
        <v>0</v>
      </c>
      <c r="V1038" s="2" t="inlineStr"/>
    </row>
    <row r="1039" ht="15" customHeight="1">
      <c r="A1039" t="inlineStr">
        <is>
          <t>A 28421-2023</t>
        </is>
      </c>
      <c r="B1039" t="inlineStr">
        <is>
          <t>avverkningsanmälan</t>
        </is>
      </c>
      <c r="C1039" t="inlineStr">
        <is>
          <t>Föryngringsavverkning</t>
        </is>
      </c>
      <c r="D1039" s="1" t="n">
        <v>45102</v>
      </c>
      <c r="E1039" s="1" t="n">
        <v>46309</v>
      </c>
      <c r="F1039" t="inlineStr">
        <is>
          <t>UPPSALA LÄN</t>
        </is>
      </c>
      <c r="G1039" t="inlineStr">
        <is>
          <t>ÖSTHAMMAR</t>
        </is>
      </c>
      <c r="H1039" t="inlineStr">
        <is>
          <t>Bergvik skog öst AB</t>
        </is>
      </c>
      <c r="I1039" t="n">
        <v>0.4</v>
      </c>
      <c r="J1039" t="n">
        <v>0</v>
      </c>
      <c r="K1039" t="n">
        <v>0</v>
      </c>
      <c r="L1039" t="n">
        <v>0</v>
      </c>
      <c r="M1039" t="n">
        <v>0</v>
      </c>
      <c r="N1039" t="n">
        <v>0</v>
      </c>
      <c r="O1039" t="n">
        <v>0</v>
      </c>
      <c r="P1039" t="n">
        <v>0</v>
      </c>
      <c r="Q1039" t="n">
        <v>0</v>
      </c>
      <c r="R1039" t="n">
        <v>0</v>
      </c>
      <c r="S1039" t="n">
        <v>0</v>
      </c>
      <c r="T1039" t="n">
        <v>0</v>
      </c>
      <c r="U1039" t="n">
        <v>0</v>
      </c>
      <c r="V1039" s="2" t="inlineStr"/>
    </row>
    <row r="1040" ht="15" customHeight="1">
      <c r="A1040" t="inlineStr">
        <is>
          <t>A 51932-2022</t>
        </is>
      </c>
      <c r="B1040" t="inlineStr">
        <is>
          <t>avverkningsanmälan</t>
        </is>
      </c>
      <c r="C1040" t="inlineStr">
        <is>
          <t>Föryngringsavverkning</t>
        </is>
      </c>
      <c r="D1040" s="1" t="n">
        <v>44872</v>
      </c>
      <c r="E1040" s="1" t="n">
        <v>46309</v>
      </c>
      <c r="F1040" t="inlineStr">
        <is>
          <t>UPPSALA LÄN</t>
        </is>
      </c>
      <c r="G1040" t="inlineStr">
        <is>
          <t>ENKÖPING</t>
        </is>
      </c>
      <c r="I1040" t="n">
        <v>5.5</v>
      </c>
      <c r="J1040" t="n">
        <v>0</v>
      </c>
      <c r="K1040" t="n">
        <v>0</v>
      </c>
      <c r="L1040" t="n">
        <v>0</v>
      </c>
      <c r="M1040" t="n">
        <v>0</v>
      </c>
      <c r="N1040" t="n">
        <v>0</v>
      </c>
      <c r="O1040" t="n">
        <v>0</v>
      </c>
      <c r="P1040" t="n">
        <v>0</v>
      </c>
      <c r="Q1040" t="n">
        <v>0</v>
      </c>
      <c r="R1040" t="n">
        <v>0</v>
      </c>
      <c r="S1040" t="n">
        <v>0</v>
      </c>
      <c r="T1040" t="n">
        <v>0</v>
      </c>
      <c r="U1040" t="n">
        <v>0</v>
      </c>
      <c r="V1040" s="2" t="inlineStr"/>
    </row>
    <row r="1041" ht="15" customHeight="1">
      <c r="A1041" t="inlineStr">
        <is>
          <t>A 61677-2023</t>
        </is>
      </c>
      <c r="B1041" t="inlineStr">
        <is>
          <t>avverkningsanmälan</t>
        </is>
      </c>
      <c r="C1041" t="inlineStr">
        <is>
          <t>Föryngringsavverkning</t>
        </is>
      </c>
      <c r="D1041" s="1" t="n">
        <v>45265</v>
      </c>
      <c r="E1041" s="1" t="n">
        <v>46309</v>
      </c>
      <c r="F1041" t="inlineStr">
        <is>
          <t>UPPSALA LÄN</t>
        </is>
      </c>
      <c r="G1041" t="inlineStr">
        <is>
          <t>TIERP</t>
        </is>
      </c>
      <c r="I1041" t="n">
        <v>0.4</v>
      </c>
      <c r="J1041" t="n">
        <v>0</v>
      </c>
      <c r="K1041" t="n">
        <v>0</v>
      </c>
      <c r="L1041" t="n">
        <v>0</v>
      </c>
      <c r="M1041" t="n">
        <v>0</v>
      </c>
      <c r="N1041" t="n">
        <v>0</v>
      </c>
      <c r="O1041" t="n">
        <v>0</v>
      </c>
      <c r="P1041" t="n">
        <v>0</v>
      </c>
      <c r="Q1041" t="n">
        <v>0</v>
      </c>
      <c r="R1041" t="n">
        <v>0</v>
      </c>
      <c r="S1041" t="n">
        <v>0</v>
      </c>
      <c r="T1041" t="n">
        <v>0</v>
      </c>
      <c r="U1041" t="n">
        <v>0</v>
      </c>
      <c r="V1041" s="2" t="inlineStr"/>
    </row>
    <row r="1042" ht="15" customHeight="1">
      <c r="A1042" t="inlineStr">
        <is>
          <t>A 48483-2022</t>
        </is>
      </c>
      <c r="B1042" t="inlineStr">
        <is>
          <t>avverkningsanmälan</t>
        </is>
      </c>
      <c r="C1042" t="inlineStr">
        <is>
          <t>Föryngringsavverkning</t>
        </is>
      </c>
      <c r="D1042" s="1" t="n">
        <v>44858</v>
      </c>
      <c r="E1042" s="1" t="n">
        <v>46309</v>
      </c>
      <c r="F1042" t="inlineStr">
        <is>
          <t>UPPSALA LÄN</t>
        </is>
      </c>
      <c r="G1042" t="inlineStr">
        <is>
          <t>TIERP</t>
        </is>
      </c>
      <c r="I1042" t="n">
        <v>0.7</v>
      </c>
      <c r="J1042" t="n">
        <v>0</v>
      </c>
      <c r="K1042" t="n">
        <v>0</v>
      </c>
      <c r="L1042" t="n">
        <v>0</v>
      </c>
      <c r="M1042" t="n">
        <v>0</v>
      </c>
      <c r="N1042" t="n">
        <v>0</v>
      </c>
      <c r="O1042" t="n">
        <v>0</v>
      </c>
      <c r="P1042" t="n">
        <v>0</v>
      </c>
      <c r="Q1042" t="n">
        <v>0</v>
      </c>
      <c r="R1042" t="n">
        <v>0</v>
      </c>
      <c r="S1042" t="n">
        <v>0</v>
      </c>
      <c r="T1042" t="n">
        <v>0</v>
      </c>
      <c r="U1042" t="n">
        <v>0</v>
      </c>
      <c r="V1042" s="2" t="inlineStr"/>
    </row>
    <row r="1043" ht="15" customHeight="1">
      <c r="A1043" t="inlineStr">
        <is>
          <t>A 17867-2024</t>
        </is>
      </c>
      <c r="B1043" t="inlineStr">
        <is>
          <t>avverkningsanmälan</t>
        </is>
      </c>
      <c r="C1043" t="inlineStr">
        <is>
          <t>Föryngringsavverkning</t>
        </is>
      </c>
      <c r="D1043" s="1" t="n">
        <v>45419</v>
      </c>
      <c r="E1043" s="1" t="n">
        <v>46309</v>
      </c>
      <c r="F1043" t="inlineStr">
        <is>
          <t>UPPSALA LÄN</t>
        </is>
      </c>
      <c r="G1043" t="inlineStr">
        <is>
          <t>ÖSTHAMMAR</t>
        </is>
      </c>
      <c r="I1043" t="n">
        <v>7.2</v>
      </c>
      <c r="J1043" t="n">
        <v>0</v>
      </c>
      <c r="K1043" t="n">
        <v>0</v>
      </c>
      <c r="L1043" t="n">
        <v>0</v>
      </c>
      <c r="M1043" t="n">
        <v>0</v>
      </c>
      <c r="N1043" t="n">
        <v>0</v>
      </c>
      <c r="O1043" t="n">
        <v>0</v>
      </c>
      <c r="P1043" t="n">
        <v>0</v>
      </c>
      <c r="Q1043" t="n">
        <v>0</v>
      </c>
      <c r="R1043" t="n">
        <v>0</v>
      </c>
      <c r="S1043" t="n">
        <v>0</v>
      </c>
      <c r="T1043" t="n">
        <v>0</v>
      </c>
      <c r="U1043" t="n">
        <v>0</v>
      </c>
      <c r="V1043" s="2" t="inlineStr"/>
    </row>
    <row r="1044" ht="15" customHeight="1">
      <c r="A1044" t="inlineStr">
        <is>
          <t>A 13697-2024</t>
        </is>
      </c>
      <c r="B1044" t="inlineStr">
        <is>
          <t>avverkningsanmälan</t>
        </is>
      </c>
      <c r="C1044" t="inlineStr">
        <is>
          <t>Föryngringsavverkning</t>
        </is>
      </c>
      <c r="D1044" s="1" t="n">
        <v>45390</v>
      </c>
      <c r="E1044" s="1" t="n">
        <v>46309</v>
      </c>
      <c r="F1044" t="inlineStr">
        <is>
          <t>UPPSALA LÄN</t>
        </is>
      </c>
      <c r="G1044" t="inlineStr">
        <is>
          <t>KNIVSTA</t>
        </is>
      </c>
      <c r="H1044" t="inlineStr">
        <is>
          <t>Holmen skog AB</t>
        </is>
      </c>
      <c r="I1044" t="n">
        <v>1.3</v>
      </c>
      <c r="J1044" t="n">
        <v>0</v>
      </c>
      <c r="K1044" t="n">
        <v>0</v>
      </c>
      <c r="L1044" t="n">
        <v>0</v>
      </c>
      <c r="M1044" t="n">
        <v>0</v>
      </c>
      <c r="N1044" t="n">
        <v>0</v>
      </c>
      <c r="O1044" t="n">
        <v>0</v>
      </c>
      <c r="P1044" t="n">
        <v>0</v>
      </c>
      <c r="Q1044" t="n">
        <v>0</v>
      </c>
      <c r="R1044" t="n">
        <v>0</v>
      </c>
      <c r="S1044" t="n">
        <v>0</v>
      </c>
      <c r="T1044" t="n">
        <v>0</v>
      </c>
      <c r="U1044" t="n">
        <v>0</v>
      </c>
      <c r="V1044" s="2" t="inlineStr"/>
    </row>
    <row r="1045" ht="15" customHeight="1">
      <c r="A1045" t="inlineStr">
        <is>
          <t>A 12958-2024</t>
        </is>
      </c>
      <c r="B1045" t="inlineStr">
        <is>
          <t>avverkningsanmälan</t>
        </is>
      </c>
      <c r="C1045" t="inlineStr">
        <is>
          <t>Föryngringsavverkning</t>
        </is>
      </c>
      <c r="D1045" s="1" t="n">
        <v>45385</v>
      </c>
      <c r="E1045" s="1" t="n">
        <v>46309</v>
      </c>
      <c r="F1045" t="inlineStr">
        <is>
          <t>UPPSALA LÄN</t>
        </is>
      </c>
      <c r="G1045" t="inlineStr">
        <is>
          <t>ENKÖPING</t>
        </is>
      </c>
      <c r="I1045" t="n">
        <v>2.1</v>
      </c>
      <c r="J1045" t="n">
        <v>0</v>
      </c>
      <c r="K1045" t="n">
        <v>0</v>
      </c>
      <c r="L1045" t="n">
        <v>0</v>
      </c>
      <c r="M1045" t="n">
        <v>0</v>
      </c>
      <c r="N1045" t="n">
        <v>0</v>
      </c>
      <c r="O1045" t="n">
        <v>0</v>
      </c>
      <c r="P1045" t="n">
        <v>0</v>
      </c>
      <c r="Q1045" t="n">
        <v>0</v>
      </c>
      <c r="R1045" t="n">
        <v>0</v>
      </c>
      <c r="S1045" t="n">
        <v>0</v>
      </c>
      <c r="T1045" t="n">
        <v>0</v>
      </c>
      <c r="U1045" t="n">
        <v>0</v>
      </c>
      <c r="V1045" s="2" t="inlineStr"/>
    </row>
    <row r="1046" ht="15" customHeight="1">
      <c r="A1046" t="inlineStr">
        <is>
          <t>A 60444-2023</t>
        </is>
      </c>
      <c r="B1046" t="inlineStr">
        <is>
          <t>avverkningsanmälan</t>
        </is>
      </c>
      <c r="C1046" t="inlineStr">
        <is>
          <t>Föryngringsavverkning</t>
        </is>
      </c>
      <c r="D1046" s="1" t="n">
        <v>45259</v>
      </c>
      <c r="E1046" s="1" t="n">
        <v>46309</v>
      </c>
      <c r="F1046" t="inlineStr">
        <is>
          <t>UPPSALA LÄN</t>
        </is>
      </c>
      <c r="G1046" t="inlineStr">
        <is>
          <t>UPPSALA</t>
        </is>
      </c>
      <c r="H1046" t="inlineStr">
        <is>
          <t>Bergvik skog öst AB</t>
        </is>
      </c>
      <c r="I1046" t="n">
        <v>0.4</v>
      </c>
      <c r="J1046" t="n">
        <v>0</v>
      </c>
      <c r="K1046" t="n">
        <v>0</v>
      </c>
      <c r="L1046" t="n">
        <v>0</v>
      </c>
      <c r="M1046" t="n">
        <v>0</v>
      </c>
      <c r="N1046" t="n">
        <v>0</v>
      </c>
      <c r="O1046" t="n">
        <v>0</v>
      </c>
      <c r="P1046" t="n">
        <v>0</v>
      </c>
      <c r="Q1046" t="n">
        <v>0</v>
      </c>
      <c r="R1046" t="n">
        <v>0</v>
      </c>
      <c r="S1046" t="n">
        <v>0</v>
      </c>
      <c r="T1046" t="n">
        <v>0</v>
      </c>
      <c r="U1046" t="n">
        <v>0</v>
      </c>
      <c r="V1046" s="2" t="inlineStr"/>
    </row>
    <row r="1047" ht="15" customHeight="1">
      <c r="A1047" t="inlineStr">
        <is>
          <t>A 10468-2025</t>
        </is>
      </c>
      <c r="B1047" t="inlineStr">
        <is>
          <t>avverkningsanmälan</t>
        </is>
      </c>
      <c r="C1047" t="inlineStr">
        <is>
          <t>Föryngringsavverkning</t>
        </is>
      </c>
      <c r="D1047" s="1" t="n">
        <v>45720</v>
      </c>
      <c r="E1047" s="1" t="n">
        <v>46309</v>
      </c>
      <c r="F1047" t="inlineStr">
        <is>
          <t>UPPSALA LÄN</t>
        </is>
      </c>
      <c r="G1047" t="inlineStr">
        <is>
          <t>ENKÖPING</t>
        </is>
      </c>
      <c r="I1047" t="n">
        <v>1.6</v>
      </c>
      <c r="J1047" t="n">
        <v>0</v>
      </c>
      <c r="K1047" t="n">
        <v>0</v>
      </c>
      <c r="L1047" t="n">
        <v>0</v>
      </c>
      <c r="M1047" t="n">
        <v>0</v>
      </c>
      <c r="N1047" t="n">
        <v>0</v>
      </c>
      <c r="O1047" t="n">
        <v>0</v>
      </c>
      <c r="P1047" t="n">
        <v>0</v>
      </c>
      <c r="Q1047" t="n">
        <v>0</v>
      </c>
      <c r="R1047" t="n">
        <v>0</v>
      </c>
      <c r="S1047" t="n">
        <v>0</v>
      </c>
      <c r="T1047" t="n">
        <v>0</v>
      </c>
      <c r="U1047" t="n">
        <v>0</v>
      </c>
      <c r="V1047" s="2" t="inlineStr"/>
    </row>
    <row r="1048" ht="15" customHeight="1">
      <c r="A1048" t="inlineStr">
        <is>
          <t>A 18838-2023</t>
        </is>
      </c>
      <c r="B1048" t="inlineStr">
        <is>
          <t>avverkningsanmälan</t>
        </is>
      </c>
      <c r="C1048" t="inlineStr">
        <is>
          <t>Föryngringsavverkning</t>
        </is>
      </c>
      <c r="D1048" s="1" t="n">
        <v>45044</v>
      </c>
      <c r="E1048" s="1" t="n">
        <v>46309</v>
      </c>
      <c r="F1048" t="inlineStr">
        <is>
          <t>UPPSALA LÄN</t>
        </is>
      </c>
      <c r="G1048" t="inlineStr">
        <is>
          <t>ÖSTHAMMAR</t>
        </is>
      </c>
      <c r="I1048" t="n">
        <v>2.8</v>
      </c>
      <c r="J1048" t="n">
        <v>0</v>
      </c>
      <c r="K1048" t="n">
        <v>0</v>
      </c>
      <c r="L1048" t="n">
        <v>0</v>
      </c>
      <c r="M1048" t="n">
        <v>0</v>
      </c>
      <c r="N1048" t="n">
        <v>0</v>
      </c>
      <c r="O1048" t="n">
        <v>0</v>
      </c>
      <c r="P1048" t="n">
        <v>0</v>
      </c>
      <c r="Q1048" t="n">
        <v>0</v>
      </c>
      <c r="R1048" t="n">
        <v>0</v>
      </c>
      <c r="S1048" t="n">
        <v>0</v>
      </c>
      <c r="T1048" t="n">
        <v>0</v>
      </c>
      <c r="U1048" t="n">
        <v>0</v>
      </c>
      <c r="V1048" s="2" t="inlineStr"/>
    </row>
    <row r="1049" ht="15" customHeight="1">
      <c r="A1049" t="inlineStr">
        <is>
          <t>A 58914-2023</t>
        </is>
      </c>
      <c r="B1049" t="inlineStr">
        <is>
          <t>avverkningsanmälan</t>
        </is>
      </c>
      <c r="C1049" t="inlineStr">
        <is>
          <t>Föryngringsavverkning</t>
        </is>
      </c>
      <c r="D1049" s="1" t="n">
        <v>45250</v>
      </c>
      <c r="E1049" s="1" t="n">
        <v>46309</v>
      </c>
      <c r="F1049" t="inlineStr">
        <is>
          <t>UPPSALA LÄN</t>
        </is>
      </c>
      <c r="G1049" t="inlineStr">
        <is>
          <t>HEBY</t>
        </is>
      </c>
      <c r="I1049" t="n">
        <v>2.1</v>
      </c>
      <c r="J1049" t="n">
        <v>0</v>
      </c>
      <c r="K1049" t="n">
        <v>0</v>
      </c>
      <c r="L1049" t="n">
        <v>0</v>
      </c>
      <c r="M1049" t="n">
        <v>0</v>
      </c>
      <c r="N1049" t="n">
        <v>0</v>
      </c>
      <c r="O1049" t="n">
        <v>0</v>
      </c>
      <c r="P1049" t="n">
        <v>0</v>
      </c>
      <c r="Q1049" t="n">
        <v>0</v>
      </c>
      <c r="R1049" t="n">
        <v>0</v>
      </c>
      <c r="S1049" t="n">
        <v>0</v>
      </c>
      <c r="T1049" t="n">
        <v>0</v>
      </c>
      <c r="U1049" t="n">
        <v>0</v>
      </c>
      <c r="V1049" s="2" t="inlineStr"/>
    </row>
    <row r="1050" ht="15" customHeight="1">
      <c r="A1050" t="inlineStr">
        <is>
          <t>A 12756-2024</t>
        </is>
      </c>
      <c r="B1050" t="inlineStr">
        <is>
          <t>avverkningsanmälan</t>
        </is>
      </c>
      <c r="C1050" t="inlineStr">
        <is>
          <t>Föryngringsavverkning</t>
        </is>
      </c>
      <c r="D1050" s="1" t="n">
        <v>45384</v>
      </c>
      <c r="E1050" s="1" t="n">
        <v>46309</v>
      </c>
      <c r="F1050" t="inlineStr">
        <is>
          <t>UPPSALA LÄN</t>
        </is>
      </c>
      <c r="G1050" t="inlineStr">
        <is>
          <t>ÖSTHAMMAR</t>
        </is>
      </c>
      <c r="I1050" t="n">
        <v>1.3</v>
      </c>
      <c r="J1050" t="n">
        <v>0</v>
      </c>
      <c r="K1050" t="n">
        <v>0</v>
      </c>
      <c r="L1050" t="n">
        <v>0</v>
      </c>
      <c r="M1050" t="n">
        <v>0</v>
      </c>
      <c r="N1050" t="n">
        <v>0</v>
      </c>
      <c r="O1050" t="n">
        <v>0</v>
      </c>
      <c r="P1050" t="n">
        <v>0</v>
      </c>
      <c r="Q1050" t="n">
        <v>0</v>
      </c>
      <c r="R1050" t="n">
        <v>0</v>
      </c>
      <c r="S1050" t="n">
        <v>0</v>
      </c>
      <c r="T1050" t="n">
        <v>0</v>
      </c>
      <c r="U1050" t="n">
        <v>0</v>
      </c>
      <c r="V1050" s="2" t="inlineStr"/>
    </row>
    <row r="1051" ht="15" customHeight="1">
      <c r="A1051" t="inlineStr">
        <is>
          <t>A 4737-2025</t>
        </is>
      </c>
      <c r="B1051" t="inlineStr">
        <is>
          <t>avverkningsanmälan</t>
        </is>
      </c>
      <c r="C1051" t="inlineStr">
        <is>
          <t>Föryngringsavverkning</t>
        </is>
      </c>
      <c r="D1051" s="1" t="n">
        <v>45688</v>
      </c>
      <c r="E1051" s="1" t="n">
        <v>46309</v>
      </c>
      <c r="F1051" t="inlineStr">
        <is>
          <t>UPPSALA LÄN</t>
        </is>
      </c>
      <c r="G1051" t="inlineStr">
        <is>
          <t>HEBY</t>
        </is>
      </c>
      <c r="I1051" t="n">
        <v>0.5</v>
      </c>
      <c r="J1051" t="n">
        <v>0</v>
      </c>
      <c r="K1051" t="n">
        <v>0</v>
      </c>
      <c r="L1051" t="n">
        <v>0</v>
      </c>
      <c r="M1051" t="n">
        <v>0</v>
      </c>
      <c r="N1051" t="n">
        <v>0</v>
      </c>
      <c r="O1051" t="n">
        <v>0</v>
      </c>
      <c r="P1051" t="n">
        <v>0</v>
      </c>
      <c r="Q1051" t="n">
        <v>0</v>
      </c>
      <c r="R1051" t="n">
        <v>0</v>
      </c>
      <c r="S1051" t="n">
        <v>0</v>
      </c>
      <c r="T1051" t="n">
        <v>0</v>
      </c>
      <c r="U1051" t="n">
        <v>0</v>
      </c>
      <c r="V1051" s="2" t="inlineStr"/>
    </row>
    <row r="1052" ht="15" customHeight="1">
      <c r="A1052" t="inlineStr">
        <is>
          <t>A 17658-2025</t>
        </is>
      </c>
      <c r="B1052" t="inlineStr">
        <is>
          <t>avverkningsanmälan</t>
        </is>
      </c>
      <c r="C1052" t="inlineStr">
        <is>
          <t>Avverkning för att bevara och utveckla /försöksver</t>
        </is>
      </c>
      <c r="D1052" s="1" t="n">
        <v>45758</v>
      </c>
      <c r="E1052" s="1" t="n">
        <v>46309</v>
      </c>
      <c r="F1052" t="inlineStr">
        <is>
          <t>UPPSALA LÄN</t>
        </is>
      </c>
      <c r="G1052" t="inlineStr">
        <is>
          <t>UPPSALA</t>
        </is>
      </c>
      <c r="I1052" t="n">
        <v>1.5</v>
      </c>
      <c r="J1052" t="n">
        <v>0</v>
      </c>
      <c r="K1052" t="n">
        <v>0</v>
      </c>
      <c r="L1052" t="n">
        <v>0</v>
      </c>
      <c r="M1052" t="n">
        <v>0</v>
      </c>
      <c r="N1052" t="n">
        <v>0</v>
      </c>
      <c r="O1052" t="n">
        <v>0</v>
      </c>
      <c r="P1052" t="n">
        <v>0</v>
      </c>
      <c r="Q1052" t="n">
        <v>0</v>
      </c>
      <c r="R1052" t="n">
        <v>0</v>
      </c>
      <c r="S1052" t="n">
        <v>0</v>
      </c>
      <c r="T1052" t="n">
        <v>0</v>
      </c>
      <c r="U1052" t="n">
        <v>0</v>
      </c>
      <c r="V1052" s="2" t="inlineStr"/>
    </row>
    <row r="1053" ht="15" customHeight="1">
      <c r="A1053" t="inlineStr">
        <is>
          <t>A 27068-2023</t>
        </is>
      </c>
      <c r="B1053" t="inlineStr">
        <is>
          <t>avverkningsanmälan</t>
        </is>
      </c>
      <c r="C1053" t="inlineStr">
        <is>
          <t>Föryngringsavverkning</t>
        </is>
      </c>
      <c r="D1053" s="1" t="n">
        <v>45096</v>
      </c>
      <c r="E1053" s="1" t="n">
        <v>46309</v>
      </c>
      <c r="F1053" t="inlineStr">
        <is>
          <t>UPPSALA LÄN</t>
        </is>
      </c>
      <c r="G1053" t="inlineStr">
        <is>
          <t>UPPSALA</t>
        </is>
      </c>
      <c r="I1053" t="n">
        <v>0.6</v>
      </c>
      <c r="J1053" t="n">
        <v>0</v>
      </c>
      <c r="K1053" t="n">
        <v>0</v>
      </c>
      <c r="L1053" t="n">
        <v>0</v>
      </c>
      <c r="M1053" t="n">
        <v>0</v>
      </c>
      <c r="N1053" t="n">
        <v>0</v>
      </c>
      <c r="O1053" t="n">
        <v>0</v>
      </c>
      <c r="P1053" t="n">
        <v>0</v>
      </c>
      <c r="Q1053" t="n">
        <v>0</v>
      </c>
      <c r="R1053" t="n">
        <v>0</v>
      </c>
      <c r="S1053" t="n">
        <v>0</v>
      </c>
      <c r="T1053" t="n">
        <v>0</v>
      </c>
      <c r="U1053" t="n">
        <v>0</v>
      </c>
      <c r="V1053" s="2" t="inlineStr"/>
    </row>
    <row r="1054" ht="15" customHeight="1">
      <c r="A1054" t="inlineStr">
        <is>
          <t>A 47419-2022</t>
        </is>
      </c>
      <c r="B1054" t="inlineStr">
        <is>
          <t>avverkningsanmälan</t>
        </is>
      </c>
      <c r="C1054" t="inlineStr">
        <is>
          <t>Föryngringsavverkning</t>
        </is>
      </c>
      <c r="D1054" s="1" t="n">
        <v>44853</v>
      </c>
      <c r="E1054" s="1" t="n">
        <v>46309</v>
      </c>
      <c r="F1054" t="inlineStr">
        <is>
          <t>UPPSALA LÄN</t>
        </is>
      </c>
      <c r="G1054" t="inlineStr">
        <is>
          <t>TIERP</t>
        </is>
      </c>
      <c r="I1054" t="n">
        <v>0.5</v>
      </c>
      <c r="J1054" t="n">
        <v>0</v>
      </c>
      <c r="K1054" t="n">
        <v>0</v>
      </c>
      <c r="L1054" t="n">
        <v>0</v>
      </c>
      <c r="M1054" t="n">
        <v>0</v>
      </c>
      <c r="N1054" t="n">
        <v>0</v>
      </c>
      <c r="O1054" t="n">
        <v>0</v>
      </c>
      <c r="P1054" t="n">
        <v>0</v>
      </c>
      <c r="Q1054" t="n">
        <v>0</v>
      </c>
      <c r="R1054" t="n">
        <v>0</v>
      </c>
      <c r="S1054" t="n">
        <v>0</v>
      </c>
      <c r="T1054" t="n">
        <v>0</v>
      </c>
      <c r="U1054" t="n">
        <v>0</v>
      </c>
      <c r="V1054" s="2" t="inlineStr"/>
    </row>
    <row r="1055" ht="15" customHeight="1">
      <c r="A1055" t="inlineStr">
        <is>
          <t>A 2007-2024</t>
        </is>
      </c>
      <c r="B1055" t="inlineStr">
        <is>
          <t>avverkningsanmälan</t>
        </is>
      </c>
      <c r="C1055" t="inlineStr">
        <is>
          <t>Föryngringsavverkning</t>
        </is>
      </c>
      <c r="D1055" s="1" t="n">
        <v>45308</v>
      </c>
      <c r="E1055" s="1" t="n">
        <v>46309</v>
      </c>
      <c r="F1055" t="inlineStr">
        <is>
          <t>UPPSALA LÄN</t>
        </is>
      </c>
      <c r="G1055" t="inlineStr">
        <is>
          <t>HEBY</t>
        </is>
      </c>
      <c r="I1055" t="n">
        <v>2.7</v>
      </c>
      <c r="J1055" t="n">
        <v>0</v>
      </c>
      <c r="K1055" t="n">
        <v>0</v>
      </c>
      <c r="L1055" t="n">
        <v>0</v>
      </c>
      <c r="M1055" t="n">
        <v>0</v>
      </c>
      <c r="N1055" t="n">
        <v>0</v>
      </c>
      <c r="O1055" t="n">
        <v>0</v>
      </c>
      <c r="P1055" t="n">
        <v>0</v>
      </c>
      <c r="Q1055" t="n">
        <v>0</v>
      </c>
      <c r="R1055" t="n">
        <v>0</v>
      </c>
      <c r="S1055" t="n">
        <v>0</v>
      </c>
      <c r="T1055" t="n">
        <v>0</v>
      </c>
      <c r="U1055" t="n">
        <v>0</v>
      </c>
      <c r="V1055" s="2" t="inlineStr"/>
    </row>
    <row r="1056" ht="15" customHeight="1">
      <c r="A1056" t="inlineStr">
        <is>
          <t>A 37588-2022</t>
        </is>
      </c>
      <c r="B1056" t="inlineStr">
        <is>
          <t>avverkningsanmälan</t>
        </is>
      </c>
      <c r="C1056" t="inlineStr">
        <is>
          <t>Föryngringsavverkning</t>
        </is>
      </c>
      <c r="D1056" s="1" t="n">
        <v>44809</v>
      </c>
      <c r="E1056" s="1" t="n">
        <v>46309</v>
      </c>
      <c r="F1056" t="inlineStr">
        <is>
          <t>UPPSALA LÄN</t>
        </is>
      </c>
      <c r="G1056" t="inlineStr">
        <is>
          <t>UPPSALA</t>
        </is>
      </c>
      <c r="I1056" t="n">
        <v>1.2</v>
      </c>
      <c r="J1056" t="n">
        <v>0</v>
      </c>
      <c r="K1056" t="n">
        <v>0</v>
      </c>
      <c r="L1056" t="n">
        <v>0</v>
      </c>
      <c r="M1056" t="n">
        <v>0</v>
      </c>
      <c r="N1056" t="n">
        <v>0</v>
      </c>
      <c r="O1056" t="n">
        <v>0</v>
      </c>
      <c r="P1056" t="n">
        <v>0</v>
      </c>
      <c r="Q1056" t="n">
        <v>0</v>
      </c>
      <c r="R1056" t="n">
        <v>0</v>
      </c>
      <c r="S1056" t="n">
        <v>0</v>
      </c>
      <c r="T1056" t="n">
        <v>0</v>
      </c>
      <c r="U1056" t="n">
        <v>0</v>
      </c>
      <c r="V1056" s="2" t="inlineStr"/>
    </row>
    <row r="1057" ht="15" customHeight="1">
      <c r="A1057" t="inlineStr">
        <is>
          <t>A 37670-2022</t>
        </is>
      </c>
      <c r="B1057" t="inlineStr">
        <is>
          <t>avverkningsanmälan</t>
        </is>
      </c>
      <c r="C1057" t="inlineStr">
        <is>
          <t>Föryngringsavverkning</t>
        </is>
      </c>
      <c r="D1057" s="1" t="n">
        <v>44810</v>
      </c>
      <c r="E1057" s="1" t="n">
        <v>46309</v>
      </c>
      <c r="F1057" t="inlineStr">
        <is>
          <t>UPPSALA LÄN</t>
        </is>
      </c>
      <c r="G1057" t="inlineStr">
        <is>
          <t>UPPSALA</t>
        </is>
      </c>
      <c r="I1057" t="n">
        <v>2.4</v>
      </c>
      <c r="J1057" t="n">
        <v>0</v>
      </c>
      <c r="K1057" t="n">
        <v>0</v>
      </c>
      <c r="L1057" t="n">
        <v>0</v>
      </c>
      <c r="M1057" t="n">
        <v>0</v>
      </c>
      <c r="N1057" t="n">
        <v>0</v>
      </c>
      <c r="O1057" t="n">
        <v>0</v>
      </c>
      <c r="P1057" t="n">
        <v>0</v>
      </c>
      <c r="Q1057" t="n">
        <v>0</v>
      </c>
      <c r="R1057" t="n">
        <v>0</v>
      </c>
      <c r="S1057" t="n">
        <v>0</v>
      </c>
      <c r="T1057" t="n">
        <v>0</v>
      </c>
      <c r="U1057" t="n">
        <v>0</v>
      </c>
      <c r="V1057" s="2" t="inlineStr"/>
    </row>
    <row r="1058" ht="15" customHeight="1">
      <c r="A1058" t="inlineStr">
        <is>
          <t>A 49971-2022</t>
        </is>
      </c>
      <c r="B1058" t="inlineStr">
        <is>
          <t>avverkningsanmälan</t>
        </is>
      </c>
      <c r="C1058" t="inlineStr">
        <is>
          <t>Föryngringsavverkning</t>
        </is>
      </c>
      <c r="D1058" s="1" t="n">
        <v>44865</v>
      </c>
      <c r="E1058" s="1" t="n">
        <v>46309</v>
      </c>
      <c r="F1058" t="inlineStr">
        <is>
          <t>UPPSALA LÄN</t>
        </is>
      </c>
      <c r="G1058" t="inlineStr">
        <is>
          <t>HEBY</t>
        </is>
      </c>
      <c r="I1058" t="n">
        <v>0.9</v>
      </c>
      <c r="J1058" t="n">
        <v>0</v>
      </c>
      <c r="K1058" t="n">
        <v>0</v>
      </c>
      <c r="L1058" t="n">
        <v>0</v>
      </c>
      <c r="M1058" t="n">
        <v>0</v>
      </c>
      <c r="N1058" t="n">
        <v>0</v>
      </c>
      <c r="O1058" t="n">
        <v>0</v>
      </c>
      <c r="P1058" t="n">
        <v>0</v>
      </c>
      <c r="Q1058" t="n">
        <v>0</v>
      </c>
      <c r="R1058" t="n">
        <v>0</v>
      </c>
      <c r="S1058" t="n">
        <v>0</v>
      </c>
      <c r="T1058" t="n">
        <v>0</v>
      </c>
      <c r="U1058" t="n">
        <v>0</v>
      </c>
      <c r="V1058" s="2" t="inlineStr"/>
    </row>
    <row r="1059" ht="15" customHeight="1">
      <c r="A1059" t="inlineStr">
        <is>
          <t>A 56398-2023</t>
        </is>
      </c>
      <c r="B1059" t="inlineStr">
        <is>
          <t>avverkningsanmälan</t>
        </is>
      </c>
      <c r="C1059" t="inlineStr">
        <is>
          <t>Föryngringsavverkning</t>
        </is>
      </c>
      <c r="D1059" s="1" t="n">
        <v>45243</v>
      </c>
      <c r="E1059" s="1" t="n">
        <v>46309</v>
      </c>
      <c r="F1059" t="inlineStr">
        <is>
          <t>UPPSALA LÄN</t>
        </is>
      </c>
      <c r="G1059" t="inlineStr">
        <is>
          <t>HEBY</t>
        </is>
      </c>
      <c r="I1059" t="n">
        <v>3</v>
      </c>
      <c r="J1059" t="n">
        <v>0</v>
      </c>
      <c r="K1059" t="n">
        <v>0</v>
      </c>
      <c r="L1059" t="n">
        <v>0</v>
      </c>
      <c r="M1059" t="n">
        <v>0</v>
      </c>
      <c r="N1059" t="n">
        <v>0</v>
      </c>
      <c r="O1059" t="n">
        <v>0</v>
      </c>
      <c r="P1059" t="n">
        <v>0</v>
      </c>
      <c r="Q1059" t="n">
        <v>0</v>
      </c>
      <c r="R1059" t="n">
        <v>0</v>
      </c>
      <c r="S1059" t="n">
        <v>0</v>
      </c>
      <c r="T1059" t="n">
        <v>0</v>
      </c>
      <c r="U1059" t="n">
        <v>0</v>
      </c>
      <c r="V1059" s="2" t="inlineStr"/>
    </row>
    <row r="1060" ht="15" customHeight="1">
      <c r="A1060" t="inlineStr">
        <is>
          <t>A 15662-2025</t>
        </is>
      </c>
      <c r="B1060" t="inlineStr">
        <is>
          <t>avverkningsanmälan</t>
        </is>
      </c>
      <c r="C1060" t="inlineStr">
        <is>
          <t>Föryngringsavverkning</t>
        </is>
      </c>
      <c r="D1060" s="1" t="n">
        <v>45748</v>
      </c>
      <c r="E1060" s="1" t="n">
        <v>46309</v>
      </c>
      <c r="F1060" t="inlineStr">
        <is>
          <t>UPPSALA LÄN</t>
        </is>
      </c>
      <c r="G1060" t="inlineStr">
        <is>
          <t>TIERP</t>
        </is>
      </c>
      <c r="H1060" t="inlineStr">
        <is>
          <t>Kyrkan</t>
        </is>
      </c>
      <c r="I1060" t="n">
        <v>5.4</v>
      </c>
      <c r="J1060" t="n">
        <v>0</v>
      </c>
      <c r="K1060" t="n">
        <v>0</v>
      </c>
      <c r="L1060" t="n">
        <v>0</v>
      </c>
      <c r="M1060" t="n">
        <v>0</v>
      </c>
      <c r="N1060" t="n">
        <v>0</v>
      </c>
      <c r="O1060" t="n">
        <v>0</v>
      </c>
      <c r="P1060" t="n">
        <v>0</v>
      </c>
      <c r="Q1060" t="n">
        <v>0</v>
      </c>
      <c r="R1060" t="n">
        <v>0</v>
      </c>
      <c r="S1060" t="n">
        <v>0</v>
      </c>
      <c r="T1060" t="n">
        <v>0</v>
      </c>
      <c r="U1060" t="n">
        <v>0</v>
      </c>
      <c r="V1060" s="2" t="inlineStr"/>
    </row>
    <row r="1061" ht="15" customHeight="1">
      <c r="A1061" t="inlineStr">
        <is>
          <t>A 46647-2022</t>
        </is>
      </c>
      <c r="B1061" t="inlineStr">
        <is>
          <t>avverkningsanmälan</t>
        </is>
      </c>
      <c r="C1061" t="inlineStr">
        <is>
          <t>Föryngringsavverkning</t>
        </is>
      </c>
      <c r="D1061" s="1" t="n">
        <v>44849</v>
      </c>
      <c r="E1061" s="1" t="n">
        <v>46309</v>
      </c>
      <c r="F1061" t="inlineStr">
        <is>
          <t>UPPSALA LÄN</t>
        </is>
      </c>
      <c r="G1061" t="inlineStr">
        <is>
          <t>HEBY</t>
        </is>
      </c>
      <c r="I1061" t="n">
        <v>1.1</v>
      </c>
      <c r="J1061" t="n">
        <v>0</v>
      </c>
      <c r="K1061" t="n">
        <v>0</v>
      </c>
      <c r="L1061" t="n">
        <v>0</v>
      </c>
      <c r="M1061" t="n">
        <v>0</v>
      </c>
      <c r="N1061" t="n">
        <v>0</v>
      </c>
      <c r="O1061" t="n">
        <v>0</v>
      </c>
      <c r="P1061" t="n">
        <v>0</v>
      </c>
      <c r="Q1061" t="n">
        <v>0</v>
      </c>
      <c r="R1061" t="n">
        <v>0</v>
      </c>
      <c r="S1061" t="n">
        <v>0</v>
      </c>
      <c r="T1061" t="n">
        <v>0</v>
      </c>
      <c r="U1061" t="n">
        <v>0</v>
      </c>
      <c r="V1061" s="2" t="inlineStr"/>
    </row>
    <row r="1062" ht="15" customHeight="1">
      <c r="A1062" t="inlineStr">
        <is>
          <t>A 40533-2022</t>
        </is>
      </c>
      <c r="B1062" t="inlineStr">
        <is>
          <t>avverkningsanmälan</t>
        </is>
      </c>
      <c r="C1062" t="inlineStr">
        <is>
          <t>Föryngringsavverkning</t>
        </is>
      </c>
      <c r="D1062" s="1" t="n">
        <v>44823</v>
      </c>
      <c r="E1062" s="1" t="n">
        <v>46309</v>
      </c>
      <c r="F1062" t="inlineStr">
        <is>
          <t>UPPSALA LÄN</t>
        </is>
      </c>
      <c r="G1062" t="inlineStr">
        <is>
          <t>HEBY</t>
        </is>
      </c>
      <c r="H1062" t="inlineStr">
        <is>
          <t>Övriga Aktiebolag</t>
        </is>
      </c>
      <c r="I1062" t="n">
        <v>3.3</v>
      </c>
      <c r="J1062" t="n">
        <v>0</v>
      </c>
      <c r="K1062" t="n">
        <v>0</v>
      </c>
      <c r="L1062" t="n">
        <v>0</v>
      </c>
      <c r="M1062" t="n">
        <v>0</v>
      </c>
      <c r="N1062" t="n">
        <v>0</v>
      </c>
      <c r="O1062" t="n">
        <v>0</v>
      </c>
      <c r="P1062" t="n">
        <v>0</v>
      </c>
      <c r="Q1062" t="n">
        <v>0</v>
      </c>
      <c r="R1062" t="n">
        <v>0</v>
      </c>
      <c r="S1062" t="n">
        <v>0</v>
      </c>
      <c r="T1062" t="n">
        <v>0</v>
      </c>
      <c r="U1062" t="n">
        <v>0</v>
      </c>
      <c r="V1062" s="2" t="inlineStr"/>
    </row>
    <row r="1063" ht="15" customHeight="1">
      <c r="A1063" t="inlineStr">
        <is>
          <t>A 40812-2022</t>
        </is>
      </c>
      <c r="B1063" t="inlineStr">
        <is>
          <t>avverkningsanmälan</t>
        </is>
      </c>
      <c r="C1063" t="inlineStr">
        <is>
          <t>Föryngringsavverkning</t>
        </is>
      </c>
      <c r="D1063" s="1" t="n">
        <v>44824</v>
      </c>
      <c r="E1063" s="1" t="n">
        <v>46309</v>
      </c>
      <c r="F1063" t="inlineStr">
        <is>
          <t>UPPSALA LÄN</t>
        </is>
      </c>
      <c r="G1063" t="inlineStr">
        <is>
          <t>ENKÖPING</t>
        </is>
      </c>
      <c r="I1063" t="n">
        <v>1.4</v>
      </c>
      <c r="J1063" t="n">
        <v>0</v>
      </c>
      <c r="K1063" t="n">
        <v>0</v>
      </c>
      <c r="L1063" t="n">
        <v>0</v>
      </c>
      <c r="M1063" t="n">
        <v>0</v>
      </c>
      <c r="N1063" t="n">
        <v>0</v>
      </c>
      <c r="O1063" t="n">
        <v>0</v>
      </c>
      <c r="P1063" t="n">
        <v>0</v>
      </c>
      <c r="Q1063" t="n">
        <v>0</v>
      </c>
      <c r="R1063" t="n">
        <v>0</v>
      </c>
      <c r="S1063" t="n">
        <v>0</v>
      </c>
      <c r="T1063" t="n">
        <v>0</v>
      </c>
      <c r="U1063" t="n">
        <v>0</v>
      </c>
      <c r="V1063" s="2" t="inlineStr"/>
    </row>
    <row r="1064" ht="15" customHeight="1">
      <c r="A1064" t="inlineStr">
        <is>
          <t>A 58332-2023</t>
        </is>
      </c>
      <c r="B1064" t="inlineStr">
        <is>
          <t>avverkningsanmälan</t>
        </is>
      </c>
      <c r="C1064" t="inlineStr">
        <is>
          <t>Avverkning för annat ändamål</t>
        </is>
      </c>
      <c r="D1064" s="1" t="n">
        <v>45250</v>
      </c>
      <c r="E1064" s="1" t="n">
        <v>46309</v>
      </c>
      <c r="F1064" t="inlineStr">
        <is>
          <t>UPPSALA LÄN</t>
        </is>
      </c>
      <c r="G1064" t="inlineStr">
        <is>
          <t>HEBY</t>
        </is>
      </c>
      <c r="I1064" t="n">
        <v>0.5</v>
      </c>
      <c r="J1064" t="n">
        <v>0</v>
      </c>
      <c r="K1064" t="n">
        <v>0</v>
      </c>
      <c r="L1064" t="n">
        <v>0</v>
      </c>
      <c r="M1064" t="n">
        <v>0</v>
      </c>
      <c r="N1064" t="n">
        <v>0</v>
      </c>
      <c r="O1064" t="n">
        <v>0</v>
      </c>
      <c r="P1064" t="n">
        <v>0</v>
      </c>
      <c r="Q1064" t="n">
        <v>0</v>
      </c>
      <c r="R1064" t="n">
        <v>0</v>
      </c>
      <c r="S1064" t="n">
        <v>0</v>
      </c>
      <c r="T1064" t="n">
        <v>0</v>
      </c>
      <c r="U1064" t="n">
        <v>0</v>
      </c>
      <c r="V1064" s="2" t="inlineStr"/>
    </row>
    <row r="1065" ht="15" customHeight="1">
      <c r="A1065" t="inlineStr">
        <is>
          <t>A 24291-2024</t>
        </is>
      </c>
      <c r="B1065" t="inlineStr">
        <is>
          <t>avverkningsanmälan</t>
        </is>
      </c>
      <c r="C1065" t="inlineStr">
        <is>
          <t>Föryngringsavverkning</t>
        </is>
      </c>
      <c r="D1065" s="1" t="n">
        <v>45457</v>
      </c>
      <c r="E1065" s="1" t="n">
        <v>46309</v>
      </c>
      <c r="F1065" t="inlineStr">
        <is>
          <t>UPPSALA LÄN</t>
        </is>
      </c>
      <c r="G1065" t="inlineStr">
        <is>
          <t>ENKÖPING</t>
        </is>
      </c>
      <c r="I1065" t="n">
        <v>0.5</v>
      </c>
      <c r="J1065" t="n">
        <v>0</v>
      </c>
      <c r="K1065" t="n">
        <v>0</v>
      </c>
      <c r="L1065" t="n">
        <v>0</v>
      </c>
      <c r="M1065" t="n">
        <v>0</v>
      </c>
      <c r="N1065" t="n">
        <v>0</v>
      </c>
      <c r="O1065" t="n">
        <v>0</v>
      </c>
      <c r="P1065" t="n">
        <v>0</v>
      </c>
      <c r="Q1065" t="n">
        <v>0</v>
      </c>
      <c r="R1065" t="n">
        <v>0</v>
      </c>
      <c r="S1065" t="n">
        <v>0</v>
      </c>
      <c r="T1065" t="n">
        <v>0</v>
      </c>
      <c r="U1065" t="n">
        <v>0</v>
      </c>
      <c r="V1065" s="2" t="inlineStr"/>
    </row>
    <row r="1066" ht="15" customHeight="1">
      <c r="A1066" t="inlineStr">
        <is>
          <t>A 57-2023</t>
        </is>
      </c>
      <c r="B1066" t="inlineStr">
        <is>
          <t>avverkningsanmälan</t>
        </is>
      </c>
      <c r="C1066" t="inlineStr">
        <is>
          <t>Föryngringsavverkning</t>
        </is>
      </c>
      <c r="D1066" s="1" t="n">
        <v>44928</v>
      </c>
      <c r="E1066" s="1" t="n">
        <v>46309</v>
      </c>
      <c r="F1066" t="inlineStr">
        <is>
          <t>UPPSALA LÄN</t>
        </is>
      </c>
      <c r="G1066" t="inlineStr">
        <is>
          <t>ÖSTHAMMAR</t>
        </is>
      </c>
      <c r="I1066" t="n">
        <v>1.1</v>
      </c>
      <c r="J1066" t="n">
        <v>0</v>
      </c>
      <c r="K1066" t="n">
        <v>0</v>
      </c>
      <c r="L1066" t="n">
        <v>0</v>
      </c>
      <c r="M1066" t="n">
        <v>0</v>
      </c>
      <c r="N1066" t="n">
        <v>0</v>
      </c>
      <c r="O1066" t="n">
        <v>0</v>
      </c>
      <c r="P1066" t="n">
        <v>0</v>
      </c>
      <c r="Q1066" t="n">
        <v>0</v>
      </c>
      <c r="R1066" t="n">
        <v>0</v>
      </c>
      <c r="S1066" t="n">
        <v>0</v>
      </c>
      <c r="T1066" t="n">
        <v>0</v>
      </c>
      <c r="U1066" t="n">
        <v>0</v>
      </c>
      <c r="V1066" s="2" t="inlineStr"/>
    </row>
    <row r="1067" ht="15" customHeight="1">
      <c r="A1067" t="inlineStr">
        <is>
          <t>A 59-2023</t>
        </is>
      </c>
      <c r="B1067" t="inlineStr">
        <is>
          <t>avverkningsanmälan</t>
        </is>
      </c>
      <c r="C1067" t="inlineStr">
        <is>
          <t>Föryngringsavverkning</t>
        </is>
      </c>
      <c r="D1067" s="1" t="n">
        <v>44928</v>
      </c>
      <c r="E1067" s="1" t="n">
        <v>46309</v>
      </c>
      <c r="F1067" t="inlineStr">
        <is>
          <t>UPPSALA LÄN</t>
        </is>
      </c>
      <c r="G1067" t="inlineStr">
        <is>
          <t>ÖSTHAMMAR</t>
        </is>
      </c>
      <c r="I1067" t="n">
        <v>1.5</v>
      </c>
      <c r="J1067" t="n">
        <v>0</v>
      </c>
      <c r="K1067" t="n">
        <v>0</v>
      </c>
      <c r="L1067" t="n">
        <v>0</v>
      </c>
      <c r="M1067" t="n">
        <v>0</v>
      </c>
      <c r="N1067" t="n">
        <v>0</v>
      </c>
      <c r="O1067" t="n">
        <v>0</v>
      </c>
      <c r="P1067" t="n">
        <v>0</v>
      </c>
      <c r="Q1067" t="n">
        <v>0</v>
      </c>
      <c r="R1067" t="n">
        <v>0</v>
      </c>
      <c r="S1067" t="n">
        <v>0</v>
      </c>
      <c r="T1067" t="n">
        <v>0</v>
      </c>
      <c r="U1067" t="n">
        <v>0</v>
      </c>
      <c r="V1067" s="2" t="inlineStr"/>
    </row>
    <row r="1068" ht="15" customHeight="1">
      <c r="A1068" t="inlineStr">
        <is>
          <t>A 61617-2022</t>
        </is>
      </c>
      <c r="B1068" t="inlineStr">
        <is>
          <t>avverkningsanmälan</t>
        </is>
      </c>
      <c r="C1068" t="inlineStr">
        <is>
          <t>Föryngringsavverkning</t>
        </is>
      </c>
      <c r="D1068" s="1" t="n">
        <v>44916</v>
      </c>
      <c r="E1068" s="1" t="n">
        <v>46309</v>
      </c>
      <c r="F1068" t="inlineStr">
        <is>
          <t>UPPSALA LÄN</t>
        </is>
      </c>
      <c r="G1068" t="inlineStr">
        <is>
          <t>TIERP</t>
        </is>
      </c>
      <c r="I1068" t="n">
        <v>0.3</v>
      </c>
      <c r="J1068" t="n">
        <v>0</v>
      </c>
      <c r="K1068" t="n">
        <v>0</v>
      </c>
      <c r="L1068" t="n">
        <v>0</v>
      </c>
      <c r="M1068" t="n">
        <v>0</v>
      </c>
      <c r="N1068" t="n">
        <v>0</v>
      </c>
      <c r="O1068" t="n">
        <v>0</v>
      </c>
      <c r="P1068" t="n">
        <v>0</v>
      </c>
      <c r="Q1068" t="n">
        <v>0</v>
      </c>
      <c r="R1068" t="n">
        <v>0</v>
      </c>
      <c r="S1068" t="n">
        <v>0</v>
      </c>
      <c r="T1068" t="n">
        <v>0</v>
      </c>
      <c r="U1068" t="n">
        <v>0</v>
      </c>
      <c r="V1068" s="2" t="inlineStr"/>
    </row>
    <row r="1069" ht="15" customHeight="1">
      <c r="A1069" t="inlineStr">
        <is>
          <t>A 47428-2023</t>
        </is>
      </c>
      <c r="B1069" t="inlineStr">
        <is>
          <t>avverkningsanmälan</t>
        </is>
      </c>
      <c r="C1069" t="inlineStr">
        <is>
          <t>Föryngringsavverkning</t>
        </is>
      </c>
      <c r="D1069" s="1" t="n">
        <v>45202</v>
      </c>
      <c r="E1069" s="1" t="n">
        <v>46309</v>
      </c>
      <c r="F1069" t="inlineStr">
        <is>
          <t>UPPSALA LÄN</t>
        </is>
      </c>
      <c r="G1069" t="inlineStr">
        <is>
          <t>ENKÖPING</t>
        </is>
      </c>
      <c r="I1069" t="n">
        <v>3</v>
      </c>
      <c r="J1069" t="n">
        <v>0</v>
      </c>
      <c r="K1069" t="n">
        <v>0</v>
      </c>
      <c r="L1069" t="n">
        <v>0</v>
      </c>
      <c r="M1069" t="n">
        <v>0</v>
      </c>
      <c r="N1069" t="n">
        <v>0</v>
      </c>
      <c r="O1069" t="n">
        <v>0</v>
      </c>
      <c r="P1069" t="n">
        <v>0</v>
      </c>
      <c r="Q1069" t="n">
        <v>0</v>
      </c>
      <c r="R1069" t="n">
        <v>0</v>
      </c>
      <c r="S1069" t="n">
        <v>0</v>
      </c>
      <c r="T1069" t="n">
        <v>0</v>
      </c>
      <c r="U1069" t="n">
        <v>0</v>
      </c>
      <c r="V1069" s="2" t="inlineStr"/>
    </row>
    <row r="1070" ht="15" customHeight="1">
      <c r="A1070" t="inlineStr">
        <is>
          <t>A 18544-2025</t>
        </is>
      </c>
      <c r="B1070" t="inlineStr">
        <is>
          <t>avverkningsanmälan</t>
        </is>
      </c>
      <c r="C1070" t="inlineStr">
        <is>
          <t>Föryngringsavverkning</t>
        </is>
      </c>
      <c r="D1070" s="1" t="n">
        <v>45763</v>
      </c>
      <c r="E1070" s="1" t="n">
        <v>46309</v>
      </c>
      <c r="F1070" t="inlineStr">
        <is>
          <t>UPPSALA LÄN</t>
        </is>
      </c>
      <c r="G1070" t="inlineStr">
        <is>
          <t>TIERP</t>
        </is>
      </c>
      <c r="I1070" t="n">
        <v>1.2</v>
      </c>
      <c r="J1070" t="n">
        <v>0</v>
      </c>
      <c r="K1070" t="n">
        <v>0</v>
      </c>
      <c r="L1070" t="n">
        <v>0</v>
      </c>
      <c r="M1070" t="n">
        <v>0</v>
      </c>
      <c r="N1070" t="n">
        <v>0</v>
      </c>
      <c r="O1070" t="n">
        <v>0</v>
      </c>
      <c r="P1070" t="n">
        <v>0</v>
      </c>
      <c r="Q1070" t="n">
        <v>0</v>
      </c>
      <c r="R1070" t="n">
        <v>0</v>
      </c>
      <c r="S1070" t="n">
        <v>0</v>
      </c>
      <c r="T1070" t="n">
        <v>0</v>
      </c>
      <c r="U1070" t="n">
        <v>0</v>
      </c>
      <c r="V1070" s="2" t="inlineStr"/>
    </row>
    <row r="1071" ht="15" customHeight="1">
      <c r="A1071" t="inlineStr">
        <is>
          <t>A 44232-2022</t>
        </is>
      </c>
      <c r="B1071" t="inlineStr">
        <is>
          <t>avverkningsanmälan</t>
        </is>
      </c>
      <c r="C1071" t="inlineStr">
        <is>
          <t>Föryngringsavverkning</t>
        </is>
      </c>
      <c r="D1071" s="1" t="n">
        <v>44839</v>
      </c>
      <c r="E1071" s="1" t="n">
        <v>46309</v>
      </c>
      <c r="F1071" t="inlineStr">
        <is>
          <t>UPPSALA LÄN</t>
        </is>
      </c>
      <c r="G1071" t="inlineStr">
        <is>
          <t>ENKÖPING</t>
        </is>
      </c>
      <c r="I1071" t="n">
        <v>0.7</v>
      </c>
      <c r="J1071" t="n">
        <v>0</v>
      </c>
      <c r="K1071" t="n">
        <v>0</v>
      </c>
      <c r="L1071" t="n">
        <v>0</v>
      </c>
      <c r="M1071" t="n">
        <v>0</v>
      </c>
      <c r="N1071" t="n">
        <v>0</v>
      </c>
      <c r="O1071" t="n">
        <v>0</v>
      </c>
      <c r="P1071" t="n">
        <v>0</v>
      </c>
      <c r="Q1071" t="n">
        <v>0</v>
      </c>
      <c r="R1071" t="n">
        <v>0</v>
      </c>
      <c r="S1071" t="n">
        <v>0</v>
      </c>
      <c r="T1071" t="n">
        <v>0</v>
      </c>
      <c r="U1071" t="n">
        <v>0</v>
      </c>
      <c r="V1071" s="2" t="inlineStr"/>
    </row>
    <row r="1072" ht="15" customHeight="1">
      <c r="A1072" t="inlineStr">
        <is>
          <t>A 19947-2024</t>
        </is>
      </c>
      <c r="B1072" t="inlineStr">
        <is>
          <t>avverkningsanmälan</t>
        </is>
      </c>
      <c r="C1072" t="inlineStr">
        <is>
          <t>Föryngringsavverkning</t>
        </is>
      </c>
      <c r="D1072" s="1" t="n">
        <v>45433</v>
      </c>
      <c r="E1072" s="1" t="n">
        <v>46309</v>
      </c>
      <c r="F1072" t="inlineStr">
        <is>
          <t>UPPSALA LÄN</t>
        </is>
      </c>
      <c r="G1072" t="inlineStr">
        <is>
          <t>ÖSTHAMMAR</t>
        </is>
      </c>
      <c r="I1072" t="n">
        <v>0.3</v>
      </c>
      <c r="J1072" t="n">
        <v>0</v>
      </c>
      <c r="K1072" t="n">
        <v>0</v>
      </c>
      <c r="L1072" t="n">
        <v>0</v>
      </c>
      <c r="M1072" t="n">
        <v>0</v>
      </c>
      <c r="N1072" t="n">
        <v>0</v>
      </c>
      <c r="O1072" t="n">
        <v>0</v>
      </c>
      <c r="P1072" t="n">
        <v>0</v>
      </c>
      <c r="Q1072" t="n">
        <v>0</v>
      </c>
      <c r="R1072" t="n">
        <v>0</v>
      </c>
      <c r="S1072" t="n">
        <v>0</v>
      </c>
      <c r="T1072" t="n">
        <v>0</v>
      </c>
      <c r="U1072" t="n">
        <v>0</v>
      </c>
      <c r="V1072" s="2" t="inlineStr"/>
    </row>
    <row r="1073" ht="15" customHeight="1">
      <c r="A1073" t="inlineStr">
        <is>
          <t>A 73531-2021</t>
        </is>
      </c>
      <c r="B1073" t="inlineStr">
        <is>
          <t>avverkningsanmälan</t>
        </is>
      </c>
      <c r="C1073" t="inlineStr">
        <is>
          <t>Föryngringsavverkning</t>
        </is>
      </c>
      <c r="D1073" s="1" t="n">
        <v>44551</v>
      </c>
      <c r="E1073" s="1" t="n">
        <v>46309</v>
      </c>
      <c r="F1073" t="inlineStr">
        <is>
          <t>UPPSALA LÄN</t>
        </is>
      </c>
      <c r="G1073" t="inlineStr">
        <is>
          <t>UPPSALA</t>
        </is>
      </c>
      <c r="H1073" t="inlineStr">
        <is>
          <t>Holmen skog AB</t>
        </is>
      </c>
      <c r="I1073" t="n">
        <v>1.9</v>
      </c>
      <c r="J1073" t="n">
        <v>0</v>
      </c>
      <c r="K1073" t="n">
        <v>0</v>
      </c>
      <c r="L1073" t="n">
        <v>0</v>
      </c>
      <c r="M1073" t="n">
        <v>0</v>
      </c>
      <c r="N1073" t="n">
        <v>0</v>
      </c>
      <c r="O1073" t="n">
        <v>0</v>
      </c>
      <c r="P1073" t="n">
        <v>0</v>
      </c>
      <c r="Q1073" t="n">
        <v>0</v>
      </c>
      <c r="R1073" t="n">
        <v>0</v>
      </c>
      <c r="S1073" t="n">
        <v>0</v>
      </c>
      <c r="T1073" t="n">
        <v>0</v>
      </c>
      <c r="U1073" t="n">
        <v>0</v>
      </c>
      <c r="V1073" s="2" t="inlineStr"/>
    </row>
    <row r="1074" ht="15" customHeight="1">
      <c r="A1074" t="inlineStr">
        <is>
          <t>A 25252-2024</t>
        </is>
      </c>
      <c r="B1074" t="inlineStr">
        <is>
          <t>avverkningsanmälan</t>
        </is>
      </c>
      <c r="C1074" t="inlineStr">
        <is>
          <t>Föryngringsavverkning</t>
        </is>
      </c>
      <c r="D1074" s="1" t="n">
        <v>45462</v>
      </c>
      <c r="E1074" s="1" t="n">
        <v>46309</v>
      </c>
      <c r="F1074" t="inlineStr">
        <is>
          <t>UPPSALA LÄN</t>
        </is>
      </c>
      <c r="G1074" t="inlineStr">
        <is>
          <t>ÖSTHAMMAR</t>
        </is>
      </c>
      <c r="I1074" t="n">
        <v>4.3</v>
      </c>
      <c r="J1074" t="n">
        <v>0</v>
      </c>
      <c r="K1074" t="n">
        <v>0</v>
      </c>
      <c r="L1074" t="n">
        <v>0</v>
      </c>
      <c r="M1074" t="n">
        <v>0</v>
      </c>
      <c r="N1074" t="n">
        <v>0</v>
      </c>
      <c r="O1074" t="n">
        <v>0</v>
      </c>
      <c r="P1074" t="n">
        <v>0</v>
      </c>
      <c r="Q1074" t="n">
        <v>0</v>
      </c>
      <c r="R1074" t="n">
        <v>0</v>
      </c>
      <c r="S1074" t="n">
        <v>0</v>
      </c>
      <c r="T1074" t="n">
        <v>0</v>
      </c>
      <c r="U1074" t="n">
        <v>0</v>
      </c>
      <c r="V1074" s="2" t="inlineStr"/>
    </row>
    <row r="1075" ht="15" customHeight="1">
      <c r="A1075" t="inlineStr">
        <is>
          <t>A 14433-2024</t>
        </is>
      </c>
      <c r="B1075" t="inlineStr">
        <is>
          <t>avverkningsanmälan</t>
        </is>
      </c>
      <c r="C1075" t="inlineStr">
        <is>
          <t>Föryngringsavverkning</t>
        </is>
      </c>
      <c r="D1075" s="1" t="n">
        <v>45394</v>
      </c>
      <c r="E1075" s="1" t="n">
        <v>46309</v>
      </c>
      <c r="F1075" t="inlineStr">
        <is>
          <t>UPPSALA LÄN</t>
        </is>
      </c>
      <c r="G1075" t="inlineStr">
        <is>
          <t>ÖSTHAMMAR</t>
        </is>
      </c>
      <c r="I1075" t="n">
        <v>1.2</v>
      </c>
      <c r="J1075" t="n">
        <v>0</v>
      </c>
      <c r="K1075" t="n">
        <v>0</v>
      </c>
      <c r="L1075" t="n">
        <v>0</v>
      </c>
      <c r="M1075" t="n">
        <v>0</v>
      </c>
      <c r="N1075" t="n">
        <v>0</v>
      </c>
      <c r="O1075" t="n">
        <v>0</v>
      </c>
      <c r="P1075" t="n">
        <v>0</v>
      </c>
      <c r="Q1075" t="n">
        <v>0</v>
      </c>
      <c r="R1075" t="n">
        <v>0</v>
      </c>
      <c r="S1075" t="n">
        <v>0</v>
      </c>
      <c r="T1075" t="n">
        <v>0</v>
      </c>
      <c r="U1075" t="n">
        <v>0</v>
      </c>
      <c r="V1075" s="2" t="inlineStr"/>
    </row>
    <row r="1076" ht="15" customHeight="1">
      <c r="A1076" t="inlineStr">
        <is>
          <t>A 43713-2022</t>
        </is>
      </c>
      <c r="B1076" t="inlineStr">
        <is>
          <t>avverkningsanmälan</t>
        </is>
      </c>
      <c r="C1076" t="inlineStr">
        <is>
          <t>Föryngringsavverkning</t>
        </is>
      </c>
      <c r="D1076" s="1" t="n">
        <v>44837</v>
      </c>
      <c r="E1076" s="1" t="n">
        <v>46309</v>
      </c>
      <c r="F1076" t="inlineStr">
        <is>
          <t>UPPSALA LÄN</t>
        </is>
      </c>
      <c r="G1076" t="inlineStr">
        <is>
          <t>TIERP</t>
        </is>
      </c>
      <c r="I1076" t="n">
        <v>3.4</v>
      </c>
      <c r="J1076" t="n">
        <v>0</v>
      </c>
      <c r="K1076" t="n">
        <v>0</v>
      </c>
      <c r="L1076" t="n">
        <v>0</v>
      </c>
      <c r="M1076" t="n">
        <v>0</v>
      </c>
      <c r="N1076" t="n">
        <v>0</v>
      </c>
      <c r="O1076" t="n">
        <v>0</v>
      </c>
      <c r="P1076" t="n">
        <v>0</v>
      </c>
      <c r="Q1076" t="n">
        <v>0</v>
      </c>
      <c r="R1076" t="n">
        <v>0</v>
      </c>
      <c r="S1076" t="n">
        <v>0</v>
      </c>
      <c r="T1076" t="n">
        <v>0</v>
      </c>
      <c r="U1076" t="n">
        <v>0</v>
      </c>
      <c r="V1076" s="2" t="inlineStr"/>
    </row>
    <row r="1077" ht="15" customHeight="1">
      <c r="A1077" t="inlineStr">
        <is>
          <t>A 56382-2022</t>
        </is>
      </c>
      <c r="B1077" t="inlineStr">
        <is>
          <t>avverkningsanmälan</t>
        </is>
      </c>
      <c r="C1077" t="inlineStr">
        <is>
          <t>Föryngringsavverkning</t>
        </is>
      </c>
      <c r="D1077" s="1" t="n">
        <v>44890</v>
      </c>
      <c r="E1077" s="1" t="n">
        <v>46309</v>
      </c>
      <c r="F1077" t="inlineStr">
        <is>
          <t>UPPSALA LÄN</t>
        </is>
      </c>
      <c r="G1077" t="inlineStr">
        <is>
          <t>ÖSTHAMMAR</t>
        </is>
      </c>
      <c r="H1077" t="inlineStr">
        <is>
          <t>Allmännings- och besparingsskogar</t>
        </is>
      </c>
      <c r="I1077" t="n">
        <v>1.1</v>
      </c>
      <c r="J1077" t="n">
        <v>0</v>
      </c>
      <c r="K1077" t="n">
        <v>0</v>
      </c>
      <c r="L1077" t="n">
        <v>0</v>
      </c>
      <c r="M1077" t="n">
        <v>0</v>
      </c>
      <c r="N1077" t="n">
        <v>0</v>
      </c>
      <c r="O1077" t="n">
        <v>0</v>
      </c>
      <c r="P1077" t="n">
        <v>0</v>
      </c>
      <c r="Q1077" t="n">
        <v>0</v>
      </c>
      <c r="R1077" t="n">
        <v>0</v>
      </c>
      <c r="S1077" t="n">
        <v>0</v>
      </c>
      <c r="T1077" t="n">
        <v>0</v>
      </c>
      <c r="U1077" t="n">
        <v>0</v>
      </c>
      <c r="V1077" s="2" t="inlineStr"/>
    </row>
    <row r="1078" ht="15" customHeight="1">
      <c r="A1078" t="inlineStr">
        <is>
          <t>A 58492-2023</t>
        </is>
      </c>
      <c r="B1078" t="inlineStr">
        <is>
          <t>avverkningsanmälan</t>
        </is>
      </c>
      <c r="C1078" t="inlineStr">
        <is>
          <t>Avverkning för annat ändamål</t>
        </is>
      </c>
      <c r="D1078" s="1" t="n">
        <v>45251</v>
      </c>
      <c r="E1078" s="1" t="n">
        <v>46309</v>
      </c>
      <c r="F1078" t="inlineStr">
        <is>
          <t>UPPSALA LÄN</t>
        </is>
      </c>
      <c r="G1078" t="inlineStr">
        <is>
          <t>TIERP</t>
        </is>
      </c>
      <c r="H1078" t="inlineStr">
        <is>
          <t>Bergvik skog väst AB</t>
        </is>
      </c>
      <c r="I1078" t="n">
        <v>1.7</v>
      </c>
      <c r="J1078" t="n">
        <v>0</v>
      </c>
      <c r="K1078" t="n">
        <v>0</v>
      </c>
      <c r="L1078" t="n">
        <v>0</v>
      </c>
      <c r="M1078" t="n">
        <v>0</v>
      </c>
      <c r="N1078" t="n">
        <v>0</v>
      </c>
      <c r="O1078" t="n">
        <v>0</v>
      </c>
      <c r="P1078" t="n">
        <v>0</v>
      </c>
      <c r="Q1078" t="n">
        <v>0</v>
      </c>
      <c r="R1078" t="n">
        <v>0</v>
      </c>
      <c r="S1078" t="n">
        <v>0</v>
      </c>
      <c r="T1078" t="n">
        <v>0</v>
      </c>
      <c r="U1078" t="n">
        <v>0</v>
      </c>
      <c r="V1078" s="2" t="inlineStr"/>
    </row>
    <row r="1079" ht="15" customHeight="1">
      <c r="A1079" t="inlineStr">
        <is>
          <t>A 20854-2024</t>
        </is>
      </c>
      <c r="B1079" t="inlineStr">
        <is>
          <t>avverkningsanmälan</t>
        </is>
      </c>
      <c r="C1079" t="inlineStr">
        <is>
          <t>Föryngringsavverkning</t>
        </is>
      </c>
      <c r="D1079" s="1" t="n">
        <v>45439</v>
      </c>
      <c r="E1079" s="1" t="n">
        <v>46309</v>
      </c>
      <c r="F1079" t="inlineStr">
        <is>
          <t>UPPSALA LÄN</t>
        </is>
      </c>
      <c r="G1079" t="inlineStr">
        <is>
          <t>TIERP</t>
        </is>
      </c>
      <c r="I1079" t="n">
        <v>0.8</v>
      </c>
      <c r="J1079" t="n">
        <v>0</v>
      </c>
      <c r="K1079" t="n">
        <v>0</v>
      </c>
      <c r="L1079" t="n">
        <v>0</v>
      </c>
      <c r="M1079" t="n">
        <v>0</v>
      </c>
      <c r="N1079" t="n">
        <v>0</v>
      </c>
      <c r="O1079" t="n">
        <v>0</v>
      </c>
      <c r="P1079" t="n">
        <v>0</v>
      </c>
      <c r="Q1079" t="n">
        <v>0</v>
      </c>
      <c r="R1079" t="n">
        <v>0</v>
      </c>
      <c r="S1079" t="n">
        <v>0</v>
      </c>
      <c r="T1079" t="n">
        <v>0</v>
      </c>
      <c r="U1079" t="n">
        <v>0</v>
      </c>
      <c r="V1079" s="2" t="inlineStr"/>
    </row>
    <row r="1080" ht="15" customHeight="1">
      <c r="A1080" t="inlineStr">
        <is>
          <t>A 45362-2022</t>
        </is>
      </c>
      <c r="B1080" t="inlineStr">
        <is>
          <t>avverkningsanmälan</t>
        </is>
      </c>
      <c r="C1080" t="inlineStr">
        <is>
          <t>Föryngringsavverkning</t>
        </is>
      </c>
      <c r="D1080" s="1" t="n">
        <v>44844</v>
      </c>
      <c r="E1080" s="1" t="n">
        <v>46309</v>
      </c>
      <c r="F1080" t="inlineStr">
        <is>
          <t>UPPSALA LÄN</t>
        </is>
      </c>
      <c r="G1080" t="inlineStr">
        <is>
          <t>ENKÖPING</t>
        </is>
      </c>
      <c r="I1080" t="n">
        <v>1.8</v>
      </c>
      <c r="J1080" t="n">
        <v>0</v>
      </c>
      <c r="K1080" t="n">
        <v>0</v>
      </c>
      <c r="L1080" t="n">
        <v>0</v>
      </c>
      <c r="M1080" t="n">
        <v>0</v>
      </c>
      <c r="N1080" t="n">
        <v>0</v>
      </c>
      <c r="O1080" t="n">
        <v>0</v>
      </c>
      <c r="P1080" t="n">
        <v>0</v>
      </c>
      <c r="Q1080" t="n">
        <v>0</v>
      </c>
      <c r="R1080" t="n">
        <v>0</v>
      </c>
      <c r="S1080" t="n">
        <v>0</v>
      </c>
      <c r="T1080" t="n">
        <v>0</v>
      </c>
      <c r="U1080" t="n">
        <v>0</v>
      </c>
      <c r="V1080" s="2" t="inlineStr"/>
    </row>
    <row r="1081" ht="15" customHeight="1">
      <c r="A1081" t="inlineStr">
        <is>
          <t>A 56526-2022</t>
        </is>
      </c>
      <c r="B1081" t="inlineStr">
        <is>
          <t>avverkningsanmälan</t>
        </is>
      </c>
      <c r="C1081" t="inlineStr">
        <is>
          <t>Föryngringsavverkning</t>
        </is>
      </c>
      <c r="D1081" s="1" t="n">
        <v>44893</v>
      </c>
      <c r="E1081" s="1" t="n">
        <v>46309</v>
      </c>
      <c r="F1081" t="inlineStr">
        <is>
          <t>UPPSALA LÄN</t>
        </is>
      </c>
      <c r="G1081" t="inlineStr">
        <is>
          <t>ENKÖPING</t>
        </is>
      </c>
      <c r="I1081" t="n">
        <v>3.8</v>
      </c>
      <c r="J1081" t="n">
        <v>0</v>
      </c>
      <c r="K1081" t="n">
        <v>0</v>
      </c>
      <c r="L1081" t="n">
        <v>0</v>
      </c>
      <c r="M1081" t="n">
        <v>0</v>
      </c>
      <c r="N1081" t="n">
        <v>0</v>
      </c>
      <c r="O1081" t="n">
        <v>0</v>
      </c>
      <c r="P1081" t="n">
        <v>0</v>
      </c>
      <c r="Q1081" t="n">
        <v>0</v>
      </c>
      <c r="R1081" t="n">
        <v>0</v>
      </c>
      <c r="S1081" t="n">
        <v>0</v>
      </c>
      <c r="T1081" t="n">
        <v>0</v>
      </c>
      <c r="U1081" t="n">
        <v>0</v>
      </c>
      <c r="V1081" s="2" t="inlineStr"/>
    </row>
    <row r="1082" ht="15" customHeight="1">
      <c r="A1082" t="inlineStr">
        <is>
          <t>A 60350-2022</t>
        </is>
      </c>
      <c r="B1082" t="inlineStr">
        <is>
          <t>avverkningsanmälan</t>
        </is>
      </c>
      <c r="C1082" t="inlineStr">
        <is>
          <t>Föryngringsavverkning</t>
        </is>
      </c>
      <c r="D1082" s="1" t="n">
        <v>44910</v>
      </c>
      <c r="E1082" s="1" t="n">
        <v>46309</v>
      </c>
      <c r="F1082" t="inlineStr">
        <is>
          <t>UPPSALA LÄN</t>
        </is>
      </c>
      <c r="G1082" t="inlineStr">
        <is>
          <t>ENKÖPING</t>
        </is>
      </c>
      <c r="H1082" t="inlineStr">
        <is>
          <t>Allmännings- och besparingsskogar</t>
        </is>
      </c>
      <c r="I1082" t="n">
        <v>3.5</v>
      </c>
      <c r="J1082" t="n">
        <v>0</v>
      </c>
      <c r="K1082" t="n">
        <v>0</v>
      </c>
      <c r="L1082" t="n">
        <v>0</v>
      </c>
      <c r="M1082" t="n">
        <v>0</v>
      </c>
      <c r="N1082" t="n">
        <v>0</v>
      </c>
      <c r="O1082" t="n">
        <v>0</v>
      </c>
      <c r="P1082" t="n">
        <v>0</v>
      </c>
      <c r="Q1082" t="n">
        <v>0</v>
      </c>
      <c r="R1082" t="n">
        <v>0</v>
      </c>
      <c r="S1082" t="n">
        <v>0</v>
      </c>
      <c r="T1082" t="n">
        <v>0</v>
      </c>
      <c r="U1082" t="n">
        <v>0</v>
      </c>
      <c r="V1082" s="2" t="inlineStr"/>
    </row>
    <row r="1083" ht="15" customHeight="1">
      <c r="A1083" t="inlineStr">
        <is>
          <t>A 5877-2023</t>
        </is>
      </c>
      <c r="B1083" t="inlineStr">
        <is>
          <t>avverkningsanmälan</t>
        </is>
      </c>
      <c r="C1083" t="inlineStr">
        <is>
          <t>Föryngringsavverkning</t>
        </is>
      </c>
      <c r="D1083" s="1" t="n">
        <v>44963</v>
      </c>
      <c r="E1083" s="1" t="n">
        <v>46309</v>
      </c>
      <c r="F1083" t="inlineStr">
        <is>
          <t>UPPSALA LÄN</t>
        </is>
      </c>
      <c r="G1083" t="inlineStr">
        <is>
          <t>ÖSTHAMMAR</t>
        </is>
      </c>
      <c r="I1083" t="n">
        <v>0.7</v>
      </c>
      <c r="J1083" t="n">
        <v>0</v>
      </c>
      <c r="K1083" t="n">
        <v>0</v>
      </c>
      <c r="L1083" t="n">
        <v>0</v>
      </c>
      <c r="M1083" t="n">
        <v>0</v>
      </c>
      <c r="N1083" t="n">
        <v>0</v>
      </c>
      <c r="O1083" t="n">
        <v>0</v>
      </c>
      <c r="P1083" t="n">
        <v>0</v>
      </c>
      <c r="Q1083" t="n">
        <v>0</v>
      </c>
      <c r="R1083" t="n">
        <v>0</v>
      </c>
      <c r="S1083" t="n">
        <v>0</v>
      </c>
      <c r="T1083" t="n">
        <v>0</v>
      </c>
      <c r="U1083" t="n">
        <v>0</v>
      </c>
      <c r="V1083" s="2" t="inlineStr"/>
    </row>
    <row r="1084" ht="15" customHeight="1">
      <c r="A1084" t="inlineStr">
        <is>
          <t>A 43488-2023</t>
        </is>
      </c>
      <c r="B1084" t="inlineStr">
        <is>
          <t>avverkningsanmälan</t>
        </is>
      </c>
      <c r="C1084" t="inlineStr">
        <is>
          <t>Föryngringsavverkning</t>
        </is>
      </c>
      <c r="D1084" s="1" t="n">
        <v>45181</v>
      </c>
      <c r="E1084" s="1" t="n">
        <v>46309</v>
      </c>
      <c r="F1084" t="inlineStr">
        <is>
          <t>UPPSALA LÄN</t>
        </is>
      </c>
      <c r="G1084" t="inlineStr">
        <is>
          <t>ENKÖPING</t>
        </is>
      </c>
      <c r="I1084" t="n">
        <v>0.6</v>
      </c>
      <c r="J1084" t="n">
        <v>0</v>
      </c>
      <c r="K1084" t="n">
        <v>0</v>
      </c>
      <c r="L1084" t="n">
        <v>0</v>
      </c>
      <c r="M1084" t="n">
        <v>0</v>
      </c>
      <c r="N1084" t="n">
        <v>0</v>
      </c>
      <c r="O1084" t="n">
        <v>0</v>
      </c>
      <c r="P1084" t="n">
        <v>0</v>
      </c>
      <c r="Q1084" t="n">
        <v>0</v>
      </c>
      <c r="R1084" t="n">
        <v>0</v>
      </c>
      <c r="S1084" t="n">
        <v>0</v>
      </c>
      <c r="T1084" t="n">
        <v>0</v>
      </c>
      <c r="U1084" t="n">
        <v>0</v>
      </c>
      <c r="V1084" s="2" t="inlineStr"/>
    </row>
    <row r="1085" ht="15" customHeight="1">
      <c r="A1085" t="inlineStr">
        <is>
          <t>A 53900-2023</t>
        </is>
      </c>
      <c r="B1085" t="inlineStr">
        <is>
          <t>avverkningsanmälan</t>
        </is>
      </c>
      <c r="C1085" t="inlineStr">
        <is>
          <t>Föryngringsavverkning</t>
        </is>
      </c>
      <c r="D1085" s="1" t="n">
        <v>45231</v>
      </c>
      <c r="E1085" s="1" t="n">
        <v>46309</v>
      </c>
      <c r="F1085" t="inlineStr">
        <is>
          <t>UPPSALA LÄN</t>
        </is>
      </c>
      <c r="G1085" t="inlineStr">
        <is>
          <t>UPPSALA</t>
        </is>
      </c>
      <c r="I1085" t="n">
        <v>2.1</v>
      </c>
      <c r="J1085" t="n">
        <v>0</v>
      </c>
      <c r="K1085" t="n">
        <v>0</v>
      </c>
      <c r="L1085" t="n">
        <v>0</v>
      </c>
      <c r="M1085" t="n">
        <v>0</v>
      </c>
      <c r="N1085" t="n">
        <v>0</v>
      </c>
      <c r="O1085" t="n">
        <v>0</v>
      </c>
      <c r="P1085" t="n">
        <v>0</v>
      </c>
      <c r="Q1085" t="n">
        <v>0</v>
      </c>
      <c r="R1085" t="n">
        <v>0</v>
      </c>
      <c r="S1085" t="n">
        <v>0</v>
      </c>
      <c r="T1085" t="n">
        <v>0</v>
      </c>
      <c r="U1085" t="n">
        <v>0</v>
      </c>
      <c r="V1085" s="2" t="inlineStr"/>
    </row>
    <row r="1086" ht="15" customHeight="1">
      <c r="A1086" t="inlineStr">
        <is>
          <t>A 12755-2025</t>
        </is>
      </c>
      <c r="B1086" t="inlineStr">
        <is>
          <t>avverkningsanmälan</t>
        </is>
      </c>
      <c r="C1086" t="inlineStr">
        <is>
          <t>Föryngringsavverkning</t>
        </is>
      </c>
      <c r="D1086" s="1" t="n">
        <v>45733</v>
      </c>
      <c r="E1086" s="1" t="n">
        <v>46309</v>
      </c>
      <c r="F1086" t="inlineStr">
        <is>
          <t>UPPSALA LÄN</t>
        </is>
      </c>
      <c r="G1086" t="inlineStr">
        <is>
          <t>ENKÖPING</t>
        </is>
      </c>
      <c r="I1086" t="n">
        <v>0.8</v>
      </c>
      <c r="J1086" t="n">
        <v>0</v>
      </c>
      <c r="K1086" t="n">
        <v>0</v>
      </c>
      <c r="L1086" t="n">
        <v>0</v>
      </c>
      <c r="M1086" t="n">
        <v>0</v>
      </c>
      <c r="N1086" t="n">
        <v>0</v>
      </c>
      <c r="O1086" t="n">
        <v>0</v>
      </c>
      <c r="P1086" t="n">
        <v>0</v>
      </c>
      <c r="Q1086" t="n">
        <v>0</v>
      </c>
      <c r="R1086" t="n">
        <v>0</v>
      </c>
      <c r="S1086" t="n">
        <v>0</v>
      </c>
      <c r="T1086" t="n">
        <v>0</v>
      </c>
      <c r="U1086" t="n">
        <v>0</v>
      </c>
      <c r="V1086" s="2" t="inlineStr"/>
    </row>
    <row r="1087" ht="15" customHeight="1">
      <c r="A1087" t="inlineStr">
        <is>
          <t>A 53911-2023</t>
        </is>
      </c>
      <c r="B1087" t="inlineStr">
        <is>
          <t>avverkningsanmälan</t>
        </is>
      </c>
      <c r="C1087" t="inlineStr">
        <is>
          <t>Föryngringsavverkning</t>
        </is>
      </c>
      <c r="D1087" s="1" t="n">
        <v>45231</v>
      </c>
      <c r="E1087" s="1" t="n">
        <v>46309</v>
      </c>
      <c r="F1087" t="inlineStr">
        <is>
          <t>UPPSALA LÄN</t>
        </is>
      </c>
      <c r="G1087" t="inlineStr">
        <is>
          <t>HEBY</t>
        </is>
      </c>
      <c r="I1087" t="n">
        <v>10.3</v>
      </c>
      <c r="J1087" t="n">
        <v>0</v>
      </c>
      <c r="K1087" t="n">
        <v>0</v>
      </c>
      <c r="L1087" t="n">
        <v>0</v>
      </c>
      <c r="M1087" t="n">
        <v>0</v>
      </c>
      <c r="N1087" t="n">
        <v>0</v>
      </c>
      <c r="O1087" t="n">
        <v>0</v>
      </c>
      <c r="P1087" t="n">
        <v>0</v>
      </c>
      <c r="Q1087" t="n">
        <v>0</v>
      </c>
      <c r="R1087" t="n">
        <v>0</v>
      </c>
      <c r="S1087" t="n">
        <v>0</v>
      </c>
      <c r="T1087" t="n">
        <v>0</v>
      </c>
      <c r="U1087" t="n">
        <v>0</v>
      </c>
      <c r="V1087" s="2" t="inlineStr"/>
    </row>
    <row r="1088" ht="15" customHeight="1">
      <c r="A1088" t="inlineStr">
        <is>
          <t>A 19513-2023</t>
        </is>
      </c>
      <c r="B1088" t="inlineStr">
        <is>
          <t>avverkningsanmälan</t>
        </is>
      </c>
      <c r="C1088" t="inlineStr">
        <is>
          <t>Föryngringsavverkning</t>
        </is>
      </c>
      <c r="D1088" s="1" t="n">
        <v>45050</v>
      </c>
      <c r="E1088" s="1" t="n">
        <v>46309</v>
      </c>
      <c r="F1088" t="inlineStr">
        <is>
          <t>UPPSALA LÄN</t>
        </is>
      </c>
      <c r="G1088" t="inlineStr">
        <is>
          <t>UPPSALA</t>
        </is>
      </c>
      <c r="I1088" t="n">
        <v>6.6</v>
      </c>
      <c r="J1088" t="n">
        <v>0</v>
      </c>
      <c r="K1088" t="n">
        <v>0</v>
      </c>
      <c r="L1088" t="n">
        <v>0</v>
      </c>
      <c r="M1088" t="n">
        <v>0</v>
      </c>
      <c r="N1088" t="n">
        <v>0</v>
      </c>
      <c r="O1088" t="n">
        <v>0</v>
      </c>
      <c r="P1088" t="n">
        <v>0</v>
      </c>
      <c r="Q1088" t="n">
        <v>0</v>
      </c>
      <c r="R1088" t="n">
        <v>0</v>
      </c>
      <c r="S1088" t="n">
        <v>0</v>
      </c>
      <c r="T1088" t="n">
        <v>0</v>
      </c>
      <c r="U1088" t="n">
        <v>0</v>
      </c>
      <c r="V1088" s="2" t="inlineStr"/>
    </row>
    <row r="1089" ht="15" customHeight="1">
      <c r="A1089" t="inlineStr">
        <is>
          <t>A 25938-2024</t>
        </is>
      </c>
      <c r="B1089" t="inlineStr">
        <is>
          <t>avverkningsanmälan</t>
        </is>
      </c>
      <c r="C1089" t="inlineStr">
        <is>
          <t>Föryngringsavverkning</t>
        </is>
      </c>
      <c r="D1089" s="1" t="n">
        <v>45467</v>
      </c>
      <c r="E1089" s="1" t="n">
        <v>46309</v>
      </c>
      <c r="F1089" t="inlineStr">
        <is>
          <t>UPPSALA LÄN</t>
        </is>
      </c>
      <c r="G1089" t="inlineStr">
        <is>
          <t>ÖSTHAMMAR</t>
        </is>
      </c>
      <c r="H1089" t="inlineStr">
        <is>
          <t>Bergvik skog öst AB</t>
        </is>
      </c>
      <c r="I1089" t="n">
        <v>2.2</v>
      </c>
      <c r="J1089" t="n">
        <v>0</v>
      </c>
      <c r="K1089" t="n">
        <v>0</v>
      </c>
      <c r="L1089" t="n">
        <v>0</v>
      </c>
      <c r="M1089" t="n">
        <v>0</v>
      </c>
      <c r="N1089" t="n">
        <v>0</v>
      </c>
      <c r="O1089" t="n">
        <v>0</v>
      </c>
      <c r="P1089" t="n">
        <v>0</v>
      </c>
      <c r="Q1089" t="n">
        <v>0</v>
      </c>
      <c r="R1089" t="n">
        <v>0</v>
      </c>
      <c r="S1089" t="n">
        <v>0</v>
      </c>
      <c r="T1089" t="n">
        <v>0</v>
      </c>
      <c r="U1089" t="n">
        <v>0</v>
      </c>
      <c r="V1089" s="2" t="inlineStr"/>
    </row>
    <row r="1090" ht="15" customHeight="1">
      <c r="A1090" t="inlineStr">
        <is>
          <t>A 63631-2025</t>
        </is>
      </c>
      <c r="B1090" t="inlineStr">
        <is>
          <t>avverkningsanmälan</t>
        </is>
      </c>
      <c r="C1090" t="inlineStr">
        <is>
          <t>Föryngringsavverkning</t>
        </is>
      </c>
      <c r="D1090" s="1" t="n">
        <v>46014</v>
      </c>
      <c r="E1090" s="1" t="n">
        <v>46309</v>
      </c>
      <c r="F1090" t="inlineStr">
        <is>
          <t>UPPSALA LÄN</t>
        </is>
      </c>
      <c r="G1090" t="inlineStr">
        <is>
          <t>TIERP</t>
        </is>
      </c>
      <c r="H1090" t="inlineStr">
        <is>
          <t>Övriga Aktiebolag</t>
        </is>
      </c>
      <c r="I1090" t="n">
        <v>2.7</v>
      </c>
      <c r="J1090" t="n">
        <v>0</v>
      </c>
      <c r="K1090" t="n">
        <v>0</v>
      </c>
      <c r="L1090" t="n">
        <v>0</v>
      </c>
      <c r="M1090" t="n">
        <v>0</v>
      </c>
      <c r="N1090" t="n">
        <v>0</v>
      </c>
      <c r="O1090" t="n">
        <v>0</v>
      </c>
      <c r="P1090" t="n">
        <v>0</v>
      </c>
      <c r="Q1090" t="n">
        <v>0</v>
      </c>
      <c r="R1090" t="n">
        <v>0</v>
      </c>
      <c r="S1090" t="n">
        <v>0</v>
      </c>
      <c r="T1090" t="n">
        <v>0</v>
      </c>
      <c r="U1090" t="n">
        <v>0</v>
      </c>
      <c r="V1090" s="2" t="inlineStr"/>
    </row>
    <row r="1091" ht="15" customHeight="1">
      <c r="A1091" t="inlineStr">
        <is>
          <t>A 42938-2022</t>
        </is>
      </c>
      <c r="B1091" t="inlineStr">
        <is>
          <t>avverkningsanmälan</t>
        </is>
      </c>
      <c r="C1091" t="inlineStr">
        <is>
          <t>Föryngringsavverkning</t>
        </is>
      </c>
      <c r="D1091" s="1" t="n">
        <v>44833</v>
      </c>
      <c r="E1091" s="1" t="n">
        <v>46309</v>
      </c>
      <c r="F1091" t="inlineStr">
        <is>
          <t>UPPSALA LÄN</t>
        </is>
      </c>
      <c r="G1091" t="inlineStr">
        <is>
          <t>HEBY</t>
        </is>
      </c>
      <c r="I1091" t="n">
        <v>0.6</v>
      </c>
      <c r="J1091" t="n">
        <v>0</v>
      </c>
      <c r="K1091" t="n">
        <v>0</v>
      </c>
      <c r="L1091" t="n">
        <v>0</v>
      </c>
      <c r="M1091" t="n">
        <v>0</v>
      </c>
      <c r="N1091" t="n">
        <v>0</v>
      </c>
      <c r="O1091" t="n">
        <v>0</v>
      </c>
      <c r="P1091" t="n">
        <v>0</v>
      </c>
      <c r="Q1091" t="n">
        <v>0</v>
      </c>
      <c r="R1091" t="n">
        <v>0</v>
      </c>
      <c r="S1091" t="n">
        <v>0</v>
      </c>
      <c r="T1091" t="n">
        <v>0</v>
      </c>
      <c r="U1091" t="n">
        <v>0</v>
      </c>
      <c r="V1091" s="2" t="inlineStr"/>
    </row>
    <row r="1092" ht="15" customHeight="1">
      <c r="A1092" t="inlineStr">
        <is>
          <t>A 33552-2024</t>
        </is>
      </c>
      <c r="B1092" t="inlineStr">
        <is>
          <t>avverkningsanmälan</t>
        </is>
      </c>
      <c r="C1092" t="inlineStr">
        <is>
          <t>Föryngringsavverkning</t>
        </is>
      </c>
      <c r="D1092" s="1" t="n">
        <v>45519</v>
      </c>
      <c r="E1092" s="1" t="n">
        <v>46309</v>
      </c>
      <c r="F1092" t="inlineStr">
        <is>
          <t>UPPSALA LÄN</t>
        </is>
      </c>
      <c r="G1092" t="inlineStr">
        <is>
          <t>ÖSTHAMMAR</t>
        </is>
      </c>
      <c r="H1092" t="inlineStr">
        <is>
          <t>Bergvik skog öst AB</t>
        </is>
      </c>
      <c r="I1092" t="n">
        <v>0.4</v>
      </c>
      <c r="J1092" t="n">
        <v>0</v>
      </c>
      <c r="K1092" t="n">
        <v>0</v>
      </c>
      <c r="L1092" t="n">
        <v>0</v>
      </c>
      <c r="M1092" t="n">
        <v>0</v>
      </c>
      <c r="N1092" t="n">
        <v>0</v>
      </c>
      <c r="O1092" t="n">
        <v>0</v>
      </c>
      <c r="P1092" t="n">
        <v>0</v>
      </c>
      <c r="Q1092" t="n">
        <v>0</v>
      </c>
      <c r="R1092" t="n">
        <v>0</v>
      </c>
      <c r="S1092" t="n">
        <v>0</v>
      </c>
      <c r="T1092" t="n">
        <v>0</v>
      </c>
      <c r="U1092" t="n">
        <v>0</v>
      </c>
      <c r="V1092" s="2" t="inlineStr"/>
    </row>
    <row r="1093" ht="15" customHeight="1">
      <c r="A1093" t="inlineStr">
        <is>
          <t>A 63532-2025</t>
        </is>
      </c>
      <c r="B1093" t="inlineStr">
        <is>
          <t>avverkningsanmälan</t>
        </is>
      </c>
      <c r="C1093" t="inlineStr">
        <is>
          <t>Föryngringsavverkning</t>
        </is>
      </c>
      <c r="D1093" s="1" t="n">
        <v>46013</v>
      </c>
      <c r="E1093" s="1" t="n">
        <v>46309</v>
      </c>
      <c r="F1093" t="inlineStr">
        <is>
          <t>UPPSALA LÄN</t>
        </is>
      </c>
      <c r="G1093" t="inlineStr">
        <is>
          <t>UPPSALA</t>
        </is>
      </c>
      <c r="I1093" t="n">
        <v>2.6</v>
      </c>
      <c r="J1093" t="n">
        <v>0</v>
      </c>
      <c r="K1093" t="n">
        <v>0</v>
      </c>
      <c r="L1093" t="n">
        <v>0</v>
      </c>
      <c r="M1093" t="n">
        <v>0</v>
      </c>
      <c r="N1093" t="n">
        <v>0</v>
      </c>
      <c r="O1093" t="n">
        <v>0</v>
      </c>
      <c r="P1093" t="n">
        <v>0</v>
      </c>
      <c r="Q1093" t="n">
        <v>0</v>
      </c>
      <c r="R1093" t="n">
        <v>0</v>
      </c>
      <c r="S1093" t="n">
        <v>0</v>
      </c>
      <c r="T1093" t="n">
        <v>0</v>
      </c>
      <c r="U1093" t="n">
        <v>0</v>
      </c>
      <c r="V1093" s="2" t="inlineStr"/>
    </row>
    <row r="1094" ht="15" customHeight="1">
      <c r="A1094" t="inlineStr">
        <is>
          <t>A 48403-2022</t>
        </is>
      </c>
      <c r="B1094" t="inlineStr">
        <is>
          <t>avverkningsanmälan</t>
        </is>
      </c>
      <c r="C1094" t="inlineStr">
        <is>
          <t>Föryngringsavverkning</t>
        </is>
      </c>
      <c r="D1094" s="1" t="n">
        <v>44858</v>
      </c>
      <c r="E1094" s="1" t="n">
        <v>46309</v>
      </c>
      <c r="F1094" t="inlineStr">
        <is>
          <t>UPPSALA LÄN</t>
        </is>
      </c>
      <c r="G1094" t="inlineStr">
        <is>
          <t>TIERP</t>
        </is>
      </c>
      <c r="I1094" t="n">
        <v>1.4</v>
      </c>
      <c r="J1094" t="n">
        <v>0</v>
      </c>
      <c r="K1094" t="n">
        <v>0</v>
      </c>
      <c r="L1094" t="n">
        <v>0</v>
      </c>
      <c r="M1094" t="n">
        <v>0</v>
      </c>
      <c r="N1094" t="n">
        <v>0</v>
      </c>
      <c r="O1094" t="n">
        <v>0</v>
      </c>
      <c r="P1094" t="n">
        <v>0</v>
      </c>
      <c r="Q1094" t="n">
        <v>0</v>
      </c>
      <c r="R1094" t="n">
        <v>0</v>
      </c>
      <c r="S1094" t="n">
        <v>0</v>
      </c>
      <c r="T1094" t="n">
        <v>0</v>
      </c>
      <c r="U1094" t="n">
        <v>0</v>
      </c>
      <c r="V1094" s="2" t="inlineStr"/>
    </row>
    <row r="1095" ht="15" customHeight="1">
      <c r="A1095" t="inlineStr">
        <is>
          <t>A 60781-2023</t>
        </is>
      </c>
      <c r="B1095" t="inlineStr">
        <is>
          <t>avverkningsanmälan</t>
        </is>
      </c>
      <c r="C1095" t="inlineStr">
        <is>
          <t>Föryngringsavverkning</t>
        </is>
      </c>
      <c r="D1095" s="1" t="n">
        <v>45259</v>
      </c>
      <c r="E1095" s="1" t="n">
        <v>46309</v>
      </c>
      <c r="F1095" t="inlineStr">
        <is>
          <t>UPPSALA LÄN</t>
        </is>
      </c>
      <c r="G1095" t="inlineStr">
        <is>
          <t>UPPSALA</t>
        </is>
      </c>
      <c r="I1095" t="n">
        <v>4.1</v>
      </c>
      <c r="J1095" t="n">
        <v>0</v>
      </c>
      <c r="K1095" t="n">
        <v>0</v>
      </c>
      <c r="L1095" t="n">
        <v>0</v>
      </c>
      <c r="M1095" t="n">
        <v>0</v>
      </c>
      <c r="N1095" t="n">
        <v>0</v>
      </c>
      <c r="O1095" t="n">
        <v>0</v>
      </c>
      <c r="P1095" t="n">
        <v>0</v>
      </c>
      <c r="Q1095" t="n">
        <v>0</v>
      </c>
      <c r="R1095" t="n">
        <v>0</v>
      </c>
      <c r="S1095" t="n">
        <v>0</v>
      </c>
      <c r="T1095" t="n">
        <v>0</v>
      </c>
      <c r="U1095" t="n">
        <v>0</v>
      </c>
      <c r="V1095" s="2" t="inlineStr"/>
    </row>
    <row r="1096" ht="15" customHeight="1">
      <c r="A1096" t="inlineStr">
        <is>
          <t>A 60714-2023</t>
        </is>
      </c>
      <c r="B1096" t="inlineStr">
        <is>
          <t>avverkningsanmälan</t>
        </is>
      </c>
      <c r="C1096" t="inlineStr">
        <is>
          <t>Föryngringsavverkning</t>
        </is>
      </c>
      <c r="D1096" s="1" t="n">
        <v>45259</v>
      </c>
      <c r="E1096" s="1" t="n">
        <v>46309</v>
      </c>
      <c r="F1096" t="inlineStr">
        <is>
          <t>UPPSALA LÄN</t>
        </is>
      </c>
      <c r="G1096" t="inlineStr">
        <is>
          <t>UPPSALA</t>
        </is>
      </c>
      <c r="I1096" t="n">
        <v>3.3</v>
      </c>
      <c r="J1096" t="n">
        <v>0</v>
      </c>
      <c r="K1096" t="n">
        <v>0</v>
      </c>
      <c r="L1096" t="n">
        <v>0</v>
      </c>
      <c r="M1096" t="n">
        <v>0</v>
      </c>
      <c r="N1096" t="n">
        <v>0</v>
      </c>
      <c r="O1096" t="n">
        <v>0</v>
      </c>
      <c r="P1096" t="n">
        <v>0</v>
      </c>
      <c r="Q1096" t="n">
        <v>0</v>
      </c>
      <c r="R1096" t="n">
        <v>0</v>
      </c>
      <c r="S1096" t="n">
        <v>0</v>
      </c>
      <c r="T1096" t="n">
        <v>0</v>
      </c>
      <c r="U1096" t="n">
        <v>0</v>
      </c>
      <c r="V1096" s="2" t="inlineStr"/>
    </row>
    <row r="1097" ht="15" customHeight="1">
      <c r="A1097" t="inlineStr">
        <is>
          <t>A 63669-2025</t>
        </is>
      </c>
      <c r="B1097" t="inlineStr">
        <is>
          <t>avverkningsanmälan</t>
        </is>
      </c>
      <c r="C1097" t="inlineStr">
        <is>
          <t>Föryngringsavverkning</t>
        </is>
      </c>
      <c r="D1097" s="1" t="n">
        <v>46014</v>
      </c>
      <c r="E1097" s="1" t="n">
        <v>46309</v>
      </c>
      <c r="F1097" t="inlineStr">
        <is>
          <t>UPPSALA LÄN</t>
        </is>
      </c>
      <c r="G1097" t="inlineStr">
        <is>
          <t>UPPSALA</t>
        </is>
      </c>
      <c r="I1097" t="n">
        <v>5.4</v>
      </c>
      <c r="J1097" t="n">
        <v>0</v>
      </c>
      <c r="K1097" t="n">
        <v>0</v>
      </c>
      <c r="L1097" t="n">
        <v>0</v>
      </c>
      <c r="M1097" t="n">
        <v>0</v>
      </c>
      <c r="N1097" t="n">
        <v>0</v>
      </c>
      <c r="O1097" t="n">
        <v>0</v>
      </c>
      <c r="P1097" t="n">
        <v>0</v>
      </c>
      <c r="Q1097" t="n">
        <v>0</v>
      </c>
      <c r="R1097" t="n">
        <v>0</v>
      </c>
      <c r="S1097" t="n">
        <v>0</v>
      </c>
      <c r="T1097" t="n">
        <v>0</v>
      </c>
      <c r="U1097" t="n">
        <v>0</v>
      </c>
      <c r="V1097" s="2" t="inlineStr"/>
    </row>
    <row r="1098" ht="15" customHeight="1">
      <c r="A1098" t="inlineStr">
        <is>
          <t>A 60848-2025</t>
        </is>
      </c>
      <c r="B1098" t="inlineStr">
        <is>
          <t>avverkningsanmälan</t>
        </is>
      </c>
      <c r="C1098" t="inlineStr">
        <is>
          <t>Föryngringsavverkning</t>
        </is>
      </c>
      <c r="D1098" s="1" t="n">
        <v>45999</v>
      </c>
      <c r="E1098" s="1" t="n">
        <v>46309</v>
      </c>
      <c r="F1098" t="inlineStr">
        <is>
          <t>UPPSALA LÄN</t>
        </is>
      </c>
      <c r="G1098" t="inlineStr">
        <is>
          <t>ENKÖPING</t>
        </is>
      </c>
      <c r="I1098" t="n">
        <v>2.5</v>
      </c>
      <c r="J1098" t="n">
        <v>0</v>
      </c>
      <c r="K1098" t="n">
        <v>0</v>
      </c>
      <c r="L1098" t="n">
        <v>0</v>
      </c>
      <c r="M1098" t="n">
        <v>0</v>
      </c>
      <c r="N1098" t="n">
        <v>0</v>
      </c>
      <c r="O1098" t="n">
        <v>0</v>
      </c>
      <c r="P1098" t="n">
        <v>0</v>
      </c>
      <c r="Q1098" t="n">
        <v>0</v>
      </c>
      <c r="R1098" t="n">
        <v>0</v>
      </c>
      <c r="S1098" t="n">
        <v>0</v>
      </c>
      <c r="T1098" t="n">
        <v>0</v>
      </c>
      <c r="U1098" t="n">
        <v>0</v>
      </c>
      <c r="V1098" s="2" t="inlineStr"/>
    </row>
    <row r="1099" ht="15" customHeight="1">
      <c r="A1099" t="inlineStr">
        <is>
          <t>A 23201-2025</t>
        </is>
      </c>
      <c r="B1099" t="inlineStr">
        <is>
          <t>avverkningsanmälan</t>
        </is>
      </c>
      <c r="C1099" t="inlineStr">
        <is>
          <t>Föryngringsavverkning</t>
        </is>
      </c>
      <c r="D1099" s="1" t="n">
        <v>45791</v>
      </c>
      <c r="E1099" s="1" t="n">
        <v>46309</v>
      </c>
      <c r="F1099" t="inlineStr">
        <is>
          <t>UPPSALA LÄN</t>
        </is>
      </c>
      <c r="G1099" t="inlineStr">
        <is>
          <t>TIERP</t>
        </is>
      </c>
      <c r="I1099" t="n">
        <v>0.9</v>
      </c>
      <c r="J1099" t="n">
        <v>0</v>
      </c>
      <c r="K1099" t="n">
        <v>0</v>
      </c>
      <c r="L1099" t="n">
        <v>0</v>
      </c>
      <c r="M1099" t="n">
        <v>0</v>
      </c>
      <c r="N1099" t="n">
        <v>0</v>
      </c>
      <c r="O1099" t="n">
        <v>0</v>
      </c>
      <c r="P1099" t="n">
        <v>0</v>
      </c>
      <c r="Q1099" t="n">
        <v>0</v>
      </c>
      <c r="R1099" t="n">
        <v>0</v>
      </c>
      <c r="S1099" t="n">
        <v>0</v>
      </c>
      <c r="T1099" t="n">
        <v>0</v>
      </c>
      <c r="U1099" t="n">
        <v>0</v>
      </c>
      <c r="V1099" s="2" t="inlineStr"/>
    </row>
    <row r="1100" ht="15" customHeight="1">
      <c r="A1100" t="inlineStr">
        <is>
          <t>A 61839-2025</t>
        </is>
      </c>
      <c r="B1100" t="inlineStr">
        <is>
          <t>avverkningsanmälan</t>
        </is>
      </c>
      <c r="C1100" t="inlineStr">
        <is>
          <t>Föryngringsavverkning</t>
        </is>
      </c>
      <c r="D1100" s="1" t="n">
        <v>46003</v>
      </c>
      <c r="E1100" s="1" t="n">
        <v>46309</v>
      </c>
      <c r="F1100" t="inlineStr">
        <is>
          <t>UPPSALA LÄN</t>
        </is>
      </c>
      <c r="G1100" t="inlineStr">
        <is>
          <t>ÄLVKARLEBY</t>
        </is>
      </c>
      <c r="H1100" t="inlineStr">
        <is>
          <t>Bergvik skog väst AB</t>
        </is>
      </c>
      <c r="I1100" t="n">
        <v>2.3</v>
      </c>
      <c r="J1100" t="n">
        <v>0</v>
      </c>
      <c r="K1100" t="n">
        <v>0</v>
      </c>
      <c r="L1100" t="n">
        <v>0</v>
      </c>
      <c r="M1100" t="n">
        <v>0</v>
      </c>
      <c r="N1100" t="n">
        <v>0</v>
      </c>
      <c r="O1100" t="n">
        <v>0</v>
      </c>
      <c r="P1100" t="n">
        <v>0</v>
      </c>
      <c r="Q1100" t="n">
        <v>0</v>
      </c>
      <c r="R1100" t="n">
        <v>0</v>
      </c>
      <c r="S1100" t="n">
        <v>0</v>
      </c>
      <c r="T1100" t="n">
        <v>0</v>
      </c>
      <c r="U1100" t="n">
        <v>0</v>
      </c>
      <c r="V1100" s="2" t="inlineStr"/>
    </row>
    <row r="1101" ht="15" customHeight="1">
      <c r="A1101" t="inlineStr">
        <is>
          <t>A 63747-2025</t>
        </is>
      </c>
      <c r="B1101" t="inlineStr">
        <is>
          <t>avverkningsanmälan</t>
        </is>
      </c>
      <c r="C1101" t="inlineStr">
        <is>
          <t>Föryngringsavverkning</t>
        </is>
      </c>
      <c r="D1101" s="1" t="n">
        <v>46017</v>
      </c>
      <c r="E1101" s="1" t="n">
        <v>46309</v>
      </c>
      <c r="F1101" t="inlineStr">
        <is>
          <t>UPPSALA LÄN</t>
        </is>
      </c>
      <c r="G1101" t="inlineStr">
        <is>
          <t>TIERP</t>
        </is>
      </c>
      <c r="H1101" t="inlineStr">
        <is>
          <t>Bergvik skog öst AB</t>
        </is>
      </c>
      <c r="I1101" t="n">
        <v>1.2</v>
      </c>
      <c r="J1101" t="n">
        <v>0</v>
      </c>
      <c r="K1101" t="n">
        <v>0</v>
      </c>
      <c r="L1101" t="n">
        <v>0</v>
      </c>
      <c r="M1101" t="n">
        <v>0</v>
      </c>
      <c r="N1101" t="n">
        <v>0</v>
      </c>
      <c r="O1101" t="n">
        <v>0</v>
      </c>
      <c r="P1101" t="n">
        <v>0</v>
      </c>
      <c r="Q1101" t="n">
        <v>0</v>
      </c>
      <c r="R1101" t="n">
        <v>0</v>
      </c>
      <c r="S1101" t="n">
        <v>0</v>
      </c>
      <c r="T1101" t="n">
        <v>0</v>
      </c>
      <c r="U1101" t="n">
        <v>0</v>
      </c>
      <c r="V1101" s="2" t="inlineStr"/>
    </row>
    <row r="1102" ht="15" customHeight="1">
      <c r="A1102" t="inlineStr">
        <is>
          <t>A 21782-2025</t>
        </is>
      </c>
      <c r="B1102" t="inlineStr">
        <is>
          <t>avverkningsanmälan</t>
        </is>
      </c>
      <c r="C1102" t="inlineStr">
        <is>
          <t>Föryngringsavverkning</t>
        </is>
      </c>
      <c r="D1102" s="1" t="n">
        <v>45783</v>
      </c>
      <c r="E1102" s="1" t="n">
        <v>46309</v>
      </c>
      <c r="F1102" t="inlineStr">
        <is>
          <t>UPPSALA LÄN</t>
        </is>
      </c>
      <c r="G1102" t="inlineStr">
        <is>
          <t>TIERP</t>
        </is>
      </c>
      <c r="H1102" t="inlineStr">
        <is>
          <t>Bergvik skog öst AB</t>
        </is>
      </c>
      <c r="I1102" t="n">
        <v>1.6</v>
      </c>
      <c r="J1102" t="n">
        <v>0</v>
      </c>
      <c r="K1102" t="n">
        <v>0</v>
      </c>
      <c r="L1102" t="n">
        <v>0</v>
      </c>
      <c r="M1102" t="n">
        <v>0</v>
      </c>
      <c r="N1102" t="n">
        <v>0</v>
      </c>
      <c r="O1102" t="n">
        <v>0</v>
      </c>
      <c r="P1102" t="n">
        <v>0</v>
      </c>
      <c r="Q1102" t="n">
        <v>0</v>
      </c>
      <c r="R1102" t="n">
        <v>0</v>
      </c>
      <c r="S1102" t="n">
        <v>0</v>
      </c>
      <c r="T1102" t="n">
        <v>0</v>
      </c>
      <c r="U1102" t="n">
        <v>0</v>
      </c>
      <c r="V1102" s="2" t="inlineStr"/>
    </row>
    <row r="1103" ht="15" customHeight="1">
      <c r="A1103" t="inlineStr">
        <is>
          <t>A 51712-2025</t>
        </is>
      </c>
      <c r="B1103" t="inlineStr">
        <is>
          <t>avverkningsanmälan</t>
        </is>
      </c>
      <c r="C1103" t="inlineStr">
        <is>
          <t>Föryngringsavverkning</t>
        </is>
      </c>
      <c r="D1103" s="1" t="n">
        <v>45951</v>
      </c>
      <c r="E1103" s="1" t="n">
        <v>46309</v>
      </c>
      <c r="F1103" t="inlineStr">
        <is>
          <t>UPPSALA LÄN</t>
        </is>
      </c>
      <c r="G1103" t="inlineStr">
        <is>
          <t>TIERP</t>
        </is>
      </c>
      <c r="H1103" t="inlineStr">
        <is>
          <t>Bergvik skog väst AB</t>
        </is>
      </c>
      <c r="I1103" t="n">
        <v>2.9</v>
      </c>
      <c r="J1103" t="n">
        <v>0</v>
      </c>
      <c r="K1103" t="n">
        <v>0</v>
      </c>
      <c r="L1103" t="n">
        <v>0</v>
      </c>
      <c r="M1103" t="n">
        <v>0</v>
      </c>
      <c r="N1103" t="n">
        <v>0</v>
      </c>
      <c r="O1103" t="n">
        <v>0</v>
      </c>
      <c r="P1103" t="n">
        <v>0</v>
      </c>
      <c r="Q1103" t="n">
        <v>0</v>
      </c>
      <c r="R1103" t="n">
        <v>0</v>
      </c>
      <c r="S1103" t="n">
        <v>0</v>
      </c>
      <c r="T1103" t="n">
        <v>0</v>
      </c>
      <c r="U1103" t="n">
        <v>0</v>
      </c>
      <c r="V1103" s="2" t="inlineStr"/>
    </row>
    <row r="1104" ht="15" customHeight="1">
      <c r="A1104" t="inlineStr">
        <is>
          <t>A 55275-2025</t>
        </is>
      </c>
      <c r="B1104" t="inlineStr">
        <is>
          <t>avverkningsanmälan</t>
        </is>
      </c>
      <c r="C1104" t="inlineStr">
        <is>
          <t>Föryngringsavverkning</t>
        </is>
      </c>
      <c r="D1104" s="1" t="n">
        <v>45968</v>
      </c>
      <c r="E1104" s="1" t="n">
        <v>46309</v>
      </c>
      <c r="F1104" t="inlineStr">
        <is>
          <t>UPPSALA LÄN</t>
        </is>
      </c>
      <c r="G1104" t="inlineStr">
        <is>
          <t>UPPSALA</t>
        </is>
      </c>
      <c r="H1104" t="inlineStr">
        <is>
          <t>Allmännings- och besparingsskogar</t>
        </is>
      </c>
      <c r="I1104" t="n">
        <v>13.2</v>
      </c>
      <c r="J1104" t="n">
        <v>0</v>
      </c>
      <c r="K1104" t="n">
        <v>0</v>
      </c>
      <c r="L1104" t="n">
        <v>0</v>
      </c>
      <c r="M1104" t="n">
        <v>0</v>
      </c>
      <c r="N1104" t="n">
        <v>0</v>
      </c>
      <c r="O1104" t="n">
        <v>0</v>
      </c>
      <c r="P1104" t="n">
        <v>0</v>
      </c>
      <c r="Q1104" t="n">
        <v>0</v>
      </c>
      <c r="R1104" t="n">
        <v>0</v>
      </c>
      <c r="S1104" t="n">
        <v>0</v>
      </c>
      <c r="T1104" t="n">
        <v>0</v>
      </c>
      <c r="U1104" t="n">
        <v>0</v>
      </c>
      <c r="V1104" s="2" t="inlineStr"/>
    </row>
    <row r="1105" ht="15" customHeight="1">
      <c r="A1105" t="inlineStr">
        <is>
          <t>A 30098-2024</t>
        </is>
      </c>
      <c r="B1105" t="inlineStr">
        <is>
          <t>avverkningsanmälan</t>
        </is>
      </c>
      <c r="C1105" t="inlineStr">
        <is>
          <t>Föryngringsavverkning</t>
        </is>
      </c>
      <c r="D1105" s="1" t="n">
        <v>45489</v>
      </c>
      <c r="E1105" s="1" t="n">
        <v>46309</v>
      </c>
      <c r="F1105" t="inlineStr">
        <is>
          <t>UPPSALA LÄN</t>
        </is>
      </c>
      <c r="G1105" t="inlineStr">
        <is>
          <t>ENKÖPING</t>
        </is>
      </c>
      <c r="I1105" t="n">
        <v>8.199999999999999</v>
      </c>
      <c r="J1105" t="n">
        <v>0</v>
      </c>
      <c r="K1105" t="n">
        <v>0</v>
      </c>
      <c r="L1105" t="n">
        <v>0</v>
      </c>
      <c r="M1105" t="n">
        <v>0</v>
      </c>
      <c r="N1105" t="n">
        <v>0</v>
      </c>
      <c r="O1105" t="n">
        <v>0</v>
      </c>
      <c r="P1105" t="n">
        <v>0</v>
      </c>
      <c r="Q1105" t="n">
        <v>0</v>
      </c>
      <c r="R1105" t="n">
        <v>0</v>
      </c>
      <c r="S1105" t="n">
        <v>0</v>
      </c>
      <c r="T1105" t="n">
        <v>0</v>
      </c>
      <c r="U1105" t="n">
        <v>0</v>
      </c>
      <c r="V1105" s="2" t="inlineStr"/>
    </row>
    <row r="1106" ht="15" customHeight="1">
      <c r="A1106" t="inlineStr">
        <is>
          <t>A 43260-2025</t>
        </is>
      </c>
      <c r="B1106" t="inlineStr">
        <is>
          <t>avverkningsanmälan</t>
        </is>
      </c>
      <c r="C1106" t="inlineStr">
        <is>
          <t>Föryngringsavverkning</t>
        </is>
      </c>
      <c r="D1106" s="1" t="n">
        <v>45910</v>
      </c>
      <c r="E1106" s="1" t="n">
        <v>46309</v>
      </c>
      <c r="F1106" t="inlineStr">
        <is>
          <t>UPPSALA LÄN</t>
        </is>
      </c>
      <c r="G1106" t="inlineStr">
        <is>
          <t>TIERP</t>
        </is>
      </c>
      <c r="H1106" t="inlineStr">
        <is>
          <t>Bergvik skog väst AB</t>
        </is>
      </c>
      <c r="I1106" t="n">
        <v>1.1</v>
      </c>
      <c r="J1106" t="n">
        <v>0</v>
      </c>
      <c r="K1106" t="n">
        <v>0</v>
      </c>
      <c r="L1106" t="n">
        <v>0</v>
      </c>
      <c r="M1106" t="n">
        <v>0</v>
      </c>
      <c r="N1106" t="n">
        <v>0</v>
      </c>
      <c r="O1106" t="n">
        <v>0</v>
      </c>
      <c r="P1106" t="n">
        <v>0</v>
      </c>
      <c r="Q1106" t="n">
        <v>0</v>
      </c>
      <c r="R1106" t="n">
        <v>0</v>
      </c>
      <c r="S1106" t="n">
        <v>0</v>
      </c>
      <c r="T1106" t="n">
        <v>0</v>
      </c>
      <c r="U1106" t="n">
        <v>0</v>
      </c>
      <c r="V1106" s="2" t="inlineStr"/>
    </row>
    <row r="1107" ht="15" customHeight="1">
      <c r="A1107" t="inlineStr">
        <is>
          <t>A 63883-2025</t>
        </is>
      </c>
      <c r="B1107" t="inlineStr">
        <is>
          <t>avverkningsanmälan</t>
        </is>
      </c>
      <c r="C1107" t="inlineStr">
        <is>
          <t>Föryngringsavverkning</t>
        </is>
      </c>
      <c r="D1107" s="1" t="n">
        <v>46020</v>
      </c>
      <c r="E1107" s="1" t="n">
        <v>46309</v>
      </c>
      <c r="F1107" t="inlineStr">
        <is>
          <t>UPPSALA LÄN</t>
        </is>
      </c>
      <c r="G1107" t="inlineStr">
        <is>
          <t>TIERP</t>
        </is>
      </c>
      <c r="H1107" t="inlineStr">
        <is>
          <t>Bergvik skog öst AB</t>
        </is>
      </c>
      <c r="I1107" t="n">
        <v>2.3</v>
      </c>
      <c r="J1107" t="n">
        <v>0</v>
      </c>
      <c r="K1107" t="n">
        <v>0</v>
      </c>
      <c r="L1107" t="n">
        <v>0</v>
      </c>
      <c r="M1107" t="n">
        <v>0</v>
      </c>
      <c r="N1107" t="n">
        <v>0</v>
      </c>
      <c r="O1107" t="n">
        <v>0</v>
      </c>
      <c r="P1107" t="n">
        <v>0</v>
      </c>
      <c r="Q1107" t="n">
        <v>0</v>
      </c>
      <c r="R1107" t="n">
        <v>0</v>
      </c>
      <c r="S1107" t="n">
        <v>0</v>
      </c>
      <c r="T1107" t="n">
        <v>0</v>
      </c>
      <c r="U1107" t="n">
        <v>0</v>
      </c>
      <c r="V1107" s="2" t="inlineStr"/>
    </row>
    <row r="1108" ht="15" customHeight="1">
      <c r="A1108" t="inlineStr">
        <is>
          <t>A 32212-2024</t>
        </is>
      </c>
      <c r="B1108" t="inlineStr">
        <is>
          <t>avverkningsanmälan</t>
        </is>
      </c>
      <c r="C1108" t="inlineStr">
        <is>
          <t>Föryngringsavverkning</t>
        </is>
      </c>
      <c r="D1108" s="1" t="n">
        <v>45511</v>
      </c>
      <c r="E1108" s="1" t="n">
        <v>46309</v>
      </c>
      <c r="F1108" t="inlineStr">
        <is>
          <t>UPPSALA LÄN</t>
        </is>
      </c>
      <c r="G1108" t="inlineStr">
        <is>
          <t>TIERP</t>
        </is>
      </c>
      <c r="I1108" t="n">
        <v>3.5</v>
      </c>
      <c r="J1108" t="n">
        <v>0</v>
      </c>
      <c r="K1108" t="n">
        <v>0</v>
      </c>
      <c r="L1108" t="n">
        <v>0</v>
      </c>
      <c r="M1108" t="n">
        <v>0</v>
      </c>
      <c r="N1108" t="n">
        <v>0</v>
      </c>
      <c r="O1108" t="n">
        <v>0</v>
      </c>
      <c r="P1108" t="n">
        <v>0</v>
      </c>
      <c r="Q1108" t="n">
        <v>0</v>
      </c>
      <c r="R1108" t="n">
        <v>0</v>
      </c>
      <c r="S1108" t="n">
        <v>0</v>
      </c>
      <c r="T1108" t="n">
        <v>0</v>
      </c>
      <c r="U1108" t="n">
        <v>0</v>
      </c>
      <c r="V1108" s="2" t="inlineStr"/>
    </row>
    <row r="1109" ht="15" customHeight="1">
      <c r="A1109" t="inlineStr">
        <is>
          <t>A 34520-2024</t>
        </is>
      </c>
      <c r="B1109" t="inlineStr">
        <is>
          <t>avverkningsanmälan</t>
        </is>
      </c>
      <c r="C1109" t="inlineStr">
        <is>
          <t>Föryngringsavverkning</t>
        </is>
      </c>
      <c r="D1109" s="1" t="n">
        <v>45525</v>
      </c>
      <c r="E1109" s="1" t="n">
        <v>46309</v>
      </c>
      <c r="F1109" t="inlineStr">
        <is>
          <t>UPPSALA LÄN</t>
        </is>
      </c>
      <c r="G1109" t="inlineStr">
        <is>
          <t>UPPSALA</t>
        </is>
      </c>
      <c r="I1109" t="n">
        <v>2.5</v>
      </c>
      <c r="J1109" t="n">
        <v>0</v>
      </c>
      <c r="K1109" t="n">
        <v>0</v>
      </c>
      <c r="L1109" t="n">
        <v>0</v>
      </c>
      <c r="M1109" t="n">
        <v>0</v>
      </c>
      <c r="N1109" t="n">
        <v>0</v>
      </c>
      <c r="O1109" t="n">
        <v>0</v>
      </c>
      <c r="P1109" t="n">
        <v>0</v>
      </c>
      <c r="Q1109" t="n">
        <v>0</v>
      </c>
      <c r="R1109" t="n">
        <v>0</v>
      </c>
      <c r="S1109" t="n">
        <v>0</v>
      </c>
      <c r="T1109" t="n">
        <v>0</v>
      </c>
      <c r="U1109" t="n">
        <v>0</v>
      </c>
      <c r="V1109" s="2" t="inlineStr"/>
    </row>
    <row r="1110" ht="15" customHeight="1">
      <c r="A1110" t="inlineStr">
        <is>
          <t>A 5429-2023</t>
        </is>
      </c>
      <c r="B1110" t="inlineStr">
        <is>
          <t>avverkningsanmälan</t>
        </is>
      </c>
      <c r="C1110" t="inlineStr">
        <is>
          <t>Föryngringsavverkning</t>
        </is>
      </c>
      <c r="D1110" s="1" t="n">
        <v>44959</v>
      </c>
      <c r="E1110" s="1" t="n">
        <v>46309</v>
      </c>
      <c r="F1110" t="inlineStr">
        <is>
          <t>UPPSALA LÄN</t>
        </is>
      </c>
      <c r="G1110" t="inlineStr">
        <is>
          <t>ÖSTHAMMAR</t>
        </is>
      </c>
      <c r="H1110" t="inlineStr">
        <is>
          <t>Bergvik skog öst AB</t>
        </is>
      </c>
      <c r="I1110" t="n">
        <v>0.4</v>
      </c>
      <c r="J1110" t="n">
        <v>0</v>
      </c>
      <c r="K1110" t="n">
        <v>0</v>
      </c>
      <c r="L1110" t="n">
        <v>0</v>
      </c>
      <c r="M1110" t="n">
        <v>0</v>
      </c>
      <c r="N1110" t="n">
        <v>0</v>
      </c>
      <c r="O1110" t="n">
        <v>0</v>
      </c>
      <c r="P1110" t="n">
        <v>0</v>
      </c>
      <c r="Q1110" t="n">
        <v>0</v>
      </c>
      <c r="R1110" t="n">
        <v>0</v>
      </c>
      <c r="S1110" t="n">
        <v>0</v>
      </c>
      <c r="T1110" t="n">
        <v>0</v>
      </c>
      <c r="U1110" t="n">
        <v>0</v>
      </c>
      <c r="V1110" s="2" t="inlineStr"/>
    </row>
    <row r="1111" ht="15" customHeight="1">
      <c r="A1111" t="inlineStr">
        <is>
          <t>A 5749-2025</t>
        </is>
      </c>
      <c r="B1111" t="inlineStr">
        <is>
          <t>avverkningsanmälan</t>
        </is>
      </c>
      <c r="C1111" t="inlineStr">
        <is>
          <t>Föryngringsavverkning</t>
        </is>
      </c>
      <c r="D1111" s="1" t="n">
        <v>45694</v>
      </c>
      <c r="E1111" s="1" t="n">
        <v>46309</v>
      </c>
      <c r="F1111" t="inlineStr">
        <is>
          <t>UPPSALA LÄN</t>
        </is>
      </c>
      <c r="G1111" t="inlineStr">
        <is>
          <t>ENKÖPING</t>
        </is>
      </c>
      <c r="I1111" t="n">
        <v>1</v>
      </c>
      <c r="J1111" t="n">
        <v>0</v>
      </c>
      <c r="K1111" t="n">
        <v>0</v>
      </c>
      <c r="L1111" t="n">
        <v>0</v>
      </c>
      <c r="M1111" t="n">
        <v>0</v>
      </c>
      <c r="N1111" t="n">
        <v>0</v>
      </c>
      <c r="O1111" t="n">
        <v>0</v>
      </c>
      <c r="P1111" t="n">
        <v>0</v>
      </c>
      <c r="Q1111" t="n">
        <v>0</v>
      </c>
      <c r="R1111" t="n">
        <v>0</v>
      </c>
      <c r="S1111" t="n">
        <v>0</v>
      </c>
      <c r="T1111" t="n">
        <v>0</v>
      </c>
      <c r="U1111" t="n">
        <v>0</v>
      </c>
      <c r="V1111" s="2" t="inlineStr"/>
    </row>
    <row r="1112" ht="15" customHeight="1">
      <c r="A1112" t="inlineStr">
        <is>
          <t>A 69344-2021</t>
        </is>
      </c>
      <c r="B1112" t="inlineStr">
        <is>
          <t>avverkningsanmälan</t>
        </is>
      </c>
      <c r="C1112" t="inlineStr">
        <is>
          <t>Föryngringsavverkning</t>
        </is>
      </c>
      <c r="D1112" s="1" t="n">
        <v>44531</v>
      </c>
      <c r="E1112" s="1" t="n">
        <v>46309</v>
      </c>
      <c r="F1112" t="inlineStr">
        <is>
          <t>UPPSALA LÄN</t>
        </is>
      </c>
      <c r="G1112" t="inlineStr">
        <is>
          <t>ENKÖPING</t>
        </is>
      </c>
      <c r="I1112" t="n">
        <v>2.9</v>
      </c>
      <c r="J1112" t="n">
        <v>0</v>
      </c>
      <c r="K1112" t="n">
        <v>0</v>
      </c>
      <c r="L1112" t="n">
        <v>0</v>
      </c>
      <c r="M1112" t="n">
        <v>0</v>
      </c>
      <c r="N1112" t="n">
        <v>0</v>
      </c>
      <c r="O1112" t="n">
        <v>0</v>
      </c>
      <c r="P1112" t="n">
        <v>0</v>
      </c>
      <c r="Q1112" t="n">
        <v>0</v>
      </c>
      <c r="R1112" t="n">
        <v>0</v>
      </c>
      <c r="S1112" t="n">
        <v>0</v>
      </c>
      <c r="T1112" t="n">
        <v>0</v>
      </c>
      <c r="U1112" t="n">
        <v>0</v>
      </c>
      <c r="V1112" s="2" t="inlineStr"/>
    </row>
    <row r="1113" ht="15" customHeight="1">
      <c r="A1113" t="inlineStr">
        <is>
          <t>A 41556-2023</t>
        </is>
      </c>
      <c r="B1113" t="inlineStr">
        <is>
          <t>avverkningsanmälan</t>
        </is>
      </c>
      <c r="C1113" t="inlineStr">
        <is>
          <t>Föryngringsavverkning</t>
        </is>
      </c>
      <c r="D1113" s="1" t="n">
        <v>45175</v>
      </c>
      <c r="E1113" s="1" t="n">
        <v>46309</v>
      </c>
      <c r="F1113" t="inlineStr">
        <is>
          <t>UPPSALA LÄN</t>
        </is>
      </c>
      <c r="G1113" t="inlineStr">
        <is>
          <t>HEBY</t>
        </is>
      </c>
      <c r="I1113" t="n">
        <v>2.8</v>
      </c>
      <c r="J1113" t="n">
        <v>0</v>
      </c>
      <c r="K1113" t="n">
        <v>0</v>
      </c>
      <c r="L1113" t="n">
        <v>0</v>
      </c>
      <c r="M1113" t="n">
        <v>0</v>
      </c>
      <c r="N1113" t="n">
        <v>0</v>
      </c>
      <c r="O1113" t="n">
        <v>0</v>
      </c>
      <c r="P1113" t="n">
        <v>0</v>
      </c>
      <c r="Q1113" t="n">
        <v>0</v>
      </c>
      <c r="R1113" t="n">
        <v>0</v>
      </c>
      <c r="S1113" t="n">
        <v>0</v>
      </c>
      <c r="T1113" t="n">
        <v>0</v>
      </c>
      <c r="U1113" t="n">
        <v>0</v>
      </c>
      <c r="V1113" s="2" t="inlineStr"/>
    </row>
    <row r="1114" ht="15" customHeight="1">
      <c r="A1114" t="inlineStr">
        <is>
          <t>A 6-2026</t>
        </is>
      </c>
      <c r="B1114" t="inlineStr">
        <is>
          <t>avverkningsanmälan</t>
        </is>
      </c>
      <c r="C1114" t="inlineStr">
        <is>
          <t>Föryngringsavverkning</t>
        </is>
      </c>
      <c r="D1114" s="1" t="n">
        <v>46023</v>
      </c>
      <c r="E1114" s="1" t="n">
        <v>46309</v>
      </c>
      <c r="F1114" t="inlineStr">
        <is>
          <t>UPPSALA LÄN</t>
        </is>
      </c>
      <c r="G1114" t="inlineStr">
        <is>
          <t>HEBY</t>
        </is>
      </c>
      <c r="I1114" t="n">
        <v>2.6</v>
      </c>
      <c r="J1114" t="n">
        <v>0</v>
      </c>
      <c r="K1114" t="n">
        <v>0</v>
      </c>
      <c r="L1114" t="n">
        <v>0</v>
      </c>
      <c r="M1114" t="n">
        <v>0</v>
      </c>
      <c r="N1114" t="n">
        <v>0</v>
      </c>
      <c r="O1114" t="n">
        <v>0</v>
      </c>
      <c r="P1114" t="n">
        <v>0</v>
      </c>
      <c r="Q1114" t="n">
        <v>0</v>
      </c>
      <c r="R1114" t="n">
        <v>0</v>
      </c>
      <c r="S1114" t="n">
        <v>0</v>
      </c>
      <c r="T1114" t="n">
        <v>0</v>
      </c>
      <c r="U1114" t="n">
        <v>0</v>
      </c>
      <c r="V1114" s="2" t="inlineStr"/>
    </row>
    <row r="1115" ht="15" customHeight="1">
      <c r="A1115" t="inlineStr">
        <is>
          <t>A 45885-2023</t>
        </is>
      </c>
      <c r="B1115" t="inlineStr">
        <is>
          <t>avverkningsanmälan</t>
        </is>
      </c>
      <c r="C1115" t="inlineStr">
        <is>
          <t>Föryngringsavverkning</t>
        </is>
      </c>
      <c r="D1115" s="1" t="n">
        <v>45195</v>
      </c>
      <c r="E1115" s="1" t="n">
        <v>46309</v>
      </c>
      <c r="F1115" t="inlineStr">
        <is>
          <t>UPPSALA LÄN</t>
        </is>
      </c>
      <c r="G1115" t="inlineStr">
        <is>
          <t>UPPSALA</t>
        </is>
      </c>
      <c r="I1115" t="n">
        <v>6.5</v>
      </c>
      <c r="J1115" t="n">
        <v>0</v>
      </c>
      <c r="K1115" t="n">
        <v>0</v>
      </c>
      <c r="L1115" t="n">
        <v>0</v>
      </c>
      <c r="M1115" t="n">
        <v>0</v>
      </c>
      <c r="N1115" t="n">
        <v>0</v>
      </c>
      <c r="O1115" t="n">
        <v>0</v>
      </c>
      <c r="P1115" t="n">
        <v>0</v>
      </c>
      <c r="Q1115" t="n">
        <v>0</v>
      </c>
      <c r="R1115" t="n">
        <v>0</v>
      </c>
      <c r="S1115" t="n">
        <v>0</v>
      </c>
      <c r="T1115" t="n">
        <v>0</v>
      </c>
      <c r="U1115" t="n">
        <v>0</v>
      </c>
      <c r="V1115" s="2" t="inlineStr"/>
    </row>
    <row r="1116" ht="15" customHeight="1">
      <c r="A1116" t="inlineStr">
        <is>
          <t>A 8020-2022</t>
        </is>
      </c>
      <c r="B1116" t="inlineStr">
        <is>
          <t>avverkningsanmälan</t>
        </is>
      </c>
      <c r="C1116" t="inlineStr">
        <is>
          <t>Föryngringsavverkning</t>
        </is>
      </c>
      <c r="D1116" s="1" t="n">
        <v>44609</v>
      </c>
      <c r="E1116" s="1" t="n">
        <v>46309</v>
      </c>
      <c r="F1116" t="inlineStr">
        <is>
          <t>UPPSALA LÄN</t>
        </is>
      </c>
      <c r="G1116" t="inlineStr">
        <is>
          <t>ENKÖPING</t>
        </is>
      </c>
      <c r="I1116" t="n">
        <v>6</v>
      </c>
      <c r="J1116" t="n">
        <v>0</v>
      </c>
      <c r="K1116" t="n">
        <v>0</v>
      </c>
      <c r="L1116" t="n">
        <v>0</v>
      </c>
      <c r="M1116" t="n">
        <v>0</v>
      </c>
      <c r="N1116" t="n">
        <v>0</v>
      </c>
      <c r="O1116" t="n">
        <v>0</v>
      </c>
      <c r="P1116" t="n">
        <v>0</v>
      </c>
      <c r="Q1116" t="n">
        <v>0</v>
      </c>
      <c r="R1116" t="n">
        <v>0</v>
      </c>
      <c r="S1116" t="n">
        <v>0</v>
      </c>
      <c r="T1116" t="n">
        <v>0</v>
      </c>
      <c r="U1116" t="n">
        <v>0</v>
      </c>
      <c r="V1116" s="2" t="inlineStr"/>
    </row>
    <row r="1117" ht="15" customHeight="1">
      <c r="A1117" t="inlineStr">
        <is>
          <t>A 33677-2023</t>
        </is>
      </c>
      <c r="B1117" t="inlineStr">
        <is>
          <t>avverkningsanmälan</t>
        </is>
      </c>
      <c r="C1117" t="inlineStr">
        <is>
          <t>Föryngringsavverkning</t>
        </is>
      </c>
      <c r="D1117" s="1" t="n">
        <v>45119</v>
      </c>
      <c r="E1117" s="1" t="n">
        <v>46309</v>
      </c>
      <c r="F1117" t="inlineStr">
        <is>
          <t>UPPSALA LÄN</t>
        </is>
      </c>
      <c r="G1117" t="inlineStr">
        <is>
          <t>TIERP</t>
        </is>
      </c>
      <c r="H1117" t="inlineStr">
        <is>
          <t>Bergvik skog väst AB</t>
        </is>
      </c>
      <c r="I1117" t="n">
        <v>57.7</v>
      </c>
      <c r="J1117" t="n">
        <v>0</v>
      </c>
      <c r="K1117" t="n">
        <v>0</v>
      </c>
      <c r="L1117" t="n">
        <v>0</v>
      </c>
      <c r="M1117" t="n">
        <v>0</v>
      </c>
      <c r="N1117" t="n">
        <v>0</v>
      </c>
      <c r="O1117" t="n">
        <v>0</v>
      </c>
      <c r="P1117" t="n">
        <v>0</v>
      </c>
      <c r="Q1117" t="n">
        <v>0</v>
      </c>
      <c r="R1117" t="n">
        <v>0</v>
      </c>
      <c r="S1117" t="n">
        <v>0</v>
      </c>
      <c r="T1117" t="n">
        <v>0</v>
      </c>
      <c r="U1117" t="n">
        <v>0</v>
      </c>
      <c r="V1117" s="2" t="inlineStr"/>
    </row>
    <row r="1118" ht="15" customHeight="1">
      <c r="A1118" t="inlineStr">
        <is>
          <t>A 18526-2025</t>
        </is>
      </c>
      <c r="B1118" t="inlineStr">
        <is>
          <t>avverkningsanmälan</t>
        </is>
      </c>
      <c r="C1118" t="inlineStr">
        <is>
          <t>Föryngringsavverkning</t>
        </is>
      </c>
      <c r="D1118" s="1" t="n">
        <v>45763</v>
      </c>
      <c r="E1118" s="1" t="n">
        <v>46309</v>
      </c>
      <c r="F1118" t="inlineStr">
        <is>
          <t>UPPSALA LÄN</t>
        </is>
      </c>
      <c r="G1118" t="inlineStr">
        <is>
          <t>TIERP</t>
        </is>
      </c>
      <c r="I1118" t="n">
        <v>4.2</v>
      </c>
      <c r="J1118" t="n">
        <v>0</v>
      </c>
      <c r="K1118" t="n">
        <v>0</v>
      </c>
      <c r="L1118" t="n">
        <v>0</v>
      </c>
      <c r="M1118" t="n">
        <v>0</v>
      </c>
      <c r="N1118" t="n">
        <v>0</v>
      </c>
      <c r="O1118" t="n">
        <v>0</v>
      </c>
      <c r="P1118" t="n">
        <v>0</v>
      </c>
      <c r="Q1118" t="n">
        <v>0</v>
      </c>
      <c r="R1118" t="n">
        <v>0</v>
      </c>
      <c r="S1118" t="n">
        <v>0</v>
      </c>
      <c r="T1118" t="n">
        <v>0</v>
      </c>
      <c r="U1118" t="n">
        <v>0</v>
      </c>
      <c r="V1118" s="2" t="inlineStr"/>
    </row>
    <row r="1119" ht="15" customHeight="1">
      <c r="A1119" t="inlineStr">
        <is>
          <t>A 59731-2023</t>
        </is>
      </c>
      <c r="B1119" t="inlineStr">
        <is>
          <t>avverkningsanmälan</t>
        </is>
      </c>
      <c r="C1119" t="inlineStr">
        <is>
          <t>Föryngringsavverkning</t>
        </is>
      </c>
      <c r="D1119" s="1" t="n">
        <v>45257</v>
      </c>
      <c r="E1119" s="1" t="n">
        <v>46309</v>
      </c>
      <c r="F1119" t="inlineStr">
        <is>
          <t>UPPSALA LÄN</t>
        </is>
      </c>
      <c r="G1119" t="inlineStr">
        <is>
          <t>ÖSTHAMMAR</t>
        </is>
      </c>
      <c r="I1119" t="n">
        <v>0.7</v>
      </c>
      <c r="J1119" t="n">
        <v>0</v>
      </c>
      <c r="K1119" t="n">
        <v>0</v>
      </c>
      <c r="L1119" t="n">
        <v>0</v>
      </c>
      <c r="M1119" t="n">
        <v>0</v>
      </c>
      <c r="N1119" t="n">
        <v>0</v>
      </c>
      <c r="O1119" t="n">
        <v>0</v>
      </c>
      <c r="P1119" t="n">
        <v>0</v>
      </c>
      <c r="Q1119" t="n">
        <v>0</v>
      </c>
      <c r="R1119" t="n">
        <v>0</v>
      </c>
      <c r="S1119" t="n">
        <v>0</v>
      </c>
      <c r="T1119" t="n">
        <v>0</v>
      </c>
      <c r="U1119" t="n">
        <v>0</v>
      </c>
      <c r="V1119" s="2" t="inlineStr"/>
    </row>
    <row r="1120" ht="15" customHeight="1">
      <c r="A1120" t="inlineStr">
        <is>
          <t>A 59098-2024</t>
        </is>
      </c>
      <c r="B1120" t="inlineStr">
        <is>
          <t>avverkningsanmälan</t>
        </is>
      </c>
      <c r="C1120" t="inlineStr">
        <is>
          <t>Föryngringsavverkning</t>
        </is>
      </c>
      <c r="D1120" s="1" t="n">
        <v>45636</v>
      </c>
      <c r="E1120" s="1" t="n">
        <v>46309</v>
      </c>
      <c r="F1120" t="inlineStr">
        <is>
          <t>UPPSALA LÄN</t>
        </is>
      </c>
      <c r="G1120" t="inlineStr">
        <is>
          <t>UPPSALA</t>
        </is>
      </c>
      <c r="I1120" t="n">
        <v>2.2</v>
      </c>
      <c r="J1120" t="n">
        <v>0</v>
      </c>
      <c r="K1120" t="n">
        <v>0</v>
      </c>
      <c r="L1120" t="n">
        <v>0</v>
      </c>
      <c r="M1120" t="n">
        <v>0</v>
      </c>
      <c r="N1120" t="n">
        <v>0</v>
      </c>
      <c r="O1120" t="n">
        <v>0</v>
      </c>
      <c r="P1120" t="n">
        <v>0</v>
      </c>
      <c r="Q1120" t="n">
        <v>0</v>
      </c>
      <c r="R1120" t="n">
        <v>0</v>
      </c>
      <c r="S1120" t="n">
        <v>0</v>
      </c>
      <c r="T1120" t="n">
        <v>0</v>
      </c>
      <c r="U1120" t="n">
        <v>0</v>
      </c>
      <c r="V1120" s="2" t="inlineStr"/>
    </row>
    <row r="1121" ht="15" customHeight="1">
      <c r="A1121" t="inlineStr">
        <is>
          <t>A 34805-2024</t>
        </is>
      </c>
      <c r="B1121" t="inlineStr">
        <is>
          <t>avverkningsanmälan</t>
        </is>
      </c>
      <c r="C1121" t="inlineStr">
        <is>
          <t>Föryngringsavverkning</t>
        </is>
      </c>
      <c r="D1121" s="1" t="n">
        <v>45526</v>
      </c>
      <c r="E1121" s="1" t="n">
        <v>46309</v>
      </c>
      <c r="F1121" t="inlineStr">
        <is>
          <t>UPPSALA LÄN</t>
        </is>
      </c>
      <c r="G1121" t="inlineStr">
        <is>
          <t>ENKÖPING</t>
        </is>
      </c>
      <c r="I1121" t="n">
        <v>3.6</v>
      </c>
      <c r="J1121" t="n">
        <v>0</v>
      </c>
      <c r="K1121" t="n">
        <v>0</v>
      </c>
      <c r="L1121" t="n">
        <v>0</v>
      </c>
      <c r="M1121" t="n">
        <v>0</v>
      </c>
      <c r="N1121" t="n">
        <v>0</v>
      </c>
      <c r="O1121" t="n">
        <v>0</v>
      </c>
      <c r="P1121" t="n">
        <v>0</v>
      </c>
      <c r="Q1121" t="n">
        <v>0</v>
      </c>
      <c r="R1121" t="n">
        <v>0</v>
      </c>
      <c r="S1121" t="n">
        <v>0</v>
      </c>
      <c r="T1121" t="n">
        <v>0</v>
      </c>
      <c r="U1121" t="n">
        <v>0</v>
      </c>
      <c r="V1121" s="2" t="inlineStr"/>
    </row>
    <row r="1122" ht="15" customHeight="1">
      <c r="A1122" t="inlineStr">
        <is>
          <t>A 8805-2023</t>
        </is>
      </c>
      <c r="B1122" t="inlineStr">
        <is>
          <t>avverkningsanmälan</t>
        </is>
      </c>
      <c r="C1122" t="inlineStr">
        <is>
          <t>Föryngringsavverkning</t>
        </is>
      </c>
      <c r="D1122" s="1" t="n">
        <v>44978</v>
      </c>
      <c r="E1122" s="1" t="n">
        <v>46309</v>
      </c>
      <c r="F1122" t="inlineStr">
        <is>
          <t>UPPSALA LÄN</t>
        </is>
      </c>
      <c r="G1122" t="inlineStr">
        <is>
          <t>HEBY</t>
        </is>
      </c>
      <c r="I1122" t="n">
        <v>2.7</v>
      </c>
      <c r="J1122" t="n">
        <v>0</v>
      </c>
      <c r="K1122" t="n">
        <v>0</v>
      </c>
      <c r="L1122" t="n">
        <v>0</v>
      </c>
      <c r="M1122" t="n">
        <v>0</v>
      </c>
      <c r="N1122" t="n">
        <v>0</v>
      </c>
      <c r="O1122" t="n">
        <v>0</v>
      </c>
      <c r="P1122" t="n">
        <v>0</v>
      </c>
      <c r="Q1122" t="n">
        <v>0</v>
      </c>
      <c r="R1122" t="n">
        <v>0</v>
      </c>
      <c r="S1122" t="n">
        <v>0</v>
      </c>
      <c r="T1122" t="n">
        <v>0</v>
      </c>
      <c r="U1122" t="n">
        <v>0</v>
      </c>
      <c r="V1122" s="2" t="inlineStr"/>
    </row>
    <row r="1123" ht="15" customHeight="1">
      <c r="A1123" t="inlineStr">
        <is>
          <t>A 1651-2024</t>
        </is>
      </c>
      <c r="B1123" t="inlineStr">
        <is>
          <t>avverkningsanmälan</t>
        </is>
      </c>
      <c r="C1123" t="inlineStr">
        <is>
          <t>Föryngringsavverkning</t>
        </is>
      </c>
      <c r="D1123" s="1" t="n">
        <v>45306</v>
      </c>
      <c r="E1123" s="1" t="n">
        <v>46309</v>
      </c>
      <c r="F1123" t="inlineStr">
        <is>
          <t>UPPSALA LÄN</t>
        </is>
      </c>
      <c r="G1123" t="inlineStr">
        <is>
          <t>ENKÖPING</t>
        </is>
      </c>
      <c r="I1123" t="n">
        <v>10.2</v>
      </c>
      <c r="J1123" t="n">
        <v>0</v>
      </c>
      <c r="K1123" t="n">
        <v>0</v>
      </c>
      <c r="L1123" t="n">
        <v>0</v>
      </c>
      <c r="M1123" t="n">
        <v>0</v>
      </c>
      <c r="N1123" t="n">
        <v>0</v>
      </c>
      <c r="O1123" t="n">
        <v>0</v>
      </c>
      <c r="P1123" t="n">
        <v>0</v>
      </c>
      <c r="Q1123" t="n">
        <v>0</v>
      </c>
      <c r="R1123" t="n">
        <v>0</v>
      </c>
      <c r="S1123" t="n">
        <v>0</v>
      </c>
      <c r="T1123" t="n">
        <v>0</v>
      </c>
      <c r="U1123" t="n">
        <v>0</v>
      </c>
      <c r="V1123" s="2" t="inlineStr"/>
    </row>
    <row r="1124" ht="15" customHeight="1">
      <c r="A1124" t="inlineStr">
        <is>
          <t>A 34607-2023</t>
        </is>
      </c>
      <c r="B1124" t="inlineStr">
        <is>
          <t>avverkningsanmälan</t>
        </is>
      </c>
      <c r="C1124" t="inlineStr">
        <is>
          <t>Föryngringsavverkning</t>
        </is>
      </c>
      <c r="D1124" s="1" t="n">
        <v>45138</v>
      </c>
      <c r="E1124" s="1" t="n">
        <v>46309</v>
      </c>
      <c r="F1124" t="inlineStr">
        <is>
          <t>UPPSALA LÄN</t>
        </is>
      </c>
      <c r="G1124" t="inlineStr">
        <is>
          <t>ÖSTHAMMAR</t>
        </is>
      </c>
      <c r="I1124" t="n">
        <v>4.7</v>
      </c>
      <c r="J1124" t="n">
        <v>0</v>
      </c>
      <c r="K1124" t="n">
        <v>0</v>
      </c>
      <c r="L1124" t="n">
        <v>0</v>
      </c>
      <c r="M1124" t="n">
        <v>0</v>
      </c>
      <c r="N1124" t="n">
        <v>0</v>
      </c>
      <c r="O1124" t="n">
        <v>0</v>
      </c>
      <c r="P1124" t="n">
        <v>0</v>
      </c>
      <c r="Q1124" t="n">
        <v>0</v>
      </c>
      <c r="R1124" t="n">
        <v>0</v>
      </c>
      <c r="S1124" t="n">
        <v>0</v>
      </c>
      <c r="T1124" t="n">
        <v>0</v>
      </c>
      <c r="U1124" t="n">
        <v>0</v>
      </c>
      <c r="V1124" s="2" t="inlineStr"/>
    </row>
    <row r="1125" ht="15" customHeight="1">
      <c r="A1125" t="inlineStr">
        <is>
          <t>A 48736-2023</t>
        </is>
      </c>
      <c r="B1125" t="inlineStr">
        <is>
          <t>avverkningsanmälan</t>
        </is>
      </c>
      <c r="C1125" t="inlineStr">
        <is>
          <t>Föryngringsavverkning</t>
        </is>
      </c>
      <c r="D1125" s="1" t="n">
        <v>45203</v>
      </c>
      <c r="E1125" s="1" t="n">
        <v>46309</v>
      </c>
      <c r="F1125" t="inlineStr">
        <is>
          <t>UPPSALA LÄN</t>
        </is>
      </c>
      <c r="G1125" t="inlineStr">
        <is>
          <t>TIERP</t>
        </is>
      </c>
      <c r="H1125" t="inlineStr">
        <is>
          <t>Bergvik skog väst AB</t>
        </is>
      </c>
      <c r="I1125" t="n">
        <v>1.6</v>
      </c>
      <c r="J1125" t="n">
        <v>0</v>
      </c>
      <c r="K1125" t="n">
        <v>0</v>
      </c>
      <c r="L1125" t="n">
        <v>0</v>
      </c>
      <c r="M1125" t="n">
        <v>0</v>
      </c>
      <c r="N1125" t="n">
        <v>0</v>
      </c>
      <c r="O1125" t="n">
        <v>0</v>
      </c>
      <c r="P1125" t="n">
        <v>0</v>
      </c>
      <c r="Q1125" t="n">
        <v>0</v>
      </c>
      <c r="R1125" t="n">
        <v>0</v>
      </c>
      <c r="S1125" t="n">
        <v>0</v>
      </c>
      <c r="T1125" t="n">
        <v>0</v>
      </c>
      <c r="U1125" t="n">
        <v>0</v>
      </c>
      <c r="V1125" s="2" t="inlineStr"/>
    </row>
    <row r="1126" ht="15" customHeight="1">
      <c r="A1126" t="inlineStr">
        <is>
          <t>A 314-2025</t>
        </is>
      </c>
      <c r="B1126" t="inlineStr">
        <is>
          <t>avverkningsanmälan</t>
        </is>
      </c>
      <c r="C1126" t="inlineStr">
        <is>
          <t>Föryngringsavverkning</t>
        </is>
      </c>
      <c r="D1126" s="1" t="n">
        <v>45656</v>
      </c>
      <c r="E1126" s="1" t="n">
        <v>46309</v>
      </c>
      <c r="F1126" t="inlineStr">
        <is>
          <t>UPPSALA LÄN</t>
        </is>
      </c>
      <c r="G1126" t="inlineStr">
        <is>
          <t>ENKÖPING</t>
        </is>
      </c>
      <c r="I1126" t="n">
        <v>9</v>
      </c>
      <c r="J1126" t="n">
        <v>0</v>
      </c>
      <c r="K1126" t="n">
        <v>0</v>
      </c>
      <c r="L1126" t="n">
        <v>0</v>
      </c>
      <c r="M1126" t="n">
        <v>0</v>
      </c>
      <c r="N1126" t="n">
        <v>0</v>
      </c>
      <c r="O1126" t="n">
        <v>0</v>
      </c>
      <c r="P1126" t="n">
        <v>0</v>
      </c>
      <c r="Q1126" t="n">
        <v>0</v>
      </c>
      <c r="R1126" t="n">
        <v>0</v>
      </c>
      <c r="S1126" t="n">
        <v>0</v>
      </c>
      <c r="T1126" t="n">
        <v>0</v>
      </c>
      <c r="U1126" t="n">
        <v>0</v>
      </c>
      <c r="V1126" s="2" t="inlineStr"/>
    </row>
    <row r="1127" ht="15" customHeight="1">
      <c r="A1127" t="inlineStr">
        <is>
          <t>A 380-2026</t>
        </is>
      </c>
      <c r="B1127" t="inlineStr">
        <is>
          <t>avverkningsanmälan</t>
        </is>
      </c>
      <c r="C1127" t="inlineStr">
        <is>
          <t>Föryngringsavverkning</t>
        </is>
      </c>
      <c r="D1127" s="1" t="n">
        <v>46027</v>
      </c>
      <c r="E1127" s="1" t="n">
        <v>46309</v>
      </c>
      <c r="F1127" t="inlineStr">
        <is>
          <t>UPPSALA LÄN</t>
        </is>
      </c>
      <c r="G1127" t="inlineStr">
        <is>
          <t>TIERP</t>
        </is>
      </c>
      <c r="I1127" t="n">
        <v>5.1</v>
      </c>
      <c r="J1127" t="n">
        <v>0</v>
      </c>
      <c r="K1127" t="n">
        <v>0</v>
      </c>
      <c r="L1127" t="n">
        <v>0</v>
      </c>
      <c r="M1127" t="n">
        <v>0</v>
      </c>
      <c r="N1127" t="n">
        <v>0</v>
      </c>
      <c r="O1127" t="n">
        <v>0</v>
      </c>
      <c r="P1127" t="n">
        <v>0</v>
      </c>
      <c r="Q1127" t="n">
        <v>0</v>
      </c>
      <c r="R1127" t="n">
        <v>0</v>
      </c>
      <c r="S1127" t="n">
        <v>0</v>
      </c>
      <c r="T1127" t="n">
        <v>0</v>
      </c>
      <c r="U1127" t="n">
        <v>0</v>
      </c>
      <c r="V1127" s="2" t="inlineStr"/>
    </row>
    <row r="1128" ht="15" customHeight="1">
      <c r="A1128" t="inlineStr">
        <is>
          <t>A 9761-2023</t>
        </is>
      </c>
      <c r="B1128" t="inlineStr">
        <is>
          <t>avverkningsanmälan</t>
        </is>
      </c>
      <c r="C1128" t="inlineStr">
        <is>
          <t>Föryngringsavverkning</t>
        </is>
      </c>
      <c r="D1128" s="1" t="n">
        <v>44984</v>
      </c>
      <c r="E1128" s="1" t="n">
        <v>46309</v>
      </c>
      <c r="F1128" t="inlineStr">
        <is>
          <t>UPPSALA LÄN</t>
        </is>
      </c>
      <c r="G1128" t="inlineStr">
        <is>
          <t>HEBY</t>
        </is>
      </c>
      <c r="I1128" t="n">
        <v>1.6</v>
      </c>
      <c r="J1128" t="n">
        <v>0</v>
      </c>
      <c r="K1128" t="n">
        <v>0</v>
      </c>
      <c r="L1128" t="n">
        <v>0</v>
      </c>
      <c r="M1128" t="n">
        <v>0</v>
      </c>
      <c r="N1128" t="n">
        <v>0</v>
      </c>
      <c r="O1128" t="n">
        <v>0</v>
      </c>
      <c r="P1128" t="n">
        <v>0</v>
      </c>
      <c r="Q1128" t="n">
        <v>0</v>
      </c>
      <c r="R1128" t="n">
        <v>0</v>
      </c>
      <c r="S1128" t="n">
        <v>0</v>
      </c>
      <c r="T1128" t="n">
        <v>0</v>
      </c>
      <c r="U1128" t="n">
        <v>0</v>
      </c>
      <c r="V1128" s="2" t="inlineStr"/>
    </row>
    <row r="1129" ht="15" customHeight="1">
      <c r="A1129" t="inlineStr">
        <is>
          <t>A 9773-2023</t>
        </is>
      </c>
      <c r="B1129" t="inlineStr">
        <is>
          <t>avverkningsanmälan</t>
        </is>
      </c>
      <c r="C1129" t="inlineStr">
        <is>
          <t>Föryngringsavverkning</t>
        </is>
      </c>
      <c r="D1129" s="1" t="n">
        <v>44984</v>
      </c>
      <c r="E1129" s="1" t="n">
        <v>46309</v>
      </c>
      <c r="F1129" t="inlineStr">
        <is>
          <t>UPPSALA LÄN</t>
        </is>
      </c>
      <c r="G1129" t="inlineStr">
        <is>
          <t>HEBY</t>
        </is>
      </c>
      <c r="H1129" t="inlineStr">
        <is>
          <t>Allmännings- och besparingsskogar</t>
        </is>
      </c>
      <c r="I1129" t="n">
        <v>3.1</v>
      </c>
      <c r="J1129" t="n">
        <v>0</v>
      </c>
      <c r="K1129" t="n">
        <v>0</v>
      </c>
      <c r="L1129" t="n">
        <v>0</v>
      </c>
      <c r="M1129" t="n">
        <v>0</v>
      </c>
      <c r="N1129" t="n">
        <v>0</v>
      </c>
      <c r="O1129" t="n">
        <v>0</v>
      </c>
      <c r="P1129" t="n">
        <v>0</v>
      </c>
      <c r="Q1129" t="n">
        <v>0</v>
      </c>
      <c r="R1129" t="n">
        <v>0</v>
      </c>
      <c r="S1129" t="n">
        <v>0</v>
      </c>
      <c r="T1129" t="n">
        <v>0</v>
      </c>
      <c r="U1129" t="n">
        <v>0</v>
      </c>
      <c r="V1129" s="2" t="inlineStr"/>
    </row>
    <row r="1130" ht="15" customHeight="1">
      <c r="A1130" t="inlineStr">
        <is>
          <t>A 3234-2023</t>
        </is>
      </c>
      <c r="B1130" t="inlineStr">
        <is>
          <t>avverkningsanmälan</t>
        </is>
      </c>
      <c r="C1130" t="inlineStr">
        <is>
          <t>Föryngringsavverkning</t>
        </is>
      </c>
      <c r="D1130" s="1" t="n">
        <v>44946</v>
      </c>
      <c r="E1130" s="1" t="n">
        <v>46309</v>
      </c>
      <c r="F1130" t="inlineStr">
        <is>
          <t>UPPSALA LÄN</t>
        </is>
      </c>
      <c r="G1130" t="inlineStr">
        <is>
          <t>HEBY</t>
        </is>
      </c>
      <c r="I1130" t="n">
        <v>7.4</v>
      </c>
      <c r="J1130" t="n">
        <v>0</v>
      </c>
      <c r="K1130" t="n">
        <v>0</v>
      </c>
      <c r="L1130" t="n">
        <v>0</v>
      </c>
      <c r="M1130" t="n">
        <v>0</v>
      </c>
      <c r="N1130" t="n">
        <v>0</v>
      </c>
      <c r="O1130" t="n">
        <v>0</v>
      </c>
      <c r="P1130" t="n">
        <v>0</v>
      </c>
      <c r="Q1130" t="n">
        <v>0</v>
      </c>
      <c r="R1130" t="n">
        <v>0</v>
      </c>
      <c r="S1130" t="n">
        <v>0</v>
      </c>
      <c r="T1130" t="n">
        <v>0</v>
      </c>
      <c r="U1130" t="n">
        <v>0</v>
      </c>
      <c r="V1130" s="2" t="inlineStr"/>
    </row>
    <row r="1131" ht="15" customHeight="1">
      <c r="A1131" t="inlineStr">
        <is>
          <t>A 17944-2023</t>
        </is>
      </c>
      <c r="B1131" t="inlineStr">
        <is>
          <t>avverkningsanmälan</t>
        </is>
      </c>
      <c r="C1131" t="inlineStr">
        <is>
          <t>Föryngringsavverkning</t>
        </is>
      </c>
      <c r="D1131" s="1" t="n">
        <v>45040</v>
      </c>
      <c r="E1131" s="1" t="n">
        <v>46309</v>
      </c>
      <c r="F1131" t="inlineStr">
        <is>
          <t>UPPSALA LÄN</t>
        </is>
      </c>
      <c r="G1131" t="inlineStr">
        <is>
          <t>TIERP</t>
        </is>
      </c>
      <c r="H1131" t="inlineStr">
        <is>
          <t>Bergvik skog väst AB</t>
        </is>
      </c>
      <c r="I1131" t="n">
        <v>1.8</v>
      </c>
      <c r="J1131" t="n">
        <v>0</v>
      </c>
      <c r="K1131" t="n">
        <v>0</v>
      </c>
      <c r="L1131" t="n">
        <v>0</v>
      </c>
      <c r="M1131" t="n">
        <v>0</v>
      </c>
      <c r="N1131" t="n">
        <v>0</v>
      </c>
      <c r="O1131" t="n">
        <v>0</v>
      </c>
      <c r="P1131" t="n">
        <v>0</v>
      </c>
      <c r="Q1131" t="n">
        <v>0</v>
      </c>
      <c r="R1131" t="n">
        <v>0</v>
      </c>
      <c r="S1131" t="n">
        <v>0</v>
      </c>
      <c r="T1131" t="n">
        <v>0</v>
      </c>
      <c r="U1131" t="n">
        <v>0</v>
      </c>
      <c r="V1131" s="2" t="inlineStr"/>
    </row>
    <row r="1132" ht="15" customHeight="1">
      <c r="A1132" t="inlineStr">
        <is>
          <t>A 192-2026</t>
        </is>
      </c>
      <c r="B1132" t="inlineStr">
        <is>
          <t>avverkningsanmälan</t>
        </is>
      </c>
      <c r="C1132" t="inlineStr">
        <is>
          <t>Avverkning för annat ändamål</t>
        </is>
      </c>
      <c r="D1132" s="1" t="n">
        <v>46025</v>
      </c>
      <c r="E1132" s="1" t="n">
        <v>46309</v>
      </c>
      <c r="F1132" t="inlineStr">
        <is>
          <t>UPPSALA LÄN</t>
        </is>
      </c>
      <c r="G1132" t="inlineStr">
        <is>
          <t>ENKÖPING</t>
        </is>
      </c>
      <c r="I1132" t="n">
        <v>0.8</v>
      </c>
      <c r="J1132" t="n">
        <v>0</v>
      </c>
      <c r="K1132" t="n">
        <v>0</v>
      </c>
      <c r="L1132" t="n">
        <v>0</v>
      </c>
      <c r="M1132" t="n">
        <v>0</v>
      </c>
      <c r="N1132" t="n">
        <v>0</v>
      </c>
      <c r="O1132" t="n">
        <v>0</v>
      </c>
      <c r="P1132" t="n">
        <v>0</v>
      </c>
      <c r="Q1132" t="n">
        <v>0</v>
      </c>
      <c r="R1132" t="n">
        <v>0</v>
      </c>
      <c r="S1132" t="n">
        <v>0</v>
      </c>
      <c r="T1132" t="n">
        <v>0</v>
      </c>
      <c r="U1132" t="n">
        <v>0</v>
      </c>
      <c r="V1132" s="2" t="inlineStr"/>
    </row>
    <row r="1133" ht="15" customHeight="1">
      <c r="A1133" t="inlineStr">
        <is>
          <t>A 5712-2025</t>
        </is>
      </c>
      <c r="B1133" t="inlineStr">
        <is>
          <t>avverkningsanmälan</t>
        </is>
      </c>
      <c r="C1133" t="inlineStr">
        <is>
          <t>Föryngringsavverkning</t>
        </is>
      </c>
      <c r="D1133" s="1" t="n">
        <v>45694</v>
      </c>
      <c r="E1133" s="1" t="n">
        <v>46309</v>
      </c>
      <c r="F1133" t="inlineStr">
        <is>
          <t>UPPSALA LÄN</t>
        </is>
      </c>
      <c r="G1133" t="inlineStr">
        <is>
          <t>ENKÖPING</t>
        </is>
      </c>
      <c r="I1133" t="n">
        <v>5.1</v>
      </c>
      <c r="J1133" t="n">
        <v>0</v>
      </c>
      <c r="K1133" t="n">
        <v>0</v>
      </c>
      <c r="L1133" t="n">
        <v>0</v>
      </c>
      <c r="M1133" t="n">
        <v>0</v>
      </c>
      <c r="N1133" t="n">
        <v>0</v>
      </c>
      <c r="O1133" t="n">
        <v>0</v>
      </c>
      <c r="P1133" t="n">
        <v>0</v>
      </c>
      <c r="Q1133" t="n">
        <v>0</v>
      </c>
      <c r="R1133" t="n">
        <v>0</v>
      </c>
      <c r="S1133" t="n">
        <v>0</v>
      </c>
      <c r="T1133" t="n">
        <v>0</v>
      </c>
      <c r="U1133" t="n">
        <v>0</v>
      </c>
      <c r="V1133" s="2" t="inlineStr"/>
    </row>
    <row r="1134" ht="15" customHeight="1">
      <c r="A1134" t="inlineStr">
        <is>
          <t>A 4740-2024</t>
        </is>
      </c>
      <c r="B1134" t="inlineStr">
        <is>
          <t>avverkningsanmälan</t>
        </is>
      </c>
      <c r="C1134" t="inlineStr">
        <is>
          <t>Föryngringsavverkning</t>
        </is>
      </c>
      <c r="D1134" s="1" t="n">
        <v>45328</v>
      </c>
      <c r="E1134" s="1" t="n">
        <v>46309</v>
      </c>
      <c r="F1134" t="inlineStr">
        <is>
          <t>UPPSALA LÄN</t>
        </is>
      </c>
      <c r="G1134" t="inlineStr">
        <is>
          <t>HEBY</t>
        </is>
      </c>
      <c r="I1134" t="n">
        <v>1.9</v>
      </c>
      <c r="J1134" t="n">
        <v>0</v>
      </c>
      <c r="K1134" t="n">
        <v>0</v>
      </c>
      <c r="L1134" t="n">
        <v>0</v>
      </c>
      <c r="M1134" t="n">
        <v>0</v>
      </c>
      <c r="N1134" t="n">
        <v>0</v>
      </c>
      <c r="O1134" t="n">
        <v>0</v>
      </c>
      <c r="P1134" t="n">
        <v>0</v>
      </c>
      <c r="Q1134" t="n">
        <v>0</v>
      </c>
      <c r="R1134" t="n">
        <v>0</v>
      </c>
      <c r="S1134" t="n">
        <v>0</v>
      </c>
      <c r="T1134" t="n">
        <v>0</v>
      </c>
      <c r="U1134" t="n">
        <v>0</v>
      </c>
      <c r="V1134" s="2" t="inlineStr"/>
    </row>
    <row r="1135" ht="15" customHeight="1">
      <c r="A1135" t="inlineStr">
        <is>
          <t>A 33734-2023</t>
        </is>
      </c>
      <c r="B1135" t="inlineStr">
        <is>
          <t>avverkningsanmälan</t>
        </is>
      </c>
      <c r="C1135" t="inlineStr">
        <is>
          <t>Föryngringsavverkning</t>
        </is>
      </c>
      <c r="D1135" s="1" t="n">
        <v>45133</v>
      </c>
      <c r="E1135" s="1" t="n">
        <v>46309</v>
      </c>
      <c r="F1135" t="inlineStr">
        <is>
          <t>UPPSALA LÄN</t>
        </is>
      </c>
      <c r="G1135" t="inlineStr">
        <is>
          <t>HEBY</t>
        </is>
      </c>
      <c r="I1135" t="n">
        <v>2.7</v>
      </c>
      <c r="J1135" t="n">
        <v>0</v>
      </c>
      <c r="K1135" t="n">
        <v>0</v>
      </c>
      <c r="L1135" t="n">
        <v>0</v>
      </c>
      <c r="M1135" t="n">
        <v>0</v>
      </c>
      <c r="N1135" t="n">
        <v>0</v>
      </c>
      <c r="O1135" t="n">
        <v>0</v>
      </c>
      <c r="P1135" t="n">
        <v>0</v>
      </c>
      <c r="Q1135" t="n">
        <v>0</v>
      </c>
      <c r="R1135" t="n">
        <v>0</v>
      </c>
      <c r="S1135" t="n">
        <v>0</v>
      </c>
      <c r="T1135" t="n">
        <v>0</v>
      </c>
      <c r="U1135" t="n">
        <v>0</v>
      </c>
      <c r="V1135" s="2" t="inlineStr"/>
    </row>
    <row r="1136" ht="15" customHeight="1">
      <c r="A1136" t="inlineStr">
        <is>
          <t>A 30319-2024</t>
        </is>
      </c>
      <c r="B1136" t="inlineStr">
        <is>
          <t>avverkningsanmälan</t>
        </is>
      </c>
      <c r="C1136" t="inlineStr">
        <is>
          <t>Föryngringsavverkning</t>
        </is>
      </c>
      <c r="D1136" s="1" t="n">
        <v>45490</v>
      </c>
      <c r="E1136" s="1" t="n">
        <v>46309</v>
      </c>
      <c r="F1136" t="inlineStr">
        <is>
          <t>UPPSALA LÄN</t>
        </is>
      </c>
      <c r="G1136" t="inlineStr">
        <is>
          <t>UPPSALA</t>
        </is>
      </c>
      <c r="I1136" t="n">
        <v>2.3</v>
      </c>
      <c r="J1136" t="n">
        <v>0</v>
      </c>
      <c r="K1136" t="n">
        <v>0</v>
      </c>
      <c r="L1136" t="n">
        <v>0</v>
      </c>
      <c r="M1136" t="n">
        <v>0</v>
      </c>
      <c r="N1136" t="n">
        <v>0</v>
      </c>
      <c r="O1136" t="n">
        <v>0</v>
      </c>
      <c r="P1136" t="n">
        <v>0</v>
      </c>
      <c r="Q1136" t="n">
        <v>0</v>
      </c>
      <c r="R1136" t="n">
        <v>0</v>
      </c>
      <c r="S1136" t="n">
        <v>0</v>
      </c>
      <c r="T1136" t="n">
        <v>0</v>
      </c>
      <c r="U1136" t="n">
        <v>0</v>
      </c>
      <c r="V1136" s="2" t="inlineStr"/>
    </row>
    <row r="1137" ht="15" customHeight="1">
      <c r="A1137" t="inlineStr">
        <is>
          <t>A 32867-2023</t>
        </is>
      </c>
      <c r="B1137" t="inlineStr">
        <is>
          <t>avverkningsanmälan</t>
        </is>
      </c>
      <c r="C1137" t="inlineStr">
        <is>
          <t>Föryngringsavverkning</t>
        </is>
      </c>
      <c r="D1137" s="1" t="n">
        <v>45112</v>
      </c>
      <c r="E1137" s="1" t="n">
        <v>46309</v>
      </c>
      <c r="F1137" t="inlineStr">
        <is>
          <t>UPPSALA LÄN</t>
        </is>
      </c>
      <c r="G1137" t="inlineStr">
        <is>
          <t>HEBY</t>
        </is>
      </c>
      <c r="H1137" t="inlineStr">
        <is>
          <t>Bergvik skog väst AB</t>
        </is>
      </c>
      <c r="I1137" t="n">
        <v>12.3</v>
      </c>
      <c r="J1137" t="n">
        <v>0</v>
      </c>
      <c r="K1137" t="n">
        <v>0</v>
      </c>
      <c r="L1137" t="n">
        <v>0</v>
      </c>
      <c r="M1137" t="n">
        <v>0</v>
      </c>
      <c r="N1137" t="n">
        <v>0</v>
      </c>
      <c r="O1137" t="n">
        <v>0</v>
      </c>
      <c r="P1137" t="n">
        <v>0</v>
      </c>
      <c r="Q1137" t="n">
        <v>0</v>
      </c>
      <c r="R1137" t="n">
        <v>0</v>
      </c>
      <c r="S1137" t="n">
        <v>0</v>
      </c>
      <c r="T1137" t="n">
        <v>0</v>
      </c>
      <c r="U1137" t="n">
        <v>0</v>
      </c>
      <c r="V1137" s="2" t="inlineStr"/>
    </row>
    <row r="1138" ht="15" customHeight="1">
      <c r="A1138" t="inlineStr">
        <is>
          <t>A 54813-2022</t>
        </is>
      </c>
      <c r="B1138" t="inlineStr">
        <is>
          <t>avverkningsanmälan</t>
        </is>
      </c>
      <c r="C1138" t="inlineStr">
        <is>
          <t>Föryngringsavverkning</t>
        </is>
      </c>
      <c r="D1138" s="1" t="n">
        <v>44883</v>
      </c>
      <c r="E1138" s="1" t="n">
        <v>46309</v>
      </c>
      <c r="F1138" t="inlineStr">
        <is>
          <t>UPPSALA LÄN</t>
        </is>
      </c>
      <c r="G1138" t="inlineStr">
        <is>
          <t>UPPSALA</t>
        </is>
      </c>
      <c r="I1138" t="n">
        <v>1.1</v>
      </c>
      <c r="J1138" t="n">
        <v>0</v>
      </c>
      <c r="K1138" t="n">
        <v>0</v>
      </c>
      <c r="L1138" t="n">
        <v>0</v>
      </c>
      <c r="M1138" t="n">
        <v>0</v>
      </c>
      <c r="N1138" t="n">
        <v>0</v>
      </c>
      <c r="O1138" t="n">
        <v>0</v>
      </c>
      <c r="P1138" t="n">
        <v>0</v>
      </c>
      <c r="Q1138" t="n">
        <v>0</v>
      </c>
      <c r="R1138" t="n">
        <v>0</v>
      </c>
      <c r="S1138" t="n">
        <v>0</v>
      </c>
      <c r="T1138" t="n">
        <v>0</v>
      </c>
      <c r="U1138" t="n">
        <v>0</v>
      </c>
      <c r="V1138" s="2" t="inlineStr"/>
    </row>
    <row r="1139" ht="15" customHeight="1">
      <c r="A1139" t="inlineStr">
        <is>
          <t>A 48948-2023</t>
        </is>
      </c>
      <c r="B1139" t="inlineStr">
        <is>
          <t>avverkningsanmälan</t>
        </is>
      </c>
      <c r="C1139" t="inlineStr">
        <is>
          <t>Föryngringsavverkning</t>
        </is>
      </c>
      <c r="D1139" s="1" t="n">
        <v>45209</v>
      </c>
      <c r="E1139" s="1" t="n">
        <v>46309</v>
      </c>
      <c r="F1139" t="inlineStr">
        <is>
          <t>UPPSALA LÄN</t>
        </is>
      </c>
      <c r="G1139" t="inlineStr">
        <is>
          <t>HEBY</t>
        </is>
      </c>
      <c r="I1139" t="n">
        <v>2.7</v>
      </c>
      <c r="J1139" t="n">
        <v>0</v>
      </c>
      <c r="K1139" t="n">
        <v>0</v>
      </c>
      <c r="L1139" t="n">
        <v>0</v>
      </c>
      <c r="M1139" t="n">
        <v>0</v>
      </c>
      <c r="N1139" t="n">
        <v>0</v>
      </c>
      <c r="O1139" t="n">
        <v>0</v>
      </c>
      <c r="P1139" t="n">
        <v>0</v>
      </c>
      <c r="Q1139" t="n">
        <v>0</v>
      </c>
      <c r="R1139" t="n">
        <v>0</v>
      </c>
      <c r="S1139" t="n">
        <v>0</v>
      </c>
      <c r="T1139" t="n">
        <v>0</v>
      </c>
      <c r="U1139" t="n">
        <v>0</v>
      </c>
      <c r="V1139" s="2" t="inlineStr"/>
    </row>
    <row r="1140" ht="15" customHeight="1">
      <c r="A1140" t="inlineStr">
        <is>
          <t>A 45956-2024</t>
        </is>
      </c>
      <c r="B1140" t="inlineStr">
        <is>
          <t>avverkningsanmälan</t>
        </is>
      </c>
      <c r="C1140" t="inlineStr">
        <is>
          <t>Föryngringsavverkning</t>
        </is>
      </c>
      <c r="D1140" s="1" t="n">
        <v>45580</v>
      </c>
      <c r="E1140" s="1" t="n">
        <v>46309</v>
      </c>
      <c r="F1140" t="inlineStr">
        <is>
          <t>UPPSALA LÄN</t>
        </is>
      </c>
      <c r="G1140" t="inlineStr">
        <is>
          <t>ENKÖPING</t>
        </is>
      </c>
      <c r="I1140" t="n">
        <v>1</v>
      </c>
      <c r="J1140" t="n">
        <v>0</v>
      </c>
      <c r="K1140" t="n">
        <v>0</v>
      </c>
      <c r="L1140" t="n">
        <v>0</v>
      </c>
      <c r="M1140" t="n">
        <v>0</v>
      </c>
      <c r="N1140" t="n">
        <v>0</v>
      </c>
      <c r="O1140" t="n">
        <v>0</v>
      </c>
      <c r="P1140" t="n">
        <v>0</v>
      </c>
      <c r="Q1140" t="n">
        <v>0</v>
      </c>
      <c r="R1140" t="n">
        <v>0</v>
      </c>
      <c r="S1140" t="n">
        <v>0</v>
      </c>
      <c r="T1140" t="n">
        <v>0</v>
      </c>
      <c r="U1140" t="n">
        <v>0</v>
      </c>
      <c r="V1140" s="2" t="inlineStr"/>
    </row>
    <row r="1141" ht="15" customHeight="1">
      <c r="A1141" t="inlineStr">
        <is>
          <t>A 46635-2022</t>
        </is>
      </c>
      <c r="B1141" t="inlineStr">
        <is>
          <t>avverkningsanmälan</t>
        </is>
      </c>
      <c r="C1141" t="inlineStr">
        <is>
          <t>Föryngringsavverkning</t>
        </is>
      </c>
      <c r="D1141" s="1" t="n">
        <v>44849</v>
      </c>
      <c r="E1141" s="1" t="n">
        <v>46309</v>
      </c>
      <c r="F1141" t="inlineStr">
        <is>
          <t>UPPSALA LÄN</t>
        </is>
      </c>
      <c r="G1141" t="inlineStr">
        <is>
          <t>UPPSALA</t>
        </is>
      </c>
      <c r="I1141" t="n">
        <v>3.4</v>
      </c>
      <c r="J1141" t="n">
        <v>0</v>
      </c>
      <c r="K1141" t="n">
        <v>0</v>
      </c>
      <c r="L1141" t="n">
        <v>0</v>
      </c>
      <c r="M1141" t="n">
        <v>0</v>
      </c>
      <c r="N1141" t="n">
        <v>0</v>
      </c>
      <c r="O1141" t="n">
        <v>0</v>
      </c>
      <c r="P1141" t="n">
        <v>0</v>
      </c>
      <c r="Q1141" t="n">
        <v>0</v>
      </c>
      <c r="R1141" t="n">
        <v>0</v>
      </c>
      <c r="S1141" t="n">
        <v>0</v>
      </c>
      <c r="T1141" t="n">
        <v>0</v>
      </c>
      <c r="U1141" t="n">
        <v>0</v>
      </c>
      <c r="V1141" s="2" t="inlineStr"/>
    </row>
    <row r="1142" ht="15" customHeight="1">
      <c r="A1142" t="inlineStr">
        <is>
          <t>A 888-2026</t>
        </is>
      </c>
      <c r="B1142" t="inlineStr">
        <is>
          <t>avverkningsanmälan</t>
        </is>
      </c>
      <c r="C1142" t="inlineStr">
        <is>
          <t>Föryngringsavverkning</t>
        </is>
      </c>
      <c r="D1142" s="1" t="n">
        <v>46030</v>
      </c>
      <c r="E1142" s="1" t="n">
        <v>46309</v>
      </c>
      <c r="F1142" t="inlineStr">
        <is>
          <t>UPPSALA LÄN</t>
        </is>
      </c>
      <c r="G1142" t="inlineStr">
        <is>
          <t>TIERP</t>
        </is>
      </c>
      <c r="I1142" t="n">
        <v>2.4</v>
      </c>
      <c r="J1142" t="n">
        <v>0</v>
      </c>
      <c r="K1142" t="n">
        <v>0</v>
      </c>
      <c r="L1142" t="n">
        <v>0</v>
      </c>
      <c r="M1142" t="n">
        <v>0</v>
      </c>
      <c r="N1142" t="n">
        <v>0</v>
      </c>
      <c r="O1142" t="n">
        <v>0</v>
      </c>
      <c r="P1142" t="n">
        <v>0</v>
      </c>
      <c r="Q1142" t="n">
        <v>0</v>
      </c>
      <c r="R1142" t="n">
        <v>0</v>
      </c>
      <c r="S1142" t="n">
        <v>0</v>
      </c>
      <c r="T1142" t="n">
        <v>0</v>
      </c>
      <c r="U1142" t="n">
        <v>0</v>
      </c>
      <c r="V1142" s="2" t="inlineStr"/>
    </row>
    <row r="1143" ht="15" customHeight="1">
      <c r="A1143" t="inlineStr">
        <is>
          <t>A 918-2026</t>
        </is>
      </c>
      <c r="B1143" t="inlineStr">
        <is>
          <t>avverkningsanmälan</t>
        </is>
      </c>
      <c r="C1143" t="inlineStr">
        <is>
          <t>Föryngringsavverkning</t>
        </is>
      </c>
      <c r="D1143" s="1" t="n">
        <v>46030</v>
      </c>
      <c r="E1143" s="1" t="n">
        <v>46309</v>
      </c>
      <c r="F1143" t="inlineStr">
        <is>
          <t>UPPSALA LÄN</t>
        </is>
      </c>
      <c r="G1143" t="inlineStr">
        <is>
          <t>UPPSALA</t>
        </is>
      </c>
      <c r="H1143" t="inlineStr">
        <is>
          <t>Övriga statliga verk och myndigheter</t>
        </is>
      </c>
      <c r="I1143" t="n">
        <v>15.1</v>
      </c>
      <c r="J1143" t="n">
        <v>0</v>
      </c>
      <c r="K1143" t="n">
        <v>0</v>
      </c>
      <c r="L1143" t="n">
        <v>0</v>
      </c>
      <c r="M1143" t="n">
        <v>0</v>
      </c>
      <c r="N1143" t="n">
        <v>0</v>
      </c>
      <c r="O1143" t="n">
        <v>0</v>
      </c>
      <c r="P1143" t="n">
        <v>0</v>
      </c>
      <c r="Q1143" t="n">
        <v>0</v>
      </c>
      <c r="R1143" t="n">
        <v>0</v>
      </c>
      <c r="S1143" t="n">
        <v>0</v>
      </c>
      <c r="T1143" t="n">
        <v>0</v>
      </c>
      <c r="U1143" t="n">
        <v>0</v>
      </c>
      <c r="V1143" s="2" t="inlineStr"/>
    </row>
    <row r="1144" ht="15" customHeight="1">
      <c r="A1144" t="inlineStr">
        <is>
          <t>A 24160-2024</t>
        </is>
      </c>
      <c r="B1144" t="inlineStr">
        <is>
          <t>avverkningsanmälan</t>
        </is>
      </c>
      <c r="C1144" t="inlineStr">
        <is>
          <t>Föryngringsavverkning</t>
        </is>
      </c>
      <c r="D1144" s="1" t="n">
        <v>45456</v>
      </c>
      <c r="E1144" s="1" t="n">
        <v>46309</v>
      </c>
      <c r="F1144" t="inlineStr">
        <is>
          <t>UPPSALA LÄN</t>
        </is>
      </c>
      <c r="G1144" t="inlineStr">
        <is>
          <t>ÖSTHAMMAR</t>
        </is>
      </c>
      <c r="H1144" t="inlineStr">
        <is>
          <t>Bergvik skog öst AB</t>
        </is>
      </c>
      <c r="I1144" t="n">
        <v>0.7</v>
      </c>
      <c r="J1144" t="n">
        <v>0</v>
      </c>
      <c r="K1144" t="n">
        <v>0</v>
      </c>
      <c r="L1144" t="n">
        <v>0</v>
      </c>
      <c r="M1144" t="n">
        <v>0</v>
      </c>
      <c r="N1144" t="n">
        <v>0</v>
      </c>
      <c r="O1144" t="n">
        <v>0</v>
      </c>
      <c r="P1144" t="n">
        <v>0</v>
      </c>
      <c r="Q1144" t="n">
        <v>0</v>
      </c>
      <c r="R1144" t="n">
        <v>0</v>
      </c>
      <c r="S1144" t="n">
        <v>0</v>
      </c>
      <c r="T1144" t="n">
        <v>0</v>
      </c>
      <c r="U1144" t="n">
        <v>0</v>
      </c>
      <c r="V1144" s="2" t="inlineStr"/>
    </row>
    <row r="1145" ht="15" customHeight="1">
      <c r="A1145" t="inlineStr">
        <is>
          <t>A 11627-2025</t>
        </is>
      </c>
      <c r="B1145" t="inlineStr">
        <is>
          <t>avverkningsanmälan</t>
        </is>
      </c>
      <c r="C1145" t="inlineStr">
        <is>
          <t>Föryngringsavverkning</t>
        </is>
      </c>
      <c r="D1145" s="1" t="n">
        <v>45727</v>
      </c>
      <c r="E1145" s="1" t="n">
        <v>46309</v>
      </c>
      <c r="F1145" t="inlineStr">
        <is>
          <t>UPPSALA LÄN</t>
        </is>
      </c>
      <c r="G1145" t="inlineStr">
        <is>
          <t>ENKÖPING</t>
        </is>
      </c>
      <c r="I1145" t="n">
        <v>5.5</v>
      </c>
      <c r="J1145" t="n">
        <v>0</v>
      </c>
      <c r="K1145" t="n">
        <v>0</v>
      </c>
      <c r="L1145" t="n">
        <v>0</v>
      </c>
      <c r="M1145" t="n">
        <v>0</v>
      </c>
      <c r="N1145" t="n">
        <v>0</v>
      </c>
      <c r="O1145" t="n">
        <v>0</v>
      </c>
      <c r="P1145" t="n">
        <v>0</v>
      </c>
      <c r="Q1145" t="n">
        <v>0</v>
      </c>
      <c r="R1145" t="n">
        <v>0</v>
      </c>
      <c r="S1145" t="n">
        <v>0</v>
      </c>
      <c r="T1145" t="n">
        <v>0</v>
      </c>
      <c r="U1145" t="n">
        <v>0</v>
      </c>
      <c r="V1145" s="2" t="inlineStr"/>
    </row>
    <row r="1146" ht="15" customHeight="1">
      <c r="A1146" t="inlineStr">
        <is>
          <t>A 62650-2022</t>
        </is>
      </c>
      <c r="B1146" t="inlineStr">
        <is>
          <t>avverkningsanmälan</t>
        </is>
      </c>
      <c r="C1146" t="inlineStr">
        <is>
          <t>Föryngringsavverkning</t>
        </is>
      </c>
      <c r="D1146" s="1" t="n">
        <v>44925</v>
      </c>
      <c r="E1146" s="1" t="n">
        <v>46309</v>
      </c>
      <c r="F1146" t="inlineStr">
        <is>
          <t>UPPSALA LÄN</t>
        </is>
      </c>
      <c r="G1146" t="inlineStr">
        <is>
          <t>HEBY</t>
        </is>
      </c>
      <c r="I1146" t="n">
        <v>4.8</v>
      </c>
      <c r="J1146" t="n">
        <v>0</v>
      </c>
      <c r="K1146" t="n">
        <v>0</v>
      </c>
      <c r="L1146" t="n">
        <v>0</v>
      </c>
      <c r="M1146" t="n">
        <v>0</v>
      </c>
      <c r="N1146" t="n">
        <v>0</v>
      </c>
      <c r="O1146" t="n">
        <v>0</v>
      </c>
      <c r="P1146" t="n">
        <v>0</v>
      </c>
      <c r="Q1146" t="n">
        <v>0</v>
      </c>
      <c r="R1146" t="n">
        <v>0</v>
      </c>
      <c r="S1146" t="n">
        <v>0</v>
      </c>
      <c r="T1146" t="n">
        <v>0</v>
      </c>
      <c r="U1146" t="n">
        <v>0</v>
      </c>
      <c r="V1146" s="2" t="inlineStr"/>
    </row>
    <row r="1147" ht="15" customHeight="1">
      <c r="A1147" t="inlineStr">
        <is>
          <t>A 74090-2021</t>
        </is>
      </c>
      <c r="B1147" t="inlineStr">
        <is>
          <t>avverkningsanmälan</t>
        </is>
      </c>
      <c r="C1147" t="inlineStr">
        <is>
          <t>Föryngringsavverkning</t>
        </is>
      </c>
      <c r="D1147" s="1" t="n">
        <v>44557</v>
      </c>
      <c r="E1147" s="1" t="n">
        <v>46309</v>
      </c>
      <c r="F1147" t="inlineStr">
        <is>
          <t>UPPSALA LÄN</t>
        </is>
      </c>
      <c r="G1147" t="inlineStr">
        <is>
          <t>ENKÖPING</t>
        </is>
      </c>
      <c r="I1147" t="n">
        <v>2.1</v>
      </c>
      <c r="J1147" t="n">
        <v>0</v>
      </c>
      <c r="K1147" t="n">
        <v>0</v>
      </c>
      <c r="L1147" t="n">
        <v>0</v>
      </c>
      <c r="M1147" t="n">
        <v>0</v>
      </c>
      <c r="N1147" t="n">
        <v>0</v>
      </c>
      <c r="O1147" t="n">
        <v>0</v>
      </c>
      <c r="P1147" t="n">
        <v>0</v>
      </c>
      <c r="Q1147" t="n">
        <v>0</v>
      </c>
      <c r="R1147" t="n">
        <v>0</v>
      </c>
      <c r="S1147" t="n">
        <v>0</v>
      </c>
      <c r="T1147" t="n">
        <v>0</v>
      </c>
      <c r="U1147" t="n">
        <v>0</v>
      </c>
      <c r="V1147" s="2" t="inlineStr"/>
    </row>
    <row r="1148" ht="15" customHeight="1">
      <c r="A1148" t="inlineStr">
        <is>
          <t>A 20903-2024</t>
        </is>
      </c>
      <c r="B1148" t="inlineStr">
        <is>
          <t>avverkningsanmälan</t>
        </is>
      </c>
      <c r="C1148" t="inlineStr">
        <is>
          <t>Föryngringsavverkning</t>
        </is>
      </c>
      <c r="D1148" s="1" t="n">
        <v>45439</v>
      </c>
      <c r="E1148" s="1" t="n">
        <v>46309</v>
      </c>
      <c r="F1148" t="inlineStr">
        <is>
          <t>UPPSALA LÄN</t>
        </is>
      </c>
      <c r="G1148" t="inlineStr">
        <is>
          <t>UPPSALA</t>
        </is>
      </c>
      <c r="H1148" t="inlineStr">
        <is>
          <t>Holmen skog AB</t>
        </is>
      </c>
      <c r="I1148" t="n">
        <v>2.7</v>
      </c>
      <c r="J1148" t="n">
        <v>0</v>
      </c>
      <c r="K1148" t="n">
        <v>0</v>
      </c>
      <c r="L1148" t="n">
        <v>0</v>
      </c>
      <c r="M1148" t="n">
        <v>0</v>
      </c>
      <c r="N1148" t="n">
        <v>0</v>
      </c>
      <c r="O1148" t="n">
        <v>0</v>
      </c>
      <c r="P1148" t="n">
        <v>0</v>
      </c>
      <c r="Q1148" t="n">
        <v>0</v>
      </c>
      <c r="R1148" t="n">
        <v>0</v>
      </c>
      <c r="S1148" t="n">
        <v>0</v>
      </c>
      <c r="T1148" t="n">
        <v>0</v>
      </c>
      <c r="U1148" t="n">
        <v>0</v>
      </c>
      <c r="V1148" s="2" t="inlineStr"/>
    </row>
    <row r="1149" ht="15" customHeight="1">
      <c r="A1149" t="inlineStr">
        <is>
          <t>A 52796-2024</t>
        </is>
      </c>
      <c r="B1149" t="inlineStr">
        <is>
          <t>avverkningsanmälan</t>
        </is>
      </c>
      <c r="C1149" t="inlineStr">
        <is>
          <t>Föryngringsavverkning</t>
        </is>
      </c>
      <c r="D1149" s="1" t="n">
        <v>45610</v>
      </c>
      <c r="E1149" s="1" t="n">
        <v>46309</v>
      </c>
      <c r="F1149" t="inlineStr">
        <is>
          <t>UPPSALA LÄN</t>
        </is>
      </c>
      <c r="G1149" t="inlineStr">
        <is>
          <t>HEBY</t>
        </is>
      </c>
      <c r="I1149" t="n">
        <v>1.8</v>
      </c>
      <c r="J1149" t="n">
        <v>0</v>
      </c>
      <c r="K1149" t="n">
        <v>0</v>
      </c>
      <c r="L1149" t="n">
        <v>0</v>
      </c>
      <c r="M1149" t="n">
        <v>0</v>
      </c>
      <c r="N1149" t="n">
        <v>0</v>
      </c>
      <c r="O1149" t="n">
        <v>0</v>
      </c>
      <c r="P1149" t="n">
        <v>0</v>
      </c>
      <c r="Q1149" t="n">
        <v>0</v>
      </c>
      <c r="R1149" t="n">
        <v>0</v>
      </c>
      <c r="S1149" t="n">
        <v>0</v>
      </c>
      <c r="T1149" t="n">
        <v>0</v>
      </c>
      <c r="U1149" t="n">
        <v>0</v>
      </c>
      <c r="V1149" s="2" t="inlineStr"/>
    </row>
    <row r="1150" ht="15" customHeight="1">
      <c r="A1150" t="inlineStr">
        <is>
          <t>A 1584-2025</t>
        </is>
      </c>
      <c r="B1150" t="inlineStr">
        <is>
          <t>avverkningsanmälan</t>
        </is>
      </c>
      <c r="C1150" t="inlineStr">
        <is>
          <t>Föryngringsavverkning</t>
        </is>
      </c>
      <c r="D1150" s="1" t="n">
        <v>45670</v>
      </c>
      <c r="E1150" s="1" t="n">
        <v>46309</v>
      </c>
      <c r="F1150" t="inlineStr">
        <is>
          <t>UPPSALA LÄN</t>
        </is>
      </c>
      <c r="G1150" t="inlineStr">
        <is>
          <t>ÖSTHAMMAR</t>
        </is>
      </c>
      <c r="I1150" t="n">
        <v>0.7</v>
      </c>
      <c r="J1150" t="n">
        <v>0</v>
      </c>
      <c r="K1150" t="n">
        <v>0</v>
      </c>
      <c r="L1150" t="n">
        <v>0</v>
      </c>
      <c r="M1150" t="n">
        <v>0</v>
      </c>
      <c r="N1150" t="n">
        <v>0</v>
      </c>
      <c r="O1150" t="n">
        <v>0</v>
      </c>
      <c r="P1150" t="n">
        <v>0</v>
      </c>
      <c r="Q1150" t="n">
        <v>0</v>
      </c>
      <c r="R1150" t="n">
        <v>0</v>
      </c>
      <c r="S1150" t="n">
        <v>0</v>
      </c>
      <c r="T1150" t="n">
        <v>0</v>
      </c>
      <c r="U1150" t="n">
        <v>0</v>
      </c>
      <c r="V1150" s="2" t="inlineStr"/>
    </row>
    <row r="1151" ht="15" customHeight="1">
      <c r="A1151" t="inlineStr">
        <is>
          <t>A 30972-2024</t>
        </is>
      </c>
      <c r="B1151" t="inlineStr">
        <is>
          <t>avverkningsanmälan</t>
        </is>
      </c>
      <c r="C1151" t="inlineStr">
        <is>
          <t>Föryngringsavverkning</t>
        </is>
      </c>
      <c r="D1151" s="1" t="n">
        <v>45499</v>
      </c>
      <c r="E1151" s="1" t="n">
        <v>46309</v>
      </c>
      <c r="F1151" t="inlineStr">
        <is>
          <t>UPPSALA LÄN</t>
        </is>
      </c>
      <c r="G1151" t="inlineStr">
        <is>
          <t>ÖSTHAMMAR</t>
        </is>
      </c>
      <c r="H1151" t="inlineStr">
        <is>
          <t>Bergvik skog öst AB</t>
        </is>
      </c>
      <c r="I1151" t="n">
        <v>0.8</v>
      </c>
      <c r="J1151" t="n">
        <v>0</v>
      </c>
      <c r="K1151" t="n">
        <v>0</v>
      </c>
      <c r="L1151" t="n">
        <v>0</v>
      </c>
      <c r="M1151" t="n">
        <v>0</v>
      </c>
      <c r="N1151" t="n">
        <v>0</v>
      </c>
      <c r="O1151" t="n">
        <v>0</v>
      </c>
      <c r="P1151" t="n">
        <v>0</v>
      </c>
      <c r="Q1151" t="n">
        <v>0</v>
      </c>
      <c r="R1151" t="n">
        <v>0</v>
      </c>
      <c r="S1151" t="n">
        <v>0</v>
      </c>
      <c r="T1151" t="n">
        <v>0</v>
      </c>
      <c r="U1151" t="n">
        <v>0</v>
      </c>
      <c r="V1151" s="2" t="inlineStr"/>
    </row>
    <row r="1152" ht="15" customHeight="1">
      <c r="A1152" t="inlineStr">
        <is>
          <t>A 861-2026</t>
        </is>
      </c>
      <c r="B1152" t="inlineStr">
        <is>
          <t>avverkningsanmälan</t>
        </is>
      </c>
      <c r="C1152" t="inlineStr">
        <is>
          <t>Avverkning för annat ändamål</t>
        </is>
      </c>
      <c r="D1152" s="1" t="n">
        <v>46030</v>
      </c>
      <c r="E1152" s="1" t="n">
        <v>46309</v>
      </c>
      <c r="F1152" t="inlineStr">
        <is>
          <t>UPPSALA LÄN</t>
        </is>
      </c>
      <c r="G1152" t="inlineStr">
        <is>
          <t>ENKÖPING</t>
        </is>
      </c>
      <c r="I1152" t="n">
        <v>1.1</v>
      </c>
      <c r="J1152" t="n">
        <v>0</v>
      </c>
      <c r="K1152" t="n">
        <v>0</v>
      </c>
      <c r="L1152" t="n">
        <v>0</v>
      </c>
      <c r="M1152" t="n">
        <v>0</v>
      </c>
      <c r="N1152" t="n">
        <v>0</v>
      </c>
      <c r="O1152" t="n">
        <v>0</v>
      </c>
      <c r="P1152" t="n">
        <v>0</v>
      </c>
      <c r="Q1152" t="n">
        <v>0</v>
      </c>
      <c r="R1152" t="n">
        <v>0</v>
      </c>
      <c r="S1152" t="n">
        <v>0</v>
      </c>
      <c r="T1152" t="n">
        <v>0</v>
      </c>
      <c r="U1152" t="n">
        <v>0</v>
      </c>
      <c r="V1152" s="2" t="inlineStr"/>
    </row>
    <row r="1153" ht="15" customHeight="1">
      <c r="A1153" t="inlineStr">
        <is>
          <t>A 968-2026</t>
        </is>
      </c>
      <c r="B1153" t="inlineStr">
        <is>
          <t>avverkningsanmälan</t>
        </is>
      </c>
      <c r="C1153" t="inlineStr">
        <is>
          <t>Föryngringsavverkning</t>
        </is>
      </c>
      <c r="D1153" s="1" t="n">
        <v>46030</v>
      </c>
      <c r="E1153" s="1" t="n">
        <v>46309</v>
      </c>
      <c r="F1153" t="inlineStr">
        <is>
          <t>UPPSALA LÄN</t>
        </is>
      </c>
      <c r="G1153" t="inlineStr">
        <is>
          <t>UPPSALA</t>
        </is>
      </c>
      <c r="I1153" t="n">
        <v>1.5</v>
      </c>
      <c r="J1153" t="n">
        <v>0</v>
      </c>
      <c r="K1153" t="n">
        <v>0</v>
      </c>
      <c r="L1153" t="n">
        <v>0</v>
      </c>
      <c r="M1153" t="n">
        <v>0</v>
      </c>
      <c r="N1153" t="n">
        <v>0</v>
      </c>
      <c r="O1153" t="n">
        <v>0</v>
      </c>
      <c r="P1153" t="n">
        <v>0</v>
      </c>
      <c r="Q1153" t="n">
        <v>0</v>
      </c>
      <c r="R1153" t="n">
        <v>0</v>
      </c>
      <c r="S1153" t="n">
        <v>0</v>
      </c>
      <c r="T1153" t="n">
        <v>0</v>
      </c>
      <c r="U1153" t="n">
        <v>0</v>
      </c>
      <c r="V1153" s="2" t="inlineStr"/>
    </row>
    <row r="1154" ht="15" customHeight="1">
      <c r="A1154" t="inlineStr">
        <is>
          <t>A 662-2026</t>
        </is>
      </c>
      <c r="B1154" t="inlineStr">
        <is>
          <t>avverkningsanmälan</t>
        </is>
      </c>
      <c r="C1154" t="inlineStr">
        <is>
          <t>Föryngringsavverkning</t>
        </is>
      </c>
      <c r="D1154" s="1" t="n">
        <v>46029</v>
      </c>
      <c r="E1154" s="1" t="n">
        <v>46309</v>
      </c>
      <c r="F1154" t="inlineStr">
        <is>
          <t>UPPSALA LÄN</t>
        </is>
      </c>
      <c r="G1154" t="inlineStr">
        <is>
          <t>KNIVSTA</t>
        </is>
      </c>
      <c r="I1154" t="n">
        <v>1.4</v>
      </c>
      <c r="J1154" t="n">
        <v>0</v>
      </c>
      <c r="K1154" t="n">
        <v>0</v>
      </c>
      <c r="L1154" t="n">
        <v>0</v>
      </c>
      <c r="M1154" t="n">
        <v>0</v>
      </c>
      <c r="N1154" t="n">
        <v>0</v>
      </c>
      <c r="O1154" t="n">
        <v>0</v>
      </c>
      <c r="P1154" t="n">
        <v>0</v>
      </c>
      <c r="Q1154" t="n">
        <v>0</v>
      </c>
      <c r="R1154" t="n">
        <v>0</v>
      </c>
      <c r="S1154" t="n">
        <v>0</v>
      </c>
      <c r="T1154" t="n">
        <v>0</v>
      </c>
      <c r="U1154" t="n">
        <v>0</v>
      </c>
      <c r="V1154" s="2" t="inlineStr"/>
    </row>
    <row r="1155" ht="15" customHeight="1">
      <c r="A1155" t="inlineStr">
        <is>
          <t>A 24381-2025</t>
        </is>
      </c>
      <c r="B1155" t="inlineStr">
        <is>
          <t>avverkningsanmälan</t>
        </is>
      </c>
      <c r="C1155" t="inlineStr">
        <is>
          <t>Föryngringsavverkning</t>
        </is>
      </c>
      <c r="D1155" s="1" t="n">
        <v>45797</v>
      </c>
      <c r="E1155" s="1" t="n">
        <v>46309</v>
      </c>
      <c r="F1155" t="inlineStr">
        <is>
          <t>UPPSALA LÄN</t>
        </is>
      </c>
      <c r="G1155" t="inlineStr">
        <is>
          <t>HEBY</t>
        </is>
      </c>
      <c r="H1155" t="inlineStr">
        <is>
          <t>Kyrkan</t>
        </is>
      </c>
      <c r="I1155" t="n">
        <v>10.6</v>
      </c>
      <c r="J1155" t="n">
        <v>0</v>
      </c>
      <c r="K1155" t="n">
        <v>0</v>
      </c>
      <c r="L1155" t="n">
        <v>0</v>
      </c>
      <c r="M1155" t="n">
        <v>0</v>
      </c>
      <c r="N1155" t="n">
        <v>0</v>
      </c>
      <c r="O1155" t="n">
        <v>0</v>
      </c>
      <c r="P1155" t="n">
        <v>0</v>
      </c>
      <c r="Q1155" t="n">
        <v>0</v>
      </c>
      <c r="R1155" t="n">
        <v>0</v>
      </c>
      <c r="S1155" t="n">
        <v>0</v>
      </c>
      <c r="T1155" t="n">
        <v>0</v>
      </c>
      <c r="U1155" t="n">
        <v>0</v>
      </c>
      <c r="V1155" s="2" t="inlineStr"/>
    </row>
    <row r="1156" ht="15" customHeight="1">
      <c r="A1156" t="inlineStr">
        <is>
          <t>A 61640-2023</t>
        </is>
      </c>
      <c r="B1156" t="inlineStr">
        <is>
          <t>avverkningsanmälan</t>
        </is>
      </c>
      <c r="C1156" t="inlineStr">
        <is>
          <t>Föryngringsavverkning</t>
        </is>
      </c>
      <c r="D1156" s="1" t="n">
        <v>45265</v>
      </c>
      <c r="E1156" s="1" t="n">
        <v>46309</v>
      </c>
      <c r="F1156" t="inlineStr">
        <is>
          <t>UPPSALA LÄN</t>
        </is>
      </c>
      <c r="G1156" t="inlineStr">
        <is>
          <t>TIERP</t>
        </is>
      </c>
      <c r="I1156" t="n">
        <v>0.5</v>
      </c>
      <c r="J1156" t="n">
        <v>0</v>
      </c>
      <c r="K1156" t="n">
        <v>0</v>
      </c>
      <c r="L1156" t="n">
        <v>0</v>
      </c>
      <c r="M1156" t="n">
        <v>0</v>
      </c>
      <c r="N1156" t="n">
        <v>0</v>
      </c>
      <c r="O1156" t="n">
        <v>0</v>
      </c>
      <c r="P1156" t="n">
        <v>0</v>
      </c>
      <c r="Q1156" t="n">
        <v>0</v>
      </c>
      <c r="R1156" t="n">
        <v>0</v>
      </c>
      <c r="S1156" t="n">
        <v>0</v>
      </c>
      <c r="T1156" t="n">
        <v>0</v>
      </c>
      <c r="U1156" t="n">
        <v>0</v>
      </c>
      <c r="V1156" s="2" t="inlineStr"/>
    </row>
    <row r="1157" ht="15" customHeight="1">
      <c r="A1157" t="inlineStr">
        <is>
          <t>A 56969-2022</t>
        </is>
      </c>
      <c r="B1157" t="inlineStr">
        <is>
          <t>avverkningsanmälan</t>
        </is>
      </c>
      <c r="C1157" t="inlineStr">
        <is>
          <t>Föryngringsavverkning</t>
        </is>
      </c>
      <c r="D1157" s="1" t="n">
        <v>44894</v>
      </c>
      <c r="E1157" s="1" t="n">
        <v>46309</v>
      </c>
      <c r="F1157" t="inlineStr">
        <is>
          <t>UPPSALA LÄN</t>
        </is>
      </c>
      <c r="G1157" t="inlineStr">
        <is>
          <t>ÖSTHAMMAR</t>
        </is>
      </c>
      <c r="I1157" t="n">
        <v>5.5</v>
      </c>
      <c r="J1157" t="n">
        <v>0</v>
      </c>
      <c r="K1157" t="n">
        <v>0</v>
      </c>
      <c r="L1157" t="n">
        <v>0</v>
      </c>
      <c r="M1157" t="n">
        <v>0</v>
      </c>
      <c r="N1157" t="n">
        <v>0</v>
      </c>
      <c r="O1157" t="n">
        <v>0</v>
      </c>
      <c r="P1157" t="n">
        <v>0</v>
      </c>
      <c r="Q1157" t="n">
        <v>0</v>
      </c>
      <c r="R1157" t="n">
        <v>0</v>
      </c>
      <c r="S1157" t="n">
        <v>0</v>
      </c>
      <c r="T1157" t="n">
        <v>0</v>
      </c>
      <c r="U1157" t="n">
        <v>0</v>
      </c>
      <c r="V1157" s="2" t="inlineStr"/>
    </row>
    <row r="1158" ht="15" customHeight="1">
      <c r="A1158" t="inlineStr">
        <is>
          <t>A 55204-2022</t>
        </is>
      </c>
      <c r="B1158" t="inlineStr">
        <is>
          <t>avverkningsanmälan</t>
        </is>
      </c>
      <c r="C1158" t="inlineStr">
        <is>
          <t>Föryngringsavverkning</t>
        </is>
      </c>
      <c r="D1158" s="1" t="n">
        <v>44886</v>
      </c>
      <c r="E1158" s="1" t="n">
        <v>46309</v>
      </c>
      <c r="F1158" t="inlineStr">
        <is>
          <t>UPPSALA LÄN</t>
        </is>
      </c>
      <c r="G1158" t="inlineStr">
        <is>
          <t>HEBY</t>
        </is>
      </c>
      <c r="I1158" t="n">
        <v>1.4</v>
      </c>
      <c r="J1158" t="n">
        <v>0</v>
      </c>
      <c r="K1158" t="n">
        <v>0</v>
      </c>
      <c r="L1158" t="n">
        <v>0</v>
      </c>
      <c r="M1158" t="n">
        <v>0</v>
      </c>
      <c r="N1158" t="n">
        <v>0</v>
      </c>
      <c r="O1158" t="n">
        <v>0</v>
      </c>
      <c r="P1158" t="n">
        <v>0</v>
      </c>
      <c r="Q1158" t="n">
        <v>0</v>
      </c>
      <c r="R1158" t="n">
        <v>0</v>
      </c>
      <c r="S1158" t="n">
        <v>0</v>
      </c>
      <c r="T1158" t="n">
        <v>0</v>
      </c>
      <c r="U1158" t="n">
        <v>0</v>
      </c>
      <c r="V1158" s="2" t="inlineStr"/>
    </row>
    <row r="1159" ht="15" customHeight="1">
      <c r="A1159" t="inlineStr">
        <is>
          <t>A 7876-2023</t>
        </is>
      </c>
      <c r="B1159" t="inlineStr">
        <is>
          <t>avverkningsanmälan</t>
        </is>
      </c>
      <c r="C1159" t="inlineStr">
        <is>
          <t>Föryngringsavverkning</t>
        </is>
      </c>
      <c r="D1159" s="1" t="n">
        <v>44973</v>
      </c>
      <c r="E1159" s="1" t="n">
        <v>46309</v>
      </c>
      <c r="F1159" t="inlineStr">
        <is>
          <t>UPPSALA LÄN</t>
        </is>
      </c>
      <c r="G1159" t="inlineStr">
        <is>
          <t>ÖSTHAMMAR</t>
        </is>
      </c>
      <c r="I1159" t="n">
        <v>0.9</v>
      </c>
      <c r="J1159" t="n">
        <v>0</v>
      </c>
      <c r="K1159" t="n">
        <v>0</v>
      </c>
      <c r="L1159" t="n">
        <v>0</v>
      </c>
      <c r="M1159" t="n">
        <v>0</v>
      </c>
      <c r="N1159" t="n">
        <v>0</v>
      </c>
      <c r="O1159" t="n">
        <v>0</v>
      </c>
      <c r="P1159" t="n">
        <v>0</v>
      </c>
      <c r="Q1159" t="n">
        <v>0</v>
      </c>
      <c r="R1159" t="n">
        <v>0</v>
      </c>
      <c r="S1159" t="n">
        <v>0</v>
      </c>
      <c r="T1159" t="n">
        <v>0</v>
      </c>
      <c r="U1159" t="n">
        <v>0</v>
      </c>
      <c r="V1159" s="2" t="inlineStr"/>
    </row>
    <row r="1160" ht="15" customHeight="1">
      <c r="A1160" t="inlineStr">
        <is>
          <t>A 24415-2025</t>
        </is>
      </c>
      <c r="B1160" t="inlineStr">
        <is>
          <t>avverkningsanmälan</t>
        </is>
      </c>
      <c r="C1160" t="inlineStr">
        <is>
          <t>Föryngringsavverkning</t>
        </is>
      </c>
      <c r="D1160" s="1" t="n">
        <v>45797</v>
      </c>
      <c r="E1160" s="1" t="n">
        <v>46309</v>
      </c>
      <c r="F1160" t="inlineStr">
        <is>
          <t>UPPSALA LÄN</t>
        </is>
      </c>
      <c r="G1160" t="inlineStr">
        <is>
          <t>ÖSTHAMMAR</t>
        </is>
      </c>
      <c r="I1160" t="n">
        <v>0.8</v>
      </c>
      <c r="J1160" t="n">
        <v>0</v>
      </c>
      <c r="K1160" t="n">
        <v>0</v>
      </c>
      <c r="L1160" t="n">
        <v>0</v>
      </c>
      <c r="M1160" t="n">
        <v>0</v>
      </c>
      <c r="N1160" t="n">
        <v>0</v>
      </c>
      <c r="O1160" t="n">
        <v>0</v>
      </c>
      <c r="P1160" t="n">
        <v>0</v>
      </c>
      <c r="Q1160" t="n">
        <v>0</v>
      </c>
      <c r="R1160" t="n">
        <v>0</v>
      </c>
      <c r="S1160" t="n">
        <v>0</v>
      </c>
      <c r="T1160" t="n">
        <v>0</v>
      </c>
      <c r="U1160" t="n">
        <v>0</v>
      </c>
      <c r="V1160" s="2" t="inlineStr"/>
    </row>
    <row r="1161" ht="15" customHeight="1">
      <c r="A1161" t="inlineStr">
        <is>
          <t>A 482-2026</t>
        </is>
      </c>
      <c r="B1161" t="inlineStr">
        <is>
          <t>avverkningsanmälan</t>
        </is>
      </c>
      <c r="C1161" t="inlineStr">
        <is>
          <t>Föryngringsavverkning</t>
        </is>
      </c>
      <c r="D1161" s="1" t="n">
        <v>46029</v>
      </c>
      <c r="E1161" s="1" t="n">
        <v>46309</v>
      </c>
      <c r="F1161" t="inlineStr">
        <is>
          <t>UPPSALA LÄN</t>
        </is>
      </c>
      <c r="G1161" t="inlineStr">
        <is>
          <t>UPPSALA</t>
        </is>
      </c>
      <c r="I1161" t="n">
        <v>3.4</v>
      </c>
      <c r="J1161" t="n">
        <v>0</v>
      </c>
      <c r="K1161" t="n">
        <v>0</v>
      </c>
      <c r="L1161" t="n">
        <v>0</v>
      </c>
      <c r="M1161" t="n">
        <v>0</v>
      </c>
      <c r="N1161" t="n">
        <v>0</v>
      </c>
      <c r="O1161" t="n">
        <v>0</v>
      </c>
      <c r="P1161" t="n">
        <v>0</v>
      </c>
      <c r="Q1161" t="n">
        <v>0</v>
      </c>
      <c r="R1161" t="n">
        <v>0</v>
      </c>
      <c r="S1161" t="n">
        <v>0</v>
      </c>
      <c r="T1161" t="n">
        <v>0</v>
      </c>
      <c r="U1161" t="n">
        <v>0</v>
      </c>
      <c r="V1161" s="2" t="inlineStr"/>
    </row>
    <row r="1162" ht="15" customHeight="1">
      <c r="A1162" t="inlineStr">
        <is>
          <t>A 5006-2022</t>
        </is>
      </c>
      <c r="B1162" t="inlineStr">
        <is>
          <t>avverkningsanmälan</t>
        </is>
      </c>
      <c r="C1162" t="inlineStr">
        <is>
          <t>Föryngringsavverkning</t>
        </is>
      </c>
      <c r="D1162" s="1" t="n">
        <v>44593</v>
      </c>
      <c r="E1162" s="1" t="n">
        <v>46309</v>
      </c>
      <c r="F1162" t="inlineStr">
        <is>
          <t>UPPSALA LÄN</t>
        </is>
      </c>
      <c r="G1162" t="inlineStr">
        <is>
          <t>UPPSALA</t>
        </is>
      </c>
      <c r="H1162" t="inlineStr">
        <is>
          <t>BillerudKorsnäs AB</t>
        </is>
      </c>
      <c r="I1162" t="n">
        <v>1.4</v>
      </c>
      <c r="J1162" t="n">
        <v>0</v>
      </c>
      <c r="K1162" t="n">
        <v>0</v>
      </c>
      <c r="L1162" t="n">
        <v>0</v>
      </c>
      <c r="M1162" t="n">
        <v>0</v>
      </c>
      <c r="N1162" t="n">
        <v>0</v>
      </c>
      <c r="O1162" t="n">
        <v>0</v>
      </c>
      <c r="P1162" t="n">
        <v>0</v>
      </c>
      <c r="Q1162" t="n">
        <v>0</v>
      </c>
      <c r="R1162" t="n">
        <v>0</v>
      </c>
      <c r="S1162" t="n">
        <v>0</v>
      </c>
      <c r="T1162" t="n">
        <v>0</v>
      </c>
      <c r="U1162" t="n">
        <v>0</v>
      </c>
      <c r="V1162" s="2" t="inlineStr"/>
    </row>
    <row r="1163" ht="15" customHeight="1">
      <c r="A1163" t="inlineStr">
        <is>
          <t>A 35539-2023</t>
        </is>
      </c>
      <c r="B1163" t="inlineStr">
        <is>
          <t>avverkningsanmälan</t>
        </is>
      </c>
      <c r="C1163" t="inlineStr">
        <is>
          <t>Föryngringsavverkning</t>
        </is>
      </c>
      <c r="D1163" s="1" t="n">
        <v>45147</v>
      </c>
      <c r="E1163" s="1" t="n">
        <v>46309</v>
      </c>
      <c r="F1163" t="inlineStr">
        <is>
          <t>UPPSALA LÄN</t>
        </is>
      </c>
      <c r="G1163" t="inlineStr">
        <is>
          <t>ÖSTHAMMAR</t>
        </is>
      </c>
      <c r="I1163" t="n">
        <v>1.4</v>
      </c>
      <c r="J1163" t="n">
        <v>0</v>
      </c>
      <c r="K1163" t="n">
        <v>0</v>
      </c>
      <c r="L1163" t="n">
        <v>0</v>
      </c>
      <c r="M1163" t="n">
        <v>0</v>
      </c>
      <c r="N1163" t="n">
        <v>0</v>
      </c>
      <c r="O1163" t="n">
        <v>0</v>
      </c>
      <c r="P1163" t="n">
        <v>0</v>
      </c>
      <c r="Q1163" t="n">
        <v>0</v>
      </c>
      <c r="R1163" t="n">
        <v>0</v>
      </c>
      <c r="S1163" t="n">
        <v>0</v>
      </c>
      <c r="T1163" t="n">
        <v>0</v>
      </c>
      <c r="U1163" t="n">
        <v>0</v>
      </c>
      <c r="V1163" s="2" t="inlineStr"/>
    </row>
    <row r="1164" ht="15" customHeight="1">
      <c r="A1164" t="inlineStr">
        <is>
          <t>A 25330-2025</t>
        </is>
      </c>
      <c r="B1164" t="inlineStr">
        <is>
          <t>avverkningsanmälan</t>
        </is>
      </c>
      <c r="C1164" t="inlineStr">
        <is>
          <t>Föryngringsavverkning</t>
        </is>
      </c>
      <c r="D1164" s="1" t="n">
        <v>45800</v>
      </c>
      <c r="E1164" s="1" t="n">
        <v>46309</v>
      </c>
      <c r="F1164" t="inlineStr">
        <is>
          <t>UPPSALA LÄN</t>
        </is>
      </c>
      <c r="G1164" t="inlineStr">
        <is>
          <t>ÄLVKARLEBY</t>
        </is>
      </c>
      <c r="H1164" t="inlineStr">
        <is>
          <t>Bergvik skog väst AB</t>
        </is>
      </c>
      <c r="I1164" t="n">
        <v>5</v>
      </c>
      <c r="J1164" t="n">
        <v>0</v>
      </c>
      <c r="K1164" t="n">
        <v>0</v>
      </c>
      <c r="L1164" t="n">
        <v>0</v>
      </c>
      <c r="M1164" t="n">
        <v>0</v>
      </c>
      <c r="N1164" t="n">
        <v>0</v>
      </c>
      <c r="O1164" t="n">
        <v>0</v>
      </c>
      <c r="P1164" t="n">
        <v>0</v>
      </c>
      <c r="Q1164" t="n">
        <v>0</v>
      </c>
      <c r="R1164" t="n">
        <v>0</v>
      </c>
      <c r="S1164" t="n">
        <v>0</v>
      </c>
      <c r="T1164" t="n">
        <v>0</v>
      </c>
      <c r="U1164" t="n">
        <v>0</v>
      </c>
      <c r="V1164" s="2" t="inlineStr"/>
    </row>
    <row r="1165" ht="15" customHeight="1">
      <c r="A1165" t="inlineStr">
        <is>
          <t>A 2184-2024</t>
        </is>
      </c>
      <c r="B1165" t="inlineStr">
        <is>
          <t>avverkningsanmälan</t>
        </is>
      </c>
      <c r="C1165" t="inlineStr">
        <is>
          <t>Föryngringsavverkning</t>
        </is>
      </c>
      <c r="D1165" s="1" t="n">
        <v>45309</v>
      </c>
      <c r="E1165" s="1" t="n">
        <v>46309</v>
      </c>
      <c r="F1165" t="inlineStr">
        <is>
          <t>UPPSALA LÄN</t>
        </is>
      </c>
      <c r="G1165" t="inlineStr">
        <is>
          <t>ÄLVKARLEBY</t>
        </is>
      </c>
      <c r="I1165" t="n">
        <v>0.6</v>
      </c>
      <c r="J1165" t="n">
        <v>0</v>
      </c>
      <c r="K1165" t="n">
        <v>0</v>
      </c>
      <c r="L1165" t="n">
        <v>0</v>
      </c>
      <c r="M1165" t="n">
        <v>0</v>
      </c>
      <c r="N1165" t="n">
        <v>0</v>
      </c>
      <c r="O1165" t="n">
        <v>0</v>
      </c>
      <c r="P1165" t="n">
        <v>0</v>
      </c>
      <c r="Q1165" t="n">
        <v>0</v>
      </c>
      <c r="R1165" t="n">
        <v>0</v>
      </c>
      <c r="S1165" t="n">
        <v>0</v>
      </c>
      <c r="T1165" t="n">
        <v>0</v>
      </c>
      <c r="U1165" t="n">
        <v>0</v>
      </c>
      <c r="V1165" s="2" t="inlineStr"/>
    </row>
    <row r="1166" ht="15" customHeight="1">
      <c r="A1166" t="inlineStr">
        <is>
          <t>A 31242-2024</t>
        </is>
      </c>
      <c r="B1166" t="inlineStr">
        <is>
          <t>avverkningsanmälan</t>
        </is>
      </c>
      <c r="C1166" t="inlineStr">
        <is>
          <t>Föryngringsavverkning</t>
        </is>
      </c>
      <c r="D1166" s="1" t="n">
        <v>45503</v>
      </c>
      <c r="E1166" s="1" t="n">
        <v>46309</v>
      </c>
      <c r="F1166" t="inlineStr">
        <is>
          <t>UPPSALA LÄN</t>
        </is>
      </c>
      <c r="G1166" t="inlineStr">
        <is>
          <t>ENKÖPING</t>
        </is>
      </c>
      <c r="I1166" t="n">
        <v>0.5</v>
      </c>
      <c r="J1166" t="n">
        <v>0</v>
      </c>
      <c r="K1166" t="n">
        <v>0</v>
      </c>
      <c r="L1166" t="n">
        <v>0</v>
      </c>
      <c r="M1166" t="n">
        <v>0</v>
      </c>
      <c r="N1166" t="n">
        <v>0</v>
      </c>
      <c r="O1166" t="n">
        <v>0</v>
      </c>
      <c r="P1166" t="n">
        <v>0</v>
      </c>
      <c r="Q1166" t="n">
        <v>0</v>
      </c>
      <c r="R1166" t="n">
        <v>0</v>
      </c>
      <c r="S1166" t="n">
        <v>0</v>
      </c>
      <c r="T1166" t="n">
        <v>0</v>
      </c>
      <c r="U1166" t="n">
        <v>0</v>
      </c>
      <c r="V1166" s="2" t="inlineStr"/>
    </row>
    <row r="1167" ht="15" customHeight="1">
      <c r="A1167" t="inlineStr">
        <is>
          <t>A 24807-2025</t>
        </is>
      </c>
      <c r="B1167" t="inlineStr">
        <is>
          <t>avverkningsanmälan</t>
        </is>
      </c>
      <c r="C1167" t="inlineStr">
        <is>
          <t>Föryngringsavverkning</t>
        </is>
      </c>
      <c r="D1167" s="1" t="n">
        <v>45799</v>
      </c>
      <c r="E1167" s="1" t="n">
        <v>46309</v>
      </c>
      <c r="F1167" t="inlineStr">
        <is>
          <t>UPPSALA LÄN</t>
        </is>
      </c>
      <c r="G1167" t="inlineStr">
        <is>
          <t>TIERP</t>
        </is>
      </c>
      <c r="H1167" t="inlineStr">
        <is>
          <t>Bergvik skog öst AB</t>
        </is>
      </c>
      <c r="I1167" t="n">
        <v>0.3</v>
      </c>
      <c r="J1167" t="n">
        <v>0</v>
      </c>
      <c r="K1167" t="n">
        <v>0</v>
      </c>
      <c r="L1167" t="n">
        <v>0</v>
      </c>
      <c r="M1167" t="n">
        <v>0</v>
      </c>
      <c r="N1167" t="n">
        <v>0</v>
      </c>
      <c r="O1167" t="n">
        <v>0</v>
      </c>
      <c r="P1167" t="n">
        <v>0</v>
      </c>
      <c r="Q1167" t="n">
        <v>0</v>
      </c>
      <c r="R1167" t="n">
        <v>0</v>
      </c>
      <c r="S1167" t="n">
        <v>0</v>
      </c>
      <c r="T1167" t="n">
        <v>0</v>
      </c>
      <c r="U1167" t="n">
        <v>0</v>
      </c>
      <c r="V1167" s="2" t="inlineStr"/>
    </row>
    <row r="1168" ht="15" customHeight="1">
      <c r="A1168" t="inlineStr">
        <is>
          <t>A 6677-2024</t>
        </is>
      </c>
      <c r="B1168" t="inlineStr">
        <is>
          <t>avverkningsanmälan</t>
        </is>
      </c>
      <c r="C1168" t="inlineStr">
        <is>
          <t>Föryngringsavverkning</t>
        </is>
      </c>
      <c r="D1168" s="1" t="n">
        <v>45341</v>
      </c>
      <c r="E1168" s="1" t="n">
        <v>46309</v>
      </c>
      <c r="F1168" t="inlineStr">
        <is>
          <t>UPPSALA LÄN</t>
        </is>
      </c>
      <c r="G1168" t="inlineStr">
        <is>
          <t>UPPSALA</t>
        </is>
      </c>
      <c r="H1168" t="inlineStr">
        <is>
          <t>Bergvik skog öst AB</t>
        </is>
      </c>
      <c r="I1168" t="n">
        <v>0.5</v>
      </c>
      <c r="J1168" t="n">
        <v>0</v>
      </c>
      <c r="K1168" t="n">
        <v>0</v>
      </c>
      <c r="L1168" t="n">
        <v>0</v>
      </c>
      <c r="M1168" t="n">
        <v>0</v>
      </c>
      <c r="N1168" t="n">
        <v>0</v>
      </c>
      <c r="O1168" t="n">
        <v>0</v>
      </c>
      <c r="P1168" t="n">
        <v>0</v>
      </c>
      <c r="Q1168" t="n">
        <v>0</v>
      </c>
      <c r="R1168" t="n">
        <v>0</v>
      </c>
      <c r="S1168" t="n">
        <v>0</v>
      </c>
      <c r="T1168" t="n">
        <v>0</v>
      </c>
      <c r="U1168" t="n">
        <v>0</v>
      </c>
      <c r="V1168" s="2" t="inlineStr"/>
    </row>
    <row r="1169" ht="15" customHeight="1">
      <c r="A1169" t="inlineStr">
        <is>
          <t>A 24916-2025</t>
        </is>
      </c>
      <c r="B1169" t="inlineStr">
        <is>
          <t>avverkningsanmälan</t>
        </is>
      </c>
      <c r="C1169" t="inlineStr">
        <is>
          <t>Föryngringsavverkning</t>
        </is>
      </c>
      <c r="D1169" s="1" t="n">
        <v>45799</v>
      </c>
      <c r="E1169" s="1" t="n">
        <v>46309</v>
      </c>
      <c r="F1169" t="inlineStr">
        <is>
          <t>UPPSALA LÄN</t>
        </is>
      </c>
      <c r="G1169" t="inlineStr">
        <is>
          <t>UPPSALA</t>
        </is>
      </c>
      <c r="H1169" t="inlineStr">
        <is>
          <t>Sveaskog</t>
        </is>
      </c>
      <c r="I1169" t="n">
        <v>3.4</v>
      </c>
      <c r="J1169" t="n">
        <v>0</v>
      </c>
      <c r="K1169" t="n">
        <v>0</v>
      </c>
      <c r="L1169" t="n">
        <v>0</v>
      </c>
      <c r="M1169" t="n">
        <v>0</v>
      </c>
      <c r="N1169" t="n">
        <v>0</v>
      </c>
      <c r="O1169" t="n">
        <v>0</v>
      </c>
      <c r="P1169" t="n">
        <v>0</v>
      </c>
      <c r="Q1169" t="n">
        <v>0</v>
      </c>
      <c r="R1169" t="n">
        <v>0</v>
      </c>
      <c r="S1169" t="n">
        <v>0</v>
      </c>
      <c r="T1169" t="n">
        <v>0</v>
      </c>
      <c r="U1169" t="n">
        <v>0</v>
      </c>
      <c r="V1169" s="2" t="inlineStr"/>
    </row>
    <row r="1170" ht="15" customHeight="1">
      <c r="A1170" t="inlineStr">
        <is>
          <t>A 56260-2022</t>
        </is>
      </c>
      <c r="B1170" t="inlineStr">
        <is>
          <t>avverkningsanmälan</t>
        </is>
      </c>
      <c r="C1170" t="inlineStr">
        <is>
          <t>Avverkning för annat ändamål</t>
        </is>
      </c>
      <c r="D1170" s="1" t="n">
        <v>44890</v>
      </c>
      <c r="E1170" s="1" t="n">
        <v>46309</v>
      </c>
      <c r="F1170" t="inlineStr">
        <is>
          <t>UPPSALA LÄN</t>
        </is>
      </c>
      <c r="G1170" t="inlineStr">
        <is>
          <t>ÖSTHAMMAR</t>
        </is>
      </c>
      <c r="H1170" t="inlineStr">
        <is>
          <t>Bergvik skog öst AB</t>
        </is>
      </c>
      <c r="I1170" t="n">
        <v>0.5</v>
      </c>
      <c r="J1170" t="n">
        <v>0</v>
      </c>
      <c r="K1170" t="n">
        <v>0</v>
      </c>
      <c r="L1170" t="n">
        <v>0</v>
      </c>
      <c r="M1170" t="n">
        <v>0</v>
      </c>
      <c r="N1170" t="n">
        <v>0</v>
      </c>
      <c r="O1170" t="n">
        <v>0</v>
      </c>
      <c r="P1170" t="n">
        <v>0</v>
      </c>
      <c r="Q1170" t="n">
        <v>0</v>
      </c>
      <c r="R1170" t="n">
        <v>0</v>
      </c>
      <c r="S1170" t="n">
        <v>0</v>
      </c>
      <c r="T1170" t="n">
        <v>0</v>
      </c>
      <c r="U1170" t="n">
        <v>0</v>
      </c>
      <c r="V1170" s="2" t="inlineStr"/>
    </row>
    <row r="1171" ht="15" customHeight="1">
      <c r="A1171" t="inlineStr">
        <is>
          <t>A 58092-2024</t>
        </is>
      </c>
      <c r="B1171" t="inlineStr">
        <is>
          <t>avverkningsanmälan</t>
        </is>
      </c>
      <c r="C1171" t="inlineStr">
        <is>
          <t>Avverkning för annat ändamål</t>
        </is>
      </c>
      <c r="D1171" s="1" t="n">
        <v>45632</v>
      </c>
      <c r="E1171" s="1" t="n">
        <v>46309</v>
      </c>
      <c r="F1171" t="inlineStr">
        <is>
          <t>UPPSALA LÄN</t>
        </is>
      </c>
      <c r="G1171" t="inlineStr">
        <is>
          <t>ENKÖPING</t>
        </is>
      </c>
      <c r="I1171" t="n">
        <v>4.8</v>
      </c>
      <c r="J1171" t="n">
        <v>0</v>
      </c>
      <c r="K1171" t="n">
        <v>0</v>
      </c>
      <c r="L1171" t="n">
        <v>0</v>
      </c>
      <c r="M1171" t="n">
        <v>0</v>
      </c>
      <c r="N1171" t="n">
        <v>0</v>
      </c>
      <c r="O1171" t="n">
        <v>0</v>
      </c>
      <c r="P1171" t="n">
        <v>0</v>
      </c>
      <c r="Q1171" t="n">
        <v>0</v>
      </c>
      <c r="R1171" t="n">
        <v>0</v>
      </c>
      <c r="S1171" t="n">
        <v>0</v>
      </c>
      <c r="T1171" t="n">
        <v>0</v>
      </c>
      <c r="U1171" t="n">
        <v>0</v>
      </c>
      <c r="V1171" s="2" t="inlineStr"/>
    </row>
    <row r="1172" ht="15" customHeight="1">
      <c r="A1172" t="inlineStr">
        <is>
          <t>A 69377-2021</t>
        </is>
      </c>
      <c r="B1172" t="inlineStr">
        <is>
          <t>avverkningsanmälan</t>
        </is>
      </c>
      <c r="C1172" t="inlineStr">
        <is>
          <t>Föryngringsavverkning</t>
        </is>
      </c>
      <c r="D1172" s="1" t="n">
        <v>44531</v>
      </c>
      <c r="E1172" s="1" t="n">
        <v>46309</v>
      </c>
      <c r="F1172" t="inlineStr">
        <is>
          <t>UPPSALA LÄN</t>
        </is>
      </c>
      <c r="G1172" t="inlineStr">
        <is>
          <t>HEBY</t>
        </is>
      </c>
      <c r="I1172" t="n">
        <v>1.2</v>
      </c>
      <c r="J1172" t="n">
        <v>0</v>
      </c>
      <c r="K1172" t="n">
        <v>0</v>
      </c>
      <c r="L1172" t="n">
        <v>0</v>
      </c>
      <c r="M1172" t="n">
        <v>0</v>
      </c>
      <c r="N1172" t="n">
        <v>0</v>
      </c>
      <c r="O1172" t="n">
        <v>0</v>
      </c>
      <c r="P1172" t="n">
        <v>0</v>
      </c>
      <c r="Q1172" t="n">
        <v>0</v>
      </c>
      <c r="R1172" t="n">
        <v>0</v>
      </c>
      <c r="S1172" t="n">
        <v>0</v>
      </c>
      <c r="T1172" t="n">
        <v>0</v>
      </c>
      <c r="U1172" t="n">
        <v>0</v>
      </c>
      <c r="V1172" s="2" t="inlineStr"/>
    </row>
    <row r="1173" ht="15" customHeight="1">
      <c r="A1173" t="inlineStr">
        <is>
          <t>A 47422-2022</t>
        </is>
      </c>
      <c r="B1173" t="inlineStr">
        <is>
          <t>avverkningsanmälan</t>
        </is>
      </c>
      <c r="C1173" t="inlineStr">
        <is>
          <t>Föryngringsavverkning</t>
        </is>
      </c>
      <c r="D1173" s="1" t="n">
        <v>44853</v>
      </c>
      <c r="E1173" s="1" t="n">
        <v>46309</v>
      </c>
      <c r="F1173" t="inlineStr">
        <is>
          <t>UPPSALA LÄN</t>
        </is>
      </c>
      <c r="G1173" t="inlineStr">
        <is>
          <t>TIERP</t>
        </is>
      </c>
      <c r="I1173" t="n">
        <v>2.5</v>
      </c>
      <c r="J1173" t="n">
        <v>0</v>
      </c>
      <c r="K1173" t="n">
        <v>0</v>
      </c>
      <c r="L1173" t="n">
        <v>0</v>
      </c>
      <c r="M1173" t="n">
        <v>0</v>
      </c>
      <c r="N1173" t="n">
        <v>0</v>
      </c>
      <c r="O1173" t="n">
        <v>0</v>
      </c>
      <c r="P1173" t="n">
        <v>0</v>
      </c>
      <c r="Q1173" t="n">
        <v>0</v>
      </c>
      <c r="R1173" t="n">
        <v>0</v>
      </c>
      <c r="S1173" t="n">
        <v>0</v>
      </c>
      <c r="T1173" t="n">
        <v>0</v>
      </c>
      <c r="U1173" t="n">
        <v>0</v>
      </c>
      <c r="V1173" s="2" t="inlineStr"/>
    </row>
    <row r="1174" ht="15" customHeight="1">
      <c r="A1174" t="inlineStr">
        <is>
          <t>A 6497-2024</t>
        </is>
      </c>
      <c r="B1174" t="inlineStr">
        <is>
          <t>avverkningsanmälan</t>
        </is>
      </c>
      <c r="C1174" t="inlineStr">
        <is>
          <t>Föryngringsavverkning</t>
        </is>
      </c>
      <c r="D1174" s="1" t="n">
        <v>45339</v>
      </c>
      <c r="E1174" s="1" t="n">
        <v>46309</v>
      </c>
      <c r="F1174" t="inlineStr">
        <is>
          <t>UPPSALA LÄN</t>
        </is>
      </c>
      <c r="G1174" t="inlineStr">
        <is>
          <t>HEBY</t>
        </is>
      </c>
      <c r="I1174" t="n">
        <v>1.1</v>
      </c>
      <c r="J1174" t="n">
        <v>0</v>
      </c>
      <c r="K1174" t="n">
        <v>0</v>
      </c>
      <c r="L1174" t="n">
        <v>0</v>
      </c>
      <c r="M1174" t="n">
        <v>0</v>
      </c>
      <c r="N1174" t="n">
        <v>0</v>
      </c>
      <c r="O1174" t="n">
        <v>0</v>
      </c>
      <c r="P1174" t="n">
        <v>0</v>
      </c>
      <c r="Q1174" t="n">
        <v>0</v>
      </c>
      <c r="R1174" t="n">
        <v>0</v>
      </c>
      <c r="S1174" t="n">
        <v>0</v>
      </c>
      <c r="T1174" t="n">
        <v>0</v>
      </c>
      <c r="U1174" t="n">
        <v>0</v>
      </c>
      <c r="V1174" s="2" t="inlineStr"/>
    </row>
    <row r="1175" ht="15" customHeight="1">
      <c r="A1175" t="inlineStr">
        <is>
          <t>A 31101-2024</t>
        </is>
      </c>
      <c r="B1175" t="inlineStr">
        <is>
          <t>avverkningsanmälan</t>
        </is>
      </c>
      <c r="C1175" t="inlineStr">
        <is>
          <t>Föryngringsavverkning</t>
        </is>
      </c>
      <c r="D1175" s="1" t="n">
        <v>45502</v>
      </c>
      <c r="E1175" s="1" t="n">
        <v>46309</v>
      </c>
      <c r="F1175" t="inlineStr">
        <is>
          <t>UPPSALA LÄN</t>
        </is>
      </c>
      <c r="G1175" t="inlineStr">
        <is>
          <t>HEBY</t>
        </is>
      </c>
      <c r="I1175" t="n">
        <v>1</v>
      </c>
      <c r="J1175" t="n">
        <v>0</v>
      </c>
      <c r="K1175" t="n">
        <v>0</v>
      </c>
      <c r="L1175" t="n">
        <v>0</v>
      </c>
      <c r="M1175" t="n">
        <v>0</v>
      </c>
      <c r="N1175" t="n">
        <v>0</v>
      </c>
      <c r="O1175" t="n">
        <v>0</v>
      </c>
      <c r="P1175" t="n">
        <v>0</v>
      </c>
      <c r="Q1175" t="n">
        <v>0</v>
      </c>
      <c r="R1175" t="n">
        <v>0</v>
      </c>
      <c r="S1175" t="n">
        <v>0</v>
      </c>
      <c r="T1175" t="n">
        <v>0</v>
      </c>
      <c r="U1175" t="n">
        <v>0</v>
      </c>
      <c r="V1175" s="2" t="inlineStr"/>
    </row>
    <row r="1176" ht="15" customHeight="1">
      <c r="A1176" t="inlineStr">
        <is>
          <t>A 32928-2025</t>
        </is>
      </c>
      <c r="B1176" t="inlineStr">
        <is>
          <t>avverkningsanmälan</t>
        </is>
      </c>
      <c r="C1176" t="inlineStr">
        <is>
          <t>Föryngringsavverkning</t>
        </is>
      </c>
      <c r="D1176" s="1" t="n">
        <v>45839</v>
      </c>
      <c r="E1176" s="1" t="n">
        <v>46309</v>
      </c>
      <c r="F1176" t="inlineStr">
        <is>
          <t>UPPSALA LÄN</t>
        </is>
      </c>
      <c r="G1176" t="inlineStr">
        <is>
          <t>UPPSALA</t>
        </is>
      </c>
      <c r="I1176" t="n">
        <v>0.8</v>
      </c>
      <c r="J1176" t="n">
        <v>0</v>
      </c>
      <c r="K1176" t="n">
        <v>0</v>
      </c>
      <c r="L1176" t="n">
        <v>0</v>
      </c>
      <c r="M1176" t="n">
        <v>0</v>
      </c>
      <c r="N1176" t="n">
        <v>0</v>
      </c>
      <c r="O1176" t="n">
        <v>0</v>
      </c>
      <c r="P1176" t="n">
        <v>0</v>
      </c>
      <c r="Q1176" t="n">
        <v>0</v>
      </c>
      <c r="R1176" t="n">
        <v>0</v>
      </c>
      <c r="S1176" t="n">
        <v>0</v>
      </c>
      <c r="T1176" t="n">
        <v>0</v>
      </c>
      <c r="U1176" t="n">
        <v>0</v>
      </c>
      <c r="V1176" s="2" t="inlineStr"/>
    </row>
    <row r="1177" ht="15" customHeight="1">
      <c r="A1177" t="inlineStr">
        <is>
          <t>A 2162-2023</t>
        </is>
      </c>
      <c r="B1177" t="inlineStr">
        <is>
          <t>avverkningsanmälan</t>
        </is>
      </c>
      <c r="C1177" t="inlineStr">
        <is>
          <t>Föryngringsavverkning</t>
        </is>
      </c>
      <c r="D1177" s="1" t="n">
        <v>44941</v>
      </c>
      <c r="E1177" s="1" t="n">
        <v>46309</v>
      </c>
      <c r="F1177" t="inlineStr">
        <is>
          <t>UPPSALA LÄN</t>
        </is>
      </c>
      <c r="G1177" t="inlineStr">
        <is>
          <t>ENKÖPING</t>
        </is>
      </c>
      <c r="I1177" t="n">
        <v>2.4</v>
      </c>
      <c r="J1177" t="n">
        <v>0</v>
      </c>
      <c r="K1177" t="n">
        <v>0</v>
      </c>
      <c r="L1177" t="n">
        <v>0</v>
      </c>
      <c r="M1177" t="n">
        <v>0</v>
      </c>
      <c r="N1177" t="n">
        <v>0</v>
      </c>
      <c r="O1177" t="n">
        <v>0</v>
      </c>
      <c r="P1177" t="n">
        <v>0</v>
      </c>
      <c r="Q1177" t="n">
        <v>0</v>
      </c>
      <c r="R1177" t="n">
        <v>0</v>
      </c>
      <c r="S1177" t="n">
        <v>0</v>
      </c>
      <c r="T1177" t="n">
        <v>0</v>
      </c>
      <c r="U1177" t="n">
        <v>0</v>
      </c>
      <c r="V1177" s="2" t="inlineStr"/>
    </row>
    <row r="1178" ht="15" customHeight="1">
      <c r="A1178" t="inlineStr">
        <is>
          <t>A 12828-2025</t>
        </is>
      </c>
      <c r="B1178" t="inlineStr">
        <is>
          <t>avverkningsanmälan</t>
        </is>
      </c>
      <c r="C1178" t="inlineStr">
        <is>
          <t>Föryngringsavverkning</t>
        </is>
      </c>
      <c r="D1178" s="1" t="n">
        <v>45733</v>
      </c>
      <c r="E1178" s="1" t="n">
        <v>46309</v>
      </c>
      <c r="F1178" t="inlineStr">
        <is>
          <t>UPPSALA LÄN</t>
        </is>
      </c>
      <c r="G1178" t="inlineStr">
        <is>
          <t>UPPSALA</t>
        </is>
      </c>
      <c r="I1178" t="n">
        <v>5.3</v>
      </c>
      <c r="J1178" t="n">
        <v>0</v>
      </c>
      <c r="K1178" t="n">
        <v>0</v>
      </c>
      <c r="L1178" t="n">
        <v>0</v>
      </c>
      <c r="M1178" t="n">
        <v>0</v>
      </c>
      <c r="N1178" t="n">
        <v>0</v>
      </c>
      <c r="O1178" t="n">
        <v>0</v>
      </c>
      <c r="P1178" t="n">
        <v>0</v>
      </c>
      <c r="Q1178" t="n">
        <v>0</v>
      </c>
      <c r="R1178" t="n">
        <v>0</v>
      </c>
      <c r="S1178" t="n">
        <v>0</v>
      </c>
      <c r="T1178" t="n">
        <v>0</v>
      </c>
      <c r="U1178" t="n">
        <v>0</v>
      </c>
      <c r="V1178" s="2" t="inlineStr"/>
    </row>
    <row r="1179" ht="15" customHeight="1">
      <c r="A1179" t="inlineStr">
        <is>
          <t>A 38831-2024</t>
        </is>
      </c>
      <c r="B1179" t="inlineStr">
        <is>
          <t>avverkningsanmälan</t>
        </is>
      </c>
      <c r="C1179" t="inlineStr">
        <is>
          <t>Föryngringsavverkning</t>
        </is>
      </c>
      <c r="D1179" s="1" t="n">
        <v>45547</v>
      </c>
      <c r="E1179" s="1" t="n">
        <v>46309</v>
      </c>
      <c r="F1179" t="inlineStr">
        <is>
          <t>UPPSALA LÄN</t>
        </is>
      </c>
      <c r="G1179" t="inlineStr">
        <is>
          <t>HEBY</t>
        </is>
      </c>
      <c r="I1179" t="n">
        <v>3.2</v>
      </c>
      <c r="J1179" t="n">
        <v>0</v>
      </c>
      <c r="K1179" t="n">
        <v>0</v>
      </c>
      <c r="L1179" t="n">
        <v>0</v>
      </c>
      <c r="M1179" t="n">
        <v>0</v>
      </c>
      <c r="N1179" t="n">
        <v>0</v>
      </c>
      <c r="O1179" t="n">
        <v>0</v>
      </c>
      <c r="P1179" t="n">
        <v>0</v>
      </c>
      <c r="Q1179" t="n">
        <v>0</v>
      </c>
      <c r="R1179" t="n">
        <v>0</v>
      </c>
      <c r="S1179" t="n">
        <v>0</v>
      </c>
      <c r="T1179" t="n">
        <v>0</v>
      </c>
      <c r="U1179" t="n">
        <v>0</v>
      </c>
      <c r="V1179" s="2" t="inlineStr"/>
    </row>
    <row r="1180" ht="15" customHeight="1">
      <c r="A1180" t="inlineStr">
        <is>
          <t>A 24913-2025</t>
        </is>
      </c>
      <c r="B1180" t="inlineStr">
        <is>
          <t>avverkningsanmälan</t>
        </is>
      </c>
      <c r="C1180" t="inlineStr">
        <is>
          <t>Föryngringsavverkning</t>
        </is>
      </c>
      <c r="D1180" s="1" t="n">
        <v>45799</v>
      </c>
      <c r="E1180" s="1" t="n">
        <v>46309</v>
      </c>
      <c r="F1180" t="inlineStr">
        <is>
          <t>UPPSALA LÄN</t>
        </is>
      </c>
      <c r="G1180" t="inlineStr">
        <is>
          <t>UPPSALA</t>
        </is>
      </c>
      <c r="H1180" t="inlineStr">
        <is>
          <t>Sveaskog</t>
        </is>
      </c>
      <c r="I1180" t="n">
        <v>4.9</v>
      </c>
      <c r="J1180" t="n">
        <v>0</v>
      </c>
      <c r="K1180" t="n">
        <v>0</v>
      </c>
      <c r="L1180" t="n">
        <v>0</v>
      </c>
      <c r="M1180" t="n">
        <v>0</v>
      </c>
      <c r="N1180" t="n">
        <v>0</v>
      </c>
      <c r="O1180" t="n">
        <v>0</v>
      </c>
      <c r="P1180" t="n">
        <v>0</v>
      </c>
      <c r="Q1180" t="n">
        <v>0</v>
      </c>
      <c r="R1180" t="n">
        <v>0</v>
      </c>
      <c r="S1180" t="n">
        <v>0</v>
      </c>
      <c r="T1180" t="n">
        <v>0</v>
      </c>
      <c r="U1180" t="n">
        <v>0</v>
      </c>
      <c r="V1180" s="2" t="inlineStr"/>
    </row>
    <row r="1181" ht="15" customHeight="1">
      <c r="A1181" t="inlineStr">
        <is>
          <t>A 61152-2024</t>
        </is>
      </c>
      <c r="B1181" t="inlineStr">
        <is>
          <t>avverkningsanmälan</t>
        </is>
      </c>
      <c r="C1181" t="inlineStr">
        <is>
          <t>Föryngringsavverkning</t>
        </is>
      </c>
      <c r="D1181" s="1" t="n">
        <v>45645</v>
      </c>
      <c r="E1181" s="1" t="n">
        <v>46309</v>
      </c>
      <c r="F1181" t="inlineStr">
        <is>
          <t>UPPSALA LÄN</t>
        </is>
      </c>
      <c r="G1181" t="inlineStr">
        <is>
          <t>TIERP</t>
        </is>
      </c>
      <c r="H1181" t="inlineStr">
        <is>
          <t>Bergvik skog väst AB</t>
        </is>
      </c>
      <c r="I1181" t="n">
        <v>4.8</v>
      </c>
      <c r="J1181" t="n">
        <v>0</v>
      </c>
      <c r="K1181" t="n">
        <v>0</v>
      </c>
      <c r="L1181" t="n">
        <v>0</v>
      </c>
      <c r="M1181" t="n">
        <v>0</v>
      </c>
      <c r="N1181" t="n">
        <v>0</v>
      </c>
      <c r="O1181" t="n">
        <v>0</v>
      </c>
      <c r="P1181" t="n">
        <v>0</v>
      </c>
      <c r="Q1181" t="n">
        <v>0</v>
      </c>
      <c r="R1181" t="n">
        <v>0</v>
      </c>
      <c r="S1181" t="n">
        <v>0</v>
      </c>
      <c r="T1181" t="n">
        <v>0</v>
      </c>
      <c r="U1181" t="n">
        <v>0</v>
      </c>
      <c r="V1181" s="2" t="inlineStr"/>
    </row>
    <row r="1182" ht="15" customHeight="1">
      <c r="A1182" t="inlineStr">
        <is>
          <t>A 61156-2024</t>
        </is>
      </c>
      <c r="B1182" t="inlineStr">
        <is>
          <t>avverkningsanmälan</t>
        </is>
      </c>
      <c r="C1182" t="inlineStr">
        <is>
          <t>Föryngringsavverkning</t>
        </is>
      </c>
      <c r="D1182" s="1" t="n">
        <v>45645</v>
      </c>
      <c r="E1182" s="1" t="n">
        <v>46309</v>
      </c>
      <c r="F1182" t="inlineStr">
        <is>
          <t>UPPSALA LÄN</t>
        </is>
      </c>
      <c r="G1182" t="inlineStr">
        <is>
          <t>TIERP</t>
        </is>
      </c>
      <c r="H1182" t="inlineStr">
        <is>
          <t>Bergvik skog väst AB</t>
        </is>
      </c>
      <c r="I1182" t="n">
        <v>10.6</v>
      </c>
      <c r="J1182" t="n">
        <v>0</v>
      </c>
      <c r="K1182" t="n">
        <v>0</v>
      </c>
      <c r="L1182" t="n">
        <v>0</v>
      </c>
      <c r="M1182" t="n">
        <v>0</v>
      </c>
      <c r="N1182" t="n">
        <v>0</v>
      </c>
      <c r="O1182" t="n">
        <v>0</v>
      </c>
      <c r="P1182" t="n">
        <v>0</v>
      </c>
      <c r="Q1182" t="n">
        <v>0</v>
      </c>
      <c r="R1182" t="n">
        <v>0</v>
      </c>
      <c r="S1182" t="n">
        <v>0</v>
      </c>
      <c r="T1182" t="n">
        <v>0</v>
      </c>
      <c r="U1182" t="n">
        <v>0</v>
      </c>
      <c r="V1182" s="2" t="inlineStr"/>
    </row>
    <row r="1183" ht="15" customHeight="1">
      <c r="A1183" t="inlineStr">
        <is>
          <t>A 2364-2026</t>
        </is>
      </c>
      <c r="B1183" t="inlineStr">
        <is>
          <t>avverkningsanmälan</t>
        </is>
      </c>
      <c r="C1183" t="inlineStr">
        <is>
          <t>Föryngringsavverkning</t>
        </is>
      </c>
      <c r="D1183" s="1" t="n">
        <v>46034</v>
      </c>
      <c r="E1183" s="1" t="n">
        <v>46309</v>
      </c>
      <c r="F1183" t="inlineStr">
        <is>
          <t>UPPSALA LÄN</t>
        </is>
      </c>
      <c r="G1183" t="inlineStr">
        <is>
          <t>TIERP</t>
        </is>
      </c>
      <c r="I1183" t="n">
        <v>3.2</v>
      </c>
      <c r="J1183" t="n">
        <v>0</v>
      </c>
      <c r="K1183" t="n">
        <v>0</v>
      </c>
      <c r="L1183" t="n">
        <v>0</v>
      </c>
      <c r="M1183" t="n">
        <v>0</v>
      </c>
      <c r="N1183" t="n">
        <v>0</v>
      </c>
      <c r="O1183" t="n">
        <v>0</v>
      </c>
      <c r="P1183" t="n">
        <v>0</v>
      </c>
      <c r="Q1183" t="n">
        <v>0</v>
      </c>
      <c r="R1183" t="n">
        <v>0</v>
      </c>
      <c r="S1183" t="n">
        <v>0</v>
      </c>
      <c r="T1183" t="n">
        <v>0</v>
      </c>
      <c r="U1183" t="n">
        <v>0</v>
      </c>
      <c r="V1183" s="2" t="inlineStr"/>
    </row>
    <row r="1184" ht="15" customHeight="1">
      <c r="A1184" t="inlineStr">
        <is>
          <t>A 6630-2024</t>
        </is>
      </c>
      <c r="B1184" t="inlineStr">
        <is>
          <t>avverkningsanmälan</t>
        </is>
      </c>
      <c r="C1184" t="inlineStr">
        <is>
          <t>Föryngringsavverkning</t>
        </is>
      </c>
      <c r="D1184" s="1" t="n">
        <v>45341</v>
      </c>
      <c r="E1184" s="1" t="n">
        <v>46309</v>
      </c>
      <c r="F1184" t="inlineStr">
        <is>
          <t>UPPSALA LÄN</t>
        </is>
      </c>
      <c r="G1184" t="inlineStr">
        <is>
          <t>UPPSALA</t>
        </is>
      </c>
      <c r="I1184" t="n">
        <v>1.7</v>
      </c>
      <c r="J1184" t="n">
        <v>0</v>
      </c>
      <c r="K1184" t="n">
        <v>0</v>
      </c>
      <c r="L1184" t="n">
        <v>0</v>
      </c>
      <c r="M1184" t="n">
        <v>0</v>
      </c>
      <c r="N1184" t="n">
        <v>0</v>
      </c>
      <c r="O1184" t="n">
        <v>0</v>
      </c>
      <c r="P1184" t="n">
        <v>0</v>
      </c>
      <c r="Q1184" t="n">
        <v>0</v>
      </c>
      <c r="R1184" t="n">
        <v>0</v>
      </c>
      <c r="S1184" t="n">
        <v>0</v>
      </c>
      <c r="T1184" t="n">
        <v>0</v>
      </c>
      <c r="U1184" t="n">
        <v>0</v>
      </c>
      <c r="V1184" s="2" t="inlineStr"/>
    </row>
    <row r="1185" ht="15" customHeight="1">
      <c r="A1185" t="inlineStr">
        <is>
          <t>A 25030-2025</t>
        </is>
      </c>
      <c r="B1185" t="inlineStr">
        <is>
          <t>avverkningsanmälan</t>
        </is>
      </c>
      <c r="C1185" t="inlineStr">
        <is>
          <t>Föryngringsavverkning</t>
        </is>
      </c>
      <c r="D1185" s="1" t="n">
        <v>45799</v>
      </c>
      <c r="E1185" s="1" t="n">
        <v>46309</v>
      </c>
      <c r="F1185" t="inlineStr">
        <is>
          <t>UPPSALA LÄN</t>
        </is>
      </c>
      <c r="G1185" t="inlineStr">
        <is>
          <t>UPPSALA</t>
        </is>
      </c>
      <c r="H1185" t="inlineStr">
        <is>
          <t>Sveaskog</t>
        </is>
      </c>
      <c r="I1185" t="n">
        <v>6</v>
      </c>
      <c r="J1185" t="n">
        <v>0</v>
      </c>
      <c r="K1185" t="n">
        <v>0</v>
      </c>
      <c r="L1185" t="n">
        <v>0</v>
      </c>
      <c r="M1185" t="n">
        <v>0</v>
      </c>
      <c r="N1185" t="n">
        <v>0</v>
      </c>
      <c r="O1185" t="n">
        <v>0</v>
      </c>
      <c r="P1185" t="n">
        <v>0</v>
      </c>
      <c r="Q1185" t="n">
        <v>0</v>
      </c>
      <c r="R1185" t="n">
        <v>0</v>
      </c>
      <c r="S1185" t="n">
        <v>0</v>
      </c>
      <c r="T1185" t="n">
        <v>0</v>
      </c>
      <c r="U1185" t="n">
        <v>0</v>
      </c>
      <c r="V1185" s="2" t="inlineStr"/>
    </row>
    <row r="1186" ht="15" customHeight="1">
      <c r="A1186" t="inlineStr">
        <is>
          <t>A 28318-2024</t>
        </is>
      </c>
      <c r="B1186" t="inlineStr">
        <is>
          <t>avverkningsanmälan</t>
        </is>
      </c>
      <c r="C1186" t="inlineStr">
        <is>
          <t>Föryngringsavverkning</t>
        </is>
      </c>
      <c r="D1186" s="1" t="n">
        <v>45477</v>
      </c>
      <c r="E1186" s="1" t="n">
        <v>46309</v>
      </c>
      <c r="F1186" t="inlineStr">
        <is>
          <t>UPPSALA LÄN</t>
        </is>
      </c>
      <c r="G1186" t="inlineStr">
        <is>
          <t>ENKÖPING</t>
        </is>
      </c>
      <c r="I1186" t="n">
        <v>0.5</v>
      </c>
      <c r="J1186" t="n">
        <v>0</v>
      </c>
      <c r="K1186" t="n">
        <v>0</v>
      </c>
      <c r="L1186" t="n">
        <v>0</v>
      </c>
      <c r="M1186" t="n">
        <v>0</v>
      </c>
      <c r="N1186" t="n">
        <v>0</v>
      </c>
      <c r="O1186" t="n">
        <v>0</v>
      </c>
      <c r="P1186" t="n">
        <v>0</v>
      </c>
      <c r="Q1186" t="n">
        <v>0</v>
      </c>
      <c r="R1186" t="n">
        <v>0</v>
      </c>
      <c r="S1186" t="n">
        <v>0</v>
      </c>
      <c r="T1186" t="n">
        <v>0</v>
      </c>
      <c r="U1186" t="n">
        <v>0</v>
      </c>
      <c r="V1186" s="2" t="inlineStr"/>
    </row>
    <row r="1187" ht="15" customHeight="1">
      <c r="A1187" t="inlineStr">
        <is>
          <t>A 39409-2025</t>
        </is>
      </c>
      <c r="B1187" t="inlineStr">
        <is>
          <t>avverkningsanmälan</t>
        </is>
      </c>
      <c r="C1187" t="inlineStr">
        <is>
          <t>Föryngringsavverkning</t>
        </is>
      </c>
      <c r="D1187" s="1" t="n">
        <v>45889</v>
      </c>
      <c r="E1187" s="1" t="n">
        <v>46309</v>
      </c>
      <c r="F1187" t="inlineStr">
        <is>
          <t>UPPSALA LÄN</t>
        </is>
      </c>
      <c r="G1187" t="inlineStr">
        <is>
          <t>HEBY</t>
        </is>
      </c>
      <c r="H1187" t="inlineStr">
        <is>
          <t>Bergvik skog väst AB</t>
        </is>
      </c>
      <c r="I1187" t="n">
        <v>16</v>
      </c>
      <c r="J1187" t="n">
        <v>0</v>
      </c>
      <c r="K1187" t="n">
        <v>0</v>
      </c>
      <c r="L1187" t="n">
        <v>0</v>
      </c>
      <c r="M1187" t="n">
        <v>0</v>
      </c>
      <c r="N1187" t="n">
        <v>0</v>
      </c>
      <c r="O1187" t="n">
        <v>0</v>
      </c>
      <c r="P1187" t="n">
        <v>0</v>
      </c>
      <c r="Q1187" t="n">
        <v>0</v>
      </c>
      <c r="R1187" t="n">
        <v>0</v>
      </c>
      <c r="S1187" t="n">
        <v>0</v>
      </c>
      <c r="T1187" t="n">
        <v>0</v>
      </c>
      <c r="U1187" t="n">
        <v>0</v>
      </c>
      <c r="V1187" s="2" t="inlineStr"/>
    </row>
    <row r="1188" ht="15" customHeight="1">
      <c r="A1188" t="inlineStr">
        <is>
          <t>A 34835-2024</t>
        </is>
      </c>
      <c r="B1188" t="inlineStr">
        <is>
          <t>avverkningsanmälan</t>
        </is>
      </c>
      <c r="C1188" t="inlineStr">
        <is>
          <t>Föryngringsavverkning</t>
        </is>
      </c>
      <c r="D1188" s="1" t="n">
        <v>45526</v>
      </c>
      <c r="E1188" s="1" t="n">
        <v>46309</v>
      </c>
      <c r="F1188" t="inlineStr">
        <is>
          <t>UPPSALA LÄN</t>
        </is>
      </c>
      <c r="G1188" t="inlineStr">
        <is>
          <t>TIERP</t>
        </is>
      </c>
      <c r="I1188" t="n">
        <v>1.5</v>
      </c>
      <c r="J1188" t="n">
        <v>0</v>
      </c>
      <c r="K1188" t="n">
        <v>0</v>
      </c>
      <c r="L1188" t="n">
        <v>0</v>
      </c>
      <c r="M1188" t="n">
        <v>0</v>
      </c>
      <c r="N1188" t="n">
        <v>0</v>
      </c>
      <c r="O1188" t="n">
        <v>0</v>
      </c>
      <c r="P1188" t="n">
        <v>0</v>
      </c>
      <c r="Q1188" t="n">
        <v>0</v>
      </c>
      <c r="R1188" t="n">
        <v>0</v>
      </c>
      <c r="S1188" t="n">
        <v>0</v>
      </c>
      <c r="T1188" t="n">
        <v>0</v>
      </c>
      <c r="U1188" t="n">
        <v>0</v>
      </c>
      <c r="V1188" s="2" t="inlineStr"/>
    </row>
    <row r="1189" ht="15" customHeight="1">
      <c r="A1189" t="inlineStr">
        <is>
          <t>A 24411-2024</t>
        </is>
      </c>
      <c r="B1189" t="inlineStr">
        <is>
          <t>avverkningsanmälan</t>
        </is>
      </c>
      <c r="C1189" t="inlineStr">
        <is>
          <t>Föryngringsavverkning</t>
        </is>
      </c>
      <c r="D1189" s="1" t="n">
        <v>45457</v>
      </c>
      <c r="E1189" s="1" t="n">
        <v>46309</v>
      </c>
      <c r="F1189" t="inlineStr">
        <is>
          <t>UPPSALA LÄN</t>
        </is>
      </c>
      <c r="G1189" t="inlineStr">
        <is>
          <t>ENKÖPING</t>
        </is>
      </c>
      <c r="I1189" t="n">
        <v>0.7</v>
      </c>
      <c r="J1189" t="n">
        <v>0</v>
      </c>
      <c r="K1189" t="n">
        <v>0</v>
      </c>
      <c r="L1189" t="n">
        <v>0</v>
      </c>
      <c r="M1189" t="n">
        <v>0</v>
      </c>
      <c r="N1189" t="n">
        <v>0</v>
      </c>
      <c r="O1189" t="n">
        <v>0</v>
      </c>
      <c r="P1189" t="n">
        <v>0</v>
      </c>
      <c r="Q1189" t="n">
        <v>0</v>
      </c>
      <c r="R1189" t="n">
        <v>0</v>
      </c>
      <c r="S1189" t="n">
        <v>0</v>
      </c>
      <c r="T1189" t="n">
        <v>0</v>
      </c>
      <c r="U1189" t="n">
        <v>0</v>
      </c>
      <c r="V1189" s="2" t="inlineStr"/>
    </row>
    <row r="1190" ht="15" customHeight="1">
      <c r="A1190" t="inlineStr">
        <is>
          <t>A 25280-2023</t>
        </is>
      </c>
      <c r="B1190" t="inlineStr">
        <is>
          <t>avverkningsanmälan</t>
        </is>
      </c>
      <c r="C1190" t="inlineStr">
        <is>
          <t>Föryngringsavverkning</t>
        </is>
      </c>
      <c r="D1190" s="1" t="n">
        <v>45086</v>
      </c>
      <c r="E1190" s="1" t="n">
        <v>46309</v>
      </c>
      <c r="F1190" t="inlineStr">
        <is>
          <t>UPPSALA LÄN</t>
        </is>
      </c>
      <c r="G1190" t="inlineStr">
        <is>
          <t>UPPSALA</t>
        </is>
      </c>
      <c r="H1190" t="inlineStr">
        <is>
          <t>Holmen skog AB</t>
        </is>
      </c>
      <c r="I1190" t="n">
        <v>3.2</v>
      </c>
      <c r="J1190" t="n">
        <v>0</v>
      </c>
      <c r="K1190" t="n">
        <v>0</v>
      </c>
      <c r="L1190" t="n">
        <v>0</v>
      </c>
      <c r="M1190" t="n">
        <v>0</v>
      </c>
      <c r="N1190" t="n">
        <v>0</v>
      </c>
      <c r="O1190" t="n">
        <v>0</v>
      </c>
      <c r="P1190" t="n">
        <v>0</v>
      </c>
      <c r="Q1190" t="n">
        <v>0</v>
      </c>
      <c r="R1190" t="n">
        <v>0</v>
      </c>
      <c r="S1190" t="n">
        <v>0</v>
      </c>
      <c r="T1190" t="n">
        <v>0</v>
      </c>
      <c r="U1190" t="n">
        <v>0</v>
      </c>
      <c r="V1190" s="2" t="inlineStr"/>
    </row>
    <row r="1191" ht="15" customHeight="1">
      <c r="A1191" t="inlineStr">
        <is>
          <t>A 10551-2024</t>
        </is>
      </c>
      <c r="B1191" t="inlineStr">
        <is>
          <t>avverkningsanmälan</t>
        </is>
      </c>
      <c r="C1191" t="inlineStr">
        <is>
          <t>Föryngringsavverkning</t>
        </is>
      </c>
      <c r="D1191" s="1" t="n">
        <v>45366</v>
      </c>
      <c r="E1191" s="1" t="n">
        <v>46309</v>
      </c>
      <c r="F1191" t="inlineStr">
        <is>
          <t>UPPSALA LÄN</t>
        </is>
      </c>
      <c r="G1191" t="inlineStr">
        <is>
          <t>TIERP</t>
        </is>
      </c>
      <c r="I1191" t="n">
        <v>1.4</v>
      </c>
      <c r="J1191" t="n">
        <v>0</v>
      </c>
      <c r="K1191" t="n">
        <v>0</v>
      </c>
      <c r="L1191" t="n">
        <v>0</v>
      </c>
      <c r="M1191" t="n">
        <v>0</v>
      </c>
      <c r="N1191" t="n">
        <v>0</v>
      </c>
      <c r="O1191" t="n">
        <v>0</v>
      </c>
      <c r="P1191" t="n">
        <v>0</v>
      </c>
      <c r="Q1191" t="n">
        <v>0</v>
      </c>
      <c r="R1191" t="n">
        <v>0</v>
      </c>
      <c r="S1191" t="n">
        <v>0</v>
      </c>
      <c r="T1191" t="n">
        <v>0</v>
      </c>
      <c r="U1191" t="n">
        <v>0</v>
      </c>
      <c r="V1191" s="2" t="inlineStr"/>
    </row>
    <row r="1192" ht="15" customHeight="1">
      <c r="A1192" t="inlineStr">
        <is>
          <t>A 25968-2025</t>
        </is>
      </c>
      <c r="B1192" t="inlineStr">
        <is>
          <t>avverkningsanmälan</t>
        </is>
      </c>
      <c r="C1192" t="inlineStr">
        <is>
          <t>Föryngringsavverkning</t>
        </is>
      </c>
      <c r="D1192" s="1" t="n">
        <v>45804</v>
      </c>
      <c r="E1192" s="1" t="n">
        <v>46309</v>
      </c>
      <c r="F1192" t="inlineStr">
        <is>
          <t>UPPSALA LÄN</t>
        </is>
      </c>
      <c r="G1192" t="inlineStr">
        <is>
          <t>HEBY</t>
        </is>
      </c>
      <c r="I1192" t="n">
        <v>2.2</v>
      </c>
      <c r="J1192" t="n">
        <v>0</v>
      </c>
      <c r="K1192" t="n">
        <v>0</v>
      </c>
      <c r="L1192" t="n">
        <v>0</v>
      </c>
      <c r="M1192" t="n">
        <v>0</v>
      </c>
      <c r="N1192" t="n">
        <v>0</v>
      </c>
      <c r="O1192" t="n">
        <v>0</v>
      </c>
      <c r="P1192" t="n">
        <v>0</v>
      </c>
      <c r="Q1192" t="n">
        <v>0</v>
      </c>
      <c r="R1192" t="n">
        <v>0</v>
      </c>
      <c r="S1192" t="n">
        <v>0</v>
      </c>
      <c r="T1192" t="n">
        <v>0</v>
      </c>
      <c r="U1192" t="n">
        <v>0</v>
      </c>
      <c r="V1192" s="2" t="inlineStr"/>
    </row>
    <row r="1193" ht="15" customHeight="1">
      <c r="A1193" t="inlineStr">
        <is>
          <t>A 16089-2025</t>
        </is>
      </c>
      <c r="B1193" t="inlineStr">
        <is>
          <t>avverkningsanmälan</t>
        </is>
      </c>
      <c r="C1193" t="inlineStr">
        <is>
          <t>Föryngringsavverkning</t>
        </is>
      </c>
      <c r="D1193" s="1" t="n">
        <v>45749</v>
      </c>
      <c r="E1193" s="1" t="n">
        <v>46309</v>
      </c>
      <c r="F1193" t="inlineStr">
        <is>
          <t>UPPSALA LÄN</t>
        </is>
      </c>
      <c r="G1193" t="inlineStr">
        <is>
          <t>ÖSTHAMMAR</t>
        </is>
      </c>
      <c r="H1193" t="inlineStr">
        <is>
          <t>Bergvik skog öst AB</t>
        </is>
      </c>
      <c r="I1193" t="n">
        <v>2.6</v>
      </c>
      <c r="J1193" t="n">
        <v>0</v>
      </c>
      <c r="K1193" t="n">
        <v>0</v>
      </c>
      <c r="L1193" t="n">
        <v>0</v>
      </c>
      <c r="M1193" t="n">
        <v>0</v>
      </c>
      <c r="N1193" t="n">
        <v>0</v>
      </c>
      <c r="O1193" t="n">
        <v>0</v>
      </c>
      <c r="P1193" t="n">
        <v>0</v>
      </c>
      <c r="Q1193" t="n">
        <v>0</v>
      </c>
      <c r="R1193" t="n">
        <v>0</v>
      </c>
      <c r="S1193" t="n">
        <v>0</v>
      </c>
      <c r="T1193" t="n">
        <v>0</v>
      </c>
      <c r="U1193" t="n">
        <v>0</v>
      </c>
      <c r="V1193" s="2" t="inlineStr"/>
    </row>
    <row r="1194" ht="15" customHeight="1">
      <c r="A1194" t="inlineStr">
        <is>
          <t>A 25969-2025</t>
        </is>
      </c>
      <c r="B1194" t="inlineStr">
        <is>
          <t>avverkningsanmälan</t>
        </is>
      </c>
      <c r="C1194" t="inlineStr">
        <is>
          <t>Föryngringsavverkning</t>
        </is>
      </c>
      <c r="D1194" s="1" t="n">
        <v>45804</v>
      </c>
      <c r="E1194" s="1" t="n">
        <v>46309</v>
      </c>
      <c r="F1194" t="inlineStr">
        <is>
          <t>UPPSALA LÄN</t>
        </is>
      </c>
      <c r="G1194" t="inlineStr">
        <is>
          <t>HEBY</t>
        </is>
      </c>
      <c r="I1194" t="n">
        <v>1.3</v>
      </c>
      <c r="J1194" t="n">
        <v>0</v>
      </c>
      <c r="K1194" t="n">
        <v>0</v>
      </c>
      <c r="L1194" t="n">
        <v>0</v>
      </c>
      <c r="M1194" t="n">
        <v>0</v>
      </c>
      <c r="N1194" t="n">
        <v>0</v>
      </c>
      <c r="O1194" t="n">
        <v>0</v>
      </c>
      <c r="P1194" t="n">
        <v>0</v>
      </c>
      <c r="Q1194" t="n">
        <v>0</v>
      </c>
      <c r="R1194" t="n">
        <v>0</v>
      </c>
      <c r="S1194" t="n">
        <v>0</v>
      </c>
      <c r="T1194" t="n">
        <v>0</v>
      </c>
      <c r="U1194" t="n">
        <v>0</v>
      </c>
      <c r="V1194" s="2" t="inlineStr"/>
    </row>
    <row r="1195" ht="15" customHeight="1">
      <c r="A1195" t="inlineStr">
        <is>
          <t>A 15264-2025</t>
        </is>
      </c>
      <c r="B1195" t="inlineStr">
        <is>
          <t>avverkningsanmälan</t>
        </is>
      </c>
      <c r="C1195" t="inlineStr">
        <is>
          <t>Föryngringsavverkning</t>
        </is>
      </c>
      <c r="D1195" s="1" t="n">
        <v>45744</v>
      </c>
      <c r="E1195" s="1" t="n">
        <v>46309</v>
      </c>
      <c r="F1195" t="inlineStr">
        <is>
          <t>UPPSALA LÄN</t>
        </is>
      </c>
      <c r="G1195" t="inlineStr">
        <is>
          <t>UPPSALA</t>
        </is>
      </c>
      <c r="I1195" t="n">
        <v>3.5</v>
      </c>
      <c r="J1195" t="n">
        <v>0</v>
      </c>
      <c r="K1195" t="n">
        <v>0</v>
      </c>
      <c r="L1195" t="n">
        <v>0</v>
      </c>
      <c r="M1195" t="n">
        <v>0</v>
      </c>
      <c r="N1195" t="n">
        <v>0</v>
      </c>
      <c r="O1195" t="n">
        <v>0</v>
      </c>
      <c r="P1195" t="n">
        <v>0</v>
      </c>
      <c r="Q1195" t="n">
        <v>0</v>
      </c>
      <c r="R1195" t="n">
        <v>0</v>
      </c>
      <c r="S1195" t="n">
        <v>0</v>
      </c>
      <c r="T1195" t="n">
        <v>0</v>
      </c>
      <c r="U1195" t="n">
        <v>0</v>
      </c>
      <c r="V1195" s="2" t="inlineStr"/>
    </row>
    <row r="1196" ht="15" customHeight="1">
      <c r="A1196" t="inlineStr">
        <is>
          <t>A 34185-2024</t>
        </is>
      </c>
      <c r="B1196" t="inlineStr">
        <is>
          <t>avverkningsanmälan</t>
        </is>
      </c>
      <c r="C1196" t="inlineStr">
        <is>
          <t>Föryngringsavverkning</t>
        </is>
      </c>
      <c r="D1196" s="1" t="n">
        <v>45524</v>
      </c>
      <c r="E1196" s="1" t="n">
        <v>46309</v>
      </c>
      <c r="F1196" t="inlineStr">
        <is>
          <t>UPPSALA LÄN</t>
        </is>
      </c>
      <c r="G1196" t="inlineStr">
        <is>
          <t>ÖSTHAMMAR</t>
        </is>
      </c>
      <c r="I1196" t="n">
        <v>2.5</v>
      </c>
      <c r="J1196" t="n">
        <v>0</v>
      </c>
      <c r="K1196" t="n">
        <v>0</v>
      </c>
      <c r="L1196" t="n">
        <v>0</v>
      </c>
      <c r="M1196" t="n">
        <v>0</v>
      </c>
      <c r="N1196" t="n">
        <v>0</v>
      </c>
      <c r="O1196" t="n">
        <v>0</v>
      </c>
      <c r="P1196" t="n">
        <v>0</v>
      </c>
      <c r="Q1196" t="n">
        <v>0</v>
      </c>
      <c r="R1196" t="n">
        <v>0</v>
      </c>
      <c r="S1196" t="n">
        <v>0</v>
      </c>
      <c r="T1196" t="n">
        <v>0</v>
      </c>
      <c r="U1196" t="n">
        <v>0</v>
      </c>
      <c r="V1196" s="2" t="inlineStr"/>
    </row>
    <row r="1197" ht="15" customHeight="1">
      <c r="A1197" t="inlineStr">
        <is>
          <t>A 14170-2025</t>
        </is>
      </c>
      <c r="B1197" t="inlineStr">
        <is>
          <t>avverkningsanmälan</t>
        </is>
      </c>
      <c r="C1197" t="inlineStr">
        <is>
          <t>Föryngringsavverkning</t>
        </is>
      </c>
      <c r="D1197" s="1" t="n">
        <v>45740</v>
      </c>
      <c r="E1197" s="1" t="n">
        <v>46309</v>
      </c>
      <c r="F1197" t="inlineStr">
        <is>
          <t>UPPSALA LÄN</t>
        </is>
      </c>
      <c r="G1197" t="inlineStr">
        <is>
          <t>ÖSTHAMMAR</t>
        </is>
      </c>
      <c r="I1197" t="n">
        <v>1.2</v>
      </c>
      <c r="J1197" t="n">
        <v>0</v>
      </c>
      <c r="K1197" t="n">
        <v>0</v>
      </c>
      <c r="L1197" t="n">
        <v>0</v>
      </c>
      <c r="M1197" t="n">
        <v>0</v>
      </c>
      <c r="N1197" t="n">
        <v>0</v>
      </c>
      <c r="O1197" t="n">
        <v>0</v>
      </c>
      <c r="P1197" t="n">
        <v>0</v>
      </c>
      <c r="Q1197" t="n">
        <v>0</v>
      </c>
      <c r="R1197" t="n">
        <v>0</v>
      </c>
      <c r="S1197" t="n">
        <v>0</v>
      </c>
      <c r="T1197" t="n">
        <v>0</v>
      </c>
      <c r="U1197" t="n">
        <v>0</v>
      </c>
      <c r="V1197" s="2" t="inlineStr"/>
    </row>
    <row r="1198" ht="15" customHeight="1">
      <c r="A1198" t="inlineStr">
        <is>
          <t>A 20902-2024</t>
        </is>
      </c>
      <c r="B1198" t="inlineStr">
        <is>
          <t>avverkningsanmälan</t>
        </is>
      </c>
      <c r="C1198" t="inlineStr">
        <is>
          <t>Föryngringsavverkning</t>
        </is>
      </c>
      <c r="D1198" s="1" t="n">
        <v>45439</v>
      </c>
      <c r="E1198" s="1" t="n">
        <v>46309</v>
      </c>
      <c r="F1198" t="inlineStr">
        <is>
          <t>UPPSALA LÄN</t>
        </is>
      </c>
      <c r="G1198" t="inlineStr">
        <is>
          <t>KNIVSTA</t>
        </is>
      </c>
      <c r="I1198" t="n">
        <v>1</v>
      </c>
      <c r="J1198" t="n">
        <v>0</v>
      </c>
      <c r="K1198" t="n">
        <v>0</v>
      </c>
      <c r="L1198" t="n">
        <v>0</v>
      </c>
      <c r="M1198" t="n">
        <v>0</v>
      </c>
      <c r="N1198" t="n">
        <v>0</v>
      </c>
      <c r="O1198" t="n">
        <v>0</v>
      </c>
      <c r="P1198" t="n">
        <v>0</v>
      </c>
      <c r="Q1198" t="n">
        <v>0</v>
      </c>
      <c r="R1198" t="n">
        <v>0</v>
      </c>
      <c r="S1198" t="n">
        <v>0</v>
      </c>
      <c r="T1198" t="n">
        <v>0</v>
      </c>
      <c r="U1198" t="n">
        <v>0</v>
      </c>
      <c r="V1198" s="2" t="inlineStr"/>
    </row>
    <row r="1199" ht="15" customHeight="1">
      <c r="A1199" t="inlineStr">
        <is>
          <t>A 1032-2023</t>
        </is>
      </c>
      <c r="B1199" t="inlineStr">
        <is>
          <t>avverkningsanmälan</t>
        </is>
      </c>
      <c r="C1199" t="inlineStr">
        <is>
          <t>Avverkning för annat ändamål</t>
        </is>
      </c>
      <c r="D1199" s="1" t="n">
        <v>44935</v>
      </c>
      <c r="E1199" s="1" t="n">
        <v>46309</v>
      </c>
      <c r="F1199" t="inlineStr">
        <is>
          <t>UPPSALA LÄN</t>
        </is>
      </c>
      <c r="G1199" t="inlineStr">
        <is>
          <t>UPPSALA</t>
        </is>
      </c>
      <c r="I1199" t="n">
        <v>0.8</v>
      </c>
      <c r="J1199" t="n">
        <v>0</v>
      </c>
      <c r="K1199" t="n">
        <v>0</v>
      </c>
      <c r="L1199" t="n">
        <v>0</v>
      </c>
      <c r="M1199" t="n">
        <v>0</v>
      </c>
      <c r="N1199" t="n">
        <v>0</v>
      </c>
      <c r="O1199" t="n">
        <v>0</v>
      </c>
      <c r="P1199" t="n">
        <v>0</v>
      </c>
      <c r="Q1199" t="n">
        <v>0</v>
      </c>
      <c r="R1199" t="n">
        <v>0</v>
      </c>
      <c r="S1199" t="n">
        <v>0</v>
      </c>
      <c r="T1199" t="n">
        <v>0</v>
      </c>
      <c r="U1199" t="n">
        <v>0</v>
      </c>
      <c r="V1199" s="2" t="inlineStr"/>
    </row>
    <row r="1200" ht="15" customHeight="1">
      <c r="A1200" t="inlineStr">
        <is>
          <t>A 6628-2024</t>
        </is>
      </c>
      <c r="B1200" t="inlineStr">
        <is>
          <t>avverkningsanmälan</t>
        </is>
      </c>
      <c r="C1200" t="inlineStr">
        <is>
          <t>Avverkning för annat ändamål</t>
        </is>
      </c>
      <c r="D1200" s="1" t="n">
        <v>45341</v>
      </c>
      <c r="E1200" s="1" t="n">
        <v>46309</v>
      </c>
      <c r="F1200" t="inlineStr">
        <is>
          <t>UPPSALA LÄN</t>
        </is>
      </c>
      <c r="G1200" t="inlineStr">
        <is>
          <t>UPPSALA</t>
        </is>
      </c>
      <c r="I1200" t="n">
        <v>4.3</v>
      </c>
      <c r="J1200" t="n">
        <v>0</v>
      </c>
      <c r="K1200" t="n">
        <v>0</v>
      </c>
      <c r="L1200" t="n">
        <v>0</v>
      </c>
      <c r="M1200" t="n">
        <v>0</v>
      </c>
      <c r="N1200" t="n">
        <v>0</v>
      </c>
      <c r="O1200" t="n">
        <v>0</v>
      </c>
      <c r="P1200" t="n">
        <v>0</v>
      </c>
      <c r="Q1200" t="n">
        <v>0</v>
      </c>
      <c r="R1200" t="n">
        <v>0</v>
      </c>
      <c r="S1200" t="n">
        <v>0</v>
      </c>
      <c r="T1200" t="n">
        <v>0</v>
      </c>
      <c r="U1200" t="n">
        <v>0</v>
      </c>
      <c r="V1200" s="2" t="inlineStr"/>
    </row>
    <row r="1201" ht="15" customHeight="1">
      <c r="A1201" t="inlineStr">
        <is>
          <t>A 52197-2024</t>
        </is>
      </c>
      <c r="B1201" t="inlineStr">
        <is>
          <t>avverkningsanmälan</t>
        </is>
      </c>
      <c r="C1201" t="inlineStr">
        <is>
          <t>Avverkning för annat ändamål</t>
        </is>
      </c>
      <c r="D1201" s="1" t="n">
        <v>45608</v>
      </c>
      <c r="E1201" s="1" t="n">
        <v>46309</v>
      </c>
      <c r="F1201" t="inlineStr">
        <is>
          <t>UPPSALA LÄN</t>
        </is>
      </c>
      <c r="G1201" t="inlineStr">
        <is>
          <t>UPPSALA</t>
        </is>
      </c>
      <c r="I1201" t="n">
        <v>1.3</v>
      </c>
      <c r="J1201" t="n">
        <v>0</v>
      </c>
      <c r="K1201" t="n">
        <v>0</v>
      </c>
      <c r="L1201" t="n">
        <v>0</v>
      </c>
      <c r="M1201" t="n">
        <v>0</v>
      </c>
      <c r="N1201" t="n">
        <v>0</v>
      </c>
      <c r="O1201" t="n">
        <v>0</v>
      </c>
      <c r="P1201" t="n">
        <v>0</v>
      </c>
      <c r="Q1201" t="n">
        <v>0</v>
      </c>
      <c r="R1201" t="n">
        <v>0</v>
      </c>
      <c r="S1201" t="n">
        <v>0</v>
      </c>
      <c r="T1201" t="n">
        <v>0</v>
      </c>
      <c r="U1201" t="n">
        <v>0</v>
      </c>
      <c r="V1201" s="2" t="inlineStr"/>
    </row>
    <row r="1202" ht="15" customHeight="1">
      <c r="A1202" t="inlineStr">
        <is>
          <t>A 25677-2025</t>
        </is>
      </c>
      <c r="B1202" t="inlineStr">
        <is>
          <t>avverkningsanmälan</t>
        </is>
      </c>
      <c r="C1202" t="inlineStr">
        <is>
          <t>Föryngringsavverkning</t>
        </is>
      </c>
      <c r="D1202" s="1" t="n">
        <v>45803</v>
      </c>
      <c r="E1202" s="1" t="n">
        <v>46309</v>
      </c>
      <c r="F1202" t="inlineStr">
        <is>
          <t>UPPSALA LÄN</t>
        </is>
      </c>
      <c r="G1202" t="inlineStr">
        <is>
          <t>HEBY</t>
        </is>
      </c>
      <c r="I1202" t="n">
        <v>0.3</v>
      </c>
      <c r="J1202" t="n">
        <v>0</v>
      </c>
      <c r="K1202" t="n">
        <v>0</v>
      </c>
      <c r="L1202" t="n">
        <v>0</v>
      </c>
      <c r="M1202" t="n">
        <v>0</v>
      </c>
      <c r="N1202" t="n">
        <v>0</v>
      </c>
      <c r="O1202" t="n">
        <v>0</v>
      </c>
      <c r="P1202" t="n">
        <v>0</v>
      </c>
      <c r="Q1202" t="n">
        <v>0</v>
      </c>
      <c r="R1202" t="n">
        <v>0</v>
      </c>
      <c r="S1202" t="n">
        <v>0</v>
      </c>
      <c r="T1202" t="n">
        <v>0</v>
      </c>
      <c r="U1202" t="n">
        <v>0</v>
      </c>
      <c r="V1202" s="2" t="inlineStr"/>
    </row>
    <row r="1203" ht="15" customHeight="1">
      <c r="A1203" t="inlineStr">
        <is>
          <t>A 13460-2024</t>
        </is>
      </c>
      <c r="B1203" t="inlineStr">
        <is>
          <t>avverkningsanmälan</t>
        </is>
      </c>
      <c r="C1203" t="inlineStr">
        <is>
          <t>Föryngringsavverkning</t>
        </is>
      </c>
      <c r="D1203" s="1" t="n">
        <v>45387</v>
      </c>
      <c r="E1203" s="1" t="n">
        <v>46309</v>
      </c>
      <c r="F1203" t="inlineStr">
        <is>
          <t>UPPSALA LÄN</t>
        </is>
      </c>
      <c r="G1203" t="inlineStr">
        <is>
          <t>TIERP</t>
        </is>
      </c>
      <c r="I1203" t="n">
        <v>0.9</v>
      </c>
      <c r="J1203" t="n">
        <v>0</v>
      </c>
      <c r="K1203" t="n">
        <v>0</v>
      </c>
      <c r="L1203" t="n">
        <v>0</v>
      </c>
      <c r="M1203" t="n">
        <v>0</v>
      </c>
      <c r="N1203" t="n">
        <v>0</v>
      </c>
      <c r="O1203" t="n">
        <v>0</v>
      </c>
      <c r="P1203" t="n">
        <v>0</v>
      </c>
      <c r="Q1203" t="n">
        <v>0</v>
      </c>
      <c r="R1203" t="n">
        <v>0</v>
      </c>
      <c r="S1203" t="n">
        <v>0</v>
      </c>
      <c r="T1203" t="n">
        <v>0</v>
      </c>
      <c r="U1203" t="n">
        <v>0</v>
      </c>
      <c r="V1203" s="2" t="inlineStr"/>
    </row>
    <row r="1204" ht="15" customHeight="1">
      <c r="A1204" t="inlineStr">
        <is>
          <t>A 29231-2024</t>
        </is>
      </c>
      <c r="B1204" t="inlineStr">
        <is>
          <t>avverkningsanmälan</t>
        </is>
      </c>
      <c r="C1204" t="inlineStr">
        <is>
          <t>Föryngringsavverkning</t>
        </is>
      </c>
      <c r="D1204" s="1" t="n">
        <v>45482</v>
      </c>
      <c r="E1204" s="1" t="n">
        <v>46309</v>
      </c>
      <c r="F1204" t="inlineStr">
        <is>
          <t>UPPSALA LÄN</t>
        </is>
      </c>
      <c r="G1204" t="inlineStr">
        <is>
          <t>ÖSTHAMMAR</t>
        </is>
      </c>
      <c r="H1204" t="inlineStr">
        <is>
          <t>Bergvik skog öst AB</t>
        </is>
      </c>
      <c r="I1204" t="n">
        <v>0.6</v>
      </c>
      <c r="J1204" t="n">
        <v>0</v>
      </c>
      <c r="K1204" t="n">
        <v>0</v>
      </c>
      <c r="L1204" t="n">
        <v>0</v>
      </c>
      <c r="M1204" t="n">
        <v>0</v>
      </c>
      <c r="N1204" t="n">
        <v>0</v>
      </c>
      <c r="O1204" t="n">
        <v>0</v>
      </c>
      <c r="P1204" t="n">
        <v>0</v>
      </c>
      <c r="Q1204" t="n">
        <v>0</v>
      </c>
      <c r="R1204" t="n">
        <v>0</v>
      </c>
      <c r="S1204" t="n">
        <v>0</v>
      </c>
      <c r="T1204" t="n">
        <v>0</v>
      </c>
      <c r="U1204" t="n">
        <v>0</v>
      </c>
      <c r="V1204" s="2" t="inlineStr"/>
    </row>
    <row r="1205" ht="15" customHeight="1">
      <c r="A1205" t="inlineStr">
        <is>
          <t>A 26030-2025</t>
        </is>
      </c>
      <c r="B1205" t="inlineStr">
        <is>
          <t>avverkningsanmälan</t>
        </is>
      </c>
      <c r="C1205" t="inlineStr">
        <is>
          <t>Föryngringsavverkning</t>
        </is>
      </c>
      <c r="D1205" s="1" t="n">
        <v>45804</v>
      </c>
      <c r="E1205" s="1" t="n">
        <v>46309</v>
      </c>
      <c r="F1205" t="inlineStr">
        <is>
          <t>UPPSALA LÄN</t>
        </is>
      </c>
      <c r="G1205" t="inlineStr">
        <is>
          <t>ENKÖPING</t>
        </is>
      </c>
      <c r="I1205" t="n">
        <v>0.3</v>
      </c>
      <c r="J1205" t="n">
        <v>0</v>
      </c>
      <c r="K1205" t="n">
        <v>0</v>
      </c>
      <c r="L1205" t="n">
        <v>0</v>
      </c>
      <c r="M1205" t="n">
        <v>0</v>
      </c>
      <c r="N1205" t="n">
        <v>0</v>
      </c>
      <c r="O1205" t="n">
        <v>0</v>
      </c>
      <c r="P1205" t="n">
        <v>0</v>
      </c>
      <c r="Q1205" t="n">
        <v>0</v>
      </c>
      <c r="R1205" t="n">
        <v>0</v>
      </c>
      <c r="S1205" t="n">
        <v>0</v>
      </c>
      <c r="T1205" t="n">
        <v>0</v>
      </c>
      <c r="U1205" t="n">
        <v>0</v>
      </c>
      <c r="V1205" s="2" t="inlineStr"/>
    </row>
    <row r="1206" ht="15" customHeight="1">
      <c r="A1206" t="inlineStr">
        <is>
          <t>A 7497-2025</t>
        </is>
      </c>
      <c r="B1206" t="inlineStr">
        <is>
          <t>avverkningsanmälan</t>
        </is>
      </c>
      <c r="C1206" t="inlineStr">
        <is>
          <t>Föryngringsavverkning</t>
        </is>
      </c>
      <c r="D1206" s="1" t="n">
        <v>45705</v>
      </c>
      <c r="E1206" s="1" t="n">
        <v>46309</v>
      </c>
      <c r="F1206" t="inlineStr">
        <is>
          <t>UPPSALA LÄN</t>
        </is>
      </c>
      <c r="G1206" t="inlineStr">
        <is>
          <t>HEBY</t>
        </is>
      </c>
      <c r="I1206" t="n">
        <v>1.6</v>
      </c>
      <c r="J1206" t="n">
        <v>0</v>
      </c>
      <c r="K1206" t="n">
        <v>0</v>
      </c>
      <c r="L1206" t="n">
        <v>0</v>
      </c>
      <c r="M1206" t="n">
        <v>0</v>
      </c>
      <c r="N1206" t="n">
        <v>0</v>
      </c>
      <c r="O1206" t="n">
        <v>0</v>
      </c>
      <c r="P1206" t="n">
        <v>0</v>
      </c>
      <c r="Q1206" t="n">
        <v>0</v>
      </c>
      <c r="R1206" t="n">
        <v>0</v>
      </c>
      <c r="S1206" t="n">
        <v>0</v>
      </c>
      <c r="T1206" t="n">
        <v>0</v>
      </c>
      <c r="U1206" t="n">
        <v>0</v>
      </c>
      <c r="V1206" s="2" t="inlineStr"/>
    </row>
    <row r="1207" ht="15" customHeight="1">
      <c r="A1207" t="inlineStr">
        <is>
          <t>A 12945-2025</t>
        </is>
      </c>
      <c r="B1207" t="inlineStr">
        <is>
          <t>avverkningsanmälan</t>
        </is>
      </c>
      <c r="C1207" t="inlineStr">
        <is>
          <t>Föryngringsavverkning</t>
        </is>
      </c>
      <c r="D1207" s="1" t="n">
        <v>45734</v>
      </c>
      <c r="E1207" s="1" t="n">
        <v>46309</v>
      </c>
      <c r="F1207" t="inlineStr">
        <is>
          <t>UPPSALA LÄN</t>
        </is>
      </c>
      <c r="G1207" t="inlineStr">
        <is>
          <t>ÖSTHAMMAR</t>
        </is>
      </c>
      <c r="I1207" t="n">
        <v>2.1</v>
      </c>
      <c r="J1207" t="n">
        <v>0</v>
      </c>
      <c r="K1207" t="n">
        <v>0</v>
      </c>
      <c r="L1207" t="n">
        <v>0</v>
      </c>
      <c r="M1207" t="n">
        <v>0</v>
      </c>
      <c r="N1207" t="n">
        <v>0</v>
      </c>
      <c r="O1207" t="n">
        <v>0</v>
      </c>
      <c r="P1207" t="n">
        <v>0</v>
      </c>
      <c r="Q1207" t="n">
        <v>0</v>
      </c>
      <c r="R1207" t="n">
        <v>0</v>
      </c>
      <c r="S1207" t="n">
        <v>0</v>
      </c>
      <c r="T1207" t="n">
        <v>0</v>
      </c>
      <c r="U1207" t="n">
        <v>0</v>
      </c>
      <c r="V1207" s="2" t="inlineStr"/>
    </row>
    <row r="1208" ht="15" customHeight="1">
      <c r="A1208" t="inlineStr">
        <is>
          <t>A 2366-2026</t>
        </is>
      </c>
      <c r="B1208" t="inlineStr">
        <is>
          <t>avverkningsanmälan</t>
        </is>
      </c>
      <c r="C1208" t="inlineStr">
        <is>
          <t>Föryngringsavverkning</t>
        </is>
      </c>
      <c r="D1208" s="1" t="n">
        <v>46034</v>
      </c>
      <c r="E1208" s="1" t="n">
        <v>46309</v>
      </c>
      <c r="F1208" t="inlineStr">
        <is>
          <t>UPPSALA LÄN</t>
        </is>
      </c>
      <c r="G1208" t="inlineStr">
        <is>
          <t>TIERP</t>
        </is>
      </c>
      <c r="I1208" t="n">
        <v>1.5</v>
      </c>
      <c r="J1208" t="n">
        <v>0</v>
      </c>
      <c r="K1208" t="n">
        <v>0</v>
      </c>
      <c r="L1208" t="n">
        <v>0</v>
      </c>
      <c r="M1208" t="n">
        <v>0</v>
      </c>
      <c r="N1208" t="n">
        <v>0</v>
      </c>
      <c r="O1208" t="n">
        <v>0</v>
      </c>
      <c r="P1208" t="n">
        <v>0</v>
      </c>
      <c r="Q1208" t="n">
        <v>0</v>
      </c>
      <c r="R1208" t="n">
        <v>0</v>
      </c>
      <c r="S1208" t="n">
        <v>0</v>
      </c>
      <c r="T1208" t="n">
        <v>0</v>
      </c>
      <c r="U1208" t="n">
        <v>0</v>
      </c>
      <c r="V1208" s="2" t="inlineStr"/>
    </row>
    <row r="1209" ht="15" customHeight="1">
      <c r="A1209" t="inlineStr">
        <is>
          <t>A 1390-2026</t>
        </is>
      </c>
      <c r="B1209" t="inlineStr">
        <is>
          <t>avverkningsanmälan</t>
        </is>
      </c>
      <c r="C1209" t="inlineStr">
        <is>
          <t>Föryngringsavverkning</t>
        </is>
      </c>
      <c r="D1209" s="1" t="n">
        <v>46031</v>
      </c>
      <c r="E1209" s="1" t="n">
        <v>46309</v>
      </c>
      <c r="F1209" t="inlineStr">
        <is>
          <t>UPPSALA LÄN</t>
        </is>
      </c>
      <c r="G1209" t="inlineStr">
        <is>
          <t>UPPSALA</t>
        </is>
      </c>
      <c r="I1209" t="n">
        <v>7.9</v>
      </c>
      <c r="J1209" t="n">
        <v>0</v>
      </c>
      <c r="K1209" t="n">
        <v>0</v>
      </c>
      <c r="L1209" t="n">
        <v>0</v>
      </c>
      <c r="M1209" t="n">
        <v>0</v>
      </c>
      <c r="N1209" t="n">
        <v>0</v>
      </c>
      <c r="O1209" t="n">
        <v>0</v>
      </c>
      <c r="P1209" t="n">
        <v>0</v>
      </c>
      <c r="Q1209" t="n">
        <v>0</v>
      </c>
      <c r="R1209" t="n">
        <v>0</v>
      </c>
      <c r="S1209" t="n">
        <v>0</v>
      </c>
      <c r="T1209" t="n">
        <v>0</v>
      </c>
      <c r="U1209" t="n">
        <v>0</v>
      </c>
      <c r="V1209" s="2" t="inlineStr"/>
    </row>
    <row r="1210" ht="15" customHeight="1">
      <c r="A1210" t="inlineStr">
        <is>
          <t>A 26005-2025</t>
        </is>
      </c>
      <c r="B1210" t="inlineStr">
        <is>
          <t>avverkningsanmälan</t>
        </is>
      </c>
      <c r="C1210" t="inlineStr">
        <is>
          <t>Föryngringsavverkning</t>
        </is>
      </c>
      <c r="D1210" s="1" t="n">
        <v>45804</v>
      </c>
      <c r="E1210" s="1" t="n">
        <v>46309</v>
      </c>
      <c r="F1210" t="inlineStr">
        <is>
          <t>UPPSALA LÄN</t>
        </is>
      </c>
      <c r="G1210" t="inlineStr">
        <is>
          <t>ENKÖPING</t>
        </is>
      </c>
      <c r="I1210" t="n">
        <v>0.3</v>
      </c>
      <c r="J1210" t="n">
        <v>0</v>
      </c>
      <c r="K1210" t="n">
        <v>0</v>
      </c>
      <c r="L1210" t="n">
        <v>0</v>
      </c>
      <c r="M1210" t="n">
        <v>0</v>
      </c>
      <c r="N1210" t="n">
        <v>0</v>
      </c>
      <c r="O1210" t="n">
        <v>0</v>
      </c>
      <c r="P1210" t="n">
        <v>0</v>
      </c>
      <c r="Q1210" t="n">
        <v>0</v>
      </c>
      <c r="R1210" t="n">
        <v>0</v>
      </c>
      <c r="S1210" t="n">
        <v>0</v>
      </c>
      <c r="T1210" t="n">
        <v>0</v>
      </c>
      <c r="U1210" t="n">
        <v>0</v>
      </c>
      <c r="V1210" s="2" t="inlineStr"/>
    </row>
    <row r="1211" ht="15" customHeight="1">
      <c r="A1211" t="inlineStr">
        <is>
          <t>A 58297-2024</t>
        </is>
      </c>
      <c r="B1211" t="inlineStr">
        <is>
          <t>avverkningsanmälan</t>
        </is>
      </c>
      <c r="C1211" t="inlineStr">
        <is>
          <t>Föryngringsavverkning</t>
        </is>
      </c>
      <c r="D1211" s="1" t="n">
        <v>45632</v>
      </c>
      <c r="E1211" s="1" t="n">
        <v>46309</v>
      </c>
      <c r="F1211" t="inlineStr">
        <is>
          <t>UPPSALA LÄN</t>
        </is>
      </c>
      <c r="G1211" t="inlineStr">
        <is>
          <t>ÖSTHAMMAR</t>
        </is>
      </c>
      <c r="I1211" t="n">
        <v>5.1</v>
      </c>
      <c r="J1211" t="n">
        <v>0</v>
      </c>
      <c r="K1211" t="n">
        <v>0</v>
      </c>
      <c r="L1211" t="n">
        <v>0</v>
      </c>
      <c r="M1211" t="n">
        <v>0</v>
      </c>
      <c r="N1211" t="n">
        <v>0</v>
      </c>
      <c r="O1211" t="n">
        <v>0</v>
      </c>
      <c r="P1211" t="n">
        <v>0</v>
      </c>
      <c r="Q1211" t="n">
        <v>0</v>
      </c>
      <c r="R1211" t="n">
        <v>0</v>
      </c>
      <c r="S1211" t="n">
        <v>0</v>
      </c>
      <c r="T1211" t="n">
        <v>0</v>
      </c>
      <c r="U1211" t="n">
        <v>0</v>
      </c>
      <c r="V1211" s="2" t="inlineStr"/>
    </row>
    <row r="1212" ht="15" customHeight="1">
      <c r="A1212" t="inlineStr">
        <is>
          <t>A 63011-2021</t>
        </is>
      </c>
      <c r="B1212" t="inlineStr">
        <is>
          <t>avverkningsanmälan</t>
        </is>
      </c>
      <c r="C1212" t="inlineStr">
        <is>
          <t>Avverkning för annat ändamål</t>
        </is>
      </c>
      <c r="D1212" s="1" t="n">
        <v>44504</v>
      </c>
      <c r="E1212" s="1" t="n">
        <v>46309</v>
      </c>
      <c r="F1212" t="inlineStr">
        <is>
          <t>UPPSALA LÄN</t>
        </is>
      </c>
      <c r="G1212" t="inlineStr">
        <is>
          <t>UPPSALA</t>
        </is>
      </c>
      <c r="I1212" t="n">
        <v>11.2</v>
      </c>
      <c r="J1212" t="n">
        <v>0</v>
      </c>
      <c r="K1212" t="n">
        <v>0</v>
      </c>
      <c r="L1212" t="n">
        <v>0</v>
      </c>
      <c r="M1212" t="n">
        <v>0</v>
      </c>
      <c r="N1212" t="n">
        <v>0</v>
      </c>
      <c r="O1212" t="n">
        <v>0</v>
      </c>
      <c r="P1212" t="n">
        <v>0</v>
      </c>
      <c r="Q1212" t="n">
        <v>0</v>
      </c>
      <c r="R1212" t="n">
        <v>0</v>
      </c>
      <c r="S1212" t="n">
        <v>0</v>
      </c>
      <c r="T1212" t="n">
        <v>0</v>
      </c>
      <c r="U1212" t="n">
        <v>0</v>
      </c>
      <c r="V1212" s="2" t="inlineStr"/>
    </row>
    <row r="1213" ht="15" customHeight="1">
      <c r="A1213" t="inlineStr">
        <is>
          <t>A 4314-2025</t>
        </is>
      </c>
      <c r="B1213" t="inlineStr">
        <is>
          <t>avverkningsanmälan</t>
        </is>
      </c>
      <c r="C1213" t="inlineStr">
        <is>
          <t>Föryngringsavverkning</t>
        </is>
      </c>
      <c r="D1213" s="1" t="n">
        <v>45685</v>
      </c>
      <c r="E1213" s="1" t="n">
        <v>46309</v>
      </c>
      <c r="F1213" t="inlineStr">
        <is>
          <t>UPPSALA LÄN</t>
        </is>
      </c>
      <c r="G1213" t="inlineStr">
        <is>
          <t>TIERP</t>
        </is>
      </c>
      <c r="I1213" t="n">
        <v>1.1</v>
      </c>
      <c r="J1213" t="n">
        <v>0</v>
      </c>
      <c r="K1213" t="n">
        <v>0</v>
      </c>
      <c r="L1213" t="n">
        <v>0</v>
      </c>
      <c r="M1213" t="n">
        <v>0</v>
      </c>
      <c r="N1213" t="n">
        <v>0</v>
      </c>
      <c r="O1213" t="n">
        <v>0</v>
      </c>
      <c r="P1213" t="n">
        <v>0</v>
      </c>
      <c r="Q1213" t="n">
        <v>0</v>
      </c>
      <c r="R1213" t="n">
        <v>0</v>
      </c>
      <c r="S1213" t="n">
        <v>0</v>
      </c>
      <c r="T1213" t="n">
        <v>0</v>
      </c>
      <c r="U1213" t="n">
        <v>0</v>
      </c>
      <c r="V1213" s="2" t="inlineStr"/>
    </row>
    <row r="1214" ht="15" customHeight="1">
      <c r="A1214" t="inlineStr">
        <is>
          <t>A 40164-2025</t>
        </is>
      </c>
      <c r="B1214" t="inlineStr">
        <is>
          <t>avverkningsanmälan</t>
        </is>
      </c>
      <c r="C1214" t="inlineStr">
        <is>
          <t>Föryngringsavverkning</t>
        </is>
      </c>
      <c r="D1214" s="1" t="n">
        <v>45894</v>
      </c>
      <c r="E1214" s="1" t="n">
        <v>46309</v>
      </c>
      <c r="F1214" t="inlineStr">
        <is>
          <t>UPPSALA LÄN</t>
        </is>
      </c>
      <c r="G1214" t="inlineStr">
        <is>
          <t>TIERP</t>
        </is>
      </c>
      <c r="I1214" t="n">
        <v>0.5</v>
      </c>
      <c r="J1214" t="n">
        <v>0</v>
      </c>
      <c r="K1214" t="n">
        <v>0</v>
      </c>
      <c r="L1214" t="n">
        <v>0</v>
      </c>
      <c r="M1214" t="n">
        <v>0</v>
      </c>
      <c r="N1214" t="n">
        <v>0</v>
      </c>
      <c r="O1214" t="n">
        <v>0</v>
      </c>
      <c r="P1214" t="n">
        <v>0</v>
      </c>
      <c r="Q1214" t="n">
        <v>0</v>
      </c>
      <c r="R1214" t="n">
        <v>0</v>
      </c>
      <c r="S1214" t="n">
        <v>0</v>
      </c>
      <c r="T1214" t="n">
        <v>0</v>
      </c>
      <c r="U1214" t="n">
        <v>0</v>
      </c>
      <c r="V1214" s="2" t="inlineStr"/>
    </row>
    <row r="1215" ht="15" customHeight="1">
      <c r="A1215" t="inlineStr">
        <is>
          <t>A 39892-2025</t>
        </is>
      </c>
      <c r="B1215" t="inlineStr">
        <is>
          <t>avverkningsanmälan</t>
        </is>
      </c>
      <c r="C1215" t="inlineStr">
        <is>
          <t>Föryngringsavverkning</t>
        </is>
      </c>
      <c r="D1215" s="1" t="n">
        <v>45891</v>
      </c>
      <c r="E1215" s="1" t="n">
        <v>46309</v>
      </c>
      <c r="F1215" t="inlineStr">
        <is>
          <t>UPPSALA LÄN</t>
        </is>
      </c>
      <c r="G1215" t="inlineStr">
        <is>
          <t>HEBY</t>
        </is>
      </c>
      <c r="I1215" t="n">
        <v>0.5</v>
      </c>
      <c r="J1215" t="n">
        <v>0</v>
      </c>
      <c r="K1215" t="n">
        <v>0</v>
      </c>
      <c r="L1215" t="n">
        <v>0</v>
      </c>
      <c r="M1215" t="n">
        <v>0</v>
      </c>
      <c r="N1215" t="n">
        <v>0</v>
      </c>
      <c r="O1215" t="n">
        <v>0</v>
      </c>
      <c r="P1215" t="n">
        <v>0</v>
      </c>
      <c r="Q1215" t="n">
        <v>0</v>
      </c>
      <c r="R1215" t="n">
        <v>0</v>
      </c>
      <c r="S1215" t="n">
        <v>0</v>
      </c>
      <c r="T1215" t="n">
        <v>0</v>
      </c>
      <c r="U1215" t="n">
        <v>0</v>
      </c>
      <c r="V1215" s="2" t="inlineStr"/>
    </row>
    <row r="1216" ht="15" customHeight="1">
      <c r="A1216" t="inlineStr">
        <is>
          <t>A 26330-2025</t>
        </is>
      </c>
      <c r="B1216" t="inlineStr">
        <is>
          <t>avverkningsanmälan</t>
        </is>
      </c>
      <c r="C1216" t="inlineStr">
        <is>
          <t>Föryngringsavverkning</t>
        </is>
      </c>
      <c r="D1216" s="1" t="n">
        <v>45805</v>
      </c>
      <c r="E1216" s="1" t="n">
        <v>46309</v>
      </c>
      <c r="F1216" t="inlineStr">
        <is>
          <t>UPPSALA LÄN</t>
        </is>
      </c>
      <c r="G1216" t="inlineStr">
        <is>
          <t>ÖSTHAMMAR</t>
        </is>
      </c>
      <c r="I1216" t="n">
        <v>0.5</v>
      </c>
      <c r="J1216" t="n">
        <v>0</v>
      </c>
      <c r="K1216" t="n">
        <v>0</v>
      </c>
      <c r="L1216" t="n">
        <v>0</v>
      </c>
      <c r="M1216" t="n">
        <v>0</v>
      </c>
      <c r="N1216" t="n">
        <v>0</v>
      </c>
      <c r="O1216" t="n">
        <v>0</v>
      </c>
      <c r="P1216" t="n">
        <v>0</v>
      </c>
      <c r="Q1216" t="n">
        <v>0</v>
      </c>
      <c r="R1216" t="n">
        <v>0</v>
      </c>
      <c r="S1216" t="n">
        <v>0</v>
      </c>
      <c r="T1216" t="n">
        <v>0</v>
      </c>
      <c r="U1216" t="n">
        <v>0</v>
      </c>
      <c r="V1216" s="2" t="inlineStr"/>
    </row>
    <row r="1217" ht="15" customHeight="1">
      <c r="A1217" t="inlineStr">
        <is>
          <t>A 6851-2022</t>
        </is>
      </c>
      <c r="B1217" t="inlineStr">
        <is>
          <t>avverkningsanmälan</t>
        </is>
      </c>
      <c r="C1217" t="inlineStr">
        <is>
          <t>Föryngringsavverkning</t>
        </is>
      </c>
      <c r="D1217" s="1" t="n">
        <v>44602</v>
      </c>
      <c r="E1217" s="1" t="n">
        <v>46309</v>
      </c>
      <c r="F1217" t="inlineStr">
        <is>
          <t>UPPSALA LÄN</t>
        </is>
      </c>
      <c r="G1217" t="inlineStr">
        <is>
          <t>UPPSALA</t>
        </is>
      </c>
      <c r="I1217" t="n">
        <v>1.1</v>
      </c>
      <c r="J1217" t="n">
        <v>0</v>
      </c>
      <c r="K1217" t="n">
        <v>0</v>
      </c>
      <c r="L1217" t="n">
        <v>0</v>
      </c>
      <c r="M1217" t="n">
        <v>0</v>
      </c>
      <c r="N1217" t="n">
        <v>0</v>
      </c>
      <c r="O1217" t="n">
        <v>0</v>
      </c>
      <c r="P1217" t="n">
        <v>0</v>
      </c>
      <c r="Q1217" t="n">
        <v>0</v>
      </c>
      <c r="R1217" t="n">
        <v>0</v>
      </c>
      <c r="S1217" t="n">
        <v>0</v>
      </c>
      <c r="T1217" t="n">
        <v>0</v>
      </c>
      <c r="U1217" t="n">
        <v>0</v>
      </c>
      <c r="V1217" s="2" t="inlineStr"/>
    </row>
    <row r="1218" ht="15" customHeight="1">
      <c r="A1218" t="inlineStr">
        <is>
          <t>A 40416-2025</t>
        </is>
      </c>
      <c r="B1218" t="inlineStr">
        <is>
          <t>avverkningsanmälan</t>
        </is>
      </c>
      <c r="C1218" t="inlineStr">
        <is>
          <t>Föryngringsavverkning</t>
        </is>
      </c>
      <c r="D1218" s="1" t="n">
        <v>45895</v>
      </c>
      <c r="E1218" s="1" t="n">
        <v>46309</v>
      </c>
      <c r="F1218" t="inlineStr">
        <is>
          <t>UPPSALA LÄN</t>
        </is>
      </c>
      <c r="G1218" t="inlineStr">
        <is>
          <t>ÖSTHAMMAR</t>
        </is>
      </c>
      <c r="I1218" t="n">
        <v>0.4</v>
      </c>
      <c r="J1218" t="n">
        <v>0</v>
      </c>
      <c r="K1218" t="n">
        <v>0</v>
      </c>
      <c r="L1218" t="n">
        <v>0</v>
      </c>
      <c r="M1218" t="n">
        <v>0</v>
      </c>
      <c r="N1218" t="n">
        <v>0</v>
      </c>
      <c r="O1218" t="n">
        <v>0</v>
      </c>
      <c r="P1218" t="n">
        <v>0</v>
      </c>
      <c r="Q1218" t="n">
        <v>0</v>
      </c>
      <c r="R1218" t="n">
        <v>0</v>
      </c>
      <c r="S1218" t="n">
        <v>0</v>
      </c>
      <c r="T1218" t="n">
        <v>0</v>
      </c>
      <c r="U1218" t="n">
        <v>0</v>
      </c>
      <c r="V1218" s="2" t="inlineStr"/>
    </row>
    <row r="1219" ht="15" customHeight="1">
      <c r="A1219" t="inlineStr">
        <is>
          <t>A 40462-2025</t>
        </is>
      </c>
      <c r="B1219" t="inlineStr">
        <is>
          <t>avverkningsanmälan</t>
        </is>
      </c>
      <c r="C1219" t="inlineStr">
        <is>
          <t>Föryngringsavverkning</t>
        </is>
      </c>
      <c r="D1219" s="1" t="n">
        <v>45895</v>
      </c>
      <c r="E1219" s="1" t="n">
        <v>46309</v>
      </c>
      <c r="F1219" t="inlineStr">
        <is>
          <t>UPPSALA LÄN</t>
        </is>
      </c>
      <c r="G1219" t="inlineStr">
        <is>
          <t>ÖSTHAMMAR</t>
        </is>
      </c>
      <c r="I1219" t="n">
        <v>4.5</v>
      </c>
      <c r="J1219" t="n">
        <v>0</v>
      </c>
      <c r="K1219" t="n">
        <v>0</v>
      </c>
      <c r="L1219" t="n">
        <v>0</v>
      </c>
      <c r="M1219" t="n">
        <v>0</v>
      </c>
      <c r="N1219" t="n">
        <v>0</v>
      </c>
      <c r="O1219" t="n">
        <v>0</v>
      </c>
      <c r="P1219" t="n">
        <v>0</v>
      </c>
      <c r="Q1219" t="n">
        <v>0</v>
      </c>
      <c r="R1219" t="n">
        <v>0</v>
      </c>
      <c r="S1219" t="n">
        <v>0</v>
      </c>
      <c r="T1219" t="n">
        <v>0</v>
      </c>
      <c r="U1219" t="n">
        <v>0</v>
      </c>
      <c r="V1219" s="2" t="inlineStr"/>
    </row>
    <row r="1220" ht="15" customHeight="1">
      <c r="A1220" t="inlineStr">
        <is>
          <t>A 40382-2025</t>
        </is>
      </c>
      <c r="B1220" t="inlineStr">
        <is>
          <t>avverkningsanmälan</t>
        </is>
      </c>
      <c r="C1220" t="inlineStr">
        <is>
          <t>Föryngringsavverkning</t>
        </is>
      </c>
      <c r="D1220" s="1" t="n">
        <v>45895</v>
      </c>
      <c r="E1220" s="1" t="n">
        <v>46309</v>
      </c>
      <c r="F1220" t="inlineStr">
        <is>
          <t>UPPSALA LÄN</t>
        </is>
      </c>
      <c r="G1220" t="inlineStr">
        <is>
          <t>ÖSTHAMMAR</t>
        </is>
      </c>
      <c r="I1220" t="n">
        <v>2.2</v>
      </c>
      <c r="J1220" t="n">
        <v>0</v>
      </c>
      <c r="K1220" t="n">
        <v>0</v>
      </c>
      <c r="L1220" t="n">
        <v>0</v>
      </c>
      <c r="M1220" t="n">
        <v>0</v>
      </c>
      <c r="N1220" t="n">
        <v>0</v>
      </c>
      <c r="O1220" t="n">
        <v>0</v>
      </c>
      <c r="P1220" t="n">
        <v>0</v>
      </c>
      <c r="Q1220" t="n">
        <v>0</v>
      </c>
      <c r="R1220" t="n">
        <v>0</v>
      </c>
      <c r="S1220" t="n">
        <v>0</v>
      </c>
      <c r="T1220" t="n">
        <v>0</v>
      </c>
      <c r="U1220" t="n">
        <v>0</v>
      </c>
      <c r="V1220" s="2" t="inlineStr"/>
    </row>
    <row r="1221" ht="15" customHeight="1">
      <c r="A1221" t="inlineStr">
        <is>
          <t>A 40384-2025</t>
        </is>
      </c>
      <c r="B1221" t="inlineStr">
        <is>
          <t>avverkningsanmälan</t>
        </is>
      </c>
      <c r="C1221" t="inlineStr">
        <is>
          <t>Föryngringsavverkning</t>
        </is>
      </c>
      <c r="D1221" s="1" t="n">
        <v>45895</v>
      </c>
      <c r="E1221" s="1" t="n">
        <v>46309</v>
      </c>
      <c r="F1221" t="inlineStr">
        <is>
          <t>UPPSALA LÄN</t>
        </is>
      </c>
      <c r="G1221" t="inlineStr">
        <is>
          <t>ÖSTHAMMAR</t>
        </is>
      </c>
      <c r="I1221" t="n">
        <v>8.699999999999999</v>
      </c>
      <c r="J1221" t="n">
        <v>0</v>
      </c>
      <c r="K1221" t="n">
        <v>0</v>
      </c>
      <c r="L1221" t="n">
        <v>0</v>
      </c>
      <c r="M1221" t="n">
        <v>0</v>
      </c>
      <c r="N1221" t="n">
        <v>0</v>
      </c>
      <c r="O1221" t="n">
        <v>0</v>
      </c>
      <c r="P1221" t="n">
        <v>0</v>
      </c>
      <c r="Q1221" t="n">
        <v>0</v>
      </c>
      <c r="R1221" t="n">
        <v>0</v>
      </c>
      <c r="S1221" t="n">
        <v>0</v>
      </c>
      <c r="T1221" t="n">
        <v>0</v>
      </c>
      <c r="U1221" t="n">
        <v>0</v>
      </c>
      <c r="V1221" s="2" t="inlineStr"/>
    </row>
    <row r="1222" ht="15" customHeight="1">
      <c r="A1222" t="inlineStr">
        <is>
          <t>A 40460-2025</t>
        </is>
      </c>
      <c r="B1222" t="inlineStr">
        <is>
          <t>avverkningsanmälan</t>
        </is>
      </c>
      <c r="C1222" t="inlineStr">
        <is>
          <t>Föryngringsavverkning</t>
        </is>
      </c>
      <c r="D1222" s="1" t="n">
        <v>45895</v>
      </c>
      <c r="E1222" s="1" t="n">
        <v>46309</v>
      </c>
      <c r="F1222" t="inlineStr">
        <is>
          <t>UPPSALA LÄN</t>
        </is>
      </c>
      <c r="G1222" t="inlineStr">
        <is>
          <t>ÖSTHAMMAR</t>
        </is>
      </c>
      <c r="I1222" t="n">
        <v>2.7</v>
      </c>
      <c r="J1222" t="n">
        <v>0</v>
      </c>
      <c r="K1222" t="n">
        <v>0</v>
      </c>
      <c r="L1222" t="n">
        <v>0</v>
      </c>
      <c r="M1222" t="n">
        <v>0</v>
      </c>
      <c r="N1222" t="n">
        <v>0</v>
      </c>
      <c r="O1222" t="n">
        <v>0</v>
      </c>
      <c r="P1222" t="n">
        <v>0</v>
      </c>
      <c r="Q1222" t="n">
        <v>0</v>
      </c>
      <c r="R1222" t="n">
        <v>0</v>
      </c>
      <c r="S1222" t="n">
        <v>0</v>
      </c>
      <c r="T1222" t="n">
        <v>0</v>
      </c>
      <c r="U1222" t="n">
        <v>0</v>
      </c>
      <c r="V1222" s="2" t="inlineStr"/>
    </row>
    <row r="1223" ht="15" customHeight="1">
      <c r="A1223" t="inlineStr">
        <is>
          <t>A 40627-2025</t>
        </is>
      </c>
      <c r="B1223" t="inlineStr">
        <is>
          <t>avverkningsanmälan</t>
        </is>
      </c>
      <c r="C1223" t="inlineStr">
        <is>
          <t>Föryngringsavverkning</t>
        </is>
      </c>
      <c r="D1223" s="1" t="n">
        <v>45896</v>
      </c>
      <c r="E1223" s="1" t="n">
        <v>46309</v>
      </c>
      <c r="F1223" t="inlineStr">
        <is>
          <t>UPPSALA LÄN</t>
        </is>
      </c>
      <c r="G1223" t="inlineStr">
        <is>
          <t>TIERP</t>
        </is>
      </c>
      <c r="H1223" t="inlineStr">
        <is>
          <t>Bergvik skog öst AB</t>
        </is>
      </c>
      <c r="I1223" t="n">
        <v>0.3</v>
      </c>
      <c r="J1223" t="n">
        <v>0</v>
      </c>
      <c r="K1223" t="n">
        <v>0</v>
      </c>
      <c r="L1223" t="n">
        <v>0</v>
      </c>
      <c r="M1223" t="n">
        <v>0</v>
      </c>
      <c r="N1223" t="n">
        <v>0</v>
      </c>
      <c r="O1223" t="n">
        <v>0</v>
      </c>
      <c r="P1223" t="n">
        <v>0</v>
      </c>
      <c r="Q1223" t="n">
        <v>0</v>
      </c>
      <c r="R1223" t="n">
        <v>0</v>
      </c>
      <c r="S1223" t="n">
        <v>0</v>
      </c>
      <c r="T1223" t="n">
        <v>0</v>
      </c>
      <c r="U1223" t="n">
        <v>0</v>
      </c>
      <c r="V1223" s="2" t="inlineStr"/>
    </row>
    <row r="1224" ht="15" customHeight="1">
      <c r="A1224" t="inlineStr">
        <is>
          <t>A 45313-2022</t>
        </is>
      </c>
      <c r="B1224" t="inlineStr">
        <is>
          <t>avverkningsanmälan</t>
        </is>
      </c>
      <c r="C1224" t="inlineStr">
        <is>
          <t>Föryngringsavverkning</t>
        </is>
      </c>
      <c r="D1224" s="1" t="n">
        <v>44844</v>
      </c>
      <c r="E1224" s="1" t="n">
        <v>46309</v>
      </c>
      <c r="F1224" t="inlineStr">
        <is>
          <t>UPPSALA LÄN</t>
        </is>
      </c>
      <c r="G1224" t="inlineStr">
        <is>
          <t>HEBY</t>
        </is>
      </c>
      <c r="I1224" t="n">
        <v>4.2</v>
      </c>
      <c r="J1224" t="n">
        <v>0</v>
      </c>
      <c r="K1224" t="n">
        <v>0</v>
      </c>
      <c r="L1224" t="n">
        <v>0</v>
      </c>
      <c r="M1224" t="n">
        <v>0</v>
      </c>
      <c r="N1224" t="n">
        <v>0</v>
      </c>
      <c r="O1224" t="n">
        <v>0</v>
      </c>
      <c r="P1224" t="n">
        <v>0</v>
      </c>
      <c r="Q1224" t="n">
        <v>0</v>
      </c>
      <c r="R1224" t="n">
        <v>0</v>
      </c>
      <c r="S1224" t="n">
        <v>0</v>
      </c>
      <c r="T1224" t="n">
        <v>0</v>
      </c>
      <c r="U1224" t="n">
        <v>0</v>
      </c>
      <c r="V1224" s="2" t="inlineStr"/>
    </row>
    <row r="1225" ht="15" customHeight="1">
      <c r="A1225" t="inlineStr">
        <is>
          <t>A 32127-2024</t>
        </is>
      </c>
      <c r="B1225" t="inlineStr">
        <is>
          <t>avverkningsanmälan</t>
        </is>
      </c>
      <c r="C1225" t="inlineStr">
        <is>
          <t>Avverkning för att bevara och utveckla /försöksver</t>
        </is>
      </c>
      <c r="D1225" s="1" t="n">
        <v>45511</v>
      </c>
      <c r="E1225" s="1" t="n">
        <v>46309</v>
      </c>
      <c r="F1225" t="inlineStr">
        <is>
          <t>UPPSALA LÄN</t>
        </is>
      </c>
      <c r="G1225" t="inlineStr">
        <is>
          <t>UPPSALA</t>
        </is>
      </c>
      <c r="I1225" t="n">
        <v>3.7</v>
      </c>
      <c r="J1225" t="n">
        <v>0</v>
      </c>
      <c r="K1225" t="n">
        <v>0</v>
      </c>
      <c r="L1225" t="n">
        <v>0</v>
      </c>
      <c r="M1225" t="n">
        <v>0</v>
      </c>
      <c r="N1225" t="n">
        <v>0</v>
      </c>
      <c r="O1225" t="n">
        <v>0</v>
      </c>
      <c r="P1225" t="n">
        <v>0</v>
      </c>
      <c r="Q1225" t="n">
        <v>0</v>
      </c>
      <c r="R1225" t="n">
        <v>0</v>
      </c>
      <c r="S1225" t="n">
        <v>0</v>
      </c>
      <c r="T1225" t="n">
        <v>0</v>
      </c>
      <c r="U1225" t="n">
        <v>0</v>
      </c>
      <c r="V1225" s="2" t="inlineStr"/>
    </row>
    <row r="1226" ht="15" customHeight="1">
      <c r="A1226" t="inlineStr">
        <is>
          <t>A 13676-2024</t>
        </is>
      </c>
      <c r="B1226" t="inlineStr">
        <is>
          <t>avverkningsanmälan</t>
        </is>
      </c>
      <c r="C1226" t="inlineStr">
        <is>
          <t>Föryngringsavverkning</t>
        </is>
      </c>
      <c r="D1226" s="1" t="n">
        <v>45390</v>
      </c>
      <c r="E1226" s="1" t="n">
        <v>46309</v>
      </c>
      <c r="F1226" t="inlineStr">
        <is>
          <t>UPPSALA LÄN</t>
        </is>
      </c>
      <c r="G1226" t="inlineStr">
        <is>
          <t>HEBY</t>
        </is>
      </c>
      <c r="I1226" t="n">
        <v>15.8</v>
      </c>
      <c r="J1226" t="n">
        <v>0</v>
      </c>
      <c r="K1226" t="n">
        <v>0</v>
      </c>
      <c r="L1226" t="n">
        <v>0</v>
      </c>
      <c r="M1226" t="n">
        <v>0</v>
      </c>
      <c r="N1226" t="n">
        <v>0</v>
      </c>
      <c r="O1226" t="n">
        <v>0</v>
      </c>
      <c r="P1226" t="n">
        <v>0</v>
      </c>
      <c r="Q1226" t="n">
        <v>0</v>
      </c>
      <c r="R1226" t="n">
        <v>0</v>
      </c>
      <c r="S1226" t="n">
        <v>0</v>
      </c>
      <c r="T1226" t="n">
        <v>0</v>
      </c>
      <c r="U1226" t="n">
        <v>0</v>
      </c>
      <c r="V1226" s="2" t="inlineStr"/>
    </row>
    <row r="1227" ht="15" customHeight="1">
      <c r="A1227" t="inlineStr">
        <is>
          <t>A 64811-2021</t>
        </is>
      </c>
      <c r="B1227" t="inlineStr">
        <is>
          <t>avverkningsanmälan</t>
        </is>
      </c>
      <c r="C1227" t="inlineStr">
        <is>
          <t>Föryngringsavverkning</t>
        </is>
      </c>
      <c r="D1227" s="1" t="n">
        <v>44512</v>
      </c>
      <c r="E1227" s="1" t="n">
        <v>46309</v>
      </c>
      <c r="F1227" t="inlineStr">
        <is>
          <t>UPPSALA LÄN</t>
        </is>
      </c>
      <c r="G1227" t="inlineStr">
        <is>
          <t>ÖSTHAMMAR</t>
        </is>
      </c>
      <c r="I1227" t="n">
        <v>4.2</v>
      </c>
      <c r="J1227" t="n">
        <v>0</v>
      </c>
      <c r="K1227" t="n">
        <v>0</v>
      </c>
      <c r="L1227" t="n">
        <v>0</v>
      </c>
      <c r="M1227" t="n">
        <v>0</v>
      </c>
      <c r="N1227" t="n">
        <v>0</v>
      </c>
      <c r="O1227" t="n">
        <v>0</v>
      </c>
      <c r="P1227" t="n">
        <v>0</v>
      </c>
      <c r="Q1227" t="n">
        <v>0</v>
      </c>
      <c r="R1227" t="n">
        <v>0</v>
      </c>
      <c r="S1227" t="n">
        <v>0</v>
      </c>
      <c r="T1227" t="n">
        <v>0</v>
      </c>
      <c r="U1227" t="n">
        <v>0</v>
      </c>
      <c r="V1227" s="2" t="inlineStr"/>
    </row>
    <row r="1228" ht="15" customHeight="1">
      <c r="A1228" t="inlineStr">
        <is>
          <t>A 14884-2024</t>
        </is>
      </c>
      <c r="B1228" t="inlineStr">
        <is>
          <t>avverkningsanmälan</t>
        </is>
      </c>
      <c r="C1228" t="inlineStr">
        <is>
          <t>Föryngringsavverkning</t>
        </is>
      </c>
      <c r="D1228" s="1" t="n">
        <v>45398</v>
      </c>
      <c r="E1228" s="1" t="n">
        <v>46309</v>
      </c>
      <c r="F1228" t="inlineStr">
        <is>
          <t>UPPSALA LÄN</t>
        </is>
      </c>
      <c r="G1228" t="inlineStr">
        <is>
          <t>HEBY</t>
        </is>
      </c>
      <c r="I1228" t="n">
        <v>2.2</v>
      </c>
      <c r="J1228" t="n">
        <v>0</v>
      </c>
      <c r="K1228" t="n">
        <v>0</v>
      </c>
      <c r="L1228" t="n">
        <v>0</v>
      </c>
      <c r="M1228" t="n">
        <v>0</v>
      </c>
      <c r="N1228" t="n">
        <v>0</v>
      </c>
      <c r="O1228" t="n">
        <v>0</v>
      </c>
      <c r="P1228" t="n">
        <v>0</v>
      </c>
      <c r="Q1228" t="n">
        <v>0</v>
      </c>
      <c r="R1228" t="n">
        <v>0</v>
      </c>
      <c r="S1228" t="n">
        <v>0</v>
      </c>
      <c r="T1228" t="n">
        <v>0</v>
      </c>
      <c r="U1228" t="n">
        <v>0</v>
      </c>
      <c r="V1228" s="2" t="inlineStr"/>
    </row>
    <row r="1229" ht="15" customHeight="1">
      <c r="A1229" t="inlineStr">
        <is>
          <t>A 8783-2023</t>
        </is>
      </c>
      <c r="B1229" t="inlineStr">
        <is>
          <t>avverkningsanmälan</t>
        </is>
      </c>
      <c r="C1229" t="inlineStr">
        <is>
          <t>Föryngringsavverkning</t>
        </is>
      </c>
      <c r="D1229" s="1" t="n">
        <v>44978</v>
      </c>
      <c r="E1229" s="1" t="n">
        <v>46309</v>
      </c>
      <c r="F1229" t="inlineStr">
        <is>
          <t>UPPSALA LÄN</t>
        </is>
      </c>
      <c r="G1229" t="inlineStr">
        <is>
          <t>HEBY</t>
        </is>
      </c>
      <c r="I1229" t="n">
        <v>0.6</v>
      </c>
      <c r="J1229" t="n">
        <v>0</v>
      </c>
      <c r="K1229" t="n">
        <v>0</v>
      </c>
      <c r="L1229" t="n">
        <v>0</v>
      </c>
      <c r="M1229" t="n">
        <v>0</v>
      </c>
      <c r="N1229" t="n">
        <v>0</v>
      </c>
      <c r="O1229" t="n">
        <v>0</v>
      </c>
      <c r="P1229" t="n">
        <v>0</v>
      </c>
      <c r="Q1229" t="n">
        <v>0</v>
      </c>
      <c r="R1229" t="n">
        <v>0</v>
      </c>
      <c r="S1229" t="n">
        <v>0</v>
      </c>
      <c r="T1229" t="n">
        <v>0</v>
      </c>
      <c r="U1229" t="n">
        <v>0</v>
      </c>
      <c r="V1229" s="2" t="inlineStr"/>
    </row>
    <row r="1230" ht="15" customHeight="1">
      <c r="A1230" t="inlineStr">
        <is>
          <t>A 35067-2024</t>
        </is>
      </c>
      <c r="B1230" t="inlineStr">
        <is>
          <t>avverkningsanmälan</t>
        </is>
      </c>
      <c r="C1230" t="inlineStr">
        <is>
          <t>Föryngringsavverkning</t>
        </is>
      </c>
      <c r="D1230" s="1" t="n">
        <v>45527</v>
      </c>
      <c r="E1230" s="1" t="n">
        <v>46309</v>
      </c>
      <c r="F1230" t="inlineStr">
        <is>
          <t>UPPSALA LÄN</t>
        </is>
      </c>
      <c r="G1230" t="inlineStr">
        <is>
          <t>ENKÖPING</t>
        </is>
      </c>
      <c r="I1230" t="n">
        <v>1</v>
      </c>
      <c r="J1230" t="n">
        <v>0</v>
      </c>
      <c r="K1230" t="n">
        <v>0</v>
      </c>
      <c r="L1230" t="n">
        <v>0</v>
      </c>
      <c r="M1230" t="n">
        <v>0</v>
      </c>
      <c r="N1230" t="n">
        <v>0</v>
      </c>
      <c r="O1230" t="n">
        <v>0</v>
      </c>
      <c r="P1230" t="n">
        <v>0</v>
      </c>
      <c r="Q1230" t="n">
        <v>0</v>
      </c>
      <c r="R1230" t="n">
        <v>0</v>
      </c>
      <c r="S1230" t="n">
        <v>0</v>
      </c>
      <c r="T1230" t="n">
        <v>0</v>
      </c>
      <c r="U1230" t="n">
        <v>0</v>
      </c>
      <c r="V1230" s="2" t="inlineStr"/>
    </row>
    <row r="1231" ht="15" customHeight="1">
      <c r="A1231" t="inlineStr">
        <is>
          <t>A 8830-2023</t>
        </is>
      </c>
      <c r="B1231" t="inlineStr">
        <is>
          <t>avverkningsanmälan</t>
        </is>
      </c>
      <c r="C1231" t="inlineStr">
        <is>
          <t>Föryngringsavverkning</t>
        </is>
      </c>
      <c r="D1231" s="1" t="n">
        <v>44978</v>
      </c>
      <c r="E1231" s="1" t="n">
        <v>46309</v>
      </c>
      <c r="F1231" t="inlineStr">
        <is>
          <t>UPPSALA LÄN</t>
        </is>
      </c>
      <c r="G1231" t="inlineStr">
        <is>
          <t>ÖSTHAMMAR</t>
        </is>
      </c>
      <c r="H1231" t="inlineStr">
        <is>
          <t>Bergvik skog öst AB</t>
        </is>
      </c>
      <c r="I1231" t="n">
        <v>1.6</v>
      </c>
      <c r="J1231" t="n">
        <v>0</v>
      </c>
      <c r="K1231" t="n">
        <v>0</v>
      </c>
      <c r="L1231" t="n">
        <v>0</v>
      </c>
      <c r="M1231" t="n">
        <v>0</v>
      </c>
      <c r="N1231" t="n">
        <v>0</v>
      </c>
      <c r="O1231" t="n">
        <v>0</v>
      </c>
      <c r="P1231" t="n">
        <v>0</v>
      </c>
      <c r="Q1231" t="n">
        <v>0</v>
      </c>
      <c r="R1231" t="n">
        <v>0</v>
      </c>
      <c r="S1231" t="n">
        <v>0</v>
      </c>
      <c r="T1231" t="n">
        <v>0</v>
      </c>
      <c r="U1231" t="n">
        <v>0</v>
      </c>
      <c r="V1231" s="2" t="inlineStr"/>
    </row>
    <row r="1232" ht="15" customHeight="1">
      <c r="A1232" t="inlineStr">
        <is>
          <t>A 3466-2025</t>
        </is>
      </c>
      <c r="B1232" t="inlineStr">
        <is>
          <t>avverkningsanmälan</t>
        </is>
      </c>
      <c r="C1232" t="inlineStr">
        <is>
          <t>Föryngringsavverkning</t>
        </is>
      </c>
      <c r="D1232" s="1" t="n">
        <v>45680</v>
      </c>
      <c r="E1232" s="1" t="n">
        <v>46309</v>
      </c>
      <c r="F1232" t="inlineStr">
        <is>
          <t>UPPSALA LÄN</t>
        </is>
      </c>
      <c r="G1232" t="inlineStr">
        <is>
          <t>HEBY</t>
        </is>
      </c>
      <c r="I1232" t="n">
        <v>6.6</v>
      </c>
      <c r="J1232" t="n">
        <v>0</v>
      </c>
      <c r="K1232" t="n">
        <v>0</v>
      </c>
      <c r="L1232" t="n">
        <v>0</v>
      </c>
      <c r="M1232" t="n">
        <v>0</v>
      </c>
      <c r="N1232" t="n">
        <v>0</v>
      </c>
      <c r="O1232" t="n">
        <v>0</v>
      </c>
      <c r="P1232" t="n">
        <v>0</v>
      </c>
      <c r="Q1232" t="n">
        <v>0</v>
      </c>
      <c r="R1232" t="n">
        <v>0</v>
      </c>
      <c r="S1232" t="n">
        <v>0</v>
      </c>
      <c r="T1232" t="n">
        <v>0</v>
      </c>
      <c r="U1232" t="n">
        <v>0</v>
      </c>
      <c r="V1232" s="2" t="inlineStr"/>
    </row>
    <row r="1233" ht="15" customHeight="1">
      <c r="A1233" t="inlineStr">
        <is>
          <t>A 41220-2025</t>
        </is>
      </c>
      <c r="B1233" t="inlineStr">
        <is>
          <t>avverkningsanmälan</t>
        </is>
      </c>
      <c r="C1233" t="inlineStr">
        <is>
          <t>Föryngringsavverkning</t>
        </is>
      </c>
      <c r="D1233" s="1" t="n">
        <v>45898</v>
      </c>
      <c r="E1233" s="1" t="n">
        <v>46309</v>
      </c>
      <c r="F1233" t="inlineStr">
        <is>
          <t>UPPSALA LÄN</t>
        </is>
      </c>
      <c r="G1233" t="inlineStr">
        <is>
          <t>ÖSTHAMMAR</t>
        </is>
      </c>
      <c r="H1233" t="inlineStr">
        <is>
          <t>Bergvik skog öst AB</t>
        </is>
      </c>
      <c r="I1233" t="n">
        <v>2.5</v>
      </c>
      <c r="J1233" t="n">
        <v>0</v>
      </c>
      <c r="K1233" t="n">
        <v>0</v>
      </c>
      <c r="L1233" t="n">
        <v>0</v>
      </c>
      <c r="M1233" t="n">
        <v>0</v>
      </c>
      <c r="N1233" t="n">
        <v>0</v>
      </c>
      <c r="O1233" t="n">
        <v>0</v>
      </c>
      <c r="P1233" t="n">
        <v>0</v>
      </c>
      <c r="Q1233" t="n">
        <v>0</v>
      </c>
      <c r="R1233" t="n">
        <v>0</v>
      </c>
      <c r="S1233" t="n">
        <v>0</v>
      </c>
      <c r="T1233" t="n">
        <v>0</v>
      </c>
      <c r="U1233" t="n">
        <v>0</v>
      </c>
      <c r="V1233" s="2" t="inlineStr"/>
    </row>
    <row r="1234" ht="15" customHeight="1">
      <c r="A1234" t="inlineStr">
        <is>
          <t>A 49996-2023</t>
        </is>
      </c>
      <c r="B1234" t="inlineStr">
        <is>
          <t>avverkningsanmälan</t>
        </is>
      </c>
      <c r="C1234" t="inlineStr">
        <is>
          <t>Föryngringsavverkning</t>
        </is>
      </c>
      <c r="D1234" s="1" t="n">
        <v>45215</v>
      </c>
      <c r="E1234" s="1" t="n">
        <v>46309</v>
      </c>
      <c r="F1234" t="inlineStr">
        <is>
          <t>UPPSALA LÄN</t>
        </is>
      </c>
      <c r="G1234" t="inlineStr">
        <is>
          <t>UPPSALA</t>
        </is>
      </c>
      <c r="I1234" t="n">
        <v>2</v>
      </c>
      <c r="J1234" t="n">
        <v>0</v>
      </c>
      <c r="K1234" t="n">
        <v>0</v>
      </c>
      <c r="L1234" t="n">
        <v>0</v>
      </c>
      <c r="M1234" t="n">
        <v>0</v>
      </c>
      <c r="N1234" t="n">
        <v>0</v>
      </c>
      <c r="O1234" t="n">
        <v>0</v>
      </c>
      <c r="P1234" t="n">
        <v>0</v>
      </c>
      <c r="Q1234" t="n">
        <v>0</v>
      </c>
      <c r="R1234" t="n">
        <v>0</v>
      </c>
      <c r="S1234" t="n">
        <v>0</v>
      </c>
      <c r="T1234" t="n">
        <v>0</v>
      </c>
      <c r="U1234" t="n">
        <v>0</v>
      </c>
      <c r="V1234" s="2" t="inlineStr"/>
    </row>
    <row r="1235" ht="15" customHeight="1">
      <c r="A1235" t="inlineStr">
        <is>
          <t>A 6106-2024</t>
        </is>
      </c>
      <c r="B1235" t="inlineStr">
        <is>
          <t>avverkningsanmälan</t>
        </is>
      </c>
      <c r="C1235" t="inlineStr">
        <is>
          <t>Föryngringsavverkning</t>
        </is>
      </c>
      <c r="D1235" s="1" t="n">
        <v>45337</v>
      </c>
      <c r="E1235" s="1" t="n">
        <v>46309</v>
      </c>
      <c r="F1235" t="inlineStr">
        <is>
          <t>UPPSALA LÄN</t>
        </is>
      </c>
      <c r="G1235" t="inlineStr">
        <is>
          <t>ÖSTHAMMAR</t>
        </is>
      </c>
      <c r="I1235" t="n">
        <v>0.6</v>
      </c>
      <c r="J1235" t="n">
        <v>0</v>
      </c>
      <c r="K1235" t="n">
        <v>0</v>
      </c>
      <c r="L1235" t="n">
        <v>0</v>
      </c>
      <c r="M1235" t="n">
        <v>0</v>
      </c>
      <c r="N1235" t="n">
        <v>0</v>
      </c>
      <c r="O1235" t="n">
        <v>0</v>
      </c>
      <c r="P1235" t="n">
        <v>0</v>
      </c>
      <c r="Q1235" t="n">
        <v>0</v>
      </c>
      <c r="R1235" t="n">
        <v>0</v>
      </c>
      <c r="S1235" t="n">
        <v>0</v>
      </c>
      <c r="T1235" t="n">
        <v>0</v>
      </c>
      <c r="U1235" t="n">
        <v>0</v>
      </c>
      <c r="V1235" s="2" t="inlineStr"/>
    </row>
    <row r="1236" ht="15" customHeight="1">
      <c r="A1236" t="inlineStr">
        <is>
          <t>A 41246-2025</t>
        </is>
      </c>
      <c r="B1236" t="inlineStr">
        <is>
          <t>avverkningsanmälan</t>
        </is>
      </c>
      <c r="C1236" t="inlineStr">
        <is>
          <t>Föryngringsavverkning</t>
        </is>
      </c>
      <c r="D1236" s="1" t="n">
        <v>45898</v>
      </c>
      <c r="E1236" s="1" t="n">
        <v>46309</v>
      </c>
      <c r="F1236" t="inlineStr">
        <is>
          <t>UPPSALA LÄN</t>
        </is>
      </c>
      <c r="G1236" t="inlineStr">
        <is>
          <t>HEBY</t>
        </is>
      </c>
      <c r="I1236" t="n">
        <v>0.6</v>
      </c>
      <c r="J1236" t="n">
        <v>0</v>
      </c>
      <c r="K1236" t="n">
        <v>0</v>
      </c>
      <c r="L1236" t="n">
        <v>0</v>
      </c>
      <c r="M1236" t="n">
        <v>0</v>
      </c>
      <c r="N1236" t="n">
        <v>0</v>
      </c>
      <c r="O1236" t="n">
        <v>0</v>
      </c>
      <c r="P1236" t="n">
        <v>0</v>
      </c>
      <c r="Q1236" t="n">
        <v>0</v>
      </c>
      <c r="R1236" t="n">
        <v>0</v>
      </c>
      <c r="S1236" t="n">
        <v>0</v>
      </c>
      <c r="T1236" t="n">
        <v>0</v>
      </c>
      <c r="U1236" t="n">
        <v>0</v>
      </c>
      <c r="V1236" s="2" t="inlineStr"/>
    </row>
    <row r="1237" ht="15" customHeight="1">
      <c r="A1237" t="inlineStr">
        <is>
          <t>A 9758-2023</t>
        </is>
      </c>
      <c r="B1237" t="inlineStr">
        <is>
          <t>avverkningsanmälan</t>
        </is>
      </c>
      <c r="C1237" t="inlineStr">
        <is>
          <t>Föryngringsavverkning</t>
        </is>
      </c>
      <c r="D1237" s="1" t="n">
        <v>44984</v>
      </c>
      <c r="E1237" s="1" t="n">
        <v>46309</v>
      </c>
      <c r="F1237" t="inlineStr">
        <is>
          <t>UPPSALA LÄN</t>
        </is>
      </c>
      <c r="G1237" t="inlineStr">
        <is>
          <t>HEBY</t>
        </is>
      </c>
      <c r="I1237" t="n">
        <v>2.1</v>
      </c>
      <c r="J1237" t="n">
        <v>0</v>
      </c>
      <c r="K1237" t="n">
        <v>0</v>
      </c>
      <c r="L1237" t="n">
        <v>0</v>
      </c>
      <c r="M1237" t="n">
        <v>0</v>
      </c>
      <c r="N1237" t="n">
        <v>0</v>
      </c>
      <c r="O1237" t="n">
        <v>0</v>
      </c>
      <c r="P1237" t="n">
        <v>0</v>
      </c>
      <c r="Q1237" t="n">
        <v>0</v>
      </c>
      <c r="R1237" t="n">
        <v>0</v>
      </c>
      <c r="S1237" t="n">
        <v>0</v>
      </c>
      <c r="T1237" t="n">
        <v>0</v>
      </c>
      <c r="U1237" t="n">
        <v>0</v>
      </c>
      <c r="V1237" s="2" t="inlineStr"/>
    </row>
    <row r="1238" ht="15" customHeight="1">
      <c r="A1238" t="inlineStr">
        <is>
          <t>A 9398-2023</t>
        </is>
      </c>
      <c r="B1238" t="inlineStr">
        <is>
          <t>avverkningsanmälan</t>
        </is>
      </c>
      <c r="C1238" t="inlineStr">
        <is>
          <t>Föryngringsavverkning</t>
        </is>
      </c>
      <c r="D1238" s="1" t="n">
        <v>44977</v>
      </c>
      <c r="E1238" s="1" t="n">
        <v>46309</v>
      </c>
      <c r="F1238" t="inlineStr">
        <is>
          <t>UPPSALA LÄN</t>
        </is>
      </c>
      <c r="G1238" t="inlineStr">
        <is>
          <t>UPPSALA</t>
        </is>
      </c>
      <c r="I1238" t="n">
        <v>5.1</v>
      </c>
      <c r="J1238" t="n">
        <v>0</v>
      </c>
      <c r="K1238" t="n">
        <v>0</v>
      </c>
      <c r="L1238" t="n">
        <v>0</v>
      </c>
      <c r="M1238" t="n">
        <v>0</v>
      </c>
      <c r="N1238" t="n">
        <v>0</v>
      </c>
      <c r="O1238" t="n">
        <v>0</v>
      </c>
      <c r="P1238" t="n">
        <v>0</v>
      </c>
      <c r="Q1238" t="n">
        <v>0</v>
      </c>
      <c r="R1238" t="n">
        <v>0</v>
      </c>
      <c r="S1238" t="n">
        <v>0</v>
      </c>
      <c r="T1238" t="n">
        <v>0</v>
      </c>
      <c r="U1238" t="n">
        <v>0</v>
      </c>
      <c r="V1238" s="2" t="inlineStr"/>
    </row>
    <row r="1239" ht="15" customHeight="1">
      <c r="A1239" t="inlineStr">
        <is>
          <t>A 33366-2024</t>
        </is>
      </c>
      <c r="B1239" t="inlineStr">
        <is>
          <t>avverkningsanmälan</t>
        </is>
      </c>
      <c r="C1239" t="inlineStr">
        <is>
          <t>Föryngringsavverkning</t>
        </is>
      </c>
      <c r="D1239" s="1" t="n">
        <v>45519</v>
      </c>
      <c r="E1239" s="1" t="n">
        <v>46309</v>
      </c>
      <c r="F1239" t="inlineStr">
        <is>
          <t>UPPSALA LÄN</t>
        </is>
      </c>
      <c r="G1239" t="inlineStr">
        <is>
          <t>HEBY</t>
        </is>
      </c>
      <c r="I1239" t="n">
        <v>1.3</v>
      </c>
      <c r="J1239" t="n">
        <v>0</v>
      </c>
      <c r="K1239" t="n">
        <v>0</v>
      </c>
      <c r="L1239" t="n">
        <v>0</v>
      </c>
      <c r="M1239" t="n">
        <v>0</v>
      </c>
      <c r="N1239" t="n">
        <v>0</v>
      </c>
      <c r="O1239" t="n">
        <v>0</v>
      </c>
      <c r="P1239" t="n">
        <v>0</v>
      </c>
      <c r="Q1239" t="n">
        <v>0</v>
      </c>
      <c r="R1239" t="n">
        <v>0</v>
      </c>
      <c r="S1239" t="n">
        <v>0</v>
      </c>
      <c r="T1239" t="n">
        <v>0</v>
      </c>
      <c r="U1239" t="n">
        <v>0</v>
      </c>
      <c r="V1239" s="2" t="inlineStr"/>
    </row>
    <row r="1240" ht="15" customHeight="1">
      <c r="A1240" t="inlineStr">
        <is>
          <t>A 41531-2025</t>
        </is>
      </c>
      <c r="B1240" t="inlineStr">
        <is>
          <t>avverkningsanmälan</t>
        </is>
      </c>
      <c r="C1240" t="inlineStr">
        <is>
          <t>Föryngringsavverkning</t>
        </is>
      </c>
      <c r="D1240" s="1" t="n">
        <v>45901</v>
      </c>
      <c r="E1240" s="1" t="n">
        <v>46309</v>
      </c>
      <c r="F1240" t="inlineStr">
        <is>
          <t>UPPSALA LÄN</t>
        </is>
      </c>
      <c r="G1240" t="inlineStr">
        <is>
          <t>TIERP</t>
        </is>
      </c>
      <c r="I1240" t="n">
        <v>1.1</v>
      </c>
      <c r="J1240" t="n">
        <v>0</v>
      </c>
      <c r="K1240" t="n">
        <v>0</v>
      </c>
      <c r="L1240" t="n">
        <v>0</v>
      </c>
      <c r="M1240" t="n">
        <v>0</v>
      </c>
      <c r="N1240" t="n">
        <v>0</v>
      </c>
      <c r="O1240" t="n">
        <v>0</v>
      </c>
      <c r="P1240" t="n">
        <v>0</v>
      </c>
      <c r="Q1240" t="n">
        <v>0</v>
      </c>
      <c r="R1240" t="n">
        <v>0</v>
      </c>
      <c r="S1240" t="n">
        <v>0</v>
      </c>
      <c r="T1240" t="n">
        <v>0</v>
      </c>
      <c r="U1240" t="n">
        <v>0</v>
      </c>
      <c r="V1240" s="2" t="inlineStr"/>
    </row>
    <row r="1241" ht="15" customHeight="1">
      <c r="A1241" t="inlineStr">
        <is>
          <t>A 41535-2025</t>
        </is>
      </c>
      <c r="B1241" t="inlineStr">
        <is>
          <t>avverkningsanmälan</t>
        </is>
      </c>
      <c r="C1241" t="inlineStr">
        <is>
          <t>Föryngringsavverkning</t>
        </is>
      </c>
      <c r="D1241" s="1" t="n">
        <v>45901</v>
      </c>
      <c r="E1241" s="1" t="n">
        <v>46309</v>
      </c>
      <c r="F1241" t="inlineStr">
        <is>
          <t>UPPSALA LÄN</t>
        </is>
      </c>
      <c r="G1241" t="inlineStr">
        <is>
          <t>TIERP</t>
        </is>
      </c>
      <c r="I1241" t="n">
        <v>4.2</v>
      </c>
      <c r="J1241" t="n">
        <v>0</v>
      </c>
      <c r="K1241" t="n">
        <v>0</v>
      </c>
      <c r="L1241" t="n">
        <v>0</v>
      </c>
      <c r="M1241" t="n">
        <v>0</v>
      </c>
      <c r="N1241" t="n">
        <v>0</v>
      </c>
      <c r="O1241" t="n">
        <v>0</v>
      </c>
      <c r="P1241" t="n">
        <v>0</v>
      </c>
      <c r="Q1241" t="n">
        <v>0</v>
      </c>
      <c r="R1241" t="n">
        <v>0</v>
      </c>
      <c r="S1241" t="n">
        <v>0</v>
      </c>
      <c r="T1241" t="n">
        <v>0</v>
      </c>
      <c r="U1241" t="n">
        <v>0</v>
      </c>
      <c r="V1241" s="2" t="inlineStr"/>
    </row>
    <row r="1242" ht="15" customHeight="1">
      <c r="A1242" t="inlineStr">
        <is>
          <t>A 62295-2022</t>
        </is>
      </c>
      <c r="B1242" t="inlineStr">
        <is>
          <t>avverkningsanmälan</t>
        </is>
      </c>
      <c r="C1242" t="inlineStr">
        <is>
          <t>Föryngringsavverkning</t>
        </is>
      </c>
      <c r="D1242" s="1" t="n">
        <v>44916</v>
      </c>
      <c r="E1242" s="1" t="n">
        <v>46309</v>
      </c>
      <c r="F1242" t="inlineStr">
        <is>
          <t>UPPSALA LÄN</t>
        </is>
      </c>
      <c r="G1242" t="inlineStr">
        <is>
          <t>ÖSTHAMMAR</t>
        </is>
      </c>
      <c r="I1242" t="n">
        <v>3.3</v>
      </c>
      <c r="J1242" t="n">
        <v>0</v>
      </c>
      <c r="K1242" t="n">
        <v>0</v>
      </c>
      <c r="L1242" t="n">
        <v>0</v>
      </c>
      <c r="M1242" t="n">
        <v>0</v>
      </c>
      <c r="N1242" t="n">
        <v>0</v>
      </c>
      <c r="O1242" t="n">
        <v>0</v>
      </c>
      <c r="P1242" t="n">
        <v>0</v>
      </c>
      <c r="Q1242" t="n">
        <v>0</v>
      </c>
      <c r="R1242" t="n">
        <v>0</v>
      </c>
      <c r="S1242" t="n">
        <v>0</v>
      </c>
      <c r="T1242" t="n">
        <v>0</v>
      </c>
      <c r="U1242" t="n">
        <v>0</v>
      </c>
      <c r="V1242" s="2" t="inlineStr"/>
    </row>
    <row r="1243" ht="15" customHeight="1">
      <c r="A1243" t="inlineStr">
        <is>
          <t>A 25525-2023</t>
        </is>
      </c>
      <c r="B1243" t="inlineStr">
        <is>
          <t>avverkningsanmälan</t>
        </is>
      </c>
      <c r="C1243" t="inlineStr">
        <is>
          <t>Föryngringsavverkning</t>
        </is>
      </c>
      <c r="D1243" s="1" t="n">
        <v>45089</v>
      </c>
      <c r="E1243" s="1" t="n">
        <v>46309</v>
      </c>
      <c r="F1243" t="inlineStr">
        <is>
          <t>UPPSALA LÄN</t>
        </is>
      </c>
      <c r="G1243" t="inlineStr">
        <is>
          <t>HEBY</t>
        </is>
      </c>
      <c r="I1243" t="n">
        <v>0.7</v>
      </c>
      <c r="J1243" t="n">
        <v>0</v>
      </c>
      <c r="K1243" t="n">
        <v>0</v>
      </c>
      <c r="L1243" t="n">
        <v>0</v>
      </c>
      <c r="M1243" t="n">
        <v>0</v>
      </c>
      <c r="N1243" t="n">
        <v>0</v>
      </c>
      <c r="O1243" t="n">
        <v>0</v>
      </c>
      <c r="P1243" t="n">
        <v>0</v>
      </c>
      <c r="Q1243" t="n">
        <v>0</v>
      </c>
      <c r="R1243" t="n">
        <v>0</v>
      </c>
      <c r="S1243" t="n">
        <v>0</v>
      </c>
      <c r="T1243" t="n">
        <v>0</v>
      </c>
      <c r="U1243" t="n">
        <v>0</v>
      </c>
      <c r="V1243" s="2" t="inlineStr"/>
    </row>
    <row r="1244" ht="15" customHeight="1">
      <c r="A1244" t="inlineStr">
        <is>
          <t>A 24401-2025</t>
        </is>
      </c>
      <c r="B1244" t="inlineStr">
        <is>
          <t>avverkningsanmälan</t>
        </is>
      </c>
      <c r="C1244" t="inlineStr">
        <is>
          <t>Föryngringsavverkning</t>
        </is>
      </c>
      <c r="D1244" s="1" t="n">
        <v>45797</v>
      </c>
      <c r="E1244" s="1" t="n">
        <v>46309</v>
      </c>
      <c r="F1244" t="inlineStr">
        <is>
          <t>UPPSALA LÄN</t>
        </is>
      </c>
      <c r="G1244" t="inlineStr">
        <is>
          <t>ÖSTHAMMAR</t>
        </is>
      </c>
      <c r="I1244" t="n">
        <v>1.4</v>
      </c>
      <c r="J1244" t="n">
        <v>0</v>
      </c>
      <c r="K1244" t="n">
        <v>0</v>
      </c>
      <c r="L1244" t="n">
        <v>0</v>
      </c>
      <c r="M1244" t="n">
        <v>0</v>
      </c>
      <c r="N1244" t="n">
        <v>0</v>
      </c>
      <c r="O1244" t="n">
        <v>0</v>
      </c>
      <c r="P1244" t="n">
        <v>0</v>
      </c>
      <c r="Q1244" t="n">
        <v>0</v>
      </c>
      <c r="R1244" t="n">
        <v>0</v>
      </c>
      <c r="S1244" t="n">
        <v>0</v>
      </c>
      <c r="T1244" t="n">
        <v>0</v>
      </c>
      <c r="U1244" t="n">
        <v>0</v>
      </c>
      <c r="V1244" s="2" t="inlineStr"/>
    </row>
    <row r="1245" ht="15" customHeight="1">
      <c r="A1245" t="inlineStr">
        <is>
          <t>A 36830-2024</t>
        </is>
      </c>
      <c r="B1245" t="inlineStr">
        <is>
          <t>avverkningsanmälan</t>
        </is>
      </c>
      <c r="C1245" t="inlineStr">
        <is>
          <t>Föryngringsavverkning</t>
        </is>
      </c>
      <c r="D1245" s="1" t="n">
        <v>45538</v>
      </c>
      <c r="E1245" s="1" t="n">
        <v>46309</v>
      </c>
      <c r="F1245" t="inlineStr">
        <is>
          <t>UPPSALA LÄN</t>
        </is>
      </c>
      <c r="G1245" t="inlineStr">
        <is>
          <t>TIERP</t>
        </is>
      </c>
      <c r="I1245" t="n">
        <v>1.7</v>
      </c>
      <c r="J1245" t="n">
        <v>0</v>
      </c>
      <c r="K1245" t="n">
        <v>0</v>
      </c>
      <c r="L1245" t="n">
        <v>0</v>
      </c>
      <c r="M1245" t="n">
        <v>0</v>
      </c>
      <c r="N1245" t="n">
        <v>0</v>
      </c>
      <c r="O1245" t="n">
        <v>0</v>
      </c>
      <c r="P1245" t="n">
        <v>0</v>
      </c>
      <c r="Q1245" t="n">
        <v>0</v>
      </c>
      <c r="R1245" t="n">
        <v>0</v>
      </c>
      <c r="S1245" t="n">
        <v>0</v>
      </c>
      <c r="T1245" t="n">
        <v>0</v>
      </c>
      <c r="U1245" t="n">
        <v>0</v>
      </c>
      <c r="V1245" s="2" t="inlineStr"/>
    </row>
    <row r="1246" ht="15" customHeight="1">
      <c r="A1246" t="inlineStr">
        <is>
          <t>A 41719-2025</t>
        </is>
      </c>
      <c r="B1246" t="inlineStr">
        <is>
          <t>avverkningsanmälan</t>
        </is>
      </c>
      <c r="C1246" t="inlineStr">
        <is>
          <t>Föryngringsavverkning</t>
        </is>
      </c>
      <c r="D1246" s="1" t="n">
        <v>45902</v>
      </c>
      <c r="E1246" s="1" t="n">
        <v>46309</v>
      </c>
      <c r="F1246" t="inlineStr">
        <is>
          <t>UPPSALA LÄN</t>
        </is>
      </c>
      <c r="G1246" t="inlineStr">
        <is>
          <t>TIERP</t>
        </is>
      </c>
      <c r="I1246" t="n">
        <v>2.1</v>
      </c>
      <c r="J1246" t="n">
        <v>0</v>
      </c>
      <c r="K1246" t="n">
        <v>0</v>
      </c>
      <c r="L1246" t="n">
        <v>0</v>
      </c>
      <c r="M1246" t="n">
        <v>0</v>
      </c>
      <c r="N1246" t="n">
        <v>0</v>
      </c>
      <c r="O1246" t="n">
        <v>0</v>
      </c>
      <c r="P1246" t="n">
        <v>0</v>
      </c>
      <c r="Q1246" t="n">
        <v>0</v>
      </c>
      <c r="R1246" t="n">
        <v>0</v>
      </c>
      <c r="S1246" t="n">
        <v>0</v>
      </c>
      <c r="T1246" t="n">
        <v>0</v>
      </c>
      <c r="U1246" t="n">
        <v>0</v>
      </c>
      <c r="V1246" s="2" t="inlineStr"/>
    </row>
    <row r="1247" ht="15" customHeight="1">
      <c r="A1247" t="inlineStr">
        <is>
          <t>A 26740-2025</t>
        </is>
      </c>
      <c r="B1247" t="inlineStr">
        <is>
          <t>avverkningsanmälan</t>
        </is>
      </c>
      <c r="C1247" t="inlineStr">
        <is>
          <t>Föryngringsavverkning</t>
        </is>
      </c>
      <c r="D1247" s="1" t="n">
        <v>45809</v>
      </c>
      <c r="E1247" s="1" t="n">
        <v>46309</v>
      </c>
      <c r="F1247" t="inlineStr">
        <is>
          <t>UPPSALA LÄN</t>
        </is>
      </c>
      <c r="G1247" t="inlineStr">
        <is>
          <t>UPPSALA</t>
        </is>
      </c>
      <c r="H1247" t="inlineStr">
        <is>
          <t>Övriga Aktiebolag</t>
        </is>
      </c>
      <c r="I1247" t="n">
        <v>11</v>
      </c>
      <c r="J1247" t="n">
        <v>0</v>
      </c>
      <c r="K1247" t="n">
        <v>0</v>
      </c>
      <c r="L1247" t="n">
        <v>0</v>
      </c>
      <c r="M1247" t="n">
        <v>0</v>
      </c>
      <c r="N1247" t="n">
        <v>0</v>
      </c>
      <c r="O1247" t="n">
        <v>0</v>
      </c>
      <c r="P1247" t="n">
        <v>0</v>
      </c>
      <c r="Q1247" t="n">
        <v>0</v>
      </c>
      <c r="R1247" t="n">
        <v>0</v>
      </c>
      <c r="S1247" t="n">
        <v>0</v>
      </c>
      <c r="T1247" t="n">
        <v>0</v>
      </c>
      <c r="U1247" t="n">
        <v>0</v>
      </c>
      <c r="V1247" s="2" t="inlineStr"/>
    </row>
    <row r="1248" ht="15" customHeight="1">
      <c r="A1248" t="inlineStr">
        <is>
          <t>A 56795-2024</t>
        </is>
      </c>
      <c r="B1248" t="inlineStr">
        <is>
          <t>avverkningsanmälan</t>
        </is>
      </c>
      <c r="C1248" t="inlineStr">
        <is>
          <t>Föryngringsavverkning</t>
        </is>
      </c>
      <c r="D1248" s="1" t="n">
        <v>45628</v>
      </c>
      <c r="E1248" s="1" t="n">
        <v>46309</v>
      </c>
      <c r="F1248" t="inlineStr">
        <is>
          <t>UPPSALA LÄN</t>
        </is>
      </c>
      <c r="G1248" t="inlineStr">
        <is>
          <t>HEBY</t>
        </is>
      </c>
      <c r="I1248" t="n">
        <v>3.6</v>
      </c>
      <c r="J1248" t="n">
        <v>0</v>
      </c>
      <c r="K1248" t="n">
        <v>0</v>
      </c>
      <c r="L1248" t="n">
        <v>0</v>
      </c>
      <c r="M1248" t="n">
        <v>0</v>
      </c>
      <c r="N1248" t="n">
        <v>0</v>
      </c>
      <c r="O1248" t="n">
        <v>0</v>
      </c>
      <c r="P1248" t="n">
        <v>0</v>
      </c>
      <c r="Q1248" t="n">
        <v>0</v>
      </c>
      <c r="R1248" t="n">
        <v>0</v>
      </c>
      <c r="S1248" t="n">
        <v>0</v>
      </c>
      <c r="T1248" t="n">
        <v>0</v>
      </c>
      <c r="U1248" t="n">
        <v>0</v>
      </c>
      <c r="V1248" s="2" t="inlineStr"/>
    </row>
    <row r="1249" ht="15" customHeight="1">
      <c r="A1249" t="inlineStr">
        <is>
          <t>A 8199-2025</t>
        </is>
      </c>
      <c r="B1249" t="inlineStr">
        <is>
          <t>avverkningsanmälan</t>
        </is>
      </c>
      <c r="C1249" t="inlineStr">
        <is>
          <t>Föryngringsavverkning</t>
        </is>
      </c>
      <c r="D1249" s="1" t="n">
        <v>45708</v>
      </c>
      <c r="E1249" s="1" t="n">
        <v>46309</v>
      </c>
      <c r="F1249" t="inlineStr">
        <is>
          <t>UPPSALA LÄN</t>
        </is>
      </c>
      <c r="G1249" t="inlineStr">
        <is>
          <t>HEBY</t>
        </is>
      </c>
      <c r="I1249" t="n">
        <v>1.1</v>
      </c>
      <c r="J1249" t="n">
        <v>0</v>
      </c>
      <c r="K1249" t="n">
        <v>0</v>
      </c>
      <c r="L1249" t="n">
        <v>0</v>
      </c>
      <c r="M1249" t="n">
        <v>0</v>
      </c>
      <c r="N1249" t="n">
        <v>0</v>
      </c>
      <c r="O1249" t="n">
        <v>0</v>
      </c>
      <c r="P1249" t="n">
        <v>0</v>
      </c>
      <c r="Q1249" t="n">
        <v>0</v>
      </c>
      <c r="R1249" t="n">
        <v>0</v>
      </c>
      <c r="S1249" t="n">
        <v>0</v>
      </c>
      <c r="T1249" t="n">
        <v>0</v>
      </c>
      <c r="U1249" t="n">
        <v>0</v>
      </c>
      <c r="V1249" s="2" t="inlineStr"/>
    </row>
    <row r="1250" ht="15" customHeight="1">
      <c r="A1250" t="inlineStr">
        <is>
          <t>A 49536-2024</t>
        </is>
      </c>
      <c r="B1250" t="inlineStr">
        <is>
          <t>avverkningsanmälan</t>
        </is>
      </c>
      <c r="C1250" t="inlineStr">
        <is>
          <t>Föryngringsavverkning</t>
        </is>
      </c>
      <c r="D1250" s="1" t="n">
        <v>45596</v>
      </c>
      <c r="E1250" s="1" t="n">
        <v>46309</v>
      </c>
      <c r="F1250" t="inlineStr">
        <is>
          <t>UPPSALA LÄN</t>
        </is>
      </c>
      <c r="G1250" t="inlineStr">
        <is>
          <t>HEBY</t>
        </is>
      </c>
      <c r="I1250" t="n">
        <v>5.3</v>
      </c>
      <c r="J1250" t="n">
        <v>0</v>
      </c>
      <c r="K1250" t="n">
        <v>0</v>
      </c>
      <c r="L1250" t="n">
        <v>0</v>
      </c>
      <c r="M1250" t="n">
        <v>0</v>
      </c>
      <c r="N1250" t="n">
        <v>0</v>
      </c>
      <c r="O1250" t="n">
        <v>0</v>
      </c>
      <c r="P1250" t="n">
        <v>0</v>
      </c>
      <c r="Q1250" t="n">
        <v>0</v>
      </c>
      <c r="R1250" t="n">
        <v>0</v>
      </c>
      <c r="S1250" t="n">
        <v>0</v>
      </c>
      <c r="T1250" t="n">
        <v>0</v>
      </c>
      <c r="U1250" t="n">
        <v>0</v>
      </c>
      <c r="V1250" s="2" t="inlineStr"/>
    </row>
    <row r="1251" ht="15" customHeight="1">
      <c r="A1251" t="inlineStr">
        <is>
          <t>A 23494-2024</t>
        </is>
      </c>
      <c r="B1251" t="inlineStr">
        <is>
          <t>avverkningsanmälan</t>
        </is>
      </c>
      <c r="C1251" t="inlineStr">
        <is>
          <t>Föryngringsavverkning</t>
        </is>
      </c>
      <c r="D1251" s="1" t="n">
        <v>45453</v>
      </c>
      <c r="E1251" s="1" t="n">
        <v>46309</v>
      </c>
      <c r="F1251" t="inlineStr">
        <is>
          <t>UPPSALA LÄN</t>
        </is>
      </c>
      <c r="G1251" t="inlineStr">
        <is>
          <t>UPPSALA</t>
        </is>
      </c>
      <c r="H1251" t="inlineStr">
        <is>
          <t>Kyrkan</t>
        </is>
      </c>
      <c r="I1251" t="n">
        <v>0.8</v>
      </c>
      <c r="J1251" t="n">
        <v>0</v>
      </c>
      <c r="K1251" t="n">
        <v>0</v>
      </c>
      <c r="L1251" t="n">
        <v>0</v>
      </c>
      <c r="M1251" t="n">
        <v>0</v>
      </c>
      <c r="N1251" t="n">
        <v>0</v>
      </c>
      <c r="O1251" t="n">
        <v>0</v>
      </c>
      <c r="P1251" t="n">
        <v>0</v>
      </c>
      <c r="Q1251" t="n">
        <v>0</v>
      </c>
      <c r="R1251" t="n">
        <v>0</v>
      </c>
      <c r="S1251" t="n">
        <v>0</v>
      </c>
      <c r="T1251" t="n">
        <v>0</v>
      </c>
      <c r="U1251" t="n">
        <v>0</v>
      </c>
      <c r="V1251" s="2" t="inlineStr"/>
    </row>
    <row r="1252" ht="15" customHeight="1">
      <c r="A1252" t="inlineStr">
        <is>
          <t>A 7065-2024</t>
        </is>
      </c>
      <c r="B1252" t="inlineStr">
        <is>
          <t>avverkningsanmälan</t>
        </is>
      </c>
      <c r="C1252" t="inlineStr">
        <is>
          <t>Föryngringsavverkning</t>
        </is>
      </c>
      <c r="D1252" s="1" t="n">
        <v>45343</v>
      </c>
      <c r="E1252" s="1" t="n">
        <v>46309</v>
      </c>
      <c r="F1252" t="inlineStr">
        <is>
          <t>UPPSALA LÄN</t>
        </is>
      </c>
      <c r="G1252" t="inlineStr">
        <is>
          <t>TIERP</t>
        </is>
      </c>
      <c r="I1252" t="n">
        <v>1.1</v>
      </c>
      <c r="J1252" t="n">
        <v>0</v>
      </c>
      <c r="K1252" t="n">
        <v>0</v>
      </c>
      <c r="L1252" t="n">
        <v>0</v>
      </c>
      <c r="M1252" t="n">
        <v>0</v>
      </c>
      <c r="N1252" t="n">
        <v>0</v>
      </c>
      <c r="O1252" t="n">
        <v>0</v>
      </c>
      <c r="P1252" t="n">
        <v>0</v>
      </c>
      <c r="Q1252" t="n">
        <v>0</v>
      </c>
      <c r="R1252" t="n">
        <v>0</v>
      </c>
      <c r="S1252" t="n">
        <v>0</v>
      </c>
      <c r="T1252" t="n">
        <v>0</v>
      </c>
      <c r="U1252" t="n">
        <v>0</v>
      </c>
      <c r="V1252" s="2" t="inlineStr"/>
    </row>
    <row r="1253" ht="15" customHeight="1">
      <c r="A1253" t="inlineStr">
        <is>
          <t>A 41527-2025</t>
        </is>
      </c>
      <c r="B1253" t="inlineStr">
        <is>
          <t>avverkningsanmälan</t>
        </is>
      </c>
      <c r="C1253" t="inlineStr">
        <is>
          <t>Föryngringsavverkning</t>
        </is>
      </c>
      <c r="D1253" s="1" t="n">
        <v>45901</v>
      </c>
      <c r="E1253" s="1" t="n">
        <v>46309</v>
      </c>
      <c r="F1253" t="inlineStr">
        <is>
          <t>UPPSALA LÄN</t>
        </is>
      </c>
      <c r="G1253" t="inlineStr">
        <is>
          <t>TIERP</t>
        </is>
      </c>
      <c r="I1253" t="n">
        <v>3.3</v>
      </c>
      <c r="J1253" t="n">
        <v>0</v>
      </c>
      <c r="K1253" t="n">
        <v>0</v>
      </c>
      <c r="L1253" t="n">
        <v>0</v>
      </c>
      <c r="M1253" t="n">
        <v>0</v>
      </c>
      <c r="N1253" t="n">
        <v>0</v>
      </c>
      <c r="O1253" t="n">
        <v>0</v>
      </c>
      <c r="P1253" t="n">
        <v>0</v>
      </c>
      <c r="Q1253" t="n">
        <v>0</v>
      </c>
      <c r="R1253" t="n">
        <v>0</v>
      </c>
      <c r="S1253" t="n">
        <v>0</v>
      </c>
      <c r="T1253" t="n">
        <v>0</v>
      </c>
      <c r="U1253" t="n">
        <v>0</v>
      </c>
      <c r="V1253" s="2" t="inlineStr"/>
    </row>
    <row r="1254" ht="15" customHeight="1">
      <c r="A1254" t="inlineStr">
        <is>
          <t>A 32815-2024</t>
        </is>
      </c>
      <c r="B1254" t="inlineStr">
        <is>
          <t>avverkningsanmälan</t>
        </is>
      </c>
      <c r="C1254" t="inlineStr">
        <is>
          <t>Föryngringsavverkning</t>
        </is>
      </c>
      <c r="D1254" s="1" t="n">
        <v>45516</v>
      </c>
      <c r="E1254" s="1" t="n">
        <v>46309</v>
      </c>
      <c r="F1254" t="inlineStr">
        <is>
          <t>UPPSALA LÄN</t>
        </is>
      </c>
      <c r="G1254" t="inlineStr">
        <is>
          <t>ÖSTHAMMAR</t>
        </is>
      </c>
      <c r="H1254" t="inlineStr">
        <is>
          <t>Bergvik skog öst AB</t>
        </is>
      </c>
      <c r="I1254" t="n">
        <v>0.6</v>
      </c>
      <c r="J1254" t="n">
        <v>0</v>
      </c>
      <c r="K1254" t="n">
        <v>0</v>
      </c>
      <c r="L1254" t="n">
        <v>0</v>
      </c>
      <c r="M1254" t="n">
        <v>0</v>
      </c>
      <c r="N1254" t="n">
        <v>0</v>
      </c>
      <c r="O1254" t="n">
        <v>0</v>
      </c>
      <c r="P1254" t="n">
        <v>0</v>
      </c>
      <c r="Q1254" t="n">
        <v>0</v>
      </c>
      <c r="R1254" t="n">
        <v>0</v>
      </c>
      <c r="S1254" t="n">
        <v>0</v>
      </c>
      <c r="T1254" t="n">
        <v>0</v>
      </c>
      <c r="U1254" t="n">
        <v>0</v>
      </c>
      <c r="V1254" s="2" t="inlineStr"/>
    </row>
    <row r="1255" ht="15" customHeight="1">
      <c r="A1255" t="inlineStr">
        <is>
          <t>A 41537-2025</t>
        </is>
      </c>
      <c r="B1255" t="inlineStr">
        <is>
          <t>avverkningsanmälan</t>
        </is>
      </c>
      <c r="C1255" t="inlineStr">
        <is>
          <t>Föryngringsavverkning</t>
        </is>
      </c>
      <c r="D1255" s="1" t="n">
        <v>45901</v>
      </c>
      <c r="E1255" s="1" t="n">
        <v>46309</v>
      </c>
      <c r="F1255" t="inlineStr">
        <is>
          <t>UPPSALA LÄN</t>
        </is>
      </c>
      <c r="G1255" t="inlineStr">
        <is>
          <t>TIERP</t>
        </is>
      </c>
      <c r="I1255" t="n">
        <v>2</v>
      </c>
      <c r="J1255" t="n">
        <v>0</v>
      </c>
      <c r="K1255" t="n">
        <v>0</v>
      </c>
      <c r="L1255" t="n">
        <v>0</v>
      </c>
      <c r="M1255" t="n">
        <v>0</v>
      </c>
      <c r="N1255" t="n">
        <v>0</v>
      </c>
      <c r="O1255" t="n">
        <v>0</v>
      </c>
      <c r="P1255" t="n">
        <v>0</v>
      </c>
      <c r="Q1255" t="n">
        <v>0</v>
      </c>
      <c r="R1255" t="n">
        <v>0</v>
      </c>
      <c r="S1255" t="n">
        <v>0</v>
      </c>
      <c r="T1255" t="n">
        <v>0</v>
      </c>
      <c r="U1255" t="n">
        <v>0</v>
      </c>
      <c r="V1255" s="2" t="inlineStr"/>
    </row>
    <row r="1256" ht="15" customHeight="1">
      <c r="A1256" t="inlineStr">
        <is>
          <t>A 32884-2024</t>
        </is>
      </c>
      <c r="B1256" t="inlineStr">
        <is>
          <t>avverkningsanmälan</t>
        </is>
      </c>
      <c r="C1256" t="inlineStr">
        <is>
          <t>Föryngringsavverkning</t>
        </is>
      </c>
      <c r="D1256" s="1" t="n">
        <v>45516</v>
      </c>
      <c r="E1256" s="1" t="n">
        <v>46309</v>
      </c>
      <c r="F1256" t="inlineStr">
        <is>
          <t>UPPSALA LÄN</t>
        </is>
      </c>
      <c r="G1256" t="inlineStr">
        <is>
          <t>ÖSTHAMMAR</t>
        </is>
      </c>
      <c r="I1256" t="n">
        <v>0.6</v>
      </c>
      <c r="J1256" t="n">
        <v>0</v>
      </c>
      <c r="K1256" t="n">
        <v>0</v>
      </c>
      <c r="L1256" t="n">
        <v>0</v>
      </c>
      <c r="M1256" t="n">
        <v>0</v>
      </c>
      <c r="N1256" t="n">
        <v>0</v>
      </c>
      <c r="O1256" t="n">
        <v>0</v>
      </c>
      <c r="P1256" t="n">
        <v>0</v>
      </c>
      <c r="Q1256" t="n">
        <v>0</v>
      </c>
      <c r="R1256" t="n">
        <v>0</v>
      </c>
      <c r="S1256" t="n">
        <v>0</v>
      </c>
      <c r="T1256" t="n">
        <v>0</v>
      </c>
      <c r="U1256" t="n">
        <v>0</v>
      </c>
      <c r="V1256" s="2" t="inlineStr"/>
    </row>
    <row r="1257" ht="15" customHeight="1">
      <c r="A1257" t="inlineStr">
        <is>
          <t>A 24408-2025</t>
        </is>
      </c>
      <c r="B1257" t="inlineStr">
        <is>
          <t>avverkningsanmälan</t>
        </is>
      </c>
      <c r="C1257" t="inlineStr">
        <is>
          <t>Föryngringsavverkning</t>
        </is>
      </c>
      <c r="D1257" s="1" t="n">
        <v>45797</v>
      </c>
      <c r="E1257" s="1" t="n">
        <v>46309</v>
      </c>
      <c r="F1257" t="inlineStr">
        <is>
          <t>UPPSALA LÄN</t>
        </is>
      </c>
      <c r="G1257" t="inlineStr">
        <is>
          <t>ÖSTHAMMAR</t>
        </is>
      </c>
      <c r="I1257" t="n">
        <v>1.6</v>
      </c>
      <c r="J1257" t="n">
        <v>0</v>
      </c>
      <c r="K1257" t="n">
        <v>0</v>
      </c>
      <c r="L1257" t="n">
        <v>0</v>
      </c>
      <c r="M1257" t="n">
        <v>0</v>
      </c>
      <c r="N1257" t="n">
        <v>0</v>
      </c>
      <c r="O1257" t="n">
        <v>0</v>
      </c>
      <c r="P1257" t="n">
        <v>0</v>
      </c>
      <c r="Q1257" t="n">
        <v>0</v>
      </c>
      <c r="R1257" t="n">
        <v>0</v>
      </c>
      <c r="S1257" t="n">
        <v>0</v>
      </c>
      <c r="T1257" t="n">
        <v>0</v>
      </c>
      <c r="U1257" t="n">
        <v>0</v>
      </c>
      <c r="V1257" s="2" t="inlineStr"/>
    </row>
    <row r="1258" ht="15" customHeight="1">
      <c r="A1258" t="inlineStr">
        <is>
          <t>A 27347-2025</t>
        </is>
      </c>
      <c r="B1258" t="inlineStr">
        <is>
          <t>avverkningsanmälan</t>
        </is>
      </c>
      <c r="C1258" t="inlineStr">
        <is>
          <t>Föryngringsavverkning</t>
        </is>
      </c>
      <c r="D1258" s="1" t="n">
        <v>45812</v>
      </c>
      <c r="E1258" s="1" t="n">
        <v>46309</v>
      </c>
      <c r="F1258" t="inlineStr">
        <is>
          <t>UPPSALA LÄN</t>
        </is>
      </c>
      <c r="G1258" t="inlineStr">
        <is>
          <t>ÖSTHAMMAR</t>
        </is>
      </c>
      <c r="I1258" t="n">
        <v>0.4</v>
      </c>
      <c r="J1258" t="n">
        <v>0</v>
      </c>
      <c r="K1258" t="n">
        <v>0</v>
      </c>
      <c r="L1258" t="n">
        <v>0</v>
      </c>
      <c r="M1258" t="n">
        <v>0</v>
      </c>
      <c r="N1258" t="n">
        <v>0</v>
      </c>
      <c r="O1258" t="n">
        <v>0</v>
      </c>
      <c r="P1258" t="n">
        <v>0</v>
      </c>
      <c r="Q1258" t="n">
        <v>0</v>
      </c>
      <c r="R1258" t="n">
        <v>0</v>
      </c>
      <c r="S1258" t="n">
        <v>0</v>
      </c>
      <c r="T1258" t="n">
        <v>0</v>
      </c>
      <c r="U1258" t="n">
        <v>0</v>
      </c>
      <c r="V1258" s="2" t="inlineStr"/>
    </row>
    <row r="1259" ht="15" customHeight="1">
      <c r="A1259" t="inlineStr">
        <is>
          <t>A 41490-2025</t>
        </is>
      </c>
      <c r="B1259" t="inlineStr">
        <is>
          <t>avverkningsanmälan</t>
        </is>
      </c>
      <c r="C1259" t="inlineStr">
        <is>
          <t>Föryngringsavverkning</t>
        </is>
      </c>
      <c r="D1259" s="1" t="n">
        <v>45901</v>
      </c>
      <c r="E1259" s="1" t="n">
        <v>46309</v>
      </c>
      <c r="F1259" t="inlineStr">
        <is>
          <t>UPPSALA LÄN</t>
        </is>
      </c>
      <c r="G1259" t="inlineStr">
        <is>
          <t>TIERP</t>
        </is>
      </c>
      <c r="I1259" t="n">
        <v>1.4</v>
      </c>
      <c r="J1259" t="n">
        <v>0</v>
      </c>
      <c r="K1259" t="n">
        <v>0</v>
      </c>
      <c r="L1259" t="n">
        <v>0</v>
      </c>
      <c r="M1259" t="n">
        <v>0</v>
      </c>
      <c r="N1259" t="n">
        <v>0</v>
      </c>
      <c r="O1259" t="n">
        <v>0</v>
      </c>
      <c r="P1259" t="n">
        <v>0</v>
      </c>
      <c r="Q1259" t="n">
        <v>0</v>
      </c>
      <c r="R1259" t="n">
        <v>0</v>
      </c>
      <c r="S1259" t="n">
        <v>0</v>
      </c>
      <c r="T1259" t="n">
        <v>0</v>
      </c>
      <c r="U1259" t="n">
        <v>0</v>
      </c>
      <c r="V1259" s="2" t="inlineStr"/>
    </row>
    <row r="1260" ht="15" customHeight="1">
      <c r="A1260" t="inlineStr">
        <is>
          <t>A 41497-2025</t>
        </is>
      </c>
      <c r="B1260" t="inlineStr">
        <is>
          <t>avverkningsanmälan</t>
        </is>
      </c>
      <c r="C1260" t="inlineStr">
        <is>
          <t>Föryngringsavverkning</t>
        </is>
      </c>
      <c r="D1260" s="1" t="n">
        <v>45901</v>
      </c>
      <c r="E1260" s="1" t="n">
        <v>46309</v>
      </c>
      <c r="F1260" t="inlineStr">
        <is>
          <t>UPPSALA LÄN</t>
        </is>
      </c>
      <c r="G1260" t="inlineStr">
        <is>
          <t>TIERP</t>
        </is>
      </c>
      <c r="I1260" t="n">
        <v>0.7</v>
      </c>
      <c r="J1260" t="n">
        <v>0</v>
      </c>
      <c r="K1260" t="n">
        <v>0</v>
      </c>
      <c r="L1260" t="n">
        <v>0</v>
      </c>
      <c r="M1260" t="n">
        <v>0</v>
      </c>
      <c r="N1260" t="n">
        <v>0</v>
      </c>
      <c r="O1260" t="n">
        <v>0</v>
      </c>
      <c r="P1260" t="n">
        <v>0</v>
      </c>
      <c r="Q1260" t="n">
        <v>0</v>
      </c>
      <c r="R1260" t="n">
        <v>0</v>
      </c>
      <c r="S1260" t="n">
        <v>0</v>
      </c>
      <c r="T1260" t="n">
        <v>0</v>
      </c>
      <c r="U1260" t="n">
        <v>0</v>
      </c>
      <c r="V1260" s="2" t="inlineStr"/>
    </row>
    <row r="1261" ht="15" customHeight="1">
      <c r="A1261" t="inlineStr">
        <is>
          <t>A 42085-2025</t>
        </is>
      </c>
      <c r="B1261" t="inlineStr">
        <is>
          <t>avverkningsanmälan</t>
        </is>
      </c>
      <c r="C1261" t="inlineStr">
        <is>
          <t>Föryngringsavverkning</t>
        </is>
      </c>
      <c r="D1261" s="1" t="n">
        <v>45903</v>
      </c>
      <c r="E1261" s="1" t="n">
        <v>46309</v>
      </c>
      <c r="F1261" t="inlineStr">
        <is>
          <t>UPPSALA LÄN</t>
        </is>
      </c>
      <c r="G1261" t="inlineStr">
        <is>
          <t>UPPSALA</t>
        </is>
      </c>
      <c r="H1261" t="inlineStr">
        <is>
          <t>Bergvik skog öst AB</t>
        </is>
      </c>
      <c r="I1261" t="n">
        <v>1.7</v>
      </c>
      <c r="J1261" t="n">
        <v>0</v>
      </c>
      <c r="K1261" t="n">
        <v>0</v>
      </c>
      <c r="L1261" t="n">
        <v>0</v>
      </c>
      <c r="M1261" t="n">
        <v>0</v>
      </c>
      <c r="N1261" t="n">
        <v>0</v>
      </c>
      <c r="O1261" t="n">
        <v>0</v>
      </c>
      <c r="P1261" t="n">
        <v>0</v>
      </c>
      <c r="Q1261" t="n">
        <v>0</v>
      </c>
      <c r="R1261" t="n">
        <v>0</v>
      </c>
      <c r="S1261" t="n">
        <v>0</v>
      </c>
      <c r="T1261" t="n">
        <v>0</v>
      </c>
      <c r="U1261" t="n">
        <v>0</v>
      </c>
      <c r="V1261" s="2" t="inlineStr"/>
    </row>
    <row r="1262" ht="15" customHeight="1">
      <c r="A1262" t="inlineStr">
        <is>
          <t>A 27265-2025</t>
        </is>
      </c>
      <c r="B1262" t="inlineStr">
        <is>
          <t>avverkningsanmälan</t>
        </is>
      </c>
      <c r="C1262" t="inlineStr">
        <is>
          <t>Föryngringsavverkning</t>
        </is>
      </c>
      <c r="D1262" s="1" t="n">
        <v>45812</v>
      </c>
      <c r="E1262" s="1" t="n">
        <v>46309</v>
      </c>
      <c r="F1262" t="inlineStr">
        <is>
          <t>UPPSALA LÄN</t>
        </is>
      </c>
      <c r="G1262" t="inlineStr">
        <is>
          <t>UPPSALA</t>
        </is>
      </c>
      <c r="I1262" t="n">
        <v>0.5</v>
      </c>
      <c r="J1262" t="n">
        <v>0</v>
      </c>
      <c r="K1262" t="n">
        <v>0</v>
      </c>
      <c r="L1262" t="n">
        <v>0</v>
      </c>
      <c r="M1262" t="n">
        <v>0</v>
      </c>
      <c r="N1262" t="n">
        <v>0</v>
      </c>
      <c r="O1262" t="n">
        <v>0</v>
      </c>
      <c r="P1262" t="n">
        <v>0</v>
      </c>
      <c r="Q1262" t="n">
        <v>0</v>
      </c>
      <c r="R1262" t="n">
        <v>0</v>
      </c>
      <c r="S1262" t="n">
        <v>0</v>
      </c>
      <c r="T1262" t="n">
        <v>0</v>
      </c>
      <c r="U1262" t="n">
        <v>0</v>
      </c>
      <c r="V1262" s="2" t="inlineStr"/>
    </row>
    <row r="1263" ht="15" customHeight="1">
      <c r="A1263" t="inlineStr">
        <is>
          <t>A 47516-2022</t>
        </is>
      </c>
      <c r="B1263" t="inlineStr">
        <is>
          <t>avverkningsanmälan</t>
        </is>
      </c>
      <c r="C1263" t="inlineStr">
        <is>
          <t>Föryngringsavverkning</t>
        </is>
      </c>
      <c r="D1263" s="1" t="n">
        <v>44853</v>
      </c>
      <c r="E1263" s="1" t="n">
        <v>46309</v>
      </c>
      <c r="F1263" t="inlineStr">
        <is>
          <t>UPPSALA LÄN</t>
        </is>
      </c>
      <c r="G1263" t="inlineStr">
        <is>
          <t>ENKÖPING</t>
        </is>
      </c>
      <c r="I1263" t="n">
        <v>1</v>
      </c>
      <c r="J1263" t="n">
        <v>0</v>
      </c>
      <c r="K1263" t="n">
        <v>0</v>
      </c>
      <c r="L1263" t="n">
        <v>0</v>
      </c>
      <c r="M1263" t="n">
        <v>0</v>
      </c>
      <c r="N1263" t="n">
        <v>0</v>
      </c>
      <c r="O1263" t="n">
        <v>0</v>
      </c>
      <c r="P1263" t="n">
        <v>0</v>
      </c>
      <c r="Q1263" t="n">
        <v>0</v>
      </c>
      <c r="R1263" t="n">
        <v>0</v>
      </c>
      <c r="S1263" t="n">
        <v>0</v>
      </c>
      <c r="T1263" t="n">
        <v>0</v>
      </c>
      <c r="U1263" t="n">
        <v>0</v>
      </c>
      <c r="V1263" s="2" t="inlineStr"/>
    </row>
    <row r="1264" ht="15" customHeight="1">
      <c r="A1264" t="inlineStr">
        <is>
          <t>A 10674-2022</t>
        </is>
      </c>
      <c r="B1264" t="inlineStr">
        <is>
          <t>avverkningsanmälan</t>
        </is>
      </c>
      <c r="C1264" t="inlineStr">
        <is>
          <t>Föryngringsavverkning</t>
        </is>
      </c>
      <c r="D1264" s="1" t="n">
        <v>44624</v>
      </c>
      <c r="E1264" s="1" t="n">
        <v>46309</v>
      </c>
      <c r="F1264" t="inlineStr">
        <is>
          <t>UPPSALA LÄN</t>
        </is>
      </c>
      <c r="G1264" t="inlineStr">
        <is>
          <t>UPPSALA</t>
        </is>
      </c>
      <c r="H1264" t="inlineStr">
        <is>
          <t>Bergvik skog öst AB</t>
        </is>
      </c>
      <c r="I1264" t="n">
        <v>0.5</v>
      </c>
      <c r="J1264" t="n">
        <v>0</v>
      </c>
      <c r="K1264" t="n">
        <v>0</v>
      </c>
      <c r="L1264" t="n">
        <v>0</v>
      </c>
      <c r="M1264" t="n">
        <v>0</v>
      </c>
      <c r="N1264" t="n">
        <v>0</v>
      </c>
      <c r="O1264" t="n">
        <v>0</v>
      </c>
      <c r="P1264" t="n">
        <v>0</v>
      </c>
      <c r="Q1264" t="n">
        <v>0</v>
      </c>
      <c r="R1264" t="n">
        <v>0</v>
      </c>
      <c r="S1264" t="n">
        <v>0</v>
      </c>
      <c r="T1264" t="n">
        <v>0</v>
      </c>
      <c r="U1264" t="n">
        <v>0</v>
      </c>
      <c r="V1264" s="2" t="inlineStr"/>
    </row>
    <row r="1265" ht="15" customHeight="1">
      <c r="A1265" t="inlineStr">
        <is>
          <t>A 2218-2026</t>
        </is>
      </c>
      <c r="B1265" t="inlineStr">
        <is>
          <t>avverkningsanmälan</t>
        </is>
      </c>
      <c r="C1265" t="inlineStr">
        <is>
          <t>Föryngringsavverkning</t>
        </is>
      </c>
      <c r="D1265" s="1" t="n">
        <v>46036</v>
      </c>
      <c r="E1265" s="1" t="n">
        <v>46309</v>
      </c>
      <c r="F1265" t="inlineStr">
        <is>
          <t>UPPSALA LÄN</t>
        </is>
      </c>
      <c r="G1265" t="inlineStr">
        <is>
          <t>ENKÖPING</t>
        </is>
      </c>
      <c r="I1265" t="n">
        <v>1.8</v>
      </c>
      <c r="J1265" t="n">
        <v>0</v>
      </c>
      <c r="K1265" t="n">
        <v>0</v>
      </c>
      <c r="L1265" t="n">
        <v>0</v>
      </c>
      <c r="M1265" t="n">
        <v>0</v>
      </c>
      <c r="N1265" t="n">
        <v>0</v>
      </c>
      <c r="O1265" t="n">
        <v>0</v>
      </c>
      <c r="P1265" t="n">
        <v>0</v>
      </c>
      <c r="Q1265" t="n">
        <v>0</v>
      </c>
      <c r="R1265" t="n">
        <v>0</v>
      </c>
      <c r="S1265" t="n">
        <v>0</v>
      </c>
      <c r="T1265" t="n">
        <v>0</v>
      </c>
      <c r="U1265" t="n">
        <v>0</v>
      </c>
      <c r="V1265" s="2" t="inlineStr"/>
    </row>
    <row r="1266" ht="15" customHeight="1">
      <c r="A1266" t="inlineStr">
        <is>
          <t>A 1755-2022</t>
        </is>
      </c>
      <c r="B1266" t="inlineStr">
        <is>
          <t>avverkningsanmälan</t>
        </is>
      </c>
      <c r="C1266" t="inlineStr">
        <is>
          <t>Föryngringsavverkning</t>
        </is>
      </c>
      <c r="D1266" s="1" t="n">
        <v>44574</v>
      </c>
      <c r="E1266" s="1" t="n">
        <v>46309</v>
      </c>
      <c r="F1266" t="inlineStr">
        <is>
          <t>UPPSALA LÄN</t>
        </is>
      </c>
      <c r="G1266" t="inlineStr">
        <is>
          <t>HEBY</t>
        </is>
      </c>
      <c r="I1266" t="n">
        <v>0.4</v>
      </c>
      <c r="J1266" t="n">
        <v>0</v>
      </c>
      <c r="K1266" t="n">
        <v>0</v>
      </c>
      <c r="L1266" t="n">
        <v>0</v>
      </c>
      <c r="M1266" t="n">
        <v>0</v>
      </c>
      <c r="N1266" t="n">
        <v>0</v>
      </c>
      <c r="O1266" t="n">
        <v>0</v>
      </c>
      <c r="P1266" t="n">
        <v>0</v>
      </c>
      <c r="Q1266" t="n">
        <v>0</v>
      </c>
      <c r="R1266" t="n">
        <v>0</v>
      </c>
      <c r="S1266" t="n">
        <v>0</v>
      </c>
      <c r="T1266" t="n">
        <v>0</v>
      </c>
      <c r="U1266" t="n">
        <v>0</v>
      </c>
      <c r="V1266" s="2" t="inlineStr"/>
    </row>
    <row r="1267" ht="15" customHeight="1">
      <c r="A1267" t="inlineStr">
        <is>
          <t>A 69344-2021</t>
        </is>
      </c>
      <c r="B1267" t="inlineStr">
        <is>
          <t>avverkningsanmälan</t>
        </is>
      </c>
      <c r="C1267" t="inlineStr">
        <is>
          <t>Föryngringsavverkning</t>
        </is>
      </c>
      <c r="D1267" s="1" t="n">
        <v>44531</v>
      </c>
      <c r="E1267" s="1" t="n">
        <v>46309</v>
      </c>
      <c r="F1267" t="inlineStr">
        <is>
          <t>UPPSALA LÄN</t>
        </is>
      </c>
      <c r="G1267" t="inlineStr">
        <is>
          <t>ENKÖPING</t>
        </is>
      </c>
      <c r="I1267" t="n">
        <v>2.9</v>
      </c>
      <c r="J1267" t="n">
        <v>0</v>
      </c>
      <c r="K1267" t="n">
        <v>0</v>
      </c>
      <c r="L1267" t="n">
        <v>0</v>
      </c>
      <c r="M1267" t="n">
        <v>0</v>
      </c>
      <c r="N1267" t="n">
        <v>0</v>
      </c>
      <c r="O1267" t="n">
        <v>0</v>
      </c>
      <c r="P1267" t="n">
        <v>0</v>
      </c>
      <c r="Q1267" t="n">
        <v>0</v>
      </c>
      <c r="R1267" t="n">
        <v>0</v>
      </c>
      <c r="S1267" t="n">
        <v>0</v>
      </c>
      <c r="T1267" t="n">
        <v>0</v>
      </c>
      <c r="U1267" t="n">
        <v>0</v>
      </c>
      <c r="V1267" s="2" t="inlineStr"/>
    </row>
    <row r="1268" ht="15" customHeight="1">
      <c r="A1268" t="inlineStr">
        <is>
          <t>A 20935-2024</t>
        </is>
      </c>
      <c r="B1268" t="inlineStr">
        <is>
          <t>avverkningsanmälan</t>
        </is>
      </c>
      <c r="C1268" t="inlineStr">
        <is>
          <t>Föryngringsavverkning</t>
        </is>
      </c>
      <c r="D1268" s="1" t="n">
        <v>45439</v>
      </c>
      <c r="E1268" s="1" t="n">
        <v>46309</v>
      </c>
      <c r="F1268" t="inlineStr">
        <is>
          <t>UPPSALA LÄN</t>
        </is>
      </c>
      <c r="G1268" t="inlineStr">
        <is>
          <t>HEBY</t>
        </is>
      </c>
      <c r="I1268" t="n">
        <v>0.8</v>
      </c>
      <c r="J1268" t="n">
        <v>0</v>
      </c>
      <c r="K1268" t="n">
        <v>0</v>
      </c>
      <c r="L1268" t="n">
        <v>0</v>
      </c>
      <c r="M1268" t="n">
        <v>0</v>
      </c>
      <c r="N1268" t="n">
        <v>0</v>
      </c>
      <c r="O1268" t="n">
        <v>0</v>
      </c>
      <c r="P1268" t="n">
        <v>0</v>
      </c>
      <c r="Q1268" t="n">
        <v>0</v>
      </c>
      <c r="R1268" t="n">
        <v>0</v>
      </c>
      <c r="S1268" t="n">
        <v>0</v>
      </c>
      <c r="T1268" t="n">
        <v>0</v>
      </c>
      <c r="U1268" t="n">
        <v>0</v>
      </c>
      <c r="V1268" s="2" t="inlineStr"/>
    </row>
    <row r="1269" ht="15" customHeight="1">
      <c r="A1269" t="inlineStr">
        <is>
          <t>A 54924-2024</t>
        </is>
      </c>
      <c r="B1269" t="inlineStr">
        <is>
          <t>avverkningsanmälan</t>
        </is>
      </c>
      <c r="C1269" t="inlineStr">
        <is>
          <t>Föryngringsavverkning</t>
        </is>
      </c>
      <c r="D1269" s="1" t="n">
        <v>45618</v>
      </c>
      <c r="E1269" s="1" t="n">
        <v>46309</v>
      </c>
      <c r="F1269" t="inlineStr">
        <is>
          <t>UPPSALA LÄN</t>
        </is>
      </c>
      <c r="G1269" t="inlineStr">
        <is>
          <t>UPPSALA</t>
        </is>
      </c>
      <c r="I1269" t="n">
        <v>2.4</v>
      </c>
      <c r="J1269" t="n">
        <v>0</v>
      </c>
      <c r="K1269" t="n">
        <v>0</v>
      </c>
      <c r="L1269" t="n">
        <v>0</v>
      </c>
      <c r="M1269" t="n">
        <v>0</v>
      </c>
      <c r="N1269" t="n">
        <v>0</v>
      </c>
      <c r="O1269" t="n">
        <v>0</v>
      </c>
      <c r="P1269" t="n">
        <v>0</v>
      </c>
      <c r="Q1269" t="n">
        <v>0</v>
      </c>
      <c r="R1269" t="n">
        <v>0</v>
      </c>
      <c r="S1269" t="n">
        <v>0</v>
      </c>
      <c r="T1269" t="n">
        <v>0</v>
      </c>
      <c r="U1269" t="n">
        <v>0</v>
      </c>
      <c r="V1269" s="2" t="inlineStr"/>
    </row>
    <row r="1270" ht="15" customHeight="1">
      <c r="A1270" t="inlineStr">
        <is>
          <t>A 15793-2025</t>
        </is>
      </c>
      <c r="B1270" t="inlineStr">
        <is>
          <t>avverkningsanmälan</t>
        </is>
      </c>
      <c r="C1270" t="inlineStr">
        <is>
          <t>Föryngringsavverkning</t>
        </is>
      </c>
      <c r="D1270" s="1" t="n">
        <v>45748</v>
      </c>
      <c r="E1270" s="1" t="n">
        <v>46309</v>
      </c>
      <c r="F1270" t="inlineStr">
        <is>
          <t>UPPSALA LÄN</t>
        </is>
      </c>
      <c r="G1270" t="inlineStr">
        <is>
          <t>TIERP</t>
        </is>
      </c>
      <c r="I1270" t="n">
        <v>8.300000000000001</v>
      </c>
      <c r="J1270" t="n">
        <v>0</v>
      </c>
      <c r="K1270" t="n">
        <v>0</v>
      </c>
      <c r="L1270" t="n">
        <v>0</v>
      </c>
      <c r="M1270" t="n">
        <v>0</v>
      </c>
      <c r="N1270" t="n">
        <v>0</v>
      </c>
      <c r="O1270" t="n">
        <v>0</v>
      </c>
      <c r="P1270" t="n">
        <v>0</v>
      </c>
      <c r="Q1270" t="n">
        <v>0</v>
      </c>
      <c r="R1270" t="n">
        <v>0</v>
      </c>
      <c r="S1270" t="n">
        <v>0</v>
      </c>
      <c r="T1270" t="n">
        <v>0</v>
      </c>
      <c r="U1270" t="n">
        <v>0</v>
      </c>
      <c r="V1270" s="2" t="inlineStr"/>
    </row>
    <row r="1271" ht="15" customHeight="1">
      <c r="A1271" t="inlineStr">
        <is>
          <t>A 12293-2022</t>
        </is>
      </c>
      <c r="B1271" t="inlineStr">
        <is>
          <t>avverkningsanmälan</t>
        </is>
      </c>
      <c r="C1271" t="inlineStr">
        <is>
          <t>Föryngringsavverkning</t>
        </is>
      </c>
      <c r="D1271" s="1" t="n">
        <v>44637</v>
      </c>
      <c r="E1271" s="1" t="n">
        <v>46309</v>
      </c>
      <c r="F1271" t="inlineStr">
        <is>
          <t>UPPSALA LÄN</t>
        </is>
      </c>
      <c r="G1271" t="inlineStr">
        <is>
          <t>UPPSALA</t>
        </is>
      </c>
      <c r="H1271" t="inlineStr">
        <is>
          <t>Kommuner</t>
        </is>
      </c>
      <c r="I1271" t="n">
        <v>0.8</v>
      </c>
      <c r="J1271" t="n">
        <v>0</v>
      </c>
      <c r="K1271" t="n">
        <v>0</v>
      </c>
      <c r="L1271" t="n">
        <v>0</v>
      </c>
      <c r="M1271" t="n">
        <v>0</v>
      </c>
      <c r="N1271" t="n">
        <v>0</v>
      </c>
      <c r="O1271" t="n">
        <v>0</v>
      </c>
      <c r="P1271" t="n">
        <v>0</v>
      </c>
      <c r="Q1271" t="n">
        <v>0</v>
      </c>
      <c r="R1271" t="n">
        <v>0</v>
      </c>
      <c r="S1271" t="n">
        <v>0</v>
      </c>
      <c r="T1271" t="n">
        <v>0</v>
      </c>
      <c r="U1271" t="n">
        <v>0</v>
      </c>
      <c r="V1271" s="2" t="inlineStr"/>
    </row>
    <row r="1272" ht="15" customHeight="1">
      <c r="A1272" t="inlineStr">
        <is>
          <t>A 27132-2025</t>
        </is>
      </c>
      <c r="B1272" t="inlineStr">
        <is>
          <t>avverkningsanmälan</t>
        </is>
      </c>
      <c r="C1272" t="inlineStr">
        <is>
          <t>Föryngringsavverkning</t>
        </is>
      </c>
      <c r="D1272" s="1" t="n">
        <v>45811</v>
      </c>
      <c r="E1272" s="1" t="n">
        <v>46309</v>
      </c>
      <c r="F1272" t="inlineStr">
        <is>
          <t>UPPSALA LÄN</t>
        </is>
      </c>
      <c r="G1272" t="inlineStr">
        <is>
          <t>ÖSTHAMMAR</t>
        </is>
      </c>
      <c r="I1272" t="n">
        <v>2.3</v>
      </c>
      <c r="J1272" t="n">
        <v>0</v>
      </c>
      <c r="K1272" t="n">
        <v>0</v>
      </c>
      <c r="L1272" t="n">
        <v>0</v>
      </c>
      <c r="M1272" t="n">
        <v>0</v>
      </c>
      <c r="N1272" t="n">
        <v>0</v>
      </c>
      <c r="O1272" t="n">
        <v>0</v>
      </c>
      <c r="P1272" t="n">
        <v>0</v>
      </c>
      <c r="Q1272" t="n">
        <v>0</v>
      </c>
      <c r="R1272" t="n">
        <v>0</v>
      </c>
      <c r="S1272" t="n">
        <v>0</v>
      </c>
      <c r="T1272" t="n">
        <v>0</v>
      </c>
      <c r="U1272" t="n">
        <v>0</v>
      </c>
      <c r="V1272" s="2" t="inlineStr"/>
    </row>
    <row r="1273" ht="15" customHeight="1">
      <c r="A1273" t="inlineStr">
        <is>
          <t>A 24389-2025</t>
        </is>
      </c>
      <c r="B1273" t="inlineStr">
        <is>
          <t>avverkningsanmälan</t>
        </is>
      </c>
      <c r="C1273" t="inlineStr">
        <is>
          <t>Föryngringsavverkning</t>
        </is>
      </c>
      <c r="D1273" s="1" t="n">
        <v>45797</v>
      </c>
      <c r="E1273" s="1" t="n">
        <v>46309</v>
      </c>
      <c r="F1273" t="inlineStr">
        <is>
          <t>UPPSALA LÄN</t>
        </is>
      </c>
      <c r="G1273" t="inlineStr">
        <is>
          <t>ÖSTHAMMAR</t>
        </is>
      </c>
      <c r="I1273" t="n">
        <v>1.1</v>
      </c>
      <c r="J1273" t="n">
        <v>0</v>
      </c>
      <c r="K1273" t="n">
        <v>0</v>
      </c>
      <c r="L1273" t="n">
        <v>0</v>
      </c>
      <c r="M1273" t="n">
        <v>0</v>
      </c>
      <c r="N1273" t="n">
        <v>0</v>
      </c>
      <c r="O1273" t="n">
        <v>0</v>
      </c>
      <c r="P1273" t="n">
        <v>0</v>
      </c>
      <c r="Q1273" t="n">
        <v>0</v>
      </c>
      <c r="R1273" t="n">
        <v>0</v>
      </c>
      <c r="S1273" t="n">
        <v>0</v>
      </c>
      <c r="T1273" t="n">
        <v>0</v>
      </c>
      <c r="U1273" t="n">
        <v>0</v>
      </c>
      <c r="V1273" s="2" t="inlineStr"/>
    </row>
    <row r="1274" ht="15" customHeight="1">
      <c r="A1274" t="inlineStr">
        <is>
          <t>A 8330-2025</t>
        </is>
      </c>
      <c r="B1274" t="inlineStr">
        <is>
          <t>avverkningsanmälan</t>
        </is>
      </c>
      <c r="C1274" t="inlineStr">
        <is>
          <t>Föryngringsavverkning</t>
        </is>
      </c>
      <c r="D1274" s="1" t="n">
        <v>45708</v>
      </c>
      <c r="E1274" s="1" t="n">
        <v>46309</v>
      </c>
      <c r="F1274" t="inlineStr">
        <is>
          <t>UPPSALA LÄN</t>
        </is>
      </c>
      <c r="G1274" t="inlineStr">
        <is>
          <t>ÖSTHAMMAR</t>
        </is>
      </c>
      <c r="H1274" t="inlineStr">
        <is>
          <t>Övriga Aktiebolag</t>
        </is>
      </c>
      <c r="I1274" t="n">
        <v>2.4</v>
      </c>
      <c r="J1274" t="n">
        <v>0</v>
      </c>
      <c r="K1274" t="n">
        <v>0</v>
      </c>
      <c r="L1274" t="n">
        <v>0</v>
      </c>
      <c r="M1274" t="n">
        <v>0</v>
      </c>
      <c r="N1274" t="n">
        <v>0</v>
      </c>
      <c r="O1274" t="n">
        <v>0</v>
      </c>
      <c r="P1274" t="n">
        <v>0</v>
      </c>
      <c r="Q1274" t="n">
        <v>0</v>
      </c>
      <c r="R1274" t="n">
        <v>0</v>
      </c>
      <c r="S1274" t="n">
        <v>0</v>
      </c>
      <c r="T1274" t="n">
        <v>0</v>
      </c>
      <c r="U1274" t="n">
        <v>0</v>
      </c>
      <c r="V1274" s="2" t="inlineStr"/>
    </row>
    <row r="1275" ht="15" customHeight="1">
      <c r="A1275" t="inlineStr">
        <is>
          <t>A 10489-2025</t>
        </is>
      </c>
      <c r="B1275" t="inlineStr">
        <is>
          <t>avverkningsanmälan</t>
        </is>
      </c>
      <c r="C1275" t="inlineStr">
        <is>
          <t>Föryngringsavverkning</t>
        </is>
      </c>
      <c r="D1275" s="1" t="n">
        <v>45721</v>
      </c>
      <c r="E1275" s="1" t="n">
        <v>46309</v>
      </c>
      <c r="F1275" t="inlineStr">
        <is>
          <t>UPPSALA LÄN</t>
        </is>
      </c>
      <c r="G1275" t="inlineStr">
        <is>
          <t>UPPSALA</t>
        </is>
      </c>
      <c r="I1275" t="n">
        <v>1.3</v>
      </c>
      <c r="J1275" t="n">
        <v>0</v>
      </c>
      <c r="K1275" t="n">
        <v>0</v>
      </c>
      <c r="L1275" t="n">
        <v>0</v>
      </c>
      <c r="M1275" t="n">
        <v>0</v>
      </c>
      <c r="N1275" t="n">
        <v>0</v>
      </c>
      <c r="O1275" t="n">
        <v>0</v>
      </c>
      <c r="P1275" t="n">
        <v>0</v>
      </c>
      <c r="Q1275" t="n">
        <v>0</v>
      </c>
      <c r="R1275" t="n">
        <v>0</v>
      </c>
      <c r="S1275" t="n">
        <v>0</v>
      </c>
      <c r="T1275" t="n">
        <v>0</v>
      </c>
      <c r="U1275" t="n">
        <v>0</v>
      </c>
      <c r="V1275" s="2" t="inlineStr"/>
    </row>
    <row r="1276" ht="15" customHeight="1">
      <c r="A1276" t="inlineStr">
        <is>
          <t>A 61261-2022</t>
        </is>
      </c>
      <c r="B1276" t="inlineStr">
        <is>
          <t>avverkningsanmälan</t>
        </is>
      </c>
      <c r="C1276" t="inlineStr">
        <is>
          <t>Föryngringsavverkning</t>
        </is>
      </c>
      <c r="D1276" s="1" t="n">
        <v>44915</v>
      </c>
      <c r="E1276" s="1" t="n">
        <v>46309</v>
      </c>
      <c r="F1276" t="inlineStr">
        <is>
          <t>UPPSALA LÄN</t>
        </is>
      </c>
      <c r="G1276" t="inlineStr">
        <is>
          <t>ÖSTHAMMAR</t>
        </is>
      </c>
      <c r="I1276" t="n">
        <v>0.4</v>
      </c>
      <c r="J1276" t="n">
        <v>0</v>
      </c>
      <c r="K1276" t="n">
        <v>0</v>
      </c>
      <c r="L1276" t="n">
        <v>0</v>
      </c>
      <c r="M1276" t="n">
        <v>0</v>
      </c>
      <c r="N1276" t="n">
        <v>0</v>
      </c>
      <c r="O1276" t="n">
        <v>0</v>
      </c>
      <c r="P1276" t="n">
        <v>0</v>
      </c>
      <c r="Q1276" t="n">
        <v>0</v>
      </c>
      <c r="R1276" t="n">
        <v>0</v>
      </c>
      <c r="S1276" t="n">
        <v>0</v>
      </c>
      <c r="T1276" t="n">
        <v>0</v>
      </c>
      <c r="U1276" t="n">
        <v>0</v>
      </c>
      <c r="V1276" s="2" t="inlineStr"/>
    </row>
    <row r="1277" ht="15" customHeight="1">
      <c r="A1277" t="inlineStr">
        <is>
          <t>A 22393-2024</t>
        </is>
      </c>
      <c r="B1277" t="inlineStr">
        <is>
          <t>avverkningsanmälan</t>
        </is>
      </c>
      <c r="C1277" t="inlineStr">
        <is>
          <t>Föryngringsavverkning</t>
        </is>
      </c>
      <c r="D1277" s="1" t="n">
        <v>45446</v>
      </c>
      <c r="E1277" s="1" t="n">
        <v>46309</v>
      </c>
      <c r="F1277" t="inlineStr">
        <is>
          <t>UPPSALA LÄN</t>
        </is>
      </c>
      <c r="G1277" t="inlineStr">
        <is>
          <t>TIERP</t>
        </is>
      </c>
      <c r="H1277" t="inlineStr">
        <is>
          <t>Bergvik skog väst AB</t>
        </is>
      </c>
      <c r="I1277" t="n">
        <v>3</v>
      </c>
      <c r="J1277" t="n">
        <v>0</v>
      </c>
      <c r="K1277" t="n">
        <v>0</v>
      </c>
      <c r="L1277" t="n">
        <v>0</v>
      </c>
      <c r="M1277" t="n">
        <v>0</v>
      </c>
      <c r="N1277" t="n">
        <v>0</v>
      </c>
      <c r="O1277" t="n">
        <v>0</v>
      </c>
      <c r="P1277" t="n">
        <v>0</v>
      </c>
      <c r="Q1277" t="n">
        <v>0</v>
      </c>
      <c r="R1277" t="n">
        <v>0</v>
      </c>
      <c r="S1277" t="n">
        <v>0</v>
      </c>
      <c r="T1277" t="n">
        <v>0</v>
      </c>
      <c r="U1277" t="n">
        <v>0</v>
      </c>
      <c r="V1277" s="2" t="inlineStr"/>
    </row>
    <row r="1278" ht="15" customHeight="1">
      <c r="A1278" t="inlineStr">
        <is>
          <t>A 28099-2025</t>
        </is>
      </c>
      <c r="B1278" t="inlineStr">
        <is>
          <t>avverkningsanmälan</t>
        </is>
      </c>
      <c r="C1278" t="inlineStr">
        <is>
          <t>Föryngringsavverkning</t>
        </is>
      </c>
      <c r="D1278" s="1" t="n">
        <v>45817</v>
      </c>
      <c r="E1278" s="1" t="n">
        <v>46309</v>
      </c>
      <c r="F1278" t="inlineStr">
        <is>
          <t>UPPSALA LÄN</t>
        </is>
      </c>
      <c r="G1278" t="inlineStr">
        <is>
          <t>ÖSTHAMMAR</t>
        </is>
      </c>
      <c r="H1278" t="inlineStr">
        <is>
          <t>Bergvik skog öst AB</t>
        </is>
      </c>
      <c r="I1278" t="n">
        <v>2.2</v>
      </c>
      <c r="J1278" t="n">
        <v>0</v>
      </c>
      <c r="K1278" t="n">
        <v>0</v>
      </c>
      <c r="L1278" t="n">
        <v>0</v>
      </c>
      <c r="M1278" t="n">
        <v>0</v>
      </c>
      <c r="N1278" t="n">
        <v>0</v>
      </c>
      <c r="O1278" t="n">
        <v>0</v>
      </c>
      <c r="P1278" t="n">
        <v>0</v>
      </c>
      <c r="Q1278" t="n">
        <v>0</v>
      </c>
      <c r="R1278" t="n">
        <v>0</v>
      </c>
      <c r="S1278" t="n">
        <v>0</v>
      </c>
      <c r="T1278" t="n">
        <v>0</v>
      </c>
      <c r="U1278" t="n">
        <v>0</v>
      </c>
      <c r="V1278" s="2" t="inlineStr"/>
    </row>
    <row r="1279" ht="15" customHeight="1">
      <c r="A1279" t="inlineStr">
        <is>
          <t>A 27920-2025</t>
        </is>
      </c>
      <c r="B1279" t="inlineStr">
        <is>
          <t>avverkningsanmälan</t>
        </is>
      </c>
      <c r="C1279" t="inlineStr">
        <is>
          <t>Föryngringsavverkning</t>
        </is>
      </c>
      <c r="D1279" s="1" t="n">
        <v>45817</v>
      </c>
      <c r="E1279" s="1" t="n">
        <v>46309</v>
      </c>
      <c r="F1279" t="inlineStr">
        <is>
          <t>UPPSALA LÄN</t>
        </is>
      </c>
      <c r="G1279" t="inlineStr">
        <is>
          <t>ÖSTHAMMAR</t>
        </is>
      </c>
      <c r="H1279" t="inlineStr">
        <is>
          <t>Bergvik skog öst AB</t>
        </is>
      </c>
      <c r="I1279" t="n">
        <v>0.6</v>
      </c>
      <c r="J1279" t="n">
        <v>0</v>
      </c>
      <c r="K1279" t="n">
        <v>0</v>
      </c>
      <c r="L1279" t="n">
        <v>0</v>
      </c>
      <c r="M1279" t="n">
        <v>0</v>
      </c>
      <c r="N1279" t="n">
        <v>0</v>
      </c>
      <c r="O1279" t="n">
        <v>0</v>
      </c>
      <c r="P1279" t="n">
        <v>0</v>
      </c>
      <c r="Q1279" t="n">
        <v>0</v>
      </c>
      <c r="R1279" t="n">
        <v>0</v>
      </c>
      <c r="S1279" t="n">
        <v>0</v>
      </c>
      <c r="T1279" t="n">
        <v>0</v>
      </c>
      <c r="U1279" t="n">
        <v>0</v>
      </c>
      <c r="V1279" s="2" t="inlineStr"/>
    </row>
    <row r="1280" ht="15" customHeight="1">
      <c r="A1280" t="inlineStr">
        <is>
          <t>A 42688-2025</t>
        </is>
      </c>
      <c r="B1280" t="inlineStr">
        <is>
          <t>avverkningsanmälan</t>
        </is>
      </c>
      <c r="C1280" t="inlineStr">
        <is>
          <t>Föryngringsavverkning</t>
        </is>
      </c>
      <c r="D1280" s="1" t="n">
        <v>45908</v>
      </c>
      <c r="E1280" s="1" t="n">
        <v>46309</v>
      </c>
      <c r="F1280" t="inlineStr">
        <is>
          <t>UPPSALA LÄN</t>
        </is>
      </c>
      <c r="G1280" t="inlineStr">
        <is>
          <t>TIERP</t>
        </is>
      </c>
      <c r="I1280" t="n">
        <v>1</v>
      </c>
      <c r="J1280" t="n">
        <v>0</v>
      </c>
      <c r="K1280" t="n">
        <v>0</v>
      </c>
      <c r="L1280" t="n">
        <v>0</v>
      </c>
      <c r="M1280" t="n">
        <v>0</v>
      </c>
      <c r="N1280" t="n">
        <v>0</v>
      </c>
      <c r="O1280" t="n">
        <v>0</v>
      </c>
      <c r="P1280" t="n">
        <v>0</v>
      </c>
      <c r="Q1280" t="n">
        <v>0</v>
      </c>
      <c r="R1280" t="n">
        <v>0</v>
      </c>
      <c r="S1280" t="n">
        <v>0</v>
      </c>
      <c r="T1280" t="n">
        <v>0</v>
      </c>
      <c r="U1280" t="n">
        <v>0</v>
      </c>
      <c r="V1280" s="2" t="inlineStr"/>
    </row>
    <row r="1281" ht="15" customHeight="1">
      <c r="A1281" t="inlineStr">
        <is>
          <t>A 42541-2025</t>
        </is>
      </c>
      <c r="B1281" t="inlineStr">
        <is>
          <t>avverkningsanmälan</t>
        </is>
      </c>
      <c r="C1281" t="inlineStr">
        <is>
          <t>Föryngringsavverkning</t>
        </is>
      </c>
      <c r="D1281" s="1" t="n">
        <v>45905</v>
      </c>
      <c r="E1281" s="1" t="n">
        <v>46309</v>
      </c>
      <c r="F1281" t="inlineStr">
        <is>
          <t>UPPSALA LÄN</t>
        </is>
      </c>
      <c r="G1281" t="inlineStr">
        <is>
          <t>UPPSALA</t>
        </is>
      </c>
      <c r="I1281" t="n">
        <v>1.3</v>
      </c>
      <c r="J1281" t="n">
        <v>0</v>
      </c>
      <c r="K1281" t="n">
        <v>0</v>
      </c>
      <c r="L1281" t="n">
        <v>0</v>
      </c>
      <c r="M1281" t="n">
        <v>0</v>
      </c>
      <c r="N1281" t="n">
        <v>0</v>
      </c>
      <c r="O1281" t="n">
        <v>0</v>
      </c>
      <c r="P1281" t="n">
        <v>0</v>
      </c>
      <c r="Q1281" t="n">
        <v>0</v>
      </c>
      <c r="R1281" t="n">
        <v>0</v>
      </c>
      <c r="S1281" t="n">
        <v>0</v>
      </c>
      <c r="T1281" t="n">
        <v>0</v>
      </c>
      <c r="U1281" t="n">
        <v>0</v>
      </c>
      <c r="V1281" s="2" t="inlineStr"/>
    </row>
    <row r="1282" ht="15" customHeight="1">
      <c r="A1282" t="inlineStr">
        <is>
          <t>A 42695-2025</t>
        </is>
      </c>
      <c r="B1282" t="inlineStr">
        <is>
          <t>avverkningsanmälan</t>
        </is>
      </c>
      <c r="C1282" t="inlineStr">
        <is>
          <t>Föryngringsavverkning</t>
        </is>
      </c>
      <c r="D1282" s="1" t="n">
        <v>45908</v>
      </c>
      <c r="E1282" s="1" t="n">
        <v>46309</v>
      </c>
      <c r="F1282" t="inlineStr">
        <is>
          <t>UPPSALA LÄN</t>
        </is>
      </c>
      <c r="G1282" t="inlineStr">
        <is>
          <t>TIERP</t>
        </is>
      </c>
      <c r="I1282" t="n">
        <v>0.9</v>
      </c>
      <c r="J1282" t="n">
        <v>0</v>
      </c>
      <c r="K1282" t="n">
        <v>0</v>
      </c>
      <c r="L1282" t="n">
        <v>0</v>
      </c>
      <c r="M1282" t="n">
        <v>0</v>
      </c>
      <c r="N1282" t="n">
        <v>0</v>
      </c>
      <c r="O1282" t="n">
        <v>0</v>
      </c>
      <c r="P1282" t="n">
        <v>0</v>
      </c>
      <c r="Q1282" t="n">
        <v>0</v>
      </c>
      <c r="R1282" t="n">
        <v>0</v>
      </c>
      <c r="S1282" t="n">
        <v>0</v>
      </c>
      <c r="T1282" t="n">
        <v>0</v>
      </c>
      <c r="U1282" t="n">
        <v>0</v>
      </c>
      <c r="V1282" s="2" t="inlineStr"/>
    </row>
    <row r="1283" ht="15" customHeight="1">
      <c r="A1283" t="inlineStr">
        <is>
          <t>A 28558-2025</t>
        </is>
      </c>
      <c r="B1283" t="inlineStr">
        <is>
          <t>avverkningsanmälan</t>
        </is>
      </c>
      <c r="C1283" t="inlineStr">
        <is>
          <t>Föryngringsavverkning</t>
        </is>
      </c>
      <c r="D1283" s="1" t="n">
        <v>45818</v>
      </c>
      <c r="E1283" s="1" t="n">
        <v>46309</v>
      </c>
      <c r="F1283" t="inlineStr">
        <is>
          <t>UPPSALA LÄN</t>
        </is>
      </c>
      <c r="G1283" t="inlineStr">
        <is>
          <t>HEBY</t>
        </is>
      </c>
      <c r="H1283" t="inlineStr">
        <is>
          <t>Kyrkan</t>
        </is>
      </c>
      <c r="I1283" t="n">
        <v>0.3</v>
      </c>
      <c r="J1283" t="n">
        <v>0</v>
      </c>
      <c r="K1283" t="n">
        <v>0</v>
      </c>
      <c r="L1283" t="n">
        <v>0</v>
      </c>
      <c r="M1283" t="n">
        <v>0</v>
      </c>
      <c r="N1283" t="n">
        <v>0</v>
      </c>
      <c r="O1283" t="n">
        <v>0</v>
      </c>
      <c r="P1283" t="n">
        <v>0</v>
      </c>
      <c r="Q1283" t="n">
        <v>0</v>
      </c>
      <c r="R1283" t="n">
        <v>0</v>
      </c>
      <c r="S1283" t="n">
        <v>0</v>
      </c>
      <c r="T1283" t="n">
        <v>0</v>
      </c>
      <c r="U1283" t="n">
        <v>0</v>
      </c>
      <c r="V1283" s="2" t="inlineStr"/>
    </row>
    <row r="1284" ht="15" customHeight="1">
      <c r="A1284" t="inlineStr">
        <is>
          <t>A 23291-2024</t>
        </is>
      </c>
      <c r="B1284" t="inlineStr">
        <is>
          <t>avverkningsanmälan</t>
        </is>
      </c>
      <c r="C1284" t="inlineStr">
        <is>
          <t>Föryngringsavverkning</t>
        </is>
      </c>
      <c r="D1284" s="1" t="n">
        <v>45453</v>
      </c>
      <c r="E1284" s="1" t="n">
        <v>46309</v>
      </c>
      <c r="F1284" t="inlineStr">
        <is>
          <t>UPPSALA LÄN</t>
        </is>
      </c>
      <c r="G1284" t="inlineStr">
        <is>
          <t>UPPSALA</t>
        </is>
      </c>
      <c r="I1284" t="n">
        <v>1.7</v>
      </c>
      <c r="J1284" t="n">
        <v>0</v>
      </c>
      <c r="K1284" t="n">
        <v>0</v>
      </c>
      <c r="L1284" t="n">
        <v>0</v>
      </c>
      <c r="M1284" t="n">
        <v>0</v>
      </c>
      <c r="N1284" t="n">
        <v>0</v>
      </c>
      <c r="O1284" t="n">
        <v>0</v>
      </c>
      <c r="P1284" t="n">
        <v>0</v>
      </c>
      <c r="Q1284" t="n">
        <v>0</v>
      </c>
      <c r="R1284" t="n">
        <v>0</v>
      </c>
      <c r="S1284" t="n">
        <v>0</v>
      </c>
      <c r="T1284" t="n">
        <v>0</v>
      </c>
      <c r="U1284" t="n">
        <v>0</v>
      </c>
      <c r="V1284" s="2" t="inlineStr"/>
    </row>
    <row r="1285" ht="15" customHeight="1">
      <c r="A1285" t="inlineStr">
        <is>
          <t>A 2406-2026</t>
        </is>
      </c>
      <c r="B1285" t="inlineStr">
        <is>
          <t>avverkningsanmälan</t>
        </is>
      </c>
      <c r="C1285" t="inlineStr">
        <is>
          <t>Föryngringsavverkning</t>
        </is>
      </c>
      <c r="D1285" s="1" t="n">
        <v>46036</v>
      </c>
      <c r="E1285" s="1" t="n">
        <v>46309</v>
      </c>
      <c r="F1285" t="inlineStr">
        <is>
          <t>UPPSALA LÄN</t>
        </is>
      </c>
      <c r="G1285" t="inlineStr">
        <is>
          <t>TIERP</t>
        </is>
      </c>
      <c r="H1285" t="inlineStr">
        <is>
          <t>Bergvik skog väst AB</t>
        </is>
      </c>
      <c r="I1285" t="n">
        <v>1.4</v>
      </c>
      <c r="J1285" t="n">
        <v>0</v>
      </c>
      <c r="K1285" t="n">
        <v>0</v>
      </c>
      <c r="L1285" t="n">
        <v>0</v>
      </c>
      <c r="M1285" t="n">
        <v>0</v>
      </c>
      <c r="N1285" t="n">
        <v>0</v>
      </c>
      <c r="O1285" t="n">
        <v>0</v>
      </c>
      <c r="P1285" t="n">
        <v>0</v>
      </c>
      <c r="Q1285" t="n">
        <v>0</v>
      </c>
      <c r="R1285" t="n">
        <v>0</v>
      </c>
      <c r="S1285" t="n">
        <v>0</v>
      </c>
      <c r="T1285" t="n">
        <v>0</v>
      </c>
      <c r="U1285" t="n">
        <v>0</v>
      </c>
      <c r="V1285" s="2" t="inlineStr"/>
    </row>
    <row r="1286" ht="15" customHeight="1">
      <c r="A1286" t="inlineStr">
        <is>
          <t>A 28561-2025</t>
        </is>
      </c>
      <c r="B1286" t="inlineStr">
        <is>
          <t>avverkningsanmälan</t>
        </is>
      </c>
      <c r="C1286" t="inlineStr">
        <is>
          <t>Föryngringsavverkning</t>
        </is>
      </c>
      <c r="D1286" s="1" t="n">
        <v>45818</v>
      </c>
      <c r="E1286" s="1" t="n">
        <v>46309</v>
      </c>
      <c r="F1286" t="inlineStr">
        <is>
          <t>UPPSALA LÄN</t>
        </is>
      </c>
      <c r="G1286" t="inlineStr">
        <is>
          <t>HEBY</t>
        </is>
      </c>
      <c r="I1286" t="n">
        <v>0.5</v>
      </c>
      <c r="J1286" t="n">
        <v>0</v>
      </c>
      <c r="K1286" t="n">
        <v>0</v>
      </c>
      <c r="L1286" t="n">
        <v>0</v>
      </c>
      <c r="M1286" t="n">
        <v>0</v>
      </c>
      <c r="N1286" t="n">
        <v>0</v>
      </c>
      <c r="O1286" t="n">
        <v>0</v>
      </c>
      <c r="P1286" t="n">
        <v>0</v>
      </c>
      <c r="Q1286" t="n">
        <v>0</v>
      </c>
      <c r="R1286" t="n">
        <v>0</v>
      </c>
      <c r="S1286" t="n">
        <v>0</v>
      </c>
      <c r="T1286" t="n">
        <v>0</v>
      </c>
      <c r="U1286" t="n">
        <v>0</v>
      </c>
      <c r="V1286" s="2" t="inlineStr"/>
    </row>
    <row r="1287" ht="15" customHeight="1">
      <c r="A1287" t="inlineStr">
        <is>
          <t>A 64899-2021</t>
        </is>
      </c>
      <c r="B1287" t="inlineStr">
        <is>
          <t>avverkningsanmälan</t>
        </is>
      </c>
      <c r="C1287" t="inlineStr">
        <is>
          <t>Föryngringsavverkning</t>
        </is>
      </c>
      <c r="D1287" s="1" t="n">
        <v>44512</v>
      </c>
      <c r="E1287" s="1" t="n">
        <v>46309</v>
      </c>
      <c r="F1287" t="inlineStr">
        <is>
          <t>UPPSALA LÄN</t>
        </is>
      </c>
      <c r="G1287" t="inlineStr">
        <is>
          <t>HEBY</t>
        </is>
      </c>
      <c r="H1287" t="inlineStr">
        <is>
          <t>Bergvik skog öst AB</t>
        </is>
      </c>
      <c r="I1287" t="n">
        <v>7.6</v>
      </c>
      <c r="J1287" t="n">
        <v>0</v>
      </c>
      <c r="K1287" t="n">
        <v>0</v>
      </c>
      <c r="L1287" t="n">
        <v>0</v>
      </c>
      <c r="M1287" t="n">
        <v>0</v>
      </c>
      <c r="N1287" t="n">
        <v>0</v>
      </c>
      <c r="O1287" t="n">
        <v>0</v>
      </c>
      <c r="P1287" t="n">
        <v>0</v>
      </c>
      <c r="Q1287" t="n">
        <v>0</v>
      </c>
      <c r="R1287" t="n">
        <v>0</v>
      </c>
      <c r="S1287" t="n">
        <v>0</v>
      </c>
      <c r="T1287" t="n">
        <v>0</v>
      </c>
      <c r="U1287" t="n">
        <v>0</v>
      </c>
      <c r="V1287" s="2" t="inlineStr"/>
    </row>
    <row r="1288" ht="15" customHeight="1">
      <c r="A1288" t="inlineStr">
        <is>
          <t>A 43222-2025</t>
        </is>
      </c>
      <c r="B1288" t="inlineStr">
        <is>
          <t>avverkningsanmälan</t>
        </is>
      </c>
      <c r="C1288" t="inlineStr">
        <is>
          <t>Föryngringsavverkning</t>
        </is>
      </c>
      <c r="D1288" s="1" t="n">
        <v>45910</v>
      </c>
      <c r="E1288" s="1" t="n">
        <v>46309</v>
      </c>
      <c r="F1288" t="inlineStr">
        <is>
          <t>UPPSALA LÄN</t>
        </is>
      </c>
      <c r="G1288" t="inlineStr">
        <is>
          <t>TIERP</t>
        </is>
      </c>
      <c r="I1288" t="n">
        <v>0.7</v>
      </c>
      <c r="J1288" t="n">
        <v>0</v>
      </c>
      <c r="K1288" t="n">
        <v>0</v>
      </c>
      <c r="L1288" t="n">
        <v>0</v>
      </c>
      <c r="M1288" t="n">
        <v>0</v>
      </c>
      <c r="N1288" t="n">
        <v>0</v>
      </c>
      <c r="O1288" t="n">
        <v>0</v>
      </c>
      <c r="P1288" t="n">
        <v>0</v>
      </c>
      <c r="Q1288" t="n">
        <v>0</v>
      </c>
      <c r="R1288" t="n">
        <v>0</v>
      </c>
      <c r="S1288" t="n">
        <v>0</v>
      </c>
      <c r="T1288" t="n">
        <v>0</v>
      </c>
      <c r="U1288" t="n">
        <v>0</v>
      </c>
      <c r="V1288" s="2" t="inlineStr"/>
    </row>
    <row r="1289" ht="15" customHeight="1">
      <c r="A1289" t="inlineStr">
        <is>
          <t>A 42940-2025</t>
        </is>
      </c>
      <c r="B1289" t="inlineStr">
        <is>
          <t>avverkningsanmälan</t>
        </is>
      </c>
      <c r="C1289" t="inlineStr">
        <is>
          <t>Föryngringsavverkning</t>
        </is>
      </c>
      <c r="D1289" s="1" t="n">
        <v>45909</v>
      </c>
      <c r="E1289" s="1" t="n">
        <v>46309</v>
      </c>
      <c r="F1289" t="inlineStr">
        <is>
          <t>UPPSALA LÄN</t>
        </is>
      </c>
      <c r="G1289" t="inlineStr">
        <is>
          <t>ÖSTHAMMAR</t>
        </is>
      </c>
      <c r="I1289" t="n">
        <v>2.1</v>
      </c>
      <c r="J1289" t="n">
        <v>0</v>
      </c>
      <c r="K1289" t="n">
        <v>0</v>
      </c>
      <c r="L1289" t="n">
        <v>0</v>
      </c>
      <c r="M1289" t="n">
        <v>0</v>
      </c>
      <c r="N1289" t="n">
        <v>0</v>
      </c>
      <c r="O1289" t="n">
        <v>0</v>
      </c>
      <c r="P1289" t="n">
        <v>0</v>
      </c>
      <c r="Q1289" t="n">
        <v>0</v>
      </c>
      <c r="R1289" t="n">
        <v>0</v>
      </c>
      <c r="S1289" t="n">
        <v>0</v>
      </c>
      <c r="T1289" t="n">
        <v>0</v>
      </c>
      <c r="U1289" t="n">
        <v>0</v>
      </c>
      <c r="V1289" s="2" t="inlineStr"/>
    </row>
    <row r="1290" ht="15" customHeight="1">
      <c r="A1290" t="inlineStr">
        <is>
          <t>A 34114-2024</t>
        </is>
      </c>
      <c r="B1290" t="inlineStr">
        <is>
          <t>avverkningsanmälan</t>
        </is>
      </c>
      <c r="C1290" t="inlineStr">
        <is>
          <t>Föryngringsavverkning</t>
        </is>
      </c>
      <c r="D1290" s="1" t="n">
        <v>45524</v>
      </c>
      <c r="E1290" s="1" t="n">
        <v>46309</v>
      </c>
      <c r="F1290" t="inlineStr">
        <is>
          <t>UPPSALA LÄN</t>
        </is>
      </c>
      <c r="G1290" t="inlineStr">
        <is>
          <t>UPPSALA</t>
        </is>
      </c>
      <c r="H1290" t="inlineStr">
        <is>
          <t>Allmännings- och besparingsskogar</t>
        </is>
      </c>
      <c r="I1290" t="n">
        <v>1.3</v>
      </c>
      <c r="J1290" t="n">
        <v>0</v>
      </c>
      <c r="K1290" t="n">
        <v>0</v>
      </c>
      <c r="L1290" t="n">
        <v>0</v>
      </c>
      <c r="M1290" t="n">
        <v>0</v>
      </c>
      <c r="N1290" t="n">
        <v>0</v>
      </c>
      <c r="O1290" t="n">
        <v>0</v>
      </c>
      <c r="P1290" t="n">
        <v>0</v>
      </c>
      <c r="Q1290" t="n">
        <v>0</v>
      </c>
      <c r="R1290" t="n">
        <v>0</v>
      </c>
      <c r="S1290" t="n">
        <v>0</v>
      </c>
      <c r="T1290" t="n">
        <v>0</v>
      </c>
      <c r="U1290" t="n">
        <v>0</v>
      </c>
      <c r="V1290" s="2" t="inlineStr"/>
    </row>
    <row r="1291" ht="15" customHeight="1">
      <c r="A1291" t="inlineStr">
        <is>
          <t>A 74429-2021</t>
        </is>
      </c>
      <c r="B1291" t="inlineStr">
        <is>
          <t>avverkningsanmälan</t>
        </is>
      </c>
      <c r="C1291" t="inlineStr">
        <is>
          <t>Föryngringsavverkning</t>
        </is>
      </c>
      <c r="D1291" s="1" t="n">
        <v>44560</v>
      </c>
      <c r="E1291" s="1" t="n">
        <v>46309</v>
      </c>
      <c r="F1291" t="inlineStr">
        <is>
          <t>UPPSALA LÄN</t>
        </is>
      </c>
      <c r="G1291" t="inlineStr">
        <is>
          <t>ÖSTHAMMAR</t>
        </is>
      </c>
      <c r="H1291" t="inlineStr">
        <is>
          <t>Bergvik skog öst AB</t>
        </is>
      </c>
      <c r="I1291" t="n">
        <v>0.8</v>
      </c>
      <c r="J1291" t="n">
        <v>0</v>
      </c>
      <c r="K1291" t="n">
        <v>0</v>
      </c>
      <c r="L1291" t="n">
        <v>0</v>
      </c>
      <c r="M1291" t="n">
        <v>0</v>
      </c>
      <c r="N1291" t="n">
        <v>0</v>
      </c>
      <c r="O1291" t="n">
        <v>0</v>
      </c>
      <c r="P1291" t="n">
        <v>0</v>
      </c>
      <c r="Q1291" t="n">
        <v>0</v>
      </c>
      <c r="R1291" t="n">
        <v>0</v>
      </c>
      <c r="S1291" t="n">
        <v>0</v>
      </c>
      <c r="T1291" t="n">
        <v>0</v>
      </c>
      <c r="U1291" t="n">
        <v>0</v>
      </c>
      <c r="V1291" s="2" t="inlineStr"/>
    </row>
    <row r="1292" ht="15" customHeight="1">
      <c r="A1292" t="inlineStr">
        <is>
          <t>A 5995-2023</t>
        </is>
      </c>
      <c r="B1292" t="inlineStr">
        <is>
          <t>avverkningsanmälan</t>
        </is>
      </c>
      <c r="C1292" t="inlineStr">
        <is>
          <t>Föryngringsavverkning</t>
        </is>
      </c>
      <c r="D1292" s="1" t="n">
        <v>44964</v>
      </c>
      <c r="E1292" s="1" t="n">
        <v>46309</v>
      </c>
      <c r="F1292" t="inlineStr">
        <is>
          <t>UPPSALA LÄN</t>
        </is>
      </c>
      <c r="G1292" t="inlineStr">
        <is>
          <t>TIERP</t>
        </is>
      </c>
      <c r="H1292" t="inlineStr">
        <is>
          <t>Bergvik skog öst AB</t>
        </is>
      </c>
      <c r="I1292" t="n">
        <v>1.3</v>
      </c>
      <c r="J1292" t="n">
        <v>0</v>
      </c>
      <c r="K1292" t="n">
        <v>0</v>
      </c>
      <c r="L1292" t="n">
        <v>0</v>
      </c>
      <c r="M1292" t="n">
        <v>0</v>
      </c>
      <c r="N1292" t="n">
        <v>0</v>
      </c>
      <c r="O1292" t="n">
        <v>0</v>
      </c>
      <c r="P1292" t="n">
        <v>0</v>
      </c>
      <c r="Q1292" t="n">
        <v>0</v>
      </c>
      <c r="R1292" t="n">
        <v>0</v>
      </c>
      <c r="S1292" t="n">
        <v>0</v>
      </c>
      <c r="T1292" t="n">
        <v>0</v>
      </c>
      <c r="U1292" t="n">
        <v>0</v>
      </c>
      <c r="V1292" s="2" t="inlineStr"/>
    </row>
    <row r="1293" ht="15" customHeight="1">
      <c r="A1293" t="inlineStr">
        <is>
          <t>A 27983-2024</t>
        </is>
      </c>
      <c r="B1293" t="inlineStr">
        <is>
          <t>avverkningsanmälan</t>
        </is>
      </c>
      <c r="C1293" t="inlineStr">
        <is>
          <t>Föryngringsavverkning</t>
        </is>
      </c>
      <c r="D1293" s="1" t="n">
        <v>45476</v>
      </c>
      <c r="E1293" s="1" t="n">
        <v>46309</v>
      </c>
      <c r="F1293" t="inlineStr">
        <is>
          <t>UPPSALA LÄN</t>
        </is>
      </c>
      <c r="G1293" t="inlineStr">
        <is>
          <t>ENKÖPING</t>
        </is>
      </c>
      <c r="I1293" t="n">
        <v>3.2</v>
      </c>
      <c r="J1293" t="n">
        <v>0</v>
      </c>
      <c r="K1293" t="n">
        <v>0</v>
      </c>
      <c r="L1293" t="n">
        <v>0</v>
      </c>
      <c r="M1293" t="n">
        <v>0</v>
      </c>
      <c r="N1293" t="n">
        <v>0</v>
      </c>
      <c r="O1293" t="n">
        <v>0</v>
      </c>
      <c r="P1293" t="n">
        <v>0</v>
      </c>
      <c r="Q1293" t="n">
        <v>0</v>
      </c>
      <c r="R1293" t="n">
        <v>0</v>
      </c>
      <c r="S1293" t="n">
        <v>0</v>
      </c>
      <c r="T1293" t="n">
        <v>0</v>
      </c>
      <c r="U1293" t="n">
        <v>0</v>
      </c>
      <c r="V1293" s="2" t="inlineStr"/>
    </row>
    <row r="1294" ht="15" customHeight="1">
      <c r="A1294" t="inlineStr">
        <is>
          <t>A 22632-2025</t>
        </is>
      </c>
      <c r="B1294" t="inlineStr">
        <is>
          <t>avverkningsanmälan</t>
        </is>
      </c>
      <c r="C1294" t="inlineStr">
        <is>
          <t>Föryngringsavverkning</t>
        </is>
      </c>
      <c r="D1294" s="1" t="n">
        <v>45789</v>
      </c>
      <c r="E1294" s="1" t="n">
        <v>46309</v>
      </c>
      <c r="F1294" t="inlineStr">
        <is>
          <t>UPPSALA LÄN</t>
        </is>
      </c>
      <c r="G1294" t="inlineStr">
        <is>
          <t>ENKÖPING</t>
        </is>
      </c>
      <c r="I1294" t="n">
        <v>2.1</v>
      </c>
      <c r="J1294" t="n">
        <v>0</v>
      </c>
      <c r="K1294" t="n">
        <v>0</v>
      </c>
      <c r="L1294" t="n">
        <v>0</v>
      </c>
      <c r="M1294" t="n">
        <v>0</v>
      </c>
      <c r="N1294" t="n">
        <v>0</v>
      </c>
      <c r="O1294" t="n">
        <v>0</v>
      </c>
      <c r="P1294" t="n">
        <v>0</v>
      </c>
      <c r="Q1294" t="n">
        <v>0</v>
      </c>
      <c r="R1294" t="n">
        <v>0</v>
      </c>
      <c r="S1294" t="n">
        <v>0</v>
      </c>
      <c r="T1294" t="n">
        <v>0</v>
      </c>
      <c r="U1294" t="n">
        <v>0</v>
      </c>
      <c r="V1294" s="2" t="inlineStr"/>
    </row>
    <row r="1295" ht="15" customHeight="1">
      <c r="A1295" t="inlineStr">
        <is>
          <t>A 43121-2025</t>
        </is>
      </c>
      <c r="B1295" t="inlineStr">
        <is>
          <t>avverkningsanmälan</t>
        </is>
      </c>
      <c r="C1295" t="inlineStr">
        <is>
          <t>Föryngringsavverkning</t>
        </is>
      </c>
      <c r="D1295" s="1" t="n">
        <v>45909</v>
      </c>
      <c r="E1295" s="1" t="n">
        <v>46309</v>
      </c>
      <c r="F1295" t="inlineStr">
        <is>
          <t>UPPSALA LÄN</t>
        </is>
      </c>
      <c r="G1295" t="inlineStr">
        <is>
          <t>TIERP</t>
        </is>
      </c>
      <c r="I1295" t="n">
        <v>2</v>
      </c>
      <c r="J1295" t="n">
        <v>0</v>
      </c>
      <c r="K1295" t="n">
        <v>0</v>
      </c>
      <c r="L1295" t="n">
        <v>0</v>
      </c>
      <c r="M1295" t="n">
        <v>0</v>
      </c>
      <c r="N1295" t="n">
        <v>0</v>
      </c>
      <c r="O1295" t="n">
        <v>0</v>
      </c>
      <c r="P1295" t="n">
        <v>0</v>
      </c>
      <c r="Q1295" t="n">
        <v>0</v>
      </c>
      <c r="R1295" t="n">
        <v>0</v>
      </c>
      <c r="S1295" t="n">
        <v>0</v>
      </c>
      <c r="T1295" t="n">
        <v>0</v>
      </c>
      <c r="U1295" t="n">
        <v>0</v>
      </c>
      <c r="V1295" s="2" t="inlineStr"/>
    </row>
    <row r="1296" ht="15" customHeight="1">
      <c r="A1296" t="inlineStr">
        <is>
          <t>A 28121-2025</t>
        </is>
      </c>
      <c r="B1296" t="inlineStr">
        <is>
          <t>avverkningsanmälan</t>
        </is>
      </c>
      <c r="C1296" t="inlineStr">
        <is>
          <t>Föryngringsavverkning</t>
        </is>
      </c>
      <c r="D1296" s="1" t="n">
        <v>45817</v>
      </c>
      <c r="E1296" s="1" t="n">
        <v>46309</v>
      </c>
      <c r="F1296" t="inlineStr">
        <is>
          <t>UPPSALA LÄN</t>
        </is>
      </c>
      <c r="G1296" t="inlineStr">
        <is>
          <t>UPPSALA</t>
        </is>
      </c>
      <c r="I1296" t="n">
        <v>5.6</v>
      </c>
      <c r="J1296" t="n">
        <v>0</v>
      </c>
      <c r="K1296" t="n">
        <v>0</v>
      </c>
      <c r="L1296" t="n">
        <v>0</v>
      </c>
      <c r="M1296" t="n">
        <v>0</v>
      </c>
      <c r="N1296" t="n">
        <v>0</v>
      </c>
      <c r="O1296" t="n">
        <v>0</v>
      </c>
      <c r="P1296" t="n">
        <v>0</v>
      </c>
      <c r="Q1296" t="n">
        <v>0</v>
      </c>
      <c r="R1296" t="n">
        <v>0</v>
      </c>
      <c r="S1296" t="n">
        <v>0</v>
      </c>
      <c r="T1296" t="n">
        <v>0</v>
      </c>
      <c r="U1296" t="n">
        <v>0</v>
      </c>
      <c r="V1296" s="2" t="inlineStr"/>
    </row>
    <row r="1297" ht="15" customHeight="1">
      <c r="A1297" t="inlineStr">
        <is>
          <t>A 7543-2023</t>
        </is>
      </c>
      <c r="B1297" t="inlineStr">
        <is>
          <t>avverkningsanmälan</t>
        </is>
      </c>
      <c r="C1297" t="inlineStr">
        <is>
          <t>Föryngringsavverkning</t>
        </is>
      </c>
      <c r="D1297" s="1" t="n">
        <v>44972</v>
      </c>
      <c r="E1297" s="1" t="n">
        <v>46309</v>
      </c>
      <c r="F1297" t="inlineStr">
        <is>
          <t>UPPSALA LÄN</t>
        </is>
      </c>
      <c r="G1297" t="inlineStr">
        <is>
          <t>ÖSTHAMMAR</t>
        </is>
      </c>
      <c r="H1297" t="inlineStr">
        <is>
          <t>Bergvik skog öst AB</t>
        </is>
      </c>
      <c r="I1297" t="n">
        <v>13.3</v>
      </c>
      <c r="J1297" t="n">
        <v>0</v>
      </c>
      <c r="K1297" t="n">
        <v>0</v>
      </c>
      <c r="L1297" t="n">
        <v>0</v>
      </c>
      <c r="M1297" t="n">
        <v>0</v>
      </c>
      <c r="N1297" t="n">
        <v>0</v>
      </c>
      <c r="O1297" t="n">
        <v>0</v>
      </c>
      <c r="P1297" t="n">
        <v>0</v>
      </c>
      <c r="Q1297" t="n">
        <v>0</v>
      </c>
      <c r="R1297" t="n">
        <v>0</v>
      </c>
      <c r="S1297" t="n">
        <v>0</v>
      </c>
      <c r="T1297" t="n">
        <v>0</v>
      </c>
      <c r="U1297" t="n">
        <v>0</v>
      </c>
      <c r="V1297" s="2" t="inlineStr"/>
    </row>
    <row r="1298" ht="15" customHeight="1">
      <c r="A1298" t="inlineStr">
        <is>
          <t>A 7611-2023</t>
        </is>
      </c>
      <c r="B1298" t="inlineStr">
        <is>
          <t>avverkningsanmälan</t>
        </is>
      </c>
      <c r="C1298" t="inlineStr">
        <is>
          <t>Föryngringsavverkning</t>
        </is>
      </c>
      <c r="D1298" s="1" t="n">
        <v>44967</v>
      </c>
      <c r="E1298" s="1" t="n">
        <v>46309</v>
      </c>
      <c r="F1298" t="inlineStr">
        <is>
          <t>UPPSALA LÄN</t>
        </is>
      </c>
      <c r="G1298" t="inlineStr">
        <is>
          <t>UPPSALA</t>
        </is>
      </c>
      <c r="I1298" t="n">
        <v>3.5</v>
      </c>
      <c r="J1298" t="n">
        <v>0</v>
      </c>
      <c r="K1298" t="n">
        <v>0</v>
      </c>
      <c r="L1298" t="n">
        <v>0</v>
      </c>
      <c r="M1298" t="n">
        <v>0</v>
      </c>
      <c r="N1298" t="n">
        <v>0</v>
      </c>
      <c r="O1298" t="n">
        <v>0</v>
      </c>
      <c r="P1298" t="n">
        <v>0</v>
      </c>
      <c r="Q1298" t="n">
        <v>0</v>
      </c>
      <c r="R1298" t="n">
        <v>0</v>
      </c>
      <c r="S1298" t="n">
        <v>0</v>
      </c>
      <c r="T1298" t="n">
        <v>0</v>
      </c>
      <c r="U1298" t="n">
        <v>0</v>
      </c>
      <c r="V1298" s="2" t="inlineStr"/>
    </row>
    <row r="1299" ht="15" customHeight="1">
      <c r="A1299" t="inlineStr">
        <is>
          <t>A 43525-2025</t>
        </is>
      </c>
      <c r="B1299" t="inlineStr">
        <is>
          <t>avverkningsanmälan</t>
        </is>
      </c>
      <c r="C1299" t="inlineStr">
        <is>
          <t>Föryngringsavverkning</t>
        </is>
      </c>
      <c r="D1299" s="1" t="n">
        <v>45911</v>
      </c>
      <c r="E1299" s="1" t="n">
        <v>46309</v>
      </c>
      <c r="F1299" t="inlineStr">
        <is>
          <t>UPPSALA LÄN</t>
        </is>
      </c>
      <c r="G1299" t="inlineStr">
        <is>
          <t>TIERP</t>
        </is>
      </c>
      <c r="H1299" t="inlineStr">
        <is>
          <t>Bergvik skog öst AB</t>
        </is>
      </c>
      <c r="I1299" t="n">
        <v>0.7</v>
      </c>
      <c r="J1299" t="n">
        <v>0</v>
      </c>
      <c r="K1299" t="n">
        <v>0</v>
      </c>
      <c r="L1299" t="n">
        <v>0</v>
      </c>
      <c r="M1299" t="n">
        <v>0</v>
      </c>
      <c r="N1299" t="n">
        <v>0</v>
      </c>
      <c r="O1299" t="n">
        <v>0</v>
      </c>
      <c r="P1299" t="n">
        <v>0</v>
      </c>
      <c r="Q1299" t="n">
        <v>0</v>
      </c>
      <c r="R1299" t="n">
        <v>0</v>
      </c>
      <c r="S1299" t="n">
        <v>0</v>
      </c>
      <c r="T1299" t="n">
        <v>0</v>
      </c>
      <c r="U1299" t="n">
        <v>0</v>
      </c>
      <c r="V1299" s="2" t="inlineStr"/>
    </row>
    <row r="1300" ht="15" customHeight="1">
      <c r="A1300" t="inlineStr">
        <is>
          <t>A 43893-2025</t>
        </is>
      </c>
      <c r="B1300" t="inlineStr">
        <is>
          <t>avverkningsanmälan</t>
        </is>
      </c>
      <c r="C1300" t="inlineStr">
        <is>
          <t>Föryngringsavverkning</t>
        </is>
      </c>
      <c r="D1300" s="1" t="n">
        <v>45912</v>
      </c>
      <c r="E1300" s="1" t="n">
        <v>46309</v>
      </c>
      <c r="F1300" t="inlineStr">
        <is>
          <t>UPPSALA LÄN</t>
        </is>
      </c>
      <c r="G1300" t="inlineStr">
        <is>
          <t>UPPSALA</t>
        </is>
      </c>
      <c r="H1300" t="inlineStr">
        <is>
          <t>Kyrkan</t>
        </is>
      </c>
      <c r="I1300" t="n">
        <v>5.7</v>
      </c>
      <c r="J1300" t="n">
        <v>0</v>
      </c>
      <c r="K1300" t="n">
        <v>0</v>
      </c>
      <c r="L1300" t="n">
        <v>0</v>
      </c>
      <c r="M1300" t="n">
        <v>0</v>
      </c>
      <c r="N1300" t="n">
        <v>0</v>
      </c>
      <c r="O1300" t="n">
        <v>0</v>
      </c>
      <c r="P1300" t="n">
        <v>0</v>
      </c>
      <c r="Q1300" t="n">
        <v>0</v>
      </c>
      <c r="R1300" t="n">
        <v>0</v>
      </c>
      <c r="S1300" t="n">
        <v>0</v>
      </c>
      <c r="T1300" t="n">
        <v>0</v>
      </c>
      <c r="U1300" t="n">
        <v>0</v>
      </c>
      <c r="V1300" s="2" t="inlineStr"/>
    </row>
    <row r="1301" ht="15" customHeight="1">
      <c r="A1301" t="inlineStr">
        <is>
          <t>A 27509-2025</t>
        </is>
      </c>
      <c r="B1301" t="inlineStr">
        <is>
          <t>avverkningsanmälan</t>
        </is>
      </c>
      <c r="C1301" t="inlineStr">
        <is>
          <t>Föryngringsavverkning</t>
        </is>
      </c>
      <c r="D1301" s="1" t="n">
        <v>45813</v>
      </c>
      <c r="E1301" s="1" t="n">
        <v>46309</v>
      </c>
      <c r="F1301" t="inlineStr">
        <is>
          <t>UPPSALA LÄN</t>
        </is>
      </c>
      <c r="G1301" t="inlineStr">
        <is>
          <t>ÖSTHAMMAR</t>
        </is>
      </c>
      <c r="H1301" t="inlineStr">
        <is>
          <t>Bergvik skog öst AB</t>
        </is>
      </c>
      <c r="I1301" t="n">
        <v>3.3</v>
      </c>
      <c r="J1301" t="n">
        <v>0</v>
      </c>
      <c r="K1301" t="n">
        <v>0</v>
      </c>
      <c r="L1301" t="n">
        <v>0</v>
      </c>
      <c r="M1301" t="n">
        <v>0</v>
      </c>
      <c r="N1301" t="n">
        <v>0</v>
      </c>
      <c r="O1301" t="n">
        <v>0</v>
      </c>
      <c r="P1301" t="n">
        <v>0</v>
      </c>
      <c r="Q1301" t="n">
        <v>0</v>
      </c>
      <c r="R1301" t="n">
        <v>0</v>
      </c>
      <c r="S1301" t="n">
        <v>0</v>
      </c>
      <c r="T1301" t="n">
        <v>0</v>
      </c>
      <c r="U1301" t="n">
        <v>0</v>
      </c>
      <c r="V1301" s="2" t="inlineStr"/>
    </row>
    <row r="1302" ht="15" customHeight="1">
      <c r="A1302" t="inlineStr">
        <is>
          <t>A 28855-2025</t>
        </is>
      </c>
      <c r="B1302" t="inlineStr">
        <is>
          <t>avverkningsanmälan</t>
        </is>
      </c>
      <c r="C1302" t="inlineStr">
        <is>
          <t>Föryngringsavverkning</t>
        </is>
      </c>
      <c r="D1302" s="1" t="n">
        <v>45820</v>
      </c>
      <c r="E1302" s="1" t="n">
        <v>46309</v>
      </c>
      <c r="F1302" t="inlineStr">
        <is>
          <t>UPPSALA LÄN</t>
        </is>
      </c>
      <c r="G1302" t="inlineStr">
        <is>
          <t>ENKÖPING</t>
        </is>
      </c>
      <c r="I1302" t="n">
        <v>2.4</v>
      </c>
      <c r="J1302" t="n">
        <v>0</v>
      </c>
      <c r="K1302" t="n">
        <v>0</v>
      </c>
      <c r="L1302" t="n">
        <v>0</v>
      </c>
      <c r="M1302" t="n">
        <v>0</v>
      </c>
      <c r="N1302" t="n">
        <v>0</v>
      </c>
      <c r="O1302" t="n">
        <v>0</v>
      </c>
      <c r="P1302" t="n">
        <v>0</v>
      </c>
      <c r="Q1302" t="n">
        <v>0</v>
      </c>
      <c r="R1302" t="n">
        <v>0</v>
      </c>
      <c r="S1302" t="n">
        <v>0</v>
      </c>
      <c r="T1302" t="n">
        <v>0</v>
      </c>
      <c r="U1302" t="n">
        <v>0</v>
      </c>
      <c r="V1302" s="2" t="inlineStr"/>
    </row>
    <row r="1303" ht="15" customHeight="1">
      <c r="A1303" t="inlineStr">
        <is>
          <t>A 37053-2024</t>
        </is>
      </c>
      <c r="B1303" t="inlineStr">
        <is>
          <t>avverkningsanmälan</t>
        </is>
      </c>
      <c r="C1303" t="inlineStr">
        <is>
          <t>Föryngringsavverkning</t>
        </is>
      </c>
      <c r="D1303" s="1" t="n">
        <v>45539</v>
      </c>
      <c r="E1303" s="1" t="n">
        <v>46309</v>
      </c>
      <c r="F1303" t="inlineStr">
        <is>
          <t>UPPSALA LÄN</t>
        </is>
      </c>
      <c r="G1303" t="inlineStr">
        <is>
          <t>TIERP</t>
        </is>
      </c>
      <c r="I1303" t="n">
        <v>1.7</v>
      </c>
      <c r="J1303" t="n">
        <v>0</v>
      </c>
      <c r="K1303" t="n">
        <v>0</v>
      </c>
      <c r="L1303" t="n">
        <v>0</v>
      </c>
      <c r="M1303" t="n">
        <v>0</v>
      </c>
      <c r="N1303" t="n">
        <v>0</v>
      </c>
      <c r="O1303" t="n">
        <v>0</v>
      </c>
      <c r="P1303" t="n">
        <v>0</v>
      </c>
      <c r="Q1303" t="n">
        <v>0</v>
      </c>
      <c r="R1303" t="n">
        <v>0</v>
      </c>
      <c r="S1303" t="n">
        <v>0</v>
      </c>
      <c r="T1303" t="n">
        <v>0</v>
      </c>
      <c r="U1303" t="n">
        <v>0</v>
      </c>
      <c r="V1303" s="2" t="inlineStr"/>
    </row>
    <row r="1304" ht="15" customHeight="1">
      <c r="A1304" t="inlineStr">
        <is>
          <t>A 27922-2025</t>
        </is>
      </c>
      <c r="B1304" t="inlineStr">
        <is>
          <t>avverkningsanmälan</t>
        </is>
      </c>
      <c r="C1304" t="inlineStr">
        <is>
          <t>Avverkning för annat ändamål</t>
        </is>
      </c>
      <c r="D1304" s="1" t="n">
        <v>45817</v>
      </c>
      <c r="E1304" s="1" t="n">
        <v>46309</v>
      </c>
      <c r="F1304" t="inlineStr">
        <is>
          <t>UPPSALA LÄN</t>
        </is>
      </c>
      <c r="G1304" t="inlineStr">
        <is>
          <t>UPPSALA</t>
        </is>
      </c>
      <c r="H1304" t="inlineStr">
        <is>
          <t>Övriga Aktiebolag</t>
        </is>
      </c>
      <c r="I1304" t="n">
        <v>0.1</v>
      </c>
      <c r="J1304" t="n">
        <v>0</v>
      </c>
      <c r="K1304" t="n">
        <v>0</v>
      </c>
      <c r="L1304" t="n">
        <v>0</v>
      </c>
      <c r="M1304" t="n">
        <v>0</v>
      </c>
      <c r="N1304" t="n">
        <v>0</v>
      </c>
      <c r="O1304" t="n">
        <v>0</v>
      </c>
      <c r="P1304" t="n">
        <v>0</v>
      </c>
      <c r="Q1304" t="n">
        <v>0</v>
      </c>
      <c r="R1304" t="n">
        <v>0</v>
      </c>
      <c r="S1304" t="n">
        <v>0</v>
      </c>
      <c r="T1304" t="n">
        <v>0</v>
      </c>
      <c r="U1304" t="n">
        <v>0</v>
      </c>
      <c r="V1304" s="2" t="inlineStr"/>
    </row>
    <row r="1305" ht="15" customHeight="1">
      <c r="A1305" t="inlineStr">
        <is>
          <t>A 5989-2022</t>
        </is>
      </c>
      <c r="B1305" t="inlineStr">
        <is>
          <t>avverkningsanmälan</t>
        </is>
      </c>
      <c r="C1305" t="inlineStr">
        <is>
          <t>Föryngringsavverkning</t>
        </is>
      </c>
      <c r="D1305" s="1" t="n">
        <v>44599</v>
      </c>
      <c r="E1305" s="1" t="n">
        <v>46309</v>
      </c>
      <c r="F1305" t="inlineStr">
        <is>
          <t>UPPSALA LÄN</t>
        </is>
      </c>
      <c r="G1305" t="inlineStr">
        <is>
          <t>UPPSALA</t>
        </is>
      </c>
      <c r="I1305" t="n">
        <v>2.8</v>
      </c>
      <c r="J1305" t="n">
        <v>0</v>
      </c>
      <c r="K1305" t="n">
        <v>0</v>
      </c>
      <c r="L1305" t="n">
        <v>0</v>
      </c>
      <c r="M1305" t="n">
        <v>0</v>
      </c>
      <c r="N1305" t="n">
        <v>0</v>
      </c>
      <c r="O1305" t="n">
        <v>0</v>
      </c>
      <c r="P1305" t="n">
        <v>0</v>
      </c>
      <c r="Q1305" t="n">
        <v>0</v>
      </c>
      <c r="R1305" t="n">
        <v>0</v>
      </c>
      <c r="S1305" t="n">
        <v>0</v>
      </c>
      <c r="T1305" t="n">
        <v>0</v>
      </c>
      <c r="U1305" t="n">
        <v>0</v>
      </c>
      <c r="V1305" s="2" t="inlineStr"/>
    </row>
    <row r="1306" ht="15" customHeight="1">
      <c r="A1306" t="inlineStr">
        <is>
          <t>A 39009-2024</t>
        </is>
      </c>
      <c r="B1306" t="inlineStr">
        <is>
          <t>avverkningsanmälan</t>
        </is>
      </c>
      <c r="C1306" t="inlineStr">
        <is>
          <t>Föryngringsavverkning</t>
        </is>
      </c>
      <c r="D1306" s="1" t="n">
        <v>45548</v>
      </c>
      <c r="E1306" s="1" t="n">
        <v>46309</v>
      </c>
      <c r="F1306" t="inlineStr">
        <is>
          <t>UPPSALA LÄN</t>
        </is>
      </c>
      <c r="G1306" t="inlineStr">
        <is>
          <t>ENKÖPING</t>
        </is>
      </c>
      <c r="I1306" t="n">
        <v>0.7</v>
      </c>
      <c r="J1306" t="n">
        <v>0</v>
      </c>
      <c r="K1306" t="n">
        <v>0</v>
      </c>
      <c r="L1306" t="n">
        <v>0</v>
      </c>
      <c r="M1306" t="n">
        <v>0</v>
      </c>
      <c r="N1306" t="n">
        <v>0</v>
      </c>
      <c r="O1306" t="n">
        <v>0</v>
      </c>
      <c r="P1306" t="n">
        <v>0</v>
      </c>
      <c r="Q1306" t="n">
        <v>0</v>
      </c>
      <c r="R1306" t="n">
        <v>0</v>
      </c>
      <c r="S1306" t="n">
        <v>0</v>
      </c>
      <c r="T1306" t="n">
        <v>0</v>
      </c>
      <c r="U1306" t="n">
        <v>0</v>
      </c>
      <c r="V1306" s="2" t="inlineStr"/>
    </row>
    <row r="1307" ht="15" customHeight="1">
      <c r="A1307" t="inlineStr">
        <is>
          <t>A 38226-2023</t>
        </is>
      </c>
      <c r="B1307" t="inlineStr">
        <is>
          <t>avverkningsanmälan</t>
        </is>
      </c>
      <c r="C1307" t="inlineStr">
        <is>
          <t>Föryngringsavverkning</t>
        </is>
      </c>
      <c r="D1307" s="1" t="n">
        <v>45161</v>
      </c>
      <c r="E1307" s="1" t="n">
        <v>46309</v>
      </c>
      <c r="F1307" t="inlineStr">
        <is>
          <t>UPPSALA LÄN</t>
        </is>
      </c>
      <c r="G1307" t="inlineStr">
        <is>
          <t>ÄLVKARLEBY</t>
        </is>
      </c>
      <c r="H1307" t="inlineStr">
        <is>
          <t>Bergvik skog väst AB</t>
        </is>
      </c>
      <c r="I1307" t="n">
        <v>4.5</v>
      </c>
      <c r="J1307" t="n">
        <v>0</v>
      </c>
      <c r="K1307" t="n">
        <v>0</v>
      </c>
      <c r="L1307" t="n">
        <v>0</v>
      </c>
      <c r="M1307" t="n">
        <v>0</v>
      </c>
      <c r="N1307" t="n">
        <v>0</v>
      </c>
      <c r="O1307" t="n">
        <v>0</v>
      </c>
      <c r="P1307" t="n">
        <v>0</v>
      </c>
      <c r="Q1307" t="n">
        <v>0</v>
      </c>
      <c r="R1307" t="n">
        <v>0</v>
      </c>
      <c r="S1307" t="n">
        <v>0</v>
      </c>
      <c r="T1307" t="n">
        <v>0</v>
      </c>
      <c r="U1307" t="n">
        <v>0</v>
      </c>
      <c r="V1307" s="2" t="inlineStr"/>
    </row>
    <row r="1308" ht="15" customHeight="1">
      <c r="A1308" t="inlineStr">
        <is>
          <t>A 5006-2022</t>
        </is>
      </c>
      <c r="B1308" t="inlineStr">
        <is>
          <t>avverkningsanmälan</t>
        </is>
      </c>
      <c r="C1308" t="inlineStr">
        <is>
          <t>Föryngringsavverkning</t>
        </is>
      </c>
      <c r="D1308" s="1" t="n">
        <v>44593</v>
      </c>
      <c r="E1308" s="1" t="n">
        <v>46309</v>
      </c>
      <c r="F1308" t="inlineStr">
        <is>
          <t>UPPSALA LÄN</t>
        </is>
      </c>
      <c r="G1308" t="inlineStr">
        <is>
          <t>UPPSALA</t>
        </is>
      </c>
      <c r="H1308" t="inlineStr">
        <is>
          <t>BillerudKorsnäs AB</t>
        </is>
      </c>
      <c r="I1308" t="n">
        <v>1.4</v>
      </c>
      <c r="J1308" t="n">
        <v>0</v>
      </c>
      <c r="K1308" t="n">
        <v>0</v>
      </c>
      <c r="L1308" t="n">
        <v>0</v>
      </c>
      <c r="M1308" t="n">
        <v>0</v>
      </c>
      <c r="N1308" t="n">
        <v>0</v>
      </c>
      <c r="O1308" t="n">
        <v>0</v>
      </c>
      <c r="P1308" t="n">
        <v>0</v>
      </c>
      <c r="Q1308" t="n">
        <v>0</v>
      </c>
      <c r="R1308" t="n">
        <v>0</v>
      </c>
      <c r="S1308" t="n">
        <v>0</v>
      </c>
      <c r="T1308" t="n">
        <v>0</v>
      </c>
      <c r="U1308" t="n">
        <v>0</v>
      </c>
      <c r="V1308" s="2" t="inlineStr"/>
    </row>
    <row r="1309" ht="15" customHeight="1">
      <c r="A1309" t="inlineStr">
        <is>
          <t>A 5007-2022</t>
        </is>
      </c>
      <c r="B1309" t="inlineStr">
        <is>
          <t>avverkningsanmälan</t>
        </is>
      </c>
      <c r="C1309" t="inlineStr">
        <is>
          <t>Föryngringsavverkning</t>
        </is>
      </c>
      <c r="D1309" s="1" t="n">
        <v>44593</v>
      </c>
      <c r="E1309" s="1" t="n">
        <v>46309</v>
      </c>
      <c r="F1309" t="inlineStr">
        <is>
          <t>UPPSALA LÄN</t>
        </is>
      </c>
      <c r="G1309" t="inlineStr">
        <is>
          <t>UPPSALA</t>
        </is>
      </c>
      <c r="H1309" t="inlineStr">
        <is>
          <t>BillerudKorsnäs AB</t>
        </is>
      </c>
      <c r="I1309" t="n">
        <v>3.6</v>
      </c>
      <c r="J1309" t="n">
        <v>0</v>
      </c>
      <c r="K1309" t="n">
        <v>0</v>
      </c>
      <c r="L1309" t="n">
        <v>0</v>
      </c>
      <c r="M1309" t="n">
        <v>0</v>
      </c>
      <c r="N1309" t="n">
        <v>0</v>
      </c>
      <c r="O1309" t="n">
        <v>0</v>
      </c>
      <c r="P1309" t="n">
        <v>0</v>
      </c>
      <c r="Q1309" t="n">
        <v>0</v>
      </c>
      <c r="R1309" t="n">
        <v>0</v>
      </c>
      <c r="S1309" t="n">
        <v>0</v>
      </c>
      <c r="T1309" t="n">
        <v>0</v>
      </c>
      <c r="U1309" t="n">
        <v>0</v>
      </c>
      <c r="V1309" s="2" t="inlineStr"/>
    </row>
    <row r="1310" ht="15" customHeight="1">
      <c r="A1310" t="inlineStr">
        <is>
          <t>A 8537-2025</t>
        </is>
      </c>
      <c r="B1310" t="inlineStr">
        <is>
          <t>avverkningsanmälan</t>
        </is>
      </c>
      <c r="C1310" t="inlineStr">
        <is>
          <t>Föryngringsavverkning</t>
        </is>
      </c>
      <c r="D1310" s="1" t="n">
        <v>45709</v>
      </c>
      <c r="E1310" s="1" t="n">
        <v>46309</v>
      </c>
      <c r="F1310" t="inlineStr">
        <is>
          <t>UPPSALA LÄN</t>
        </is>
      </c>
      <c r="G1310" t="inlineStr">
        <is>
          <t>ENKÖPING</t>
        </is>
      </c>
      <c r="I1310" t="n">
        <v>0.8</v>
      </c>
      <c r="J1310" t="n">
        <v>0</v>
      </c>
      <c r="K1310" t="n">
        <v>0</v>
      </c>
      <c r="L1310" t="n">
        <v>0</v>
      </c>
      <c r="M1310" t="n">
        <v>0</v>
      </c>
      <c r="N1310" t="n">
        <v>0</v>
      </c>
      <c r="O1310" t="n">
        <v>0</v>
      </c>
      <c r="P1310" t="n">
        <v>0</v>
      </c>
      <c r="Q1310" t="n">
        <v>0</v>
      </c>
      <c r="R1310" t="n">
        <v>0</v>
      </c>
      <c r="S1310" t="n">
        <v>0</v>
      </c>
      <c r="T1310" t="n">
        <v>0</v>
      </c>
      <c r="U1310" t="n">
        <v>0</v>
      </c>
      <c r="V1310" s="2" t="inlineStr"/>
    </row>
    <row r="1311" ht="15" customHeight="1">
      <c r="A1311" t="inlineStr">
        <is>
          <t>A 28812-2025</t>
        </is>
      </c>
      <c r="B1311" t="inlineStr">
        <is>
          <t>avverkningsanmälan</t>
        </is>
      </c>
      <c r="C1311" t="inlineStr">
        <is>
          <t>Föryngringsavverkning</t>
        </is>
      </c>
      <c r="D1311" s="1" t="n">
        <v>45820</v>
      </c>
      <c r="E1311" s="1" t="n">
        <v>46309</v>
      </c>
      <c r="F1311" t="inlineStr">
        <is>
          <t>UPPSALA LÄN</t>
        </is>
      </c>
      <c r="G1311" t="inlineStr">
        <is>
          <t>HEBY</t>
        </is>
      </c>
      <c r="I1311" t="n">
        <v>1</v>
      </c>
      <c r="J1311" t="n">
        <v>0</v>
      </c>
      <c r="K1311" t="n">
        <v>0</v>
      </c>
      <c r="L1311" t="n">
        <v>0</v>
      </c>
      <c r="M1311" t="n">
        <v>0</v>
      </c>
      <c r="N1311" t="n">
        <v>0</v>
      </c>
      <c r="O1311" t="n">
        <v>0</v>
      </c>
      <c r="P1311" t="n">
        <v>0</v>
      </c>
      <c r="Q1311" t="n">
        <v>0</v>
      </c>
      <c r="R1311" t="n">
        <v>0</v>
      </c>
      <c r="S1311" t="n">
        <v>0</v>
      </c>
      <c r="T1311" t="n">
        <v>0</v>
      </c>
      <c r="U1311" t="n">
        <v>0</v>
      </c>
      <c r="V1311" s="2" t="inlineStr"/>
    </row>
    <row r="1312" ht="15" customHeight="1">
      <c r="A1312" t="inlineStr">
        <is>
          <t>A 60722-2022</t>
        </is>
      </c>
      <c r="B1312" t="inlineStr">
        <is>
          <t>avverkningsanmälan</t>
        </is>
      </c>
      <c r="C1312" t="inlineStr">
        <is>
          <t>Avverkning för annat ändamål</t>
        </is>
      </c>
      <c r="D1312" s="1" t="n">
        <v>44913</v>
      </c>
      <c r="E1312" s="1" t="n">
        <v>46309</v>
      </c>
      <c r="F1312" t="inlineStr">
        <is>
          <t>UPPSALA LÄN</t>
        </is>
      </c>
      <c r="G1312" t="inlineStr">
        <is>
          <t>HEBY</t>
        </is>
      </c>
      <c r="I1312" t="n">
        <v>0.5</v>
      </c>
      <c r="J1312" t="n">
        <v>0</v>
      </c>
      <c r="K1312" t="n">
        <v>0</v>
      </c>
      <c r="L1312" t="n">
        <v>0</v>
      </c>
      <c r="M1312" t="n">
        <v>0</v>
      </c>
      <c r="N1312" t="n">
        <v>0</v>
      </c>
      <c r="O1312" t="n">
        <v>0</v>
      </c>
      <c r="P1312" t="n">
        <v>0</v>
      </c>
      <c r="Q1312" t="n">
        <v>0</v>
      </c>
      <c r="R1312" t="n">
        <v>0</v>
      </c>
      <c r="S1312" t="n">
        <v>0</v>
      </c>
      <c r="T1312" t="n">
        <v>0</v>
      </c>
      <c r="U1312" t="n">
        <v>0</v>
      </c>
      <c r="V1312" s="2" t="inlineStr"/>
    </row>
    <row r="1313" ht="15" customHeight="1">
      <c r="A1313" t="inlineStr">
        <is>
          <t>A 43855-2025</t>
        </is>
      </c>
      <c r="B1313" t="inlineStr">
        <is>
          <t>avverkningsanmälan</t>
        </is>
      </c>
      <c r="C1313" t="inlineStr">
        <is>
          <t>Föryngringsavverkning</t>
        </is>
      </c>
      <c r="D1313" s="1" t="n">
        <v>45912</v>
      </c>
      <c r="E1313" s="1" t="n">
        <v>46309</v>
      </c>
      <c r="F1313" t="inlineStr">
        <is>
          <t>UPPSALA LÄN</t>
        </is>
      </c>
      <c r="G1313" t="inlineStr">
        <is>
          <t>HEBY</t>
        </is>
      </c>
      <c r="I1313" t="n">
        <v>8</v>
      </c>
      <c r="J1313" t="n">
        <v>0</v>
      </c>
      <c r="K1313" t="n">
        <v>0</v>
      </c>
      <c r="L1313" t="n">
        <v>0</v>
      </c>
      <c r="M1313" t="n">
        <v>0</v>
      </c>
      <c r="N1313" t="n">
        <v>0</v>
      </c>
      <c r="O1313" t="n">
        <v>0</v>
      </c>
      <c r="P1313" t="n">
        <v>0</v>
      </c>
      <c r="Q1313" t="n">
        <v>0</v>
      </c>
      <c r="R1313" t="n">
        <v>0</v>
      </c>
      <c r="S1313" t="n">
        <v>0</v>
      </c>
      <c r="T1313" t="n">
        <v>0</v>
      </c>
      <c r="U1313" t="n">
        <v>0</v>
      </c>
      <c r="V1313" s="2" t="inlineStr"/>
    </row>
    <row r="1314" ht="15" customHeight="1">
      <c r="A1314" t="inlineStr">
        <is>
          <t>A 7276-2024</t>
        </is>
      </c>
      <c r="B1314" t="inlineStr">
        <is>
          <t>avverkningsanmälan</t>
        </is>
      </c>
      <c r="C1314" t="inlineStr">
        <is>
          <t>Föryngringsavverkning</t>
        </is>
      </c>
      <c r="D1314" s="1" t="n">
        <v>45344</v>
      </c>
      <c r="E1314" s="1" t="n">
        <v>46309</v>
      </c>
      <c r="F1314" t="inlineStr">
        <is>
          <t>UPPSALA LÄN</t>
        </is>
      </c>
      <c r="G1314" t="inlineStr">
        <is>
          <t>UPPSALA</t>
        </is>
      </c>
      <c r="H1314" t="inlineStr">
        <is>
          <t>Bergvik skog öst AB</t>
        </is>
      </c>
      <c r="I1314" t="n">
        <v>0.2</v>
      </c>
      <c r="J1314" t="n">
        <v>0</v>
      </c>
      <c r="K1314" t="n">
        <v>0</v>
      </c>
      <c r="L1314" t="n">
        <v>0</v>
      </c>
      <c r="M1314" t="n">
        <v>0</v>
      </c>
      <c r="N1314" t="n">
        <v>0</v>
      </c>
      <c r="O1314" t="n">
        <v>0</v>
      </c>
      <c r="P1314" t="n">
        <v>0</v>
      </c>
      <c r="Q1314" t="n">
        <v>0</v>
      </c>
      <c r="R1314" t="n">
        <v>0</v>
      </c>
      <c r="S1314" t="n">
        <v>0</v>
      </c>
      <c r="T1314" t="n">
        <v>0</v>
      </c>
      <c r="U1314" t="n">
        <v>0</v>
      </c>
      <c r="V1314" s="2" t="inlineStr"/>
    </row>
    <row r="1315" ht="15" customHeight="1">
      <c r="A1315" t="inlineStr">
        <is>
          <t>A 29047-2025</t>
        </is>
      </c>
      <c r="B1315" t="inlineStr">
        <is>
          <t>avverkningsanmälan</t>
        </is>
      </c>
      <c r="C1315" t="inlineStr">
        <is>
          <t>Föryngringsavverkning</t>
        </is>
      </c>
      <c r="D1315" s="1" t="n">
        <v>45821</v>
      </c>
      <c r="E1315" s="1" t="n">
        <v>46309</v>
      </c>
      <c r="F1315" t="inlineStr">
        <is>
          <t>UPPSALA LÄN</t>
        </is>
      </c>
      <c r="G1315" t="inlineStr">
        <is>
          <t>UPPSALA</t>
        </is>
      </c>
      <c r="I1315" t="n">
        <v>1.3</v>
      </c>
      <c r="J1315" t="n">
        <v>0</v>
      </c>
      <c r="K1315" t="n">
        <v>0</v>
      </c>
      <c r="L1315" t="n">
        <v>0</v>
      </c>
      <c r="M1315" t="n">
        <v>0</v>
      </c>
      <c r="N1315" t="n">
        <v>0</v>
      </c>
      <c r="O1315" t="n">
        <v>0</v>
      </c>
      <c r="P1315" t="n">
        <v>0</v>
      </c>
      <c r="Q1315" t="n">
        <v>0</v>
      </c>
      <c r="R1315" t="n">
        <v>0</v>
      </c>
      <c r="S1315" t="n">
        <v>0</v>
      </c>
      <c r="T1315" t="n">
        <v>0</v>
      </c>
      <c r="U1315" t="n">
        <v>0</v>
      </c>
      <c r="V1315" s="2" t="inlineStr"/>
    </row>
    <row r="1316" ht="15" customHeight="1">
      <c r="A1316" t="inlineStr">
        <is>
          <t>A 33570-2025</t>
        </is>
      </c>
      <c r="B1316" t="inlineStr">
        <is>
          <t>avverkningsanmälan</t>
        </is>
      </c>
      <c r="C1316" t="inlineStr">
        <is>
          <t>Föryngringsavverkning</t>
        </is>
      </c>
      <c r="D1316" s="1" t="n">
        <v>45841</v>
      </c>
      <c r="E1316" s="1" t="n">
        <v>46309</v>
      </c>
      <c r="F1316" t="inlineStr">
        <is>
          <t>UPPSALA LÄN</t>
        </is>
      </c>
      <c r="G1316" t="inlineStr">
        <is>
          <t>TIERP</t>
        </is>
      </c>
      <c r="H1316" t="inlineStr">
        <is>
          <t>Övriga Aktiebolag</t>
        </is>
      </c>
      <c r="I1316" t="n">
        <v>0.5</v>
      </c>
      <c r="J1316" t="n">
        <v>0</v>
      </c>
      <c r="K1316" t="n">
        <v>0</v>
      </c>
      <c r="L1316" t="n">
        <v>0</v>
      </c>
      <c r="M1316" t="n">
        <v>0</v>
      </c>
      <c r="N1316" t="n">
        <v>0</v>
      </c>
      <c r="O1316" t="n">
        <v>0</v>
      </c>
      <c r="P1316" t="n">
        <v>0</v>
      </c>
      <c r="Q1316" t="n">
        <v>0</v>
      </c>
      <c r="R1316" t="n">
        <v>0</v>
      </c>
      <c r="S1316" t="n">
        <v>0</v>
      </c>
      <c r="T1316" t="n">
        <v>0</v>
      </c>
      <c r="U1316" t="n">
        <v>0</v>
      </c>
      <c r="V1316" s="2" t="inlineStr"/>
    </row>
    <row r="1317" ht="15" customHeight="1">
      <c r="A1317" t="inlineStr">
        <is>
          <t>A 35195-2025</t>
        </is>
      </c>
      <c r="B1317" t="inlineStr">
        <is>
          <t>avverkningsanmälan</t>
        </is>
      </c>
      <c r="C1317" t="inlineStr">
        <is>
          <t>Föryngringsavverkning</t>
        </is>
      </c>
      <c r="D1317" s="1" t="n">
        <v>45853</v>
      </c>
      <c r="E1317" s="1" t="n">
        <v>46309</v>
      </c>
      <c r="F1317" t="inlineStr">
        <is>
          <t>UPPSALA LÄN</t>
        </is>
      </c>
      <c r="G1317" t="inlineStr">
        <is>
          <t>TIERP</t>
        </is>
      </c>
      <c r="I1317" t="n">
        <v>0.9</v>
      </c>
      <c r="J1317" t="n">
        <v>0</v>
      </c>
      <c r="K1317" t="n">
        <v>0</v>
      </c>
      <c r="L1317" t="n">
        <v>0</v>
      </c>
      <c r="M1317" t="n">
        <v>0</v>
      </c>
      <c r="N1317" t="n">
        <v>0</v>
      </c>
      <c r="O1317" t="n">
        <v>0</v>
      </c>
      <c r="P1317" t="n">
        <v>0</v>
      </c>
      <c r="Q1317" t="n">
        <v>0</v>
      </c>
      <c r="R1317" t="n">
        <v>0</v>
      </c>
      <c r="S1317" t="n">
        <v>0</v>
      </c>
      <c r="T1317" t="n">
        <v>0</v>
      </c>
      <c r="U1317" t="n">
        <v>0</v>
      </c>
      <c r="V1317" s="2" t="inlineStr"/>
    </row>
    <row r="1318" ht="15" customHeight="1">
      <c r="A1318" t="inlineStr">
        <is>
          <t>A 35196-2025</t>
        </is>
      </c>
      <c r="B1318" t="inlineStr">
        <is>
          <t>avverkningsanmälan</t>
        </is>
      </c>
      <c r="C1318" t="inlineStr">
        <is>
          <t>Avverkning för annat ändamål</t>
        </is>
      </c>
      <c r="D1318" s="1" t="n">
        <v>45853</v>
      </c>
      <c r="E1318" s="1" t="n">
        <v>46309</v>
      </c>
      <c r="F1318" t="inlineStr">
        <is>
          <t>UPPSALA LÄN</t>
        </is>
      </c>
      <c r="G1318" t="inlineStr">
        <is>
          <t>TIERP</t>
        </is>
      </c>
      <c r="I1318" t="n">
        <v>2.6</v>
      </c>
      <c r="J1318" t="n">
        <v>0</v>
      </c>
      <c r="K1318" t="n">
        <v>0</v>
      </c>
      <c r="L1318" t="n">
        <v>0</v>
      </c>
      <c r="M1318" t="n">
        <v>0</v>
      </c>
      <c r="N1318" t="n">
        <v>0</v>
      </c>
      <c r="O1318" t="n">
        <v>0</v>
      </c>
      <c r="P1318" t="n">
        <v>0</v>
      </c>
      <c r="Q1318" t="n">
        <v>0</v>
      </c>
      <c r="R1318" t="n">
        <v>0</v>
      </c>
      <c r="S1318" t="n">
        <v>0</v>
      </c>
      <c r="T1318" t="n">
        <v>0</v>
      </c>
      <c r="U1318" t="n">
        <v>0</v>
      </c>
      <c r="V1318" s="2" t="inlineStr"/>
    </row>
    <row r="1319" ht="15" customHeight="1">
      <c r="A1319" t="inlineStr">
        <is>
          <t>A 29030-2025</t>
        </is>
      </c>
      <c r="B1319" t="inlineStr">
        <is>
          <t>avverkningsanmälan</t>
        </is>
      </c>
      <c r="C1319" t="inlineStr">
        <is>
          <t>Föryngringsavverkning</t>
        </is>
      </c>
      <c r="D1319" s="1" t="n">
        <v>45821</v>
      </c>
      <c r="E1319" s="1" t="n">
        <v>46309</v>
      </c>
      <c r="F1319" t="inlineStr">
        <is>
          <t>UPPSALA LÄN</t>
        </is>
      </c>
      <c r="G1319" t="inlineStr">
        <is>
          <t>UPPSALA</t>
        </is>
      </c>
      <c r="I1319" t="n">
        <v>3.9</v>
      </c>
      <c r="J1319" t="n">
        <v>0</v>
      </c>
      <c r="K1319" t="n">
        <v>0</v>
      </c>
      <c r="L1319" t="n">
        <v>0</v>
      </c>
      <c r="M1319" t="n">
        <v>0</v>
      </c>
      <c r="N1319" t="n">
        <v>0</v>
      </c>
      <c r="O1319" t="n">
        <v>0</v>
      </c>
      <c r="P1319" t="n">
        <v>0</v>
      </c>
      <c r="Q1319" t="n">
        <v>0</v>
      </c>
      <c r="R1319" t="n">
        <v>0</v>
      </c>
      <c r="S1319" t="n">
        <v>0</v>
      </c>
      <c r="T1319" t="n">
        <v>0</v>
      </c>
      <c r="U1319" t="n">
        <v>0</v>
      </c>
      <c r="V1319" s="2" t="inlineStr"/>
    </row>
    <row r="1320" ht="15" customHeight="1">
      <c r="A1320" t="inlineStr">
        <is>
          <t>A 23065-2023</t>
        </is>
      </c>
      <c r="B1320" t="inlineStr">
        <is>
          <t>avverkningsanmälan</t>
        </is>
      </c>
      <c r="C1320" t="inlineStr">
        <is>
          <t>Föryngringsavverkning</t>
        </is>
      </c>
      <c r="D1320" s="1" t="n">
        <v>45075</v>
      </c>
      <c r="E1320" s="1" t="n">
        <v>46309</v>
      </c>
      <c r="F1320" t="inlineStr">
        <is>
          <t>UPPSALA LÄN</t>
        </is>
      </c>
      <c r="G1320" t="inlineStr">
        <is>
          <t>HEBY</t>
        </is>
      </c>
      <c r="I1320" t="n">
        <v>0.5</v>
      </c>
      <c r="J1320" t="n">
        <v>0</v>
      </c>
      <c r="K1320" t="n">
        <v>0</v>
      </c>
      <c r="L1320" t="n">
        <v>0</v>
      </c>
      <c r="M1320" t="n">
        <v>0</v>
      </c>
      <c r="N1320" t="n">
        <v>0</v>
      </c>
      <c r="O1320" t="n">
        <v>0</v>
      </c>
      <c r="P1320" t="n">
        <v>0</v>
      </c>
      <c r="Q1320" t="n">
        <v>0</v>
      </c>
      <c r="R1320" t="n">
        <v>0</v>
      </c>
      <c r="S1320" t="n">
        <v>0</v>
      </c>
      <c r="T1320" t="n">
        <v>0</v>
      </c>
      <c r="U1320" t="n">
        <v>0</v>
      </c>
      <c r="V1320" s="2" t="inlineStr"/>
    </row>
    <row r="1321" ht="15" customHeight="1">
      <c r="A1321" t="inlineStr">
        <is>
          <t>A 44226-2025</t>
        </is>
      </c>
      <c r="B1321" t="inlineStr">
        <is>
          <t>avverkningsanmälan</t>
        </is>
      </c>
      <c r="C1321" t="inlineStr">
        <is>
          <t>Föryngringsavverkning</t>
        </is>
      </c>
      <c r="D1321" s="1" t="n">
        <v>45915</v>
      </c>
      <c r="E1321" s="1" t="n">
        <v>46309</v>
      </c>
      <c r="F1321" t="inlineStr">
        <is>
          <t>UPPSALA LÄN</t>
        </is>
      </c>
      <c r="G1321" t="inlineStr">
        <is>
          <t>UPPSALA</t>
        </is>
      </c>
      <c r="H1321" t="inlineStr">
        <is>
          <t>Kyrkan</t>
        </is>
      </c>
      <c r="I1321" t="n">
        <v>2.5</v>
      </c>
      <c r="J1321" t="n">
        <v>0</v>
      </c>
      <c r="K1321" t="n">
        <v>0</v>
      </c>
      <c r="L1321" t="n">
        <v>0</v>
      </c>
      <c r="M1321" t="n">
        <v>0</v>
      </c>
      <c r="N1321" t="n">
        <v>0</v>
      </c>
      <c r="O1321" t="n">
        <v>0</v>
      </c>
      <c r="P1321" t="n">
        <v>0</v>
      </c>
      <c r="Q1321" t="n">
        <v>0</v>
      </c>
      <c r="R1321" t="n">
        <v>0</v>
      </c>
      <c r="S1321" t="n">
        <v>0</v>
      </c>
      <c r="T1321" t="n">
        <v>0</v>
      </c>
      <c r="U1321" t="n">
        <v>0</v>
      </c>
      <c r="V1321" s="2" t="inlineStr"/>
    </row>
    <row r="1322" ht="15" customHeight="1">
      <c r="A1322" t="inlineStr">
        <is>
          <t>A 34044-2025</t>
        </is>
      </c>
      <c r="B1322" t="inlineStr">
        <is>
          <t>avverkningsanmälan</t>
        </is>
      </c>
      <c r="C1322" t="inlineStr">
        <is>
          <t>Föryngringsavverkning</t>
        </is>
      </c>
      <c r="D1322" s="1" t="n">
        <v>45845</v>
      </c>
      <c r="E1322" s="1" t="n">
        <v>46309</v>
      </c>
      <c r="F1322" t="inlineStr">
        <is>
          <t>UPPSALA LÄN</t>
        </is>
      </c>
      <c r="G1322" t="inlineStr">
        <is>
          <t>TIERP</t>
        </is>
      </c>
      <c r="H1322" t="inlineStr">
        <is>
          <t>Övriga Aktiebolag</t>
        </is>
      </c>
      <c r="I1322" t="n">
        <v>0.4</v>
      </c>
      <c r="J1322" t="n">
        <v>0</v>
      </c>
      <c r="K1322" t="n">
        <v>0</v>
      </c>
      <c r="L1322" t="n">
        <v>0</v>
      </c>
      <c r="M1322" t="n">
        <v>0</v>
      </c>
      <c r="N1322" t="n">
        <v>0</v>
      </c>
      <c r="O1322" t="n">
        <v>0</v>
      </c>
      <c r="P1322" t="n">
        <v>0</v>
      </c>
      <c r="Q1322" t="n">
        <v>0</v>
      </c>
      <c r="R1322" t="n">
        <v>0</v>
      </c>
      <c r="S1322" t="n">
        <v>0</v>
      </c>
      <c r="T1322" t="n">
        <v>0</v>
      </c>
      <c r="U1322" t="n">
        <v>0</v>
      </c>
      <c r="V1322" s="2" t="inlineStr"/>
    </row>
    <row r="1323" ht="15" customHeight="1">
      <c r="A1323" t="inlineStr">
        <is>
          <t>A 73-2023</t>
        </is>
      </c>
      <c r="B1323" t="inlineStr">
        <is>
          <t>avverkningsanmälan</t>
        </is>
      </c>
      <c r="C1323" t="inlineStr">
        <is>
          <t>Föryngringsavverkning</t>
        </is>
      </c>
      <c r="D1323" s="1" t="n">
        <v>44928</v>
      </c>
      <c r="E1323" s="1" t="n">
        <v>46309</v>
      </c>
      <c r="F1323" t="inlineStr">
        <is>
          <t>UPPSALA LÄN</t>
        </is>
      </c>
      <c r="G1323" t="inlineStr">
        <is>
          <t>TIERP</t>
        </is>
      </c>
      <c r="I1323" t="n">
        <v>2.9</v>
      </c>
      <c r="J1323" t="n">
        <v>0</v>
      </c>
      <c r="K1323" t="n">
        <v>0</v>
      </c>
      <c r="L1323" t="n">
        <v>0</v>
      </c>
      <c r="M1323" t="n">
        <v>0</v>
      </c>
      <c r="N1323" t="n">
        <v>0</v>
      </c>
      <c r="O1323" t="n">
        <v>0</v>
      </c>
      <c r="P1323" t="n">
        <v>0</v>
      </c>
      <c r="Q1323" t="n">
        <v>0</v>
      </c>
      <c r="R1323" t="n">
        <v>0</v>
      </c>
      <c r="S1323" t="n">
        <v>0</v>
      </c>
      <c r="T1323" t="n">
        <v>0</v>
      </c>
      <c r="U1323" t="n">
        <v>0</v>
      </c>
      <c r="V1323" s="2" t="inlineStr"/>
    </row>
    <row r="1324" ht="15" customHeight="1">
      <c r="A1324" t="inlineStr">
        <is>
          <t>A 3040-2023</t>
        </is>
      </c>
      <c r="B1324" t="inlineStr">
        <is>
          <t>avverkningsanmälan</t>
        </is>
      </c>
      <c r="C1324" t="inlineStr">
        <is>
          <t>Föryngringsavverkning</t>
        </is>
      </c>
      <c r="D1324" s="1" t="n">
        <v>44946</v>
      </c>
      <c r="E1324" s="1" t="n">
        <v>46309</v>
      </c>
      <c r="F1324" t="inlineStr">
        <is>
          <t>UPPSALA LÄN</t>
        </is>
      </c>
      <c r="G1324" t="inlineStr">
        <is>
          <t>UPPSALA</t>
        </is>
      </c>
      <c r="I1324" t="n">
        <v>1.3</v>
      </c>
      <c r="J1324" t="n">
        <v>0</v>
      </c>
      <c r="K1324" t="n">
        <v>0</v>
      </c>
      <c r="L1324" t="n">
        <v>0</v>
      </c>
      <c r="M1324" t="n">
        <v>0</v>
      </c>
      <c r="N1324" t="n">
        <v>0</v>
      </c>
      <c r="O1324" t="n">
        <v>0</v>
      </c>
      <c r="P1324" t="n">
        <v>0</v>
      </c>
      <c r="Q1324" t="n">
        <v>0</v>
      </c>
      <c r="R1324" t="n">
        <v>0</v>
      </c>
      <c r="S1324" t="n">
        <v>0</v>
      </c>
      <c r="T1324" t="n">
        <v>0</v>
      </c>
      <c r="U1324" t="n">
        <v>0</v>
      </c>
      <c r="V1324" s="2" t="inlineStr"/>
    </row>
    <row r="1325" ht="15" customHeight="1">
      <c r="A1325" t="inlineStr">
        <is>
          <t>A 18607-2024</t>
        </is>
      </c>
      <c r="B1325" t="inlineStr">
        <is>
          <t>avverkningsanmälan</t>
        </is>
      </c>
      <c r="C1325" t="inlineStr">
        <is>
          <t>Föryngringsavverkning</t>
        </is>
      </c>
      <c r="D1325" s="1" t="n">
        <v>45425</v>
      </c>
      <c r="E1325" s="1" t="n">
        <v>46309</v>
      </c>
      <c r="F1325" t="inlineStr">
        <is>
          <t>UPPSALA LÄN</t>
        </is>
      </c>
      <c r="G1325" t="inlineStr">
        <is>
          <t>UPPSALA</t>
        </is>
      </c>
      <c r="I1325" t="n">
        <v>4.3</v>
      </c>
      <c r="J1325" t="n">
        <v>0</v>
      </c>
      <c r="K1325" t="n">
        <v>0</v>
      </c>
      <c r="L1325" t="n">
        <v>0</v>
      </c>
      <c r="M1325" t="n">
        <v>0</v>
      </c>
      <c r="N1325" t="n">
        <v>0</v>
      </c>
      <c r="O1325" t="n">
        <v>0</v>
      </c>
      <c r="P1325" t="n">
        <v>0</v>
      </c>
      <c r="Q1325" t="n">
        <v>0</v>
      </c>
      <c r="R1325" t="n">
        <v>0</v>
      </c>
      <c r="S1325" t="n">
        <v>0</v>
      </c>
      <c r="T1325" t="n">
        <v>0</v>
      </c>
      <c r="U1325" t="n">
        <v>0</v>
      </c>
      <c r="V1325" s="2" t="inlineStr"/>
    </row>
    <row r="1326" ht="15" customHeight="1">
      <c r="A1326" t="inlineStr">
        <is>
          <t>A 29536-2023</t>
        </is>
      </c>
      <c r="B1326" t="inlineStr">
        <is>
          <t>avverkningsanmälan</t>
        </is>
      </c>
      <c r="C1326" t="inlineStr">
        <is>
          <t>Föryngringsavverkning</t>
        </is>
      </c>
      <c r="D1326" s="1" t="n">
        <v>45106</v>
      </c>
      <c r="E1326" s="1" t="n">
        <v>46309</v>
      </c>
      <c r="F1326" t="inlineStr">
        <is>
          <t>UPPSALA LÄN</t>
        </is>
      </c>
      <c r="G1326" t="inlineStr">
        <is>
          <t>HEBY</t>
        </is>
      </c>
      <c r="I1326" t="n">
        <v>1</v>
      </c>
      <c r="J1326" t="n">
        <v>0</v>
      </c>
      <c r="K1326" t="n">
        <v>0</v>
      </c>
      <c r="L1326" t="n">
        <v>0</v>
      </c>
      <c r="M1326" t="n">
        <v>0</v>
      </c>
      <c r="N1326" t="n">
        <v>0</v>
      </c>
      <c r="O1326" t="n">
        <v>0</v>
      </c>
      <c r="P1326" t="n">
        <v>0</v>
      </c>
      <c r="Q1326" t="n">
        <v>0</v>
      </c>
      <c r="R1326" t="n">
        <v>0</v>
      </c>
      <c r="S1326" t="n">
        <v>0</v>
      </c>
      <c r="T1326" t="n">
        <v>0</v>
      </c>
      <c r="U1326" t="n">
        <v>0</v>
      </c>
      <c r="V1326" s="2" t="inlineStr"/>
    </row>
    <row r="1327" ht="15" customHeight="1">
      <c r="A1327" t="inlineStr">
        <is>
          <t>A 206-2024</t>
        </is>
      </c>
      <c r="B1327" t="inlineStr">
        <is>
          <t>avverkningsanmälan</t>
        </is>
      </c>
      <c r="C1327" t="inlineStr">
        <is>
          <t>Föryngringsavverkning</t>
        </is>
      </c>
      <c r="D1327" s="1" t="n">
        <v>45294</v>
      </c>
      <c r="E1327" s="1" t="n">
        <v>46309</v>
      </c>
      <c r="F1327" t="inlineStr">
        <is>
          <t>UPPSALA LÄN</t>
        </is>
      </c>
      <c r="G1327" t="inlineStr">
        <is>
          <t>HEBY</t>
        </is>
      </c>
      <c r="I1327" t="n">
        <v>0.3</v>
      </c>
      <c r="J1327" t="n">
        <v>0</v>
      </c>
      <c r="K1327" t="n">
        <v>0</v>
      </c>
      <c r="L1327" t="n">
        <v>0</v>
      </c>
      <c r="M1327" t="n">
        <v>0</v>
      </c>
      <c r="N1327" t="n">
        <v>0</v>
      </c>
      <c r="O1327" t="n">
        <v>0</v>
      </c>
      <c r="P1327" t="n">
        <v>0</v>
      </c>
      <c r="Q1327" t="n">
        <v>0</v>
      </c>
      <c r="R1327" t="n">
        <v>0</v>
      </c>
      <c r="S1327" t="n">
        <v>0</v>
      </c>
      <c r="T1327" t="n">
        <v>0</v>
      </c>
      <c r="U1327" t="n">
        <v>0</v>
      </c>
      <c r="V1327" s="2" t="inlineStr"/>
    </row>
    <row r="1328" ht="15" customHeight="1">
      <c r="A1328" t="inlineStr">
        <is>
          <t>A 29384-2025</t>
        </is>
      </c>
      <c r="B1328" t="inlineStr">
        <is>
          <t>avverkningsanmälan</t>
        </is>
      </c>
      <c r="C1328" t="inlineStr">
        <is>
          <t>Föryngringsavverkning</t>
        </is>
      </c>
      <c r="D1328" s="1" t="n">
        <v>45824</v>
      </c>
      <c r="E1328" s="1" t="n">
        <v>46309</v>
      </c>
      <c r="F1328" t="inlineStr">
        <is>
          <t>UPPSALA LÄN</t>
        </is>
      </c>
      <c r="G1328" t="inlineStr">
        <is>
          <t>ÖSTHAMMAR</t>
        </is>
      </c>
      <c r="I1328" t="n">
        <v>3.1</v>
      </c>
      <c r="J1328" t="n">
        <v>0</v>
      </c>
      <c r="K1328" t="n">
        <v>0</v>
      </c>
      <c r="L1328" t="n">
        <v>0</v>
      </c>
      <c r="M1328" t="n">
        <v>0</v>
      </c>
      <c r="N1328" t="n">
        <v>0</v>
      </c>
      <c r="O1328" t="n">
        <v>0</v>
      </c>
      <c r="P1328" t="n">
        <v>0</v>
      </c>
      <c r="Q1328" t="n">
        <v>0</v>
      </c>
      <c r="R1328" t="n">
        <v>0</v>
      </c>
      <c r="S1328" t="n">
        <v>0</v>
      </c>
      <c r="T1328" t="n">
        <v>0</v>
      </c>
      <c r="U1328" t="n">
        <v>0</v>
      </c>
      <c r="V1328" s="2" t="inlineStr"/>
    </row>
    <row r="1329" ht="15" customHeight="1">
      <c r="A1329" t="inlineStr">
        <is>
          <t>A 4329-2023</t>
        </is>
      </c>
      <c r="B1329" t="inlineStr">
        <is>
          <t>avverkningsanmälan</t>
        </is>
      </c>
      <c r="C1329" t="inlineStr">
        <is>
          <t>Föryngringsavverkning</t>
        </is>
      </c>
      <c r="D1329" s="1" t="n">
        <v>44953</v>
      </c>
      <c r="E1329" s="1" t="n">
        <v>46309</v>
      </c>
      <c r="F1329" t="inlineStr">
        <is>
          <t>UPPSALA LÄN</t>
        </is>
      </c>
      <c r="G1329" t="inlineStr">
        <is>
          <t>TIERP</t>
        </is>
      </c>
      <c r="I1329" t="n">
        <v>4.9</v>
      </c>
      <c r="J1329" t="n">
        <v>0</v>
      </c>
      <c r="K1329" t="n">
        <v>0</v>
      </c>
      <c r="L1329" t="n">
        <v>0</v>
      </c>
      <c r="M1329" t="n">
        <v>0</v>
      </c>
      <c r="N1329" t="n">
        <v>0</v>
      </c>
      <c r="O1329" t="n">
        <v>0</v>
      </c>
      <c r="P1329" t="n">
        <v>0</v>
      </c>
      <c r="Q1329" t="n">
        <v>0</v>
      </c>
      <c r="R1329" t="n">
        <v>0</v>
      </c>
      <c r="S1329" t="n">
        <v>0</v>
      </c>
      <c r="T1329" t="n">
        <v>0</v>
      </c>
      <c r="U1329" t="n">
        <v>0</v>
      </c>
      <c r="V1329" s="2" t="inlineStr"/>
    </row>
    <row r="1330" ht="15" customHeight="1">
      <c r="A1330" t="inlineStr">
        <is>
          <t>A 26421-2023</t>
        </is>
      </c>
      <c r="B1330" t="inlineStr">
        <is>
          <t>avverkningsanmälan</t>
        </is>
      </c>
      <c r="C1330" t="inlineStr">
        <is>
          <t>Föryngringsavverkning</t>
        </is>
      </c>
      <c r="D1330" s="1" t="n">
        <v>45092</v>
      </c>
      <c r="E1330" s="1" t="n">
        <v>46309</v>
      </c>
      <c r="F1330" t="inlineStr">
        <is>
          <t>UPPSALA LÄN</t>
        </is>
      </c>
      <c r="G1330" t="inlineStr">
        <is>
          <t>HEBY</t>
        </is>
      </c>
      <c r="I1330" t="n">
        <v>1.1</v>
      </c>
      <c r="J1330" t="n">
        <v>0</v>
      </c>
      <c r="K1330" t="n">
        <v>0</v>
      </c>
      <c r="L1330" t="n">
        <v>0</v>
      </c>
      <c r="M1330" t="n">
        <v>0</v>
      </c>
      <c r="N1330" t="n">
        <v>0</v>
      </c>
      <c r="O1330" t="n">
        <v>0</v>
      </c>
      <c r="P1330" t="n">
        <v>0</v>
      </c>
      <c r="Q1330" t="n">
        <v>0</v>
      </c>
      <c r="R1330" t="n">
        <v>0</v>
      </c>
      <c r="S1330" t="n">
        <v>0</v>
      </c>
      <c r="T1330" t="n">
        <v>0</v>
      </c>
      <c r="U1330" t="n">
        <v>0</v>
      </c>
      <c r="V1330" s="2" t="inlineStr"/>
    </row>
    <row r="1331" ht="15" customHeight="1">
      <c r="A1331" t="inlineStr">
        <is>
          <t>A 55816-2024</t>
        </is>
      </c>
      <c r="B1331" t="inlineStr">
        <is>
          <t>avverkningsanmälan</t>
        </is>
      </c>
      <c r="C1331" t="inlineStr">
        <is>
          <t>Föryngringsavverkning</t>
        </is>
      </c>
      <c r="D1331" s="1" t="n">
        <v>45623</v>
      </c>
      <c r="E1331" s="1" t="n">
        <v>46309</v>
      </c>
      <c r="F1331" t="inlineStr">
        <is>
          <t>UPPSALA LÄN</t>
        </is>
      </c>
      <c r="G1331" t="inlineStr">
        <is>
          <t>TIERP</t>
        </is>
      </c>
      <c r="I1331" t="n">
        <v>5.2</v>
      </c>
      <c r="J1331" t="n">
        <v>0</v>
      </c>
      <c r="K1331" t="n">
        <v>0</v>
      </c>
      <c r="L1331" t="n">
        <v>0</v>
      </c>
      <c r="M1331" t="n">
        <v>0</v>
      </c>
      <c r="N1331" t="n">
        <v>0</v>
      </c>
      <c r="O1331" t="n">
        <v>0</v>
      </c>
      <c r="P1331" t="n">
        <v>0</v>
      </c>
      <c r="Q1331" t="n">
        <v>0</v>
      </c>
      <c r="R1331" t="n">
        <v>0</v>
      </c>
      <c r="S1331" t="n">
        <v>0</v>
      </c>
      <c r="T1331" t="n">
        <v>0</v>
      </c>
      <c r="U1331" t="n">
        <v>0</v>
      </c>
      <c r="V1331" s="2" t="inlineStr"/>
    </row>
    <row r="1332" ht="15" customHeight="1">
      <c r="A1332" t="inlineStr">
        <is>
          <t>A 30110-2024</t>
        </is>
      </c>
      <c r="B1332" t="inlineStr">
        <is>
          <t>avverkningsanmälan</t>
        </is>
      </c>
      <c r="C1332" t="inlineStr">
        <is>
          <t>Föryngringsavverkning</t>
        </is>
      </c>
      <c r="D1332" s="1" t="n">
        <v>45489</v>
      </c>
      <c r="E1332" s="1" t="n">
        <v>46309</v>
      </c>
      <c r="F1332" t="inlineStr">
        <is>
          <t>UPPSALA LÄN</t>
        </is>
      </c>
      <c r="G1332" t="inlineStr">
        <is>
          <t>TIERP</t>
        </is>
      </c>
      <c r="I1332" t="n">
        <v>1.4</v>
      </c>
      <c r="J1332" t="n">
        <v>0</v>
      </c>
      <c r="K1332" t="n">
        <v>0</v>
      </c>
      <c r="L1332" t="n">
        <v>0</v>
      </c>
      <c r="M1332" t="n">
        <v>0</v>
      </c>
      <c r="N1332" t="n">
        <v>0</v>
      </c>
      <c r="O1332" t="n">
        <v>0</v>
      </c>
      <c r="P1332" t="n">
        <v>0</v>
      </c>
      <c r="Q1332" t="n">
        <v>0</v>
      </c>
      <c r="R1332" t="n">
        <v>0</v>
      </c>
      <c r="S1332" t="n">
        <v>0</v>
      </c>
      <c r="T1332" t="n">
        <v>0</v>
      </c>
      <c r="U1332" t="n">
        <v>0</v>
      </c>
      <c r="V1332" s="2" t="inlineStr"/>
    </row>
    <row r="1333" ht="15" customHeight="1">
      <c r="A1333" t="inlineStr">
        <is>
          <t>A 47505-2024</t>
        </is>
      </c>
      <c r="B1333" t="inlineStr">
        <is>
          <t>avverkningsanmälan</t>
        </is>
      </c>
      <c r="C1333" t="inlineStr">
        <is>
          <t>Föryngringsavverkning</t>
        </is>
      </c>
      <c r="D1333" s="1" t="n">
        <v>45587</v>
      </c>
      <c r="E1333" s="1" t="n">
        <v>46309</v>
      </c>
      <c r="F1333" t="inlineStr">
        <is>
          <t>UPPSALA LÄN</t>
        </is>
      </c>
      <c r="G1333" t="inlineStr">
        <is>
          <t>TIERP</t>
        </is>
      </c>
      <c r="I1333" t="n">
        <v>0.4</v>
      </c>
      <c r="J1333" t="n">
        <v>0</v>
      </c>
      <c r="K1333" t="n">
        <v>0</v>
      </c>
      <c r="L1333" t="n">
        <v>0</v>
      </c>
      <c r="M1333" t="n">
        <v>0</v>
      </c>
      <c r="N1333" t="n">
        <v>0</v>
      </c>
      <c r="O1333" t="n">
        <v>0</v>
      </c>
      <c r="P1333" t="n">
        <v>0</v>
      </c>
      <c r="Q1333" t="n">
        <v>0</v>
      </c>
      <c r="R1333" t="n">
        <v>0</v>
      </c>
      <c r="S1333" t="n">
        <v>0</v>
      </c>
      <c r="T1333" t="n">
        <v>0</v>
      </c>
      <c r="U1333" t="n">
        <v>0</v>
      </c>
      <c r="V1333" s="2" t="inlineStr"/>
    </row>
    <row r="1334" ht="15" customHeight="1">
      <c r="A1334" t="inlineStr">
        <is>
          <t>A 22672-2023</t>
        </is>
      </c>
      <c r="B1334" t="inlineStr">
        <is>
          <t>avverkningsanmälan</t>
        </is>
      </c>
      <c r="C1334" t="inlineStr">
        <is>
          <t>Föryngringsavverkning</t>
        </is>
      </c>
      <c r="D1334" s="1" t="n">
        <v>45071</v>
      </c>
      <c r="E1334" s="1" t="n">
        <v>46309</v>
      </c>
      <c r="F1334" t="inlineStr">
        <is>
          <t>UPPSALA LÄN</t>
        </is>
      </c>
      <c r="G1334" t="inlineStr">
        <is>
          <t>TIERP</t>
        </is>
      </c>
      <c r="I1334" t="n">
        <v>1.5</v>
      </c>
      <c r="J1334" t="n">
        <v>0</v>
      </c>
      <c r="K1334" t="n">
        <v>0</v>
      </c>
      <c r="L1334" t="n">
        <v>0</v>
      </c>
      <c r="M1334" t="n">
        <v>0</v>
      </c>
      <c r="N1334" t="n">
        <v>0</v>
      </c>
      <c r="O1334" t="n">
        <v>0</v>
      </c>
      <c r="P1334" t="n">
        <v>0</v>
      </c>
      <c r="Q1334" t="n">
        <v>0</v>
      </c>
      <c r="R1334" t="n">
        <v>0</v>
      </c>
      <c r="S1334" t="n">
        <v>0</v>
      </c>
      <c r="T1334" t="n">
        <v>0</v>
      </c>
      <c r="U1334" t="n">
        <v>0</v>
      </c>
      <c r="V1334" s="2" t="inlineStr"/>
    </row>
    <row r="1335" ht="15" customHeight="1">
      <c r="A1335" t="inlineStr">
        <is>
          <t>A 26449-2023</t>
        </is>
      </c>
      <c r="B1335" t="inlineStr">
        <is>
          <t>avverkningsanmälan</t>
        </is>
      </c>
      <c r="C1335" t="inlineStr">
        <is>
          <t>Föryngringsavverkning</t>
        </is>
      </c>
      <c r="D1335" s="1" t="n">
        <v>45092</v>
      </c>
      <c r="E1335" s="1" t="n">
        <v>46309</v>
      </c>
      <c r="F1335" t="inlineStr">
        <is>
          <t>UPPSALA LÄN</t>
        </is>
      </c>
      <c r="G1335" t="inlineStr">
        <is>
          <t>HEBY</t>
        </is>
      </c>
      <c r="I1335" t="n">
        <v>0.4</v>
      </c>
      <c r="J1335" t="n">
        <v>0</v>
      </c>
      <c r="K1335" t="n">
        <v>0</v>
      </c>
      <c r="L1335" t="n">
        <v>0</v>
      </c>
      <c r="M1335" t="n">
        <v>0</v>
      </c>
      <c r="N1335" t="n">
        <v>0</v>
      </c>
      <c r="O1335" t="n">
        <v>0</v>
      </c>
      <c r="P1335" t="n">
        <v>0</v>
      </c>
      <c r="Q1335" t="n">
        <v>0</v>
      </c>
      <c r="R1335" t="n">
        <v>0</v>
      </c>
      <c r="S1335" t="n">
        <v>0</v>
      </c>
      <c r="T1335" t="n">
        <v>0</v>
      </c>
      <c r="U1335" t="n">
        <v>0</v>
      </c>
      <c r="V1335" s="2" t="inlineStr"/>
    </row>
    <row r="1336" ht="15" customHeight="1">
      <c r="A1336" t="inlineStr">
        <is>
          <t>A 21478-2023</t>
        </is>
      </c>
      <c r="B1336" t="inlineStr">
        <is>
          <t>avverkningsanmälan</t>
        </is>
      </c>
      <c r="C1336" t="inlineStr">
        <is>
          <t>Föryngringsavverkning</t>
        </is>
      </c>
      <c r="D1336" s="1" t="n">
        <v>45063</v>
      </c>
      <c r="E1336" s="1" t="n">
        <v>46309</v>
      </c>
      <c r="F1336" t="inlineStr">
        <is>
          <t>UPPSALA LÄN</t>
        </is>
      </c>
      <c r="G1336" t="inlineStr">
        <is>
          <t>ÖSTHAMMAR</t>
        </is>
      </c>
      <c r="I1336" t="n">
        <v>0.4</v>
      </c>
      <c r="J1336" t="n">
        <v>0</v>
      </c>
      <c r="K1336" t="n">
        <v>0</v>
      </c>
      <c r="L1336" t="n">
        <v>0</v>
      </c>
      <c r="M1336" t="n">
        <v>0</v>
      </c>
      <c r="N1336" t="n">
        <v>0</v>
      </c>
      <c r="O1336" t="n">
        <v>0</v>
      </c>
      <c r="P1336" t="n">
        <v>0</v>
      </c>
      <c r="Q1336" t="n">
        <v>0</v>
      </c>
      <c r="R1336" t="n">
        <v>0</v>
      </c>
      <c r="S1336" t="n">
        <v>0</v>
      </c>
      <c r="T1336" t="n">
        <v>0</v>
      </c>
      <c r="U1336" t="n">
        <v>0</v>
      </c>
      <c r="V1336" s="2" t="inlineStr"/>
    </row>
    <row r="1337" ht="15" customHeight="1">
      <c r="A1337" t="inlineStr">
        <is>
          <t>A 57532-2022</t>
        </is>
      </c>
      <c r="B1337" t="inlineStr">
        <is>
          <t>avverkningsanmälan</t>
        </is>
      </c>
      <c r="C1337" t="inlineStr">
        <is>
          <t>Föryngringsavverkning</t>
        </is>
      </c>
      <c r="D1337" s="1" t="n">
        <v>44896</v>
      </c>
      <c r="E1337" s="1" t="n">
        <v>46309</v>
      </c>
      <c r="F1337" t="inlineStr">
        <is>
          <t>UPPSALA LÄN</t>
        </is>
      </c>
      <c r="G1337" t="inlineStr">
        <is>
          <t>TIERP</t>
        </is>
      </c>
      <c r="I1337" t="n">
        <v>0.6</v>
      </c>
      <c r="J1337" t="n">
        <v>0</v>
      </c>
      <c r="K1337" t="n">
        <v>0</v>
      </c>
      <c r="L1337" t="n">
        <v>0</v>
      </c>
      <c r="M1337" t="n">
        <v>0</v>
      </c>
      <c r="N1337" t="n">
        <v>0</v>
      </c>
      <c r="O1337" t="n">
        <v>0</v>
      </c>
      <c r="P1337" t="n">
        <v>0</v>
      </c>
      <c r="Q1337" t="n">
        <v>0</v>
      </c>
      <c r="R1337" t="n">
        <v>0</v>
      </c>
      <c r="S1337" t="n">
        <v>0</v>
      </c>
      <c r="T1337" t="n">
        <v>0</v>
      </c>
      <c r="U1337" t="n">
        <v>0</v>
      </c>
      <c r="V1337" s="2" t="inlineStr"/>
    </row>
    <row r="1338" ht="15" customHeight="1">
      <c r="A1338" t="inlineStr">
        <is>
          <t>A 43873-2025</t>
        </is>
      </c>
      <c r="B1338" t="inlineStr">
        <is>
          <t>avverkningsanmälan</t>
        </is>
      </c>
      <c r="C1338" t="inlineStr">
        <is>
          <t>Föryngringsavverkning</t>
        </is>
      </c>
      <c r="D1338" s="1" t="n">
        <v>45912</v>
      </c>
      <c r="E1338" s="1" t="n">
        <v>46309</v>
      </c>
      <c r="F1338" t="inlineStr">
        <is>
          <t>UPPSALA LÄN</t>
        </is>
      </c>
      <c r="G1338" t="inlineStr">
        <is>
          <t>TIERP</t>
        </is>
      </c>
      <c r="I1338" t="n">
        <v>1.1</v>
      </c>
      <c r="J1338" t="n">
        <v>0</v>
      </c>
      <c r="K1338" t="n">
        <v>0</v>
      </c>
      <c r="L1338" t="n">
        <v>0</v>
      </c>
      <c r="M1338" t="n">
        <v>0</v>
      </c>
      <c r="N1338" t="n">
        <v>0</v>
      </c>
      <c r="O1338" t="n">
        <v>0</v>
      </c>
      <c r="P1338" t="n">
        <v>0</v>
      </c>
      <c r="Q1338" t="n">
        <v>0</v>
      </c>
      <c r="R1338" t="n">
        <v>0</v>
      </c>
      <c r="S1338" t="n">
        <v>0</v>
      </c>
      <c r="T1338" t="n">
        <v>0</v>
      </c>
      <c r="U1338" t="n">
        <v>0</v>
      </c>
      <c r="V1338" s="2" t="inlineStr"/>
    </row>
    <row r="1339" ht="15" customHeight="1">
      <c r="A1339" t="inlineStr">
        <is>
          <t>A 55780-2024</t>
        </is>
      </c>
      <c r="B1339" t="inlineStr">
        <is>
          <t>avverkningsanmälan</t>
        </is>
      </c>
      <c r="C1339" t="inlineStr">
        <is>
          <t>Föryngringsavverkning</t>
        </is>
      </c>
      <c r="D1339" s="1" t="n">
        <v>45623</v>
      </c>
      <c r="E1339" s="1" t="n">
        <v>46309</v>
      </c>
      <c r="F1339" t="inlineStr">
        <is>
          <t>UPPSALA LÄN</t>
        </is>
      </c>
      <c r="G1339" t="inlineStr">
        <is>
          <t>TIERP</t>
        </is>
      </c>
      <c r="I1339" t="n">
        <v>5.2</v>
      </c>
      <c r="J1339" t="n">
        <v>0</v>
      </c>
      <c r="K1339" t="n">
        <v>0</v>
      </c>
      <c r="L1339" t="n">
        <v>0</v>
      </c>
      <c r="M1339" t="n">
        <v>0</v>
      </c>
      <c r="N1339" t="n">
        <v>0</v>
      </c>
      <c r="O1339" t="n">
        <v>0</v>
      </c>
      <c r="P1339" t="n">
        <v>0</v>
      </c>
      <c r="Q1339" t="n">
        <v>0</v>
      </c>
      <c r="R1339" t="n">
        <v>0</v>
      </c>
      <c r="S1339" t="n">
        <v>0</v>
      </c>
      <c r="T1339" t="n">
        <v>0</v>
      </c>
      <c r="U1339" t="n">
        <v>0</v>
      </c>
      <c r="V1339" s="2" t="inlineStr"/>
    </row>
    <row r="1340" ht="15" customHeight="1">
      <c r="A1340" t="inlineStr">
        <is>
          <t>A 22912-2024</t>
        </is>
      </c>
      <c r="B1340" t="inlineStr">
        <is>
          <t>avverkningsanmälan</t>
        </is>
      </c>
      <c r="C1340" t="inlineStr">
        <is>
          <t>Föryngringsavverkning</t>
        </is>
      </c>
      <c r="D1340" s="1" t="n">
        <v>45448</v>
      </c>
      <c r="E1340" s="1" t="n">
        <v>46309</v>
      </c>
      <c r="F1340" t="inlineStr">
        <is>
          <t>UPPSALA LÄN</t>
        </is>
      </c>
      <c r="G1340" t="inlineStr">
        <is>
          <t>ENKÖPING</t>
        </is>
      </c>
      <c r="I1340" t="n">
        <v>2.8</v>
      </c>
      <c r="J1340" t="n">
        <v>0</v>
      </c>
      <c r="K1340" t="n">
        <v>0</v>
      </c>
      <c r="L1340" t="n">
        <v>0</v>
      </c>
      <c r="M1340" t="n">
        <v>0</v>
      </c>
      <c r="N1340" t="n">
        <v>0</v>
      </c>
      <c r="O1340" t="n">
        <v>0</v>
      </c>
      <c r="P1340" t="n">
        <v>0</v>
      </c>
      <c r="Q1340" t="n">
        <v>0</v>
      </c>
      <c r="R1340" t="n">
        <v>0</v>
      </c>
      <c r="S1340" t="n">
        <v>0</v>
      </c>
      <c r="T1340" t="n">
        <v>0</v>
      </c>
      <c r="U1340" t="n">
        <v>0</v>
      </c>
      <c r="V1340" s="2" t="inlineStr"/>
    </row>
    <row r="1341" ht="15" customHeight="1">
      <c r="A1341" t="inlineStr">
        <is>
          <t>A 30125-2024</t>
        </is>
      </c>
      <c r="B1341" t="inlineStr">
        <is>
          <t>avverkningsanmälan</t>
        </is>
      </c>
      <c r="C1341" t="inlineStr">
        <is>
          <t>Föryngringsavverkning</t>
        </is>
      </c>
      <c r="D1341" s="1" t="n">
        <v>45489</v>
      </c>
      <c r="E1341" s="1" t="n">
        <v>46309</v>
      </c>
      <c r="F1341" t="inlineStr">
        <is>
          <t>UPPSALA LÄN</t>
        </is>
      </c>
      <c r="G1341" t="inlineStr">
        <is>
          <t>TIERP</t>
        </is>
      </c>
      <c r="I1341" t="n">
        <v>0.6</v>
      </c>
      <c r="J1341" t="n">
        <v>0</v>
      </c>
      <c r="K1341" t="n">
        <v>0</v>
      </c>
      <c r="L1341" t="n">
        <v>0</v>
      </c>
      <c r="M1341" t="n">
        <v>0</v>
      </c>
      <c r="N1341" t="n">
        <v>0</v>
      </c>
      <c r="O1341" t="n">
        <v>0</v>
      </c>
      <c r="P1341" t="n">
        <v>0</v>
      </c>
      <c r="Q1341" t="n">
        <v>0</v>
      </c>
      <c r="R1341" t="n">
        <v>0</v>
      </c>
      <c r="S1341" t="n">
        <v>0</v>
      </c>
      <c r="T1341" t="n">
        <v>0</v>
      </c>
      <c r="U1341" t="n">
        <v>0</v>
      </c>
      <c r="V1341" s="2" t="inlineStr"/>
    </row>
    <row r="1342" ht="15" customHeight="1">
      <c r="A1342" t="inlineStr">
        <is>
          <t>A 45592-2023</t>
        </is>
      </c>
      <c r="B1342" t="inlineStr">
        <is>
          <t>avverkningsanmälan</t>
        </is>
      </c>
      <c r="C1342" t="inlineStr">
        <is>
          <t>Föryngringsavverkning</t>
        </is>
      </c>
      <c r="D1342" s="1" t="n">
        <v>45194</v>
      </c>
      <c r="E1342" s="1" t="n">
        <v>46309</v>
      </c>
      <c r="F1342" t="inlineStr">
        <is>
          <t>UPPSALA LÄN</t>
        </is>
      </c>
      <c r="G1342" t="inlineStr">
        <is>
          <t>UPPSALA</t>
        </is>
      </c>
      <c r="I1342" t="n">
        <v>1.7</v>
      </c>
      <c r="J1342" t="n">
        <v>0</v>
      </c>
      <c r="K1342" t="n">
        <v>0</v>
      </c>
      <c r="L1342" t="n">
        <v>0</v>
      </c>
      <c r="M1342" t="n">
        <v>0</v>
      </c>
      <c r="N1342" t="n">
        <v>0</v>
      </c>
      <c r="O1342" t="n">
        <v>0</v>
      </c>
      <c r="P1342" t="n">
        <v>0</v>
      </c>
      <c r="Q1342" t="n">
        <v>0</v>
      </c>
      <c r="R1342" t="n">
        <v>0</v>
      </c>
      <c r="S1342" t="n">
        <v>0</v>
      </c>
      <c r="T1342" t="n">
        <v>0</v>
      </c>
      <c r="U1342" t="n">
        <v>0</v>
      </c>
      <c r="V1342" s="2" t="inlineStr"/>
    </row>
    <row r="1343" ht="15" customHeight="1">
      <c r="A1343" t="inlineStr">
        <is>
          <t>A 29739-2025</t>
        </is>
      </c>
      <c r="B1343" t="inlineStr">
        <is>
          <t>avverkningsanmälan</t>
        </is>
      </c>
      <c r="C1343" t="inlineStr">
        <is>
          <t>Föryngringsavverkning</t>
        </is>
      </c>
      <c r="D1343" s="1" t="n">
        <v>45825</v>
      </c>
      <c r="E1343" s="1" t="n">
        <v>46309</v>
      </c>
      <c r="F1343" t="inlineStr">
        <is>
          <t>UPPSALA LÄN</t>
        </is>
      </c>
      <c r="G1343" t="inlineStr">
        <is>
          <t>HEBY</t>
        </is>
      </c>
      <c r="I1343" t="n">
        <v>0.6</v>
      </c>
      <c r="J1343" t="n">
        <v>0</v>
      </c>
      <c r="K1343" t="n">
        <v>0</v>
      </c>
      <c r="L1343" t="n">
        <v>0</v>
      </c>
      <c r="M1343" t="n">
        <v>0</v>
      </c>
      <c r="N1343" t="n">
        <v>0</v>
      </c>
      <c r="O1343" t="n">
        <v>0</v>
      </c>
      <c r="P1343" t="n">
        <v>0</v>
      </c>
      <c r="Q1343" t="n">
        <v>0</v>
      </c>
      <c r="R1343" t="n">
        <v>0</v>
      </c>
      <c r="S1343" t="n">
        <v>0</v>
      </c>
      <c r="T1343" t="n">
        <v>0</v>
      </c>
      <c r="U1343" t="n">
        <v>0</v>
      </c>
      <c r="V1343" s="2" t="inlineStr"/>
    </row>
    <row r="1344" ht="15" customHeight="1">
      <c r="A1344" t="inlineStr">
        <is>
          <t>A 43874-2025</t>
        </is>
      </c>
      <c r="B1344" t="inlineStr">
        <is>
          <t>avverkningsanmälan</t>
        </is>
      </c>
      <c r="C1344" t="inlineStr">
        <is>
          <t>Föryngringsavverkning</t>
        </is>
      </c>
      <c r="D1344" s="1" t="n">
        <v>45912</v>
      </c>
      <c r="E1344" s="1" t="n">
        <v>46309</v>
      </c>
      <c r="F1344" t="inlineStr">
        <is>
          <t>UPPSALA LÄN</t>
        </is>
      </c>
      <c r="G1344" t="inlineStr">
        <is>
          <t>TIERP</t>
        </is>
      </c>
      <c r="I1344" t="n">
        <v>0.4</v>
      </c>
      <c r="J1344" t="n">
        <v>0</v>
      </c>
      <c r="K1344" t="n">
        <v>0</v>
      </c>
      <c r="L1344" t="n">
        <v>0</v>
      </c>
      <c r="M1344" t="n">
        <v>0</v>
      </c>
      <c r="N1344" t="n">
        <v>0</v>
      </c>
      <c r="O1344" t="n">
        <v>0</v>
      </c>
      <c r="P1344" t="n">
        <v>0</v>
      </c>
      <c r="Q1344" t="n">
        <v>0</v>
      </c>
      <c r="R1344" t="n">
        <v>0</v>
      </c>
      <c r="S1344" t="n">
        <v>0</v>
      </c>
      <c r="T1344" t="n">
        <v>0</v>
      </c>
      <c r="U1344" t="n">
        <v>0</v>
      </c>
      <c r="V1344" s="2" t="inlineStr"/>
    </row>
    <row r="1345" ht="15" customHeight="1">
      <c r="A1345" t="inlineStr">
        <is>
          <t>A 1056-2025</t>
        </is>
      </c>
      <c r="B1345" t="inlineStr">
        <is>
          <t>avverkningsanmälan</t>
        </is>
      </c>
      <c r="C1345" t="inlineStr">
        <is>
          <t>Föryngringsavverkning</t>
        </is>
      </c>
      <c r="D1345" s="1" t="n">
        <v>45666</v>
      </c>
      <c r="E1345" s="1" t="n">
        <v>46309</v>
      </c>
      <c r="F1345" t="inlineStr">
        <is>
          <t>UPPSALA LÄN</t>
        </is>
      </c>
      <c r="G1345" t="inlineStr">
        <is>
          <t>TIERP</t>
        </is>
      </c>
      <c r="I1345" t="n">
        <v>0.7</v>
      </c>
      <c r="J1345" t="n">
        <v>0</v>
      </c>
      <c r="K1345" t="n">
        <v>0</v>
      </c>
      <c r="L1345" t="n">
        <v>0</v>
      </c>
      <c r="M1345" t="n">
        <v>0</v>
      </c>
      <c r="N1345" t="n">
        <v>0</v>
      </c>
      <c r="O1345" t="n">
        <v>0</v>
      </c>
      <c r="P1345" t="n">
        <v>0</v>
      </c>
      <c r="Q1345" t="n">
        <v>0</v>
      </c>
      <c r="R1345" t="n">
        <v>0</v>
      </c>
      <c r="S1345" t="n">
        <v>0</v>
      </c>
      <c r="T1345" t="n">
        <v>0</v>
      </c>
      <c r="U1345" t="n">
        <v>0</v>
      </c>
      <c r="V1345" s="2" t="inlineStr"/>
    </row>
    <row r="1346" ht="15" customHeight="1">
      <c r="A1346" t="inlineStr">
        <is>
          <t>A 29968-2025</t>
        </is>
      </c>
      <c r="B1346" t="inlineStr">
        <is>
          <t>avverkningsanmälan</t>
        </is>
      </c>
      <c r="C1346" t="inlineStr">
        <is>
          <t>Föryngringsavverkning</t>
        </is>
      </c>
      <c r="D1346" s="1" t="n">
        <v>45826</v>
      </c>
      <c r="E1346" s="1" t="n">
        <v>46309</v>
      </c>
      <c r="F1346" t="inlineStr">
        <is>
          <t>UPPSALA LÄN</t>
        </is>
      </c>
      <c r="G1346" t="inlineStr">
        <is>
          <t>HEBY</t>
        </is>
      </c>
      <c r="I1346" t="n">
        <v>1.9</v>
      </c>
      <c r="J1346" t="n">
        <v>0</v>
      </c>
      <c r="K1346" t="n">
        <v>0</v>
      </c>
      <c r="L1346" t="n">
        <v>0</v>
      </c>
      <c r="M1346" t="n">
        <v>0</v>
      </c>
      <c r="N1346" t="n">
        <v>0</v>
      </c>
      <c r="O1346" t="n">
        <v>0</v>
      </c>
      <c r="P1346" t="n">
        <v>0</v>
      </c>
      <c r="Q1346" t="n">
        <v>0</v>
      </c>
      <c r="R1346" t="n">
        <v>0</v>
      </c>
      <c r="S1346" t="n">
        <v>0</v>
      </c>
      <c r="T1346" t="n">
        <v>0</v>
      </c>
      <c r="U1346" t="n">
        <v>0</v>
      </c>
      <c r="V1346" s="2" t="inlineStr"/>
    </row>
    <row r="1347" ht="15" customHeight="1">
      <c r="A1347" t="inlineStr">
        <is>
          <t>A 44470-2025</t>
        </is>
      </c>
      <c r="B1347" t="inlineStr">
        <is>
          <t>avverkningsanmälan</t>
        </is>
      </c>
      <c r="C1347" t="inlineStr">
        <is>
          <t>Föryngringsavverkning</t>
        </is>
      </c>
      <c r="D1347" s="1" t="n">
        <v>45916</v>
      </c>
      <c r="E1347" s="1" t="n">
        <v>46309</v>
      </c>
      <c r="F1347" t="inlineStr">
        <is>
          <t>UPPSALA LÄN</t>
        </is>
      </c>
      <c r="G1347" t="inlineStr">
        <is>
          <t>UPPSALA</t>
        </is>
      </c>
      <c r="I1347" t="n">
        <v>0.5</v>
      </c>
      <c r="J1347" t="n">
        <v>0</v>
      </c>
      <c r="K1347" t="n">
        <v>0</v>
      </c>
      <c r="L1347" t="n">
        <v>0</v>
      </c>
      <c r="M1347" t="n">
        <v>0</v>
      </c>
      <c r="N1347" t="n">
        <v>0</v>
      </c>
      <c r="O1347" t="n">
        <v>0</v>
      </c>
      <c r="P1347" t="n">
        <v>0</v>
      </c>
      <c r="Q1347" t="n">
        <v>0</v>
      </c>
      <c r="R1347" t="n">
        <v>0</v>
      </c>
      <c r="S1347" t="n">
        <v>0</v>
      </c>
      <c r="T1347" t="n">
        <v>0</v>
      </c>
      <c r="U1347" t="n">
        <v>0</v>
      </c>
      <c r="V1347" s="2" t="inlineStr"/>
    </row>
    <row r="1348" ht="15" customHeight="1">
      <c r="A1348" t="inlineStr">
        <is>
          <t>A 1384-2023</t>
        </is>
      </c>
      <c r="B1348" t="inlineStr">
        <is>
          <t>avverkningsanmälan</t>
        </is>
      </c>
      <c r="C1348" t="inlineStr">
        <is>
          <t>Föryngringsavverkning</t>
        </is>
      </c>
      <c r="D1348" s="1" t="n">
        <v>44936</v>
      </c>
      <c r="E1348" s="1" t="n">
        <v>46309</v>
      </c>
      <c r="F1348" t="inlineStr">
        <is>
          <t>UPPSALA LÄN</t>
        </is>
      </c>
      <c r="G1348" t="inlineStr">
        <is>
          <t>TIERP</t>
        </is>
      </c>
      <c r="I1348" t="n">
        <v>1.2</v>
      </c>
      <c r="J1348" t="n">
        <v>0</v>
      </c>
      <c r="K1348" t="n">
        <v>0</v>
      </c>
      <c r="L1348" t="n">
        <v>0</v>
      </c>
      <c r="M1348" t="n">
        <v>0</v>
      </c>
      <c r="N1348" t="n">
        <v>0</v>
      </c>
      <c r="O1348" t="n">
        <v>0</v>
      </c>
      <c r="P1348" t="n">
        <v>0</v>
      </c>
      <c r="Q1348" t="n">
        <v>0</v>
      </c>
      <c r="R1348" t="n">
        <v>0</v>
      </c>
      <c r="S1348" t="n">
        <v>0</v>
      </c>
      <c r="T1348" t="n">
        <v>0</v>
      </c>
      <c r="U1348" t="n">
        <v>0</v>
      </c>
      <c r="V1348" s="2" t="inlineStr"/>
    </row>
    <row r="1349" ht="15" customHeight="1">
      <c r="A1349" t="inlineStr">
        <is>
          <t>A 57536-2022</t>
        </is>
      </c>
      <c r="B1349" t="inlineStr">
        <is>
          <t>avverkningsanmälan</t>
        </is>
      </c>
      <c r="C1349" t="inlineStr">
        <is>
          <t>Föryngringsavverkning</t>
        </is>
      </c>
      <c r="D1349" s="1" t="n">
        <v>44896</v>
      </c>
      <c r="E1349" s="1" t="n">
        <v>46309</v>
      </c>
      <c r="F1349" t="inlineStr">
        <is>
          <t>UPPSALA LÄN</t>
        </is>
      </c>
      <c r="G1349" t="inlineStr">
        <is>
          <t>TIERP</t>
        </is>
      </c>
      <c r="I1349" t="n">
        <v>0.6</v>
      </c>
      <c r="J1349" t="n">
        <v>0</v>
      </c>
      <c r="K1349" t="n">
        <v>0</v>
      </c>
      <c r="L1349" t="n">
        <v>0</v>
      </c>
      <c r="M1349" t="n">
        <v>0</v>
      </c>
      <c r="N1349" t="n">
        <v>0</v>
      </c>
      <c r="O1349" t="n">
        <v>0</v>
      </c>
      <c r="P1349" t="n">
        <v>0</v>
      </c>
      <c r="Q1349" t="n">
        <v>0</v>
      </c>
      <c r="R1349" t="n">
        <v>0</v>
      </c>
      <c r="S1349" t="n">
        <v>0</v>
      </c>
      <c r="T1349" t="n">
        <v>0</v>
      </c>
      <c r="U1349" t="n">
        <v>0</v>
      </c>
      <c r="V1349" s="2" t="inlineStr"/>
    </row>
    <row r="1350" ht="15" customHeight="1">
      <c r="A1350" t="inlineStr">
        <is>
          <t>A 14241-2024</t>
        </is>
      </c>
      <c r="B1350" t="inlineStr">
        <is>
          <t>avverkningsanmälan</t>
        </is>
      </c>
      <c r="C1350" t="inlineStr">
        <is>
          <t>Föryngringsavverkning</t>
        </is>
      </c>
      <c r="D1350" s="1" t="n">
        <v>45393</v>
      </c>
      <c r="E1350" s="1" t="n">
        <v>46309</v>
      </c>
      <c r="F1350" t="inlineStr">
        <is>
          <t>UPPSALA LÄN</t>
        </is>
      </c>
      <c r="G1350" t="inlineStr">
        <is>
          <t>TIERP</t>
        </is>
      </c>
      <c r="H1350" t="inlineStr">
        <is>
          <t>Bergvik skog öst AB</t>
        </is>
      </c>
      <c r="I1350" t="n">
        <v>0.4</v>
      </c>
      <c r="J1350" t="n">
        <v>0</v>
      </c>
      <c r="K1350" t="n">
        <v>0</v>
      </c>
      <c r="L1350" t="n">
        <v>0</v>
      </c>
      <c r="M1350" t="n">
        <v>0</v>
      </c>
      <c r="N1350" t="n">
        <v>0</v>
      </c>
      <c r="O1350" t="n">
        <v>0</v>
      </c>
      <c r="P1350" t="n">
        <v>0</v>
      </c>
      <c r="Q1350" t="n">
        <v>0</v>
      </c>
      <c r="R1350" t="n">
        <v>0</v>
      </c>
      <c r="S1350" t="n">
        <v>0</v>
      </c>
      <c r="T1350" t="n">
        <v>0</v>
      </c>
      <c r="U1350" t="n">
        <v>0</v>
      </c>
      <c r="V1350" s="2" t="inlineStr"/>
    </row>
    <row r="1351" ht="15" customHeight="1">
      <c r="A1351" t="inlineStr">
        <is>
          <t>A 44659-2025</t>
        </is>
      </c>
      <c r="B1351" t="inlineStr">
        <is>
          <t>avverkningsanmälan</t>
        </is>
      </c>
      <c r="C1351" t="inlineStr">
        <is>
          <t>Föryngringsavverkning</t>
        </is>
      </c>
      <c r="D1351" s="1" t="n">
        <v>45917</v>
      </c>
      <c r="E1351" s="1" t="n">
        <v>46309</v>
      </c>
      <c r="F1351" t="inlineStr">
        <is>
          <t>UPPSALA LÄN</t>
        </is>
      </c>
      <c r="G1351" t="inlineStr">
        <is>
          <t>TIERP</t>
        </is>
      </c>
      <c r="H1351" t="inlineStr">
        <is>
          <t>Bergvik skog väst AB</t>
        </is>
      </c>
      <c r="I1351" t="n">
        <v>12.2</v>
      </c>
      <c r="J1351" t="n">
        <v>0</v>
      </c>
      <c r="K1351" t="n">
        <v>0</v>
      </c>
      <c r="L1351" t="n">
        <v>0</v>
      </c>
      <c r="M1351" t="n">
        <v>0</v>
      </c>
      <c r="N1351" t="n">
        <v>0</v>
      </c>
      <c r="O1351" t="n">
        <v>0</v>
      </c>
      <c r="P1351" t="n">
        <v>0</v>
      </c>
      <c r="Q1351" t="n">
        <v>0</v>
      </c>
      <c r="R1351" t="n">
        <v>0</v>
      </c>
      <c r="S1351" t="n">
        <v>0</v>
      </c>
      <c r="T1351" t="n">
        <v>0</v>
      </c>
      <c r="U1351" t="n">
        <v>0</v>
      </c>
      <c r="V1351" s="2" t="inlineStr"/>
    </row>
    <row r="1352" ht="15" customHeight="1">
      <c r="A1352" t="inlineStr">
        <is>
          <t>A 34198-2023</t>
        </is>
      </c>
      <c r="B1352" t="inlineStr">
        <is>
          <t>avverkningsanmälan</t>
        </is>
      </c>
      <c r="C1352" t="inlineStr">
        <is>
          <t>Föryngringsavverkning</t>
        </is>
      </c>
      <c r="D1352" s="1" t="n">
        <v>45138</v>
      </c>
      <c r="E1352" s="1" t="n">
        <v>46309</v>
      </c>
      <c r="F1352" t="inlineStr">
        <is>
          <t>UPPSALA LÄN</t>
        </is>
      </c>
      <c r="G1352" t="inlineStr">
        <is>
          <t>TIERP</t>
        </is>
      </c>
      <c r="H1352" t="inlineStr">
        <is>
          <t>Bergvik skog öst AB</t>
        </is>
      </c>
      <c r="I1352" t="n">
        <v>11.5</v>
      </c>
      <c r="J1352" t="n">
        <v>0</v>
      </c>
      <c r="K1352" t="n">
        <v>0</v>
      </c>
      <c r="L1352" t="n">
        <v>0</v>
      </c>
      <c r="M1352" t="n">
        <v>0</v>
      </c>
      <c r="N1352" t="n">
        <v>0</v>
      </c>
      <c r="O1352" t="n">
        <v>0</v>
      </c>
      <c r="P1352" t="n">
        <v>0</v>
      </c>
      <c r="Q1352" t="n">
        <v>0</v>
      </c>
      <c r="R1352" t="n">
        <v>0</v>
      </c>
      <c r="S1352" t="n">
        <v>0</v>
      </c>
      <c r="T1352" t="n">
        <v>0</v>
      </c>
      <c r="U1352" t="n">
        <v>0</v>
      </c>
      <c r="V1352" s="2" t="inlineStr"/>
    </row>
    <row r="1353" ht="15" customHeight="1">
      <c r="A1353" t="inlineStr">
        <is>
          <t>A 44813-2025</t>
        </is>
      </c>
      <c r="B1353" t="inlineStr">
        <is>
          <t>avverkningsanmälan</t>
        </is>
      </c>
      <c r="C1353" t="inlineStr">
        <is>
          <t>Avverkning för att bevara och utveckla /försöksver</t>
        </is>
      </c>
      <c r="D1353" s="1" t="n">
        <v>45918</v>
      </c>
      <c r="E1353" s="1" t="n">
        <v>46309</v>
      </c>
      <c r="F1353" t="inlineStr">
        <is>
          <t>UPPSALA LÄN</t>
        </is>
      </c>
      <c r="G1353" t="inlineStr">
        <is>
          <t>UPPSALA</t>
        </is>
      </c>
      <c r="I1353" t="n">
        <v>1.4</v>
      </c>
      <c r="J1353" t="n">
        <v>0</v>
      </c>
      <c r="K1353" t="n">
        <v>0</v>
      </c>
      <c r="L1353" t="n">
        <v>0</v>
      </c>
      <c r="M1353" t="n">
        <v>0</v>
      </c>
      <c r="N1353" t="n">
        <v>0</v>
      </c>
      <c r="O1353" t="n">
        <v>0</v>
      </c>
      <c r="P1353" t="n">
        <v>0</v>
      </c>
      <c r="Q1353" t="n">
        <v>0</v>
      </c>
      <c r="R1353" t="n">
        <v>0</v>
      </c>
      <c r="S1353" t="n">
        <v>0</v>
      </c>
      <c r="T1353" t="n">
        <v>0</v>
      </c>
      <c r="U1353" t="n">
        <v>0</v>
      </c>
      <c r="V1353" s="2" t="inlineStr"/>
    </row>
    <row r="1354" ht="15" customHeight="1">
      <c r="A1354" t="inlineStr">
        <is>
          <t>A 44675-2025</t>
        </is>
      </c>
      <c r="B1354" t="inlineStr">
        <is>
          <t>avverkningsanmälan</t>
        </is>
      </c>
      <c r="C1354" t="inlineStr">
        <is>
          <t>Föryngringsavverkning</t>
        </is>
      </c>
      <c r="D1354" s="1" t="n">
        <v>45917</v>
      </c>
      <c r="E1354" s="1" t="n">
        <v>46309</v>
      </c>
      <c r="F1354" t="inlineStr">
        <is>
          <t>UPPSALA LÄN</t>
        </is>
      </c>
      <c r="G1354" t="inlineStr">
        <is>
          <t>TIERP</t>
        </is>
      </c>
      <c r="H1354" t="inlineStr">
        <is>
          <t>Bergvik skog väst AB</t>
        </is>
      </c>
      <c r="I1354" t="n">
        <v>1.1</v>
      </c>
      <c r="J1354" t="n">
        <v>0</v>
      </c>
      <c r="K1354" t="n">
        <v>0</v>
      </c>
      <c r="L1354" t="n">
        <v>0</v>
      </c>
      <c r="M1354" t="n">
        <v>0</v>
      </c>
      <c r="N1354" t="n">
        <v>0</v>
      </c>
      <c r="O1354" t="n">
        <v>0</v>
      </c>
      <c r="P1354" t="n">
        <v>0</v>
      </c>
      <c r="Q1354" t="n">
        <v>0</v>
      </c>
      <c r="R1354" t="n">
        <v>0</v>
      </c>
      <c r="S1354" t="n">
        <v>0</v>
      </c>
      <c r="T1354" t="n">
        <v>0</v>
      </c>
      <c r="U1354" t="n">
        <v>0</v>
      </c>
      <c r="V1354" s="2" t="inlineStr"/>
    </row>
    <row r="1355" ht="15" customHeight="1">
      <c r="A1355" t="inlineStr">
        <is>
          <t>A 9667-2024</t>
        </is>
      </c>
      <c r="B1355" t="inlineStr">
        <is>
          <t>avverkningsanmälan</t>
        </is>
      </c>
      <c r="C1355" t="inlineStr">
        <is>
          <t>Föryngringsavverkning</t>
        </is>
      </c>
      <c r="D1355" s="1" t="n">
        <v>45362</v>
      </c>
      <c r="E1355" s="1" t="n">
        <v>46309</v>
      </c>
      <c r="F1355" t="inlineStr">
        <is>
          <t>UPPSALA LÄN</t>
        </is>
      </c>
      <c r="G1355" t="inlineStr">
        <is>
          <t>ENKÖPING</t>
        </is>
      </c>
      <c r="I1355" t="n">
        <v>0.5</v>
      </c>
      <c r="J1355" t="n">
        <v>0</v>
      </c>
      <c r="K1355" t="n">
        <v>0</v>
      </c>
      <c r="L1355" t="n">
        <v>0</v>
      </c>
      <c r="M1355" t="n">
        <v>0</v>
      </c>
      <c r="N1355" t="n">
        <v>0</v>
      </c>
      <c r="O1355" t="n">
        <v>0</v>
      </c>
      <c r="P1355" t="n">
        <v>0</v>
      </c>
      <c r="Q1355" t="n">
        <v>0</v>
      </c>
      <c r="R1355" t="n">
        <v>0</v>
      </c>
      <c r="S1355" t="n">
        <v>0</v>
      </c>
      <c r="T1355" t="n">
        <v>0</v>
      </c>
      <c r="U1355" t="n">
        <v>0</v>
      </c>
      <c r="V1355" s="2" t="inlineStr"/>
    </row>
    <row r="1356" ht="15" customHeight="1">
      <c r="A1356" t="inlineStr">
        <is>
          <t>A 44612-2025</t>
        </is>
      </c>
      <c r="B1356" t="inlineStr">
        <is>
          <t>avverkningsanmälan</t>
        </is>
      </c>
      <c r="C1356" t="inlineStr">
        <is>
          <t>Föryngringsavverkning</t>
        </is>
      </c>
      <c r="D1356" s="1" t="n">
        <v>45917</v>
      </c>
      <c r="E1356" s="1" t="n">
        <v>46309</v>
      </c>
      <c r="F1356" t="inlineStr">
        <is>
          <t>UPPSALA LÄN</t>
        </is>
      </c>
      <c r="G1356" t="inlineStr">
        <is>
          <t>TIERP</t>
        </is>
      </c>
      <c r="I1356" t="n">
        <v>2.6</v>
      </c>
      <c r="J1356" t="n">
        <v>0</v>
      </c>
      <c r="K1356" t="n">
        <v>0</v>
      </c>
      <c r="L1356" t="n">
        <v>0</v>
      </c>
      <c r="M1356" t="n">
        <v>0</v>
      </c>
      <c r="N1356" t="n">
        <v>0</v>
      </c>
      <c r="O1356" t="n">
        <v>0</v>
      </c>
      <c r="P1356" t="n">
        <v>0</v>
      </c>
      <c r="Q1356" t="n">
        <v>0</v>
      </c>
      <c r="R1356" t="n">
        <v>0</v>
      </c>
      <c r="S1356" t="n">
        <v>0</v>
      </c>
      <c r="T1356" t="n">
        <v>0</v>
      </c>
      <c r="U1356" t="n">
        <v>0</v>
      </c>
      <c r="V1356" s="2" t="inlineStr"/>
    </row>
    <row r="1357" ht="15" customHeight="1">
      <c r="A1357" t="inlineStr">
        <is>
          <t>A 52661-2022</t>
        </is>
      </c>
      <c r="B1357" t="inlineStr">
        <is>
          <t>avverkningsanmälan</t>
        </is>
      </c>
      <c r="C1357" t="inlineStr">
        <is>
          <t>Föryngringsavverkning</t>
        </is>
      </c>
      <c r="D1357" s="1" t="n">
        <v>44874</v>
      </c>
      <c r="E1357" s="1" t="n">
        <v>46309</v>
      </c>
      <c r="F1357" t="inlineStr">
        <is>
          <t>UPPSALA LÄN</t>
        </is>
      </c>
      <c r="G1357" t="inlineStr">
        <is>
          <t>ÖSTHAMMAR</t>
        </is>
      </c>
      <c r="H1357" t="inlineStr">
        <is>
          <t>Bergvik skog öst AB</t>
        </is>
      </c>
      <c r="I1357" t="n">
        <v>0.2</v>
      </c>
      <c r="J1357" t="n">
        <v>0</v>
      </c>
      <c r="K1357" t="n">
        <v>0</v>
      </c>
      <c r="L1357" t="n">
        <v>0</v>
      </c>
      <c r="M1357" t="n">
        <v>0</v>
      </c>
      <c r="N1357" t="n">
        <v>0</v>
      </c>
      <c r="O1357" t="n">
        <v>0</v>
      </c>
      <c r="P1357" t="n">
        <v>0</v>
      </c>
      <c r="Q1357" t="n">
        <v>0</v>
      </c>
      <c r="R1357" t="n">
        <v>0</v>
      </c>
      <c r="S1357" t="n">
        <v>0</v>
      </c>
      <c r="T1357" t="n">
        <v>0</v>
      </c>
      <c r="U1357" t="n">
        <v>0</v>
      </c>
      <c r="V1357" s="2" t="inlineStr"/>
    </row>
    <row r="1358" ht="15" customHeight="1">
      <c r="A1358" t="inlineStr">
        <is>
          <t>A 45440-2025</t>
        </is>
      </c>
      <c r="B1358" t="inlineStr">
        <is>
          <t>avverkningsanmälan</t>
        </is>
      </c>
      <c r="C1358" t="inlineStr">
        <is>
          <t>Föryngringsavverkning</t>
        </is>
      </c>
      <c r="D1358" s="1" t="n">
        <v>45922</v>
      </c>
      <c r="E1358" s="1" t="n">
        <v>46309</v>
      </c>
      <c r="F1358" t="inlineStr">
        <is>
          <t>UPPSALA LÄN</t>
        </is>
      </c>
      <c r="G1358" t="inlineStr">
        <is>
          <t>HEBY</t>
        </is>
      </c>
      <c r="I1358" t="n">
        <v>0.9</v>
      </c>
      <c r="J1358" t="n">
        <v>0</v>
      </c>
      <c r="K1358" t="n">
        <v>0</v>
      </c>
      <c r="L1358" t="n">
        <v>0</v>
      </c>
      <c r="M1358" t="n">
        <v>0</v>
      </c>
      <c r="N1358" t="n">
        <v>0</v>
      </c>
      <c r="O1358" t="n">
        <v>0</v>
      </c>
      <c r="P1358" t="n">
        <v>0</v>
      </c>
      <c r="Q1358" t="n">
        <v>0</v>
      </c>
      <c r="R1358" t="n">
        <v>0</v>
      </c>
      <c r="S1358" t="n">
        <v>0</v>
      </c>
      <c r="T1358" t="n">
        <v>0</v>
      </c>
      <c r="U1358" t="n">
        <v>0</v>
      </c>
      <c r="V1358" s="2" t="inlineStr"/>
    </row>
    <row r="1359" ht="15" customHeight="1">
      <c r="A1359" t="inlineStr">
        <is>
          <t>A 45460-2025</t>
        </is>
      </c>
      <c r="B1359" t="inlineStr">
        <is>
          <t>avverkningsanmälan</t>
        </is>
      </c>
      <c r="C1359" t="inlineStr">
        <is>
          <t>Föryngringsavverkning</t>
        </is>
      </c>
      <c r="D1359" s="1" t="n">
        <v>45922</v>
      </c>
      <c r="E1359" s="1" t="n">
        <v>46309</v>
      </c>
      <c r="F1359" t="inlineStr">
        <is>
          <t>UPPSALA LÄN</t>
        </is>
      </c>
      <c r="G1359" t="inlineStr">
        <is>
          <t>TIERP</t>
        </is>
      </c>
      <c r="I1359" t="n">
        <v>4.2</v>
      </c>
      <c r="J1359" t="n">
        <v>0</v>
      </c>
      <c r="K1359" t="n">
        <v>0</v>
      </c>
      <c r="L1359" t="n">
        <v>0</v>
      </c>
      <c r="M1359" t="n">
        <v>0</v>
      </c>
      <c r="N1359" t="n">
        <v>0</v>
      </c>
      <c r="O1359" t="n">
        <v>0</v>
      </c>
      <c r="P1359" t="n">
        <v>0</v>
      </c>
      <c r="Q1359" t="n">
        <v>0</v>
      </c>
      <c r="R1359" t="n">
        <v>0</v>
      </c>
      <c r="S1359" t="n">
        <v>0</v>
      </c>
      <c r="T1359" t="n">
        <v>0</v>
      </c>
      <c r="U1359" t="n">
        <v>0</v>
      </c>
      <c r="V1359" s="2" t="inlineStr"/>
    </row>
    <row r="1360" ht="15" customHeight="1">
      <c r="A1360" t="inlineStr">
        <is>
          <t>A 3641-2022</t>
        </is>
      </c>
      <c r="B1360" t="inlineStr">
        <is>
          <t>avverkningsanmälan</t>
        </is>
      </c>
      <c r="C1360" t="inlineStr">
        <is>
          <t>Föryngringsavverkning</t>
        </is>
      </c>
      <c r="D1360" s="1" t="n">
        <v>44586</v>
      </c>
      <c r="E1360" s="1" t="n">
        <v>46309</v>
      </c>
      <c r="F1360" t="inlineStr">
        <is>
          <t>UPPSALA LÄN</t>
        </is>
      </c>
      <c r="G1360" t="inlineStr">
        <is>
          <t>HEBY</t>
        </is>
      </c>
      <c r="I1360" t="n">
        <v>2.5</v>
      </c>
      <c r="J1360" t="n">
        <v>0</v>
      </c>
      <c r="K1360" t="n">
        <v>0</v>
      </c>
      <c r="L1360" t="n">
        <v>0</v>
      </c>
      <c r="M1360" t="n">
        <v>0</v>
      </c>
      <c r="N1360" t="n">
        <v>0</v>
      </c>
      <c r="O1360" t="n">
        <v>0</v>
      </c>
      <c r="P1360" t="n">
        <v>0</v>
      </c>
      <c r="Q1360" t="n">
        <v>0</v>
      </c>
      <c r="R1360" t="n">
        <v>0</v>
      </c>
      <c r="S1360" t="n">
        <v>0</v>
      </c>
      <c r="T1360" t="n">
        <v>0</v>
      </c>
      <c r="U1360" t="n">
        <v>0</v>
      </c>
      <c r="V1360" s="2" t="inlineStr"/>
    </row>
    <row r="1361" ht="15" customHeight="1">
      <c r="A1361" t="inlineStr">
        <is>
          <t>A 3732-2022</t>
        </is>
      </c>
      <c r="B1361" t="inlineStr">
        <is>
          <t>avverkningsanmälan</t>
        </is>
      </c>
      <c r="C1361" t="inlineStr">
        <is>
          <t>Föryngringsavverkning</t>
        </is>
      </c>
      <c r="D1361" s="1" t="n">
        <v>44586</v>
      </c>
      <c r="E1361" s="1" t="n">
        <v>46309</v>
      </c>
      <c r="F1361" t="inlineStr">
        <is>
          <t>UPPSALA LÄN</t>
        </is>
      </c>
      <c r="G1361" t="inlineStr">
        <is>
          <t>ÖSTHAMMAR</t>
        </is>
      </c>
      <c r="H1361" t="inlineStr">
        <is>
          <t>Bergvik skog öst AB</t>
        </is>
      </c>
      <c r="I1361" t="n">
        <v>3.6</v>
      </c>
      <c r="J1361" t="n">
        <v>0</v>
      </c>
      <c r="K1361" t="n">
        <v>0</v>
      </c>
      <c r="L1361" t="n">
        <v>0</v>
      </c>
      <c r="M1361" t="n">
        <v>0</v>
      </c>
      <c r="N1361" t="n">
        <v>0</v>
      </c>
      <c r="O1361" t="n">
        <v>0</v>
      </c>
      <c r="P1361" t="n">
        <v>0</v>
      </c>
      <c r="Q1361" t="n">
        <v>0</v>
      </c>
      <c r="R1361" t="n">
        <v>0</v>
      </c>
      <c r="S1361" t="n">
        <v>0</v>
      </c>
      <c r="T1361" t="n">
        <v>0</v>
      </c>
      <c r="U1361" t="n">
        <v>0</v>
      </c>
      <c r="V1361" s="2" t="inlineStr"/>
    </row>
    <row r="1362" ht="15" customHeight="1">
      <c r="A1362" t="inlineStr">
        <is>
          <t>A 45453-2025</t>
        </is>
      </c>
      <c r="B1362" t="inlineStr">
        <is>
          <t>avverkningsanmälan</t>
        </is>
      </c>
      <c r="C1362" t="inlineStr">
        <is>
          <t>Föryngringsavverkning</t>
        </is>
      </c>
      <c r="D1362" s="1" t="n">
        <v>45922</v>
      </c>
      <c r="E1362" s="1" t="n">
        <v>46309</v>
      </c>
      <c r="F1362" t="inlineStr">
        <is>
          <t>UPPSALA LÄN</t>
        </is>
      </c>
      <c r="G1362" t="inlineStr">
        <is>
          <t>KNIVSTA</t>
        </is>
      </c>
      <c r="I1362" t="n">
        <v>0.9</v>
      </c>
      <c r="J1362" t="n">
        <v>0</v>
      </c>
      <c r="K1362" t="n">
        <v>0</v>
      </c>
      <c r="L1362" t="n">
        <v>0</v>
      </c>
      <c r="M1362" t="n">
        <v>0</v>
      </c>
      <c r="N1362" t="n">
        <v>0</v>
      </c>
      <c r="O1362" t="n">
        <v>0</v>
      </c>
      <c r="P1362" t="n">
        <v>0</v>
      </c>
      <c r="Q1362" t="n">
        <v>0</v>
      </c>
      <c r="R1362" t="n">
        <v>0</v>
      </c>
      <c r="S1362" t="n">
        <v>0</v>
      </c>
      <c r="T1362" t="n">
        <v>0</v>
      </c>
      <c r="U1362" t="n">
        <v>0</v>
      </c>
      <c r="V1362" s="2" t="inlineStr"/>
    </row>
    <row r="1363" ht="15" customHeight="1">
      <c r="A1363" t="inlineStr">
        <is>
          <t>A 7899-2022</t>
        </is>
      </c>
      <c r="B1363" t="inlineStr">
        <is>
          <t>avverkningsanmälan</t>
        </is>
      </c>
      <c r="C1363" t="inlineStr">
        <is>
          <t>Föryngringsavverkning</t>
        </is>
      </c>
      <c r="D1363" s="1" t="n">
        <v>44608</v>
      </c>
      <c r="E1363" s="1" t="n">
        <v>46309</v>
      </c>
      <c r="F1363" t="inlineStr">
        <is>
          <t>UPPSALA LÄN</t>
        </is>
      </c>
      <c r="G1363" t="inlineStr">
        <is>
          <t>UPPSALA</t>
        </is>
      </c>
      <c r="H1363" t="inlineStr">
        <is>
          <t>Övriga Aktiebolag</t>
        </is>
      </c>
      <c r="I1363" t="n">
        <v>7.1</v>
      </c>
      <c r="J1363" t="n">
        <v>0</v>
      </c>
      <c r="K1363" t="n">
        <v>0</v>
      </c>
      <c r="L1363" t="n">
        <v>0</v>
      </c>
      <c r="M1363" t="n">
        <v>0</v>
      </c>
      <c r="N1363" t="n">
        <v>0</v>
      </c>
      <c r="O1363" t="n">
        <v>0</v>
      </c>
      <c r="P1363" t="n">
        <v>0</v>
      </c>
      <c r="Q1363" t="n">
        <v>0</v>
      </c>
      <c r="R1363" t="n">
        <v>0</v>
      </c>
      <c r="S1363" t="n">
        <v>0</v>
      </c>
      <c r="T1363" t="n">
        <v>0</v>
      </c>
      <c r="U1363" t="n">
        <v>0</v>
      </c>
      <c r="V1363" s="2" t="inlineStr"/>
    </row>
    <row r="1364" ht="15" customHeight="1">
      <c r="A1364" t="inlineStr">
        <is>
          <t>A 45449-2025</t>
        </is>
      </c>
      <c r="B1364" t="inlineStr">
        <is>
          <t>avverkningsanmälan</t>
        </is>
      </c>
      <c r="C1364" t="inlineStr">
        <is>
          <t>Föryngringsavverkning</t>
        </is>
      </c>
      <c r="D1364" s="1" t="n">
        <v>45922</v>
      </c>
      <c r="E1364" s="1" t="n">
        <v>46309</v>
      </c>
      <c r="F1364" t="inlineStr">
        <is>
          <t>UPPSALA LÄN</t>
        </is>
      </c>
      <c r="G1364" t="inlineStr">
        <is>
          <t>TIERP</t>
        </is>
      </c>
      <c r="I1364" t="n">
        <v>3.2</v>
      </c>
      <c r="J1364" t="n">
        <v>0</v>
      </c>
      <c r="K1364" t="n">
        <v>0</v>
      </c>
      <c r="L1364" t="n">
        <v>0</v>
      </c>
      <c r="M1364" t="n">
        <v>0</v>
      </c>
      <c r="N1364" t="n">
        <v>0</v>
      </c>
      <c r="O1364" t="n">
        <v>0</v>
      </c>
      <c r="P1364" t="n">
        <v>0</v>
      </c>
      <c r="Q1364" t="n">
        <v>0</v>
      </c>
      <c r="R1364" t="n">
        <v>0</v>
      </c>
      <c r="S1364" t="n">
        <v>0</v>
      </c>
      <c r="T1364" t="n">
        <v>0</v>
      </c>
      <c r="U1364" t="n">
        <v>0</v>
      </c>
      <c r="V1364" s="2" t="inlineStr"/>
    </row>
    <row r="1365" ht="15" customHeight="1">
      <c r="A1365" t="inlineStr">
        <is>
          <t>A 45382-2025</t>
        </is>
      </c>
      <c r="B1365" t="inlineStr">
        <is>
          <t>avverkningsanmälan</t>
        </is>
      </c>
      <c r="C1365" t="inlineStr">
        <is>
          <t>Föryngringsavverkning</t>
        </is>
      </c>
      <c r="D1365" s="1" t="n">
        <v>45922</v>
      </c>
      <c r="E1365" s="1" t="n">
        <v>46309</v>
      </c>
      <c r="F1365" t="inlineStr">
        <is>
          <t>UPPSALA LÄN</t>
        </is>
      </c>
      <c r="G1365" t="inlineStr">
        <is>
          <t>HEBY</t>
        </is>
      </c>
      <c r="I1365" t="n">
        <v>1.6</v>
      </c>
      <c r="J1365" t="n">
        <v>0</v>
      </c>
      <c r="K1365" t="n">
        <v>0</v>
      </c>
      <c r="L1365" t="n">
        <v>0</v>
      </c>
      <c r="M1365" t="n">
        <v>0</v>
      </c>
      <c r="N1365" t="n">
        <v>0</v>
      </c>
      <c r="O1365" t="n">
        <v>0</v>
      </c>
      <c r="P1365" t="n">
        <v>0</v>
      </c>
      <c r="Q1365" t="n">
        <v>0</v>
      </c>
      <c r="R1365" t="n">
        <v>0</v>
      </c>
      <c r="S1365" t="n">
        <v>0</v>
      </c>
      <c r="T1365" t="n">
        <v>0</v>
      </c>
      <c r="U1365" t="n">
        <v>0</v>
      </c>
      <c r="V1365" s="2" t="inlineStr"/>
    </row>
    <row r="1366" ht="15" customHeight="1">
      <c r="A1366" t="inlineStr">
        <is>
          <t>A 45519-2025</t>
        </is>
      </c>
      <c r="B1366" t="inlineStr">
        <is>
          <t>avverkningsanmälan</t>
        </is>
      </c>
      <c r="C1366" t="inlineStr">
        <is>
          <t>Avverkning för annat ändamål</t>
        </is>
      </c>
      <c r="D1366" s="1" t="n">
        <v>45922</v>
      </c>
      <c r="E1366" s="1" t="n">
        <v>46309</v>
      </c>
      <c r="F1366" t="inlineStr">
        <is>
          <t>UPPSALA LÄN</t>
        </is>
      </c>
      <c r="G1366" t="inlineStr">
        <is>
          <t>UPPSALA</t>
        </is>
      </c>
      <c r="I1366" t="n">
        <v>0.3</v>
      </c>
      <c r="J1366" t="n">
        <v>0</v>
      </c>
      <c r="K1366" t="n">
        <v>0</v>
      </c>
      <c r="L1366" t="n">
        <v>0</v>
      </c>
      <c r="M1366" t="n">
        <v>0</v>
      </c>
      <c r="N1366" t="n">
        <v>0</v>
      </c>
      <c r="O1366" t="n">
        <v>0</v>
      </c>
      <c r="P1366" t="n">
        <v>0</v>
      </c>
      <c r="Q1366" t="n">
        <v>0</v>
      </c>
      <c r="R1366" t="n">
        <v>0</v>
      </c>
      <c r="S1366" t="n">
        <v>0</v>
      </c>
      <c r="T1366" t="n">
        <v>0</v>
      </c>
      <c r="U1366" t="n">
        <v>0</v>
      </c>
      <c r="V1366" s="2" t="inlineStr"/>
    </row>
    <row r="1367" ht="15" customHeight="1">
      <c r="A1367" t="inlineStr">
        <is>
          <t>A 38003-2024</t>
        </is>
      </c>
      <c r="B1367" t="inlineStr">
        <is>
          <t>avverkningsanmälan</t>
        </is>
      </c>
      <c r="C1367" t="inlineStr">
        <is>
          <t>Föryngringsavverkning</t>
        </is>
      </c>
      <c r="D1367" s="1" t="n">
        <v>45544</v>
      </c>
      <c r="E1367" s="1" t="n">
        <v>46309</v>
      </c>
      <c r="F1367" t="inlineStr">
        <is>
          <t>UPPSALA LÄN</t>
        </is>
      </c>
      <c r="G1367" t="inlineStr">
        <is>
          <t>ÖSTHAMMAR</t>
        </is>
      </c>
      <c r="H1367" t="inlineStr">
        <is>
          <t>Naturvårdsverket</t>
        </is>
      </c>
      <c r="I1367" t="n">
        <v>4.2</v>
      </c>
      <c r="J1367" t="n">
        <v>0</v>
      </c>
      <c r="K1367" t="n">
        <v>0</v>
      </c>
      <c r="L1367" t="n">
        <v>0</v>
      </c>
      <c r="M1367" t="n">
        <v>0</v>
      </c>
      <c r="N1367" t="n">
        <v>0</v>
      </c>
      <c r="O1367" t="n">
        <v>0</v>
      </c>
      <c r="P1367" t="n">
        <v>0</v>
      </c>
      <c r="Q1367" t="n">
        <v>0</v>
      </c>
      <c r="R1367" t="n">
        <v>0</v>
      </c>
      <c r="S1367" t="n">
        <v>0</v>
      </c>
      <c r="T1367" t="n">
        <v>0</v>
      </c>
      <c r="U1367" t="n">
        <v>0</v>
      </c>
      <c r="V1367" s="2" t="inlineStr"/>
    </row>
    <row r="1368" ht="15" customHeight="1">
      <c r="A1368" t="inlineStr">
        <is>
          <t>A 45417-2025</t>
        </is>
      </c>
      <c r="B1368" t="inlineStr">
        <is>
          <t>avverkningsanmälan</t>
        </is>
      </c>
      <c r="C1368" t="inlineStr">
        <is>
          <t>Föryngringsavverkning</t>
        </is>
      </c>
      <c r="D1368" s="1" t="n">
        <v>45922</v>
      </c>
      <c r="E1368" s="1" t="n">
        <v>46309</v>
      </c>
      <c r="F1368" t="inlineStr">
        <is>
          <t>UPPSALA LÄN</t>
        </is>
      </c>
      <c r="G1368" t="inlineStr">
        <is>
          <t>HEBY</t>
        </is>
      </c>
      <c r="I1368" t="n">
        <v>1.3</v>
      </c>
      <c r="J1368" t="n">
        <v>0</v>
      </c>
      <c r="K1368" t="n">
        <v>0</v>
      </c>
      <c r="L1368" t="n">
        <v>0</v>
      </c>
      <c r="M1368" t="n">
        <v>0</v>
      </c>
      <c r="N1368" t="n">
        <v>0</v>
      </c>
      <c r="O1368" t="n">
        <v>0</v>
      </c>
      <c r="P1368" t="n">
        <v>0</v>
      </c>
      <c r="Q1368" t="n">
        <v>0</v>
      </c>
      <c r="R1368" t="n">
        <v>0</v>
      </c>
      <c r="S1368" t="n">
        <v>0</v>
      </c>
      <c r="T1368" t="n">
        <v>0</v>
      </c>
      <c r="U1368" t="n">
        <v>0</v>
      </c>
      <c r="V1368" s="2" t="inlineStr"/>
    </row>
    <row r="1369" ht="15" customHeight="1">
      <c r="A1369" t="inlineStr">
        <is>
          <t>A 45308-2025</t>
        </is>
      </c>
      <c r="B1369" t="inlineStr">
        <is>
          <t>avverkningsanmälan</t>
        </is>
      </c>
      <c r="C1369" t="inlineStr">
        <is>
          <t>Föryngringsavverkning</t>
        </is>
      </c>
      <c r="D1369" s="1" t="n">
        <v>45921</v>
      </c>
      <c r="E1369" s="1" t="n">
        <v>46309</v>
      </c>
      <c r="F1369" t="inlineStr">
        <is>
          <t>UPPSALA LÄN</t>
        </is>
      </c>
      <c r="G1369" t="inlineStr">
        <is>
          <t>TIERP</t>
        </is>
      </c>
      <c r="H1369" t="inlineStr">
        <is>
          <t>Bergvik skog väst AB</t>
        </is>
      </c>
      <c r="I1369" t="n">
        <v>0.3</v>
      </c>
      <c r="J1369" t="n">
        <v>0</v>
      </c>
      <c r="K1369" t="n">
        <v>0</v>
      </c>
      <c r="L1369" t="n">
        <v>0</v>
      </c>
      <c r="M1369" t="n">
        <v>0</v>
      </c>
      <c r="N1369" t="n">
        <v>0</v>
      </c>
      <c r="O1369" t="n">
        <v>0</v>
      </c>
      <c r="P1369" t="n">
        <v>0</v>
      </c>
      <c r="Q1369" t="n">
        <v>0</v>
      </c>
      <c r="R1369" t="n">
        <v>0</v>
      </c>
      <c r="S1369" t="n">
        <v>0</v>
      </c>
      <c r="T1369" t="n">
        <v>0</v>
      </c>
      <c r="U1369" t="n">
        <v>0</v>
      </c>
      <c r="V1369" s="2" t="inlineStr"/>
    </row>
    <row r="1370" ht="15" customHeight="1">
      <c r="A1370" t="inlineStr">
        <is>
          <t>A 47316-2023</t>
        </is>
      </c>
      <c r="B1370" t="inlineStr">
        <is>
          <t>avverkningsanmälan</t>
        </is>
      </c>
      <c r="C1370" t="inlineStr">
        <is>
          <t>Föryngringsavverkning</t>
        </is>
      </c>
      <c r="D1370" s="1" t="n">
        <v>45202</v>
      </c>
      <c r="E1370" s="1" t="n">
        <v>46309</v>
      </c>
      <c r="F1370" t="inlineStr">
        <is>
          <t>UPPSALA LÄN</t>
        </is>
      </c>
      <c r="G1370" t="inlineStr">
        <is>
          <t>UPPSALA</t>
        </is>
      </c>
      <c r="H1370" t="inlineStr">
        <is>
          <t>Bergvik skog öst AB</t>
        </is>
      </c>
      <c r="I1370" t="n">
        <v>0.3</v>
      </c>
      <c r="J1370" t="n">
        <v>0</v>
      </c>
      <c r="K1370" t="n">
        <v>0</v>
      </c>
      <c r="L1370" t="n">
        <v>0</v>
      </c>
      <c r="M1370" t="n">
        <v>0</v>
      </c>
      <c r="N1370" t="n">
        <v>0</v>
      </c>
      <c r="O1370" t="n">
        <v>0</v>
      </c>
      <c r="P1370" t="n">
        <v>0</v>
      </c>
      <c r="Q1370" t="n">
        <v>0</v>
      </c>
      <c r="R1370" t="n">
        <v>0</v>
      </c>
      <c r="S1370" t="n">
        <v>0</v>
      </c>
      <c r="T1370" t="n">
        <v>0</v>
      </c>
      <c r="U1370" t="n">
        <v>0</v>
      </c>
      <c r="V1370" s="2" t="inlineStr"/>
    </row>
    <row r="1371" ht="15" customHeight="1">
      <c r="A1371" t="inlineStr">
        <is>
          <t>A 30585-2025</t>
        </is>
      </c>
      <c r="B1371" t="inlineStr">
        <is>
          <t>avverkningsanmälan</t>
        </is>
      </c>
      <c r="C1371" t="inlineStr">
        <is>
          <t>Föryngringsavverkning</t>
        </is>
      </c>
      <c r="D1371" s="1" t="n">
        <v>45831</v>
      </c>
      <c r="E1371" s="1" t="n">
        <v>46309</v>
      </c>
      <c r="F1371" t="inlineStr">
        <is>
          <t>UPPSALA LÄN</t>
        </is>
      </c>
      <c r="G1371" t="inlineStr">
        <is>
          <t>UPPSALA</t>
        </is>
      </c>
      <c r="I1371" t="n">
        <v>0.5</v>
      </c>
      <c r="J1371" t="n">
        <v>0</v>
      </c>
      <c r="K1371" t="n">
        <v>0</v>
      </c>
      <c r="L1371" t="n">
        <v>0</v>
      </c>
      <c r="M1371" t="n">
        <v>0</v>
      </c>
      <c r="N1371" t="n">
        <v>0</v>
      </c>
      <c r="O1371" t="n">
        <v>0</v>
      </c>
      <c r="P1371" t="n">
        <v>0</v>
      </c>
      <c r="Q1371" t="n">
        <v>0</v>
      </c>
      <c r="R1371" t="n">
        <v>0</v>
      </c>
      <c r="S1371" t="n">
        <v>0</v>
      </c>
      <c r="T1371" t="n">
        <v>0</v>
      </c>
      <c r="U1371" t="n">
        <v>0</v>
      </c>
      <c r="V1371" s="2" t="inlineStr"/>
    </row>
    <row r="1372" ht="15" customHeight="1">
      <c r="A1372" t="inlineStr">
        <is>
          <t>A 30839-2025</t>
        </is>
      </c>
      <c r="B1372" t="inlineStr">
        <is>
          <t>avverkningsanmälan</t>
        </is>
      </c>
      <c r="C1372" t="inlineStr">
        <is>
          <t>Föryngringsavverkning</t>
        </is>
      </c>
      <c r="D1372" s="1" t="n">
        <v>45831</v>
      </c>
      <c r="E1372" s="1" t="n">
        <v>46309</v>
      </c>
      <c r="F1372" t="inlineStr">
        <is>
          <t>UPPSALA LÄN</t>
        </is>
      </c>
      <c r="G1372" t="inlineStr">
        <is>
          <t>UPPSALA</t>
        </is>
      </c>
      <c r="H1372" t="inlineStr">
        <is>
          <t>Kyrkan</t>
        </is>
      </c>
      <c r="I1372" t="n">
        <v>2.2</v>
      </c>
      <c r="J1372" t="n">
        <v>0</v>
      </c>
      <c r="K1372" t="n">
        <v>0</v>
      </c>
      <c r="L1372" t="n">
        <v>0</v>
      </c>
      <c r="M1372" t="n">
        <v>0</v>
      </c>
      <c r="N1372" t="n">
        <v>0</v>
      </c>
      <c r="O1372" t="n">
        <v>0</v>
      </c>
      <c r="P1372" t="n">
        <v>0</v>
      </c>
      <c r="Q1372" t="n">
        <v>0</v>
      </c>
      <c r="R1372" t="n">
        <v>0</v>
      </c>
      <c r="S1372" t="n">
        <v>0</v>
      </c>
      <c r="T1372" t="n">
        <v>0</v>
      </c>
      <c r="U1372" t="n">
        <v>0</v>
      </c>
      <c r="V1372" s="2" t="inlineStr"/>
    </row>
    <row r="1373" ht="15" customHeight="1">
      <c r="A1373" t="inlineStr">
        <is>
          <t>A 30504-2025</t>
        </is>
      </c>
      <c r="B1373" t="inlineStr">
        <is>
          <t>avverkningsanmälan</t>
        </is>
      </c>
      <c r="C1373" t="inlineStr">
        <is>
          <t>Föryngringsavverkning</t>
        </is>
      </c>
      <c r="D1373" s="1" t="n">
        <v>45830</v>
      </c>
      <c r="E1373" s="1" t="n">
        <v>46309</v>
      </c>
      <c r="F1373" t="inlineStr">
        <is>
          <t>UPPSALA LÄN</t>
        </is>
      </c>
      <c r="G1373" t="inlineStr">
        <is>
          <t>ÖSTHAMMAR</t>
        </is>
      </c>
      <c r="I1373" t="n">
        <v>0.6</v>
      </c>
      <c r="J1373" t="n">
        <v>0</v>
      </c>
      <c r="K1373" t="n">
        <v>0</v>
      </c>
      <c r="L1373" t="n">
        <v>0</v>
      </c>
      <c r="M1373" t="n">
        <v>0</v>
      </c>
      <c r="N1373" t="n">
        <v>0</v>
      </c>
      <c r="O1373" t="n">
        <v>0</v>
      </c>
      <c r="P1373" t="n">
        <v>0</v>
      </c>
      <c r="Q1373" t="n">
        <v>0</v>
      </c>
      <c r="R1373" t="n">
        <v>0</v>
      </c>
      <c r="S1373" t="n">
        <v>0</v>
      </c>
      <c r="T1373" t="n">
        <v>0</v>
      </c>
      <c r="U1373" t="n">
        <v>0</v>
      </c>
      <c r="V1373" s="2" t="inlineStr"/>
    </row>
    <row r="1374" ht="15" customHeight="1">
      <c r="A1374" t="inlineStr">
        <is>
          <t>A 1575-2025</t>
        </is>
      </c>
      <c r="B1374" t="inlineStr">
        <is>
          <t>avverkningsanmälan</t>
        </is>
      </c>
      <c r="C1374" t="inlineStr">
        <is>
          <t>Avverkning för annat ändamål</t>
        </is>
      </c>
      <c r="D1374" s="1" t="n">
        <v>45670</v>
      </c>
      <c r="E1374" s="1" t="n">
        <v>46309</v>
      </c>
      <c r="F1374" t="inlineStr">
        <is>
          <t>UPPSALA LÄN</t>
        </is>
      </c>
      <c r="G1374" t="inlineStr">
        <is>
          <t>ÖSTHAMMAR</t>
        </is>
      </c>
      <c r="I1374" t="n">
        <v>0.4</v>
      </c>
      <c r="J1374" t="n">
        <v>0</v>
      </c>
      <c r="K1374" t="n">
        <v>0</v>
      </c>
      <c r="L1374" t="n">
        <v>0</v>
      </c>
      <c r="M1374" t="n">
        <v>0</v>
      </c>
      <c r="N1374" t="n">
        <v>0</v>
      </c>
      <c r="O1374" t="n">
        <v>0</v>
      </c>
      <c r="P1374" t="n">
        <v>0</v>
      </c>
      <c r="Q1374" t="n">
        <v>0</v>
      </c>
      <c r="R1374" t="n">
        <v>0</v>
      </c>
      <c r="S1374" t="n">
        <v>0</v>
      </c>
      <c r="T1374" t="n">
        <v>0</v>
      </c>
      <c r="U1374" t="n">
        <v>0</v>
      </c>
      <c r="V1374" s="2" t="inlineStr"/>
    </row>
    <row r="1375" ht="15" customHeight="1">
      <c r="A1375" t="inlineStr">
        <is>
          <t>A 16141-2022</t>
        </is>
      </c>
      <c r="B1375" t="inlineStr">
        <is>
          <t>avverkningsanmälan</t>
        </is>
      </c>
      <c r="C1375" t="inlineStr">
        <is>
          <t>Föryngringsavverkning</t>
        </is>
      </c>
      <c r="D1375" s="1" t="n">
        <v>44665</v>
      </c>
      <c r="E1375" s="1" t="n">
        <v>46309</v>
      </c>
      <c r="F1375" t="inlineStr">
        <is>
          <t>UPPSALA LÄN</t>
        </is>
      </c>
      <c r="G1375" t="inlineStr">
        <is>
          <t>ÖSTHAMMAR</t>
        </is>
      </c>
      <c r="H1375" t="inlineStr">
        <is>
          <t>Bergvik skog öst AB</t>
        </is>
      </c>
      <c r="I1375" t="n">
        <v>1.3</v>
      </c>
      <c r="J1375" t="n">
        <v>0</v>
      </c>
      <c r="K1375" t="n">
        <v>0</v>
      </c>
      <c r="L1375" t="n">
        <v>0</v>
      </c>
      <c r="M1375" t="n">
        <v>0</v>
      </c>
      <c r="N1375" t="n">
        <v>0</v>
      </c>
      <c r="O1375" t="n">
        <v>0</v>
      </c>
      <c r="P1375" t="n">
        <v>0</v>
      </c>
      <c r="Q1375" t="n">
        <v>0</v>
      </c>
      <c r="R1375" t="n">
        <v>0</v>
      </c>
      <c r="S1375" t="n">
        <v>0</v>
      </c>
      <c r="T1375" t="n">
        <v>0</v>
      </c>
      <c r="U1375" t="n">
        <v>0</v>
      </c>
      <c r="V1375" s="2" t="inlineStr"/>
    </row>
    <row r="1376" ht="15" customHeight="1">
      <c r="A1376" t="inlineStr">
        <is>
          <t>A 45311-2025</t>
        </is>
      </c>
      <c r="B1376" t="inlineStr">
        <is>
          <t>avverkningsanmälan</t>
        </is>
      </c>
      <c r="C1376" t="inlineStr">
        <is>
          <t>Föryngringsavverkning</t>
        </is>
      </c>
      <c r="D1376" s="1" t="n">
        <v>45921</v>
      </c>
      <c r="E1376" s="1" t="n">
        <v>46309</v>
      </c>
      <c r="F1376" t="inlineStr">
        <is>
          <t>UPPSALA LÄN</t>
        </is>
      </c>
      <c r="G1376" t="inlineStr">
        <is>
          <t>TIERP</t>
        </is>
      </c>
      <c r="I1376" t="n">
        <v>0.7</v>
      </c>
      <c r="J1376" t="n">
        <v>0</v>
      </c>
      <c r="K1376" t="n">
        <v>0</v>
      </c>
      <c r="L1376" t="n">
        <v>0</v>
      </c>
      <c r="M1376" t="n">
        <v>0</v>
      </c>
      <c r="N1376" t="n">
        <v>0</v>
      </c>
      <c r="O1376" t="n">
        <v>0</v>
      </c>
      <c r="P1376" t="n">
        <v>0</v>
      </c>
      <c r="Q1376" t="n">
        <v>0</v>
      </c>
      <c r="R1376" t="n">
        <v>0</v>
      </c>
      <c r="S1376" t="n">
        <v>0</v>
      </c>
      <c r="T1376" t="n">
        <v>0</v>
      </c>
      <c r="U1376" t="n">
        <v>0</v>
      </c>
      <c r="V1376" s="2" t="inlineStr"/>
    </row>
    <row r="1377" ht="15" customHeight="1">
      <c r="A1377" t="inlineStr">
        <is>
          <t>A 45328-2025</t>
        </is>
      </c>
      <c r="B1377" t="inlineStr">
        <is>
          <t>avverkningsanmälan</t>
        </is>
      </c>
      <c r="C1377" t="inlineStr">
        <is>
          <t>Föryngringsavverkning</t>
        </is>
      </c>
      <c r="D1377" s="1" t="n">
        <v>45922</v>
      </c>
      <c r="E1377" s="1" t="n">
        <v>46309</v>
      </c>
      <c r="F1377" t="inlineStr">
        <is>
          <t>UPPSALA LÄN</t>
        </is>
      </c>
      <c r="G1377" t="inlineStr">
        <is>
          <t>TIERP</t>
        </is>
      </c>
      <c r="I1377" t="n">
        <v>0.9</v>
      </c>
      <c r="J1377" t="n">
        <v>0</v>
      </c>
      <c r="K1377" t="n">
        <v>0</v>
      </c>
      <c r="L1377" t="n">
        <v>0</v>
      </c>
      <c r="M1377" t="n">
        <v>0</v>
      </c>
      <c r="N1377" t="n">
        <v>0</v>
      </c>
      <c r="O1377" t="n">
        <v>0</v>
      </c>
      <c r="P1377" t="n">
        <v>0</v>
      </c>
      <c r="Q1377" t="n">
        <v>0</v>
      </c>
      <c r="R1377" t="n">
        <v>0</v>
      </c>
      <c r="S1377" t="n">
        <v>0</v>
      </c>
      <c r="T1377" t="n">
        <v>0</v>
      </c>
      <c r="U1377" t="n">
        <v>0</v>
      </c>
      <c r="V1377" s="2" t="inlineStr"/>
    </row>
    <row r="1378" ht="15" customHeight="1">
      <c r="A1378" t="inlineStr">
        <is>
          <t>A 30837-2025</t>
        </is>
      </c>
      <c r="B1378" t="inlineStr">
        <is>
          <t>avverkningsanmälan</t>
        </is>
      </c>
      <c r="C1378" t="inlineStr">
        <is>
          <t>Föryngringsavverkning</t>
        </is>
      </c>
      <c r="D1378" s="1" t="n">
        <v>45831</v>
      </c>
      <c r="E1378" s="1" t="n">
        <v>46309</v>
      </c>
      <c r="F1378" t="inlineStr">
        <is>
          <t>UPPSALA LÄN</t>
        </is>
      </c>
      <c r="G1378" t="inlineStr">
        <is>
          <t>ENKÖPING</t>
        </is>
      </c>
      <c r="I1378" t="n">
        <v>3.8</v>
      </c>
      <c r="J1378" t="n">
        <v>0</v>
      </c>
      <c r="K1378" t="n">
        <v>0</v>
      </c>
      <c r="L1378" t="n">
        <v>0</v>
      </c>
      <c r="M1378" t="n">
        <v>0</v>
      </c>
      <c r="N1378" t="n">
        <v>0</v>
      </c>
      <c r="O1378" t="n">
        <v>0</v>
      </c>
      <c r="P1378" t="n">
        <v>0</v>
      </c>
      <c r="Q1378" t="n">
        <v>0</v>
      </c>
      <c r="R1378" t="n">
        <v>0</v>
      </c>
      <c r="S1378" t="n">
        <v>0</v>
      </c>
      <c r="T1378" t="n">
        <v>0</v>
      </c>
      <c r="U1378" t="n">
        <v>0</v>
      </c>
      <c r="V1378" s="2" t="inlineStr"/>
    </row>
    <row r="1379" ht="15" customHeight="1">
      <c r="A1379" t="inlineStr">
        <is>
          <t>A 31058-2025</t>
        </is>
      </c>
      <c r="B1379" t="inlineStr">
        <is>
          <t>avverkningsanmälan</t>
        </is>
      </c>
      <c r="C1379" t="inlineStr">
        <is>
          <t>Föryngringsavverkning</t>
        </is>
      </c>
      <c r="D1379" s="1" t="n">
        <v>45832</v>
      </c>
      <c r="E1379" s="1" t="n">
        <v>46309</v>
      </c>
      <c r="F1379" t="inlineStr">
        <is>
          <t>UPPSALA LÄN</t>
        </is>
      </c>
      <c r="G1379" t="inlineStr">
        <is>
          <t>HEBY</t>
        </is>
      </c>
      <c r="I1379" t="n">
        <v>1.5</v>
      </c>
      <c r="J1379" t="n">
        <v>0</v>
      </c>
      <c r="K1379" t="n">
        <v>0</v>
      </c>
      <c r="L1379" t="n">
        <v>0</v>
      </c>
      <c r="M1379" t="n">
        <v>0</v>
      </c>
      <c r="N1379" t="n">
        <v>0</v>
      </c>
      <c r="O1379" t="n">
        <v>0</v>
      </c>
      <c r="P1379" t="n">
        <v>0</v>
      </c>
      <c r="Q1379" t="n">
        <v>0</v>
      </c>
      <c r="R1379" t="n">
        <v>0</v>
      </c>
      <c r="S1379" t="n">
        <v>0</v>
      </c>
      <c r="T1379" t="n">
        <v>0</v>
      </c>
      <c r="U1379" t="n">
        <v>0</v>
      </c>
      <c r="V1379" s="2" t="inlineStr"/>
    </row>
    <row r="1380" ht="15" customHeight="1">
      <c r="A1380" t="inlineStr">
        <is>
          <t>A 30503-2025</t>
        </is>
      </c>
      <c r="B1380" t="inlineStr">
        <is>
          <t>avverkningsanmälan</t>
        </is>
      </c>
      <c r="C1380" t="inlineStr">
        <is>
          <t>Föryngringsavverkning</t>
        </is>
      </c>
      <c r="D1380" s="1" t="n">
        <v>45830</v>
      </c>
      <c r="E1380" s="1" t="n">
        <v>46309</v>
      </c>
      <c r="F1380" t="inlineStr">
        <is>
          <t>UPPSALA LÄN</t>
        </is>
      </c>
      <c r="G1380" t="inlineStr">
        <is>
          <t>ÖSTHAMMAR</t>
        </is>
      </c>
      <c r="I1380" t="n">
        <v>0.8</v>
      </c>
      <c r="J1380" t="n">
        <v>0</v>
      </c>
      <c r="K1380" t="n">
        <v>0</v>
      </c>
      <c r="L1380" t="n">
        <v>0</v>
      </c>
      <c r="M1380" t="n">
        <v>0</v>
      </c>
      <c r="N1380" t="n">
        <v>0</v>
      </c>
      <c r="O1380" t="n">
        <v>0</v>
      </c>
      <c r="P1380" t="n">
        <v>0</v>
      </c>
      <c r="Q1380" t="n">
        <v>0</v>
      </c>
      <c r="R1380" t="n">
        <v>0</v>
      </c>
      <c r="S1380" t="n">
        <v>0</v>
      </c>
      <c r="T1380" t="n">
        <v>0</v>
      </c>
      <c r="U1380" t="n">
        <v>0</v>
      </c>
      <c r="V1380" s="2" t="inlineStr"/>
    </row>
    <row r="1381" ht="15" customHeight="1">
      <c r="A1381" t="inlineStr">
        <is>
          <t>A 45993-2025</t>
        </is>
      </c>
      <c r="B1381" t="inlineStr">
        <is>
          <t>avverkningsanmälan</t>
        </is>
      </c>
      <c r="C1381" t="inlineStr">
        <is>
          <t>Föryngringsavverkning</t>
        </is>
      </c>
      <c r="D1381" s="1" t="n">
        <v>45924</v>
      </c>
      <c r="E1381" s="1" t="n">
        <v>46309</v>
      </c>
      <c r="F1381" t="inlineStr">
        <is>
          <t>UPPSALA LÄN</t>
        </is>
      </c>
      <c r="G1381" t="inlineStr">
        <is>
          <t>ÖSTHAMMAR</t>
        </is>
      </c>
      <c r="I1381" t="n">
        <v>0.5</v>
      </c>
      <c r="J1381" t="n">
        <v>0</v>
      </c>
      <c r="K1381" t="n">
        <v>0</v>
      </c>
      <c r="L1381" t="n">
        <v>0</v>
      </c>
      <c r="M1381" t="n">
        <v>0</v>
      </c>
      <c r="N1381" t="n">
        <v>0</v>
      </c>
      <c r="O1381" t="n">
        <v>0</v>
      </c>
      <c r="P1381" t="n">
        <v>0</v>
      </c>
      <c r="Q1381" t="n">
        <v>0</v>
      </c>
      <c r="R1381" t="n">
        <v>0</v>
      </c>
      <c r="S1381" t="n">
        <v>0</v>
      </c>
      <c r="T1381" t="n">
        <v>0</v>
      </c>
      <c r="U1381" t="n">
        <v>0</v>
      </c>
      <c r="V1381" s="2" t="inlineStr"/>
    </row>
    <row r="1382" ht="15" customHeight="1">
      <c r="A1382" t="inlineStr">
        <is>
          <t>A 28152-2024</t>
        </is>
      </c>
      <c r="B1382" t="inlineStr">
        <is>
          <t>avverkningsanmälan</t>
        </is>
      </c>
      <c r="C1382" t="inlineStr">
        <is>
          <t>Föryngringsavverkning</t>
        </is>
      </c>
      <c r="D1382" s="1" t="n">
        <v>45476</v>
      </c>
      <c r="E1382" s="1" t="n">
        <v>46309</v>
      </c>
      <c r="F1382" t="inlineStr">
        <is>
          <t>UPPSALA LÄN</t>
        </is>
      </c>
      <c r="G1382" t="inlineStr">
        <is>
          <t>ÖSTHAMMAR</t>
        </is>
      </c>
      <c r="H1382" t="inlineStr">
        <is>
          <t>Bergvik skog öst AB</t>
        </is>
      </c>
      <c r="I1382" t="n">
        <v>0.5</v>
      </c>
      <c r="J1382" t="n">
        <v>0</v>
      </c>
      <c r="K1382" t="n">
        <v>0</v>
      </c>
      <c r="L1382" t="n">
        <v>0</v>
      </c>
      <c r="M1382" t="n">
        <v>0</v>
      </c>
      <c r="N1382" t="n">
        <v>0</v>
      </c>
      <c r="O1382" t="n">
        <v>0</v>
      </c>
      <c r="P1382" t="n">
        <v>0</v>
      </c>
      <c r="Q1382" t="n">
        <v>0</v>
      </c>
      <c r="R1382" t="n">
        <v>0</v>
      </c>
      <c r="S1382" t="n">
        <v>0</v>
      </c>
      <c r="T1382" t="n">
        <v>0</v>
      </c>
      <c r="U1382" t="n">
        <v>0</v>
      </c>
      <c r="V1382" s="2" t="inlineStr"/>
    </row>
    <row r="1383" ht="15" customHeight="1">
      <c r="A1383" t="inlineStr">
        <is>
          <t>A 30898-2025</t>
        </is>
      </c>
      <c r="B1383" t="inlineStr">
        <is>
          <t>avverkningsanmälan</t>
        </is>
      </c>
      <c r="C1383" t="inlineStr">
        <is>
          <t>Föryngringsavverkning</t>
        </is>
      </c>
      <c r="D1383" s="1" t="n">
        <v>45832</v>
      </c>
      <c r="E1383" s="1" t="n">
        <v>46309</v>
      </c>
      <c r="F1383" t="inlineStr">
        <is>
          <t>UPPSALA LÄN</t>
        </is>
      </c>
      <c r="G1383" t="inlineStr">
        <is>
          <t>UPPSALA</t>
        </is>
      </c>
      <c r="H1383" t="inlineStr">
        <is>
          <t>Kyrkan</t>
        </is>
      </c>
      <c r="I1383" t="n">
        <v>2.8</v>
      </c>
      <c r="J1383" t="n">
        <v>0</v>
      </c>
      <c r="K1383" t="n">
        <v>0</v>
      </c>
      <c r="L1383" t="n">
        <v>0</v>
      </c>
      <c r="M1383" t="n">
        <v>0</v>
      </c>
      <c r="N1383" t="n">
        <v>0</v>
      </c>
      <c r="O1383" t="n">
        <v>0</v>
      </c>
      <c r="P1383" t="n">
        <v>0</v>
      </c>
      <c r="Q1383" t="n">
        <v>0</v>
      </c>
      <c r="R1383" t="n">
        <v>0</v>
      </c>
      <c r="S1383" t="n">
        <v>0</v>
      </c>
      <c r="T1383" t="n">
        <v>0</v>
      </c>
      <c r="U1383" t="n">
        <v>0</v>
      </c>
      <c r="V1383" s="2" t="inlineStr"/>
    </row>
    <row r="1384" ht="15" customHeight="1">
      <c r="A1384" t="inlineStr">
        <is>
          <t>A 45904-2025</t>
        </is>
      </c>
      <c r="B1384" t="inlineStr">
        <is>
          <t>avverkningsanmälan</t>
        </is>
      </c>
      <c r="C1384" t="inlineStr">
        <is>
          <t>Föryngringsavverkning</t>
        </is>
      </c>
      <c r="D1384" s="1" t="n">
        <v>45923</v>
      </c>
      <c r="E1384" s="1" t="n">
        <v>46309</v>
      </c>
      <c r="F1384" t="inlineStr">
        <is>
          <t>UPPSALA LÄN</t>
        </is>
      </c>
      <c r="G1384" t="inlineStr">
        <is>
          <t>UPPSALA</t>
        </is>
      </c>
      <c r="H1384" t="inlineStr">
        <is>
          <t>Kyrkan</t>
        </is>
      </c>
      <c r="I1384" t="n">
        <v>1.4</v>
      </c>
      <c r="J1384" t="n">
        <v>0</v>
      </c>
      <c r="K1384" t="n">
        <v>0</v>
      </c>
      <c r="L1384" t="n">
        <v>0</v>
      </c>
      <c r="M1384" t="n">
        <v>0</v>
      </c>
      <c r="N1384" t="n">
        <v>0</v>
      </c>
      <c r="O1384" t="n">
        <v>0</v>
      </c>
      <c r="P1384" t="n">
        <v>0</v>
      </c>
      <c r="Q1384" t="n">
        <v>0</v>
      </c>
      <c r="R1384" t="n">
        <v>0</v>
      </c>
      <c r="S1384" t="n">
        <v>0</v>
      </c>
      <c r="T1384" t="n">
        <v>0</v>
      </c>
      <c r="U1384" t="n">
        <v>0</v>
      </c>
      <c r="V1384" s="2" t="inlineStr"/>
    </row>
    <row r="1385" ht="15" customHeight="1">
      <c r="A1385" t="inlineStr">
        <is>
          <t>A 70495-2021</t>
        </is>
      </c>
      <c r="B1385" t="inlineStr">
        <is>
          <t>avverkningsanmälan</t>
        </is>
      </c>
      <c r="C1385" t="inlineStr">
        <is>
          <t>Föryngringsavverkning</t>
        </is>
      </c>
      <c r="D1385" s="1" t="n">
        <v>44536</v>
      </c>
      <c r="E1385" s="1" t="n">
        <v>46309</v>
      </c>
      <c r="F1385" t="inlineStr">
        <is>
          <t>UPPSALA LÄN</t>
        </is>
      </c>
      <c r="G1385" t="inlineStr">
        <is>
          <t>ÖSTHAMMAR</t>
        </is>
      </c>
      <c r="I1385" t="n">
        <v>1</v>
      </c>
      <c r="J1385" t="n">
        <v>0</v>
      </c>
      <c r="K1385" t="n">
        <v>0</v>
      </c>
      <c r="L1385" t="n">
        <v>0</v>
      </c>
      <c r="M1385" t="n">
        <v>0</v>
      </c>
      <c r="N1385" t="n">
        <v>0</v>
      </c>
      <c r="O1385" t="n">
        <v>0</v>
      </c>
      <c r="P1385" t="n">
        <v>0</v>
      </c>
      <c r="Q1385" t="n">
        <v>0</v>
      </c>
      <c r="R1385" t="n">
        <v>0</v>
      </c>
      <c r="S1385" t="n">
        <v>0</v>
      </c>
      <c r="T1385" t="n">
        <v>0</v>
      </c>
      <c r="U1385" t="n">
        <v>0</v>
      </c>
      <c r="V1385" s="2" t="inlineStr"/>
    </row>
    <row r="1386" ht="15" customHeight="1">
      <c r="A1386" t="inlineStr">
        <is>
          <t>A 30567-2025</t>
        </is>
      </c>
      <c r="B1386" t="inlineStr">
        <is>
          <t>avverkningsanmälan</t>
        </is>
      </c>
      <c r="C1386" t="inlineStr">
        <is>
          <t>Föryngringsavverkning</t>
        </is>
      </c>
      <c r="D1386" s="1" t="n">
        <v>45831</v>
      </c>
      <c r="E1386" s="1" t="n">
        <v>46309</v>
      </c>
      <c r="F1386" t="inlineStr">
        <is>
          <t>UPPSALA LÄN</t>
        </is>
      </c>
      <c r="G1386" t="inlineStr">
        <is>
          <t>UPPSALA</t>
        </is>
      </c>
      <c r="I1386" t="n">
        <v>1.1</v>
      </c>
      <c r="J1386" t="n">
        <v>0</v>
      </c>
      <c r="K1386" t="n">
        <v>0</v>
      </c>
      <c r="L1386" t="n">
        <v>0</v>
      </c>
      <c r="M1386" t="n">
        <v>0</v>
      </c>
      <c r="N1386" t="n">
        <v>0</v>
      </c>
      <c r="O1386" t="n">
        <v>0</v>
      </c>
      <c r="P1386" t="n">
        <v>0</v>
      </c>
      <c r="Q1386" t="n">
        <v>0</v>
      </c>
      <c r="R1386" t="n">
        <v>0</v>
      </c>
      <c r="S1386" t="n">
        <v>0</v>
      </c>
      <c r="T1386" t="n">
        <v>0</v>
      </c>
      <c r="U1386" t="n">
        <v>0</v>
      </c>
      <c r="V1386" s="2" t="inlineStr"/>
    </row>
    <row r="1387" ht="15" customHeight="1">
      <c r="A1387" t="inlineStr">
        <is>
          <t>A 15193-2024</t>
        </is>
      </c>
      <c r="B1387" t="inlineStr">
        <is>
          <t>avverkningsanmälan</t>
        </is>
      </c>
      <c r="C1387" t="inlineStr">
        <is>
          <t>Föryngringsavverkning</t>
        </is>
      </c>
      <c r="D1387" s="1" t="n">
        <v>45400</v>
      </c>
      <c r="E1387" s="1" t="n">
        <v>46309</v>
      </c>
      <c r="F1387" t="inlineStr">
        <is>
          <t>UPPSALA LÄN</t>
        </is>
      </c>
      <c r="G1387" t="inlineStr">
        <is>
          <t>TIERP</t>
        </is>
      </c>
      <c r="I1387" t="n">
        <v>1.6</v>
      </c>
      <c r="J1387" t="n">
        <v>0</v>
      </c>
      <c r="K1387" t="n">
        <v>0</v>
      </c>
      <c r="L1387" t="n">
        <v>0</v>
      </c>
      <c r="M1387" t="n">
        <v>0</v>
      </c>
      <c r="N1387" t="n">
        <v>0</v>
      </c>
      <c r="O1387" t="n">
        <v>0</v>
      </c>
      <c r="P1387" t="n">
        <v>0</v>
      </c>
      <c r="Q1387" t="n">
        <v>0</v>
      </c>
      <c r="R1387" t="n">
        <v>0</v>
      </c>
      <c r="S1387" t="n">
        <v>0</v>
      </c>
      <c r="T1387" t="n">
        <v>0</v>
      </c>
      <c r="U1387" t="n">
        <v>0</v>
      </c>
      <c r="V1387" s="2" t="inlineStr"/>
    </row>
    <row r="1388" ht="15" customHeight="1">
      <c r="A1388" t="inlineStr">
        <is>
          <t>A 45903-2025</t>
        </is>
      </c>
      <c r="B1388" t="inlineStr">
        <is>
          <t>avverkningsanmälan</t>
        </is>
      </c>
      <c r="C1388" t="inlineStr">
        <is>
          <t>Föryngringsavverkning</t>
        </is>
      </c>
      <c r="D1388" s="1" t="n">
        <v>45923</v>
      </c>
      <c r="E1388" s="1" t="n">
        <v>46309</v>
      </c>
      <c r="F1388" t="inlineStr">
        <is>
          <t>UPPSALA LÄN</t>
        </is>
      </c>
      <c r="G1388" t="inlineStr">
        <is>
          <t>UPPSALA</t>
        </is>
      </c>
      <c r="H1388" t="inlineStr">
        <is>
          <t>Kyrkan</t>
        </is>
      </c>
      <c r="I1388" t="n">
        <v>1.4</v>
      </c>
      <c r="J1388" t="n">
        <v>0</v>
      </c>
      <c r="K1388" t="n">
        <v>0</v>
      </c>
      <c r="L1388" t="n">
        <v>0</v>
      </c>
      <c r="M1388" t="n">
        <v>0</v>
      </c>
      <c r="N1388" t="n">
        <v>0</v>
      </c>
      <c r="O1388" t="n">
        <v>0</v>
      </c>
      <c r="P1388" t="n">
        <v>0</v>
      </c>
      <c r="Q1388" t="n">
        <v>0</v>
      </c>
      <c r="R1388" t="n">
        <v>0</v>
      </c>
      <c r="S1388" t="n">
        <v>0</v>
      </c>
      <c r="T1388" t="n">
        <v>0</v>
      </c>
      <c r="U1388" t="n">
        <v>0</v>
      </c>
      <c r="V1388" s="2" t="inlineStr"/>
    </row>
    <row r="1389" ht="15" customHeight="1">
      <c r="A1389" t="inlineStr">
        <is>
          <t>A 30897-2025</t>
        </is>
      </c>
      <c r="B1389" t="inlineStr">
        <is>
          <t>avverkningsanmälan</t>
        </is>
      </c>
      <c r="C1389" t="inlineStr">
        <is>
          <t>Föryngringsavverkning</t>
        </is>
      </c>
      <c r="D1389" s="1" t="n">
        <v>45832</v>
      </c>
      <c r="E1389" s="1" t="n">
        <v>46309</v>
      </c>
      <c r="F1389" t="inlineStr">
        <is>
          <t>UPPSALA LÄN</t>
        </is>
      </c>
      <c r="G1389" t="inlineStr">
        <is>
          <t>UPPSALA</t>
        </is>
      </c>
      <c r="H1389" t="inlineStr">
        <is>
          <t>Kyrkan</t>
        </is>
      </c>
      <c r="I1389" t="n">
        <v>2.8</v>
      </c>
      <c r="J1389" t="n">
        <v>0</v>
      </c>
      <c r="K1389" t="n">
        <v>0</v>
      </c>
      <c r="L1389" t="n">
        <v>0</v>
      </c>
      <c r="M1389" t="n">
        <v>0</v>
      </c>
      <c r="N1389" t="n">
        <v>0</v>
      </c>
      <c r="O1389" t="n">
        <v>0</v>
      </c>
      <c r="P1389" t="n">
        <v>0</v>
      </c>
      <c r="Q1389" t="n">
        <v>0</v>
      </c>
      <c r="R1389" t="n">
        <v>0</v>
      </c>
      <c r="S1389" t="n">
        <v>0</v>
      </c>
      <c r="T1389" t="n">
        <v>0</v>
      </c>
      <c r="U1389" t="n">
        <v>0</v>
      </c>
      <c r="V1389" s="2" t="inlineStr"/>
    </row>
    <row r="1390" ht="15" customHeight="1">
      <c r="A1390" t="inlineStr">
        <is>
          <t>A 57453-2022</t>
        </is>
      </c>
      <c r="B1390" t="inlineStr">
        <is>
          <t>avverkningsanmälan</t>
        </is>
      </c>
      <c r="C1390" t="inlineStr">
        <is>
          <t>Föryngringsavverkning</t>
        </is>
      </c>
      <c r="D1390" s="1" t="n">
        <v>44896</v>
      </c>
      <c r="E1390" s="1" t="n">
        <v>46309</v>
      </c>
      <c r="F1390" t="inlineStr">
        <is>
          <t>UPPSALA LÄN</t>
        </is>
      </c>
      <c r="G1390" t="inlineStr">
        <is>
          <t>ÖSTHAMMAR</t>
        </is>
      </c>
      <c r="I1390" t="n">
        <v>1.7</v>
      </c>
      <c r="J1390" t="n">
        <v>0</v>
      </c>
      <c r="K1390" t="n">
        <v>0</v>
      </c>
      <c r="L1390" t="n">
        <v>0</v>
      </c>
      <c r="M1390" t="n">
        <v>0</v>
      </c>
      <c r="N1390" t="n">
        <v>0</v>
      </c>
      <c r="O1390" t="n">
        <v>0</v>
      </c>
      <c r="P1390" t="n">
        <v>0</v>
      </c>
      <c r="Q1390" t="n">
        <v>0</v>
      </c>
      <c r="R1390" t="n">
        <v>0</v>
      </c>
      <c r="S1390" t="n">
        <v>0</v>
      </c>
      <c r="T1390" t="n">
        <v>0</v>
      </c>
      <c r="U1390" t="n">
        <v>0</v>
      </c>
      <c r="V1390" s="2" t="inlineStr"/>
    </row>
    <row r="1391" ht="15" customHeight="1">
      <c r="A1391" t="inlineStr">
        <is>
          <t>A 57462-2022</t>
        </is>
      </c>
      <c r="B1391" t="inlineStr">
        <is>
          <t>avverkningsanmälan</t>
        </is>
      </c>
      <c r="C1391" t="inlineStr">
        <is>
          <t>Föryngringsavverkning</t>
        </is>
      </c>
      <c r="D1391" s="1" t="n">
        <v>44896</v>
      </c>
      <c r="E1391" s="1" t="n">
        <v>46309</v>
      </c>
      <c r="F1391" t="inlineStr">
        <is>
          <t>UPPSALA LÄN</t>
        </is>
      </c>
      <c r="G1391" t="inlineStr">
        <is>
          <t>ÖSTHAMMAR</t>
        </is>
      </c>
      <c r="I1391" t="n">
        <v>1.9</v>
      </c>
      <c r="J1391" t="n">
        <v>0</v>
      </c>
      <c r="K1391" t="n">
        <v>0</v>
      </c>
      <c r="L1391" t="n">
        <v>0</v>
      </c>
      <c r="M1391" t="n">
        <v>0</v>
      </c>
      <c r="N1391" t="n">
        <v>0</v>
      </c>
      <c r="O1391" t="n">
        <v>0</v>
      </c>
      <c r="P1391" t="n">
        <v>0</v>
      </c>
      <c r="Q1391" t="n">
        <v>0</v>
      </c>
      <c r="R1391" t="n">
        <v>0</v>
      </c>
      <c r="S1391" t="n">
        <v>0</v>
      </c>
      <c r="T1391" t="n">
        <v>0</v>
      </c>
      <c r="U1391" t="n">
        <v>0</v>
      </c>
      <c r="V1391" s="2" t="inlineStr"/>
    </row>
    <row r="1392" ht="15" customHeight="1">
      <c r="A1392" t="inlineStr">
        <is>
          <t>A 45755-2025</t>
        </is>
      </c>
      <c r="B1392" t="inlineStr">
        <is>
          <t>avverkningsanmälan</t>
        </is>
      </c>
      <c r="C1392" t="inlineStr">
        <is>
          <t>Föryngringsavverkning</t>
        </is>
      </c>
      <c r="D1392" s="1" t="n">
        <v>45923</v>
      </c>
      <c r="E1392" s="1" t="n">
        <v>46309</v>
      </c>
      <c r="F1392" t="inlineStr">
        <is>
          <t>UPPSALA LÄN</t>
        </is>
      </c>
      <c r="G1392" t="inlineStr">
        <is>
          <t>ENKÖPING</t>
        </is>
      </c>
      <c r="I1392" t="n">
        <v>2.2</v>
      </c>
      <c r="J1392" t="n">
        <v>0</v>
      </c>
      <c r="K1392" t="n">
        <v>0</v>
      </c>
      <c r="L1392" t="n">
        <v>0</v>
      </c>
      <c r="M1392" t="n">
        <v>0</v>
      </c>
      <c r="N1392" t="n">
        <v>0</v>
      </c>
      <c r="O1392" t="n">
        <v>0</v>
      </c>
      <c r="P1392" t="n">
        <v>0</v>
      </c>
      <c r="Q1392" t="n">
        <v>0</v>
      </c>
      <c r="R1392" t="n">
        <v>0</v>
      </c>
      <c r="S1392" t="n">
        <v>0</v>
      </c>
      <c r="T1392" t="n">
        <v>0</v>
      </c>
      <c r="U1392" t="n">
        <v>0</v>
      </c>
      <c r="V1392" s="2" t="inlineStr"/>
    </row>
    <row r="1393" ht="15" customHeight="1">
      <c r="A1393" t="inlineStr">
        <is>
          <t>A 30838-2025</t>
        </is>
      </c>
      <c r="B1393" t="inlineStr">
        <is>
          <t>avverkningsanmälan</t>
        </is>
      </c>
      <c r="C1393" t="inlineStr">
        <is>
          <t>Föryngringsavverkning</t>
        </is>
      </c>
      <c r="D1393" s="1" t="n">
        <v>45831</v>
      </c>
      <c r="E1393" s="1" t="n">
        <v>46309</v>
      </c>
      <c r="F1393" t="inlineStr">
        <is>
          <t>UPPSALA LÄN</t>
        </is>
      </c>
      <c r="G1393" t="inlineStr">
        <is>
          <t>UPPSALA</t>
        </is>
      </c>
      <c r="H1393" t="inlineStr">
        <is>
          <t>Kyrkan</t>
        </is>
      </c>
      <c r="I1393" t="n">
        <v>2.2</v>
      </c>
      <c r="J1393" t="n">
        <v>0</v>
      </c>
      <c r="K1393" t="n">
        <v>0</v>
      </c>
      <c r="L1393" t="n">
        <v>0</v>
      </c>
      <c r="M1393" t="n">
        <v>0</v>
      </c>
      <c r="N1393" t="n">
        <v>0</v>
      </c>
      <c r="O1393" t="n">
        <v>0</v>
      </c>
      <c r="P1393" t="n">
        <v>0</v>
      </c>
      <c r="Q1393" t="n">
        <v>0</v>
      </c>
      <c r="R1393" t="n">
        <v>0</v>
      </c>
      <c r="S1393" t="n">
        <v>0</v>
      </c>
      <c r="T1393" t="n">
        <v>0</v>
      </c>
      <c r="U1393" t="n">
        <v>0</v>
      </c>
      <c r="V1393" s="2" t="inlineStr"/>
    </row>
    <row r="1394" ht="15" customHeight="1">
      <c r="A1394" t="inlineStr">
        <is>
          <t>A 46773-2025</t>
        </is>
      </c>
      <c r="B1394" t="inlineStr">
        <is>
          <t>avverkningsanmälan</t>
        </is>
      </c>
      <c r="C1394" t="inlineStr">
        <is>
          <t>Föryngringsavverkning</t>
        </is>
      </c>
      <c r="D1394" s="1" t="n">
        <v>45926</v>
      </c>
      <c r="E1394" s="1" t="n">
        <v>46309</v>
      </c>
      <c r="F1394" t="inlineStr">
        <is>
          <t>UPPSALA LÄN</t>
        </is>
      </c>
      <c r="G1394" t="inlineStr">
        <is>
          <t>UPPSALA</t>
        </is>
      </c>
      <c r="H1394" t="inlineStr">
        <is>
          <t>Kyrkan</t>
        </is>
      </c>
      <c r="I1394" t="n">
        <v>0.9</v>
      </c>
      <c r="J1394" t="n">
        <v>0</v>
      </c>
      <c r="K1394" t="n">
        <v>0</v>
      </c>
      <c r="L1394" t="n">
        <v>0</v>
      </c>
      <c r="M1394" t="n">
        <v>0</v>
      </c>
      <c r="N1394" t="n">
        <v>0</v>
      </c>
      <c r="O1394" t="n">
        <v>0</v>
      </c>
      <c r="P1394" t="n">
        <v>0</v>
      </c>
      <c r="Q1394" t="n">
        <v>0</v>
      </c>
      <c r="R1394" t="n">
        <v>0</v>
      </c>
      <c r="S1394" t="n">
        <v>0</v>
      </c>
      <c r="T1394" t="n">
        <v>0</v>
      </c>
      <c r="U1394" t="n">
        <v>0</v>
      </c>
      <c r="V1394" s="2" t="inlineStr"/>
    </row>
    <row r="1395" ht="15" customHeight="1">
      <c r="A1395" t="inlineStr">
        <is>
          <t>A 30610-2025</t>
        </is>
      </c>
      <c r="B1395" t="inlineStr">
        <is>
          <t>avverkningsanmälan</t>
        </is>
      </c>
      <c r="C1395" t="inlineStr">
        <is>
          <t>Föryngringsavverkning</t>
        </is>
      </c>
      <c r="D1395" s="1" t="n">
        <v>45831</v>
      </c>
      <c r="E1395" s="1" t="n">
        <v>46309</v>
      </c>
      <c r="F1395" t="inlineStr">
        <is>
          <t>UPPSALA LÄN</t>
        </is>
      </c>
      <c r="G1395" t="inlineStr">
        <is>
          <t>ÖSTHAMMAR</t>
        </is>
      </c>
      <c r="I1395" t="n">
        <v>0.2</v>
      </c>
      <c r="J1395" t="n">
        <v>0</v>
      </c>
      <c r="K1395" t="n">
        <v>0</v>
      </c>
      <c r="L1395" t="n">
        <v>0</v>
      </c>
      <c r="M1395" t="n">
        <v>0</v>
      </c>
      <c r="N1395" t="n">
        <v>0</v>
      </c>
      <c r="O1395" t="n">
        <v>0</v>
      </c>
      <c r="P1395" t="n">
        <v>0</v>
      </c>
      <c r="Q1395" t="n">
        <v>0</v>
      </c>
      <c r="R1395" t="n">
        <v>0</v>
      </c>
      <c r="S1395" t="n">
        <v>0</v>
      </c>
      <c r="T1395" t="n">
        <v>0</v>
      </c>
      <c r="U1395" t="n">
        <v>0</v>
      </c>
      <c r="V1395" s="2" t="inlineStr"/>
    </row>
    <row r="1396" ht="15" customHeight="1">
      <c r="A1396" t="inlineStr">
        <is>
          <t>A 42859-2024</t>
        </is>
      </c>
      <c r="B1396" t="inlineStr">
        <is>
          <t>avverkningsanmälan</t>
        </is>
      </c>
      <c r="C1396" t="inlineStr">
        <is>
          <t>Föryngringsavverkning</t>
        </is>
      </c>
      <c r="D1396" s="1" t="n">
        <v>45566</v>
      </c>
      <c r="E1396" s="1" t="n">
        <v>46309</v>
      </c>
      <c r="F1396" t="inlineStr">
        <is>
          <t>UPPSALA LÄN</t>
        </is>
      </c>
      <c r="G1396" t="inlineStr">
        <is>
          <t>HEBY</t>
        </is>
      </c>
      <c r="I1396" t="n">
        <v>3.6</v>
      </c>
      <c r="J1396" t="n">
        <v>0</v>
      </c>
      <c r="K1396" t="n">
        <v>0</v>
      </c>
      <c r="L1396" t="n">
        <v>0</v>
      </c>
      <c r="M1396" t="n">
        <v>0</v>
      </c>
      <c r="N1396" t="n">
        <v>0</v>
      </c>
      <c r="O1396" t="n">
        <v>0</v>
      </c>
      <c r="P1396" t="n">
        <v>0</v>
      </c>
      <c r="Q1396" t="n">
        <v>0</v>
      </c>
      <c r="R1396" t="n">
        <v>0</v>
      </c>
      <c r="S1396" t="n">
        <v>0</v>
      </c>
      <c r="T1396" t="n">
        <v>0</v>
      </c>
      <c r="U1396" t="n">
        <v>0</v>
      </c>
      <c r="V1396" s="2" t="inlineStr"/>
    </row>
    <row r="1397" ht="15" customHeight="1">
      <c r="A1397" t="inlineStr">
        <is>
          <t>A 31579-2025</t>
        </is>
      </c>
      <c r="B1397" t="inlineStr">
        <is>
          <t>avverkningsanmälan</t>
        </is>
      </c>
      <c r="C1397" t="inlineStr">
        <is>
          <t>Föryngringsavverkning</t>
        </is>
      </c>
      <c r="D1397" s="1" t="n">
        <v>45833</v>
      </c>
      <c r="E1397" s="1" t="n">
        <v>46309</v>
      </c>
      <c r="F1397" t="inlineStr">
        <is>
          <t>UPPSALA LÄN</t>
        </is>
      </c>
      <c r="G1397" t="inlineStr">
        <is>
          <t>ÖSTHAMMAR</t>
        </is>
      </c>
      <c r="I1397" t="n">
        <v>1.5</v>
      </c>
      <c r="J1397" t="n">
        <v>0</v>
      </c>
      <c r="K1397" t="n">
        <v>0</v>
      </c>
      <c r="L1397" t="n">
        <v>0</v>
      </c>
      <c r="M1397" t="n">
        <v>0</v>
      </c>
      <c r="N1397" t="n">
        <v>0</v>
      </c>
      <c r="O1397" t="n">
        <v>0</v>
      </c>
      <c r="P1397" t="n">
        <v>0</v>
      </c>
      <c r="Q1397" t="n">
        <v>0</v>
      </c>
      <c r="R1397" t="n">
        <v>0</v>
      </c>
      <c r="S1397" t="n">
        <v>0</v>
      </c>
      <c r="T1397" t="n">
        <v>0</v>
      </c>
      <c r="U1397" t="n">
        <v>0</v>
      </c>
      <c r="V1397" s="2" t="inlineStr"/>
    </row>
    <row r="1398" ht="15" customHeight="1">
      <c r="A1398" t="inlineStr">
        <is>
          <t>A 46590-2025</t>
        </is>
      </c>
      <c r="B1398" t="inlineStr">
        <is>
          <t>avverkningsanmälan</t>
        </is>
      </c>
      <c r="C1398" t="inlineStr">
        <is>
          <t>Föryngringsavverkning</t>
        </is>
      </c>
      <c r="D1398" s="1" t="n">
        <v>45926</v>
      </c>
      <c r="E1398" s="1" t="n">
        <v>46309</v>
      </c>
      <c r="F1398" t="inlineStr">
        <is>
          <t>UPPSALA LÄN</t>
        </is>
      </c>
      <c r="G1398" t="inlineStr">
        <is>
          <t>ENKÖPING</t>
        </is>
      </c>
      <c r="I1398" t="n">
        <v>2.7</v>
      </c>
      <c r="J1398" t="n">
        <v>0</v>
      </c>
      <c r="K1398" t="n">
        <v>0</v>
      </c>
      <c r="L1398" t="n">
        <v>0</v>
      </c>
      <c r="M1398" t="n">
        <v>0</v>
      </c>
      <c r="N1398" t="n">
        <v>0</v>
      </c>
      <c r="O1398" t="n">
        <v>0</v>
      </c>
      <c r="P1398" t="n">
        <v>0</v>
      </c>
      <c r="Q1398" t="n">
        <v>0</v>
      </c>
      <c r="R1398" t="n">
        <v>0</v>
      </c>
      <c r="S1398" t="n">
        <v>0</v>
      </c>
      <c r="T1398" t="n">
        <v>0</v>
      </c>
      <c r="U1398" t="n">
        <v>0</v>
      </c>
      <c r="V1398" s="2" t="inlineStr"/>
    </row>
    <row r="1399" ht="15" customHeight="1">
      <c r="A1399" t="inlineStr">
        <is>
          <t>A 19132-2025</t>
        </is>
      </c>
      <c r="B1399" t="inlineStr">
        <is>
          <t>avverkningsanmälan</t>
        </is>
      </c>
      <c r="C1399" t="inlineStr">
        <is>
          <t>Föryngringsavverkning</t>
        </is>
      </c>
      <c r="D1399" s="1" t="n">
        <v>45764</v>
      </c>
      <c r="E1399" s="1" t="n">
        <v>46309</v>
      </c>
      <c r="F1399" t="inlineStr">
        <is>
          <t>UPPSALA LÄN</t>
        </is>
      </c>
      <c r="G1399" t="inlineStr">
        <is>
          <t>HEBY</t>
        </is>
      </c>
      <c r="H1399" t="inlineStr">
        <is>
          <t>Bergvik skog väst AB</t>
        </is>
      </c>
      <c r="I1399" t="n">
        <v>2.5</v>
      </c>
      <c r="J1399" t="n">
        <v>0</v>
      </c>
      <c r="K1399" t="n">
        <v>0</v>
      </c>
      <c r="L1399" t="n">
        <v>0</v>
      </c>
      <c r="M1399" t="n">
        <v>0</v>
      </c>
      <c r="N1399" t="n">
        <v>0</v>
      </c>
      <c r="O1399" t="n">
        <v>0</v>
      </c>
      <c r="P1399" t="n">
        <v>0</v>
      </c>
      <c r="Q1399" t="n">
        <v>0</v>
      </c>
      <c r="R1399" t="n">
        <v>0</v>
      </c>
      <c r="S1399" t="n">
        <v>0</v>
      </c>
      <c r="T1399" t="n">
        <v>0</v>
      </c>
      <c r="U1399" t="n">
        <v>0</v>
      </c>
      <c r="V1399" s="2" t="inlineStr"/>
    </row>
    <row r="1400" ht="15" customHeight="1">
      <c r="A1400" t="inlineStr">
        <is>
          <t>A 46644-2025</t>
        </is>
      </c>
      <c r="B1400" t="inlineStr">
        <is>
          <t>avverkningsanmälan</t>
        </is>
      </c>
      <c r="C1400" t="inlineStr">
        <is>
          <t>Föryngringsavverkning</t>
        </is>
      </c>
      <c r="D1400" s="1" t="n">
        <v>45926</v>
      </c>
      <c r="E1400" s="1" t="n">
        <v>46309</v>
      </c>
      <c r="F1400" t="inlineStr">
        <is>
          <t>UPPSALA LÄN</t>
        </is>
      </c>
      <c r="G1400" t="inlineStr">
        <is>
          <t>TIERP</t>
        </is>
      </c>
      <c r="I1400" t="n">
        <v>2.1</v>
      </c>
      <c r="J1400" t="n">
        <v>0</v>
      </c>
      <c r="K1400" t="n">
        <v>0</v>
      </c>
      <c r="L1400" t="n">
        <v>0</v>
      </c>
      <c r="M1400" t="n">
        <v>0</v>
      </c>
      <c r="N1400" t="n">
        <v>0</v>
      </c>
      <c r="O1400" t="n">
        <v>0</v>
      </c>
      <c r="P1400" t="n">
        <v>0</v>
      </c>
      <c r="Q1400" t="n">
        <v>0</v>
      </c>
      <c r="R1400" t="n">
        <v>0</v>
      </c>
      <c r="S1400" t="n">
        <v>0</v>
      </c>
      <c r="T1400" t="n">
        <v>0</v>
      </c>
      <c r="U1400" t="n">
        <v>0</v>
      </c>
      <c r="V1400" s="2" t="inlineStr"/>
    </row>
    <row r="1401" ht="15" customHeight="1">
      <c r="A1401" t="inlineStr">
        <is>
          <t>A 46510-2025</t>
        </is>
      </c>
      <c r="B1401" t="inlineStr">
        <is>
          <t>avverkningsanmälan</t>
        </is>
      </c>
      <c r="C1401" t="inlineStr">
        <is>
          <t>Föryngringsavverkning</t>
        </is>
      </c>
      <c r="D1401" s="1" t="n">
        <v>45925</v>
      </c>
      <c r="E1401" s="1" t="n">
        <v>46309</v>
      </c>
      <c r="F1401" t="inlineStr">
        <is>
          <t>UPPSALA LÄN</t>
        </is>
      </c>
      <c r="G1401" t="inlineStr">
        <is>
          <t>ÄLVKARLEBY</t>
        </is>
      </c>
      <c r="I1401" t="n">
        <v>2.3</v>
      </c>
      <c r="J1401" t="n">
        <v>0</v>
      </c>
      <c r="K1401" t="n">
        <v>0</v>
      </c>
      <c r="L1401" t="n">
        <v>0</v>
      </c>
      <c r="M1401" t="n">
        <v>0</v>
      </c>
      <c r="N1401" t="n">
        <v>0</v>
      </c>
      <c r="O1401" t="n">
        <v>0</v>
      </c>
      <c r="P1401" t="n">
        <v>0</v>
      </c>
      <c r="Q1401" t="n">
        <v>0</v>
      </c>
      <c r="R1401" t="n">
        <v>0</v>
      </c>
      <c r="S1401" t="n">
        <v>0</v>
      </c>
      <c r="T1401" t="n">
        <v>0</v>
      </c>
      <c r="U1401" t="n">
        <v>0</v>
      </c>
      <c r="V1401" s="2" t="inlineStr"/>
    </row>
    <row r="1402" ht="15" customHeight="1">
      <c r="A1402" t="inlineStr">
        <is>
          <t>A 46571-2025</t>
        </is>
      </c>
      <c r="B1402" t="inlineStr">
        <is>
          <t>avverkningsanmälan</t>
        </is>
      </c>
      <c r="C1402" t="inlineStr">
        <is>
          <t>Föryngringsavverkning</t>
        </is>
      </c>
      <c r="D1402" s="1" t="n">
        <v>45926</v>
      </c>
      <c r="E1402" s="1" t="n">
        <v>46309</v>
      </c>
      <c r="F1402" t="inlineStr">
        <is>
          <t>UPPSALA LÄN</t>
        </is>
      </c>
      <c r="G1402" t="inlineStr">
        <is>
          <t>UPPSALA</t>
        </is>
      </c>
      <c r="H1402" t="inlineStr">
        <is>
          <t>Bergvik skog öst AB</t>
        </is>
      </c>
      <c r="I1402" t="n">
        <v>11.1</v>
      </c>
      <c r="J1402" t="n">
        <v>0</v>
      </c>
      <c r="K1402" t="n">
        <v>0</v>
      </c>
      <c r="L1402" t="n">
        <v>0</v>
      </c>
      <c r="M1402" t="n">
        <v>0</v>
      </c>
      <c r="N1402" t="n">
        <v>0</v>
      </c>
      <c r="O1402" t="n">
        <v>0</v>
      </c>
      <c r="P1402" t="n">
        <v>0</v>
      </c>
      <c r="Q1402" t="n">
        <v>0</v>
      </c>
      <c r="R1402" t="n">
        <v>0</v>
      </c>
      <c r="S1402" t="n">
        <v>0</v>
      </c>
      <c r="T1402" t="n">
        <v>0</v>
      </c>
      <c r="U1402" t="n">
        <v>0</v>
      </c>
      <c r="V1402" s="2" t="inlineStr"/>
    </row>
    <row r="1403" ht="15" customHeight="1">
      <c r="A1403" t="inlineStr">
        <is>
          <t>A 39818-2024</t>
        </is>
      </c>
      <c r="B1403" t="inlineStr">
        <is>
          <t>avverkningsanmälan</t>
        </is>
      </c>
      <c r="C1403" t="inlineStr">
        <is>
          <t>Föryngringsavverkning</t>
        </is>
      </c>
      <c r="D1403" s="1" t="n">
        <v>45552</v>
      </c>
      <c r="E1403" s="1" t="n">
        <v>46309</v>
      </c>
      <c r="F1403" t="inlineStr">
        <is>
          <t>UPPSALA LÄN</t>
        </is>
      </c>
      <c r="G1403" t="inlineStr">
        <is>
          <t>UPPSALA</t>
        </is>
      </c>
      <c r="I1403" t="n">
        <v>1.9</v>
      </c>
      <c r="J1403" t="n">
        <v>0</v>
      </c>
      <c r="K1403" t="n">
        <v>0</v>
      </c>
      <c r="L1403" t="n">
        <v>0</v>
      </c>
      <c r="M1403" t="n">
        <v>0</v>
      </c>
      <c r="N1403" t="n">
        <v>0</v>
      </c>
      <c r="O1403" t="n">
        <v>0</v>
      </c>
      <c r="P1403" t="n">
        <v>0</v>
      </c>
      <c r="Q1403" t="n">
        <v>0</v>
      </c>
      <c r="R1403" t="n">
        <v>0</v>
      </c>
      <c r="S1403" t="n">
        <v>0</v>
      </c>
      <c r="T1403" t="n">
        <v>0</v>
      </c>
      <c r="U1403" t="n">
        <v>0</v>
      </c>
      <c r="V1403" s="2" t="inlineStr"/>
    </row>
    <row r="1404" ht="15" customHeight="1">
      <c r="A1404" t="inlineStr">
        <is>
          <t>A 46564-2025</t>
        </is>
      </c>
      <c r="B1404" t="inlineStr">
        <is>
          <t>avverkningsanmälan</t>
        </is>
      </c>
      <c r="C1404" t="inlineStr">
        <is>
          <t>Föryngringsavverkning</t>
        </is>
      </c>
      <c r="D1404" s="1" t="n">
        <v>45926</v>
      </c>
      <c r="E1404" s="1" t="n">
        <v>46309</v>
      </c>
      <c r="F1404" t="inlineStr">
        <is>
          <t>UPPSALA LÄN</t>
        </is>
      </c>
      <c r="G1404" t="inlineStr">
        <is>
          <t>UPPSALA</t>
        </is>
      </c>
      <c r="H1404" t="inlineStr">
        <is>
          <t>Bergvik skog öst AB</t>
        </is>
      </c>
      <c r="I1404" t="n">
        <v>1.8</v>
      </c>
      <c r="J1404" t="n">
        <v>0</v>
      </c>
      <c r="K1404" t="n">
        <v>0</v>
      </c>
      <c r="L1404" t="n">
        <v>0</v>
      </c>
      <c r="M1404" t="n">
        <v>0</v>
      </c>
      <c r="N1404" t="n">
        <v>0</v>
      </c>
      <c r="O1404" t="n">
        <v>0</v>
      </c>
      <c r="P1404" t="n">
        <v>0</v>
      </c>
      <c r="Q1404" t="n">
        <v>0</v>
      </c>
      <c r="R1404" t="n">
        <v>0</v>
      </c>
      <c r="S1404" t="n">
        <v>0</v>
      </c>
      <c r="T1404" t="n">
        <v>0</v>
      </c>
      <c r="U1404" t="n">
        <v>0</v>
      </c>
      <c r="V1404" s="2" t="inlineStr"/>
    </row>
    <row r="1405" ht="15" customHeight="1">
      <c r="A1405" t="inlineStr">
        <is>
          <t>A 46565-2025</t>
        </is>
      </c>
      <c r="B1405" t="inlineStr">
        <is>
          <t>avverkningsanmälan</t>
        </is>
      </c>
      <c r="C1405" t="inlineStr">
        <is>
          <t>Föryngringsavverkning</t>
        </is>
      </c>
      <c r="D1405" s="1" t="n">
        <v>45926</v>
      </c>
      <c r="E1405" s="1" t="n">
        <v>46309</v>
      </c>
      <c r="F1405" t="inlineStr">
        <is>
          <t>UPPSALA LÄN</t>
        </is>
      </c>
      <c r="G1405" t="inlineStr">
        <is>
          <t>UPPSALA</t>
        </is>
      </c>
      <c r="H1405" t="inlineStr">
        <is>
          <t>Bergvik skog öst AB</t>
        </is>
      </c>
      <c r="I1405" t="n">
        <v>1.4</v>
      </c>
      <c r="J1405" t="n">
        <v>0</v>
      </c>
      <c r="K1405" t="n">
        <v>0</v>
      </c>
      <c r="L1405" t="n">
        <v>0</v>
      </c>
      <c r="M1405" t="n">
        <v>0</v>
      </c>
      <c r="N1405" t="n">
        <v>0</v>
      </c>
      <c r="O1405" t="n">
        <v>0</v>
      </c>
      <c r="P1405" t="n">
        <v>0</v>
      </c>
      <c r="Q1405" t="n">
        <v>0</v>
      </c>
      <c r="R1405" t="n">
        <v>0</v>
      </c>
      <c r="S1405" t="n">
        <v>0</v>
      </c>
      <c r="T1405" t="n">
        <v>0</v>
      </c>
      <c r="U1405" t="n">
        <v>0</v>
      </c>
      <c r="V1405" s="2" t="inlineStr"/>
    </row>
    <row r="1406" ht="15" customHeight="1">
      <c r="A1406" t="inlineStr">
        <is>
          <t>A 53384-2024</t>
        </is>
      </c>
      <c r="B1406" t="inlineStr">
        <is>
          <t>avverkningsanmälan</t>
        </is>
      </c>
      <c r="C1406" t="inlineStr">
        <is>
          <t>Föryngringsavverkning</t>
        </is>
      </c>
      <c r="D1406" s="1" t="n">
        <v>45614</v>
      </c>
      <c r="E1406" s="1" t="n">
        <v>46309</v>
      </c>
      <c r="F1406" t="inlineStr">
        <is>
          <t>UPPSALA LÄN</t>
        </is>
      </c>
      <c r="G1406" t="inlineStr">
        <is>
          <t>UPPSALA</t>
        </is>
      </c>
      <c r="I1406" t="n">
        <v>3.7</v>
      </c>
      <c r="J1406" t="n">
        <v>0</v>
      </c>
      <c r="K1406" t="n">
        <v>0</v>
      </c>
      <c r="L1406" t="n">
        <v>0</v>
      </c>
      <c r="M1406" t="n">
        <v>0</v>
      </c>
      <c r="N1406" t="n">
        <v>0</v>
      </c>
      <c r="O1406" t="n">
        <v>0</v>
      </c>
      <c r="P1406" t="n">
        <v>0</v>
      </c>
      <c r="Q1406" t="n">
        <v>0</v>
      </c>
      <c r="R1406" t="n">
        <v>0</v>
      </c>
      <c r="S1406" t="n">
        <v>0</v>
      </c>
      <c r="T1406" t="n">
        <v>0</v>
      </c>
      <c r="U1406" t="n">
        <v>0</v>
      </c>
      <c r="V1406" s="2" t="inlineStr"/>
    </row>
    <row r="1407" ht="15" customHeight="1">
      <c r="A1407" t="inlineStr">
        <is>
          <t>A 46775-2025</t>
        </is>
      </c>
      <c r="B1407" t="inlineStr">
        <is>
          <t>avverkningsanmälan</t>
        </is>
      </c>
      <c r="C1407" t="inlineStr">
        <is>
          <t>Föryngringsavverkning</t>
        </is>
      </c>
      <c r="D1407" s="1" t="n">
        <v>45926</v>
      </c>
      <c r="E1407" s="1" t="n">
        <v>46309</v>
      </c>
      <c r="F1407" t="inlineStr">
        <is>
          <t>UPPSALA LÄN</t>
        </is>
      </c>
      <c r="G1407" t="inlineStr">
        <is>
          <t>UPPSALA</t>
        </is>
      </c>
      <c r="H1407" t="inlineStr">
        <is>
          <t>Kyrkan</t>
        </is>
      </c>
      <c r="I1407" t="n">
        <v>0.9</v>
      </c>
      <c r="J1407" t="n">
        <v>0</v>
      </c>
      <c r="K1407" t="n">
        <v>0</v>
      </c>
      <c r="L1407" t="n">
        <v>0</v>
      </c>
      <c r="M1407" t="n">
        <v>0</v>
      </c>
      <c r="N1407" t="n">
        <v>0</v>
      </c>
      <c r="O1407" t="n">
        <v>0</v>
      </c>
      <c r="P1407" t="n">
        <v>0</v>
      </c>
      <c r="Q1407" t="n">
        <v>0</v>
      </c>
      <c r="R1407" t="n">
        <v>0</v>
      </c>
      <c r="S1407" t="n">
        <v>0</v>
      </c>
      <c r="T1407" t="n">
        <v>0</v>
      </c>
      <c r="U1407" t="n">
        <v>0</v>
      </c>
      <c r="V1407" s="2" t="inlineStr"/>
    </row>
    <row r="1408" ht="15" customHeight="1">
      <c r="A1408" t="inlineStr">
        <is>
          <t>A 59015-2022</t>
        </is>
      </c>
      <c r="B1408" t="inlineStr">
        <is>
          <t>avverkningsanmälan</t>
        </is>
      </c>
      <c r="C1408" t="inlineStr">
        <is>
          <t>Föryngringsavverkning</t>
        </is>
      </c>
      <c r="D1408" s="1" t="n">
        <v>44903</v>
      </c>
      <c r="E1408" s="1" t="n">
        <v>46309</v>
      </c>
      <c r="F1408" t="inlineStr">
        <is>
          <t>UPPSALA LÄN</t>
        </is>
      </c>
      <c r="G1408" t="inlineStr">
        <is>
          <t>HEBY</t>
        </is>
      </c>
      <c r="I1408" t="n">
        <v>1.9</v>
      </c>
      <c r="J1408" t="n">
        <v>0</v>
      </c>
      <c r="K1408" t="n">
        <v>0</v>
      </c>
      <c r="L1408" t="n">
        <v>0</v>
      </c>
      <c r="M1408" t="n">
        <v>0</v>
      </c>
      <c r="N1408" t="n">
        <v>0</v>
      </c>
      <c r="O1408" t="n">
        <v>0</v>
      </c>
      <c r="P1408" t="n">
        <v>0</v>
      </c>
      <c r="Q1408" t="n">
        <v>0</v>
      </c>
      <c r="R1408" t="n">
        <v>0</v>
      </c>
      <c r="S1408" t="n">
        <v>0</v>
      </c>
      <c r="T1408" t="n">
        <v>0</v>
      </c>
      <c r="U1408" t="n">
        <v>0</v>
      </c>
      <c r="V1408" s="2" t="inlineStr"/>
    </row>
    <row r="1409" ht="15" customHeight="1">
      <c r="A1409" t="inlineStr">
        <is>
          <t>A 46772-2025</t>
        </is>
      </c>
      <c r="B1409" t="inlineStr">
        <is>
          <t>avverkningsanmälan</t>
        </is>
      </c>
      <c r="C1409" t="inlineStr">
        <is>
          <t>Föryngringsavverkning</t>
        </is>
      </c>
      <c r="D1409" s="1" t="n">
        <v>45926</v>
      </c>
      <c r="E1409" s="1" t="n">
        <v>46309</v>
      </c>
      <c r="F1409" t="inlineStr">
        <is>
          <t>UPPSALA LÄN</t>
        </is>
      </c>
      <c r="G1409" t="inlineStr">
        <is>
          <t>UPPSALA</t>
        </is>
      </c>
      <c r="H1409" t="inlineStr">
        <is>
          <t>Kyrkan</t>
        </is>
      </c>
      <c r="I1409" t="n">
        <v>0.9</v>
      </c>
      <c r="J1409" t="n">
        <v>0</v>
      </c>
      <c r="K1409" t="n">
        <v>0</v>
      </c>
      <c r="L1409" t="n">
        <v>0</v>
      </c>
      <c r="M1409" t="n">
        <v>0</v>
      </c>
      <c r="N1409" t="n">
        <v>0</v>
      </c>
      <c r="O1409" t="n">
        <v>0</v>
      </c>
      <c r="P1409" t="n">
        <v>0</v>
      </c>
      <c r="Q1409" t="n">
        <v>0</v>
      </c>
      <c r="R1409" t="n">
        <v>0</v>
      </c>
      <c r="S1409" t="n">
        <v>0</v>
      </c>
      <c r="T1409" t="n">
        <v>0</v>
      </c>
      <c r="U1409" t="n">
        <v>0</v>
      </c>
      <c r="V1409" s="2" t="inlineStr"/>
    </row>
    <row r="1410" ht="15" customHeight="1">
      <c r="A1410" t="inlineStr">
        <is>
          <t>A 19132-2025</t>
        </is>
      </c>
      <c r="B1410" t="inlineStr">
        <is>
          <t>avverkningsanmälan</t>
        </is>
      </c>
      <c r="C1410" t="inlineStr">
        <is>
          <t>Föryngringsavverkning</t>
        </is>
      </c>
      <c r="D1410" s="1" t="n">
        <v>45764</v>
      </c>
      <c r="E1410" s="1" t="n">
        <v>46309</v>
      </c>
      <c r="F1410" t="inlineStr">
        <is>
          <t>UPPSALA LÄN</t>
        </is>
      </c>
      <c r="G1410" t="inlineStr">
        <is>
          <t>HEBY</t>
        </is>
      </c>
      <c r="H1410" t="inlineStr">
        <is>
          <t>Bergvik skog väst AB</t>
        </is>
      </c>
      <c r="I1410" t="n">
        <v>43.4</v>
      </c>
      <c r="J1410" t="n">
        <v>0</v>
      </c>
      <c r="K1410" t="n">
        <v>0</v>
      </c>
      <c r="L1410" t="n">
        <v>0</v>
      </c>
      <c r="M1410" t="n">
        <v>0</v>
      </c>
      <c r="N1410" t="n">
        <v>0</v>
      </c>
      <c r="O1410" t="n">
        <v>0</v>
      </c>
      <c r="P1410" t="n">
        <v>0</v>
      </c>
      <c r="Q1410" t="n">
        <v>0</v>
      </c>
      <c r="R1410" t="n">
        <v>0</v>
      </c>
      <c r="S1410" t="n">
        <v>0</v>
      </c>
      <c r="T1410" t="n">
        <v>0</v>
      </c>
      <c r="U1410" t="n">
        <v>0</v>
      </c>
      <c r="V1410" s="2" t="inlineStr"/>
    </row>
    <row r="1411" ht="15" customHeight="1">
      <c r="A1411" t="inlineStr">
        <is>
          <t>A 6071-2023</t>
        </is>
      </c>
      <c r="B1411" t="inlineStr">
        <is>
          <t>avverkningsanmälan</t>
        </is>
      </c>
      <c r="C1411" t="inlineStr">
        <is>
          <t>Föryngringsavverkning</t>
        </is>
      </c>
      <c r="D1411" s="1" t="n">
        <v>44964</v>
      </c>
      <c r="E1411" s="1" t="n">
        <v>46309</v>
      </c>
      <c r="F1411" t="inlineStr">
        <is>
          <t>UPPSALA LÄN</t>
        </is>
      </c>
      <c r="G1411" t="inlineStr">
        <is>
          <t>TIERP</t>
        </is>
      </c>
      <c r="I1411" t="n">
        <v>0.7</v>
      </c>
      <c r="J1411" t="n">
        <v>0</v>
      </c>
      <c r="K1411" t="n">
        <v>0</v>
      </c>
      <c r="L1411" t="n">
        <v>0</v>
      </c>
      <c r="M1411" t="n">
        <v>0</v>
      </c>
      <c r="N1411" t="n">
        <v>0</v>
      </c>
      <c r="O1411" t="n">
        <v>0</v>
      </c>
      <c r="P1411" t="n">
        <v>0</v>
      </c>
      <c r="Q1411" t="n">
        <v>0</v>
      </c>
      <c r="R1411" t="n">
        <v>0</v>
      </c>
      <c r="S1411" t="n">
        <v>0</v>
      </c>
      <c r="T1411" t="n">
        <v>0</v>
      </c>
      <c r="U1411" t="n">
        <v>0</v>
      </c>
      <c r="V1411" s="2" t="inlineStr"/>
    </row>
    <row r="1412" ht="15" customHeight="1">
      <c r="A1412" t="inlineStr">
        <is>
          <t>A 43506-2023</t>
        </is>
      </c>
      <c r="B1412" t="inlineStr">
        <is>
          <t>avverkningsanmälan</t>
        </is>
      </c>
      <c r="C1412" t="inlineStr">
        <is>
          <t>Föryngringsavverkning</t>
        </is>
      </c>
      <c r="D1412" s="1" t="n">
        <v>45181</v>
      </c>
      <c r="E1412" s="1" t="n">
        <v>46309</v>
      </c>
      <c r="F1412" t="inlineStr">
        <is>
          <t>UPPSALA LÄN</t>
        </is>
      </c>
      <c r="G1412" t="inlineStr">
        <is>
          <t>ENKÖPING</t>
        </is>
      </c>
      <c r="I1412" t="n">
        <v>0.5</v>
      </c>
      <c r="J1412" t="n">
        <v>0</v>
      </c>
      <c r="K1412" t="n">
        <v>0</v>
      </c>
      <c r="L1412" t="n">
        <v>0</v>
      </c>
      <c r="M1412" t="n">
        <v>0</v>
      </c>
      <c r="N1412" t="n">
        <v>0</v>
      </c>
      <c r="O1412" t="n">
        <v>0</v>
      </c>
      <c r="P1412" t="n">
        <v>0</v>
      </c>
      <c r="Q1412" t="n">
        <v>0</v>
      </c>
      <c r="R1412" t="n">
        <v>0</v>
      </c>
      <c r="S1412" t="n">
        <v>0</v>
      </c>
      <c r="T1412" t="n">
        <v>0</v>
      </c>
      <c r="U1412" t="n">
        <v>0</v>
      </c>
      <c r="V1412" s="2" t="inlineStr"/>
    </row>
    <row r="1413" ht="15" customHeight="1">
      <c r="A1413" t="inlineStr">
        <is>
          <t>A 11529-2022</t>
        </is>
      </c>
      <c r="B1413" t="inlineStr">
        <is>
          <t>avverkningsanmälan</t>
        </is>
      </c>
      <c r="C1413" t="inlineStr">
        <is>
          <t>Föryngringsavverkning</t>
        </is>
      </c>
      <c r="D1413" s="1" t="n">
        <v>44631</v>
      </c>
      <c r="E1413" s="1" t="n">
        <v>46309</v>
      </c>
      <c r="F1413" t="inlineStr">
        <is>
          <t>UPPSALA LÄN</t>
        </is>
      </c>
      <c r="G1413" t="inlineStr">
        <is>
          <t>TIERP</t>
        </is>
      </c>
      <c r="I1413" t="n">
        <v>2.4</v>
      </c>
      <c r="J1413" t="n">
        <v>0</v>
      </c>
      <c r="K1413" t="n">
        <v>0</v>
      </c>
      <c r="L1413" t="n">
        <v>0</v>
      </c>
      <c r="M1413" t="n">
        <v>0</v>
      </c>
      <c r="N1413" t="n">
        <v>0</v>
      </c>
      <c r="O1413" t="n">
        <v>0</v>
      </c>
      <c r="P1413" t="n">
        <v>0</v>
      </c>
      <c r="Q1413" t="n">
        <v>0</v>
      </c>
      <c r="R1413" t="n">
        <v>0</v>
      </c>
      <c r="S1413" t="n">
        <v>0</v>
      </c>
      <c r="T1413" t="n">
        <v>0</v>
      </c>
      <c r="U1413" t="n">
        <v>0</v>
      </c>
      <c r="V1413" s="2" t="inlineStr"/>
    </row>
    <row r="1414" ht="15" customHeight="1">
      <c r="A1414" t="inlineStr">
        <is>
          <t>A 32111-2025</t>
        </is>
      </c>
      <c r="B1414" t="inlineStr">
        <is>
          <t>avverkningsanmälan</t>
        </is>
      </c>
      <c r="C1414" t="inlineStr">
        <is>
          <t>Föryngringsavverkning</t>
        </is>
      </c>
      <c r="D1414" s="1" t="n">
        <v>45835</v>
      </c>
      <c r="E1414" s="1" t="n">
        <v>46309</v>
      </c>
      <c r="F1414" t="inlineStr">
        <is>
          <t>UPPSALA LÄN</t>
        </is>
      </c>
      <c r="G1414" t="inlineStr">
        <is>
          <t>ENKÖPING</t>
        </is>
      </c>
      <c r="I1414" t="n">
        <v>1.7</v>
      </c>
      <c r="J1414" t="n">
        <v>0</v>
      </c>
      <c r="K1414" t="n">
        <v>0</v>
      </c>
      <c r="L1414" t="n">
        <v>0</v>
      </c>
      <c r="M1414" t="n">
        <v>0</v>
      </c>
      <c r="N1414" t="n">
        <v>0</v>
      </c>
      <c r="O1414" t="n">
        <v>0</v>
      </c>
      <c r="P1414" t="n">
        <v>0</v>
      </c>
      <c r="Q1414" t="n">
        <v>0</v>
      </c>
      <c r="R1414" t="n">
        <v>0</v>
      </c>
      <c r="S1414" t="n">
        <v>0</v>
      </c>
      <c r="T1414" t="n">
        <v>0</v>
      </c>
      <c r="U1414" t="n">
        <v>0</v>
      </c>
      <c r="V1414" s="2" t="inlineStr"/>
    </row>
    <row r="1415" ht="15" customHeight="1">
      <c r="A1415" t="inlineStr">
        <is>
          <t>A 46842-2025</t>
        </is>
      </c>
      <c r="B1415" t="inlineStr">
        <is>
          <t>avverkningsanmälan</t>
        </is>
      </c>
      <c r="C1415" t="inlineStr">
        <is>
          <t>Föryngringsavverkning</t>
        </is>
      </c>
      <c r="D1415" s="1" t="n">
        <v>45928</v>
      </c>
      <c r="E1415" s="1" t="n">
        <v>46309</v>
      </c>
      <c r="F1415" t="inlineStr">
        <is>
          <t>UPPSALA LÄN</t>
        </is>
      </c>
      <c r="G1415" t="inlineStr">
        <is>
          <t>TIERP</t>
        </is>
      </c>
      <c r="H1415" t="inlineStr">
        <is>
          <t>Bergvik skog väst AB</t>
        </is>
      </c>
      <c r="I1415" t="n">
        <v>0.5</v>
      </c>
      <c r="J1415" t="n">
        <v>0</v>
      </c>
      <c r="K1415" t="n">
        <v>0</v>
      </c>
      <c r="L1415" t="n">
        <v>0</v>
      </c>
      <c r="M1415" t="n">
        <v>0</v>
      </c>
      <c r="N1415" t="n">
        <v>0</v>
      </c>
      <c r="O1415" t="n">
        <v>0</v>
      </c>
      <c r="P1415" t="n">
        <v>0</v>
      </c>
      <c r="Q1415" t="n">
        <v>0</v>
      </c>
      <c r="R1415" t="n">
        <v>0</v>
      </c>
      <c r="S1415" t="n">
        <v>0</v>
      </c>
      <c r="T1415" t="n">
        <v>0</v>
      </c>
      <c r="U1415" t="n">
        <v>0</v>
      </c>
      <c r="V1415" s="2" t="inlineStr"/>
    </row>
    <row r="1416" ht="15" customHeight="1">
      <c r="A1416" t="inlineStr">
        <is>
          <t>A 5663-2023</t>
        </is>
      </c>
      <c r="B1416" t="inlineStr">
        <is>
          <t>avverkningsanmälan</t>
        </is>
      </c>
      <c r="C1416" t="inlineStr">
        <is>
          <t>Föryngringsavverkning</t>
        </is>
      </c>
      <c r="D1416" s="1" t="n">
        <v>44960</v>
      </c>
      <c r="E1416" s="1" t="n">
        <v>46309</v>
      </c>
      <c r="F1416" t="inlineStr">
        <is>
          <t>UPPSALA LÄN</t>
        </is>
      </c>
      <c r="G1416" t="inlineStr">
        <is>
          <t>UPPSALA</t>
        </is>
      </c>
      <c r="I1416" t="n">
        <v>0.5</v>
      </c>
      <c r="J1416" t="n">
        <v>0</v>
      </c>
      <c r="K1416" t="n">
        <v>0</v>
      </c>
      <c r="L1416" t="n">
        <v>0</v>
      </c>
      <c r="M1416" t="n">
        <v>0</v>
      </c>
      <c r="N1416" t="n">
        <v>0</v>
      </c>
      <c r="O1416" t="n">
        <v>0</v>
      </c>
      <c r="P1416" t="n">
        <v>0</v>
      </c>
      <c r="Q1416" t="n">
        <v>0</v>
      </c>
      <c r="R1416" t="n">
        <v>0</v>
      </c>
      <c r="S1416" t="n">
        <v>0</v>
      </c>
      <c r="T1416" t="n">
        <v>0</v>
      </c>
      <c r="U1416" t="n">
        <v>0</v>
      </c>
      <c r="V1416" s="2" t="inlineStr"/>
    </row>
    <row r="1417" ht="15" customHeight="1">
      <c r="A1417" t="inlineStr">
        <is>
          <t>A 5675-2023</t>
        </is>
      </c>
      <c r="B1417" t="inlineStr">
        <is>
          <t>avverkningsanmälan</t>
        </is>
      </c>
      <c r="C1417" t="inlineStr">
        <is>
          <t>Föryngringsavverkning</t>
        </is>
      </c>
      <c r="D1417" s="1" t="n">
        <v>44960</v>
      </c>
      <c r="E1417" s="1" t="n">
        <v>46309</v>
      </c>
      <c r="F1417" t="inlineStr">
        <is>
          <t>UPPSALA LÄN</t>
        </is>
      </c>
      <c r="G1417" t="inlineStr">
        <is>
          <t>UPPSALA</t>
        </is>
      </c>
      <c r="I1417" t="n">
        <v>1.1</v>
      </c>
      <c r="J1417" t="n">
        <v>0</v>
      </c>
      <c r="K1417" t="n">
        <v>0</v>
      </c>
      <c r="L1417" t="n">
        <v>0</v>
      </c>
      <c r="M1417" t="n">
        <v>0</v>
      </c>
      <c r="N1417" t="n">
        <v>0</v>
      </c>
      <c r="O1417" t="n">
        <v>0</v>
      </c>
      <c r="P1417" t="n">
        <v>0</v>
      </c>
      <c r="Q1417" t="n">
        <v>0</v>
      </c>
      <c r="R1417" t="n">
        <v>0</v>
      </c>
      <c r="S1417" t="n">
        <v>0</v>
      </c>
      <c r="T1417" t="n">
        <v>0</v>
      </c>
      <c r="U1417" t="n">
        <v>0</v>
      </c>
      <c r="V1417" s="2" t="inlineStr"/>
    </row>
    <row r="1418" ht="15" customHeight="1">
      <c r="A1418" t="inlineStr">
        <is>
          <t>A 32187-2025</t>
        </is>
      </c>
      <c r="B1418" t="inlineStr">
        <is>
          <t>avverkningsanmälan</t>
        </is>
      </c>
      <c r="C1418" t="inlineStr">
        <is>
          <t>Föryngringsavverkning</t>
        </is>
      </c>
      <c r="D1418" s="1" t="n">
        <v>45835</v>
      </c>
      <c r="E1418" s="1" t="n">
        <v>46309</v>
      </c>
      <c r="F1418" t="inlineStr">
        <is>
          <t>UPPSALA LÄN</t>
        </is>
      </c>
      <c r="G1418" t="inlineStr">
        <is>
          <t>ÄLVKARLEBY</t>
        </is>
      </c>
      <c r="H1418" t="inlineStr">
        <is>
          <t>Bergvik skog väst AB</t>
        </is>
      </c>
      <c r="I1418" t="n">
        <v>1.5</v>
      </c>
      <c r="J1418" t="n">
        <v>0</v>
      </c>
      <c r="K1418" t="n">
        <v>0</v>
      </c>
      <c r="L1418" t="n">
        <v>0</v>
      </c>
      <c r="M1418" t="n">
        <v>0</v>
      </c>
      <c r="N1418" t="n">
        <v>0</v>
      </c>
      <c r="O1418" t="n">
        <v>0</v>
      </c>
      <c r="P1418" t="n">
        <v>0</v>
      </c>
      <c r="Q1418" t="n">
        <v>0</v>
      </c>
      <c r="R1418" t="n">
        <v>0</v>
      </c>
      <c r="S1418" t="n">
        <v>0</v>
      </c>
      <c r="T1418" t="n">
        <v>0</v>
      </c>
      <c r="U1418" t="n">
        <v>0</v>
      </c>
      <c r="V1418" s="2" t="inlineStr"/>
    </row>
    <row r="1419" ht="15" customHeight="1">
      <c r="A1419" t="inlineStr">
        <is>
          <t>A 14004-2023</t>
        </is>
      </c>
      <c r="B1419" t="inlineStr">
        <is>
          <t>avverkningsanmälan</t>
        </is>
      </c>
      <c r="C1419" t="inlineStr">
        <is>
          <t>Föryngringsavverkning</t>
        </is>
      </c>
      <c r="D1419" s="1" t="n">
        <v>45008</v>
      </c>
      <c r="E1419" s="1" t="n">
        <v>46309</v>
      </c>
      <c r="F1419" t="inlineStr">
        <is>
          <t>UPPSALA LÄN</t>
        </is>
      </c>
      <c r="G1419" t="inlineStr">
        <is>
          <t>ENKÖPING</t>
        </is>
      </c>
      <c r="I1419" t="n">
        <v>1.3</v>
      </c>
      <c r="J1419" t="n">
        <v>0</v>
      </c>
      <c r="K1419" t="n">
        <v>0</v>
      </c>
      <c r="L1419" t="n">
        <v>0</v>
      </c>
      <c r="M1419" t="n">
        <v>0</v>
      </c>
      <c r="N1419" t="n">
        <v>0</v>
      </c>
      <c r="O1419" t="n">
        <v>0</v>
      </c>
      <c r="P1419" t="n">
        <v>0</v>
      </c>
      <c r="Q1419" t="n">
        <v>0</v>
      </c>
      <c r="R1419" t="n">
        <v>0</v>
      </c>
      <c r="S1419" t="n">
        <v>0</v>
      </c>
      <c r="T1419" t="n">
        <v>0</v>
      </c>
      <c r="U1419" t="n">
        <v>0</v>
      </c>
      <c r="V1419" s="2" t="inlineStr"/>
    </row>
    <row r="1420" ht="15" customHeight="1">
      <c r="A1420" t="inlineStr">
        <is>
          <t>A 32432-2025</t>
        </is>
      </c>
      <c r="B1420" t="inlineStr">
        <is>
          <t>avverkningsanmälan</t>
        </is>
      </c>
      <c r="C1420" t="inlineStr">
        <is>
          <t>Föryngringsavverkning</t>
        </is>
      </c>
      <c r="D1420" s="1" t="n">
        <v>45838</v>
      </c>
      <c r="E1420" s="1" t="n">
        <v>46309</v>
      </c>
      <c r="F1420" t="inlineStr">
        <is>
          <t>UPPSALA LÄN</t>
        </is>
      </c>
      <c r="G1420" t="inlineStr">
        <is>
          <t>HEBY</t>
        </is>
      </c>
      <c r="I1420" t="n">
        <v>0.9</v>
      </c>
      <c r="J1420" t="n">
        <v>0</v>
      </c>
      <c r="K1420" t="n">
        <v>0</v>
      </c>
      <c r="L1420" t="n">
        <v>0</v>
      </c>
      <c r="M1420" t="n">
        <v>0</v>
      </c>
      <c r="N1420" t="n">
        <v>0</v>
      </c>
      <c r="O1420" t="n">
        <v>0</v>
      </c>
      <c r="P1420" t="n">
        <v>0</v>
      </c>
      <c r="Q1420" t="n">
        <v>0</v>
      </c>
      <c r="R1420" t="n">
        <v>0</v>
      </c>
      <c r="S1420" t="n">
        <v>0</v>
      </c>
      <c r="T1420" t="n">
        <v>0</v>
      </c>
      <c r="U1420" t="n">
        <v>0</v>
      </c>
      <c r="V1420" s="2" t="inlineStr"/>
    </row>
    <row r="1421" ht="15" customHeight="1">
      <c r="A1421" t="inlineStr">
        <is>
          <t>A 47131-2025</t>
        </is>
      </c>
      <c r="B1421" t="inlineStr">
        <is>
          <t>avverkningsanmälan</t>
        </is>
      </c>
      <c r="C1421" t="inlineStr">
        <is>
          <t>Föryngringsavverkning</t>
        </is>
      </c>
      <c r="D1421" s="1" t="n">
        <v>45929</v>
      </c>
      <c r="E1421" s="1" t="n">
        <v>46309</v>
      </c>
      <c r="F1421" t="inlineStr">
        <is>
          <t>UPPSALA LÄN</t>
        </is>
      </c>
      <c r="G1421" t="inlineStr">
        <is>
          <t>UPPSALA</t>
        </is>
      </c>
      <c r="H1421" t="inlineStr">
        <is>
          <t>Kyrkan</t>
        </is>
      </c>
      <c r="I1421" t="n">
        <v>1.9</v>
      </c>
      <c r="J1421" t="n">
        <v>0</v>
      </c>
      <c r="K1421" t="n">
        <v>0</v>
      </c>
      <c r="L1421" t="n">
        <v>0</v>
      </c>
      <c r="M1421" t="n">
        <v>0</v>
      </c>
      <c r="N1421" t="n">
        <v>0</v>
      </c>
      <c r="O1421" t="n">
        <v>0</v>
      </c>
      <c r="P1421" t="n">
        <v>0</v>
      </c>
      <c r="Q1421" t="n">
        <v>0</v>
      </c>
      <c r="R1421" t="n">
        <v>0</v>
      </c>
      <c r="S1421" t="n">
        <v>0</v>
      </c>
      <c r="T1421" t="n">
        <v>0</v>
      </c>
      <c r="U1421" t="n">
        <v>0</v>
      </c>
      <c r="V1421" s="2" t="inlineStr"/>
    </row>
    <row r="1422" ht="15" customHeight="1">
      <c r="A1422" t="inlineStr">
        <is>
          <t>A 47132-2025</t>
        </is>
      </c>
      <c r="B1422" t="inlineStr">
        <is>
          <t>avverkningsanmälan</t>
        </is>
      </c>
      <c r="C1422" t="inlineStr">
        <is>
          <t>Föryngringsavverkning</t>
        </is>
      </c>
      <c r="D1422" s="1" t="n">
        <v>45929</v>
      </c>
      <c r="E1422" s="1" t="n">
        <v>46309</v>
      </c>
      <c r="F1422" t="inlineStr">
        <is>
          <t>UPPSALA LÄN</t>
        </is>
      </c>
      <c r="G1422" t="inlineStr">
        <is>
          <t>UPPSALA</t>
        </is>
      </c>
      <c r="H1422" t="inlineStr">
        <is>
          <t>Kyrkan</t>
        </is>
      </c>
      <c r="I1422" t="n">
        <v>1.9</v>
      </c>
      <c r="J1422" t="n">
        <v>0</v>
      </c>
      <c r="K1422" t="n">
        <v>0</v>
      </c>
      <c r="L1422" t="n">
        <v>0</v>
      </c>
      <c r="M1422" t="n">
        <v>0</v>
      </c>
      <c r="N1422" t="n">
        <v>0</v>
      </c>
      <c r="O1422" t="n">
        <v>0</v>
      </c>
      <c r="P1422" t="n">
        <v>0</v>
      </c>
      <c r="Q1422" t="n">
        <v>0</v>
      </c>
      <c r="R1422" t="n">
        <v>0</v>
      </c>
      <c r="S1422" t="n">
        <v>0</v>
      </c>
      <c r="T1422" t="n">
        <v>0</v>
      </c>
      <c r="U1422" t="n">
        <v>0</v>
      </c>
      <c r="V1422" s="2" t="inlineStr"/>
    </row>
    <row r="1423" ht="15" customHeight="1">
      <c r="A1423" t="inlineStr">
        <is>
          <t>A 47803-2025</t>
        </is>
      </c>
      <c r="B1423" t="inlineStr">
        <is>
          <t>avverkningsanmälan</t>
        </is>
      </c>
      <c r="C1423" t="inlineStr">
        <is>
          <t>Avverkning för annat ändamål</t>
        </is>
      </c>
      <c r="D1423" s="1" t="n">
        <v>45931</v>
      </c>
      <c r="E1423" s="1" t="n">
        <v>46309</v>
      </c>
      <c r="F1423" t="inlineStr">
        <is>
          <t>UPPSALA LÄN</t>
        </is>
      </c>
      <c r="G1423" t="inlineStr">
        <is>
          <t>KNIVSTA</t>
        </is>
      </c>
      <c r="I1423" t="n">
        <v>2.9</v>
      </c>
      <c r="J1423" t="n">
        <v>0</v>
      </c>
      <c r="K1423" t="n">
        <v>0</v>
      </c>
      <c r="L1423" t="n">
        <v>0</v>
      </c>
      <c r="M1423" t="n">
        <v>0</v>
      </c>
      <c r="N1423" t="n">
        <v>0</v>
      </c>
      <c r="O1423" t="n">
        <v>0</v>
      </c>
      <c r="P1423" t="n">
        <v>0</v>
      </c>
      <c r="Q1423" t="n">
        <v>0</v>
      </c>
      <c r="R1423" t="n">
        <v>0</v>
      </c>
      <c r="S1423" t="n">
        <v>0</v>
      </c>
      <c r="T1423" t="n">
        <v>0</v>
      </c>
      <c r="U1423" t="n">
        <v>0</v>
      </c>
      <c r="V1423" s="2" t="inlineStr"/>
    </row>
    <row r="1424" ht="15" customHeight="1">
      <c r="A1424" t="inlineStr">
        <is>
          <t>A 1752-2022</t>
        </is>
      </c>
      <c r="B1424" t="inlineStr">
        <is>
          <t>avverkningsanmälan</t>
        </is>
      </c>
      <c r="C1424" t="inlineStr">
        <is>
          <t>Föryngringsavverkning</t>
        </is>
      </c>
      <c r="D1424" s="1" t="n">
        <v>44574</v>
      </c>
      <c r="E1424" s="1" t="n">
        <v>46309</v>
      </c>
      <c r="F1424" t="inlineStr">
        <is>
          <t>UPPSALA LÄN</t>
        </is>
      </c>
      <c r="G1424" t="inlineStr">
        <is>
          <t>HEBY</t>
        </is>
      </c>
      <c r="I1424" t="n">
        <v>0.5</v>
      </c>
      <c r="J1424" t="n">
        <v>0</v>
      </c>
      <c r="K1424" t="n">
        <v>0</v>
      </c>
      <c r="L1424" t="n">
        <v>0</v>
      </c>
      <c r="M1424" t="n">
        <v>0</v>
      </c>
      <c r="N1424" t="n">
        <v>0</v>
      </c>
      <c r="O1424" t="n">
        <v>0</v>
      </c>
      <c r="P1424" t="n">
        <v>0</v>
      </c>
      <c r="Q1424" t="n">
        <v>0</v>
      </c>
      <c r="R1424" t="n">
        <v>0</v>
      </c>
      <c r="S1424" t="n">
        <v>0</v>
      </c>
      <c r="T1424" t="n">
        <v>0</v>
      </c>
      <c r="U1424" t="n">
        <v>0</v>
      </c>
      <c r="V1424" s="2" t="inlineStr"/>
    </row>
    <row r="1425" ht="15" customHeight="1">
      <c r="A1425" t="inlineStr">
        <is>
          <t>A 47840-2025</t>
        </is>
      </c>
      <c r="B1425" t="inlineStr">
        <is>
          <t>avverkningsanmälan</t>
        </is>
      </c>
      <c r="C1425" t="inlineStr">
        <is>
          <t>Föryngringsavverkning</t>
        </is>
      </c>
      <c r="D1425" s="1" t="n">
        <v>45932</v>
      </c>
      <c r="E1425" s="1" t="n">
        <v>46309</v>
      </c>
      <c r="F1425" t="inlineStr">
        <is>
          <t>UPPSALA LÄN</t>
        </is>
      </c>
      <c r="G1425" t="inlineStr">
        <is>
          <t>UPPSALA</t>
        </is>
      </c>
      <c r="I1425" t="n">
        <v>1.8</v>
      </c>
      <c r="J1425" t="n">
        <v>0</v>
      </c>
      <c r="K1425" t="n">
        <v>0</v>
      </c>
      <c r="L1425" t="n">
        <v>0</v>
      </c>
      <c r="M1425" t="n">
        <v>0</v>
      </c>
      <c r="N1425" t="n">
        <v>0</v>
      </c>
      <c r="O1425" t="n">
        <v>0</v>
      </c>
      <c r="P1425" t="n">
        <v>0</v>
      </c>
      <c r="Q1425" t="n">
        <v>0</v>
      </c>
      <c r="R1425" t="n">
        <v>0</v>
      </c>
      <c r="S1425" t="n">
        <v>0</v>
      </c>
      <c r="T1425" t="n">
        <v>0</v>
      </c>
      <c r="U1425" t="n">
        <v>0</v>
      </c>
      <c r="V1425" s="2" t="inlineStr"/>
    </row>
    <row r="1426" ht="15" customHeight="1">
      <c r="A1426" t="inlineStr">
        <is>
          <t>A 47557-2025</t>
        </is>
      </c>
      <c r="B1426" t="inlineStr">
        <is>
          <t>avverkningsanmälan</t>
        </is>
      </c>
      <c r="C1426" t="inlineStr">
        <is>
          <t>Föryngringsavverkning</t>
        </is>
      </c>
      <c r="D1426" s="1" t="n">
        <v>45931</v>
      </c>
      <c r="E1426" s="1" t="n">
        <v>46309</v>
      </c>
      <c r="F1426" t="inlineStr">
        <is>
          <t>UPPSALA LÄN</t>
        </is>
      </c>
      <c r="G1426" t="inlineStr">
        <is>
          <t>UPPSALA</t>
        </is>
      </c>
      <c r="H1426" t="inlineStr">
        <is>
          <t>Kyrkan</t>
        </is>
      </c>
      <c r="I1426" t="n">
        <v>1.9</v>
      </c>
      <c r="J1426" t="n">
        <v>0</v>
      </c>
      <c r="K1426" t="n">
        <v>0</v>
      </c>
      <c r="L1426" t="n">
        <v>0</v>
      </c>
      <c r="M1426" t="n">
        <v>0</v>
      </c>
      <c r="N1426" t="n">
        <v>0</v>
      </c>
      <c r="O1426" t="n">
        <v>0</v>
      </c>
      <c r="P1426" t="n">
        <v>0</v>
      </c>
      <c r="Q1426" t="n">
        <v>0</v>
      </c>
      <c r="R1426" t="n">
        <v>0</v>
      </c>
      <c r="S1426" t="n">
        <v>0</v>
      </c>
      <c r="T1426" t="n">
        <v>0</v>
      </c>
      <c r="U1426" t="n">
        <v>0</v>
      </c>
      <c r="V1426" s="2" t="inlineStr"/>
    </row>
    <row r="1427" ht="15" customHeight="1">
      <c r="A1427" t="inlineStr">
        <is>
          <t>A 47978-2025</t>
        </is>
      </c>
      <c r="B1427" t="inlineStr">
        <is>
          <t>avverkningsanmälan</t>
        </is>
      </c>
      <c r="C1427" t="inlineStr">
        <is>
          <t>Föryngringsavverkning</t>
        </is>
      </c>
      <c r="D1427" s="1" t="n">
        <v>45932</v>
      </c>
      <c r="E1427" s="1" t="n">
        <v>46309</v>
      </c>
      <c r="F1427" t="inlineStr">
        <is>
          <t>UPPSALA LÄN</t>
        </is>
      </c>
      <c r="G1427" t="inlineStr">
        <is>
          <t>UPPSALA</t>
        </is>
      </c>
      <c r="H1427" t="inlineStr">
        <is>
          <t>Allmännings- och besparingsskogar</t>
        </is>
      </c>
      <c r="I1427" t="n">
        <v>1.8</v>
      </c>
      <c r="J1427" t="n">
        <v>0</v>
      </c>
      <c r="K1427" t="n">
        <v>0</v>
      </c>
      <c r="L1427" t="n">
        <v>0</v>
      </c>
      <c r="M1427" t="n">
        <v>0</v>
      </c>
      <c r="N1427" t="n">
        <v>0</v>
      </c>
      <c r="O1427" t="n">
        <v>0</v>
      </c>
      <c r="P1427" t="n">
        <v>0</v>
      </c>
      <c r="Q1427" t="n">
        <v>0</v>
      </c>
      <c r="R1427" t="n">
        <v>0</v>
      </c>
      <c r="S1427" t="n">
        <v>0</v>
      </c>
      <c r="T1427" t="n">
        <v>0</v>
      </c>
      <c r="U1427" t="n">
        <v>0</v>
      </c>
      <c r="V1427" s="2" t="inlineStr"/>
    </row>
    <row r="1428" ht="15" customHeight="1">
      <c r="A1428" t="inlineStr">
        <is>
          <t>A 47558-2025</t>
        </is>
      </c>
      <c r="B1428" t="inlineStr">
        <is>
          <t>avverkningsanmälan</t>
        </is>
      </c>
      <c r="C1428" t="inlineStr">
        <is>
          <t>Föryngringsavverkning</t>
        </is>
      </c>
      <c r="D1428" s="1" t="n">
        <v>45931</v>
      </c>
      <c r="E1428" s="1" t="n">
        <v>46309</v>
      </c>
      <c r="F1428" t="inlineStr">
        <is>
          <t>UPPSALA LÄN</t>
        </is>
      </c>
      <c r="G1428" t="inlineStr">
        <is>
          <t>UPPSALA</t>
        </is>
      </c>
      <c r="H1428" t="inlineStr">
        <is>
          <t>Kyrkan</t>
        </is>
      </c>
      <c r="I1428" t="n">
        <v>1.9</v>
      </c>
      <c r="J1428" t="n">
        <v>0</v>
      </c>
      <c r="K1428" t="n">
        <v>0</v>
      </c>
      <c r="L1428" t="n">
        <v>0</v>
      </c>
      <c r="M1428" t="n">
        <v>0</v>
      </c>
      <c r="N1428" t="n">
        <v>0</v>
      </c>
      <c r="O1428" t="n">
        <v>0</v>
      </c>
      <c r="P1428" t="n">
        <v>0</v>
      </c>
      <c r="Q1428" t="n">
        <v>0</v>
      </c>
      <c r="R1428" t="n">
        <v>0</v>
      </c>
      <c r="S1428" t="n">
        <v>0</v>
      </c>
      <c r="T1428" t="n">
        <v>0</v>
      </c>
      <c r="U1428" t="n">
        <v>0</v>
      </c>
      <c r="V1428" s="2" t="inlineStr"/>
    </row>
    <row r="1429" ht="15" customHeight="1">
      <c r="A1429" t="inlineStr">
        <is>
          <t>A 28958-2025</t>
        </is>
      </c>
      <c r="B1429" t="inlineStr">
        <is>
          <t>avverkningsanmälan</t>
        </is>
      </c>
      <c r="C1429" t="inlineStr">
        <is>
          <t>Föryngringsavverkning</t>
        </is>
      </c>
      <c r="D1429" s="1" t="n">
        <v>45821</v>
      </c>
      <c r="E1429" s="1" t="n">
        <v>46309</v>
      </c>
      <c r="F1429" t="inlineStr">
        <is>
          <t>UPPSALA LÄN</t>
        </is>
      </c>
      <c r="G1429" t="inlineStr">
        <is>
          <t>UPPSALA</t>
        </is>
      </c>
      <c r="I1429" t="n">
        <v>4.6</v>
      </c>
      <c r="J1429" t="n">
        <v>0</v>
      </c>
      <c r="K1429" t="n">
        <v>0</v>
      </c>
      <c r="L1429" t="n">
        <v>0</v>
      </c>
      <c r="M1429" t="n">
        <v>0</v>
      </c>
      <c r="N1429" t="n">
        <v>0</v>
      </c>
      <c r="O1429" t="n">
        <v>0</v>
      </c>
      <c r="P1429" t="n">
        <v>0</v>
      </c>
      <c r="Q1429" t="n">
        <v>0</v>
      </c>
      <c r="R1429" t="n">
        <v>0</v>
      </c>
      <c r="S1429" t="n">
        <v>0</v>
      </c>
      <c r="T1429" t="n">
        <v>0</v>
      </c>
      <c r="U1429" t="n">
        <v>0</v>
      </c>
      <c r="V1429" s="2" t="inlineStr"/>
    </row>
    <row r="1430" ht="15" customHeight="1">
      <c r="A1430" t="inlineStr">
        <is>
          <t>A 33261-2025</t>
        </is>
      </c>
      <c r="B1430" t="inlineStr">
        <is>
          <t>avverkningsanmälan</t>
        </is>
      </c>
      <c r="C1430" t="inlineStr">
        <is>
          <t>Föryngringsavverkning</t>
        </is>
      </c>
      <c r="D1430" s="1" t="n">
        <v>45840</v>
      </c>
      <c r="E1430" s="1" t="n">
        <v>46309</v>
      </c>
      <c r="F1430" t="inlineStr">
        <is>
          <t>UPPSALA LÄN</t>
        </is>
      </c>
      <c r="G1430" t="inlineStr">
        <is>
          <t>UPPSALA</t>
        </is>
      </c>
      <c r="I1430" t="n">
        <v>3.4</v>
      </c>
      <c r="J1430" t="n">
        <v>0</v>
      </c>
      <c r="K1430" t="n">
        <v>0</v>
      </c>
      <c r="L1430" t="n">
        <v>0</v>
      </c>
      <c r="M1430" t="n">
        <v>0</v>
      </c>
      <c r="N1430" t="n">
        <v>0</v>
      </c>
      <c r="O1430" t="n">
        <v>0</v>
      </c>
      <c r="P1430" t="n">
        <v>0</v>
      </c>
      <c r="Q1430" t="n">
        <v>0</v>
      </c>
      <c r="R1430" t="n">
        <v>0</v>
      </c>
      <c r="S1430" t="n">
        <v>0</v>
      </c>
      <c r="T1430" t="n">
        <v>0</v>
      </c>
      <c r="U1430" t="n">
        <v>0</v>
      </c>
      <c r="V1430" s="2" t="inlineStr"/>
    </row>
    <row r="1431" ht="15" customHeight="1">
      <c r="A1431" t="inlineStr">
        <is>
          <t>A 47999-2025</t>
        </is>
      </c>
      <c r="B1431" t="inlineStr">
        <is>
          <t>avverkningsanmälan</t>
        </is>
      </c>
      <c r="C1431" t="inlineStr">
        <is>
          <t>Föryngringsavverkning</t>
        </is>
      </c>
      <c r="D1431" s="1" t="n">
        <v>45932</v>
      </c>
      <c r="E1431" s="1" t="n">
        <v>46309</v>
      </c>
      <c r="F1431" t="inlineStr">
        <is>
          <t>UPPSALA LÄN</t>
        </is>
      </c>
      <c r="G1431" t="inlineStr">
        <is>
          <t>UPPSALA</t>
        </is>
      </c>
      <c r="H1431" t="inlineStr">
        <is>
          <t>Allmännings- och besparingsskogar</t>
        </is>
      </c>
      <c r="I1431" t="n">
        <v>1</v>
      </c>
      <c r="J1431" t="n">
        <v>0</v>
      </c>
      <c r="K1431" t="n">
        <v>0</v>
      </c>
      <c r="L1431" t="n">
        <v>0</v>
      </c>
      <c r="M1431" t="n">
        <v>0</v>
      </c>
      <c r="N1431" t="n">
        <v>0</v>
      </c>
      <c r="O1431" t="n">
        <v>0</v>
      </c>
      <c r="P1431" t="n">
        <v>0</v>
      </c>
      <c r="Q1431" t="n">
        <v>0</v>
      </c>
      <c r="R1431" t="n">
        <v>0</v>
      </c>
      <c r="S1431" t="n">
        <v>0</v>
      </c>
      <c r="T1431" t="n">
        <v>0</v>
      </c>
      <c r="U1431" t="n">
        <v>0</v>
      </c>
      <c r="V1431" s="2" t="inlineStr"/>
    </row>
    <row r="1432" ht="15" customHeight="1">
      <c r="A1432" t="inlineStr">
        <is>
          <t>A 4409-2023</t>
        </is>
      </c>
      <c r="B1432" t="inlineStr">
        <is>
          <t>avverkningsanmälan</t>
        </is>
      </c>
      <c r="C1432" t="inlineStr">
        <is>
          <t>Föryngringsavverkning</t>
        </is>
      </c>
      <c r="D1432" s="1" t="n">
        <v>44956</v>
      </c>
      <c r="E1432" s="1" t="n">
        <v>46309</v>
      </c>
      <c r="F1432" t="inlineStr">
        <is>
          <t>UPPSALA LÄN</t>
        </is>
      </c>
      <c r="G1432" t="inlineStr">
        <is>
          <t>TIERP</t>
        </is>
      </c>
      <c r="H1432" t="inlineStr">
        <is>
          <t>Bergvik skog öst AB</t>
        </is>
      </c>
      <c r="I1432" t="n">
        <v>3.7</v>
      </c>
      <c r="J1432" t="n">
        <v>0</v>
      </c>
      <c r="K1432" t="n">
        <v>0</v>
      </c>
      <c r="L1432" t="n">
        <v>0</v>
      </c>
      <c r="M1432" t="n">
        <v>0</v>
      </c>
      <c r="N1432" t="n">
        <v>0</v>
      </c>
      <c r="O1432" t="n">
        <v>0</v>
      </c>
      <c r="P1432" t="n">
        <v>0</v>
      </c>
      <c r="Q1432" t="n">
        <v>0</v>
      </c>
      <c r="R1432" t="n">
        <v>0</v>
      </c>
      <c r="S1432" t="n">
        <v>0</v>
      </c>
      <c r="T1432" t="n">
        <v>0</v>
      </c>
      <c r="U1432" t="n">
        <v>0</v>
      </c>
      <c r="V1432" s="2" t="inlineStr"/>
    </row>
    <row r="1433" ht="15" customHeight="1">
      <c r="A1433" t="inlineStr">
        <is>
          <t>A 47615-2025</t>
        </is>
      </c>
      <c r="B1433" t="inlineStr">
        <is>
          <t>avverkningsanmälan</t>
        </is>
      </c>
      <c r="C1433" t="inlineStr">
        <is>
          <t>Föryngringsavverkning</t>
        </is>
      </c>
      <c r="D1433" s="1" t="n">
        <v>45931</v>
      </c>
      <c r="E1433" s="1" t="n">
        <v>46309</v>
      </c>
      <c r="F1433" t="inlineStr">
        <is>
          <t>UPPSALA LÄN</t>
        </is>
      </c>
      <c r="G1433" t="inlineStr">
        <is>
          <t>ÖSTHAMMAR</t>
        </is>
      </c>
      <c r="I1433" t="n">
        <v>7</v>
      </c>
      <c r="J1433" t="n">
        <v>0</v>
      </c>
      <c r="K1433" t="n">
        <v>0</v>
      </c>
      <c r="L1433" t="n">
        <v>0</v>
      </c>
      <c r="M1433" t="n">
        <v>0</v>
      </c>
      <c r="N1433" t="n">
        <v>0</v>
      </c>
      <c r="O1433" t="n">
        <v>0</v>
      </c>
      <c r="P1433" t="n">
        <v>0</v>
      </c>
      <c r="Q1433" t="n">
        <v>0</v>
      </c>
      <c r="R1433" t="n">
        <v>0</v>
      </c>
      <c r="S1433" t="n">
        <v>0</v>
      </c>
      <c r="T1433" t="n">
        <v>0</v>
      </c>
      <c r="U1433" t="n">
        <v>0</v>
      </c>
      <c r="V1433" s="2" t="inlineStr"/>
    </row>
    <row r="1434" ht="15" customHeight="1">
      <c r="A1434" t="inlineStr">
        <is>
          <t>A 33394-2024</t>
        </is>
      </c>
      <c r="B1434" t="inlineStr">
        <is>
          <t>avverkningsanmälan</t>
        </is>
      </c>
      <c r="C1434" t="inlineStr">
        <is>
          <t>Föryngringsavverkning</t>
        </is>
      </c>
      <c r="D1434" s="1" t="n">
        <v>45519</v>
      </c>
      <c r="E1434" s="1" t="n">
        <v>46309</v>
      </c>
      <c r="F1434" t="inlineStr">
        <is>
          <t>UPPSALA LÄN</t>
        </is>
      </c>
      <c r="G1434" t="inlineStr">
        <is>
          <t>HEBY</t>
        </is>
      </c>
      <c r="I1434" t="n">
        <v>1</v>
      </c>
      <c r="J1434" t="n">
        <v>0</v>
      </c>
      <c r="K1434" t="n">
        <v>0</v>
      </c>
      <c r="L1434" t="n">
        <v>0</v>
      </c>
      <c r="M1434" t="n">
        <v>0</v>
      </c>
      <c r="N1434" t="n">
        <v>0</v>
      </c>
      <c r="O1434" t="n">
        <v>0</v>
      </c>
      <c r="P1434" t="n">
        <v>0</v>
      </c>
      <c r="Q1434" t="n">
        <v>0</v>
      </c>
      <c r="R1434" t="n">
        <v>0</v>
      </c>
      <c r="S1434" t="n">
        <v>0</v>
      </c>
      <c r="T1434" t="n">
        <v>0</v>
      </c>
      <c r="U1434" t="n">
        <v>0</v>
      </c>
      <c r="V1434" s="2" t="inlineStr"/>
    </row>
    <row r="1435" ht="15" customHeight="1">
      <c r="A1435" t="inlineStr">
        <is>
          <t>A 48545-2025</t>
        </is>
      </c>
      <c r="B1435" t="inlineStr">
        <is>
          <t>avverkningsanmälan</t>
        </is>
      </c>
      <c r="C1435" t="inlineStr">
        <is>
          <t>Föryngringsavverkning</t>
        </is>
      </c>
      <c r="D1435" s="1" t="n">
        <v>45936</v>
      </c>
      <c r="E1435" s="1" t="n">
        <v>46309</v>
      </c>
      <c r="F1435" t="inlineStr">
        <is>
          <t>UPPSALA LÄN</t>
        </is>
      </c>
      <c r="G1435" t="inlineStr">
        <is>
          <t>TIERP</t>
        </is>
      </c>
      <c r="H1435" t="inlineStr">
        <is>
          <t>Bergvik skog väst AB</t>
        </is>
      </c>
      <c r="I1435" t="n">
        <v>8</v>
      </c>
      <c r="J1435" t="n">
        <v>0</v>
      </c>
      <c r="K1435" t="n">
        <v>0</v>
      </c>
      <c r="L1435" t="n">
        <v>0</v>
      </c>
      <c r="M1435" t="n">
        <v>0</v>
      </c>
      <c r="N1435" t="n">
        <v>0</v>
      </c>
      <c r="O1435" t="n">
        <v>0</v>
      </c>
      <c r="P1435" t="n">
        <v>0</v>
      </c>
      <c r="Q1435" t="n">
        <v>0</v>
      </c>
      <c r="R1435" t="n">
        <v>0</v>
      </c>
      <c r="S1435" t="n">
        <v>0</v>
      </c>
      <c r="T1435" t="n">
        <v>0</v>
      </c>
      <c r="U1435" t="n">
        <v>0</v>
      </c>
      <c r="V1435" s="2" t="inlineStr"/>
    </row>
    <row r="1436" ht="15" customHeight="1">
      <c r="A1436" t="inlineStr">
        <is>
          <t>A 15740-2025</t>
        </is>
      </c>
      <c r="B1436" t="inlineStr">
        <is>
          <t>avverkningsanmälan</t>
        </is>
      </c>
      <c r="C1436" t="inlineStr">
        <is>
          <t>Föryngringsavverkning</t>
        </is>
      </c>
      <c r="D1436" s="1" t="n">
        <v>45748</v>
      </c>
      <c r="E1436" s="1" t="n">
        <v>46309</v>
      </c>
      <c r="F1436" t="inlineStr">
        <is>
          <t>UPPSALA LÄN</t>
        </is>
      </c>
      <c r="G1436" t="inlineStr">
        <is>
          <t>ENKÖPING</t>
        </is>
      </c>
      <c r="I1436" t="n">
        <v>0.9</v>
      </c>
      <c r="J1436" t="n">
        <v>0</v>
      </c>
      <c r="K1436" t="n">
        <v>0</v>
      </c>
      <c r="L1436" t="n">
        <v>0</v>
      </c>
      <c r="M1436" t="n">
        <v>0</v>
      </c>
      <c r="N1436" t="n">
        <v>0</v>
      </c>
      <c r="O1436" t="n">
        <v>0</v>
      </c>
      <c r="P1436" t="n">
        <v>0</v>
      </c>
      <c r="Q1436" t="n">
        <v>0</v>
      </c>
      <c r="R1436" t="n">
        <v>0</v>
      </c>
      <c r="S1436" t="n">
        <v>0</v>
      </c>
      <c r="T1436" t="n">
        <v>0</v>
      </c>
      <c r="U1436" t="n">
        <v>0</v>
      </c>
      <c r="V1436" s="2" t="inlineStr"/>
    </row>
    <row r="1437" ht="15" customHeight="1">
      <c r="A1437" t="inlineStr">
        <is>
          <t>A 34072-2025</t>
        </is>
      </c>
      <c r="B1437" t="inlineStr">
        <is>
          <t>avverkningsanmälan</t>
        </is>
      </c>
      <c r="C1437" t="inlineStr">
        <is>
          <t>Föryngringsavverkning</t>
        </is>
      </c>
      <c r="D1437" s="1" t="n">
        <v>45845</v>
      </c>
      <c r="E1437" s="1" t="n">
        <v>46309</v>
      </c>
      <c r="F1437" t="inlineStr">
        <is>
          <t>UPPSALA LÄN</t>
        </is>
      </c>
      <c r="G1437" t="inlineStr">
        <is>
          <t>HEBY</t>
        </is>
      </c>
      <c r="I1437" t="n">
        <v>5.8</v>
      </c>
      <c r="J1437" t="n">
        <v>0</v>
      </c>
      <c r="K1437" t="n">
        <v>0</v>
      </c>
      <c r="L1437" t="n">
        <v>0</v>
      </c>
      <c r="M1437" t="n">
        <v>0</v>
      </c>
      <c r="N1437" t="n">
        <v>0</v>
      </c>
      <c r="O1437" t="n">
        <v>0</v>
      </c>
      <c r="P1437" t="n">
        <v>0</v>
      </c>
      <c r="Q1437" t="n">
        <v>0</v>
      </c>
      <c r="R1437" t="n">
        <v>0</v>
      </c>
      <c r="S1437" t="n">
        <v>0</v>
      </c>
      <c r="T1437" t="n">
        <v>0</v>
      </c>
      <c r="U1437" t="n">
        <v>0</v>
      </c>
      <c r="V1437" s="2" t="inlineStr"/>
    </row>
    <row r="1438" ht="15" customHeight="1">
      <c r="A1438" t="inlineStr">
        <is>
          <t>A 7359-2023</t>
        </is>
      </c>
      <c r="B1438" t="inlineStr">
        <is>
          <t>avverkningsanmälan</t>
        </is>
      </c>
      <c r="C1438" t="inlineStr">
        <is>
          <t>Föryngringsavverkning</t>
        </is>
      </c>
      <c r="D1438" s="1" t="n">
        <v>44966</v>
      </c>
      <c r="E1438" s="1" t="n">
        <v>46309</v>
      </c>
      <c r="F1438" t="inlineStr">
        <is>
          <t>UPPSALA LÄN</t>
        </is>
      </c>
      <c r="G1438" t="inlineStr">
        <is>
          <t>TIERP</t>
        </is>
      </c>
      <c r="I1438" t="n">
        <v>3.4</v>
      </c>
      <c r="J1438" t="n">
        <v>0</v>
      </c>
      <c r="K1438" t="n">
        <v>0</v>
      </c>
      <c r="L1438" t="n">
        <v>0</v>
      </c>
      <c r="M1438" t="n">
        <v>0</v>
      </c>
      <c r="N1438" t="n">
        <v>0</v>
      </c>
      <c r="O1438" t="n">
        <v>0</v>
      </c>
      <c r="P1438" t="n">
        <v>0</v>
      </c>
      <c r="Q1438" t="n">
        <v>0</v>
      </c>
      <c r="R1438" t="n">
        <v>0</v>
      </c>
      <c r="S1438" t="n">
        <v>0</v>
      </c>
      <c r="T1438" t="n">
        <v>0</v>
      </c>
      <c r="U1438" t="n">
        <v>0</v>
      </c>
      <c r="V1438" s="2" t="inlineStr"/>
    </row>
    <row r="1439" ht="15" customHeight="1">
      <c r="A1439" t="inlineStr">
        <is>
          <t>A 3314-2025</t>
        </is>
      </c>
      <c r="B1439" t="inlineStr">
        <is>
          <t>avverkningsanmälan</t>
        </is>
      </c>
      <c r="C1439" t="inlineStr">
        <is>
          <t>Föryngringsavverkning</t>
        </is>
      </c>
      <c r="D1439" s="1" t="n">
        <v>45679</v>
      </c>
      <c r="E1439" s="1" t="n">
        <v>46309</v>
      </c>
      <c r="F1439" t="inlineStr">
        <is>
          <t>UPPSALA LÄN</t>
        </is>
      </c>
      <c r="G1439" t="inlineStr">
        <is>
          <t>UPPSALA</t>
        </is>
      </c>
      <c r="I1439" t="n">
        <v>0.8</v>
      </c>
      <c r="J1439" t="n">
        <v>0</v>
      </c>
      <c r="K1439" t="n">
        <v>0</v>
      </c>
      <c r="L1439" t="n">
        <v>0</v>
      </c>
      <c r="M1439" t="n">
        <v>0</v>
      </c>
      <c r="N1439" t="n">
        <v>0</v>
      </c>
      <c r="O1439" t="n">
        <v>0</v>
      </c>
      <c r="P1439" t="n">
        <v>0</v>
      </c>
      <c r="Q1439" t="n">
        <v>0</v>
      </c>
      <c r="R1439" t="n">
        <v>0</v>
      </c>
      <c r="S1439" t="n">
        <v>0</v>
      </c>
      <c r="T1439" t="n">
        <v>0</v>
      </c>
      <c r="U1439" t="n">
        <v>0</v>
      </c>
      <c r="V1439" s="2" t="inlineStr"/>
    </row>
    <row r="1440" ht="15" customHeight="1">
      <c r="A1440" t="inlineStr">
        <is>
          <t>A 29747-2025</t>
        </is>
      </c>
      <c r="B1440" t="inlineStr">
        <is>
          <t>avverkningsanmälan</t>
        </is>
      </c>
      <c r="C1440" t="inlineStr">
        <is>
          <t>Föryngringsavverkning</t>
        </is>
      </c>
      <c r="D1440" s="1" t="n">
        <v>45825</v>
      </c>
      <c r="E1440" s="1" t="n">
        <v>46309</v>
      </c>
      <c r="F1440" t="inlineStr">
        <is>
          <t>UPPSALA LÄN</t>
        </is>
      </c>
      <c r="G1440" t="inlineStr">
        <is>
          <t>HEBY</t>
        </is>
      </c>
      <c r="H1440" t="inlineStr">
        <is>
          <t>Bergvik skog väst AB</t>
        </is>
      </c>
      <c r="I1440" t="n">
        <v>11.8</v>
      </c>
      <c r="J1440" t="n">
        <v>0</v>
      </c>
      <c r="K1440" t="n">
        <v>0</v>
      </c>
      <c r="L1440" t="n">
        <v>0</v>
      </c>
      <c r="M1440" t="n">
        <v>0</v>
      </c>
      <c r="N1440" t="n">
        <v>0</v>
      </c>
      <c r="O1440" t="n">
        <v>0</v>
      </c>
      <c r="P1440" t="n">
        <v>0</v>
      </c>
      <c r="Q1440" t="n">
        <v>0</v>
      </c>
      <c r="R1440" t="n">
        <v>0</v>
      </c>
      <c r="S1440" t="n">
        <v>0</v>
      </c>
      <c r="T1440" t="n">
        <v>0</v>
      </c>
      <c r="U1440" t="n">
        <v>0</v>
      </c>
      <c r="V1440" s="2" t="inlineStr"/>
    </row>
    <row r="1441" ht="15" customHeight="1">
      <c r="A1441" t="inlineStr">
        <is>
          <t>A 61817-2021</t>
        </is>
      </c>
      <c r="B1441" t="inlineStr">
        <is>
          <t>avverkningsanmälan</t>
        </is>
      </c>
      <c r="C1441" t="inlineStr">
        <is>
          <t>Föryngringsavverkning</t>
        </is>
      </c>
      <c r="D1441" s="1" t="n">
        <v>44501</v>
      </c>
      <c r="E1441" s="1" t="n">
        <v>46309</v>
      </c>
      <c r="F1441" t="inlineStr">
        <is>
          <t>UPPSALA LÄN</t>
        </is>
      </c>
      <c r="G1441" t="inlineStr">
        <is>
          <t>ÖSTHAMMAR</t>
        </is>
      </c>
      <c r="H1441" t="inlineStr">
        <is>
          <t>Bergvik skog öst AB</t>
        </is>
      </c>
      <c r="I1441" t="n">
        <v>2.3</v>
      </c>
      <c r="J1441" t="n">
        <v>0</v>
      </c>
      <c r="K1441" t="n">
        <v>0</v>
      </c>
      <c r="L1441" t="n">
        <v>0</v>
      </c>
      <c r="M1441" t="n">
        <v>0</v>
      </c>
      <c r="N1441" t="n">
        <v>0</v>
      </c>
      <c r="O1441" t="n">
        <v>0</v>
      </c>
      <c r="P1441" t="n">
        <v>0</v>
      </c>
      <c r="Q1441" t="n">
        <v>0</v>
      </c>
      <c r="R1441" t="n">
        <v>0</v>
      </c>
      <c r="S1441" t="n">
        <v>0</v>
      </c>
      <c r="T1441" t="n">
        <v>0</v>
      </c>
      <c r="U1441" t="n">
        <v>0</v>
      </c>
      <c r="V1441" s="2" t="inlineStr"/>
    </row>
    <row r="1442" ht="15" customHeight="1">
      <c r="A1442" t="inlineStr">
        <is>
          <t>A 73982-2021</t>
        </is>
      </c>
      <c r="B1442" t="inlineStr">
        <is>
          <t>avverkningsanmälan</t>
        </is>
      </c>
      <c r="C1442" t="inlineStr">
        <is>
          <t>Föryngringsavverkning</t>
        </is>
      </c>
      <c r="D1442" s="1" t="n">
        <v>44555</v>
      </c>
      <c r="E1442" s="1" t="n">
        <v>46309</v>
      </c>
      <c r="F1442" t="inlineStr">
        <is>
          <t>UPPSALA LÄN</t>
        </is>
      </c>
      <c r="G1442" t="inlineStr">
        <is>
          <t>ÖSTHAMMAR</t>
        </is>
      </c>
      <c r="I1442" t="n">
        <v>0.9</v>
      </c>
      <c r="J1442" t="n">
        <v>0</v>
      </c>
      <c r="K1442" t="n">
        <v>0</v>
      </c>
      <c r="L1442" t="n">
        <v>0</v>
      </c>
      <c r="M1442" t="n">
        <v>0</v>
      </c>
      <c r="N1442" t="n">
        <v>0</v>
      </c>
      <c r="O1442" t="n">
        <v>0</v>
      </c>
      <c r="P1442" t="n">
        <v>0</v>
      </c>
      <c r="Q1442" t="n">
        <v>0</v>
      </c>
      <c r="R1442" t="n">
        <v>0</v>
      </c>
      <c r="S1442" t="n">
        <v>0</v>
      </c>
      <c r="T1442" t="n">
        <v>0</v>
      </c>
      <c r="U1442" t="n">
        <v>0</v>
      </c>
      <c r="V1442" s="2" t="inlineStr"/>
    </row>
    <row r="1443" ht="15" customHeight="1">
      <c r="A1443" t="inlineStr">
        <is>
          <t>A 74019-2021</t>
        </is>
      </c>
      <c r="B1443" t="inlineStr">
        <is>
          <t>avverkningsanmälan</t>
        </is>
      </c>
      <c r="C1443" t="inlineStr">
        <is>
          <t>Avverkning för att bevara och utveckla /försöksver</t>
        </is>
      </c>
      <c r="D1443" s="1" t="n">
        <v>44553</v>
      </c>
      <c r="E1443" s="1" t="n">
        <v>46309</v>
      </c>
      <c r="F1443" t="inlineStr">
        <is>
          <t>UPPSALA LÄN</t>
        </is>
      </c>
      <c r="G1443" t="inlineStr">
        <is>
          <t>UPPSALA</t>
        </is>
      </c>
      <c r="I1443" t="n">
        <v>3</v>
      </c>
      <c r="J1443" t="n">
        <v>0</v>
      </c>
      <c r="K1443" t="n">
        <v>0</v>
      </c>
      <c r="L1443" t="n">
        <v>0</v>
      </c>
      <c r="M1443" t="n">
        <v>0</v>
      </c>
      <c r="N1443" t="n">
        <v>0</v>
      </c>
      <c r="O1443" t="n">
        <v>0</v>
      </c>
      <c r="P1443" t="n">
        <v>0</v>
      </c>
      <c r="Q1443" t="n">
        <v>0</v>
      </c>
      <c r="R1443" t="n">
        <v>0</v>
      </c>
      <c r="S1443" t="n">
        <v>0</v>
      </c>
      <c r="T1443" t="n">
        <v>0</v>
      </c>
      <c r="U1443" t="n">
        <v>0</v>
      </c>
      <c r="V1443" s="2" t="inlineStr"/>
    </row>
    <row r="1444" ht="15" customHeight="1">
      <c r="A1444" t="inlineStr">
        <is>
          <t>A 48550-2025</t>
        </is>
      </c>
      <c r="B1444" t="inlineStr">
        <is>
          <t>avverkningsanmälan</t>
        </is>
      </c>
      <c r="C1444" t="inlineStr">
        <is>
          <t>Föryngringsavverkning</t>
        </is>
      </c>
      <c r="D1444" s="1" t="n">
        <v>45936</v>
      </c>
      <c r="E1444" s="1" t="n">
        <v>46309</v>
      </c>
      <c r="F1444" t="inlineStr">
        <is>
          <t>UPPSALA LÄN</t>
        </is>
      </c>
      <c r="G1444" t="inlineStr">
        <is>
          <t>TIERP</t>
        </is>
      </c>
      <c r="H1444" t="inlineStr">
        <is>
          <t>Bergvik skog väst AB</t>
        </is>
      </c>
      <c r="I1444" t="n">
        <v>1.7</v>
      </c>
      <c r="J1444" t="n">
        <v>0</v>
      </c>
      <c r="K1444" t="n">
        <v>0</v>
      </c>
      <c r="L1444" t="n">
        <v>0</v>
      </c>
      <c r="M1444" t="n">
        <v>0</v>
      </c>
      <c r="N1444" t="n">
        <v>0</v>
      </c>
      <c r="O1444" t="n">
        <v>0</v>
      </c>
      <c r="P1444" t="n">
        <v>0</v>
      </c>
      <c r="Q1444" t="n">
        <v>0</v>
      </c>
      <c r="R1444" t="n">
        <v>0</v>
      </c>
      <c r="S1444" t="n">
        <v>0</v>
      </c>
      <c r="T1444" t="n">
        <v>0</v>
      </c>
      <c r="U1444" t="n">
        <v>0</v>
      </c>
      <c r="V1444" s="2" t="inlineStr"/>
    </row>
    <row r="1445" ht="15" customHeight="1">
      <c r="A1445" t="inlineStr">
        <is>
          <t>A 57848-2024</t>
        </is>
      </c>
      <c r="B1445" t="inlineStr">
        <is>
          <t>avverkningsanmälan</t>
        </is>
      </c>
      <c r="C1445" t="inlineStr">
        <is>
          <t>Föryngringsavverkning</t>
        </is>
      </c>
      <c r="D1445" s="1" t="n">
        <v>45631</v>
      </c>
      <c r="E1445" s="1" t="n">
        <v>46309</v>
      </c>
      <c r="F1445" t="inlineStr">
        <is>
          <t>UPPSALA LÄN</t>
        </is>
      </c>
      <c r="G1445" t="inlineStr">
        <is>
          <t>ENKÖPING</t>
        </is>
      </c>
      <c r="I1445" t="n">
        <v>1.2</v>
      </c>
      <c r="J1445" t="n">
        <v>0</v>
      </c>
      <c r="K1445" t="n">
        <v>0</v>
      </c>
      <c r="L1445" t="n">
        <v>0</v>
      </c>
      <c r="M1445" t="n">
        <v>0</v>
      </c>
      <c r="N1445" t="n">
        <v>0</v>
      </c>
      <c r="O1445" t="n">
        <v>0</v>
      </c>
      <c r="P1445" t="n">
        <v>0</v>
      </c>
      <c r="Q1445" t="n">
        <v>0</v>
      </c>
      <c r="R1445" t="n">
        <v>0</v>
      </c>
      <c r="S1445" t="n">
        <v>0</v>
      </c>
      <c r="T1445" t="n">
        <v>0</v>
      </c>
      <c r="U1445" t="n">
        <v>0</v>
      </c>
      <c r="V1445" s="2" t="inlineStr"/>
    </row>
    <row r="1446" ht="15" customHeight="1">
      <c r="A1446" t="inlineStr">
        <is>
          <t>A 18625-2025</t>
        </is>
      </c>
      <c r="B1446" t="inlineStr">
        <is>
          <t>avverkningsanmälan</t>
        </is>
      </c>
      <c r="C1446" t="inlineStr">
        <is>
          <t>Föryngringsavverkning</t>
        </is>
      </c>
      <c r="D1446" s="1" t="n">
        <v>45763</v>
      </c>
      <c r="E1446" s="1" t="n">
        <v>46309</v>
      </c>
      <c r="F1446" t="inlineStr">
        <is>
          <t>UPPSALA LÄN</t>
        </is>
      </c>
      <c r="G1446" t="inlineStr">
        <is>
          <t>UPPSALA</t>
        </is>
      </c>
      <c r="I1446" t="n">
        <v>1.8</v>
      </c>
      <c r="J1446" t="n">
        <v>0</v>
      </c>
      <c r="K1446" t="n">
        <v>0</v>
      </c>
      <c r="L1446" t="n">
        <v>0</v>
      </c>
      <c r="M1446" t="n">
        <v>0</v>
      </c>
      <c r="N1446" t="n">
        <v>0</v>
      </c>
      <c r="O1446" t="n">
        <v>0</v>
      </c>
      <c r="P1446" t="n">
        <v>0</v>
      </c>
      <c r="Q1446" t="n">
        <v>0</v>
      </c>
      <c r="R1446" t="n">
        <v>0</v>
      </c>
      <c r="S1446" t="n">
        <v>0</v>
      </c>
      <c r="T1446" t="n">
        <v>0</v>
      </c>
      <c r="U1446" t="n">
        <v>0</v>
      </c>
      <c r="V1446" s="2" t="inlineStr"/>
    </row>
    <row r="1447" ht="15" customHeight="1">
      <c r="A1447" t="inlineStr">
        <is>
          <t>A 33972-2025</t>
        </is>
      </c>
      <c r="B1447" t="inlineStr">
        <is>
          <t>avverkningsanmälan</t>
        </is>
      </c>
      <c r="C1447" t="inlineStr">
        <is>
          <t>Föryngringsavverkning</t>
        </is>
      </c>
      <c r="D1447" s="1" t="n">
        <v>45842</v>
      </c>
      <c r="E1447" s="1" t="n">
        <v>46309</v>
      </c>
      <c r="F1447" t="inlineStr">
        <is>
          <t>UPPSALA LÄN</t>
        </is>
      </c>
      <c r="G1447" t="inlineStr">
        <is>
          <t>ÖSTHAMMAR</t>
        </is>
      </c>
      <c r="I1447" t="n">
        <v>0.8</v>
      </c>
      <c r="J1447" t="n">
        <v>0</v>
      </c>
      <c r="K1447" t="n">
        <v>0</v>
      </c>
      <c r="L1447" t="n">
        <v>0</v>
      </c>
      <c r="M1447" t="n">
        <v>0</v>
      </c>
      <c r="N1447" t="n">
        <v>0</v>
      </c>
      <c r="O1447" t="n">
        <v>0</v>
      </c>
      <c r="P1447" t="n">
        <v>0</v>
      </c>
      <c r="Q1447" t="n">
        <v>0</v>
      </c>
      <c r="R1447" t="n">
        <v>0</v>
      </c>
      <c r="S1447" t="n">
        <v>0</v>
      </c>
      <c r="T1447" t="n">
        <v>0</v>
      </c>
      <c r="U1447" t="n">
        <v>0</v>
      </c>
      <c r="V1447" s="2" t="inlineStr"/>
    </row>
    <row r="1448" ht="15" customHeight="1">
      <c r="A1448" t="inlineStr">
        <is>
          <t>A 26395-2025</t>
        </is>
      </c>
      <c r="B1448" t="inlineStr">
        <is>
          <t>avverkningsanmälan</t>
        </is>
      </c>
      <c r="C1448" t="inlineStr">
        <is>
          <t>Föryngringsavverkning</t>
        </is>
      </c>
      <c r="D1448" s="1" t="n">
        <v>45807</v>
      </c>
      <c r="E1448" s="1" t="n">
        <v>46309</v>
      </c>
      <c r="F1448" t="inlineStr">
        <is>
          <t>UPPSALA LÄN</t>
        </is>
      </c>
      <c r="G1448" t="inlineStr">
        <is>
          <t>ÖSTHAMMAR</t>
        </is>
      </c>
      <c r="I1448" t="n">
        <v>7</v>
      </c>
      <c r="J1448" t="n">
        <v>0</v>
      </c>
      <c r="K1448" t="n">
        <v>0</v>
      </c>
      <c r="L1448" t="n">
        <v>0</v>
      </c>
      <c r="M1448" t="n">
        <v>0</v>
      </c>
      <c r="N1448" t="n">
        <v>0</v>
      </c>
      <c r="O1448" t="n">
        <v>0</v>
      </c>
      <c r="P1448" t="n">
        <v>0</v>
      </c>
      <c r="Q1448" t="n">
        <v>0</v>
      </c>
      <c r="R1448" t="n">
        <v>0</v>
      </c>
      <c r="S1448" t="n">
        <v>0</v>
      </c>
      <c r="T1448" t="n">
        <v>0</v>
      </c>
      <c r="U1448" t="n">
        <v>0</v>
      </c>
      <c r="V1448" s="2" t="inlineStr"/>
    </row>
    <row r="1449" ht="15" customHeight="1">
      <c r="A1449" t="inlineStr">
        <is>
          <t>A 14272-2025</t>
        </is>
      </c>
      <c r="B1449" t="inlineStr">
        <is>
          <t>avverkningsanmälan</t>
        </is>
      </c>
      <c r="C1449" t="inlineStr">
        <is>
          <t>Föryngringsavverkning</t>
        </is>
      </c>
      <c r="D1449" s="1" t="n">
        <v>45740</v>
      </c>
      <c r="E1449" s="1" t="n">
        <v>46309</v>
      </c>
      <c r="F1449" t="inlineStr">
        <is>
          <t>UPPSALA LÄN</t>
        </is>
      </c>
      <c r="G1449" t="inlineStr">
        <is>
          <t>ÖSTHAMMAR</t>
        </is>
      </c>
      <c r="I1449" t="n">
        <v>5.7</v>
      </c>
      <c r="J1449" t="n">
        <v>0</v>
      </c>
      <c r="K1449" t="n">
        <v>0</v>
      </c>
      <c r="L1449" t="n">
        <v>0</v>
      </c>
      <c r="M1449" t="n">
        <v>0</v>
      </c>
      <c r="N1449" t="n">
        <v>0</v>
      </c>
      <c r="O1449" t="n">
        <v>0</v>
      </c>
      <c r="P1449" t="n">
        <v>0</v>
      </c>
      <c r="Q1449" t="n">
        <v>0</v>
      </c>
      <c r="R1449" t="n">
        <v>0</v>
      </c>
      <c r="S1449" t="n">
        <v>0</v>
      </c>
      <c r="T1449" t="n">
        <v>0</v>
      </c>
      <c r="U1449" t="n">
        <v>0</v>
      </c>
      <c r="V1449" s="2" t="inlineStr"/>
    </row>
    <row r="1450" ht="15" customHeight="1">
      <c r="A1450" t="inlineStr">
        <is>
          <t>A 48674-2025</t>
        </is>
      </c>
      <c r="B1450" t="inlineStr">
        <is>
          <t>avverkningsanmälan</t>
        </is>
      </c>
      <c r="C1450" t="inlineStr">
        <is>
          <t>Föryngringsavverkning</t>
        </is>
      </c>
      <c r="D1450" s="1" t="n">
        <v>45936</v>
      </c>
      <c r="E1450" s="1" t="n">
        <v>46309</v>
      </c>
      <c r="F1450" t="inlineStr">
        <is>
          <t>UPPSALA LÄN</t>
        </is>
      </c>
      <c r="G1450" t="inlineStr">
        <is>
          <t>TIERP</t>
        </is>
      </c>
      <c r="I1450" t="n">
        <v>4.7</v>
      </c>
      <c r="J1450" t="n">
        <v>0</v>
      </c>
      <c r="K1450" t="n">
        <v>0</v>
      </c>
      <c r="L1450" t="n">
        <v>0</v>
      </c>
      <c r="M1450" t="n">
        <v>0</v>
      </c>
      <c r="N1450" t="n">
        <v>0</v>
      </c>
      <c r="O1450" t="n">
        <v>0</v>
      </c>
      <c r="P1450" t="n">
        <v>0</v>
      </c>
      <c r="Q1450" t="n">
        <v>0</v>
      </c>
      <c r="R1450" t="n">
        <v>0</v>
      </c>
      <c r="S1450" t="n">
        <v>0</v>
      </c>
      <c r="T1450" t="n">
        <v>0</v>
      </c>
      <c r="U1450" t="n">
        <v>0</v>
      </c>
      <c r="V1450" s="2" t="inlineStr"/>
    </row>
    <row r="1451" ht="15" customHeight="1">
      <c r="A1451" t="inlineStr">
        <is>
          <t>A 48685-2025</t>
        </is>
      </c>
      <c r="B1451" t="inlineStr">
        <is>
          <t>avverkningsanmälan</t>
        </is>
      </c>
      <c r="C1451" t="inlineStr">
        <is>
          <t>Föryngringsavverkning</t>
        </is>
      </c>
      <c r="D1451" s="1" t="n">
        <v>45936</v>
      </c>
      <c r="E1451" s="1" t="n">
        <v>46309</v>
      </c>
      <c r="F1451" t="inlineStr">
        <is>
          <t>UPPSALA LÄN</t>
        </is>
      </c>
      <c r="G1451" t="inlineStr">
        <is>
          <t>TIERP</t>
        </is>
      </c>
      <c r="I1451" t="n">
        <v>0.4</v>
      </c>
      <c r="J1451" t="n">
        <v>0</v>
      </c>
      <c r="K1451" t="n">
        <v>0</v>
      </c>
      <c r="L1451" t="n">
        <v>0</v>
      </c>
      <c r="M1451" t="n">
        <v>0</v>
      </c>
      <c r="N1451" t="n">
        <v>0</v>
      </c>
      <c r="O1451" t="n">
        <v>0</v>
      </c>
      <c r="P1451" t="n">
        <v>0</v>
      </c>
      <c r="Q1451" t="n">
        <v>0</v>
      </c>
      <c r="R1451" t="n">
        <v>0</v>
      </c>
      <c r="S1451" t="n">
        <v>0</v>
      </c>
      <c r="T1451" t="n">
        <v>0</v>
      </c>
      <c r="U1451" t="n">
        <v>0</v>
      </c>
      <c r="V1451" s="2" t="inlineStr"/>
    </row>
    <row r="1452" ht="15" customHeight="1">
      <c r="A1452" t="inlineStr">
        <is>
          <t>A 18412-2025</t>
        </is>
      </c>
      <c r="B1452" t="inlineStr">
        <is>
          <t>avverkningsanmälan</t>
        </is>
      </c>
      <c r="C1452" t="inlineStr">
        <is>
          <t>Föryngringsavverkning</t>
        </is>
      </c>
      <c r="D1452" s="1" t="n">
        <v>45762</v>
      </c>
      <c r="E1452" s="1" t="n">
        <v>46309</v>
      </c>
      <c r="F1452" t="inlineStr">
        <is>
          <t>UPPSALA LÄN</t>
        </is>
      </c>
      <c r="G1452" t="inlineStr">
        <is>
          <t>TIERP</t>
        </is>
      </c>
      <c r="H1452" t="inlineStr">
        <is>
          <t>Bergvik skog öst AB</t>
        </is>
      </c>
      <c r="I1452" t="n">
        <v>7.3</v>
      </c>
      <c r="J1452" t="n">
        <v>0</v>
      </c>
      <c r="K1452" t="n">
        <v>0</v>
      </c>
      <c r="L1452" t="n">
        <v>0</v>
      </c>
      <c r="M1452" t="n">
        <v>0</v>
      </c>
      <c r="N1452" t="n">
        <v>0</v>
      </c>
      <c r="O1452" t="n">
        <v>0</v>
      </c>
      <c r="P1452" t="n">
        <v>0</v>
      </c>
      <c r="Q1452" t="n">
        <v>0</v>
      </c>
      <c r="R1452" t="n">
        <v>0</v>
      </c>
      <c r="S1452" t="n">
        <v>0</v>
      </c>
      <c r="T1452" t="n">
        <v>0</v>
      </c>
      <c r="U1452" t="n">
        <v>0</v>
      </c>
      <c r="V1452" s="2" t="inlineStr"/>
    </row>
    <row r="1453" ht="15" customHeight="1">
      <c r="A1453" t="inlineStr">
        <is>
          <t>A 47506-2025</t>
        </is>
      </c>
      <c r="B1453" t="inlineStr">
        <is>
          <t>avverkningsanmälan</t>
        </is>
      </c>
      <c r="C1453" t="inlineStr">
        <is>
          <t>Föryngringsavverkning</t>
        </is>
      </c>
      <c r="D1453" s="1" t="n">
        <v>45930</v>
      </c>
      <c r="E1453" s="1" t="n">
        <v>46309</v>
      </c>
      <c r="F1453" t="inlineStr">
        <is>
          <t>UPPSALA LÄN</t>
        </is>
      </c>
      <c r="G1453" t="inlineStr">
        <is>
          <t>HEBY</t>
        </is>
      </c>
      <c r="I1453" t="n">
        <v>0.4</v>
      </c>
      <c r="J1453" t="n">
        <v>0</v>
      </c>
      <c r="K1453" t="n">
        <v>0</v>
      </c>
      <c r="L1453" t="n">
        <v>0</v>
      </c>
      <c r="M1453" t="n">
        <v>0</v>
      </c>
      <c r="N1453" t="n">
        <v>0</v>
      </c>
      <c r="O1453" t="n">
        <v>0</v>
      </c>
      <c r="P1453" t="n">
        <v>0</v>
      </c>
      <c r="Q1453" t="n">
        <v>0</v>
      </c>
      <c r="R1453" t="n">
        <v>0</v>
      </c>
      <c r="S1453" t="n">
        <v>0</v>
      </c>
      <c r="T1453" t="n">
        <v>0</v>
      </c>
      <c r="U1453" t="n">
        <v>0</v>
      </c>
      <c r="V1453" s="2" t="inlineStr"/>
    </row>
    <row r="1454" ht="15" customHeight="1">
      <c r="A1454" t="inlineStr">
        <is>
          <t>A 18994-2025</t>
        </is>
      </c>
      <c r="B1454" t="inlineStr">
        <is>
          <t>avverkningsanmälan</t>
        </is>
      </c>
      <c r="C1454" t="inlineStr">
        <is>
          <t>Föryngringsavverkning</t>
        </is>
      </c>
      <c r="D1454" s="1" t="n">
        <v>45764</v>
      </c>
      <c r="E1454" s="1" t="n">
        <v>46309</v>
      </c>
      <c r="F1454" t="inlineStr">
        <is>
          <t>UPPSALA LÄN</t>
        </is>
      </c>
      <c r="G1454" t="inlineStr">
        <is>
          <t>ENKÖPING</t>
        </is>
      </c>
      <c r="I1454" t="n">
        <v>3.8</v>
      </c>
      <c r="J1454" t="n">
        <v>0</v>
      </c>
      <c r="K1454" t="n">
        <v>0</v>
      </c>
      <c r="L1454" t="n">
        <v>0</v>
      </c>
      <c r="M1454" t="n">
        <v>0</v>
      </c>
      <c r="N1454" t="n">
        <v>0</v>
      </c>
      <c r="O1454" t="n">
        <v>0</v>
      </c>
      <c r="P1454" t="n">
        <v>0</v>
      </c>
      <c r="Q1454" t="n">
        <v>0</v>
      </c>
      <c r="R1454" t="n">
        <v>0</v>
      </c>
      <c r="S1454" t="n">
        <v>0</v>
      </c>
      <c r="T1454" t="n">
        <v>0</v>
      </c>
      <c r="U1454" t="n">
        <v>0</v>
      </c>
      <c r="V1454" s="2" t="inlineStr"/>
    </row>
    <row r="1455" ht="15" customHeight="1">
      <c r="A1455" t="inlineStr">
        <is>
          <t>A 49601-2024</t>
        </is>
      </c>
      <c r="B1455" t="inlineStr">
        <is>
          <t>avverkningsanmälan</t>
        </is>
      </c>
      <c r="C1455" t="inlineStr">
        <is>
          <t>Föryngringsavverkning</t>
        </is>
      </c>
      <c r="D1455" s="1" t="n">
        <v>45596</v>
      </c>
      <c r="E1455" s="1" t="n">
        <v>46309</v>
      </c>
      <c r="F1455" t="inlineStr">
        <is>
          <t>UPPSALA LÄN</t>
        </is>
      </c>
      <c r="G1455" t="inlineStr">
        <is>
          <t>ENKÖPING</t>
        </is>
      </c>
      <c r="I1455" t="n">
        <v>1.1</v>
      </c>
      <c r="J1455" t="n">
        <v>0</v>
      </c>
      <c r="K1455" t="n">
        <v>0</v>
      </c>
      <c r="L1455" t="n">
        <v>0</v>
      </c>
      <c r="M1455" t="n">
        <v>0</v>
      </c>
      <c r="N1455" t="n">
        <v>0</v>
      </c>
      <c r="O1455" t="n">
        <v>0</v>
      </c>
      <c r="P1455" t="n">
        <v>0</v>
      </c>
      <c r="Q1455" t="n">
        <v>0</v>
      </c>
      <c r="R1455" t="n">
        <v>0</v>
      </c>
      <c r="S1455" t="n">
        <v>0</v>
      </c>
      <c r="T1455" t="n">
        <v>0</v>
      </c>
      <c r="U1455" t="n">
        <v>0</v>
      </c>
      <c r="V1455" s="2" t="inlineStr"/>
    </row>
    <row r="1456" ht="15" customHeight="1">
      <c r="A1456" t="inlineStr">
        <is>
          <t>A 53906-2023</t>
        </is>
      </c>
      <c r="B1456" t="inlineStr">
        <is>
          <t>avverkningsanmälan</t>
        </is>
      </c>
      <c r="C1456" t="inlineStr">
        <is>
          <t>Föryngringsavverkning</t>
        </is>
      </c>
      <c r="D1456" s="1" t="n">
        <v>45231</v>
      </c>
      <c r="E1456" s="1" t="n">
        <v>46309</v>
      </c>
      <c r="F1456" t="inlineStr">
        <is>
          <t>UPPSALA LÄN</t>
        </is>
      </c>
      <c r="G1456" t="inlineStr">
        <is>
          <t>UPPSALA</t>
        </is>
      </c>
      <c r="I1456" t="n">
        <v>13.2</v>
      </c>
      <c r="J1456" t="n">
        <v>0</v>
      </c>
      <c r="K1456" t="n">
        <v>0</v>
      </c>
      <c r="L1456" t="n">
        <v>0</v>
      </c>
      <c r="M1456" t="n">
        <v>0</v>
      </c>
      <c r="N1456" t="n">
        <v>0</v>
      </c>
      <c r="O1456" t="n">
        <v>0</v>
      </c>
      <c r="P1456" t="n">
        <v>0</v>
      </c>
      <c r="Q1456" t="n">
        <v>0</v>
      </c>
      <c r="R1456" t="n">
        <v>0</v>
      </c>
      <c r="S1456" t="n">
        <v>0</v>
      </c>
      <c r="T1456" t="n">
        <v>0</v>
      </c>
      <c r="U1456" t="n">
        <v>0</v>
      </c>
      <c r="V1456" s="2" t="inlineStr"/>
    </row>
    <row r="1457" ht="15" customHeight="1">
      <c r="A1457" t="inlineStr">
        <is>
          <t>A 3438-2026</t>
        </is>
      </c>
      <c r="B1457" t="inlineStr">
        <is>
          <t>avverkningsanmälan</t>
        </is>
      </c>
      <c r="C1457" t="inlineStr">
        <is>
          <t>Föryngringsavverkning</t>
        </is>
      </c>
      <c r="D1457" s="1" t="n">
        <v>46042</v>
      </c>
      <c r="E1457" s="1" t="n">
        <v>46309</v>
      </c>
      <c r="F1457" t="inlineStr">
        <is>
          <t>UPPSALA LÄN</t>
        </is>
      </c>
      <c r="G1457" t="inlineStr">
        <is>
          <t>TIERP</t>
        </is>
      </c>
      <c r="I1457" t="n">
        <v>4.5</v>
      </c>
      <c r="J1457" t="n">
        <v>0</v>
      </c>
      <c r="K1457" t="n">
        <v>0</v>
      </c>
      <c r="L1457" t="n">
        <v>0</v>
      </c>
      <c r="M1457" t="n">
        <v>0</v>
      </c>
      <c r="N1457" t="n">
        <v>0</v>
      </c>
      <c r="O1457" t="n">
        <v>0</v>
      </c>
      <c r="P1457" t="n">
        <v>0</v>
      </c>
      <c r="Q1457" t="n">
        <v>0</v>
      </c>
      <c r="R1457" t="n">
        <v>0</v>
      </c>
      <c r="S1457" t="n">
        <v>0</v>
      </c>
      <c r="T1457" t="n">
        <v>0</v>
      </c>
      <c r="U1457" t="n">
        <v>0</v>
      </c>
      <c r="V1457" s="2" t="inlineStr"/>
    </row>
    <row r="1458" ht="15" customHeight="1">
      <c r="A1458" t="inlineStr">
        <is>
          <t>A 33680-2023</t>
        </is>
      </c>
      <c r="B1458" t="inlineStr">
        <is>
          <t>avverkningsanmälan</t>
        </is>
      </c>
      <c r="C1458" t="inlineStr">
        <is>
          <t>Föryngringsavverkning</t>
        </is>
      </c>
      <c r="D1458" s="1" t="n">
        <v>45119</v>
      </c>
      <c r="E1458" s="1" t="n">
        <v>46309</v>
      </c>
      <c r="F1458" t="inlineStr">
        <is>
          <t>UPPSALA LÄN</t>
        </is>
      </c>
      <c r="G1458" t="inlineStr">
        <is>
          <t>HEBY</t>
        </is>
      </c>
      <c r="H1458" t="inlineStr">
        <is>
          <t>Bergvik skog väst AB</t>
        </is>
      </c>
      <c r="I1458" t="n">
        <v>66.90000000000001</v>
      </c>
      <c r="J1458" t="n">
        <v>0</v>
      </c>
      <c r="K1458" t="n">
        <v>0</v>
      </c>
      <c r="L1458" t="n">
        <v>0</v>
      </c>
      <c r="M1458" t="n">
        <v>0</v>
      </c>
      <c r="N1458" t="n">
        <v>0</v>
      </c>
      <c r="O1458" t="n">
        <v>0</v>
      </c>
      <c r="P1458" t="n">
        <v>0</v>
      </c>
      <c r="Q1458" t="n">
        <v>0</v>
      </c>
      <c r="R1458" t="n">
        <v>0</v>
      </c>
      <c r="S1458" t="n">
        <v>0</v>
      </c>
      <c r="T1458" t="n">
        <v>0</v>
      </c>
      <c r="U1458" t="n">
        <v>0</v>
      </c>
      <c r="V1458" s="2" t="inlineStr"/>
    </row>
    <row r="1459" ht="15" customHeight="1">
      <c r="A1459" t="inlineStr">
        <is>
          <t>A 1975-2022</t>
        </is>
      </c>
      <c r="B1459" t="inlineStr">
        <is>
          <t>avverkningsanmälan</t>
        </is>
      </c>
      <c r="C1459" t="inlineStr">
        <is>
          <t>Avverkning för att bevara och utveckla /försöksver</t>
        </is>
      </c>
      <c r="D1459" s="1" t="n">
        <v>44575</v>
      </c>
      <c r="E1459" s="1" t="n">
        <v>46309</v>
      </c>
      <c r="F1459" t="inlineStr">
        <is>
          <t>UPPSALA LÄN</t>
        </is>
      </c>
      <c r="G1459" t="inlineStr">
        <is>
          <t>UPPSALA</t>
        </is>
      </c>
      <c r="I1459" t="n">
        <v>3.9</v>
      </c>
      <c r="J1459" t="n">
        <v>0</v>
      </c>
      <c r="K1459" t="n">
        <v>0</v>
      </c>
      <c r="L1459" t="n">
        <v>0</v>
      </c>
      <c r="M1459" t="n">
        <v>0</v>
      </c>
      <c r="N1459" t="n">
        <v>0</v>
      </c>
      <c r="O1459" t="n">
        <v>0</v>
      </c>
      <c r="P1459" t="n">
        <v>0</v>
      </c>
      <c r="Q1459" t="n">
        <v>0</v>
      </c>
      <c r="R1459" t="n">
        <v>0</v>
      </c>
      <c r="S1459" t="n">
        <v>0</v>
      </c>
      <c r="T1459" t="n">
        <v>0</v>
      </c>
      <c r="U1459" t="n">
        <v>0</v>
      </c>
      <c r="V1459" s="2" t="inlineStr"/>
    </row>
    <row r="1460" ht="15" customHeight="1">
      <c r="A1460" t="inlineStr">
        <is>
          <t>A 27622-2023</t>
        </is>
      </c>
      <c r="B1460" t="inlineStr">
        <is>
          <t>avverkningsanmälan</t>
        </is>
      </c>
      <c r="C1460" t="inlineStr">
        <is>
          <t>Föryngringsavverkning</t>
        </is>
      </c>
      <c r="D1460" s="1" t="n">
        <v>45097</v>
      </c>
      <c r="E1460" s="1" t="n">
        <v>46309</v>
      </c>
      <c r="F1460" t="inlineStr">
        <is>
          <t>UPPSALA LÄN</t>
        </is>
      </c>
      <c r="G1460" t="inlineStr">
        <is>
          <t>UPPSALA</t>
        </is>
      </c>
      <c r="I1460" t="n">
        <v>3.2</v>
      </c>
      <c r="J1460" t="n">
        <v>0</v>
      </c>
      <c r="K1460" t="n">
        <v>0</v>
      </c>
      <c r="L1460" t="n">
        <v>0</v>
      </c>
      <c r="M1460" t="n">
        <v>0</v>
      </c>
      <c r="N1460" t="n">
        <v>0</v>
      </c>
      <c r="O1460" t="n">
        <v>0</v>
      </c>
      <c r="P1460" t="n">
        <v>0</v>
      </c>
      <c r="Q1460" t="n">
        <v>0</v>
      </c>
      <c r="R1460" t="n">
        <v>0</v>
      </c>
      <c r="S1460" t="n">
        <v>0</v>
      </c>
      <c r="T1460" t="n">
        <v>0</v>
      </c>
      <c r="U1460" t="n">
        <v>0</v>
      </c>
      <c r="V1460" s="2" t="inlineStr"/>
    </row>
    <row r="1461" ht="15" customHeight="1">
      <c r="A1461" t="inlineStr">
        <is>
          <t>A 27660-2023</t>
        </is>
      </c>
      <c r="B1461" t="inlineStr">
        <is>
          <t>avverkningsanmälan</t>
        </is>
      </c>
      <c r="C1461" t="inlineStr">
        <is>
          <t>Föryngringsavverkning</t>
        </is>
      </c>
      <c r="D1461" s="1" t="n">
        <v>45097</v>
      </c>
      <c r="E1461" s="1" t="n">
        <v>46309</v>
      </c>
      <c r="F1461" t="inlineStr">
        <is>
          <t>UPPSALA LÄN</t>
        </is>
      </c>
      <c r="G1461" t="inlineStr">
        <is>
          <t>ÖSTHAMMAR</t>
        </is>
      </c>
      <c r="I1461" t="n">
        <v>2.8</v>
      </c>
      <c r="J1461" t="n">
        <v>0</v>
      </c>
      <c r="K1461" t="n">
        <v>0</v>
      </c>
      <c r="L1461" t="n">
        <v>0</v>
      </c>
      <c r="M1461" t="n">
        <v>0</v>
      </c>
      <c r="N1461" t="n">
        <v>0</v>
      </c>
      <c r="O1461" t="n">
        <v>0</v>
      </c>
      <c r="P1461" t="n">
        <v>0</v>
      </c>
      <c r="Q1461" t="n">
        <v>0</v>
      </c>
      <c r="R1461" t="n">
        <v>0</v>
      </c>
      <c r="S1461" t="n">
        <v>0</v>
      </c>
      <c r="T1461" t="n">
        <v>0</v>
      </c>
      <c r="U1461" t="n">
        <v>0</v>
      </c>
      <c r="V1461" s="2" t="inlineStr"/>
    </row>
    <row r="1462" ht="15" customHeight="1">
      <c r="A1462" t="inlineStr">
        <is>
          <t>A 48854-2025</t>
        </is>
      </c>
      <c r="B1462" t="inlineStr">
        <is>
          <t>avverkningsanmälan</t>
        </is>
      </c>
      <c r="C1462" t="inlineStr">
        <is>
          <t>Föryngringsavverkning</t>
        </is>
      </c>
      <c r="D1462" s="1" t="n">
        <v>45937</v>
      </c>
      <c r="E1462" s="1" t="n">
        <v>46309</v>
      </c>
      <c r="F1462" t="inlineStr">
        <is>
          <t>UPPSALA LÄN</t>
        </is>
      </c>
      <c r="G1462" t="inlineStr">
        <is>
          <t>ÖSTHAMMAR</t>
        </is>
      </c>
      <c r="H1462" t="inlineStr">
        <is>
          <t>Övriga Aktiebolag</t>
        </is>
      </c>
      <c r="I1462" t="n">
        <v>18.9</v>
      </c>
      <c r="J1462" t="n">
        <v>0</v>
      </c>
      <c r="K1462" t="n">
        <v>0</v>
      </c>
      <c r="L1462" t="n">
        <v>0</v>
      </c>
      <c r="M1462" t="n">
        <v>0</v>
      </c>
      <c r="N1462" t="n">
        <v>0</v>
      </c>
      <c r="O1462" t="n">
        <v>0</v>
      </c>
      <c r="P1462" t="n">
        <v>0</v>
      </c>
      <c r="Q1462" t="n">
        <v>0</v>
      </c>
      <c r="R1462" t="n">
        <v>0</v>
      </c>
      <c r="S1462" t="n">
        <v>0</v>
      </c>
      <c r="T1462" t="n">
        <v>0</v>
      </c>
      <c r="U1462" t="n">
        <v>0</v>
      </c>
      <c r="V1462" s="2" t="inlineStr"/>
    </row>
    <row r="1463" ht="15" customHeight="1">
      <c r="A1463" t="inlineStr">
        <is>
          <t>A 34559-2025</t>
        </is>
      </c>
      <c r="B1463" t="inlineStr">
        <is>
          <t>avverkningsanmälan</t>
        </is>
      </c>
      <c r="C1463" t="inlineStr">
        <is>
          <t>Föryngringsavverkning</t>
        </is>
      </c>
      <c r="D1463" s="1" t="n">
        <v>45847</v>
      </c>
      <c r="E1463" s="1" t="n">
        <v>46309</v>
      </c>
      <c r="F1463" t="inlineStr">
        <is>
          <t>UPPSALA LÄN</t>
        </is>
      </c>
      <c r="G1463" t="inlineStr">
        <is>
          <t>HEBY</t>
        </is>
      </c>
      <c r="I1463" t="n">
        <v>0.5</v>
      </c>
      <c r="J1463" t="n">
        <v>0</v>
      </c>
      <c r="K1463" t="n">
        <v>0</v>
      </c>
      <c r="L1463" t="n">
        <v>0</v>
      </c>
      <c r="M1463" t="n">
        <v>0</v>
      </c>
      <c r="N1463" t="n">
        <v>0</v>
      </c>
      <c r="O1463" t="n">
        <v>0</v>
      </c>
      <c r="P1463" t="n">
        <v>0</v>
      </c>
      <c r="Q1463" t="n">
        <v>0</v>
      </c>
      <c r="R1463" t="n">
        <v>0</v>
      </c>
      <c r="S1463" t="n">
        <v>0</v>
      </c>
      <c r="T1463" t="n">
        <v>0</v>
      </c>
      <c r="U1463" t="n">
        <v>0</v>
      </c>
      <c r="V1463" s="2" t="inlineStr"/>
    </row>
    <row r="1464" ht="15" customHeight="1">
      <c r="A1464" t="inlineStr">
        <is>
          <t>A 48871-2025</t>
        </is>
      </c>
      <c r="B1464" t="inlineStr">
        <is>
          <t>avverkningsanmälan</t>
        </is>
      </c>
      <c r="C1464" t="inlineStr">
        <is>
          <t>Föryngringsavverkning</t>
        </is>
      </c>
      <c r="D1464" s="1" t="n">
        <v>45937</v>
      </c>
      <c r="E1464" s="1" t="n">
        <v>46309</v>
      </c>
      <c r="F1464" t="inlineStr">
        <is>
          <t>UPPSALA LÄN</t>
        </is>
      </c>
      <c r="G1464" t="inlineStr">
        <is>
          <t>TIERP</t>
        </is>
      </c>
      <c r="H1464" t="inlineStr">
        <is>
          <t>Bergvik skog väst AB</t>
        </is>
      </c>
      <c r="I1464" t="n">
        <v>2</v>
      </c>
      <c r="J1464" t="n">
        <v>0</v>
      </c>
      <c r="K1464" t="n">
        <v>0</v>
      </c>
      <c r="L1464" t="n">
        <v>0</v>
      </c>
      <c r="M1464" t="n">
        <v>0</v>
      </c>
      <c r="N1464" t="n">
        <v>0</v>
      </c>
      <c r="O1464" t="n">
        <v>0</v>
      </c>
      <c r="P1464" t="n">
        <v>0</v>
      </c>
      <c r="Q1464" t="n">
        <v>0</v>
      </c>
      <c r="R1464" t="n">
        <v>0</v>
      </c>
      <c r="S1464" t="n">
        <v>0</v>
      </c>
      <c r="T1464" t="n">
        <v>0</v>
      </c>
      <c r="U1464" t="n">
        <v>0</v>
      </c>
      <c r="V1464" s="2" t="inlineStr"/>
    </row>
    <row r="1465" ht="15" customHeight="1">
      <c r="A1465" t="inlineStr">
        <is>
          <t>A 49098-2025</t>
        </is>
      </c>
      <c r="B1465" t="inlineStr">
        <is>
          <t>avverkningsanmälan</t>
        </is>
      </c>
      <c r="C1465" t="inlineStr">
        <is>
          <t>Föryngringsavverkning</t>
        </is>
      </c>
      <c r="D1465" s="1" t="n">
        <v>45937</v>
      </c>
      <c r="E1465" s="1" t="n">
        <v>46309</v>
      </c>
      <c r="F1465" t="inlineStr">
        <is>
          <t>UPPSALA LÄN</t>
        </is>
      </c>
      <c r="G1465" t="inlineStr">
        <is>
          <t>UPPSALA</t>
        </is>
      </c>
      <c r="I1465" t="n">
        <v>0.5</v>
      </c>
      <c r="J1465" t="n">
        <v>0</v>
      </c>
      <c r="K1465" t="n">
        <v>0</v>
      </c>
      <c r="L1465" t="n">
        <v>0</v>
      </c>
      <c r="M1465" t="n">
        <v>0</v>
      </c>
      <c r="N1465" t="n">
        <v>0</v>
      </c>
      <c r="O1465" t="n">
        <v>0</v>
      </c>
      <c r="P1465" t="n">
        <v>0</v>
      </c>
      <c r="Q1465" t="n">
        <v>0</v>
      </c>
      <c r="R1465" t="n">
        <v>0</v>
      </c>
      <c r="S1465" t="n">
        <v>0</v>
      </c>
      <c r="T1465" t="n">
        <v>0</v>
      </c>
      <c r="U1465" t="n">
        <v>0</v>
      </c>
      <c r="V1465" s="2" t="inlineStr"/>
    </row>
    <row r="1466" ht="15" customHeight="1">
      <c r="A1466" t="inlineStr">
        <is>
          <t>A 10465-2022</t>
        </is>
      </c>
      <c r="B1466" t="inlineStr">
        <is>
          <t>avverkningsanmälan</t>
        </is>
      </c>
      <c r="C1466" t="inlineStr">
        <is>
          <t>Föryngringsavverkning</t>
        </is>
      </c>
      <c r="D1466" s="1" t="n">
        <v>44623</v>
      </c>
      <c r="E1466" s="1" t="n">
        <v>46309</v>
      </c>
      <c r="F1466" t="inlineStr">
        <is>
          <t>UPPSALA LÄN</t>
        </is>
      </c>
      <c r="G1466" t="inlineStr">
        <is>
          <t>ENKÖPING</t>
        </is>
      </c>
      <c r="I1466" t="n">
        <v>1.7</v>
      </c>
      <c r="J1466" t="n">
        <v>0</v>
      </c>
      <c r="K1466" t="n">
        <v>0</v>
      </c>
      <c r="L1466" t="n">
        <v>0</v>
      </c>
      <c r="M1466" t="n">
        <v>0</v>
      </c>
      <c r="N1466" t="n">
        <v>0</v>
      </c>
      <c r="O1466" t="n">
        <v>0</v>
      </c>
      <c r="P1466" t="n">
        <v>0</v>
      </c>
      <c r="Q1466" t="n">
        <v>0</v>
      </c>
      <c r="R1466" t="n">
        <v>0</v>
      </c>
      <c r="S1466" t="n">
        <v>0</v>
      </c>
      <c r="T1466" t="n">
        <v>0</v>
      </c>
      <c r="U1466" t="n">
        <v>0</v>
      </c>
      <c r="V1466" s="2" t="inlineStr"/>
    </row>
    <row r="1467" ht="15" customHeight="1">
      <c r="A1467" t="inlineStr">
        <is>
          <t>A 35012-2025</t>
        </is>
      </c>
      <c r="B1467" t="inlineStr">
        <is>
          <t>avverkningsanmälan</t>
        </is>
      </c>
      <c r="C1467" t="inlineStr">
        <is>
          <t>Föryngringsavverkning</t>
        </is>
      </c>
      <c r="D1467" s="1" t="n">
        <v>45851</v>
      </c>
      <c r="E1467" s="1" t="n">
        <v>46309</v>
      </c>
      <c r="F1467" t="inlineStr">
        <is>
          <t>UPPSALA LÄN</t>
        </is>
      </c>
      <c r="G1467" t="inlineStr">
        <is>
          <t>TIERP</t>
        </is>
      </c>
      <c r="H1467" t="inlineStr">
        <is>
          <t>Bergvik skog väst AB</t>
        </is>
      </c>
      <c r="I1467" t="n">
        <v>0.9</v>
      </c>
      <c r="J1467" t="n">
        <v>0</v>
      </c>
      <c r="K1467" t="n">
        <v>0</v>
      </c>
      <c r="L1467" t="n">
        <v>0</v>
      </c>
      <c r="M1467" t="n">
        <v>0</v>
      </c>
      <c r="N1467" t="n">
        <v>0</v>
      </c>
      <c r="O1467" t="n">
        <v>0</v>
      </c>
      <c r="P1467" t="n">
        <v>0</v>
      </c>
      <c r="Q1467" t="n">
        <v>0</v>
      </c>
      <c r="R1467" t="n">
        <v>0</v>
      </c>
      <c r="S1467" t="n">
        <v>0</v>
      </c>
      <c r="T1467" t="n">
        <v>0</v>
      </c>
      <c r="U1467" t="n">
        <v>0</v>
      </c>
      <c r="V1467" s="2" t="inlineStr"/>
    </row>
    <row r="1468" ht="15" customHeight="1">
      <c r="A1468" t="inlineStr">
        <is>
          <t>A 35013-2025</t>
        </is>
      </c>
      <c r="B1468" t="inlineStr">
        <is>
          <t>avverkningsanmälan</t>
        </is>
      </c>
      <c r="C1468" t="inlineStr">
        <is>
          <t>Föryngringsavverkning</t>
        </is>
      </c>
      <c r="D1468" s="1" t="n">
        <v>45851</v>
      </c>
      <c r="E1468" s="1" t="n">
        <v>46309</v>
      </c>
      <c r="F1468" t="inlineStr">
        <is>
          <t>UPPSALA LÄN</t>
        </is>
      </c>
      <c r="G1468" t="inlineStr">
        <is>
          <t>TIERP</t>
        </is>
      </c>
      <c r="H1468" t="inlineStr">
        <is>
          <t>Bergvik skog väst AB</t>
        </is>
      </c>
      <c r="I1468" t="n">
        <v>2.6</v>
      </c>
      <c r="J1468" t="n">
        <v>0</v>
      </c>
      <c r="K1468" t="n">
        <v>0</v>
      </c>
      <c r="L1468" t="n">
        <v>0</v>
      </c>
      <c r="M1468" t="n">
        <v>0</v>
      </c>
      <c r="N1468" t="n">
        <v>0</v>
      </c>
      <c r="O1468" t="n">
        <v>0</v>
      </c>
      <c r="P1468" t="n">
        <v>0</v>
      </c>
      <c r="Q1468" t="n">
        <v>0</v>
      </c>
      <c r="R1468" t="n">
        <v>0</v>
      </c>
      <c r="S1468" t="n">
        <v>0</v>
      </c>
      <c r="T1468" t="n">
        <v>0</v>
      </c>
      <c r="U1468" t="n">
        <v>0</v>
      </c>
      <c r="V1468" s="2" t="inlineStr"/>
    </row>
    <row r="1469" ht="15" customHeight="1">
      <c r="A1469" t="inlineStr">
        <is>
          <t>A 49090-2025</t>
        </is>
      </c>
      <c r="B1469" t="inlineStr">
        <is>
          <t>avverkningsanmälan</t>
        </is>
      </c>
      <c r="C1469" t="inlineStr">
        <is>
          <t>Föryngringsavverkning</t>
        </is>
      </c>
      <c r="D1469" s="1" t="n">
        <v>45937</v>
      </c>
      <c r="E1469" s="1" t="n">
        <v>46309</v>
      </c>
      <c r="F1469" t="inlineStr">
        <is>
          <t>UPPSALA LÄN</t>
        </is>
      </c>
      <c r="G1469" t="inlineStr">
        <is>
          <t>KNIVSTA</t>
        </is>
      </c>
      <c r="I1469" t="n">
        <v>4.1</v>
      </c>
      <c r="J1469" t="n">
        <v>0</v>
      </c>
      <c r="K1469" t="n">
        <v>0</v>
      </c>
      <c r="L1469" t="n">
        <v>0</v>
      </c>
      <c r="M1469" t="n">
        <v>0</v>
      </c>
      <c r="N1469" t="n">
        <v>0</v>
      </c>
      <c r="O1469" t="n">
        <v>0</v>
      </c>
      <c r="P1469" t="n">
        <v>0</v>
      </c>
      <c r="Q1469" t="n">
        <v>0</v>
      </c>
      <c r="R1469" t="n">
        <v>0</v>
      </c>
      <c r="S1469" t="n">
        <v>0</v>
      </c>
      <c r="T1469" t="n">
        <v>0</v>
      </c>
      <c r="U1469" t="n">
        <v>0</v>
      </c>
      <c r="V1469" s="2" t="inlineStr"/>
    </row>
    <row r="1470" ht="15" customHeight="1">
      <c r="A1470" t="inlineStr">
        <is>
          <t>A 35265-2025</t>
        </is>
      </c>
      <c r="B1470" t="inlineStr">
        <is>
          <t>avverkningsanmälan</t>
        </is>
      </c>
      <c r="C1470" t="inlineStr">
        <is>
          <t>Föryngringsavverkning</t>
        </is>
      </c>
      <c r="D1470" s="1" t="n">
        <v>45852</v>
      </c>
      <c r="E1470" s="1" t="n">
        <v>46309</v>
      </c>
      <c r="F1470" t="inlineStr">
        <is>
          <t>UPPSALA LÄN</t>
        </is>
      </c>
      <c r="G1470" t="inlineStr">
        <is>
          <t>HEBY</t>
        </is>
      </c>
      <c r="I1470" t="n">
        <v>1</v>
      </c>
      <c r="J1470" t="n">
        <v>0</v>
      </c>
      <c r="K1470" t="n">
        <v>0</v>
      </c>
      <c r="L1470" t="n">
        <v>0</v>
      </c>
      <c r="M1470" t="n">
        <v>0</v>
      </c>
      <c r="N1470" t="n">
        <v>0</v>
      </c>
      <c r="O1470" t="n">
        <v>0</v>
      </c>
      <c r="P1470" t="n">
        <v>0</v>
      </c>
      <c r="Q1470" t="n">
        <v>0</v>
      </c>
      <c r="R1470" t="n">
        <v>0</v>
      </c>
      <c r="S1470" t="n">
        <v>0</v>
      </c>
      <c r="T1470" t="n">
        <v>0</v>
      </c>
      <c r="U1470" t="n">
        <v>0</v>
      </c>
      <c r="V1470" s="2" t="inlineStr"/>
    </row>
    <row r="1471" ht="15" customHeight="1">
      <c r="A1471" t="inlineStr">
        <is>
          <t>A 10117-2025</t>
        </is>
      </c>
      <c r="B1471" t="inlineStr">
        <is>
          <t>avverkningsanmälan</t>
        </is>
      </c>
      <c r="C1471" t="inlineStr">
        <is>
          <t>Föryngringsavverkning</t>
        </is>
      </c>
      <c r="D1471" s="1" t="n">
        <v>45719</v>
      </c>
      <c r="E1471" s="1" t="n">
        <v>46309</v>
      </c>
      <c r="F1471" t="inlineStr">
        <is>
          <t>UPPSALA LÄN</t>
        </is>
      </c>
      <c r="G1471" t="inlineStr">
        <is>
          <t>ÖSTHAMMAR</t>
        </is>
      </c>
      <c r="I1471" t="n">
        <v>1.1</v>
      </c>
      <c r="J1471" t="n">
        <v>0</v>
      </c>
      <c r="K1471" t="n">
        <v>0</v>
      </c>
      <c r="L1471" t="n">
        <v>0</v>
      </c>
      <c r="M1471" t="n">
        <v>0</v>
      </c>
      <c r="N1471" t="n">
        <v>0</v>
      </c>
      <c r="O1471" t="n">
        <v>0</v>
      </c>
      <c r="P1471" t="n">
        <v>0</v>
      </c>
      <c r="Q1471" t="n">
        <v>0</v>
      </c>
      <c r="R1471" t="n">
        <v>0</v>
      </c>
      <c r="S1471" t="n">
        <v>0</v>
      </c>
      <c r="T1471" t="n">
        <v>0</v>
      </c>
      <c r="U1471" t="n">
        <v>0</v>
      </c>
      <c r="V1471" s="2" t="inlineStr"/>
    </row>
    <row r="1472" ht="15" customHeight="1">
      <c r="A1472" t="inlineStr">
        <is>
          <t>A 2860-2023</t>
        </is>
      </c>
      <c r="B1472" t="inlineStr">
        <is>
          <t>avverkningsanmälan</t>
        </is>
      </c>
      <c r="C1472" t="inlineStr">
        <is>
          <t>Föryngringsavverkning</t>
        </is>
      </c>
      <c r="D1472" s="1" t="n">
        <v>44945</v>
      </c>
      <c r="E1472" s="1" t="n">
        <v>46309</v>
      </c>
      <c r="F1472" t="inlineStr">
        <is>
          <t>UPPSALA LÄN</t>
        </is>
      </c>
      <c r="G1472" t="inlineStr">
        <is>
          <t>HEBY</t>
        </is>
      </c>
      <c r="I1472" t="n">
        <v>1.6</v>
      </c>
      <c r="J1472" t="n">
        <v>0</v>
      </c>
      <c r="K1472" t="n">
        <v>0</v>
      </c>
      <c r="L1472" t="n">
        <v>0</v>
      </c>
      <c r="M1472" t="n">
        <v>0</v>
      </c>
      <c r="N1472" t="n">
        <v>0</v>
      </c>
      <c r="O1472" t="n">
        <v>0</v>
      </c>
      <c r="P1472" t="n">
        <v>0</v>
      </c>
      <c r="Q1472" t="n">
        <v>0</v>
      </c>
      <c r="R1472" t="n">
        <v>0</v>
      </c>
      <c r="S1472" t="n">
        <v>0</v>
      </c>
      <c r="T1472" t="n">
        <v>0</v>
      </c>
      <c r="U1472" t="n">
        <v>0</v>
      </c>
      <c r="V1472" s="2" t="inlineStr"/>
    </row>
    <row r="1473" ht="15" customHeight="1">
      <c r="A1473" t="inlineStr">
        <is>
          <t>A 35011-2025</t>
        </is>
      </c>
      <c r="B1473" t="inlineStr">
        <is>
          <t>avverkningsanmälan</t>
        </is>
      </c>
      <c r="C1473" t="inlineStr">
        <is>
          <t>Föryngringsavverkning</t>
        </is>
      </c>
      <c r="D1473" s="1" t="n">
        <v>45851</v>
      </c>
      <c r="E1473" s="1" t="n">
        <v>46309</v>
      </c>
      <c r="F1473" t="inlineStr">
        <is>
          <t>UPPSALA LÄN</t>
        </is>
      </c>
      <c r="G1473" t="inlineStr">
        <is>
          <t>TIERP</t>
        </is>
      </c>
      <c r="H1473" t="inlineStr">
        <is>
          <t>Bergvik skog väst AB</t>
        </is>
      </c>
      <c r="I1473" t="n">
        <v>1.4</v>
      </c>
      <c r="J1473" t="n">
        <v>0</v>
      </c>
      <c r="K1473" t="n">
        <v>0</v>
      </c>
      <c r="L1473" t="n">
        <v>0</v>
      </c>
      <c r="M1473" t="n">
        <v>0</v>
      </c>
      <c r="N1473" t="n">
        <v>0</v>
      </c>
      <c r="O1473" t="n">
        <v>0</v>
      </c>
      <c r="P1473" t="n">
        <v>0</v>
      </c>
      <c r="Q1473" t="n">
        <v>0</v>
      </c>
      <c r="R1473" t="n">
        <v>0</v>
      </c>
      <c r="S1473" t="n">
        <v>0</v>
      </c>
      <c r="T1473" t="n">
        <v>0</v>
      </c>
      <c r="U1473" t="n">
        <v>0</v>
      </c>
      <c r="V1473" s="2" t="inlineStr"/>
    </row>
    <row r="1474" ht="15" customHeight="1">
      <c r="A1474" t="inlineStr">
        <is>
          <t>A 39439-2025</t>
        </is>
      </c>
      <c r="B1474" t="inlineStr">
        <is>
          <t>avverkningsanmälan</t>
        </is>
      </c>
      <c r="C1474" t="inlineStr">
        <is>
          <t>Föryngringsavverkning</t>
        </is>
      </c>
      <c r="D1474" s="1" t="n">
        <v>45889</v>
      </c>
      <c r="E1474" s="1" t="n">
        <v>46309</v>
      </c>
      <c r="F1474" t="inlineStr">
        <is>
          <t>UPPSALA LÄN</t>
        </is>
      </c>
      <c r="G1474" t="inlineStr">
        <is>
          <t>ENKÖPING</t>
        </is>
      </c>
      <c r="I1474" t="n">
        <v>0.4</v>
      </c>
      <c r="J1474" t="n">
        <v>0</v>
      </c>
      <c r="K1474" t="n">
        <v>0</v>
      </c>
      <c r="L1474" t="n">
        <v>0</v>
      </c>
      <c r="M1474" t="n">
        <v>0</v>
      </c>
      <c r="N1474" t="n">
        <v>0</v>
      </c>
      <c r="O1474" t="n">
        <v>0</v>
      </c>
      <c r="P1474" t="n">
        <v>0</v>
      </c>
      <c r="Q1474" t="n">
        <v>0</v>
      </c>
      <c r="R1474" t="n">
        <v>0</v>
      </c>
      <c r="S1474" t="n">
        <v>0</v>
      </c>
      <c r="T1474" t="n">
        <v>0</v>
      </c>
      <c r="U1474" t="n">
        <v>0</v>
      </c>
      <c r="V1474" s="2" t="inlineStr"/>
    </row>
    <row r="1475" ht="15" customHeight="1">
      <c r="A1475" t="inlineStr">
        <is>
          <t>A 60820-2024</t>
        </is>
      </c>
      <c r="B1475" t="inlineStr">
        <is>
          <t>avverkningsanmälan</t>
        </is>
      </c>
      <c r="C1475" t="inlineStr">
        <is>
          <t>Föryngringsavverkning</t>
        </is>
      </c>
      <c r="D1475" s="1" t="n">
        <v>45644</v>
      </c>
      <c r="E1475" s="1" t="n">
        <v>46309</v>
      </c>
      <c r="F1475" t="inlineStr">
        <is>
          <t>UPPSALA LÄN</t>
        </is>
      </c>
      <c r="G1475" t="inlineStr">
        <is>
          <t>UPPSALA</t>
        </is>
      </c>
      <c r="I1475" t="n">
        <v>1.2</v>
      </c>
      <c r="J1475" t="n">
        <v>0</v>
      </c>
      <c r="K1475" t="n">
        <v>0</v>
      </c>
      <c r="L1475" t="n">
        <v>0</v>
      </c>
      <c r="M1475" t="n">
        <v>0</v>
      </c>
      <c r="N1475" t="n">
        <v>0</v>
      </c>
      <c r="O1475" t="n">
        <v>0</v>
      </c>
      <c r="P1475" t="n">
        <v>0</v>
      </c>
      <c r="Q1475" t="n">
        <v>0</v>
      </c>
      <c r="R1475" t="n">
        <v>0</v>
      </c>
      <c r="S1475" t="n">
        <v>0</v>
      </c>
      <c r="T1475" t="n">
        <v>0</v>
      </c>
      <c r="U1475" t="n">
        <v>0</v>
      </c>
      <c r="V1475" s="2" t="inlineStr"/>
    </row>
    <row r="1476" ht="15" customHeight="1">
      <c r="A1476" t="inlineStr">
        <is>
          <t>A 35106-2025</t>
        </is>
      </c>
      <c r="B1476" t="inlineStr">
        <is>
          <t>avverkningsanmälan</t>
        </is>
      </c>
      <c r="C1476" t="inlineStr">
        <is>
          <t>Föryngringsavverkning</t>
        </is>
      </c>
      <c r="D1476" s="1" t="n">
        <v>45852</v>
      </c>
      <c r="E1476" s="1" t="n">
        <v>46309</v>
      </c>
      <c r="F1476" t="inlineStr">
        <is>
          <t>UPPSALA LÄN</t>
        </is>
      </c>
      <c r="G1476" t="inlineStr">
        <is>
          <t>HEBY</t>
        </is>
      </c>
      <c r="H1476" t="inlineStr">
        <is>
          <t>Kyrkan</t>
        </is>
      </c>
      <c r="I1476" t="n">
        <v>10.3</v>
      </c>
      <c r="J1476" t="n">
        <v>0</v>
      </c>
      <c r="K1476" t="n">
        <v>0</v>
      </c>
      <c r="L1476" t="n">
        <v>0</v>
      </c>
      <c r="M1476" t="n">
        <v>0</v>
      </c>
      <c r="N1476" t="n">
        <v>0</v>
      </c>
      <c r="O1476" t="n">
        <v>0</v>
      </c>
      <c r="P1476" t="n">
        <v>0</v>
      </c>
      <c r="Q1476" t="n">
        <v>0</v>
      </c>
      <c r="R1476" t="n">
        <v>0</v>
      </c>
      <c r="S1476" t="n">
        <v>0</v>
      </c>
      <c r="T1476" t="n">
        <v>0</v>
      </c>
      <c r="U1476" t="n">
        <v>0</v>
      </c>
      <c r="V1476" s="2" t="inlineStr"/>
    </row>
    <row r="1477" ht="15" customHeight="1">
      <c r="A1477" t="inlineStr">
        <is>
          <t>A 18675-2024</t>
        </is>
      </c>
      <c r="B1477" t="inlineStr">
        <is>
          <t>avverkningsanmälan</t>
        </is>
      </c>
      <c r="C1477" t="inlineStr">
        <is>
          <t>Föryngringsavverkning</t>
        </is>
      </c>
      <c r="D1477" s="1" t="n">
        <v>45426</v>
      </c>
      <c r="E1477" s="1" t="n">
        <v>46309</v>
      </c>
      <c r="F1477" t="inlineStr">
        <is>
          <t>UPPSALA LÄN</t>
        </is>
      </c>
      <c r="G1477" t="inlineStr">
        <is>
          <t>UPPSALA</t>
        </is>
      </c>
      <c r="I1477" t="n">
        <v>8.1</v>
      </c>
      <c r="J1477" t="n">
        <v>0</v>
      </c>
      <c r="K1477" t="n">
        <v>0</v>
      </c>
      <c r="L1477" t="n">
        <v>0</v>
      </c>
      <c r="M1477" t="n">
        <v>0</v>
      </c>
      <c r="N1477" t="n">
        <v>0</v>
      </c>
      <c r="O1477" t="n">
        <v>0</v>
      </c>
      <c r="P1477" t="n">
        <v>0</v>
      </c>
      <c r="Q1477" t="n">
        <v>0</v>
      </c>
      <c r="R1477" t="n">
        <v>0</v>
      </c>
      <c r="S1477" t="n">
        <v>0</v>
      </c>
      <c r="T1477" t="n">
        <v>0</v>
      </c>
      <c r="U1477" t="n">
        <v>0</v>
      </c>
      <c r="V1477" s="2" t="inlineStr"/>
    </row>
    <row r="1478" ht="15" customHeight="1">
      <c r="A1478" t="inlineStr">
        <is>
          <t>A 49160-2025</t>
        </is>
      </c>
      <c r="B1478" t="inlineStr">
        <is>
          <t>avverkningsanmälan</t>
        </is>
      </c>
      <c r="C1478" t="inlineStr">
        <is>
          <t>Föryngringsavverkning</t>
        </is>
      </c>
      <c r="D1478" s="1" t="n">
        <v>45938</v>
      </c>
      <c r="E1478" s="1" t="n">
        <v>46309</v>
      </c>
      <c r="F1478" t="inlineStr">
        <is>
          <t>UPPSALA LÄN</t>
        </is>
      </c>
      <c r="G1478" t="inlineStr">
        <is>
          <t>UPPSALA</t>
        </is>
      </c>
      <c r="H1478" t="inlineStr">
        <is>
          <t>Kyrkan</t>
        </is>
      </c>
      <c r="I1478" t="n">
        <v>1.4</v>
      </c>
      <c r="J1478" t="n">
        <v>0</v>
      </c>
      <c r="K1478" t="n">
        <v>0</v>
      </c>
      <c r="L1478" t="n">
        <v>0</v>
      </c>
      <c r="M1478" t="n">
        <v>0</v>
      </c>
      <c r="N1478" t="n">
        <v>0</v>
      </c>
      <c r="O1478" t="n">
        <v>0</v>
      </c>
      <c r="P1478" t="n">
        <v>0</v>
      </c>
      <c r="Q1478" t="n">
        <v>0</v>
      </c>
      <c r="R1478" t="n">
        <v>0</v>
      </c>
      <c r="S1478" t="n">
        <v>0</v>
      </c>
      <c r="T1478" t="n">
        <v>0</v>
      </c>
      <c r="U1478" t="n">
        <v>0</v>
      </c>
      <c r="V1478" s="2" t="inlineStr"/>
    </row>
    <row r="1479" ht="15" customHeight="1">
      <c r="A1479" t="inlineStr">
        <is>
          <t>A 35148-2025</t>
        </is>
      </c>
      <c r="B1479" t="inlineStr">
        <is>
          <t>avverkningsanmälan</t>
        </is>
      </c>
      <c r="C1479" t="inlineStr">
        <is>
          <t>Föryngringsavverkning</t>
        </is>
      </c>
      <c r="D1479" s="1" t="n">
        <v>45852</v>
      </c>
      <c r="E1479" s="1" t="n">
        <v>46309</v>
      </c>
      <c r="F1479" t="inlineStr">
        <is>
          <t>UPPSALA LÄN</t>
        </is>
      </c>
      <c r="G1479" t="inlineStr">
        <is>
          <t>UPPSALA</t>
        </is>
      </c>
      <c r="H1479" t="inlineStr">
        <is>
          <t>Holmen skog AB</t>
        </is>
      </c>
      <c r="I1479" t="n">
        <v>2.2</v>
      </c>
      <c r="J1479" t="n">
        <v>0</v>
      </c>
      <c r="K1479" t="n">
        <v>0</v>
      </c>
      <c r="L1479" t="n">
        <v>0</v>
      </c>
      <c r="M1479" t="n">
        <v>0</v>
      </c>
      <c r="N1479" t="n">
        <v>0</v>
      </c>
      <c r="O1479" t="n">
        <v>0</v>
      </c>
      <c r="P1479" t="n">
        <v>0</v>
      </c>
      <c r="Q1479" t="n">
        <v>0</v>
      </c>
      <c r="R1479" t="n">
        <v>0</v>
      </c>
      <c r="S1479" t="n">
        <v>0</v>
      </c>
      <c r="T1479" t="n">
        <v>0</v>
      </c>
      <c r="U1479" t="n">
        <v>0</v>
      </c>
      <c r="V1479" s="2" t="inlineStr"/>
    </row>
    <row r="1480" ht="15" customHeight="1">
      <c r="A1480" t="inlineStr">
        <is>
          <t>A 56679-2022</t>
        </is>
      </c>
      <c r="B1480" t="inlineStr">
        <is>
          <t>avverkningsanmälan</t>
        </is>
      </c>
      <c r="C1480" t="inlineStr">
        <is>
          <t>Föryngringsavverkning</t>
        </is>
      </c>
      <c r="D1480" s="1" t="n">
        <v>44893</v>
      </c>
      <c r="E1480" s="1" t="n">
        <v>46309</v>
      </c>
      <c r="F1480" t="inlineStr">
        <is>
          <t>UPPSALA LÄN</t>
        </is>
      </c>
      <c r="G1480" t="inlineStr">
        <is>
          <t>UPPSALA</t>
        </is>
      </c>
      <c r="I1480" t="n">
        <v>1.4</v>
      </c>
      <c r="J1480" t="n">
        <v>0</v>
      </c>
      <c r="K1480" t="n">
        <v>0</v>
      </c>
      <c r="L1480" t="n">
        <v>0</v>
      </c>
      <c r="M1480" t="n">
        <v>0</v>
      </c>
      <c r="N1480" t="n">
        <v>0</v>
      </c>
      <c r="O1480" t="n">
        <v>0</v>
      </c>
      <c r="P1480" t="n">
        <v>0</v>
      </c>
      <c r="Q1480" t="n">
        <v>0</v>
      </c>
      <c r="R1480" t="n">
        <v>0</v>
      </c>
      <c r="S1480" t="n">
        <v>0</v>
      </c>
      <c r="T1480" t="n">
        <v>0</v>
      </c>
      <c r="U1480" t="n">
        <v>0</v>
      </c>
      <c r="V1480" s="2" t="inlineStr"/>
    </row>
    <row r="1481" ht="15" customHeight="1">
      <c r="A1481" t="inlineStr">
        <is>
          <t>A 35053-2025</t>
        </is>
      </c>
      <c r="B1481" t="inlineStr">
        <is>
          <t>avverkningsanmälan</t>
        </is>
      </c>
      <c r="C1481" t="inlineStr">
        <is>
          <t>Föryngringsavverkning</t>
        </is>
      </c>
      <c r="D1481" s="1" t="n">
        <v>45852</v>
      </c>
      <c r="E1481" s="1" t="n">
        <v>46309</v>
      </c>
      <c r="F1481" t="inlineStr">
        <is>
          <t>UPPSALA LÄN</t>
        </is>
      </c>
      <c r="G1481" t="inlineStr">
        <is>
          <t>UPPSALA</t>
        </is>
      </c>
      <c r="I1481" t="n">
        <v>0.7</v>
      </c>
      <c r="J1481" t="n">
        <v>0</v>
      </c>
      <c r="K1481" t="n">
        <v>0</v>
      </c>
      <c r="L1481" t="n">
        <v>0</v>
      </c>
      <c r="M1481" t="n">
        <v>0</v>
      </c>
      <c r="N1481" t="n">
        <v>0</v>
      </c>
      <c r="O1481" t="n">
        <v>0</v>
      </c>
      <c r="P1481" t="n">
        <v>0</v>
      </c>
      <c r="Q1481" t="n">
        <v>0</v>
      </c>
      <c r="R1481" t="n">
        <v>0</v>
      </c>
      <c r="S1481" t="n">
        <v>0</v>
      </c>
      <c r="T1481" t="n">
        <v>0</v>
      </c>
      <c r="U1481" t="n">
        <v>0</v>
      </c>
      <c r="V1481" s="2" t="inlineStr"/>
    </row>
    <row r="1482" ht="15" customHeight="1">
      <c r="A1482" t="inlineStr">
        <is>
          <t>A 25859-2024</t>
        </is>
      </c>
      <c r="B1482" t="inlineStr">
        <is>
          <t>avverkningsanmälan</t>
        </is>
      </c>
      <c r="C1482" t="inlineStr">
        <is>
          <t>Föryngringsavverkning</t>
        </is>
      </c>
      <c r="D1482" s="1" t="n">
        <v>45467</v>
      </c>
      <c r="E1482" s="1" t="n">
        <v>46309</v>
      </c>
      <c r="F1482" t="inlineStr">
        <is>
          <t>UPPSALA LÄN</t>
        </is>
      </c>
      <c r="G1482" t="inlineStr">
        <is>
          <t>ÖSTHAMMAR</t>
        </is>
      </c>
      <c r="I1482" t="n">
        <v>7.9</v>
      </c>
      <c r="J1482" t="n">
        <v>0</v>
      </c>
      <c r="K1482" t="n">
        <v>0</v>
      </c>
      <c r="L1482" t="n">
        <v>0</v>
      </c>
      <c r="M1482" t="n">
        <v>0</v>
      </c>
      <c r="N1482" t="n">
        <v>0</v>
      </c>
      <c r="O1482" t="n">
        <v>0</v>
      </c>
      <c r="P1482" t="n">
        <v>0</v>
      </c>
      <c r="Q1482" t="n">
        <v>0</v>
      </c>
      <c r="R1482" t="n">
        <v>0</v>
      </c>
      <c r="S1482" t="n">
        <v>0</v>
      </c>
      <c r="T1482" t="n">
        <v>0</v>
      </c>
      <c r="U1482" t="n">
        <v>0</v>
      </c>
      <c r="V1482" s="2" t="inlineStr"/>
    </row>
    <row r="1483" ht="15" customHeight="1">
      <c r="A1483" t="inlineStr">
        <is>
          <t>A 35108-2025</t>
        </is>
      </c>
      <c r="B1483" t="inlineStr">
        <is>
          <t>avverkningsanmälan</t>
        </is>
      </c>
      <c r="C1483" t="inlineStr">
        <is>
          <t>Föryngringsavverkning</t>
        </is>
      </c>
      <c r="D1483" s="1" t="n">
        <v>45852</v>
      </c>
      <c r="E1483" s="1" t="n">
        <v>46309</v>
      </c>
      <c r="F1483" t="inlineStr">
        <is>
          <t>UPPSALA LÄN</t>
        </is>
      </c>
      <c r="G1483" t="inlineStr">
        <is>
          <t>TIERP</t>
        </is>
      </c>
      <c r="H1483" t="inlineStr">
        <is>
          <t>Bergvik skog väst AB</t>
        </is>
      </c>
      <c r="I1483" t="n">
        <v>0.3</v>
      </c>
      <c r="J1483" t="n">
        <v>0</v>
      </c>
      <c r="K1483" t="n">
        <v>0</v>
      </c>
      <c r="L1483" t="n">
        <v>0</v>
      </c>
      <c r="M1483" t="n">
        <v>0</v>
      </c>
      <c r="N1483" t="n">
        <v>0</v>
      </c>
      <c r="O1483" t="n">
        <v>0</v>
      </c>
      <c r="P1483" t="n">
        <v>0</v>
      </c>
      <c r="Q1483" t="n">
        <v>0</v>
      </c>
      <c r="R1483" t="n">
        <v>0</v>
      </c>
      <c r="S1483" t="n">
        <v>0</v>
      </c>
      <c r="T1483" t="n">
        <v>0</v>
      </c>
      <c r="U1483" t="n">
        <v>0</v>
      </c>
      <c r="V1483" s="2" t="inlineStr"/>
    </row>
    <row r="1484" ht="15" customHeight="1">
      <c r="A1484" t="inlineStr">
        <is>
          <t>A 17844-2025</t>
        </is>
      </c>
      <c r="B1484" t="inlineStr">
        <is>
          <t>avverkningsanmälan</t>
        </is>
      </c>
      <c r="C1484" t="inlineStr">
        <is>
          <t>Föryngringsavverkning</t>
        </is>
      </c>
      <c r="D1484" s="1" t="n">
        <v>45758</v>
      </c>
      <c r="E1484" s="1" t="n">
        <v>46309</v>
      </c>
      <c r="F1484" t="inlineStr">
        <is>
          <t>UPPSALA LÄN</t>
        </is>
      </c>
      <c r="G1484" t="inlineStr">
        <is>
          <t>ENKÖPING</t>
        </is>
      </c>
      <c r="I1484" t="n">
        <v>1.4</v>
      </c>
      <c r="J1484" t="n">
        <v>0</v>
      </c>
      <c r="K1484" t="n">
        <v>0</v>
      </c>
      <c r="L1484" t="n">
        <v>0</v>
      </c>
      <c r="M1484" t="n">
        <v>0</v>
      </c>
      <c r="N1484" t="n">
        <v>0</v>
      </c>
      <c r="O1484" t="n">
        <v>0</v>
      </c>
      <c r="P1484" t="n">
        <v>0</v>
      </c>
      <c r="Q1484" t="n">
        <v>0</v>
      </c>
      <c r="R1484" t="n">
        <v>0</v>
      </c>
      <c r="S1484" t="n">
        <v>0</v>
      </c>
      <c r="T1484" t="n">
        <v>0</v>
      </c>
      <c r="U1484" t="n">
        <v>0</v>
      </c>
      <c r="V1484" s="2" t="inlineStr"/>
    </row>
    <row r="1485" ht="15" customHeight="1">
      <c r="A1485" t="inlineStr">
        <is>
          <t>A 43103-2025</t>
        </is>
      </c>
      <c r="B1485" t="inlineStr">
        <is>
          <t>avverkningsanmälan</t>
        </is>
      </c>
      <c r="C1485" t="inlineStr">
        <is>
          <t>Avverkning för annat ändamål</t>
        </is>
      </c>
      <c r="D1485" s="1" t="n">
        <v>45909</v>
      </c>
      <c r="E1485" s="1" t="n">
        <v>46309</v>
      </c>
      <c r="F1485" t="inlineStr">
        <is>
          <t>UPPSALA LÄN</t>
        </is>
      </c>
      <c r="G1485" t="inlineStr">
        <is>
          <t>ENKÖPING</t>
        </is>
      </c>
      <c r="I1485" t="n">
        <v>2.3</v>
      </c>
      <c r="J1485" t="n">
        <v>0</v>
      </c>
      <c r="K1485" t="n">
        <v>0</v>
      </c>
      <c r="L1485" t="n">
        <v>0</v>
      </c>
      <c r="M1485" t="n">
        <v>0</v>
      </c>
      <c r="N1485" t="n">
        <v>0</v>
      </c>
      <c r="O1485" t="n">
        <v>0</v>
      </c>
      <c r="P1485" t="n">
        <v>0</v>
      </c>
      <c r="Q1485" t="n">
        <v>0</v>
      </c>
      <c r="R1485" t="n">
        <v>0</v>
      </c>
      <c r="S1485" t="n">
        <v>0</v>
      </c>
      <c r="T1485" t="n">
        <v>0</v>
      </c>
      <c r="U1485" t="n">
        <v>0</v>
      </c>
      <c r="V1485" s="2" t="inlineStr"/>
    </row>
    <row r="1486" ht="15" customHeight="1">
      <c r="A1486" t="inlineStr">
        <is>
          <t>A 34864-2025</t>
        </is>
      </c>
      <c r="B1486" t="inlineStr">
        <is>
          <t>avverkningsanmälan</t>
        </is>
      </c>
      <c r="C1486" t="inlineStr">
        <is>
          <t>Föryngringsavverkning</t>
        </is>
      </c>
      <c r="D1486" s="1" t="n">
        <v>45849</v>
      </c>
      <c r="E1486" s="1" t="n">
        <v>46309</v>
      </c>
      <c r="F1486" t="inlineStr">
        <is>
          <t>UPPSALA LÄN</t>
        </is>
      </c>
      <c r="G1486" t="inlineStr">
        <is>
          <t>KNIVSTA</t>
        </is>
      </c>
      <c r="H1486" t="inlineStr">
        <is>
          <t>Holmen skog AB</t>
        </is>
      </c>
      <c r="I1486" t="n">
        <v>1.3</v>
      </c>
      <c r="J1486" t="n">
        <v>0</v>
      </c>
      <c r="K1486" t="n">
        <v>0</v>
      </c>
      <c r="L1486" t="n">
        <v>0</v>
      </c>
      <c r="M1486" t="n">
        <v>0</v>
      </c>
      <c r="N1486" t="n">
        <v>0</v>
      </c>
      <c r="O1486" t="n">
        <v>0</v>
      </c>
      <c r="P1486" t="n">
        <v>0</v>
      </c>
      <c r="Q1486" t="n">
        <v>0</v>
      </c>
      <c r="R1486" t="n">
        <v>0</v>
      </c>
      <c r="S1486" t="n">
        <v>0</v>
      </c>
      <c r="T1486" t="n">
        <v>0</v>
      </c>
      <c r="U1486" t="n">
        <v>0</v>
      </c>
      <c r="V1486" s="2" t="inlineStr"/>
    </row>
    <row r="1487" ht="15" customHeight="1">
      <c r="A1487" t="inlineStr">
        <is>
          <t>A 27269-2025</t>
        </is>
      </c>
      <c r="B1487" t="inlineStr">
        <is>
          <t>avverkningsanmälan</t>
        </is>
      </c>
      <c r="C1487" t="inlineStr">
        <is>
          <t>Föryngringsavverkning</t>
        </is>
      </c>
      <c r="D1487" s="1" t="n">
        <v>45812</v>
      </c>
      <c r="E1487" s="1" t="n">
        <v>46309</v>
      </c>
      <c r="F1487" t="inlineStr">
        <is>
          <t>UPPSALA LÄN</t>
        </is>
      </c>
      <c r="G1487" t="inlineStr">
        <is>
          <t>TIERP</t>
        </is>
      </c>
      <c r="I1487" t="n">
        <v>1.3</v>
      </c>
      <c r="J1487" t="n">
        <v>0</v>
      </c>
      <c r="K1487" t="n">
        <v>0</v>
      </c>
      <c r="L1487" t="n">
        <v>0</v>
      </c>
      <c r="M1487" t="n">
        <v>0</v>
      </c>
      <c r="N1487" t="n">
        <v>0</v>
      </c>
      <c r="O1487" t="n">
        <v>0</v>
      </c>
      <c r="P1487" t="n">
        <v>0</v>
      </c>
      <c r="Q1487" t="n">
        <v>0</v>
      </c>
      <c r="R1487" t="n">
        <v>0</v>
      </c>
      <c r="S1487" t="n">
        <v>0</v>
      </c>
      <c r="T1487" t="n">
        <v>0</v>
      </c>
      <c r="U1487" t="n">
        <v>0</v>
      </c>
      <c r="V1487" s="2" t="inlineStr"/>
    </row>
    <row r="1488" ht="15" customHeight="1">
      <c r="A1488" t="inlineStr">
        <is>
          <t>A 62394-2022</t>
        </is>
      </c>
      <c r="B1488" t="inlineStr">
        <is>
          <t>avverkningsanmälan</t>
        </is>
      </c>
      <c r="C1488" t="inlineStr">
        <is>
          <t>Föryngringsavverkning</t>
        </is>
      </c>
      <c r="D1488" s="1" t="n">
        <v>44923</v>
      </c>
      <c r="E1488" s="1" t="n">
        <v>46309</v>
      </c>
      <c r="F1488" t="inlineStr">
        <is>
          <t>UPPSALA LÄN</t>
        </is>
      </c>
      <c r="G1488" t="inlineStr">
        <is>
          <t>ÖSTHAMMAR</t>
        </is>
      </c>
      <c r="H1488" t="inlineStr">
        <is>
          <t>Bergvik skog öst AB</t>
        </is>
      </c>
      <c r="I1488" t="n">
        <v>0.5</v>
      </c>
      <c r="J1488" t="n">
        <v>0</v>
      </c>
      <c r="K1488" t="n">
        <v>0</v>
      </c>
      <c r="L1488" t="n">
        <v>0</v>
      </c>
      <c r="M1488" t="n">
        <v>0</v>
      </c>
      <c r="N1488" t="n">
        <v>0</v>
      </c>
      <c r="O1488" t="n">
        <v>0</v>
      </c>
      <c r="P1488" t="n">
        <v>0</v>
      </c>
      <c r="Q1488" t="n">
        <v>0</v>
      </c>
      <c r="R1488" t="n">
        <v>0</v>
      </c>
      <c r="S1488" t="n">
        <v>0</v>
      </c>
      <c r="T1488" t="n">
        <v>0</v>
      </c>
      <c r="U1488" t="n">
        <v>0</v>
      </c>
      <c r="V1488" s="2" t="inlineStr"/>
    </row>
    <row r="1489" ht="15" customHeight="1">
      <c r="A1489" t="inlineStr">
        <is>
          <t>A 35150-2025</t>
        </is>
      </c>
      <c r="B1489" t="inlineStr">
        <is>
          <t>avverkningsanmälan</t>
        </is>
      </c>
      <c r="C1489" t="inlineStr">
        <is>
          <t>Föryngringsavverkning</t>
        </is>
      </c>
      <c r="D1489" s="1" t="n">
        <v>45852</v>
      </c>
      <c r="E1489" s="1" t="n">
        <v>46309</v>
      </c>
      <c r="F1489" t="inlineStr">
        <is>
          <t>UPPSALA LÄN</t>
        </is>
      </c>
      <c r="G1489" t="inlineStr">
        <is>
          <t>UPPSALA</t>
        </is>
      </c>
      <c r="H1489" t="inlineStr">
        <is>
          <t>Holmen skog AB</t>
        </is>
      </c>
      <c r="I1489" t="n">
        <v>0.6</v>
      </c>
      <c r="J1489" t="n">
        <v>0</v>
      </c>
      <c r="K1489" t="n">
        <v>0</v>
      </c>
      <c r="L1489" t="n">
        <v>0</v>
      </c>
      <c r="M1489" t="n">
        <v>0</v>
      </c>
      <c r="N1489" t="n">
        <v>0</v>
      </c>
      <c r="O1489" t="n">
        <v>0</v>
      </c>
      <c r="P1489" t="n">
        <v>0</v>
      </c>
      <c r="Q1489" t="n">
        <v>0</v>
      </c>
      <c r="R1489" t="n">
        <v>0</v>
      </c>
      <c r="S1489" t="n">
        <v>0</v>
      </c>
      <c r="T1489" t="n">
        <v>0</v>
      </c>
      <c r="U1489" t="n">
        <v>0</v>
      </c>
      <c r="V1489" s="2" t="inlineStr"/>
    </row>
    <row r="1490" ht="15" customHeight="1">
      <c r="A1490" t="inlineStr">
        <is>
          <t>A 19640-2025</t>
        </is>
      </c>
      <c r="B1490" t="inlineStr">
        <is>
          <t>avverkningsanmälan</t>
        </is>
      </c>
      <c r="C1490" t="inlineStr">
        <is>
          <t>Föryngringsavverkning</t>
        </is>
      </c>
      <c r="D1490" s="1" t="n">
        <v>45770</v>
      </c>
      <c r="E1490" s="1" t="n">
        <v>46309</v>
      </c>
      <c r="F1490" t="inlineStr">
        <is>
          <t>UPPSALA LÄN</t>
        </is>
      </c>
      <c r="G1490" t="inlineStr">
        <is>
          <t>ÖSTHAMMAR</t>
        </is>
      </c>
      <c r="H1490" t="inlineStr">
        <is>
          <t>Övriga Aktiebolag</t>
        </is>
      </c>
      <c r="I1490" t="n">
        <v>1.7</v>
      </c>
      <c r="J1490" t="n">
        <v>0</v>
      </c>
      <c r="K1490" t="n">
        <v>0</v>
      </c>
      <c r="L1490" t="n">
        <v>0</v>
      </c>
      <c r="M1490" t="n">
        <v>0</v>
      </c>
      <c r="N1490" t="n">
        <v>0</v>
      </c>
      <c r="O1490" t="n">
        <v>0</v>
      </c>
      <c r="P1490" t="n">
        <v>0</v>
      </c>
      <c r="Q1490" t="n">
        <v>0</v>
      </c>
      <c r="R1490" t="n">
        <v>0</v>
      </c>
      <c r="S1490" t="n">
        <v>0</v>
      </c>
      <c r="T1490" t="n">
        <v>0</v>
      </c>
      <c r="U1490" t="n">
        <v>0</v>
      </c>
      <c r="V1490" s="2" t="inlineStr"/>
    </row>
    <row r="1491" ht="15" customHeight="1">
      <c r="A1491" t="inlineStr">
        <is>
          <t>A 44775-2024</t>
        </is>
      </c>
      <c r="B1491" t="inlineStr">
        <is>
          <t>avverkningsanmälan</t>
        </is>
      </c>
      <c r="C1491" t="inlineStr">
        <is>
          <t>Föryngringsavverkning</t>
        </is>
      </c>
      <c r="D1491" s="1" t="n">
        <v>45574</v>
      </c>
      <c r="E1491" s="1" t="n">
        <v>46309</v>
      </c>
      <c r="F1491" t="inlineStr">
        <is>
          <t>UPPSALA LÄN</t>
        </is>
      </c>
      <c r="G1491" t="inlineStr">
        <is>
          <t>TIERP</t>
        </is>
      </c>
      <c r="H1491" t="inlineStr">
        <is>
          <t>Bergvik skog öst AB</t>
        </is>
      </c>
      <c r="I1491" t="n">
        <v>1.7</v>
      </c>
      <c r="J1491" t="n">
        <v>0</v>
      </c>
      <c r="K1491" t="n">
        <v>0</v>
      </c>
      <c r="L1491" t="n">
        <v>0</v>
      </c>
      <c r="M1491" t="n">
        <v>0</v>
      </c>
      <c r="N1491" t="n">
        <v>0</v>
      </c>
      <c r="O1491" t="n">
        <v>0</v>
      </c>
      <c r="P1491" t="n">
        <v>0</v>
      </c>
      <c r="Q1491" t="n">
        <v>0</v>
      </c>
      <c r="R1491" t="n">
        <v>0</v>
      </c>
      <c r="S1491" t="n">
        <v>0</v>
      </c>
      <c r="T1491" t="n">
        <v>0</v>
      </c>
      <c r="U1491" t="n">
        <v>0</v>
      </c>
      <c r="V1491" s="2" t="inlineStr"/>
    </row>
    <row r="1492" ht="15" customHeight="1">
      <c r="A1492" t="inlineStr">
        <is>
          <t>A 10827-2024</t>
        </is>
      </c>
      <c r="B1492" t="inlineStr">
        <is>
          <t>avverkningsanmälan</t>
        </is>
      </c>
      <c r="C1492" t="inlineStr">
        <is>
          <t>Föryngringsavverkning</t>
        </is>
      </c>
      <c r="D1492" s="1" t="n">
        <v>45369</v>
      </c>
      <c r="E1492" s="1" t="n">
        <v>46309</v>
      </c>
      <c r="F1492" t="inlineStr">
        <is>
          <t>UPPSALA LÄN</t>
        </is>
      </c>
      <c r="G1492" t="inlineStr">
        <is>
          <t>UPPSALA</t>
        </is>
      </c>
      <c r="I1492" t="n">
        <v>2</v>
      </c>
      <c r="J1492" t="n">
        <v>0</v>
      </c>
      <c r="K1492" t="n">
        <v>0</v>
      </c>
      <c r="L1492" t="n">
        <v>0</v>
      </c>
      <c r="M1492" t="n">
        <v>0</v>
      </c>
      <c r="N1492" t="n">
        <v>0</v>
      </c>
      <c r="O1492" t="n">
        <v>0</v>
      </c>
      <c r="P1492" t="n">
        <v>0</v>
      </c>
      <c r="Q1492" t="n">
        <v>0</v>
      </c>
      <c r="R1492" t="n">
        <v>0</v>
      </c>
      <c r="S1492" t="n">
        <v>0</v>
      </c>
      <c r="T1492" t="n">
        <v>0</v>
      </c>
      <c r="U1492" t="n">
        <v>0</v>
      </c>
      <c r="V1492" s="2" t="inlineStr"/>
    </row>
    <row r="1493" ht="15" customHeight="1">
      <c r="A1493" t="inlineStr">
        <is>
          <t>A 54764-2022</t>
        </is>
      </c>
      <c r="B1493" t="inlineStr">
        <is>
          <t>avverkningsanmälan</t>
        </is>
      </c>
      <c r="C1493" t="inlineStr">
        <is>
          <t>Föryngringsavverkning</t>
        </is>
      </c>
      <c r="D1493" s="1" t="n">
        <v>44883</v>
      </c>
      <c r="E1493" s="1" t="n">
        <v>46309</v>
      </c>
      <c r="F1493" t="inlineStr">
        <is>
          <t>UPPSALA LÄN</t>
        </is>
      </c>
      <c r="G1493" t="inlineStr">
        <is>
          <t>TIERP</t>
        </is>
      </c>
      <c r="I1493" t="n">
        <v>8.699999999999999</v>
      </c>
      <c r="J1493" t="n">
        <v>0</v>
      </c>
      <c r="K1493" t="n">
        <v>0</v>
      </c>
      <c r="L1493" t="n">
        <v>0</v>
      </c>
      <c r="M1493" t="n">
        <v>0</v>
      </c>
      <c r="N1493" t="n">
        <v>0</v>
      </c>
      <c r="O1493" t="n">
        <v>0</v>
      </c>
      <c r="P1493" t="n">
        <v>0</v>
      </c>
      <c r="Q1493" t="n">
        <v>0</v>
      </c>
      <c r="R1493" t="n">
        <v>0</v>
      </c>
      <c r="S1493" t="n">
        <v>0</v>
      </c>
      <c r="T1493" t="n">
        <v>0</v>
      </c>
      <c r="U1493" t="n">
        <v>0</v>
      </c>
      <c r="V1493" s="2" t="inlineStr"/>
    </row>
    <row r="1494" ht="15" customHeight="1">
      <c r="A1494" t="inlineStr">
        <is>
          <t>A 59133-2022</t>
        </is>
      </c>
      <c r="B1494" t="inlineStr">
        <is>
          <t>avverkningsanmälan</t>
        </is>
      </c>
      <c r="C1494" t="inlineStr">
        <is>
          <t>Föryngringsavverkning</t>
        </is>
      </c>
      <c r="D1494" s="1" t="n">
        <v>44904</v>
      </c>
      <c r="E1494" s="1" t="n">
        <v>46309</v>
      </c>
      <c r="F1494" t="inlineStr">
        <is>
          <t>UPPSALA LÄN</t>
        </is>
      </c>
      <c r="G1494" t="inlineStr">
        <is>
          <t>UPPSALA</t>
        </is>
      </c>
      <c r="H1494" t="inlineStr">
        <is>
          <t>Sveaskog</t>
        </is>
      </c>
      <c r="I1494" t="n">
        <v>0.8</v>
      </c>
      <c r="J1494" t="n">
        <v>0</v>
      </c>
      <c r="K1494" t="n">
        <v>0</v>
      </c>
      <c r="L1494" t="n">
        <v>0</v>
      </c>
      <c r="M1494" t="n">
        <v>0</v>
      </c>
      <c r="N1494" t="n">
        <v>0</v>
      </c>
      <c r="O1494" t="n">
        <v>0</v>
      </c>
      <c r="P1494" t="n">
        <v>0</v>
      </c>
      <c r="Q1494" t="n">
        <v>0</v>
      </c>
      <c r="R1494" t="n">
        <v>0</v>
      </c>
      <c r="S1494" t="n">
        <v>0</v>
      </c>
      <c r="T1494" t="n">
        <v>0</v>
      </c>
      <c r="U1494" t="n">
        <v>0</v>
      </c>
      <c r="V1494" s="2" t="inlineStr"/>
    </row>
    <row r="1495" ht="15" customHeight="1">
      <c r="A1495" t="inlineStr">
        <is>
          <t>A 35318-2025</t>
        </is>
      </c>
      <c r="B1495" t="inlineStr">
        <is>
          <t>avverkningsanmälan</t>
        </is>
      </c>
      <c r="C1495" t="inlineStr">
        <is>
          <t>Föryngringsavverkning</t>
        </is>
      </c>
      <c r="D1495" s="1" t="n">
        <v>45854</v>
      </c>
      <c r="E1495" s="1" t="n">
        <v>46309</v>
      </c>
      <c r="F1495" t="inlineStr">
        <is>
          <t>UPPSALA LÄN</t>
        </is>
      </c>
      <c r="G1495" t="inlineStr">
        <is>
          <t>KNIVSTA</t>
        </is>
      </c>
      <c r="H1495" t="inlineStr">
        <is>
          <t>Holmen skog AB</t>
        </is>
      </c>
      <c r="I1495" t="n">
        <v>2.2</v>
      </c>
      <c r="J1495" t="n">
        <v>0</v>
      </c>
      <c r="K1495" t="n">
        <v>0</v>
      </c>
      <c r="L1495" t="n">
        <v>0</v>
      </c>
      <c r="M1495" t="n">
        <v>0</v>
      </c>
      <c r="N1495" t="n">
        <v>0</v>
      </c>
      <c r="O1495" t="n">
        <v>0</v>
      </c>
      <c r="P1495" t="n">
        <v>0</v>
      </c>
      <c r="Q1495" t="n">
        <v>0</v>
      </c>
      <c r="R1495" t="n">
        <v>0</v>
      </c>
      <c r="S1495" t="n">
        <v>0</v>
      </c>
      <c r="T1495" t="n">
        <v>0</v>
      </c>
      <c r="U1495" t="n">
        <v>0</v>
      </c>
      <c r="V1495" s="2" t="inlineStr"/>
    </row>
    <row r="1496" ht="15" customHeight="1">
      <c r="A1496" t="inlineStr">
        <is>
          <t>A 49940-2025</t>
        </is>
      </c>
      <c r="B1496" t="inlineStr">
        <is>
          <t>avverkningsanmälan</t>
        </is>
      </c>
      <c r="C1496" t="inlineStr">
        <is>
          <t>Föryngringsavverkning</t>
        </is>
      </c>
      <c r="D1496" s="1" t="n">
        <v>45940</v>
      </c>
      <c r="E1496" s="1" t="n">
        <v>46309</v>
      </c>
      <c r="F1496" t="inlineStr">
        <is>
          <t>UPPSALA LÄN</t>
        </is>
      </c>
      <c r="G1496" t="inlineStr">
        <is>
          <t>UPPSALA</t>
        </is>
      </c>
      <c r="I1496" t="n">
        <v>0.8</v>
      </c>
      <c r="J1496" t="n">
        <v>0</v>
      </c>
      <c r="K1496" t="n">
        <v>0</v>
      </c>
      <c r="L1496" t="n">
        <v>0</v>
      </c>
      <c r="M1496" t="n">
        <v>0</v>
      </c>
      <c r="N1496" t="n">
        <v>0</v>
      </c>
      <c r="O1496" t="n">
        <v>0</v>
      </c>
      <c r="P1496" t="n">
        <v>0</v>
      </c>
      <c r="Q1496" t="n">
        <v>0</v>
      </c>
      <c r="R1496" t="n">
        <v>0</v>
      </c>
      <c r="S1496" t="n">
        <v>0</v>
      </c>
      <c r="T1496" t="n">
        <v>0</v>
      </c>
      <c r="U1496" t="n">
        <v>0</v>
      </c>
      <c r="V1496" s="2" t="inlineStr"/>
    </row>
    <row r="1497" ht="15" customHeight="1">
      <c r="A1497" t="inlineStr">
        <is>
          <t>A 2266-2023</t>
        </is>
      </c>
      <c r="B1497" t="inlineStr">
        <is>
          <t>avverkningsanmälan</t>
        </is>
      </c>
      <c r="C1497" t="inlineStr">
        <is>
          <t>Föryngringsavverkning</t>
        </is>
      </c>
      <c r="D1497" s="1" t="n">
        <v>44942</v>
      </c>
      <c r="E1497" s="1" t="n">
        <v>46309</v>
      </c>
      <c r="F1497" t="inlineStr">
        <is>
          <t>UPPSALA LÄN</t>
        </is>
      </c>
      <c r="G1497" t="inlineStr">
        <is>
          <t>TIERP</t>
        </is>
      </c>
      <c r="I1497" t="n">
        <v>1.3</v>
      </c>
      <c r="J1497" t="n">
        <v>0</v>
      </c>
      <c r="K1497" t="n">
        <v>0</v>
      </c>
      <c r="L1497" t="n">
        <v>0</v>
      </c>
      <c r="M1497" t="n">
        <v>0</v>
      </c>
      <c r="N1497" t="n">
        <v>0</v>
      </c>
      <c r="O1497" t="n">
        <v>0</v>
      </c>
      <c r="P1497" t="n">
        <v>0</v>
      </c>
      <c r="Q1497" t="n">
        <v>0</v>
      </c>
      <c r="R1497" t="n">
        <v>0</v>
      </c>
      <c r="S1497" t="n">
        <v>0</v>
      </c>
      <c r="T1497" t="n">
        <v>0</v>
      </c>
      <c r="U1497" t="n">
        <v>0</v>
      </c>
      <c r="V1497" s="2" t="inlineStr"/>
    </row>
    <row r="1498" ht="15" customHeight="1">
      <c r="A1498" t="inlineStr">
        <is>
          <t>A 60989-2023</t>
        </is>
      </c>
      <c r="B1498" t="inlineStr">
        <is>
          <t>avverkningsanmälan</t>
        </is>
      </c>
      <c r="C1498" t="inlineStr">
        <is>
          <t>Föryngringsavverkning</t>
        </is>
      </c>
      <c r="D1498" s="1" t="n">
        <v>45259</v>
      </c>
      <c r="E1498" s="1" t="n">
        <v>46309</v>
      </c>
      <c r="F1498" t="inlineStr">
        <is>
          <t>UPPSALA LÄN</t>
        </is>
      </c>
      <c r="G1498" t="inlineStr">
        <is>
          <t>TIERP</t>
        </is>
      </c>
      <c r="I1498" t="n">
        <v>1.1</v>
      </c>
      <c r="J1498" t="n">
        <v>0</v>
      </c>
      <c r="K1498" t="n">
        <v>0</v>
      </c>
      <c r="L1498" t="n">
        <v>0</v>
      </c>
      <c r="M1498" t="n">
        <v>0</v>
      </c>
      <c r="N1498" t="n">
        <v>0</v>
      </c>
      <c r="O1498" t="n">
        <v>0</v>
      </c>
      <c r="P1498" t="n">
        <v>0</v>
      </c>
      <c r="Q1498" t="n">
        <v>0</v>
      </c>
      <c r="R1498" t="n">
        <v>0</v>
      </c>
      <c r="S1498" t="n">
        <v>0</v>
      </c>
      <c r="T1498" t="n">
        <v>0</v>
      </c>
      <c r="U1498" t="n">
        <v>0</v>
      </c>
      <c r="V1498" s="2" t="inlineStr"/>
    </row>
    <row r="1499" ht="15" customHeight="1">
      <c r="A1499" t="inlineStr">
        <is>
          <t>A 49558-2025</t>
        </is>
      </c>
      <c r="B1499" t="inlineStr">
        <is>
          <t>avverkningsanmälan</t>
        </is>
      </c>
      <c r="C1499" t="inlineStr">
        <is>
          <t>Föryngringsavverkning</t>
        </is>
      </c>
      <c r="D1499" s="1" t="n">
        <v>45939</v>
      </c>
      <c r="E1499" s="1" t="n">
        <v>46309</v>
      </c>
      <c r="F1499" t="inlineStr">
        <is>
          <t>UPPSALA LÄN</t>
        </is>
      </c>
      <c r="G1499" t="inlineStr">
        <is>
          <t>TIERP</t>
        </is>
      </c>
      <c r="H1499" t="inlineStr">
        <is>
          <t>Bergvik skog väst AB</t>
        </is>
      </c>
      <c r="I1499" t="n">
        <v>2.1</v>
      </c>
      <c r="J1499" t="n">
        <v>0</v>
      </c>
      <c r="K1499" t="n">
        <v>0</v>
      </c>
      <c r="L1499" t="n">
        <v>0</v>
      </c>
      <c r="M1499" t="n">
        <v>0</v>
      </c>
      <c r="N1499" t="n">
        <v>0</v>
      </c>
      <c r="O1499" t="n">
        <v>0</v>
      </c>
      <c r="P1499" t="n">
        <v>0</v>
      </c>
      <c r="Q1499" t="n">
        <v>0</v>
      </c>
      <c r="R1499" t="n">
        <v>0</v>
      </c>
      <c r="S1499" t="n">
        <v>0</v>
      </c>
      <c r="T1499" t="n">
        <v>0</v>
      </c>
      <c r="U1499" t="n">
        <v>0</v>
      </c>
      <c r="V1499" s="2" t="inlineStr"/>
    </row>
    <row r="1500" ht="15" customHeight="1">
      <c r="A1500" t="inlineStr">
        <is>
          <t>A 45372-2024</t>
        </is>
      </c>
      <c r="B1500" t="inlineStr">
        <is>
          <t>avverkningsanmälan</t>
        </is>
      </c>
      <c r="C1500" t="inlineStr">
        <is>
          <t>Föryngringsavverkning</t>
        </is>
      </c>
      <c r="D1500" s="1" t="n">
        <v>45576</v>
      </c>
      <c r="E1500" s="1" t="n">
        <v>46309</v>
      </c>
      <c r="F1500" t="inlineStr">
        <is>
          <t>UPPSALA LÄN</t>
        </is>
      </c>
      <c r="G1500" t="inlineStr">
        <is>
          <t>ÄLVKARLEBY</t>
        </is>
      </c>
      <c r="H1500" t="inlineStr">
        <is>
          <t>Bergvik skog väst AB</t>
        </is>
      </c>
      <c r="I1500" t="n">
        <v>3.4</v>
      </c>
      <c r="J1500" t="n">
        <v>0</v>
      </c>
      <c r="K1500" t="n">
        <v>0</v>
      </c>
      <c r="L1500" t="n">
        <v>0</v>
      </c>
      <c r="M1500" t="n">
        <v>0</v>
      </c>
      <c r="N1500" t="n">
        <v>0</v>
      </c>
      <c r="O1500" t="n">
        <v>0</v>
      </c>
      <c r="P1500" t="n">
        <v>0</v>
      </c>
      <c r="Q1500" t="n">
        <v>0</v>
      </c>
      <c r="R1500" t="n">
        <v>0</v>
      </c>
      <c r="S1500" t="n">
        <v>0</v>
      </c>
      <c r="T1500" t="n">
        <v>0</v>
      </c>
      <c r="U1500" t="n">
        <v>0</v>
      </c>
      <c r="V1500" s="2" t="inlineStr"/>
    </row>
    <row r="1501" ht="15" customHeight="1">
      <c r="A1501" t="inlineStr">
        <is>
          <t>A 49073-2025</t>
        </is>
      </c>
      <c r="B1501" t="inlineStr">
        <is>
          <t>avverkningsanmälan</t>
        </is>
      </c>
      <c r="C1501" t="inlineStr">
        <is>
          <t>Föryngringsavverkning</t>
        </is>
      </c>
      <c r="D1501" s="1" t="n">
        <v>45937</v>
      </c>
      <c r="E1501" s="1" t="n">
        <v>46309</v>
      </c>
      <c r="F1501" t="inlineStr">
        <is>
          <t>UPPSALA LÄN</t>
        </is>
      </c>
      <c r="G1501" t="inlineStr">
        <is>
          <t>ENKÖPING</t>
        </is>
      </c>
      <c r="I1501" t="n">
        <v>0.5</v>
      </c>
      <c r="J1501" t="n">
        <v>0</v>
      </c>
      <c r="K1501" t="n">
        <v>0</v>
      </c>
      <c r="L1501" t="n">
        <v>0</v>
      </c>
      <c r="M1501" t="n">
        <v>0</v>
      </c>
      <c r="N1501" t="n">
        <v>0</v>
      </c>
      <c r="O1501" t="n">
        <v>0</v>
      </c>
      <c r="P1501" t="n">
        <v>0</v>
      </c>
      <c r="Q1501" t="n">
        <v>0</v>
      </c>
      <c r="R1501" t="n">
        <v>0</v>
      </c>
      <c r="S1501" t="n">
        <v>0</v>
      </c>
      <c r="T1501" t="n">
        <v>0</v>
      </c>
      <c r="U1501" t="n">
        <v>0</v>
      </c>
      <c r="V1501" s="2" t="inlineStr"/>
    </row>
    <row r="1502" ht="15" customHeight="1">
      <c r="A1502" t="inlineStr">
        <is>
          <t>A 50398-2025</t>
        </is>
      </c>
      <c r="B1502" t="inlineStr">
        <is>
          <t>avverkningsanmälan</t>
        </is>
      </c>
      <c r="C1502" t="inlineStr">
        <is>
          <t>Avverkning för att bevara och utveckla /försöksver</t>
        </is>
      </c>
      <c r="D1502" s="1" t="n">
        <v>45944</v>
      </c>
      <c r="E1502" s="1" t="n">
        <v>46309</v>
      </c>
      <c r="F1502" t="inlineStr">
        <is>
          <t>UPPSALA LÄN</t>
        </is>
      </c>
      <c r="G1502" t="inlineStr">
        <is>
          <t>ÄLVKARLEBY</t>
        </is>
      </c>
      <c r="H1502" t="inlineStr">
        <is>
          <t>Bergvik skog väst AB</t>
        </is>
      </c>
      <c r="I1502" t="n">
        <v>4.4</v>
      </c>
      <c r="J1502" t="n">
        <v>0</v>
      </c>
      <c r="K1502" t="n">
        <v>0</v>
      </c>
      <c r="L1502" t="n">
        <v>0</v>
      </c>
      <c r="M1502" t="n">
        <v>0</v>
      </c>
      <c r="N1502" t="n">
        <v>0</v>
      </c>
      <c r="O1502" t="n">
        <v>0</v>
      </c>
      <c r="P1502" t="n">
        <v>0</v>
      </c>
      <c r="Q1502" t="n">
        <v>0</v>
      </c>
      <c r="R1502" t="n">
        <v>0</v>
      </c>
      <c r="S1502" t="n">
        <v>0</v>
      </c>
      <c r="T1502" t="n">
        <v>0</v>
      </c>
      <c r="U1502" t="n">
        <v>0</v>
      </c>
      <c r="V1502" s="2" t="inlineStr"/>
    </row>
    <row r="1503" ht="15" customHeight="1">
      <c r="A1503" t="inlineStr">
        <is>
          <t>A 50371-2025</t>
        </is>
      </c>
      <c r="B1503" t="inlineStr">
        <is>
          <t>avverkningsanmälan</t>
        </is>
      </c>
      <c r="C1503" t="inlineStr">
        <is>
          <t>Föryngringsavverkning</t>
        </is>
      </c>
      <c r="D1503" s="1" t="n">
        <v>45944</v>
      </c>
      <c r="E1503" s="1" t="n">
        <v>46309</v>
      </c>
      <c r="F1503" t="inlineStr">
        <is>
          <t>UPPSALA LÄN</t>
        </is>
      </c>
      <c r="G1503" t="inlineStr">
        <is>
          <t>ÄLVKARLEBY</t>
        </is>
      </c>
      <c r="H1503" t="inlineStr">
        <is>
          <t>Bergvik skog väst AB</t>
        </is>
      </c>
      <c r="I1503" t="n">
        <v>1.4</v>
      </c>
      <c r="J1503" t="n">
        <v>0</v>
      </c>
      <c r="K1503" t="n">
        <v>0</v>
      </c>
      <c r="L1503" t="n">
        <v>0</v>
      </c>
      <c r="M1503" t="n">
        <v>0</v>
      </c>
      <c r="N1503" t="n">
        <v>0</v>
      </c>
      <c r="O1503" t="n">
        <v>0</v>
      </c>
      <c r="P1503" t="n">
        <v>0</v>
      </c>
      <c r="Q1503" t="n">
        <v>0</v>
      </c>
      <c r="R1503" t="n">
        <v>0</v>
      </c>
      <c r="S1503" t="n">
        <v>0</v>
      </c>
      <c r="T1503" t="n">
        <v>0</v>
      </c>
      <c r="U1503" t="n">
        <v>0</v>
      </c>
      <c r="V1503" s="2" t="inlineStr"/>
    </row>
    <row r="1504" ht="15" customHeight="1">
      <c r="A1504" t="inlineStr">
        <is>
          <t>A 35510-2025</t>
        </is>
      </c>
      <c r="B1504" t="inlineStr">
        <is>
          <t>avverkningsanmälan</t>
        </is>
      </c>
      <c r="C1504" t="inlineStr">
        <is>
          <t>Föryngringsavverkning</t>
        </is>
      </c>
      <c r="D1504" s="1" t="n">
        <v>45856</v>
      </c>
      <c r="E1504" s="1" t="n">
        <v>46309</v>
      </c>
      <c r="F1504" t="inlineStr">
        <is>
          <t>UPPSALA LÄN</t>
        </is>
      </c>
      <c r="G1504" t="inlineStr">
        <is>
          <t>UPPSALA</t>
        </is>
      </c>
      <c r="H1504" t="inlineStr">
        <is>
          <t>Bergvik skog öst AB</t>
        </is>
      </c>
      <c r="I1504" t="n">
        <v>0.3</v>
      </c>
      <c r="J1504" t="n">
        <v>0</v>
      </c>
      <c r="K1504" t="n">
        <v>0</v>
      </c>
      <c r="L1504" t="n">
        <v>0</v>
      </c>
      <c r="M1504" t="n">
        <v>0</v>
      </c>
      <c r="N1504" t="n">
        <v>0</v>
      </c>
      <c r="O1504" t="n">
        <v>0</v>
      </c>
      <c r="P1504" t="n">
        <v>0</v>
      </c>
      <c r="Q1504" t="n">
        <v>0</v>
      </c>
      <c r="R1504" t="n">
        <v>0</v>
      </c>
      <c r="S1504" t="n">
        <v>0</v>
      </c>
      <c r="T1504" t="n">
        <v>0</v>
      </c>
      <c r="U1504" t="n">
        <v>0</v>
      </c>
      <c r="V1504" s="2" t="inlineStr"/>
    </row>
    <row r="1505" ht="15" customHeight="1">
      <c r="A1505" t="inlineStr">
        <is>
          <t>A 49990-2025</t>
        </is>
      </c>
      <c r="B1505" t="inlineStr">
        <is>
          <t>avverkningsanmälan</t>
        </is>
      </c>
      <c r="C1505" t="inlineStr">
        <is>
          <t>Föryngringsavverkning</t>
        </is>
      </c>
      <c r="D1505" s="1" t="n">
        <v>45942</v>
      </c>
      <c r="E1505" s="1" t="n">
        <v>46309</v>
      </c>
      <c r="F1505" t="inlineStr">
        <is>
          <t>UPPSALA LÄN</t>
        </is>
      </c>
      <c r="G1505" t="inlineStr">
        <is>
          <t>UPPSALA</t>
        </is>
      </c>
      <c r="I1505" t="n">
        <v>0.6</v>
      </c>
      <c r="J1505" t="n">
        <v>0</v>
      </c>
      <c r="K1505" t="n">
        <v>0</v>
      </c>
      <c r="L1505" t="n">
        <v>0</v>
      </c>
      <c r="M1505" t="n">
        <v>0</v>
      </c>
      <c r="N1505" t="n">
        <v>0</v>
      </c>
      <c r="O1505" t="n">
        <v>0</v>
      </c>
      <c r="P1505" t="n">
        <v>0</v>
      </c>
      <c r="Q1505" t="n">
        <v>0</v>
      </c>
      <c r="R1505" t="n">
        <v>0</v>
      </c>
      <c r="S1505" t="n">
        <v>0</v>
      </c>
      <c r="T1505" t="n">
        <v>0</v>
      </c>
      <c r="U1505" t="n">
        <v>0</v>
      </c>
      <c r="V1505" s="2" t="inlineStr"/>
    </row>
    <row r="1506" ht="15" customHeight="1">
      <c r="A1506" t="inlineStr">
        <is>
          <t>A 3443-2026</t>
        </is>
      </c>
      <c r="B1506" t="inlineStr">
        <is>
          <t>avverkningsanmälan</t>
        </is>
      </c>
      <c r="C1506" t="inlineStr">
        <is>
          <t>Föryngringsavverkning</t>
        </is>
      </c>
      <c r="D1506" s="1" t="n">
        <v>46042</v>
      </c>
      <c r="E1506" s="1" t="n">
        <v>46309</v>
      </c>
      <c r="F1506" t="inlineStr">
        <is>
          <t>UPPSALA LÄN</t>
        </is>
      </c>
      <c r="G1506" t="inlineStr">
        <is>
          <t>TIERP</t>
        </is>
      </c>
      <c r="I1506" t="n">
        <v>1.9</v>
      </c>
      <c r="J1506" t="n">
        <v>0</v>
      </c>
      <c r="K1506" t="n">
        <v>0</v>
      </c>
      <c r="L1506" t="n">
        <v>0</v>
      </c>
      <c r="M1506" t="n">
        <v>0</v>
      </c>
      <c r="N1506" t="n">
        <v>0</v>
      </c>
      <c r="O1506" t="n">
        <v>0</v>
      </c>
      <c r="P1506" t="n">
        <v>0</v>
      </c>
      <c r="Q1506" t="n">
        <v>0</v>
      </c>
      <c r="R1506" t="n">
        <v>0</v>
      </c>
      <c r="S1506" t="n">
        <v>0</v>
      </c>
      <c r="T1506" t="n">
        <v>0</v>
      </c>
      <c r="U1506" t="n">
        <v>0</v>
      </c>
      <c r="V1506" s="2" t="inlineStr"/>
    </row>
    <row r="1507" ht="15" customHeight="1">
      <c r="A1507" t="inlineStr">
        <is>
          <t>A 15310-2022</t>
        </is>
      </c>
      <c r="B1507" t="inlineStr">
        <is>
          <t>avverkningsanmälan</t>
        </is>
      </c>
      <c r="C1507" t="inlineStr">
        <is>
          <t>Föryngringsavverkning</t>
        </is>
      </c>
      <c r="D1507" s="1" t="n">
        <v>44659</v>
      </c>
      <c r="E1507" s="1" t="n">
        <v>46309</v>
      </c>
      <c r="F1507" t="inlineStr">
        <is>
          <t>UPPSALA LÄN</t>
        </is>
      </c>
      <c r="G1507" t="inlineStr">
        <is>
          <t>UPPSALA</t>
        </is>
      </c>
      <c r="H1507" t="inlineStr">
        <is>
          <t>Bergvik skog öst AB</t>
        </is>
      </c>
      <c r="I1507" t="n">
        <v>0.7</v>
      </c>
      <c r="J1507" t="n">
        <v>0</v>
      </c>
      <c r="K1507" t="n">
        <v>0</v>
      </c>
      <c r="L1507" t="n">
        <v>0</v>
      </c>
      <c r="M1507" t="n">
        <v>0</v>
      </c>
      <c r="N1507" t="n">
        <v>0</v>
      </c>
      <c r="O1507" t="n">
        <v>0</v>
      </c>
      <c r="P1507" t="n">
        <v>0</v>
      </c>
      <c r="Q1507" t="n">
        <v>0</v>
      </c>
      <c r="R1507" t="n">
        <v>0</v>
      </c>
      <c r="S1507" t="n">
        <v>0</v>
      </c>
      <c r="T1507" t="n">
        <v>0</v>
      </c>
      <c r="U1507" t="n">
        <v>0</v>
      </c>
      <c r="V1507" s="2" t="inlineStr"/>
    </row>
    <row r="1508" ht="15" customHeight="1">
      <c r="A1508" t="inlineStr">
        <is>
          <t>A 50255-2025</t>
        </is>
      </c>
      <c r="B1508" t="inlineStr">
        <is>
          <t>avverkningsanmälan</t>
        </is>
      </c>
      <c r="C1508" t="inlineStr">
        <is>
          <t>Föryngringsavverkning</t>
        </is>
      </c>
      <c r="D1508" s="1" t="n">
        <v>45944</v>
      </c>
      <c r="E1508" s="1" t="n">
        <v>46309</v>
      </c>
      <c r="F1508" t="inlineStr">
        <is>
          <t>UPPSALA LÄN</t>
        </is>
      </c>
      <c r="G1508" t="inlineStr">
        <is>
          <t>HEBY</t>
        </is>
      </c>
      <c r="I1508" t="n">
        <v>1.1</v>
      </c>
      <c r="J1508" t="n">
        <v>0</v>
      </c>
      <c r="K1508" t="n">
        <v>0</v>
      </c>
      <c r="L1508" t="n">
        <v>0</v>
      </c>
      <c r="M1508" t="n">
        <v>0</v>
      </c>
      <c r="N1508" t="n">
        <v>0</v>
      </c>
      <c r="O1508" t="n">
        <v>0</v>
      </c>
      <c r="P1508" t="n">
        <v>0</v>
      </c>
      <c r="Q1508" t="n">
        <v>0</v>
      </c>
      <c r="R1508" t="n">
        <v>0</v>
      </c>
      <c r="S1508" t="n">
        <v>0</v>
      </c>
      <c r="T1508" t="n">
        <v>0</v>
      </c>
      <c r="U1508" t="n">
        <v>0</v>
      </c>
      <c r="V1508" s="2" t="inlineStr"/>
    </row>
    <row r="1509" ht="15" customHeight="1">
      <c r="A1509" t="inlineStr">
        <is>
          <t>A 52292-2022</t>
        </is>
      </c>
      <c r="B1509" t="inlineStr">
        <is>
          <t>avverkningsanmälan</t>
        </is>
      </c>
      <c r="C1509" t="inlineStr">
        <is>
          <t>Föryngringsavverkning</t>
        </is>
      </c>
      <c r="D1509" s="1" t="n">
        <v>44873</v>
      </c>
      <c r="E1509" s="1" t="n">
        <v>46309</v>
      </c>
      <c r="F1509" t="inlineStr">
        <is>
          <t>UPPSALA LÄN</t>
        </is>
      </c>
      <c r="G1509" t="inlineStr">
        <is>
          <t>HEBY</t>
        </is>
      </c>
      <c r="I1509" t="n">
        <v>2.6</v>
      </c>
      <c r="J1509" t="n">
        <v>0</v>
      </c>
      <c r="K1509" t="n">
        <v>0</v>
      </c>
      <c r="L1509" t="n">
        <v>0</v>
      </c>
      <c r="M1509" t="n">
        <v>0</v>
      </c>
      <c r="N1509" t="n">
        <v>0</v>
      </c>
      <c r="O1509" t="n">
        <v>0</v>
      </c>
      <c r="P1509" t="n">
        <v>0</v>
      </c>
      <c r="Q1509" t="n">
        <v>0</v>
      </c>
      <c r="R1509" t="n">
        <v>0</v>
      </c>
      <c r="S1509" t="n">
        <v>0</v>
      </c>
      <c r="T1509" t="n">
        <v>0</v>
      </c>
      <c r="U1509" t="n">
        <v>0</v>
      </c>
      <c r="V1509" s="2" t="inlineStr"/>
    </row>
    <row r="1510" ht="15" customHeight="1">
      <c r="A1510" t="inlineStr">
        <is>
          <t>A 21501-2025</t>
        </is>
      </c>
      <c r="B1510" t="inlineStr">
        <is>
          <t>avverkningsanmälan</t>
        </is>
      </c>
      <c r="C1510" t="inlineStr">
        <is>
          <t>Föryngringsavverkning</t>
        </is>
      </c>
      <c r="D1510" s="1" t="n">
        <v>45782</v>
      </c>
      <c r="E1510" s="1" t="n">
        <v>46309</v>
      </c>
      <c r="F1510" t="inlineStr">
        <is>
          <t>UPPSALA LÄN</t>
        </is>
      </c>
      <c r="G1510" t="inlineStr">
        <is>
          <t>ENKÖPING</t>
        </is>
      </c>
      <c r="I1510" t="n">
        <v>1</v>
      </c>
      <c r="J1510" t="n">
        <v>0</v>
      </c>
      <c r="K1510" t="n">
        <v>0</v>
      </c>
      <c r="L1510" t="n">
        <v>0</v>
      </c>
      <c r="M1510" t="n">
        <v>0</v>
      </c>
      <c r="N1510" t="n">
        <v>0</v>
      </c>
      <c r="O1510" t="n">
        <v>0</v>
      </c>
      <c r="P1510" t="n">
        <v>0</v>
      </c>
      <c r="Q1510" t="n">
        <v>0</v>
      </c>
      <c r="R1510" t="n">
        <v>0</v>
      </c>
      <c r="S1510" t="n">
        <v>0</v>
      </c>
      <c r="T1510" t="n">
        <v>0</v>
      </c>
      <c r="U1510" t="n">
        <v>0</v>
      </c>
      <c r="V1510" s="2" t="inlineStr"/>
    </row>
    <row r="1511" ht="15" customHeight="1">
      <c r="A1511" t="inlineStr">
        <is>
          <t>A 50879-2025</t>
        </is>
      </c>
      <c r="B1511" t="inlineStr">
        <is>
          <t>avverkningsanmälan</t>
        </is>
      </c>
      <c r="C1511" t="inlineStr">
        <is>
          <t>Föryngringsavverkning</t>
        </is>
      </c>
      <c r="D1511" s="1" t="n">
        <v>45946</v>
      </c>
      <c r="E1511" s="1" t="n">
        <v>46309</v>
      </c>
      <c r="F1511" t="inlineStr">
        <is>
          <t>UPPSALA LÄN</t>
        </is>
      </c>
      <c r="G1511" t="inlineStr">
        <is>
          <t>TIERP</t>
        </is>
      </c>
      <c r="I1511" t="n">
        <v>0.5</v>
      </c>
      <c r="J1511" t="n">
        <v>0</v>
      </c>
      <c r="K1511" t="n">
        <v>0</v>
      </c>
      <c r="L1511" t="n">
        <v>0</v>
      </c>
      <c r="M1511" t="n">
        <v>0</v>
      </c>
      <c r="N1511" t="n">
        <v>0</v>
      </c>
      <c r="O1511" t="n">
        <v>0</v>
      </c>
      <c r="P1511" t="n">
        <v>0</v>
      </c>
      <c r="Q1511" t="n">
        <v>0</v>
      </c>
      <c r="R1511" t="n">
        <v>0</v>
      </c>
      <c r="S1511" t="n">
        <v>0</v>
      </c>
      <c r="T1511" t="n">
        <v>0</v>
      </c>
      <c r="U1511" t="n">
        <v>0</v>
      </c>
      <c r="V1511" s="2" t="inlineStr"/>
    </row>
    <row r="1512" ht="15" customHeight="1">
      <c r="A1512" t="inlineStr">
        <is>
          <t>A 50657-2025</t>
        </is>
      </c>
      <c r="B1512" t="inlineStr">
        <is>
          <t>avverkningsanmälan</t>
        </is>
      </c>
      <c r="C1512" t="inlineStr">
        <is>
          <t>Föryngringsavverkning</t>
        </is>
      </c>
      <c r="D1512" s="1" t="n">
        <v>45945</v>
      </c>
      <c r="E1512" s="1" t="n">
        <v>46309</v>
      </c>
      <c r="F1512" t="inlineStr">
        <is>
          <t>UPPSALA LÄN</t>
        </is>
      </c>
      <c r="G1512" t="inlineStr">
        <is>
          <t>HEBY</t>
        </is>
      </c>
      <c r="H1512" t="inlineStr">
        <is>
          <t>Bergvik skog väst AB</t>
        </is>
      </c>
      <c r="I1512" t="n">
        <v>1.9</v>
      </c>
      <c r="J1512" t="n">
        <v>0</v>
      </c>
      <c r="K1512" t="n">
        <v>0</v>
      </c>
      <c r="L1512" t="n">
        <v>0</v>
      </c>
      <c r="M1512" t="n">
        <v>0</v>
      </c>
      <c r="N1512" t="n">
        <v>0</v>
      </c>
      <c r="O1512" t="n">
        <v>0</v>
      </c>
      <c r="P1512" t="n">
        <v>0</v>
      </c>
      <c r="Q1512" t="n">
        <v>0</v>
      </c>
      <c r="R1512" t="n">
        <v>0</v>
      </c>
      <c r="S1512" t="n">
        <v>0</v>
      </c>
      <c r="T1512" t="n">
        <v>0</v>
      </c>
      <c r="U1512" t="n">
        <v>0</v>
      </c>
      <c r="V1512" s="2" t="inlineStr"/>
    </row>
    <row r="1513" ht="15" customHeight="1">
      <c r="A1513" t="inlineStr">
        <is>
          <t>A 3375-2026</t>
        </is>
      </c>
      <c r="B1513" t="inlineStr">
        <is>
          <t>avverkningsanmälan</t>
        </is>
      </c>
      <c r="C1513" t="inlineStr">
        <is>
          <t>Föryngringsavverkning</t>
        </is>
      </c>
      <c r="D1513" s="1" t="n">
        <v>46042</v>
      </c>
      <c r="E1513" s="1" t="n">
        <v>46309</v>
      </c>
      <c r="F1513" t="inlineStr">
        <is>
          <t>UPPSALA LÄN</t>
        </is>
      </c>
      <c r="G1513" t="inlineStr">
        <is>
          <t>KNIVSTA</t>
        </is>
      </c>
      <c r="I1513" t="n">
        <v>1.9</v>
      </c>
      <c r="J1513" t="n">
        <v>0</v>
      </c>
      <c r="K1513" t="n">
        <v>0</v>
      </c>
      <c r="L1513" t="n">
        <v>0</v>
      </c>
      <c r="M1513" t="n">
        <v>0</v>
      </c>
      <c r="N1513" t="n">
        <v>0</v>
      </c>
      <c r="O1513" t="n">
        <v>0</v>
      </c>
      <c r="P1513" t="n">
        <v>0</v>
      </c>
      <c r="Q1513" t="n">
        <v>0</v>
      </c>
      <c r="R1513" t="n">
        <v>0</v>
      </c>
      <c r="S1513" t="n">
        <v>0</v>
      </c>
      <c r="T1513" t="n">
        <v>0</v>
      </c>
      <c r="U1513" t="n">
        <v>0</v>
      </c>
      <c r="V1513" s="2" t="inlineStr"/>
    </row>
    <row r="1514" ht="15" customHeight="1">
      <c r="A1514" t="inlineStr">
        <is>
          <t>A 3095-2026</t>
        </is>
      </c>
      <c r="B1514" t="inlineStr">
        <is>
          <t>avverkningsanmälan</t>
        </is>
      </c>
      <c r="C1514" t="inlineStr">
        <is>
          <t>Föryngringsavverkning</t>
        </is>
      </c>
      <c r="D1514" s="1" t="n">
        <v>46040</v>
      </c>
      <c r="E1514" s="1" t="n">
        <v>46309</v>
      </c>
      <c r="F1514" t="inlineStr">
        <is>
          <t>UPPSALA LÄN</t>
        </is>
      </c>
      <c r="G1514" t="inlineStr">
        <is>
          <t>ÖSTHAMMAR</t>
        </is>
      </c>
      <c r="I1514" t="n">
        <v>1.7</v>
      </c>
      <c r="J1514" t="n">
        <v>0</v>
      </c>
      <c r="K1514" t="n">
        <v>0</v>
      </c>
      <c r="L1514" t="n">
        <v>0</v>
      </c>
      <c r="M1514" t="n">
        <v>0</v>
      </c>
      <c r="N1514" t="n">
        <v>0</v>
      </c>
      <c r="O1514" t="n">
        <v>0</v>
      </c>
      <c r="P1514" t="n">
        <v>0</v>
      </c>
      <c r="Q1514" t="n">
        <v>0</v>
      </c>
      <c r="R1514" t="n">
        <v>0</v>
      </c>
      <c r="S1514" t="n">
        <v>0</v>
      </c>
      <c r="T1514" t="n">
        <v>0</v>
      </c>
      <c r="U1514" t="n">
        <v>0</v>
      </c>
      <c r="V1514" s="2" t="inlineStr"/>
    </row>
    <row r="1515" ht="15" customHeight="1">
      <c r="A1515" t="inlineStr">
        <is>
          <t>A 3433-2026</t>
        </is>
      </c>
      <c r="B1515" t="inlineStr">
        <is>
          <t>avverkningsanmälan</t>
        </is>
      </c>
      <c r="C1515" t="inlineStr">
        <is>
          <t>Föryngringsavverkning</t>
        </is>
      </c>
      <c r="D1515" s="1" t="n">
        <v>46042</v>
      </c>
      <c r="E1515" s="1" t="n">
        <v>46309</v>
      </c>
      <c r="F1515" t="inlineStr">
        <is>
          <t>UPPSALA LÄN</t>
        </is>
      </c>
      <c r="G1515" t="inlineStr">
        <is>
          <t>TIERP</t>
        </is>
      </c>
      <c r="I1515" t="n">
        <v>6.4</v>
      </c>
      <c r="J1515" t="n">
        <v>0</v>
      </c>
      <c r="K1515" t="n">
        <v>0</v>
      </c>
      <c r="L1515" t="n">
        <v>0</v>
      </c>
      <c r="M1515" t="n">
        <v>0</v>
      </c>
      <c r="N1515" t="n">
        <v>0</v>
      </c>
      <c r="O1515" t="n">
        <v>0</v>
      </c>
      <c r="P1515" t="n">
        <v>0</v>
      </c>
      <c r="Q1515" t="n">
        <v>0</v>
      </c>
      <c r="R1515" t="n">
        <v>0</v>
      </c>
      <c r="S1515" t="n">
        <v>0</v>
      </c>
      <c r="T1515" t="n">
        <v>0</v>
      </c>
      <c r="U1515" t="n">
        <v>0</v>
      </c>
      <c r="V1515" s="2" t="inlineStr"/>
    </row>
    <row r="1516" ht="15" customHeight="1">
      <c r="A1516" t="inlineStr">
        <is>
          <t>A 3926-2026</t>
        </is>
      </c>
      <c r="B1516" t="inlineStr">
        <is>
          <t>avverkningsanmälan</t>
        </is>
      </c>
      <c r="C1516" t="inlineStr">
        <is>
          <t>Föryngringsavverkning</t>
        </is>
      </c>
      <c r="D1516" s="1" t="n">
        <v>46043</v>
      </c>
      <c r="E1516" s="1" t="n">
        <v>46309</v>
      </c>
      <c r="F1516" t="inlineStr">
        <is>
          <t>UPPSALA LÄN</t>
        </is>
      </c>
      <c r="G1516" t="inlineStr">
        <is>
          <t>ÖSTHAMMAR</t>
        </is>
      </c>
      <c r="I1516" t="n">
        <v>3.3</v>
      </c>
      <c r="J1516" t="n">
        <v>0</v>
      </c>
      <c r="K1516" t="n">
        <v>0</v>
      </c>
      <c r="L1516" t="n">
        <v>0</v>
      </c>
      <c r="M1516" t="n">
        <v>0</v>
      </c>
      <c r="N1516" t="n">
        <v>0</v>
      </c>
      <c r="O1516" t="n">
        <v>0</v>
      </c>
      <c r="P1516" t="n">
        <v>0</v>
      </c>
      <c r="Q1516" t="n">
        <v>0</v>
      </c>
      <c r="R1516" t="n">
        <v>0</v>
      </c>
      <c r="S1516" t="n">
        <v>0</v>
      </c>
      <c r="T1516" t="n">
        <v>0</v>
      </c>
      <c r="U1516" t="n">
        <v>0</v>
      </c>
      <c r="V1516" s="2" t="inlineStr"/>
    </row>
    <row r="1517" ht="15" customHeight="1">
      <c r="A1517" t="inlineStr">
        <is>
          <t>A 43089-2024</t>
        </is>
      </c>
      <c r="B1517" t="inlineStr">
        <is>
          <t>avverkningsanmälan</t>
        </is>
      </c>
      <c r="C1517" t="inlineStr">
        <is>
          <t>Föryngringsavverkning</t>
        </is>
      </c>
      <c r="D1517" s="1" t="n">
        <v>45567</v>
      </c>
      <c r="E1517" s="1" t="n">
        <v>46309</v>
      </c>
      <c r="F1517" t="inlineStr">
        <is>
          <t>UPPSALA LÄN</t>
        </is>
      </c>
      <c r="G1517" t="inlineStr">
        <is>
          <t>HEBY</t>
        </is>
      </c>
      <c r="I1517" t="n">
        <v>0.5</v>
      </c>
      <c r="J1517" t="n">
        <v>0</v>
      </c>
      <c r="K1517" t="n">
        <v>0</v>
      </c>
      <c r="L1517" t="n">
        <v>0</v>
      </c>
      <c r="M1517" t="n">
        <v>0</v>
      </c>
      <c r="N1517" t="n">
        <v>0</v>
      </c>
      <c r="O1517" t="n">
        <v>0</v>
      </c>
      <c r="P1517" t="n">
        <v>0</v>
      </c>
      <c r="Q1517" t="n">
        <v>0</v>
      </c>
      <c r="R1517" t="n">
        <v>0</v>
      </c>
      <c r="S1517" t="n">
        <v>0</v>
      </c>
      <c r="T1517" t="n">
        <v>0</v>
      </c>
      <c r="U1517" t="n">
        <v>0</v>
      </c>
      <c r="V1517" s="2" t="inlineStr"/>
    </row>
    <row r="1518" ht="15" customHeight="1">
      <c r="A1518" t="inlineStr">
        <is>
          <t>A 3865-2026</t>
        </is>
      </c>
      <c r="B1518" t="inlineStr">
        <is>
          <t>avverkningsanmälan</t>
        </is>
      </c>
      <c r="C1518" t="inlineStr">
        <is>
          <t>Föryngringsavverkning</t>
        </is>
      </c>
      <c r="D1518" s="1" t="n">
        <v>46043</v>
      </c>
      <c r="E1518" s="1" t="n">
        <v>46309</v>
      </c>
      <c r="F1518" t="inlineStr">
        <is>
          <t>UPPSALA LÄN</t>
        </is>
      </c>
      <c r="G1518" t="inlineStr">
        <is>
          <t>TIERP</t>
        </is>
      </c>
      <c r="H1518" t="inlineStr">
        <is>
          <t>Bergvik skog väst AB</t>
        </is>
      </c>
      <c r="I1518" t="n">
        <v>4.2</v>
      </c>
      <c r="J1518" t="n">
        <v>0</v>
      </c>
      <c r="K1518" t="n">
        <v>0</v>
      </c>
      <c r="L1518" t="n">
        <v>0</v>
      </c>
      <c r="M1518" t="n">
        <v>0</v>
      </c>
      <c r="N1518" t="n">
        <v>0</v>
      </c>
      <c r="O1518" t="n">
        <v>0</v>
      </c>
      <c r="P1518" t="n">
        <v>0</v>
      </c>
      <c r="Q1518" t="n">
        <v>0</v>
      </c>
      <c r="R1518" t="n">
        <v>0</v>
      </c>
      <c r="S1518" t="n">
        <v>0</v>
      </c>
      <c r="T1518" t="n">
        <v>0</v>
      </c>
      <c r="U1518" t="n">
        <v>0</v>
      </c>
      <c r="V1518" s="2" t="inlineStr"/>
    </row>
    <row r="1519" ht="15" customHeight="1">
      <c r="A1519" t="inlineStr">
        <is>
          <t>A 41112-2025</t>
        </is>
      </c>
      <c r="B1519" t="inlineStr">
        <is>
          <t>avverkningsanmälan</t>
        </is>
      </c>
      <c r="C1519" t="inlineStr">
        <is>
          <t>Föryngringsavverkning</t>
        </is>
      </c>
      <c r="D1519" s="1" t="n">
        <v>45898</v>
      </c>
      <c r="E1519" s="1" t="n">
        <v>46309</v>
      </c>
      <c r="F1519" t="inlineStr">
        <is>
          <t>UPPSALA LÄN</t>
        </is>
      </c>
      <c r="G1519" t="inlineStr">
        <is>
          <t>UPPSALA</t>
        </is>
      </c>
      <c r="I1519" t="n">
        <v>3.1</v>
      </c>
      <c r="J1519" t="n">
        <v>0</v>
      </c>
      <c r="K1519" t="n">
        <v>0</v>
      </c>
      <c r="L1519" t="n">
        <v>0</v>
      </c>
      <c r="M1519" t="n">
        <v>0</v>
      </c>
      <c r="N1519" t="n">
        <v>0</v>
      </c>
      <c r="O1519" t="n">
        <v>0</v>
      </c>
      <c r="P1519" t="n">
        <v>0</v>
      </c>
      <c r="Q1519" t="n">
        <v>0</v>
      </c>
      <c r="R1519" t="n">
        <v>0</v>
      </c>
      <c r="S1519" t="n">
        <v>0</v>
      </c>
      <c r="T1519" t="n">
        <v>0</v>
      </c>
      <c r="U1519" t="n">
        <v>0</v>
      </c>
      <c r="V1519" s="2" t="inlineStr"/>
    </row>
    <row r="1520" ht="15" customHeight="1">
      <c r="A1520" t="inlineStr">
        <is>
          <t>A 3824-2026</t>
        </is>
      </c>
      <c r="B1520" t="inlineStr">
        <is>
          <t>avverkningsanmälan</t>
        </is>
      </c>
      <c r="C1520" t="inlineStr">
        <is>
          <t>Föryngringsavverkning</t>
        </is>
      </c>
      <c r="D1520" s="1" t="n">
        <v>46043</v>
      </c>
      <c r="E1520" s="1" t="n">
        <v>46309</v>
      </c>
      <c r="F1520" t="inlineStr">
        <is>
          <t>UPPSALA LÄN</t>
        </is>
      </c>
      <c r="G1520" t="inlineStr">
        <is>
          <t>KNIVSTA</t>
        </is>
      </c>
      <c r="I1520" t="n">
        <v>1.9</v>
      </c>
      <c r="J1520" t="n">
        <v>0</v>
      </c>
      <c r="K1520" t="n">
        <v>0</v>
      </c>
      <c r="L1520" t="n">
        <v>0</v>
      </c>
      <c r="M1520" t="n">
        <v>0</v>
      </c>
      <c r="N1520" t="n">
        <v>0</v>
      </c>
      <c r="O1520" t="n">
        <v>0</v>
      </c>
      <c r="P1520" t="n">
        <v>0</v>
      </c>
      <c r="Q1520" t="n">
        <v>0</v>
      </c>
      <c r="R1520" t="n">
        <v>0</v>
      </c>
      <c r="S1520" t="n">
        <v>0</v>
      </c>
      <c r="T1520" t="n">
        <v>0</v>
      </c>
      <c r="U1520" t="n">
        <v>0</v>
      </c>
      <c r="V1520" s="2" t="inlineStr"/>
    </row>
    <row r="1521" ht="15" customHeight="1">
      <c r="A1521" t="inlineStr">
        <is>
          <t>A 22135-2025</t>
        </is>
      </c>
      <c r="B1521" t="inlineStr">
        <is>
          <t>avverkningsanmälan</t>
        </is>
      </c>
      <c r="C1521" t="inlineStr">
        <is>
          <t>Föryngringsavverkning</t>
        </is>
      </c>
      <c r="D1521" s="1" t="n">
        <v>45785</v>
      </c>
      <c r="E1521" s="1" t="n">
        <v>46309</v>
      </c>
      <c r="F1521" t="inlineStr">
        <is>
          <t>UPPSALA LÄN</t>
        </is>
      </c>
      <c r="G1521" t="inlineStr">
        <is>
          <t>TIERP</t>
        </is>
      </c>
      <c r="I1521" t="n">
        <v>1.2</v>
      </c>
      <c r="J1521" t="n">
        <v>0</v>
      </c>
      <c r="K1521" t="n">
        <v>0</v>
      </c>
      <c r="L1521" t="n">
        <v>0</v>
      </c>
      <c r="M1521" t="n">
        <v>0</v>
      </c>
      <c r="N1521" t="n">
        <v>0</v>
      </c>
      <c r="O1521" t="n">
        <v>0</v>
      </c>
      <c r="P1521" t="n">
        <v>0</v>
      </c>
      <c r="Q1521" t="n">
        <v>0</v>
      </c>
      <c r="R1521" t="n">
        <v>0</v>
      </c>
      <c r="S1521" t="n">
        <v>0</v>
      </c>
      <c r="T1521" t="n">
        <v>0</v>
      </c>
      <c r="U1521" t="n">
        <v>0</v>
      </c>
      <c r="V1521" s="2" t="inlineStr"/>
    </row>
    <row r="1522" ht="15" customHeight="1">
      <c r="A1522" t="inlineStr">
        <is>
          <t>A 3668-2026</t>
        </is>
      </c>
      <c r="B1522" t="inlineStr">
        <is>
          <t>avverkningsanmälan</t>
        </is>
      </c>
      <c r="C1522" t="inlineStr">
        <is>
          <t>Föryngringsavverkning</t>
        </is>
      </c>
      <c r="D1522" s="1" t="n">
        <v>46043</v>
      </c>
      <c r="E1522" s="1" t="n">
        <v>46309</v>
      </c>
      <c r="F1522" t="inlineStr">
        <is>
          <t>UPPSALA LÄN</t>
        </is>
      </c>
      <c r="G1522" t="inlineStr">
        <is>
          <t>ÖSTHAMMAR</t>
        </is>
      </c>
      <c r="I1522" t="n">
        <v>1.7</v>
      </c>
      <c r="J1522" t="n">
        <v>0</v>
      </c>
      <c r="K1522" t="n">
        <v>0</v>
      </c>
      <c r="L1522" t="n">
        <v>0</v>
      </c>
      <c r="M1522" t="n">
        <v>0</v>
      </c>
      <c r="N1522" t="n">
        <v>0</v>
      </c>
      <c r="O1522" t="n">
        <v>0</v>
      </c>
      <c r="P1522" t="n">
        <v>0</v>
      </c>
      <c r="Q1522" t="n">
        <v>0</v>
      </c>
      <c r="R1522" t="n">
        <v>0</v>
      </c>
      <c r="S1522" t="n">
        <v>0</v>
      </c>
      <c r="T1522" t="n">
        <v>0</v>
      </c>
      <c r="U1522" t="n">
        <v>0</v>
      </c>
      <c r="V1522" s="2" t="inlineStr"/>
    </row>
    <row r="1523" ht="15" customHeight="1">
      <c r="A1523" t="inlineStr">
        <is>
          <t>A 4093-2026</t>
        </is>
      </c>
      <c r="B1523" t="inlineStr">
        <is>
          <t>avverkningsanmälan</t>
        </is>
      </c>
      <c r="C1523" t="inlineStr">
        <is>
          <t>Föryngringsavverkning</t>
        </is>
      </c>
      <c r="D1523" s="1" t="n">
        <v>46044</v>
      </c>
      <c r="E1523" s="1" t="n">
        <v>46309</v>
      </c>
      <c r="F1523" t="inlineStr">
        <is>
          <t>UPPSALA LÄN</t>
        </is>
      </c>
      <c r="G1523" t="inlineStr">
        <is>
          <t>HEBY</t>
        </is>
      </c>
      <c r="I1523" t="n">
        <v>1.2</v>
      </c>
      <c r="J1523" t="n">
        <v>0</v>
      </c>
      <c r="K1523" t="n">
        <v>0</v>
      </c>
      <c r="L1523" t="n">
        <v>0</v>
      </c>
      <c r="M1523" t="n">
        <v>0</v>
      </c>
      <c r="N1523" t="n">
        <v>0</v>
      </c>
      <c r="O1523" t="n">
        <v>0</v>
      </c>
      <c r="P1523" t="n">
        <v>0</v>
      </c>
      <c r="Q1523" t="n">
        <v>0</v>
      </c>
      <c r="R1523" t="n">
        <v>0</v>
      </c>
      <c r="S1523" t="n">
        <v>0</v>
      </c>
      <c r="T1523" t="n">
        <v>0</v>
      </c>
      <c r="U1523" t="n">
        <v>0</v>
      </c>
      <c r="V1523" s="2" t="inlineStr"/>
    </row>
    <row r="1524" ht="15" customHeight="1">
      <c r="A1524" t="inlineStr">
        <is>
          <t>A 4570-2026</t>
        </is>
      </c>
      <c r="B1524" t="inlineStr">
        <is>
          <t>avverkningsanmälan</t>
        </is>
      </c>
      <c r="C1524" t="inlineStr">
        <is>
          <t>Föryngringsavverkning</t>
        </is>
      </c>
      <c r="D1524" s="1" t="n">
        <v>46048</v>
      </c>
      <c r="E1524" s="1" t="n">
        <v>46309</v>
      </c>
      <c r="F1524" t="inlineStr">
        <is>
          <t>UPPSALA LÄN</t>
        </is>
      </c>
      <c r="G1524" t="inlineStr">
        <is>
          <t>ÖSTHAMMAR</t>
        </is>
      </c>
      <c r="H1524" t="inlineStr">
        <is>
          <t>Allmännings- och besparingsskogar</t>
        </is>
      </c>
      <c r="I1524" t="n">
        <v>7.1</v>
      </c>
      <c r="J1524" t="n">
        <v>0</v>
      </c>
      <c r="K1524" t="n">
        <v>0</v>
      </c>
      <c r="L1524" t="n">
        <v>0</v>
      </c>
      <c r="M1524" t="n">
        <v>0</v>
      </c>
      <c r="N1524" t="n">
        <v>0</v>
      </c>
      <c r="O1524" t="n">
        <v>0</v>
      </c>
      <c r="P1524" t="n">
        <v>0</v>
      </c>
      <c r="Q1524" t="n">
        <v>0</v>
      </c>
      <c r="R1524" t="n">
        <v>0</v>
      </c>
      <c r="S1524" t="n">
        <v>0</v>
      </c>
      <c r="T1524" t="n">
        <v>0</v>
      </c>
      <c r="U1524" t="n">
        <v>0</v>
      </c>
      <c r="V1524" s="2" t="inlineStr"/>
    </row>
    <row r="1525" ht="15" customHeight="1">
      <c r="A1525" t="inlineStr">
        <is>
          <t>A 12507-2024</t>
        </is>
      </c>
      <c r="B1525" t="inlineStr">
        <is>
          <t>avverkningsanmälan</t>
        </is>
      </c>
      <c r="C1525" t="inlineStr">
        <is>
          <t>Föryngringsavverkning</t>
        </is>
      </c>
      <c r="D1525" s="1" t="n">
        <v>45379</v>
      </c>
      <c r="E1525" s="1" t="n">
        <v>46309</v>
      </c>
      <c r="F1525" t="inlineStr">
        <is>
          <t>UPPSALA LÄN</t>
        </is>
      </c>
      <c r="G1525" t="inlineStr">
        <is>
          <t>UPPSALA</t>
        </is>
      </c>
      <c r="I1525" t="n">
        <v>4.6</v>
      </c>
      <c r="J1525" t="n">
        <v>0</v>
      </c>
      <c r="K1525" t="n">
        <v>0</v>
      </c>
      <c r="L1525" t="n">
        <v>0</v>
      </c>
      <c r="M1525" t="n">
        <v>0</v>
      </c>
      <c r="N1525" t="n">
        <v>0</v>
      </c>
      <c r="O1525" t="n">
        <v>0</v>
      </c>
      <c r="P1525" t="n">
        <v>0</v>
      </c>
      <c r="Q1525" t="n">
        <v>0</v>
      </c>
      <c r="R1525" t="n">
        <v>0</v>
      </c>
      <c r="S1525" t="n">
        <v>0</v>
      </c>
      <c r="T1525" t="n">
        <v>0</v>
      </c>
      <c r="U1525" t="n">
        <v>0</v>
      </c>
      <c r="V1525" s="2" t="inlineStr"/>
    </row>
    <row r="1526" ht="15" customHeight="1">
      <c r="A1526" t="inlineStr">
        <is>
          <t>A 60702-2022</t>
        </is>
      </c>
      <c r="B1526" t="inlineStr">
        <is>
          <t>avverkningsanmälan</t>
        </is>
      </c>
      <c r="C1526" t="inlineStr">
        <is>
          <t>Föryngringsavverkning</t>
        </is>
      </c>
      <c r="D1526" s="1" t="n">
        <v>44912</v>
      </c>
      <c r="E1526" s="1" t="n">
        <v>46309</v>
      </c>
      <c r="F1526" t="inlineStr">
        <is>
          <t>UPPSALA LÄN</t>
        </is>
      </c>
      <c r="G1526" t="inlineStr">
        <is>
          <t>UPPSALA</t>
        </is>
      </c>
      <c r="I1526" t="n">
        <v>0.9</v>
      </c>
      <c r="J1526" t="n">
        <v>0</v>
      </c>
      <c r="K1526" t="n">
        <v>0</v>
      </c>
      <c r="L1526" t="n">
        <v>0</v>
      </c>
      <c r="M1526" t="n">
        <v>0</v>
      </c>
      <c r="N1526" t="n">
        <v>0</v>
      </c>
      <c r="O1526" t="n">
        <v>0</v>
      </c>
      <c r="P1526" t="n">
        <v>0</v>
      </c>
      <c r="Q1526" t="n">
        <v>0</v>
      </c>
      <c r="R1526" t="n">
        <v>0</v>
      </c>
      <c r="S1526" t="n">
        <v>0</v>
      </c>
      <c r="T1526" t="n">
        <v>0</v>
      </c>
      <c r="U1526" t="n">
        <v>0</v>
      </c>
      <c r="V1526" s="2" t="inlineStr"/>
    </row>
    <row r="1527" ht="15" customHeight="1">
      <c r="A1527" t="inlineStr">
        <is>
          <t>A 8933-2022</t>
        </is>
      </c>
      <c r="B1527" t="inlineStr">
        <is>
          <t>avverkningsanmälan</t>
        </is>
      </c>
      <c r="C1527" t="inlineStr">
        <is>
          <t>Föryngringsavverkning</t>
        </is>
      </c>
      <c r="D1527" s="1" t="n">
        <v>44614</v>
      </c>
      <c r="E1527" s="1" t="n">
        <v>46309</v>
      </c>
      <c r="F1527" t="inlineStr">
        <is>
          <t>UPPSALA LÄN</t>
        </is>
      </c>
      <c r="G1527" t="inlineStr">
        <is>
          <t>UPPSALA</t>
        </is>
      </c>
      <c r="H1527" t="inlineStr">
        <is>
          <t>Holmen skog AB</t>
        </is>
      </c>
      <c r="I1527" t="n">
        <v>3.6</v>
      </c>
      <c r="J1527" t="n">
        <v>0</v>
      </c>
      <c r="K1527" t="n">
        <v>0</v>
      </c>
      <c r="L1527" t="n">
        <v>0</v>
      </c>
      <c r="M1527" t="n">
        <v>0</v>
      </c>
      <c r="N1527" t="n">
        <v>0</v>
      </c>
      <c r="O1527" t="n">
        <v>0</v>
      </c>
      <c r="P1527" t="n">
        <v>0</v>
      </c>
      <c r="Q1527" t="n">
        <v>0</v>
      </c>
      <c r="R1527" t="n">
        <v>0</v>
      </c>
      <c r="S1527" t="n">
        <v>0</v>
      </c>
      <c r="T1527" t="n">
        <v>0</v>
      </c>
      <c r="U1527" t="n">
        <v>0</v>
      </c>
      <c r="V1527" s="2" t="inlineStr"/>
    </row>
    <row r="1528" ht="15" customHeight="1">
      <c r="A1528" t="inlineStr">
        <is>
          <t>A 50708-2025</t>
        </is>
      </c>
      <c r="B1528" t="inlineStr">
        <is>
          <t>avverkningsanmälan</t>
        </is>
      </c>
      <c r="C1528" t="inlineStr">
        <is>
          <t>Föryngringsavverkning</t>
        </is>
      </c>
      <c r="D1528" s="1" t="n">
        <v>45946</v>
      </c>
      <c r="E1528" s="1" t="n">
        <v>46309</v>
      </c>
      <c r="F1528" t="inlineStr">
        <is>
          <t>UPPSALA LÄN</t>
        </is>
      </c>
      <c r="G1528" t="inlineStr">
        <is>
          <t>UPPSALA</t>
        </is>
      </c>
      <c r="I1528" t="n">
        <v>6.7</v>
      </c>
      <c r="J1528" t="n">
        <v>0</v>
      </c>
      <c r="K1528" t="n">
        <v>0</v>
      </c>
      <c r="L1528" t="n">
        <v>0</v>
      </c>
      <c r="M1528" t="n">
        <v>0</v>
      </c>
      <c r="N1528" t="n">
        <v>0</v>
      </c>
      <c r="O1528" t="n">
        <v>0</v>
      </c>
      <c r="P1528" t="n">
        <v>0</v>
      </c>
      <c r="Q1528" t="n">
        <v>0</v>
      </c>
      <c r="R1528" t="n">
        <v>0</v>
      </c>
      <c r="S1528" t="n">
        <v>0</v>
      </c>
      <c r="T1528" t="n">
        <v>0</v>
      </c>
      <c r="U1528" t="n">
        <v>0</v>
      </c>
      <c r="V1528" s="2" t="inlineStr"/>
    </row>
    <row r="1529" ht="15" customHeight="1">
      <c r="A1529" t="inlineStr">
        <is>
          <t>A 51379-2025</t>
        </is>
      </c>
      <c r="B1529" t="inlineStr">
        <is>
          <t>avverkningsanmälan</t>
        </is>
      </c>
      <c r="C1529" t="inlineStr">
        <is>
          <t>Föryngringsavverkning</t>
        </is>
      </c>
      <c r="D1529" s="1" t="n">
        <v>45950</v>
      </c>
      <c r="E1529" s="1" t="n">
        <v>46309</v>
      </c>
      <c r="F1529" t="inlineStr">
        <is>
          <t>UPPSALA LÄN</t>
        </is>
      </c>
      <c r="G1529" t="inlineStr">
        <is>
          <t>ÖSTHAMMAR</t>
        </is>
      </c>
      <c r="I1529" t="n">
        <v>2.1</v>
      </c>
      <c r="J1529" t="n">
        <v>0</v>
      </c>
      <c r="K1529" t="n">
        <v>0</v>
      </c>
      <c r="L1529" t="n">
        <v>0</v>
      </c>
      <c r="M1529" t="n">
        <v>0</v>
      </c>
      <c r="N1529" t="n">
        <v>0</v>
      </c>
      <c r="O1529" t="n">
        <v>0</v>
      </c>
      <c r="P1529" t="n">
        <v>0</v>
      </c>
      <c r="Q1529" t="n">
        <v>0</v>
      </c>
      <c r="R1529" t="n">
        <v>0</v>
      </c>
      <c r="S1529" t="n">
        <v>0</v>
      </c>
      <c r="T1529" t="n">
        <v>0</v>
      </c>
      <c r="U1529" t="n">
        <v>0</v>
      </c>
      <c r="V1529" s="2" t="inlineStr"/>
    </row>
    <row r="1530" ht="15" customHeight="1">
      <c r="A1530" t="inlineStr">
        <is>
          <t>A 4716-2026</t>
        </is>
      </c>
      <c r="B1530" t="inlineStr">
        <is>
          <t>avverkningsanmälan</t>
        </is>
      </c>
      <c r="C1530" t="inlineStr">
        <is>
          <t>Föryngringsavverkning</t>
        </is>
      </c>
      <c r="D1530" s="1" t="n">
        <v>46048</v>
      </c>
      <c r="E1530" s="1" t="n">
        <v>46309</v>
      </c>
      <c r="F1530" t="inlineStr">
        <is>
          <t>UPPSALA LÄN</t>
        </is>
      </c>
      <c r="G1530" t="inlineStr">
        <is>
          <t>TIERP</t>
        </is>
      </c>
      <c r="I1530" t="n">
        <v>2</v>
      </c>
      <c r="J1530" t="n">
        <v>0</v>
      </c>
      <c r="K1530" t="n">
        <v>0</v>
      </c>
      <c r="L1530" t="n">
        <v>0</v>
      </c>
      <c r="M1530" t="n">
        <v>0</v>
      </c>
      <c r="N1530" t="n">
        <v>0</v>
      </c>
      <c r="O1530" t="n">
        <v>0</v>
      </c>
      <c r="P1530" t="n">
        <v>0</v>
      </c>
      <c r="Q1530" t="n">
        <v>0</v>
      </c>
      <c r="R1530" t="n">
        <v>0</v>
      </c>
      <c r="S1530" t="n">
        <v>0</v>
      </c>
      <c r="T1530" t="n">
        <v>0</v>
      </c>
      <c r="U1530" t="n">
        <v>0</v>
      </c>
      <c r="V1530" s="2" t="inlineStr"/>
    </row>
    <row r="1531" ht="15" customHeight="1">
      <c r="A1531" t="inlineStr">
        <is>
          <t>A 51266-2025</t>
        </is>
      </c>
      <c r="B1531" t="inlineStr">
        <is>
          <t>avverkningsanmälan</t>
        </is>
      </c>
      <c r="C1531" t="inlineStr">
        <is>
          <t>Föryngringsavverkning</t>
        </is>
      </c>
      <c r="D1531" s="1" t="n">
        <v>45949</v>
      </c>
      <c r="E1531" s="1" t="n">
        <v>46309</v>
      </c>
      <c r="F1531" t="inlineStr">
        <is>
          <t>UPPSALA LÄN</t>
        </is>
      </c>
      <c r="G1531" t="inlineStr">
        <is>
          <t>ÖSTHAMMAR</t>
        </is>
      </c>
      <c r="H1531" t="inlineStr">
        <is>
          <t>Bergvik skog öst AB</t>
        </is>
      </c>
      <c r="I1531" t="n">
        <v>4.7</v>
      </c>
      <c r="J1531" t="n">
        <v>0</v>
      </c>
      <c r="K1531" t="n">
        <v>0</v>
      </c>
      <c r="L1531" t="n">
        <v>0</v>
      </c>
      <c r="M1531" t="n">
        <v>0</v>
      </c>
      <c r="N1531" t="n">
        <v>0</v>
      </c>
      <c r="O1531" t="n">
        <v>0</v>
      </c>
      <c r="P1531" t="n">
        <v>0</v>
      </c>
      <c r="Q1531" t="n">
        <v>0</v>
      </c>
      <c r="R1531" t="n">
        <v>0</v>
      </c>
      <c r="S1531" t="n">
        <v>0</v>
      </c>
      <c r="T1531" t="n">
        <v>0</v>
      </c>
      <c r="U1531" t="n">
        <v>0</v>
      </c>
      <c r="V1531" s="2" t="inlineStr"/>
    </row>
    <row r="1532" ht="15" customHeight="1">
      <c r="A1532" t="inlineStr">
        <is>
          <t>A 4425-2026</t>
        </is>
      </c>
      <c r="B1532" t="inlineStr">
        <is>
          <t>avverkningsanmälan</t>
        </is>
      </c>
      <c r="C1532" t="inlineStr">
        <is>
          <t>Föryngringsavverkning</t>
        </is>
      </c>
      <c r="D1532" s="1" t="n">
        <v>46045</v>
      </c>
      <c r="E1532" s="1" t="n">
        <v>46309</v>
      </c>
      <c r="F1532" t="inlineStr">
        <is>
          <t>UPPSALA LÄN</t>
        </is>
      </c>
      <c r="G1532" t="inlineStr">
        <is>
          <t>HEBY</t>
        </is>
      </c>
      <c r="I1532" t="n">
        <v>2.4</v>
      </c>
      <c r="J1532" t="n">
        <v>0</v>
      </c>
      <c r="K1532" t="n">
        <v>0</v>
      </c>
      <c r="L1532" t="n">
        <v>0</v>
      </c>
      <c r="M1532" t="n">
        <v>0</v>
      </c>
      <c r="N1532" t="n">
        <v>0</v>
      </c>
      <c r="O1532" t="n">
        <v>0</v>
      </c>
      <c r="P1532" t="n">
        <v>0</v>
      </c>
      <c r="Q1532" t="n">
        <v>0</v>
      </c>
      <c r="R1532" t="n">
        <v>0</v>
      </c>
      <c r="S1532" t="n">
        <v>0</v>
      </c>
      <c r="T1532" t="n">
        <v>0</v>
      </c>
      <c r="U1532" t="n">
        <v>0</v>
      </c>
      <c r="V1532" s="2" t="inlineStr"/>
    </row>
    <row r="1533" ht="15" customHeight="1">
      <c r="A1533" t="inlineStr">
        <is>
          <t>A 6153-2022</t>
        </is>
      </c>
      <c r="B1533" t="inlineStr">
        <is>
          <t>avverkningsanmälan</t>
        </is>
      </c>
      <c r="C1533" t="inlineStr">
        <is>
          <t>Föryngringsavverkning</t>
        </is>
      </c>
      <c r="D1533" s="1" t="n">
        <v>44599</v>
      </c>
      <c r="E1533" s="1" t="n">
        <v>46309</v>
      </c>
      <c r="F1533" t="inlineStr">
        <is>
          <t>UPPSALA LÄN</t>
        </is>
      </c>
      <c r="G1533" t="inlineStr">
        <is>
          <t>ÖSTHAMMAR</t>
        </is>
      </c>
      <c r="I1533" t="n">
        <v>1.2</v>
      </c>
      <c r="J1533" t="n">
        <v>0</v>
      </c>
      <c r="K1533" t="n">
        <v>0</v>
      </c>
      <c r="L1533" t="n">
        <v>0</v>
      </c>
      <c r="M1533" t="n">
        <v>0</v>
      </c>
      <c r="N1533" t="n">
        <v>0</v>
      </c>
      <c r="O1533" t="n">
        <v>0</v>
      </c>
      <c r="P1533" t="n">
        <v>0</v>
      </c>
      <c r="Q1533" t="n">
        <v>0</v>
      </c>
      <c r="R1533" t="n">
        <v>0</v>
      </c>
      <c r="S1533" t="n">
        <v>0</v>
      </c>
      <c r="T1533" t="n">
        <v>0</v>
      </c>
      <c r="U1533" t="n">
        <v>0</v>
      </c>
      <c r="V1533" s="2" t="inlineStr"/>
    </row>
    <row r="1534" ht="15" customHeight="1">
      <c r="A1534" t="inlineStr">
        <is>
          <t>A 4641-2026</t>
        </is>
      </c>
      <c r="B1534" t="inlineStr">
        <is>
          <t>avverkningsanmälan</t>
        </is>
      </c>
      <c r="C1534" t="inlineStr">
        <is>
          <t>Föryngringsavverkning</t>
        </is>
      </c>
      <c r="D1534" s="1" t="n">
        <v>46048</v>
      </c>
      <c r="E1534" s="1" t="n">
        <v>46309</v>
      </c>
      <c r="F1534" t="inlineStr">
        <is>
          <t>UPPSALA LÄN</t>
        </is>
      </c>
      <c r="G1534" t="inlineStr">
        <is>
          <t>HEBY</t>
        </is>
      </c>
      <c r="I1534" t="n">
        <v>2.3</v>
      </c>
      <c r="J1534" t="n">
        <v>0</v>
      </c>
      <c r="K1534" t="n">
        <v>0</v>
      </c>
      <c r="L1534" t="n">
        <v>0</v>
      </c>
      <c r="M1534" t="n">
        <v>0</v>
      </c>
      <c r="N1534" t="n">
        <v>0</v>
      </c>
      <c r="O1534" t="n">
        <v>0</v>
      </c>
      <c r="P1534" t="n">
        <v>0</v>
      </c>
      <c r="Q1534" t="n">
        <v>0</v>
      </c>
      <c r="R1534" t="n">
        <v>0</v>
      </c>
      <c r="S1534" t="n">
        <v>0</v>
      </c>
      <c r="T1534" t="n">
        <v>0</v>
      </c>
      <c r="U1534" t="n">
        <v>0</v>
      </c>
      <c r="V1534" s="2" t="inlineStr"/>
    </row>
    <row r="1535" ht="15" customHeight="1">
      <c r="A1535" t="inlineStr">
        <is>
          <t>A 51156-2025</t>
        </is>
      </c>
      <c r="B1535" t="inlineStr">
        <is>
          <t>avverkningsanmälan</t>
        </is>
      </c>
      <c r="C1535" t="inlineStr">
        <is>
          <t>Föryngringsavverkning</t>
        </is>
      </c>
      <c r="D1535" s="1" t="n">
        <v>45947</v>
      </c>
      <c r="E1535" s="1" t="n">
        <v>46309</v>
      </c>
      <c r="F1535" t="inlineStr">
        <is>
          <t>UPPSALA LÄN</t>
        </is>
      </c>
      <c r="G1535" t="inlineStr">
        <is>
          <t>ÖSTHAMMAR</t>
        </is>
      </c>
      <c r="H1535" t="inlineStr">
        <is>
          <t>Allmännings- och besparingsskogar</t>
        </is>
      </c>
      <c r="I1535" t="n">
        <v>2.8</v>
      </c>
      <c r="J1535" t="n">
        <v>0</v>
      </c>
      <c r="K1535" t="n">
        <v>0</v>
      </c>
      <c r="L1535" t="n">
        <v>0</v>
      </c>
      <c r="M1535" t="n">
        <v>0</v>
      </c>
      <c r="N1535" t="n">
        <v>0</v>
      </c>
      <c r="O1535" t="n">
        <v>0</v>
      </c>
      <c r="P1535" t="n">
        <v>0</v>
      </c>
      <c r="Q1535" t="n">
        <v>0</v>
      </c>
      <c r="R1535" t="n">
        <v>0</v>
      </c>
      <c r="S1535" t="n">
        <v>0</v>
      </c>
      <c r="T1535" t="n">
        <v>0</v>
      </c>
      <c r="U1535" t="n">
        <v>0</v>
      </c>
      <c r="V1535" s="2" t="inlineStr"/>
    </row>
    <row r="1536" ht="15" customHeight="1">
      <c r="A1536" t="inlineStr">
        <is>
          <t>A 51162-2025</t>
        </is>
      </c>
      <c r="B1536" t="inlineStr">
        <is>
          <t>avverkningsanmälan</t>
        </is>
      </c>
      <c r="C1536" t="inlineStr">
        <is>
          <t>Föryngringsavverkning</t>
        </is>
      </c>
      <c r="D1536" s="1" t="n">
        <v>45947</v>
      </c>
      <c r="E1536" s="1" t="n">
        <v>46309</v>
      </c>
      <c r="F1536" t="inlineStr">
        <is>
          <t>UPPSALA LÄN</t>
        </is>
      </c>
      <c r="G1536" t="inlineStr">
        <is>
          <t>ENKÖPING</t>
        </is>
      </c>
      <c r="I1536" t="n">
        <v>3.4</v>
      </c>
      <c r="J1536" t="n">
        <v>0</v>
      </c>
      <c r="K1536" t="n">
        <v>0</v>
      </c>
      <c r="L1536" t="n">
        <v>0</v>
      </c>
      <c r="M1536" t="n">
        <v>0</v>
      </c>
      <c r="N1536" t="n">
        <v>0</v>
      </c>
      <c r="O1536" t="n">
        <v>0</v>
      </c>
      <c r="P1536" t="n">
        <v>0</v>
      </c>
      <c r="Q1536" t="n">
        <v>0</v>
      </c>
      <c r="R1536" t="n">
        <v>0</v>
      </c>
      <c r="S1536" t="n">
        <v>0</v>
      </c>
      <c r="T1536" t="n">
        <v>0</v>
      </c>
      <c r="U1536" t="n">
        <v>0</v>
      </c>
      <c r="V1536" s="2" t="inlineStr"/>
    </row>
    <row r="1537" ht="15" customHeight="1">
      <c r="A1537" t="inlineStr">
        <is>
          <t>A 51237-2025</t>
        </is>
      </c>
      <c r="B1537" t="inlineStr">
        <is>
          <t>avverkningsanmälan</t>
        </is>
      </c>
      <c r="C1537" t="inlineStr">
        <is>
          <t>Föryngringsavverkning</t>
        </is>
      </c>
      <c r="D1537" s="1" t="n">
        <v>45947</v>
      </c>
      <c r="E1537" s="1" t="n">
        <v>46309</v>
      </c>
      <c r="F1537" t="inlineStr">
        <is>
          <t>UPPSALA LÄN</t>
        </is>
      </c>
      <c r="G1537" t="inlineStr">
        <is>
          <t>ÄLVKARLEBY</t>
        </is>
      </c>
      <c r="H1537" t="inlineStr">
        <is>
          <t>Bergvik skog väst AB</t>
        </is>
      </c>
      <c r="I1537" t="n">
        <v>1.8</v>
      </c>
      <c r="J1537" t="n">
        <v>0</v>
      </c>
      <c r="K1537" t="n">
        <v>0</v>
      </c>
      <c r="L1537" t="n">
        <v>0</v>
      </c>
      <c r="M1537" t="n">
        <v>0</v>
      </c>
      <c r="N1537" t="n">
        <v>0</v>
      </c>
      <c r="O1537" t="n">
        <v>0</v>
      </c>
      <c r="P1537" t="n">
        <v>0</v>
      </c>
      <c r="Q1537" t="n">
        <v>0</v>
      </c>
      <c r="R1537" t="n">
        <v>0</v>
      </c>
      <c r="S1537" t="n">
        <v>0</v>
      </c>
      <c r="T1537" t="n">
        <v>0</v>
      </c>
      <c r="U1537" t="n">
        <v>0</v>
      </c>
      <c r="V1537" s="2" t="inlineStr"/>
    </row>
    <row r="1538" ht="15" customHeight="1">
      <c r="A1538" t="inlineStr">
        <is>
          <t>A 21859-2024</t>
        </is>
      </c>
      <c r="B1538" t="inlineStr">
        <is>
          <t>avverkningsanmälan</t>
        </is>
      </c>
      <c r="C1538" t="inlineStr">
        <is>
          <t>Föryngringsavverkning</t>
        </is>
      </c>
      <c r="D1538" s="1" t="n">
        <v>45443</v>
      </c>
      <c r="E1538" s="1" t="n">
        <v>46309</v>
      </c>
      <c r="F1538" t="inlineStr">
        <is>
          <t>UPPSALA LÄN</t>
        </is>
      </c>
      <c r="G1538" t="inlineStr">
        <is>
          <t>UPPSALA</t>
        </is>
      </c>
      <c r="H1538" t="inlineStr">
        <is>
          <t>Kyrkan</t>
        </is>
      </c>
      <c r="I1538" t="n">
        <v>1.4</v>
      </c>
      <c r="J1538" t="n">
        <v>0</v>
      </c>
      <c r="K1538" t="n">
        <v>0</v>
      </c>
      <c r="L1538" t="n">
        <v>0</v>
      </c>
      <c r="M1538" t="n">
        <v>0</v>
      </c>
      <c r="N1538" t="n">
        <v>0</v>
      </c>
      <c r="O1538" t="n">
        <v>0</v>
      </c>
      <c r="P1538" t="n">
        <v>0</v>
      </c>
      <c r="Q1538" t="n">
        <v>0</v>
      </c>
      <c r="R1538" t="n">
        <v>0</v>
      </c>
      <c r="S1538" t="n">
        <v>0</v>
      </c>
      <c r="T1538" t="n">
        <v>0</v>
      </c>
      <c r="U1538" t="n">
        <v>0</v>
      </c>
      <c r="V1538" s="2" t="inlineStr"/>
    </row>
    <row r="1539" ht="15" customHeight="1">
      <c r="A1539" t="inlineStr">
        <is>
          <t>A 50949-2025</t>
        </is>
      </c>
      <c r="B1539" t="inlineStr">
        <is>
          <t>avverkningsanmälan</t>
        </is>
      </c>
      <c r="C1539" t="inlineStr">
        <is>
          <t>Föryngringsavverkning</t>
        </is>
      </c>
      <c r="D1539" s="1" t="n">
        <v>45946</v>
      </c>
      <c r="E1539" s="1" t="n">
        <v>46309</v>
      </c>
      <c r="F1539" t="inlineStr">
        <is>
          <t>UPPSALA LÄN</t>
        </is>
      </c>
      <c r="G1539" t="inlineStr">
        <is>
          <t>UPPSALA</t>
        </is>
      </c>
      <c r="I1539" t="n">
        <v>0.8</v>
      </c>
      <c r="J1539" t="n">
        <v>0</v>
      </c>
      <c r="K1539" t="n">
        <v>0</v>
      </c>
      <c r="L1539" t="n">
        <v>0</v>
      </c>
      <c r="M1539" t="n">
        <v>0</v>
      </c>
      <c r="N1539" t="n">
        <v>0</v>
      </c>
      <c r="O1539" t="n">
        <v>0</v>
      </c>
      <c r="P1539" t="n">
        <v>0</v>
      </c>
      <c r="Q1539" t="n">
        <v>0</v>
      </c>
      <c r="R1539" t="n">
        <v>0</v>
      </c>
      <c r="S1539" t="n">
        <v>0</v>
      </c>
      <c r="T1539" t="n">
        <v>0</v>
      </c>
      <c r="U1539" t="n">
        <v>0</v>
      </c>
      <c r="V1539" s="2" t="inlineStr"/>
    </row>
    <row r="1540" ht="15" customHeight="1">
      <c r="A1540" t="inlineStr">
        <is>
          <t>A 50951-2025</t>
        </is>
      </c>
      <c r="B1540" t="inlineStr">
        <is>
          <t>avverkningsanmälan</t>
        </is>
      </c>
      <c r="C1540" t="inlineStr">
        <is>
          <t>Föryngringsavverkning</t>
        </is>
      </c>
      <c r="D1540" s="1" t="n">
        <v>45946</v>
      </c>
      <c r="E1540" s="1" t="n">
        <v>46309</v>
      </c>
      <c r="F1540" t="inlineStr">
        <is>
          <t>UPPSALA LÄN</t>
        </is>
      </c>
      <c r="G1540" t="inlineStr">
        <is>
          <t>UPPSALA</t>
        </is>
      </c>
      <c r="I1540" t="n">
        <v>2.9</v>
      </c>
      <c r="J1540" t="n">
        <v>0</v>
      </c>
      <c r="K1540" t="n">
        <v>0</v>
      </c>
      <c r="L1540" t="n">
        <v>0</v>
      </c>
      <c r="M1540" t="n">
        <v>0</v>
      </c>
      <c r="N1540" t="n">
        <v>0</v>
      </c>
      <c r="O1540" t="n">
        <v>0</v>
      </c>
      <c r="P1540" t="n">
        <v>0</v>
      </c>
      <c r="Q1540" t="n">
        <v>0</v>
      </c>
      <c r="R1540" t="n">
        <v>0</v>
      </c>
      <c r="S1540" t="n">
        <v>0</v>
      </c>
      <c r="T1540" t="n">
        <v>0</v>
      </c>
      <c r="U1540" t="n">
        <v>0</v>
      </c>
      <c r="V1540" s="2" t="inlineStr"/>
    </row>
    <row r="1541" ht="15" customHeight="1">
      <c r="A1541" t="inlineStr">
        <is>
          <t>A 16990-2022</t>
        </is>
      </c>
      <c r="B1541" t="inlineStr">
        <is>
          <t>avverkningsanmälan</t>
        </is>
      </c>
      <c r="C1541" t="inlineStr">
        <is>
          <t>Föryngringsavverkning</t>
        </is>
      </c>
      <c r="D1541" s="1" t="n">
        <v>44676</v>
      </c>
      <c r="E1541" s="1" t="n">
        <v>46309</v>
      </c>
      <c r="F1541" t="inlineStr">
        <is>
          <t>UPPSALA LÄN</t>
        </is>
      </c>
      <c r="G1541" t="inlineStr">
        <is>
          <t>ÄLVKARLEBY</t>
        </is>
      </c>
      <c r="H1541" t="inlineStr">
        <is>
          <t>Bergvik skog väst AB</t>
        </is>
      </c>
      <c r="I1541" t="n">
        <v>2.6</v>
      </c>
      <c r="J1541" t="n">
        <v>0</v>
      </c>
      <c r="K1541" t="n">
        <v>0</v>
      </c>
      <c r="L1541" t="n">
        <v>0</v>
      </c>
      <c r="M1541" t="n">
        <v>0</v>
      </c>
      <c r="N1541" t="n">
        <v>0</v>
      </c>
      <c r="O1541" t="n">
        <v>0</v>
      </c>
      <c r="P1541" t="n">
        <v>0</v>
      </c>
      <c r="Q1541" t="n">
        <v>0</v>
      </c>
      <c r="R1541" t="n">
        <v>0</v>
      </c>
      <c r="S1541" t="n">
        <v>0</v>
      </c>
      <c r="T1541" t="n">
        <v>0</v>
      </c>
      <c r="U1541" t="n">
        <v>0</v>
      </c>
      <c r="V1541" s="2" t="inlineStr"/>
    </row>
    <row r="1542" ht="15" customHeight="1">
      <c r="A1542" t="inlineStr">
        <is>
          <t>A 6930-2023</t>
        </is>
      </c>
      <c r="B1542" t="inlineStr">
        <is>
          <t>avverkningsanmälan</t>
        </is>
      </c>
      <c r="C1542" t="inlineStr">
        <is>
          <t>Föryngringsavverkning</t>
        </is>
      </c>
      <c r="D1542" s="1" t="n">
        <v>44967</v>
      </c>
      <c r="E1542" s="1" t="n">
        <v>46309</v>
      </c>
      <c r="F1542" t="inlineStr">
        <is>
          <t>UPPSALA LÄN</t>
        </is>
      </c>
      <c r="G1542" t="inlineStr">
        <is>
          <t>UPPSALA</t>
        </is>
      </c>
      <c r="I1542" t="n">
        <v>8.800000000000001</v>
      </c>
      <c r="J1542" t="n">
        <v>0</v>
      </c>
      <c r="K1542" t="n">
        <v>0</v>
      </c>
      <c r="L1542" t="n">
        <v>0</v>
      </c>
      <c r="M1542" t="n">
        <v>0</v>
      </c>
      <c r="N1542" t="n">
        <v>0</v>
      </c>
      <c r="O1542" t="n">
        <v>0</v>
      </c>
      <c r="P1542" t="n">
        <v>0</v>
      </c>
      <c r="Q1542" t="n">
        <v>0</v>
      </c>
      <c r="R1542" t="n">
        <v>0</v>
      </c>
      <c r="S1542" t="n">
        <v>0</v>
      </c>
      <c r="T1542" t="n">
        <v>0</v>
      </c>
      <c r="U1542" t="n">
        <v>0</v>
      </c>
      <c r="V1542" s="2" t="inlineStr"/>
    </row>
    <row r="1543" ht="15" customHeight="1">
      <c r="A1543" t="inlineStr">
        <is>
          <t>A 51505-2025</t>
        </is>
      </c>
      <c r="B1543" t="inlineStr">
        <is>
          <t>avverkningsanmälan</t>
        </is>
      </c>
      <c r="C1543" t="inlineStr">
        <is>
          <t>Föryngringsavverkning</t>
        </is>
      </c>
      <c r="D1543" s="1" t="n">
        <v>45950</v>
      </c>
      <c r="E1543" s="1" t="n">
        <v>46309</v>
      </c>
      <c r="F1543" t="inlineStr">
        <is>
          <t>UPPSALA LÄN</t>
        </is>
      </c>
      <c r="G1543" t="inlineStr">
        <is>
          <t>UPPSALA</t>
        </is>
      </c>
      <c r="I1543" t="n">
        <v>6.7</v>
      </c>
      <c r="J1543" t="n">
        <v>0</v>
      </c>
      <c r="K1543" t="n">
        <v>0</v>
      </c>
      <c r="L1543" t="n">
        <v>0</v>
      </c>
      <c r="M1543" t="n">
        <v>0</v>
      </c>
      <c r="N1543" t="n">
        <v>0</v>
      </c>
      <c r="O1543" t="n">
        <v>0</v>
      </c>
      <c r="P1543" t="n">
        <v>0</v>
      </c>
      <c r="Q1543" t="n">
        <v>0</v>
      </c>
      <c r="R1543" t="n">
        <v>0</v>
      </c>
      <c r="S1543" t="n">
        <v>0</v>
      </c>
      <c r="T1543" t="n">
        <v>0</v>
      </c>
      <c r="U1543" t="n">
        <v>0</v>
      </c>
      <c r="V1543" s="2" t="inlineStr"/>
    </row>
    <row r="1544" ht="15" customHeight="1">
      <c r="A1544" t="inlineStr">
        <is>
          <t>A 51255-2025</t>
        </is>
      </c>
      <c r="B1544" t="inlineStr">
        <is>
          <t>avverkningsanmälan</t>
        </is>
      </c>
      <c r="C1544" t="inlineStr">
        <is>
          <t>Föryngringsavverkning</t>
        </is>
      </c>
      <c r="D1544" s="1" t="n">
        <v>45949</v>
      </c>
      <c r="E1544" s="1" t="n">
        <v>46309</v>
      </c>
      <c r="F1544" t="inlineStr">
        <is>
          <t>UPPSALA LÄN</t>
        </is>
      </c>
      <c r="G1544" t="inlineStr">
        <is>
          <t>ÖSTHAMMAR</t>
        </is>
      </c>
      <c r="I1544" t="n">
        <v>1.4</v>
      </c>
      <c r="J1544" t="n">
        <v>0</v>
      </c>
      <c r="K1544" t="n">
        <v>0</v>
      </c>
      <c r="L1544" t="n">
        <v>0</v>
      </c>
      <c r="M1544" t="n">
        <v>0</v>
      </c>
      <c r="N1544" t="n">
        <v>0</v>
      </c>
      <c r="O1544" t="n">
        <v>0</v>
      </c>
      <c r="P1544" t="n">
        <v>0</v>
      </c>
      <c r="Q1544" t="n">
        <v>0</v>
      </c>
      <c r="R1544" t="n">
        <v>0</v>
      </c>
      <c r="S1544" t="n">
        <v>0</v>
      </c>
      <c r="T1544" t="n">
        <v>0</v>
      </c>
      <c r="U1544" t="n">
        <v>0</v>
      </c>
      <c r="V1544" s="2" t="inlineStr"/>
    </row>
    <row r="1545" ht="15" customHeight="1">
      <c r="A1545" t="inlineStr">
        <is>
          <t>A 51333-2025</t>
        </is>
      </c>
      <c r="B1545" t="inlineStr">
        <is>
          <t>avverkningsanmälan</t>
        </is>
      </c>
      <c r="C1545" t="inlineStr">
        <is>
          <t>Föryngringsavverkning</t>
        </is>
      </c>
      <c r="D1545" s="1" t="n">
        <v>45950</v>
      </c>
      <c r="E1545" s="1" t="n">
        <v>46309</v>
      </c>
      <c r="F1545" t="inlineStr">
        <is>
          <t>UPPSALA LÄN</t>
        </is>
      </c>
      <c r="G1545" t="inlineStr">
        <is>
          <t>HEBY</t>
        </is>
      </c>
      <c r="I1545" t="n">
        <v>3.5</v>
      </c>
      <c r="J1545" t="n">
        <v>0</v>
      </c>
      <c r="K1545" t="n">
        <v>0</v>
      </c>
      <c r="L1545" t="n">
        <v>0</v>
      </c>
      <c r="M1545" t="n">
        <v>0</v>
      </c>
      <c r="N1545" t="n">
        <v>0</v>
      </c>
      <c r="O1545" t="n">
        <v>0</v>
      </c>
      <c r="P1545" t="n">
        <v>0</v>
      </c>
      <c r="Q1545" t="n">
        <v>0</v>
      </c>
      <c r="R1545" t="n">
        <v>0</v>
      </c>
      <c r="S1545" t="n">
        <v>0</v>
      </c>
      <c r="T1545" t="n">
        <v>0</v>
      </c>
      <c r="U1545" t="n">
        <v>0</v>
      </c>
      <c r="V1545" s="2" t="inlineStr"/>
    </row>
    <row r="1546" ht="15" customHeight="1">
      <c r="A1546" t="inlineStr">
        <is>
          <t>A 51265-2025</t>
        </is>
      </c>
      <c r="B1546" t="inlineStr">
        <is>
          <t>avverkningsanmälan</t>
        </is>
      </c>
      <c r="C1546" t="inlineStr">
        <is>
          <t>Föryngringsavverkning</t>
        </is>
      </c>
      <c r="D1546" s="1" t="n">
        <v>45949</v>
      </c>
      <c r="E1546" s="1" t="n">
        <v>46309</v>
      </c>
      <c r="F1546" t="inlineStr">
        <is>
          <t>UPPSALA LÄN</t>
        </is>
      </c>
      <c r="G1546" t="inlineStr">
        <is>
          <t>ÖSTHAMMAR</t>
        </is>
      </c>
      <c r="H1546" t="inlineStr">
        <is>
          <t>Bergvik skog öst AB</t>
        </is>
      </c>
      <c r="I1546" t="n">
        <v>0.3</v>
      </c>
      <c r="J1546" t="n">
        <v>0</v>
      </c>
      <c r="K1546" t="n">
        <v>0</v>
      </c>
      <c r="L1546" t="n">
        <v>0</v>
      </c>
      <c r="M1546" t="n">
        <v>0</v>
      </c>
      <c r="N1546" t="n">
        <v>0</v>
      </c>
      <c r="O1546" t="n">
        <v>0</v>
      </c>
      <c r="P1546" t="n">
        <v>0</v>
      </c>
      <c r="Q1546" t="n">
        <v>0</v>
      </c>
      <c r="R1546" t="n">
        <v>0</v>
      </c>
      <c r="S1546" t="n">
        <v>0</v>
      </c>
      <c r="T1546" t="n">
        <v>0</v>
      </c>
      <c r="U1546" t="n">
        <v>0</v>
      </c>
      <c r="V1546" s="2" t="inlineStr"/>
    </row>
    <row r="1547" ht="15" customHeight="1">
      <c r="A1547" t="inlineStr">
        <is>
          <t>A 51275-2025</t>
        </is>
      </c>
      <c r="B1547" t="inlineStr">
        <is>
          <t>avverkningsanmälan</t>
        </is>
      </c>
      <c r="C1547" t="inlineStr">
        <is>
          <t>Avverkning för annat ändamål</t>
        </is>
      </c>
      <c r="D1547" s="1" t="n">
        <v>45949</v>
      </c>
      <c r="E1547" s="1" t="n">
        <v>46309</v>
      </c>
      <c r="F1547" t="inlineStr">
        <is>
          <t>UPPSALA LÄN</t>
        </is>
      </c>
      <c r="G1547" t="inlineStr">
        <is>
          <t>UPPSALA</t>
        </is>
      </c>
      <c r="I1547" t="n">
        <v>0.3</v>
      </c>
      <c r="J1547" t="n">
        <v>0</v>
      </c>
      <c r="K1547" t="n">
        <v>0</v>
      </c>
      <c r="L1547" t="n">
        <v>0</v>
      </c>
      <c r="M1547" t="n">
        <v>0</v>
      </c>
      <c r="N1547" t="n">
        <v>0</v>
      </c>
      <c r="O1547" t="n">
        <v>0</v>
      </c>
      <c r="P1547" t="n">
        <v>0</v>
      </c>
      <c r="Q1547" t="n">
        <v>0</v>
      </c>
      <c r="R1547" t="n">
        <v>0</v>
      </c>
      <c r="S1547" t="n">
        <v>0</v>
      </c>
      <c r="T1547" t="n">
        <v>0</v>
      </c>
      <c r="U1547" t="n">
        <v>0</v>
      </c>
      <c r="V1547" s="2" t="inlineStr"/>
    </row>
    <row r="1548" ht="15" customHeight="1">
      <c r="A1548" t="inlineStr">
        <is>
          <t>A 17929-2025</t>
        </is>
      </c>
      <c r="B1548" t="inlineStr">
        <is>
          <t>avverkningsanmälan</t>
        </is>
      </c>
      <c r="C1548" t="inlineStr">
        <is>
          <t>Föryngringsavverkning</t>
        </is>
      </c>
      <c r="D1548" s="1" t="n">
        <v>45759</v>
      </c>
      <c r="E1548" s="1" t="n">
        <v>46309</v>
      </c>
      <c r="F1548" t="inlineStr">
        <is>
          <t>UPPSALA LÄN</t>
        </is>
      </c>
      <c r="G1548" t="inlineStr">
        <is>
          <t>ÖSTHAMMAR</t>
        </is>
      </c>
      <c r="I1548" t="n">
        <v>3.4</v>
      </c>
      <c r="J1548" t="n">
        <v>0</v>
      </c>
      <c r="K1548" t="n">
        <v>0</v>
      </c>
      <c r="L1548" t="n">
        <v>0</v>
      </c>
      <c r="M1548" t="n">
        <v>0</v>
      </c>
      <c r="N1548" t="n">
        <v>0</v>
      </c>
      <c r="O1548" t="n">
        <v>0</v>
      </c>
      <c r="P1548" t="n">
        <v>0</v>
      </c>
      <c r="Q1548" t="n">
        <v>0</v>
      </c>
      <c r="R1548" t="n">
        <v>0</v>
      </c>
      <c r="S1548" t="n">
        <v>0</v>
      </c>
      <c r="T1548" t="n">
        <v>0</v>
      </c>
      <c r="U1548" t="n">
        <v>0</v>
      </c>
      <c r="V1548" s="2" t="inlineStr"/>
    </row>
    <row r="1549" ht="15" customHeight="1">
      <c r="A1549" t="inlineStr">
        <is>
          <t>A 7727-2024</t>
        </is>
      </c>
      <c r="B1549" t="inlineStr">
        <is>
          <t>avverkningsanmälan</t>
        </is>
      </c>
      <c r="C1549" t="inlineStr">
        <is>
          <t>Föryngringsavverkning</t>
        </is>
      </c>
      <c r="D1549" s="1" t="n">
        <v>45349</v>
      </c>
      <c r="E1549" s="1" t="n">
        <v>46309</v>
      </c>
      <c r="F1549" t="inlineStr">
        <is>
          <t>UPPSALA LÄN</t>
        </is>
      </c>
      <c r="G1549" t="inlineStr">
        <is>
          <t>UPPSALA</t>
        </is>
      </c>
      <c r="I1549" t="n">
        <v>0.7</v>
      </c>
      <c r="J1549" t="n">
        <v>0</v>
      </c>
      <c r="K1549" t="n">
        <v>0</v>
      </c>
      <c r="L1549" t="n">
        <v>0</v>
      </c>
      <c r="M1549" t="n">
        <v>0</v>
      </c>
      <c r="N1549" t="n">
        <v>0</v>
      </c>
      <c r="O1549" t="n">
        <v>0</v>
      </c>
      <c r="P1549" t="n">
        <v>0</v>
      </c>
      <c r="Q1549" t="n">
        <v>0</v>
      </c>
      <c r="R1549" t="n">
        <v>0</v>
      </c>
      <c r="S1549" t="n">
        <v>0</v>
      </c>
      <c r="T1549" t="n">
        <v>0</v>
      </c>
      <c r="U1549" t="n">
        <v>0</v>
      </c>
      <c r="V1549" s="2" t="inlineStr"/>
    </row>
    <row r="1550" ht="15" customHeight="1">
      <c r="A1550" t="inlineStr">
        <is>
          <t>A 51254-2025</t>
        </is>
      </c>
      <c r="B1550" t="inlineStr">
        <is>
          <t>avverkningsanmälan</t>
        </is>
      </c>
      <c r="C1550" t="inlineStr">
        <is>
          <t>Föryngringsavverkning</t>
        </is>
      </c>
      <c r="D1550" s="1" t="n">
        <v>45948</v>
      </c>
      <c r="E1550" s="1" t="n">
        <v>46309</v>
      </c>
      <c r="F1550" t="inlineStr">
        <is>
          <t>UPPSALA LÄN</t>
        </is>
      </c>
      <c r="G1550" t="inlineStr">
        <is>
          <t>ÖSTHAMMAR</t>
        </is>
      </c>
      <c r="I1550" t="n">
        <v>8.9</v>
      </c>
      <c r="J1550" t="n">
        <v>0</v>
      </c>
      <c r="K1550" t="n">
        <v>0</v>
      </c>
      <c r="L1550" t="n">
        <v>0</v>
      </c>
      <c r="M1550" t="n">
        <v>0</v>
      </c>
      <c r="N1550" t="n">
        <v>0</v>
      </c>
      <c r="O1550" t="n">
        <v>0</v>
      </c>
      <c r="P1550" t="n">
        <v>0</v>
      </c>
      <c r="Q1550" t="n">
        <v>0</v>
      </c>
      <c r="R1550" t="n">
        <v>0</v>
      </c>
      <c r="S1550" t="n">
        <v>0</v>
      </c>
      <c r="T1550" t="n">
        <v>0</v>
      </c>
      <c r="U1550" t="n">
        <v>0</v>
      </c>
      <c r="V1550" s="2" t="inlineStr"/>
    </row>
    <row r="1551" ht="15" customHeight="1">
      <c r="A1551" t="inlineStr">
        <is>
          <t>A 51493-2025</t>
        </is>
      </c>
      <c r="B1551" t="inlineStr">
        <is>
          <t>avverkningsanmälan</t>
        </is>
      </c>
      <c r="C1551" t="inlineStr">
        <is>
          <t>Avverkning för att bevara och utveckla /försöksver</t>
        </is>
      </c>
      <c r="D1551" s="1" t="n">
        <v>45950</v>
      </c>
      <c r="E1551" s="1" t="n">
        <v>46309</v>
      </c>
      <c r="F1551" t="inlineStr">
        <is>
          <t>UPPSALA LÄN</t>
        </is>
      </c>
      <c r="G1551" t="inlineStr">
        <is>
          <t>UPPSALA</t>
        </is>
      </c>
      <c r="I1551" t="n">
        <v>2</v>
      </c>
      <c r="J1551" t="n">
        <v>0</v>
      </c>
      <c r="K1551" t="n">
        <v>0</v>
      </c>
      <c r="L1551" t="n">
        <v>0</v>
      </c>
      <c r="M1551" t="n">
        <v>0</v>
      </c>
      <c r="N1551" t="n">
        <v>0</v>
      </c>
      <c r="O1551" t="n">
        <v>0</v>
      </c>
      <c r="P1551" t="n">
        <v>0</v>
      </c>
      <c r="Q1551" t="n">
        <v>0</v>
      </c>
      <c r="R1551" t="n">
        <v>0</v>
      </c>
      <c r="S1551" t="n">
        <v>0</v>
      </c>
      <c r="T1551" t="n">
        <v>0</v>
      </c>
      <c r="U1551" t="n">
        <v>0</v>
      </c>
      <c r="V1551" s="2" t="inlineStr"/>
    </row>
    <row r="1552" ht="15" customHeight="1">
      <c r="A1552" t="inlineStr">
        <is>
          <t>A 1800-2023</t>
        </is>
      </c>
      <c r="B1552" t="inlineStr">
        <is>
          <t>avverkningsanmälan</t>
        </is>
      </c>
      <c r="C1552" t="inlineStr">
        <is>
          <t>Föryngringsavverkning</t>
        </is>
      </c>
      <c r="D1552" s="1" t="n">
        <v>44938</v>
      </c>
      <c r="E1552" s="1" t="n">
        <v>46309</v>
      </c>
      <c r="F1552" t="inlineStr">
        <is>
          <t>UPPSALA LÄN</t>
        </is>
      </c>
      <c r="G1552" t="inlineStr">
        <is>
          <t>ÖSTHAMMAR</t>
        </is>
      </c>
      <c r="I1552" t="n">
        <v>1.4</v>
      </c>
      <c r="J1552" t="n">
        <v>0</v>
      </c>
      <c r="K1552" t="n">
        <v>0</v>
      </c>
      <c r="L1552" t="n">
        <v>0</v>
      </c>
      <c r="M1552" t="n">
        <v>0</v>
      </c>
      <c r="N1552" t="n">
        <v>0</v>
      </c>
      <c r="O1552" t="n">
        <v>0</v>
      </c>
      <c r="P1552" t="n">
        <v>0</v>
      </c>
      <c r="Q1552" t="n">
        <v>0</v>
      </c>
      <c r="R1552" t="n">
        <v>0</v>
      </c>
      <c r="S1552" t="n">
        <v>0</v>
      </c>
      <c r="T1552" t="n">
        <v>0</v>
      </c>
      <c r="U1552" t="n">
        <v>0</v>
      </c>
      <c r="V1552" s="2" t="inlineStr"/>
    </row>
    <row r="1553" ht="15" customHeight="1">
      <c r="A1553" t="inlineStr">
        <is>
          <t>A 5340-2024</t>
        </is>
      </c>
      <c r="B1553" t="inlineStr">
        <is>
          <t>avverkningsanmälan</t>
        </is>
      </c>
      <c r="C1553" t="inlineStr">
        <is>
          <t>Föryngringsavverkning</t>
        </is>
      </c>
      <c r="D1553" s="1" t="n">
        <v>45331</v>
      </c>
      <c r="E1553" s="1" t="n">
        <v>46309</v>
      </c>
      <c r="F1553" t="inlineStr">
        <is>
          <t>UPPSALA LÄN</t>
        </is>
      </c>
      <c r="G1553" t="inlineStr">
        <is>
          <t>HEBY</t>
        </is>
      </c>
      <c r="I1553" t="n">
        <v>1.7</v>
      </c>
      <c r="J1553" t="n">
        <v>0</v>
      </c>
      <c r="K1553" t="n">
        <v>0</v>
      </c>
      <c r="L1553" t="n">
        <v>0</v>
      </c>
      <c r="M1553" t="n">
        <v>0</v>
      </c>
      <c r="N1553" t="n">
        <v>0</v>
      </c>
      <c r="O1553" t="n">
        <v>0</v>
      </c>
      <c r="P1553" t="n">
        <v>0</v>
      </c>
      <c r="Q1553" t="n">
        <v>0</v>
      </c>
      <c r="R1553" t="n">
        <v>0</v>
      </c>
      <c r="S1553" t="n">
        <v>0</v>
      </c>
      <c r="T1553" t="n">
        <v>0</v>
      </c>
      <c r="U1553" t="n">
        <v>0</v>
      </c>
      <c r="V1553" s="2" t="inlineStr"/>
    </row>
    <row r="1554" ht="15" customHeight="1">
      <c r="A1554" t="inlineStr">
        <is>
          <t>A 52106-2025</t>
        </is>
      </c>
      <c r="B1554" t="inlineStr">
        <is>
          <t>avverkningsanmälan</t>
        </is>
      </c>
      <c r="C1554" t="inlineStr">
        <is>
          <t>Föryngringsavverkning</t>
        </is>
      </c>
      <c r="D1554" s="1" t="n">
        <v>45952</v>
      </c>
      <c r="E1554" s="1" t="n">
        <v>46309</v>
      </c>
      <c r="F1554" t="inlineStr">
        <is>
          <t>UPPSALA LÄN</t>
        </is>
      </c>
      <c r="G1554" t="inlineStr">
        <is>
          <t>HEBY</t>
        </is>
      </c>
      <c r="I1554" t="n">
        <v>2.8</v>
      </c>
      <c r="J1554" t="n">
        <v>0</v>
      </c>
      <c r="K1554" t="n">
        <v>0</v>
      </c>
      <c r="L1554" t="n">
        <v>0</v>
      </c>
      <c r="M1554" t="n">
        <v>0</v>
      </c>
      <c r="N1554" t="n">
        <v>0</v>
      </c>
      <c r="O1554" t="n">
        <v>0</v>
      </c>
      <c r="P1554" t="n">
        <v>0</v>
      </c>
      <c r="Q1554" t="n">
        <v>0</v>
      </c>
      <c r="R1554" t="n">
        <v>0</v>
      </c>
      <c r="S1554" t="n">
        <v>0</v>
      </c>
      <c r="T1554" t="n">
        <v>0</v>
      </c>
      <c r="U1554" t="n">
        <v>0</v>
      </c>
      <c r="V1554" s="2" t="inlineStr"/>
    </row>
    <row r="1555" ht="15" customHeight="1">
      <c r="A1555" t="inlineStr">
        <is>
          <t>A 21143-2023</t>
        </is>
      </c>
      <c r="B1555" t="inlineStr">
        <is>
          <t>avverkningsanmälan</t>
        </is>
      </c>
      <c r="C1555" t="inlineStr">
        <is>
          <t>Föryngringsavverkning</t>
        </is>
      </c>
      <c r="D1555" s="1" t="n">
        <v>45062</v>
      </c>
      <c r="E1555" s="1" t="n">
        <v>46309</v>
      </c>
      <c r="F1555" t="inlineStr">
        <is>
          <t>UPPSALA LÄN</t>
        </is>
      </c>
      <c r="G1555" t="inlineStr">
        <is>
          <t>HEBY</t>
        </is>
      </c>
      <c r="I1555" t="n">
        <v>2.2</v>
      </c>
      <c r="J1555" t="n">
        <v>0</v>
      </c>
      <c r="K1555" t="n">
        <v>0</v>
      </c>
      <c r="L1555" t="n">
        <v>0</v>
      </c>
      <c r="M1555" t="n">
        <v>0</v>
      </c>
      <c r="N1555" t="n">
        <v>0</v>
      </c>
      <c r="O1555" t="n">
        <v>0</v>
      </c>
      <c r="P1555" t="n">
        <v>0</v>
      </c>
      <c r="Q1555" t="n">
        <v>0</v>
      </c>
      <c r="R1555" t="n">
        <v>0</v>
      </c>
      <c r="S1555" t="n">
        <v>0</v>
      </c>
      <c r="T1555" t="n">
        <v>0</v>
      </c>
      <c r="U1555" t="n">
        <v>0</v>
      </c>
      <c r="V1555" s="2" t="inlineStr"/>
    </row>
    <row r="1556" ht="15" customHeight="1">
      <c r="A1556" t="inlineStr">
        <is>
          <t>A 47341-2023</t>
        </is>
      </c>
      <c r="B1556" t="inlineStr">
        <is>
          <t>avverkningsanmälan</t>
        </is>
      </c>
      <c r="C1556" t="inlineStr">
        <is>
          <t>Föryngringsavverkning</t>
        </is>
      </c>
      <c r="D1556" s="1" t="n">
        <v>45202</v>
      </c>
      <c r="E1556" s="1" t="n">
        <v>46309</v>
      </c>
      <c r="F1556" t="inlineStr">
        <is>
          <t>UPPSALA LÄN</t>
        </is>
      </c>
      <c r="G1556" t="inlineStr">
        <is>
          <t>ÖSTHAMMAR</t>
        </is>
      </c>
      <c r="I1556" t="n">
        <v>4.9</v>
      </c>
      <c r="J1556" t="n">
        <v>0</v>
      </c>
      <c r="K1556" t="n">
        <v>0</v>
      </c>
      <c r="L1556" t="n">
        <v>0</v>
      </c>
      <c r="M1556" t="n">
        <v>0</v>
      </c>
      <c r="N1556" t="n">
        <v>0</v>
      </c>
      <c r="O1556" t="n">
        <v>0</v>
      </c>
      <c r="P1556" t="n">
        <v>0</v>
      </c>
      <c r="Q1556" t="n">
        <v>0</v>
      </c>
      <c r="R1556" t="n">
        <v>0</v>
      </c>
      <c r="S1556" t="n">
        <v>0</v>
      </c>
      <c r="T1556" t="n">
        <v>0</v>
      </c>
      <c r="U1556" t="n">
        <v>0</v>
      </c>
      <c r="V1556" s="2" t="inlineStr"/>
    </row>
    <row r="1557" ht="15" customHeight="1">
      <c r="A1557" t="inlineStr">
        <is>
          <t>A 52109-2025</t>
        </is>
      </c>
      <c r="B1557" t="inlineStr">
        <is>
          <t>avverkningsanmälan</t>
        </is>
      </c>
      <c r="C1557" t="inlineStr">
        <is>
          <t>Föryngringsavverkning</t>
        </is>
      </c>
      <c r="D1557" s="1" t="n">
        <v>45952</v>
      </c>
      <c r="E1557" s="1" t="n">
        <v>46309</v>
      </c>
      <c r="F1557" t="inlineStr">
        <is>
          <t>UPPSALA LÄN</t>
        </is>
      </c>
      <c r="G1557" t="inlineStr">
        <is>
          <t>HEBY</t>
        </is>
      </c>
      <c r="I1557" t="n">
        <v>1.8</v>
      </c>
      <c r="J1557" t="n">
        <v>0</v>
      </c>
      <c r="K1557" t="n">
        <v>0</v>
      </c>
      <c r="L1557" t="n">
        <v>0</v>
      </c>
      <c r="M1557" t="n">
        <v>0</v>
      </c>
      <c r="N1557" t="n">
        <v>0</v>
      </c>
      <c r="O1557" t="n">
        <v>0</v>
      </c>
      <c r="P1557" t="n">
        <v>0</v>
      </c>
      <c r="Q1557" t="n">
        <v>0</v>
      </c>
      <c r="R1557" t="n">
        <v>0</v>
      </c>
      <c r="S1557" t="n">
        <v>0</v>
      </c>
      <c r="T1557" t="n">
        <v>0</v>
      </c>
      <c r="U1557" t="n">
        <v>0</v>
      </c>
      <c r="V1557" s="2" t="inlineStr"/>
    </row>
    <row r="1558" ht="15" customHeight="1">
      <c r="A1558" t="inlineStr">
        <is>
          <t>A 19764-2023</t>
        </is>
      </c>
      <c r="B1558" t="inlineStr">
        <is>
          <t>avverkningsanmälan</t>
        </is>
      </c>
      <c r="C1558" t="inlineStr">
        <is>
          <t>Föryngringsavverkning</t>
        </is>
      </c>
      <c r="D1558" s="1" t="n">
        <v>45050</v>
      </c>
      <c r="E1558" s="1" t="n">
        <v>46309</v>
      </c>
      <c r="F1558" t="inlineStr">
        <is>
          <t>UPPSALA LÄN</t>
        </is>
      </c>
      <c r="G1558" t="inlineStr">
        <is>
          <t>HEBY</t>
        </is>
      </c>
      <c r="H1558" t="inlineStr">
        <is>
          <t>Bergvik skog väst AB</t>
        </is>
      </c>
      <c r="I1558" t="n">
        <v>2.6</v>
      </c>
      <c r="J1558" t="n">
        <v>0</v>
      </c>
      <c r="K1558" t="n">
        <v>0</v>
      </c>
      <c r="L1558" t="n">
        <v>0</v>
      </c>
      <c r="M1558" t="n">
        <v>0</v>
      </c>
      <c r="N1558" t="n">
        <v>0</v>
      </c>
      <c r="O1558" t="n">
        <v>0</v>
      </c>
      <c r="P1558" t="n">
        <v>0</v>
      </c>
      <c r="Q1558" t="n">
        <v>0</v>
      </c>
      <c r="R1558" t="n">
        <v>0</v>
      </c>
      <c r="S1558" t="n">
        <v>0</v>
      </c>
      <c r="T1558" t="n">
        <v>0</v>
      </c>
      <c r="U1558" t="n">
        <v>0</v>
      </c>
      <c r="V1558" s="2" t="inlineStr"/>
    </row>
    <row r="1559" ht="15" customHeight="1">
      <c r="A1559" t="inlineStr">
        <is>
          <t>A 2553-2023</t>
        </is>
      </c>
      <c r="B1559" t="inlineStr">
        <is>
          <t>avverkningsanmälan</t>
        </is>
      </c>
      <c r="C1559" t="inlineStr">
        <is>
          <t>Föryngringsavverkning</t>
        </is>
      </c>
      <c r="D1559" s="1" t="n">
        <v>44943</v>
      </c>
      <c r="E1559" s="1" t="n">
        <v>46309</v>
      </c>
      <c r="F1559" t="inlineStr">
        <is>
          <t>UPPSALA LÄN</t>
        </is>
      </c>
      <c r="G1559" t="inlineStr">
        <is>
          <t>HEBY</t>
        </is>
      </c>
      <c r="I1559" t="n">
        <v>2.9</v>
      </c>
      <c r="J1559" t="n">
        <v>0</v>
      </c>
      <c r="K1559" t="n">
        <v>0</v>
      </c>
      <c r="L1559" t="n">
        <v>0</v>
      </c>
      <c r="M1559" t="n">
        <v>0</v>
      </c>
      <c r="N1559" t="n">
        <v>0</v>
      </c>
      <c r="O1559" t="n">
        <v>0</v>
      </c>
      <c r="P1559" t="n">
        <v>0</v>
      </c>
      <c r="Q1559" t="n">
        <v>0</v>
      </c>
      <c r="R1559" t="n">
        <v>0</v>
      </c>
      <c r="S1559" t="n">
        <v>0</v>
      </c>
      <c r="T1559" t="n">
        <v>0</v>
      </c>
      <c r="U1559" t="n">
        <v>0</v>
      </c>
      <c r="V1559" s="2" t="inlineStr"/>
    </row>
    <row r="1560" ht="15" customHeight="1">
      <c r="A1560" t="inlineStr">
        <is>
          <t>A 36195-2025</t>
        </is>
      </c>
      <c r="B1560" t="inlineStr">
        <is>
          <t>avverkningsanmälan</t>
        </is>
      </c>
      <c r="C1560" t="inlineStr">
        <is>
          <t>Föryngringsavverkning</t>
        </is>
      </c>
      <c r="D1560" s="1" t="n">
        <v>45867</v>
      </c>
      <c r="E1560" s="1" t="n">
        <v>46309</v>
      </c>
      <c r="F1560" t="inlineStr">
        <is>
          <t>UPPSALA LÄN</t>
        </is>
      </c>
      <c r="G1560" t="inlineStr">
        <is>
          <t>TIERP</t>
        </is>
      </c>
      <c r="I1560" t="n">
        <v>0.5</v>
      </c>
      <c r="J1560" t="n">
        <v>0</v>
      </c>
      <c r="K1560" t="n">
        <v>0</v>
      </c>
      <c r="L1560" t="n">
        <v>0</v>
      </c>
      <c r="M1560" t="n">
        <v>0</v>
      </c>
      <c r="N1560" t="n">
        <v>0</v>
      </c>
      <c r="O1560" t="n">
        <v>0</v>
      </c>
      <c r="P1560" t="n">
        <v>0</v>
      </c>
      <c r="Q1560" t="n">
        <v>0</v>
      </c>
      <c r="R1560" t="n">
        <v>0</v>
      </c>
      <c r="S1560" t="n">
        <v>0</v>
      </c>
      <c r="T1560" t="n">
        <v>0</v>
      </c>
      <c r="U1560" t="n">
        <v>0</v>
      </c>
      <c r="V1560" s="2" t="inlineStr"/>
    </row>
    <row r="1561" ht="15" customHeight="1">
      <c r="A1561" t="inlineStr">
        <is>
          <t>A 2617-2023</t>
        </is>
      </c>
      <c r="B1561" t="inlineStr">
        <is>
          <t>avverkningsanmälan</t>
        </is>
      </c>
      <c r="C1561" t="inlineStr">
        <is>
          <t>Föryngringsavverkning</t>
        </is>
      </c>
      <c r="D1561" s="1" t="n">
        <v>44944</v>
      </c>
      <c r="E1561" s="1" t="n">
        <v>46309</v>
      </c>
      <c r="F1561" t="inlineStr">
        <is>
          <t>UPPSALA LÄN</t>
        </is>
      </c>
      <c r="G1561" t="inlineStr">
        <is>
          <t>HEBY</t>
        </is>
      </c>
      <c r="I1561" t="n">
        <v>1</v>
      </c>
      <c r="J1561" t="n">
        <v>0</v>
      </c>
      <c r="K1561" t="n">
        <v>0</v>
      </c>
      <c r="L1561" t="n">
        <v>0</v>
      </c>
      <c r="M1561" t="n">
        <v>0</v>
      </c>
      <c r="N1561" t="n">
        <v>0</v>
      </c>
      <c r="O1561" t="n">
        <v>0</v>
      </c>
      <c r="P1561" t="n">
        <v>0</v>
      </c>
      <c r="Q1561" t="n">
        <v>0</v>
      </c>
      <c r="R1561" t="n">
        <v>0</v>
      </c>
      <c r="S1561" t="n">
        <v>0</v>
      </c>
      <c r="T1561" t="n">
        <v>0</v>
      </c>
      <c r="U1561" t="n">
        <v>0</v>
      </c>
      <c r="V1561" s="2" t="inlineStr"/>
    </row>
    <row r="1562" ht="15" customHeight="1">
      <c r="A1562" t="inlineStr">
        <is>
          <t>A 2641-2023</t>
        </is>
      </c>
      <c r="B1562" t="inlineStr">
        <is>
          <t>avverkningsanmälan</t>
        </is>
      </c>
      <c r="C1562" t="inlineStr">
        <is>
          <t>Föryngringsavverkning</t>
        </is>
      </c>
      <c r="D1562" s="1" t="n">
        <v>44944</v>
      </c>
      <c r="E1562" s="1" t="n">
        <v>46309</v>
      </c>
      <c r="F1562" t="inlineStr">
        <is>
          <t>UPPSALA LÄN</t>
        </is>
      </c>
      <c r="G1562" t="inlineStr">
        <is>
          <t>HEBY</t>
        </is>
      </c>
      <c r="I1562" t="n">
        <v>2.5</v>
      </c>
      <c r="J1562" t="n">
        <v>0</v>
      </c>
      <c r="K1562" t="n">
        <v>0</v>
      </c>
      <c r="L1562" t="n">
        <v>0</v>
      </c>
      <c r="M1562" t="n">
        <v>0</v>
      </c>
      <c r="N1562" t="n">
        <v>0</v>
      </c>
      <c r="O1562" t="n">
        <v>0</v>
      </c>
      <c r="P1562" t="n">
        <v>0</v>
      </c>
      <c r="Q1562" t="n">
        <v>0</v>
      </c>
      <c r="R1562" t="n">
        <v>0</v>
      </c>
      <c r="S1562" t="n">
        <v>0</v>
      </c>
      <c r="T1562" t="n">
        <v>0</v>
      </c>
      <c r="U1562" t="n">
        <v>0</v>
      </c>
      <c r="V1562" s="2" t="inlineStr"/>
    </row>
    <row r="1563" ht="15" customHeight="1">
      <c r="A1563" t="inlineStr">
        <is>
          <t>A 36350-2025</t>
        </is>
      </c>
      <c r="B1563" t="inlineStr">
        <is>
          <t>avverkningsanmälan</t>
        </is>
      </c>
      <c r="C1563" t="inlineStr">
        <is>
          <t>Föryngringsavverkning</t>
        </is>
      </c>
      <c r="D1563" s="1" t="n">
        <v>45868</v>
      </c>
      <c r="E1563" s="1" t="n">
        <v>46309</v>
      </c>
      <c r="F1563" t="inlineStr">
        <is>
          <t>UPPSALA LÄN</t>
        </is>
      </c>
      <c r="G1563" t="inlineStr">
        <is>
          <t>ENKÖPING</t>
        </is>
      </c>
      <c r="I1563" t="n">
        <v>1.9</v>
      </c>
      <c r="J1563" t="n">
        <v>0</v>
      </c>
      <c r="K1563" t="n">
        <v>0</v>
      </c>
      <c r="L1563" t="n">
        <v>0</v>
      </c>
      <c r="M1563" t="n">
        <v>0</v>
      </c>
      <c r="N1563" t="n">
        <v>0</v>
      </c>
      <c r="O1563" t="n">
        <v>0</v>
      </c>
      <c r="P1563" t="n">
        <v>0</v>
      </c>
      <c r="Q1563" t="n">
        <v>0</v>
      </c>
      <c r="R1563" t="n">
        <v>0</v>
      </c>
      <c r="S1563" t="n">
        <v>0</v>
      </c>
      <c r="T1563" t="n">
        <v>0</v>
      </c>
      <c r="U1563" t="n">
        <v>0</v>
      </c>
      <c r="V1563" s="2" t="inlineStr"/>
    </row>
    <row r="1564" ht="15" customHeight="1">
      <c r="A1564" t="inlineStr">
        <is>
          <t>A 26017-2025</t>
        </is>
      </c>
      <c r="B1564" t="inlineStr">
        <is>
          <t>avverkningsanmälan</t>
        </is>
      </c>
      <c r="C1564" t="inlineStr">
        <is>
          <t>Föryngringsavverkning</t>
        </is>
      </c>
      <c r="D1564" s="1" t="n">
        <v>45804</v>
      </c>
      <c r="E1564" s="1" t="n">
        <v>46309</v>
      </c>
      <c r="F1564" t="inlineStr">
        <is>
          <t>UPPSALA LÄN</t>
        </is>
      </c>
      <c r="G1564" t="inlineStr">
        <is>
          <t>ENKÖPING</t>
        </is>
      </c>
      <c r="I1564" t="n">
        <v>0.4</v>
      </c>
      <c r="J1564" t="n">
        <v>0</v>
      </c>
      <c r="K1564" t="n">
        <v>0</v>
      </c>
      <c r="L1564" t="n">
        <v>0</v>
      </c>
      <c r="M1564" t="n">
        <v>0</v>
      </c>
      <c r="N1564" t="n">
        <v>0</v>
      </c>
      <c r="O1564" t="n">
        <v>0</v>
      </c>
      <c r="P1564" t="n">
        <v>0</v>
      </c>
      <c r="Q1564" t="n">
        <v>0</v>
      </c>
      <c r="R1564" t="n">
        <v>0</v>
      </c>
      <c r="S1564" t="n">
        <v>0</v>
      </c>
      <c r="T1564" t="n">
        <v>0</v>
      </c>
      <c r="U1564" t="n">
        <v>0</v>
      </c>
      <c r="V1564" s="2" t="inlineStr"/>
    </row>
    <row r="1565" ht="15" customHeight="1">
      <c r="A1565" t="inlineStr">
        <is>
          <t>A 47072-2024</t>
        </is>
      </c>
      <c r="B1565" t="inlineStr">
        <is>
          <t>avverkningsanmälan</t>
        </is>
      </c>
      <c r="C1565" t="inlineStr">
        <is>
          <t>Föryngringsavverkning</t>
        </is>
      </c>
      <c r="D1565" s="1" t="n">
        <v>45586</v>
      </c>
      <c r="E1565" s="1" t="n">
        <v>46309</v>
      </c>
      <c r="F1565" t="inlineStr">
        <is>
          <t>UPPSALA LÄN</t>
        </is>
      </c>
      <c r="G1565" t="inlineStr">
        <is>
          <t>HEBY</t>
        </is>
      </c>
      <c r="H1565" t="inlineStr">
        <is>
          <t>Kyrkan</t>
        </is>
      </c>
      <c r="I1565" t="n">
        <v>0.9</v>
      </c>
      <c r="J1565" t="n">
        <v>0</v>
      </c>
      <c r="K1565" t="n">
        <v>0</v>
      </c>
      <c r="L1565" t="n">
        <v>0</v>
      </c>
      <c r="M1565" t="n">
        <v>0</v>
      </c>
      <c r="N1565" t="n">
        <v>0</v>
      </c>
      <c r="O1565" t="n">
        <v>0</v>
      </c>
      <c r="P1565" t="n">
        <v>0</v>
      </c>
      <c r="Q1565" t="n">
        <v>0</v>
      </c>
      <c r="R1565" t="n">
        <v>0</v>
      </c>
      <c r="S1565" t="n">
        <v>0</v>
      </c>
      <c r="T1565" t="n">
        <v>0</v>
      </c>
      <c r="U1565" t="n">
        <v>0</v>
      </c>
      <c r="V1565" s="2" t="inlineStr"/>
    </row>
    <row r="1566" ht="15" customHeight="1">
      <c r="A1566" t="inlineStr">
        <is>
          <t>A 51685-2025</t>
        </is>
      </c>
      <c r="B1566" t="inlineStr">
        <is>
          <t>avverkningsanmälan</t>
        </is>
      </c>
      <c r="C1566" t="inlineStr">
        <is>
          <t>Föryngringsavverkning</t>
        </is>
      </c>
      <c r="D1566" s="1" t="n">
        <v>45951</v>
      </c>
      <c r="E1566" s="1" t="n">
        <v>46309</v>
      </c>
      <c r="F1566" t="inlineStr">
        <is>
          <t>UPPSALA LÄN</t>
        </is>
      </c>
      <c r="G1566" t="inlineStr">
        <is>
          <t>HEBY</t>
        </is>
      </c>
      <c r="I1566" t="n">
        <v>1.6</v>
      </c>
      <c r="J1566" t="n">
        <v>0</v>
      </c>
      <c r="K1566" t="n">
        <v>0</v>
      </c>
      <c r="L1566" t="n">
        <v>0</v>
      </c>
      <c r="M1566" t="n">
        <v>0</v>
      </c>
      <c r="N1566" t="n">
        <v>0</v>
      </c>
      <c r="O1566" t="n">
        <v>0</v>
      </c>
      <c r="P1566" t="n">
        <v>0</v>
      </c>
      <c r="Q1566" t="n">
        <v>0</v>
      </c>
      <c r="R1566" t="n">
        <v>0</v>
      </c>
      <c r="S1566" t="n">
        <v>0</v>
      </c>
      <c r="T1566" t="n">
        <v>0</v>
      </c>
      <c r="U1566" t="n">
        <v>0</v>
      </c>
      <c r="V1566" s="2" t="inlineStr"/>
    </row>
    <row r="1567" ht="15" customHeight="1">
      <c r="A1567" t="inlineStr">
        <is>
          <t>A 36451-2025</t>
        </is>
      </c>
      <c r="B1567" t="inlineStr">
        <is>
          <t>avverkningsanmälan</t>
        </is>
      </c>
      <c r="C1567" t="inlineStr">
        <is>
          <t>Föryngringsavverkning</t>
        </is>
      </c>
      <c r="D1567" s="1" t="n">
        <v>45869</v>
      </c>
      <c r="E1567" s="1" t="n">
        <v>46309</v>
      </c>
      <c r="F1567" t="inlineStr">
        <is>
          <t>UPPSALA LÄN</t>
        </is>
      </c>
      <c r="G1567" t="inlineStr">
        <is>
          <t>ÖSTHAMMAR</t>
        </is>
      </c>
      <c r="I1567" t="n">
        <v>0.8</v>
      </c>
      <c r="J1567" t="n">
        <v>0</v>
      </c>
      <c r="K1567" t="n">
        <v>0</v>
      </c>
      <c r="L1567" t="n">
        <v>0</v>
      </c>
      <c r="M1567" t="n">
        <v>0</v>
      </c>
      <c r="N1567" t="n">
        <v>0</v>
      </c>
      <c r="O1567" t="n">
        <v>0</v>
      </c>
      <c r="P1567" t="n">
        <v>0</v>
      </c>
      <c r="Q1567" t="n">
        <v>0</v>
      </c>
      <c r="R1567" t="n">
        <v>0</v>
      </c>
      <c r="S1567" t="n">
        <v>0</v>
      </c>
      <c r="T1567" t="n">
        <v>0</v>
      </c>
      <c r="U1567" t="n">
        <v>0</v>
      </c>
      <c r="V1567" s="2" t="inlineStr"/>
    </row>
    <row r="1568" ht="15" customHeight="1">
      <c r="A1568" t="inlineStr">
        <is>
          <t>A 30616-2025</t>
        </is>
      </c>
      <c r="B1568" t="inlineStr">
        <is>
          <t>avverkningsanmälan</t>
        </is>
      </c>
      <c r="C1568" t="inlineStr">
        <is>
          <t>Föryngringsavverkning</t>
        </is>
      </c>
      <c r="D1568" s="1" t="n">
        <v>45831</v>
      </c>
      <c r="E1568" s="1" t="n">
        <v>46309</v>
      </c>
      <c r="F1568" t="inlineStr">
        <is>
          <t>UPPSALA LÄN</t>
        </is>
      </c>
      <c r="G1568" t="inlineStr">
        <is>
          <t>UPPSALA</t>
        </is>
      </c>
      <c r="I1568" t="n">
        <v>2.1</v>
      </c>
      <c r="J1568" t="n">
        <v>0</v>
      </c>
      <c r="K1568" t="n">
        <v>0</v>
      </c>
      <c r="L1568" t="n">
        <v>0</v>
      </c>
      <c r="M1568" t="n">
        <v>0</v>
      </c>
      <c r="N1568" t="n">
        <v>0</v>
      </c>
      <c r="O1568" t="n">
        <v>0</v>
      </c>
      <c r="P1568" t="n">
        <v>0</v>
      </c>
      <c r="Q1568" t="n">
        <v>0</v>
      </c>
      <c r="R1568" t="n">
        <v>0</v>
      </c>
      <c r="S1568" t="n">
        <v>0</v>
      </c>
      <c r="T1568" t="n">
        <v>0</v>
      </c>
      <c r="U1568" t="n">
        <v>0</v>
      </c>
      <c r="V1568" s="2" t="inlineStr"/>
    </row>
    <row r="1569" ht="15" customHeight="1">
      <c r="A1569" t="inlineStr">
        <is>
          <t>A 42213-2025</t>
        </is>
      </c>
      <c r="B1569" t="inlineStr">
        <is>
          <t>avverkningsanmälan</t>
        </is>
      </c>
      <c r="C1569" t="inlineStr">
        <is>
          <t>Föryngringsavverkning</t>
        </is>
      </c>
      <c r="D1569" s="1" t="n">
        <v>45904</v>
      </c>
      <c r="E1569" s="1" t="n">
        <v>46309</v>
      </c>
      <c r="F1569" t="inlineStr">
        <is>
          <t>UPPSALA LÄN</t>
        </is>
      </c>
      <c r="G1569" t="inlineStr">
        <is>
          <t>ÖSTHAMMAR</t>
        </is>
      </c>
      <c r="I1569" t="n">
        <v>0.8</v>
      </c>
      <c r="J1569" t="n">
        <v>0</v>
      </c>
      <c r="K1569" t="n">
        <v>0</v>
      </c>
      <c r="L1569" t="n">
        <v>0</v>
      </c>
      <c r="M1569" t="n">
        <v>0</v>
      </c>
      <c r="N1569" t="n">
        <v>0</v>
      </c>
      <c r="O1569" t="n">
        <v>0</v>
      </c>
      <c r="P1569" t="n">
        <v>0</v>
      </c>
      <c r="Q1569" t="n">
        <v>0</v>
      </c>
      <c r="R1569" t="n">
        <v>0</v>
      </c>
      <c r="S1569" t="n">
        <v>0</v>
      </c>
      <c r="T1569" t="n">
        <v>0</v>
      </c>
      <c r="U1569" t="n">
        <v>0</v>
      </c>
      <c r="V1569" s="2" t="inlineStr"/>
    </row>
    <row r="1570" ht="15" customHeight="1">
      <c r="A1570" t="inlineStr">
        <is>
          <t>A 36423-2025</t>
        </is>
      </c>
      <c r="B1570" t="inlineStr">
        <is>
          <t>avverkningsanmälan</t>
        </is>
      </c>
      <c r="C1570" t="inlineStr">
        <is>
          <t>Föryngringsavverkning</t>
        </is>
      </c>
      <c r="D1570" s="1" t="n">
        <v>45868</v>
      </c>
      <c r="E1570" s="1" t="n">
        <v>46309</v>
      </c>
      <c r="F1570" t="inlineStr">
        <is>
          <t>UPPSALA LÄN</t>
        </is>
      </c>
      <c r="G1570" t="inlineStr">
        <is>
          <t>TIERP</t>
        </is>
      </c>
      <c r="H1570" t="inlineStr">
        <is>
          <t>Bergvik skog väst AB</t>
        </is>
      </c>
      <c r="I1570" t="n">
        <v>1.1</v>
      </c>
      <c r="J1570" t="n">
        <v>0</v>
      </c>
      <c r="K1570" t="n">
        <v>0</v>
      </c>
      <c r="L1570" t="n">
        <v>0</v>
      </c>
      <c r="M1570" t="n">
        <v>0</v>
      </c>
      <c r="N1570" t="n">
        <v>0</v>
      </c>
      <c r="O1570" t="n">
        <v>0</v>
      </c>
      <c r="P1570" t="n">
        <v>0</v>
      </c>
      <c r="Q1570" t="n">
        <v>0</v>
      </c>
      <c r="R1570" t="n">
        <v>0</v>
      </c>
      <c r="S1570" t="n">
        <v>0</v>
      </c>
      <c r="T1570" t="n">
        <v>0</v>
      </c>
      <c r="U1570" t="n">
        <v>0</v>
      </c>
      <c r="V1570" s="2" t="inlineStr"/>
    </row>
    <row r="1571" ht="15" customHeight="1">
      <c r="A1571" t="inlineStr">
        <is>
          <t>A 2164-2023</t>
        </is>
      </c>
      <c r="B1571" t="inlineStr">
        <is>
          <t>avverkningsanmälan</t>
        </is>
      </c>
      <c r="C1571" t="inlineStr">
        <is>
          <t>Föryngringsavverkning</t>
        </is>
      </c>
      <c r="D1571" s="1" t="n">
        <v>44941</v>
      </c>
      <c r="E1571" s="1" t="n">
        <v>46309</v>
      </c>
      <c r="F1571" t="inlineStr">
        <is>
          <t>UPPSALA LÄN</t>
        </is>
      </c>
      <c r="G1571" t="inlineStr">
        <is>
          <t>ENKÖPING</t>
        </is>
      </c>
      <c r="I1571" t="n">
        <v>2.5</v>
      </c>
      <c r="J1571" t="n">
        <v>0</v>
      </c>
      <c r="K1571" t="n">
        <v>0</v>
      </c>
      <c r="L1571" t="n">
        <v>0</v>
      </c>
      <c r="M1571" t="n">
        <v>0</v>
      </c>
      <c r="N1571" t="n">
        <v>0</v>
      </c>
      <c r="O1571" t="n">
        <v>0</v>
      </c>
      <c r="P1571" t="n">
        <v>0</v>
      </c>
      <c r="Q1571" t="n">
        <v>0</v>
      </c>
      <c r="R1571" t="n">
        <v>0</v>
      </c>
      <c r="S1571" t="n">
        <v>0</v>
      </c>
      <c r="T1571" t="n">
        <v>0</v>
      </c>
      <c r="U1571" t="n">
        <v>0</v>
      </c>
      <c r="V1571" s="2" t="inlineStr"/>
    </row>
    <row r="1572" ht="15" customHeight="1">
      <c r="A1572" t="inlineStr">
        <is>
          <t>A 36473-2025</t>
        </is>
      </c>
      <c r="B1572" t="inlineStr">
        <is>
          <t>avverkningsanmälan</t>
        </is>
      </c>
      <c r="C1572" t="inlineStr">
        <is>
          <t>Föryngringsavverkning</t>
        </is>
      </c>
      <c r="D1572" s="1" t="n">
        <v>45869</v>
      </c>
      <c r="E1572" s="1" t="n">
        <v>46309</v>
      </c>
      <c r="F1572" t="inlineStr">
        <is>
          <t>UPPSALA LÄN</t>
        </is>
      </c>
      <c r="G1572" t="inlineStr">
        <is>
          <t>KNIVSTA</t>
        </is>
      </c>
      <c r="I1572" t="n">
        <v>1.4</v>
      </c>
      <c r="J1572" t="n">
        <v>0</v>
      </c>
      <c r="K1572" t="n">
        <v>0</v>
      </c>
      <c r="L1572" t="n">
        <v>0</v>
      </c>
      <c r="M1572" t="n">
        <v>0</v>
      </c>
      <c r="N1572" t="n">
        <v>0</v>
      </c>
      <c r="O1572" t="n">
        <v>0</v>
      </c>
      <c r="P1572" t="n">
        <v>0</v>
      </c>
      <c r="Q1572" t="n">
        <v>0</v>
      </c>
      <c r="R1572" t="n">
        <v>0</v>
      </c>
      <c r="S1572" t="n">
        <v>0</v>
      </c>
      <c r="T1572" t="n">
        <v>0</v>
      </c>
      <c r="U1572" t="n">
        <v>0</v>
      </c>
      <c r="V1572" s="2" t="inlineStr"/>
    </row>
    <row r="1573" ht="15" customHeight="1">
      <c r="A1573" t="inlineStr">
        <is>
          <t>A 35122-2025</t>
        </is>
      </c>
      <c r="B1573" t="inlineStr">
        <is>
          <t>avverkningsanmälan</t>
        </is>
      </c>
      <c r="C1573" t="inlineStr">
        <is>
          <t>Föryngringsavverkning</t>
        </is>
      </c>
      <c r="D1573" s="1" t="n">
        <v>45852</v>
      </c>
      <c r="E1573" s="1" t="n">
        <v>46309</v>
      </c>
      <c r="F1573" t="inlineStr">
        <is>
          <t>UPPSALA LÄN</t>
        </is>
      </c>
      <c r="G1573" t="inlineStr">
        <is>
          <t>TIERP</t>
        </is>
      </c>
      <c r="I1573" t="n">
        <v>0.7</v>
      </c>
      <c r="J1573" t="n">
        <v>0</v>
      </c>
      <c r="K1573" t="n">
        <v>0</v>
      </c>
      <c r="L1573" t="n">
        <v>0</v>
      </c>
      <c r="M1573" t="n">
        <v>0</v>
      </c>
      <c r="N1573" t="n">
        <v>0</v>
      </c>
      <c r="O1573" t="n">
        <v>0</v>
      </c>
      <c r="P1573" t="n">
        <v>0</v>
      </c>
      <c r="Q1573" t="n">
        <v>0</v>
      </c>
      <c r="R1573" t="n">
        <v>0</v>
      </c>
      <c r="S1573" t="n">
        <v>0</v>
      </c>
      <c r="T1573" t="n">
        <v>0</v>
      </c>
      <c r="U1573" t="n">
        <v>0</v>
      </c>
      <c r="V1573" s="2" t="inlineStr"/>
    </row>
    <row r="1574" ht="15" customHeight="1">
      <c r="A1574" t="inlineStr">
        <is>
          <t>A 36599-2025</t>
        </is>
      </c>
      <c r="B1574" t="inlineStr">
        <is>
          <t>avverkningsanmälan</t>
        </is>
      </c>
      <c r="C1574" t="inlineStr">
        <is>
          <t>Föryngringsavverkning</t>
        </is>
      </c>
      <c r="D1574" s="1" t="n">
        <v>45870</v>
      </c>
      <c r="E1574" s="1" t="n">
        <v>46309</v>
      </c>
      <c r="F1574" t="inlineStr">
        <is>
          <t>UPPSALA LÄN</t>
        </is>
      </c>
      <c r="G1574" t="inlineStr">
        <is>
          <t>ENKÖPING</t>
        </is>
      </c>
      <c r="I1574" t="n">
        <v>5.9</v>
      </c>
      <c r="J1574" t="n">
        <v>0</v>
      </c>
      <c r="K1574" t="n">
        <v>0</v>
      </c>
      <c r="L1574" t="n">
        <v>0</v>
      </c>
      <c r="M1574" t="n">
        <v>0</v>
      </c>
      <c r="N1574" t="n">
        <v>0</v>
      </c>
      <c r="O1574" t="n">
        <v>0</v>
      </c>
      <c r="P1574" t="n">
        <v>0</v>
      </c>
      <c r="Q1574" t="n">
        <v>0</v>
      </c>
      <c r="R1574" t="n">
        <v>0</v>
      </c>
      <c r="S1574" t="n">
        <v>0</v>
      </c>
      <c r="T1574" t="n">
        <v>0</v>
      </c>
      <c r="U1574" t="n">
        <v>0</v>
      </c>
      <c r="V1574" s="2" t="inlineStr"/>
    </row>
    <row r="1575" ht="15" customHeight="1">
      <c r="A1575" t="inlineStr">
        <is>
          <t>A 61216-2022</t>
        </is>
      </c>
      <c r="B1575" t="inlineStr">
        <is>
          <t>avverkningsanmälan</t>
        </is>
      </c>
      <c r="C1575" t="inlineStr">
        <is>
          <t>Föryngringsavverkning</t>
        </is>
      </c>
      <c r="D1575" s="1" t="n">
        <v>44915</v>
      </c>
      <c r="E1575" s="1" t="n">
        <v>46309</v>
      </c>
      <c r="F1575" t="inlineStr">
        <is>
          <t>UPPSALA LÄN</t>
        </is>
      </c>
      <c r="G1575" t="inlineStr">
        <is>
          <t>ÖSTHAMMAR</t>
        </is>
      </c>
      <c r="I1575" t="n">
        <v>2.9</v>
      </c>
      <c r="J1575" t="n">
        <v>0</v>
      </c>
      <c r="K1575" t="n">
        <v>0</v>
      </c>
      <c r="L1575" t="n">
        <v>0</v>
      </c>
      <c r="M1575" t="n">
        <v>0</v>
      </c>
      <c r="N1575" t="n">
        <v>0</v>
      </c>
      <c r="O1575" t="n">
        <v>0</v>
      </c>
      <c r="P1575" t="n">
        <v>0</v>
      </c>
      <c r="Q1575" t="n">
        <v>0</v>
      </c>
      <c r="R1575" t="n">
        <v>0</v>
      </c>
      <c r="S1575" t="n">
        <v>0</v>
      </c>
      <c r="T1575" t="n">
        <v>0</v>
      </c>
      <c r="U1575" t="n">
        <v>0</v>
      </c>
      <c r="V1575" s="2" t="inlineStr"/>
    </row>
    <row r="1576" ht="15" customHeight="1">
      <c r="A1576" t="inlineStr">
        <is>
          <t>A 52477-2025</t>
        </is>
      </c>
      <c r="B1576" t="inlineStr">
        <is>
          <t>avverkningsanmälan</t>
        </is>
      </c>
      <c r="C1576" t="inlineStr">
        <is>
          <t>Föryngringsavverkning</t>
        </is>
      </c>
      <c r="D1576" s="1" t="n">
        <v>45954</v>
      </c>
      <c r="E1576" s="1" t="n">
        <v>46309</v>
      </c>
      <c r="F1576" t="inlineStr">
        <is>
          <t>UPPSALA LÄN</t>
        </is>
      </c>
      <c r="G1576" t="inlineStr">
        <is>
          <t>ÄLVKARLEBY</t>
        </is>
      </c>
      <c r="H1576" t="inlineStr">
        <is>
          <t>Bergvik skog väst AB</t>
        </is>
      </c>
      <c r="I1576" t="n">
        <v>5.3</v>
      </c>
      <c r="J1576" t="n">
        <v>0</v>
      </c>
      <c r="K1576" t="n">
        <v>0</v>
      </c>
      <c r="L1576" t="n">
        <v>0</v>
      </c>
      <c r="M1576" t="n">
        <v>0</v>
      </c>
      <c r="N1576" t="n">
        <v>0</v>
      </c>
      <c r="O1576" t="n">
        <v>0</v>
      </c>
      <c r="P1576" t="n">
        <v>0</v>
      </c>
      <c r="Q1576" t="n">
        <v>0</v>
      </c>
      <c r="R1576" t="n">
        <v>0</v>
      </c>
      <c r="S1576" t="n">
        <v>0</v>
      </c>
      <c r="T1576" t="n">
        <v>0</v>
      </c>
      <c r="U1576" t="n">
        <v>0</v>
      </c>
      <c r="V1576" s="2" t="inlineStr"/>
    </row>
    <row r="1577" ht="15" customHeight="1">
      <c r="A1577" t="inlineStr">
        <is>
          <t>A 8046-2023</t>
        </is>
      </c>
      <c r="B1577" t="inlineStr">
        <is>
          <t>avverkningsanmälan</t>
        </is>
      </c>
      <c r="C1577" t="inlineStr">
        <is>
          <t>Föryngringsavverkning</t>
        </is>
      </c>
      <c r="D1577" s="1" t="n">
        <v>44974</v>
      </c>
      <c r="E1577" s="1" t="n">
        <v>46309</v>
      </c>
      <c r="F1577" t="inlineStr">
        <is>
          <t>UPPSALA LÄN</t>
        </is>
      </c>
      <c r="G1577" t="inlineStr">
        <is>
          <t>HEBY</t>
        </is>
      </c>
      <c r="I1577" t="n">
        <v>0.9</v>
      </c>
      <c r="J1577" t="n">
        <v>0</v>
      </c>
      <c r="K1577" t="n">
        <v>0</v>
      </c>
      <c r="L1577" t="n">
        <v>0</v>
      </c>
      <c r="M1577" t="n">
        <v>0</v>
      </c>
      <c r="N1577" t="n">
        <v>0</v>
      </c>
      <c r="O1577" t="n">
        <v>0</v>
      </c>
      <c r="P1577" t="n">
        <v>0</v>
      </c>
      <c r="Q1577" t="n">
        <v>0</v>
      </c>
      <c r="R1577" t="n">
        <v>0</v>
      </c>
      <c r="S1577" t="n">
        <v>0</v>
      </c>
      <c r="T1577" t="n">
        <v>0</v>
      </c>
      <c r="U1577" t="n">
        <v>0</v>
      </c>
      <c r="V1577" s="2" t="inlineStr"/>
    </row>
    <row r="1578" ht="15" customHeight="1">
      <c r="A1578" t="inlineStr">
        <is>
          <t>A 34838-2024</t>
        </is>
      </c>
      <c r="B1578" t="inlineStr">
        <is>
          <t>avverkningsanmälan</t>
        </is>
      </c>
      <c r="C1578" t="inlineStr">
        <is>
          <t>Avverkning för annat ändamål</t>
        </is>
      </c>
      <c r="D1578" s="1" t="n">
        <v>45526</v>
      </c>
      <c r="E1578" s="1" t="n">
        <v>46309</v>
      </c>
      <c r="F1578" t="inlineStr">
        <is>
          <t>UPPSALA LÄN</t>
        </is>
      </c>
      <c r="G1578" t="inlineStr">
        <is>
          <t>TIERP</t>
        </is>
      </c>
      <c r="I1578" t="n">
        <v>1.3</v>
      </c>
      <c r="J1578" t="n">
        <v>0</v>
      </c>
      <c r="K1578" t="n">
        <v>0</v>
      </c>
      <c r="L1578" t="n">
        <v>0</v>
      </c>
      <c r="M1578" t="n">
        <v>0</v>
      </c>
      <c r="N1578" t="n">
        <v>0</v>
      </c>
      <c r="O1578" t="n">
        <v>0</v>
      </c>
      <c r="P1578" t="n">
        <v>0</v>
      </c>
      <c r="Q1578" t="n">
        <v>0</v>
      </c>
      <c r="R1578" t="n">
        <v>0</v>
      </c>
      <c r="S1578" t="n">
        <v>0</v>
      </c>
      <c r="T1578" t="n">
        <v>0</v>
      </c>
      <c r="U1578" t="n">
        <v>0</v>
      </c>
      <c r="V1578" s="2" t="inlineStr"/>
    </row>
    <row r="1579" ht="15" customHeight="1">
      <c r="A1579" t="inlineStr">
        <is>
          <t>A 47287-2023</t>
        </is>
      </c>
      <c r="B1579" t="inlineStr">
        <is>
          <t>avverkningsanmälan</t>
        </is>
      </c>
      <c r="C1579" t="inlineStr">
        <is>
          <t>Avverkning för annat ändamål</t>
        </is>
      </c>
      <c r="D1579" s="1" t="n">
        <v>45202</v>
      </c>
      <c r="E1579" s="1" t="n">
        <v>46309</v>
      </c>
      <c r="F1579" t="inlineStr">
        <is>
          <t>UPPSALA LÄN</t>
        </is>
      </c>
      <c r="G1579" t="inlineStr">
        <is>
          <t>UPPSALA</t>
        </is>
      </c>
      <c r="H1579" t="inlineStr">
        <is>
          <t>Holmen skog AB</t>
        </is>
      </c>
      <c r="I1579" t="n">
        <v>0.4</v>
      </c>
      <c r="J1579" t="n">
        <v>0</v>
      </c>
      <c r="K1579" t="n">
        <v>0</v>
      </c>
      <c r="L1579" t="n">
        <v>0</v>
      </c>
      <c r="M1579" t="n">
        <v>0</v>
      </c>
      <c r="N1579" t="n">
        <v>0</v>
      </c>
      <c r="O1579" t="n">
        <v>0</v>
      </c>
      <c r="P1579" t="n">
        <v>0</v>
      </c>
      <c r="Q1579" t="n">
        <v>0</v>
      </c>
      <c r="R1579" t="n">
        <v>0</v>
      </c>
      <c r="S1579" t="n">
        <v>0</v>
      </c>
      <c r="T1579" t="n">
        <v>0</v>
      </c>
      <c r="U1579" t="n">
        <v>0</v>
      </c>
      <c r="V1579" s="2" t="inlineStr"/>
    </row>
    <row r="1580" ht="15" customHeight="1">
      <c r="A1580" t="inlineStr">
        <is>
          <t>A 52490-2025</t>
        </is>
      </c>
      <c r="B1580" t="inlineStr">
        <is>
          <t>avverkningsanmälan</t>
        </is>
      </c>
      <c r="C1580" t="inlineStr">
        <is>
          <t>Föryngringsavverkning</t>
        </is>
      </c>
      <c r="D1580" s="1" t="n">
        <v>45954</v>
      </c>
      <c r="E1580" s="1" t="n">
        <v>46309</v>
      </c>
      <c r="F1580" t="inlineStr">
        <is>
          <t>UPPSALA LÄN</t>
        </is>
      </c>
      <c r="G1580" t="inlineStr">
        <is>
          <t>TIERP</t>
        </is>
      </c>
      <c r="H1580" t="inlineStr">
        <is>
          <t>Bergvik skog väst AB</t>
        </is>
      </c>
      <c r="I1580" t="n">
        <v>7</v>
      </c>
      <c r="J1580" t="n">
        <v>0</v>
      </c>
      <c r="K1580" t="n">
        <v>0</v>
      </c>
      <c r="L1580" t="n">
        <v>0</v>
      </c>
      <c r="M1580" t="n">
        <v>0</v>
      </c>
      <c r="N1580" t="n">
        <v>0</v>
      </c>
      <c r="O1580" t="n">
        <v>0</v>
      </c>
      <c r="P1580" t="n">
        <v>0</v>
      </c>
      <c r="Q1580" t="n">
        <v>0</v>
      </c>
      <c r="R1580" t="n">
        <v>0</v>
      </c>
      <c r="S1580" t="n">
        <v>0</v>
      </c>
      <c r="T1580" t="n">
        <v>0</v>
      </c>
      <c r="U1580" t="n">
        <v>0</v>
      </c>
      <c r="V1580" s="2" t="inlineStr"/>
    </row>
    <row r="1581" ht="15" customHeight="1">
      <c r="A1581" t="inlineStr">
        <is>
          <t>A 52498-2025</t>
        </is>
      </c>
      <c r="B1581" t="inlineStr">
        <is>
          <t>avverkningsanmälan</t>
        </is>
      </c>
      <c r="C1581" t="inlineStr">
        <is>
          <t>Föryngringsavverkning</t>
        </is>
      </c>
      <c r="D1581" s="1" t="n">
        <v>45954</v>
      </c>
      <c r="E1581" s="1" t="n">
        <v>46309</v>
      </c>
      <c r="F1581" t="inlineStr">
        <is>
          <t>UPPSALA LÄN</t>
        </is>
      </c>
      <c r="G1581" t="inlineStr">
        <is>
          <t>ÄLVKARLEBY</t>
        </is>
      </c>
      <c r="H1581" t="inlineStr">
        <is>
          <t>Bergvik skog väst AB</t>
        </is>
      </c>
      <c r="I1581" t="n">
        <v>1</v>
      </c>
      <c r="J1581" t="n">
        <v>0</v>
      </c>
      <c r="K1581" t="n">
        <v>0</v>
      </c>
      <c r="L1581" t="n">
        <v>0</v>
      </c>
      <c r="M1581" t="n">
        <v>0</v>
      </c>
      <c r="N1581" t="n">
        <v>0</v>
      </c>
      <c r="O1581" t="n">
        <v>0</v>
      </c>
      <c r="P1581" t="n">
        <v>0</v>
      </c>
      <c r="Q1581" t="n">
        <v>0</v>
      </c>
      <c r="R1581" t="n">
        <v>0</v>
      </c>
      <c r="S1581" t="n">
        <v>0</v>
      </c>
      <c r="T1581" t="n">
        <v>0</v>
      </c>
      <c r="U1581" t="n">
        <v>0</v>
      </c>
      <c r="V1581" s="2" t="inlineStr"/>
    </row>
    <row r="1582" ht="15" customHeight="1">
      <c r="A1582" t="inlineStr">
        <is>
          <t>A 52502-2025</t>
        </is>
      </c>
      <c r="B1582" t="inlineStr">
        <is>
          <t>avverkningsanmälan</t>
        </is>
      </c>
      <c r="C1582" t="inlineStr">
        <is>
          <t>Föryngringsavverkning</t>
        </is>
      </c>
      <c r="D1582" s="1" t="n">
        <v>45954</v>
      </c>
      <c r="E1582" s="1" t="n">
        <v>46309</v>
      </c>
      <c r="F1582" t="inlineStr">
        <is>
          <t>UPPSALA LÄN</t>
        </is>
      </c>
      <c r="G1582" t="inlineStr">
        <is>
          <t>TIERP</t>
        </is>
      </c>
      <c r="H1582" t="inlineStr">
        <is>
          <t>Bergvik skog väst AB</t>
        </is>
      </c>
      <c r="I1582" t="n">
        <v>2.7</v>
      </c>
      <c r="J1582" t="n">
        <v>0</v>
      </c>
      <c r="K1582" t="n">
        <v>0</v>
      </c>
      <c r="L1582" t="n">
        <v>0</v>
      </c>
      <c r="M1582" t="n">
        <v>0</v>
      </c>
      <c r="N1582" t="n">
        <v>0</v>
      </c>
      <c r="O1582" t="n">
        <v>0</v>
      </c>
      <c r="P1582" t="n">
        <v>0</v>
      </c>
      <c r="Q1582" t="n">
        <v>0</v>
      </c>
      <c r="R1582" t="n">
        <v>0</v>
      </c>
      <c r="S1582" t="n">
        <v>0</v>
      </c>
      <c r="T1582" t="n">
        <v>0</v>
      </c>
      <c r="U1582" t="n">
        <v>0</v>
      </c>
      <c r="V1582" s="2" t="inlineStr"/>
    </row>
    <row r="1583" ht="15" customHeight="1">
      <c r="A1583" t="inlineStr">
        <is>
          <t>A 52517-2025</t>
        </is>
      </c>
      <c r="B1583" t="inlineStr">
        <is>
          <t>avverkningsanmälan</t>
        </is>
      </c>
      <c r="C1583" t="inlineStr">
        <is>
          <t>Föryngringsavverkning</t>
        </is>
      </c>
      <c r="D1583" s="1" t="n">
        <v>45954</v>
      </c>
      <c r="E1583" s="1" t="n">
        <v>46309</v>
      </c>
      <c r="F1583" t="inlineStr">
        <is>
          <t>UPPSALA LÄN</t>
        </is>
      </c>
      <c r="G1583" t="inlineStr">
        <is>
          <t>UPPSALA</t>
        </is>
      </c>
      <c r="I1583" t="n">
        <v>10.3</v>
      </c>
      <c r="J1583" t="n">
        <v>0</v>
      </c>
      <c r="K1583" t="n">
        <v>0</v>
      </c>
      <c r="L1583" t="n">
        <v>0</v>
      </c>
      <c r="M1583" t="n">
        <v>0</v>
      </c>
      <c r="N1583" t="n">
        <v>0</v>
      </c>
      <c r="O1583" t="n">
        <v>0</v>
      </c>
      <c r="P1583" t="n">
        <v>0</v>
      </c>
      <c r="Q1583" t="n">
        <v>0</v>
      </c>
      <c r="R1583" t="n">
        <v>0</v>
      </c>
      <c r="S1583" t="n">
        <v>0</v>
      </c>
      <c r="T1583" t="n">
        <v>0</v>
      </c>
      <c r="U1583" t="n">
        <v>0</v>
      </c>
      <c r="V1583" s="2" t="inlineStr"/>
    </row>
    <row r="1584" ht="15" customHeight="1">
      <c r="A1584" t="inlineStr">
        <is>
          <t>A 11841-2023</t>
        </is>
      </c>
      <c r="B1584" t="inlineStr">
        <is>
          <t>avverkningsanmälan</t>
        </is>
      </c>
      <c r="C1584" t="inlineStr">
        <is>
          <t>Föryngringsavverkning</t>
        </is>
      </c>
      <c r="D1584" s="1" t="n">
        <v>44995</v>
      </c>
      <c r="E1584" s="1" t="n">
        <v>46309</v>
      </c>
      <c r="F1584" t="inlineStr">
        <is>
          <t>UPPSALA LÄN</t>
        </is>
      </c>
      <c r="G1584" t="inlineStr">
        <is>
          <t>KNIVSTA</t>
        </is>
      </c>
      <c r="I1584" t="n">
        <v>3.9</v>
      </c>
      <c r="J1584" t="n">
        <v>0</v>
      </c>
      <c r="K1584" t="n">
        <v>0</v>
      </c>
      <c r="L1584" t="n">
        <v>0</v>
      </c>
      <c r="M1584" t="n">
        <v>0</v>
      </c>
      <c r="N1584" t="n">
        <v>0</v>
      </c>
      <c r="O1584" t="n">
        <v>0</v>
      </c>
      <c r="P1584" t="n">
        <v>0</v>
      </c>
      <c r="Q1584" t="n">
        <v>0</v>
      </c>
      <c r="R1584" t="n">
        <v>0</v>
      </c>
      <c r="S1584" t="n">
        <v>0</v>
      </c>
      <c r="T1584" t="n">
        <v>0</v>
      </c>
      <c r="U1584" t="n">
        <v>0</v>
      </c>
      <c r="V1584" s="2" t="inlineStr"/>
    </row>
    <row r="1585" ht="15" customHeight="1">
      <c r="A1585" t="inlineStr">
        <is>
          <t>A 70008-2021</t>
        </is>
      </c>
      <c r="B1585" t="inlineStr">
        <is>
          <t>avverkningsanmälan</t>
        </is>
      </c>
      <c r="C1585" t="inlineStr">
        <is>
          <t>Föryngringsavverkning</t>
        </is>
      </c>
      <c r="D1585" s="1" t="n">
        <v>44533</v>
      </c>
      <c r="E1585" s="1" t="n">
        <v>46309</v>
      </c>
      <c r="F1585" t="inlineStr">
        <is>
          <t>UPPSALA LÄN</t>
        </is>
      </c>
      <c r="G1585" t="inlineStr">
        <is>
          <t>ÖSTHAMMAR</t>
        </is>
      </c>
      <c r="H1585" t="inlineStr">
        <is>
          <t>Sveaskog</t>
        </is>
      </c>
      <c r="I1585" t="n">
        <v>1.5</v>
      </c>
      <c r="J1585" t="n">
        <v>0</v>
      </c>
      <c r="K1585" t="n">
        <v>0</v>
      </c>
      <c r="L1585" t="n">
        <v>0</v>
      </c>
      <c r="M1585" t="n">
        <v>0</v>
      </c>
      <c r="N1585" t="n">
        <v>0</v>
      </c>
      <c r="O1585" t="n">
        <v>0</v>
      </c>
      <c r="P1585" t="n">
        <v>0</v>
      </c>
      <c r="Q1585" t="n">
        <v>0</v>
      </c>
      <c r="R1585" t="n">
        <v>0</v>
      </c>
      <c r="S1585" t="n">
        <v>0</v>
      </c>
      <c r="T1585" t="n">
        <v>0</v>
      </c>
      <c r="U1585" t="n">
        <v>0</v>
      </c>
      <c r="V1585" s="2" t="inlineStr"/>
    </row>
    <row r="1586" ht="15" customHeight="1">
      <c r="A1586" t="inlineStr">
        <is>
          <t>A 52523-2025</t>
        </is>
      </c>
      <c r="B1586" t="inlineStr">
        <is>
          <t>avverkningsanmälan</t>
        </is>
      </c>
      <c r="C1586" t="inlineStr">
        <is>
          <t>Föryngringsavverkning</t>
        </is>
      </c>
      <c r="D1586" s="1" t="n">
        <v>45954</v>
      </c>
      <c r="E1586" s="1" t="n">
        <v>46309</v>
      </c>
      <c r="F1586" t="inlineStr">
        <is>
          <t>UPPSALA LÄN</t>
        </is>
      </c>
      <c r="G1586" t="inlineStr">
        <is>
          <t>UPPSALA</t>
        </is>
      </c>
      <c r="I1586" t="n">
        <v>1.8</v>
      </c>
      <c r="J1586" t="n">
        <v>0</v>
      </c>
      <c r="K1586" t="n">
        <v>0</v>
      </c>
      <c r="L1586" t="n">
        <v>0</v>
      </c>
      <c r="M1586" t="n">
        <v>0</v>
      </c>
      <c r="N1586" t="n">
        <v>0</v>
      </c>
      <c r="O1586" t="n">
        <v>0</v>
      </c>
      <c r="P1586" t="n">
        <v>0</v>
      </c>
      <c r="Q1586" t="n">
        <v>0</v>
      </c>
      <c r="R1586" t="n">
        <v>0</v>
      </c>
      <c r="S1586" t="n">
        <v>0</v>
      </c>
      <c r="T1586" t="n">
        <v>0</v>
      </c>
      <c r="U1586" t="n">
        <v>0</v>
      </c>
      <c r="V1586" s="2" t="inlineStr"/>
    </row>
    <row r="1587" ht="15" customHeight="1">
      <c r="A1587" t="inlineStr">
        <is>
          <t>A 52429-2025</t>
        </is>
      </c>
      <c r="B1587" t="inlineStr">
        <is>
          <t>avverkningsanmälan</t>
        </is>
      </c>
      <c r="C1587" t="inlineStr">
        <is>
          <t>Föryngringsavverkning</t>
        </is>
      </c>
      <c r="D1587" s="1" t="n">
        <v>45954</v>
      </c>
      <c r="E1587" s="1" t="n">
        <v>46309</v>
      </c>
      <c r="F1587" t="inlineStr">
        <is>
          <t>UPPSALA LÄN</t>
        </is>
      </c>
      <c r="G1587" t="inlineStr">
        <is>
          <t>UPPSALA</t>
        </is>
      </c>
      <c r="I1587" t="n">
        <v>16.6</v>
      </c>
      <c r="J1587" t="n">
        <v>0</v>
      </c>
      <c r="K1587" t="n">
        <v>0</v>
      </c>
      <c r="L1587" t="n">
        <v>0</v>
      </c>
      <c r="M1587" t="n">
        <v>0</v>
      </c>
      <c r="N1587" t="n">
        <v>0</v>
      </c>
      <c r="O1587" t="n">
        <v>0</v>
      </c>
      <c r="P1587" t="n">
        <v>0</v>
      </c>
      <c r="Q1587" t="n">
        <v>0</v>
      </c>
      <c r="R1587" t="n">
        <v>0</v>
      </c>
      <c r="S1587" t="n">
        <v>0</v>
      </c>
      <c r="T1587" t="n">
        <v>0</v>
      </c>
      <c r="U1587" t="n">
        <v>0</v>
      </c>
      <c r="V1587" s="2" t="inlineStr"/>
    </row>
    <row r="1588" ht="15" customHeight="1">
      <c r="A1588" t="inlineStr">
        <is>
          <t>A 20846-2024</t>
        </is>
      </c>
      <c r="B1588" t="inlineStr">
        <is>
          <t>avverkningsanmälan</t>
        </is>
      </c>
      <c r="C1588" t="inlineStr">
        <is>
          <t>Föryngringsavverkning</t>
        </is>
      </c>
      <c r="D1588" s="1" t="n">
        <v>45439</v>
      </c>
      <c r="E1588" s="1" t="n">
        <v>46309</v>
      </c>
      <c r="F1588" t="inlineStr">
        <is>
          <t>UPPSALA LÄN</t>
        </is>
      </c>
      <c r="G1588" t="inlineStr">
        <is>
          <t>TIERP</t>
        </is>
      </c>
      <c r="I1588" t="n">
        <v>0.8</v>
      </c>
      <c r="J1588" t="n">
        <v>0</v>
      </c>
      <c r="K1588" t="n">
        <v>0</v>
      </c>
      <c r="L1588" t="n">
        <v>0</v>
      </c>
      <c r="M1588" t="n">
        <v>0</v>
      </c>
      <c r="N1588" t="n">
        <v>0</v>
      </c>
      <c r="O1588" t="n">
        <v>0</v>
      </c>
      <c r="P1588" t="n">
        <v>0</v>
      </c>
      <c r="Q1588" t="n">
        <v>0</v>
      </c>
      <c r="R1588" t="n">
        <v>0</v>
      </c>
      <c r="S1588" t="n">
        <v>0</v>
      </c>
      <c r="T1588" t="n">
        <v>0</v>
      </c>
      <c r="U1588" t="n">
        <v>0</v>
      </c>
      <c r="V1588" s="2" t="inlineStr"/>
    </row>
    <row r="1589" ht="15" customHeight="1">
      <c r="A1589" t="inlineStr">
        <is>
          <t>A 53161-2025</t>
        </is>
      </c>
      <c r="B1589" t="inlineStr">
        <is>
          <t>avverkningsanmälan</t>
        </is>
      </c>
      <c r="C1589" t="inlineStr">
        <is>
          <t>Föryngringsavverkning</t>
        </is>
      </c>
      <c r="D1589" s="1" t="n">
        <v>45958</v>
      </c>
      <c r="E1589" s="1" t="n">
        <v>46309</v>
      </c>
      <c r="F1589" t="inlineStr">
        <is>
          <t>UPPSALA LÄN</t>
        </is>
      </c>
      <c r="G1589" t="inlineStr">
        <is>
          <t>UPPSALA</t>
        </is>
      </c>
      <c r="H1589" t="inlineStr">
        <is>
          <t>Bergvik skog väst AB</t>
        </is>
      </c>
      <c r="I1589" t="n">
        <v>14.5</v>
      </c>
      <c r="J1589" t="n">
        <v>0</v>
      </c>
      <c r="K1589" t="n">
        <v>0</v>
      </c>
      <c r="L1589" t="n">
        <v>0</v>
      </c>
      <c r="M1589" t="n">
        <v>0</v>
      </c>
      <c r="N1589" t="n">
        <v>0</v>
      </c>
      <c r="O1589" t="n">
        <v>0</v>
      </c>
      <c r="P1589" t="n">
        <v>0</v>
      </c>
      <c r="Q1589" t="n">
        <v>0</v>
      </c>
      <c r="R1589" t="n">
        <v>0</v>
      </c>
      <c r="S1589" t="n">
        <v>0</v>
      </c>
      <c r="T1589" t="n">
        <v>0</v>
      </c>
      <c r="U1589" t="n">
        <v>0</v>
      </c>
      <c r="V1589" s="2" t="inlineStr"/>
    </row>
    <row r="1590" ht="15" customHeight="1">
      <c r="A1590" t="inlineStr">
        <is>
          <t>A 53036-2025</t>
        </is>
      </c>
      <c r="B1590" t="inlineStr">
        <is>
          <t>avverkningsanmälan</t>
        </is>
      </c>
      <c r="C1590" t="inlineStr">
        <is>
          <t>Föryngringsavverkning</t>
        </is>
      </c>
      <c r="D1590" s="1" t="n">
        <v>45958</v>
      </c>
      <c r="E1590" s="1" t="n">
        <v>46309</v>
      </c>
      <c r="F1590" t="inlineStr">
        <is>
          <t>UPPSALA LÄN</t>
        </is>
      </c>
      <c r="G1590" t="inlineStr">
        <is>
          <t>TIERP</t>
        </is>
      </c>
      <c r="I1590" t="n">
        <v>12.3</v>
      </c>
      <c r="J1590" t="n">
        <v>0</v>
      </c>
      <c r="K1590" t="n">
        <v>0</v>
      </c>
      <c r="L1590" t="n">
        <v>0</v>
      </c>
      <c r="M1590" t="n">
        <v>0</v>
      </c>
      <c r="N1590" t="n">
        <v>0</v>
      </c>
      <c r="O1590" t="n">
        <v>0</v>
      </c>
      <c r="P1590" t="n">
        <v>0</v>
      </c>
      <c r="Q1590" t="n">
        <v>0</v>
      </c>
      <c r="R1590" t="n">
        <v>0</v>
      </c>
      <c r="S1590" t="n">
        <v>0</v>
      </c>
      <c r="T1590" t="n">
        <v>0</v>
      </c>
      <c r="U1590" t="n">
        <v>0</v>
      </c>
      <c r="V1590" s="2" t="inlineStr"/>
    </row>
    <row r="1591" ht="15" customHeight="1">
      <c r="A1591" t="inlineStr">
        <is>
          <t>A 52863-2025</t>
        </is>
      </c>
      <c r="B1591" t="inlineStr">
        <is>
          <t>avverkningsanmälan</t>
        </is>
      </c>
      <c r="C1591" t="inlineStr">
        <is>
          <t>Föryngringsavverkning</t>
        </is>
      </c>
      <c r="D1591" s="1" t="n">
        <v>45957</v>
      </c>
      <c r="E1591" s="1" t="n">
        <v>46309</v>
      </c>
      <c r="F1591" t="inlineStr">
        <is>
          <t>UPPSALA LÄN</t>
        </is>
      </c>
      <c r="G1591" t="inlineStr">
        <is>
          <t>TIERP</t>
        </is>
      </c>
      <c r="I1591" t="n">
        <v>5.2</v>
      </c>
      <c r="J1591" t="n">
        <v>0</v>
      </c>
      <c r="K1591" t="n">
        <v>0</v>
      </c>
      <c r="L1591" t="n">
        <v>0</v>
      </c>
      <c r="M1591" t="n">
        <v>0</v>
      </c>
      <c r="N1591" t="n">
        <v>0</v>
      </c>
      <c r="O1591" t="n">
        <v>0</v>
      </c>
      <c r="P1591" t="n">
        <v>0</v>
      </c>
      <c r="Q1591" t="n">
        <v>0</v>
      </c>
      <c r="R1591" t="n">
        <v>0</v>
      </c>
      <c r="S1591" t="n">
        <v>0</v>
      </c>
      <c r="T1591" t="n">
        <v>0</v>
      </c>
      <c r="U1591" t="n">
        <v>0</v>
      </c>
      <c r="V1591" s="2" t="inlineStr"/>
    </row>
    <row r="1592" ht="15" customHeight="1">
      <c r="A1592" t="inlineStr">
        <is>
          <t>A 33955-2024</t>
        </is>
      </c>
      <c r="B1592" t="inlineStr">
        <is>
          <t>avverkningsanmälan</t>
        </is>
      </c>
      <c r="C1592" t="inlineStr">
        <is>
          <t>Föryngringsavverkning</t>
        </is>
      </c>
      <c r="D1592" s="1" t="n">
        <v>45523</v>
      </c>
      <c r="E1592" s="1" t="n">
        <v>46309</v>
      </c>
      <c r="F1592" t="inlineStr">
        <is>
          <t>UPPSALA LÄN</t>
        </is>
      </c>
      <c r="G1592" t="inlineStr">
        <is>
          <t>ENKÖPING</t>
        </is>
      </c>
      <c r="I1592" t="n">
        <v>0.5</v>
      </c>
      <c r="J1592" t="n">
        <v>0</v>
      </c>
      <c r="K1592" t="n">
        <v>0</v>
      </c>
      <c r="L1592" t="n">
        <v>0</v>
      </c>
      <c r="M1592" t="n">
        <v>0</v>
      </c>
      <c r="N1592" t="n">
        <v>0</v>
      </c>
      <c r="O1592" t="n">
        <v>0</v>
      </c>
      <c r="P1592" t="n">
        <v>0</v>
      </c>
      <c r="Q1592" t="n">
        <v>0</v>
      </c>
      <c r="R1592" t="n">
        <v>0</v>
      </c>
      <c r="S1592" t="n">
        <v>0</v>
      </c>
      <c r="T1592" t="n">
        <v>0</v>
      </c>
      <c r="U1592" t="n">
        <v>0</v>
      </c>
      <c r="V1592" s="2" t="inlineStr"/>
    </row>
    <row r="1593" ht="15" customHeight="1">
      <c r="A1593" t="inlineStr">
        <is>
          <t>A 6172-2023</t>
        </is>
      </c>
      <c r="B1593" t="inlineStr">
        <is>
          <t>avverkningsanmälan</t>
        </is>
      </c>
      <c r="C1593" t="inlineStr">
        <is>
          <t>Föryngringsavverkning</t>
        </is>
      </c>
      <c r="D1593" s="1" t="n">
        <v>44964</v>
      </c>
      <c r="E1593" s="1" t="n">
        <v>46309</v>
      </c>
      <c r="F1593" t="inlineStr">
        <is>
          <t>UPPSALA LÄN</t>
        </is>
      </c>
      <c r="G1593" t="inlineStr">
        <is>
          <t>ENKÖPING</t>
        </is>
      </c>
      <c r="I1593" t="n">
        <v>2.6</v>
      </c>
      <c r="J1593" t="n">
        <v>0</v>
      </c>
      <c r="K1593" t="n">
        <v>0</v>
      </c>
      <c r="L1593" t="n">
        <v>0</v>
      </c>
      <c r="M1593" t="n">
        <v>0</v>
      </c>
      <c r="N1593" t="n">
        <v>0</v>
      </c>
      <c r="O1593" t="n">
        <v>0</v>
      </c>
      <c r="P1593" t="n">
        <v>0</v>
      </c>
      <c r="Q1593" t="n">
        <v>0</v>
      </c>
      <c r="R1593" t="n">
        <v>0</v>
      </c>
      <c r="S1593" t="n">
        <v>0</v>
      </c>
      <c r="T1593" t="n">
        <v>0</v>
      </c>
      <c r="U1593" t="n">
        <v>0</v>
      </c>
      <c r="V1593" s="2" t="inlineStr"/>
    </row>
    <row r="1594" ht="15" customHeight="1">
      <c r="A1594" t="inlineStr">
        <is>
          <t>A 52861-2025</t>
        </is>
      </c>
      <c r="B1594" t="inlineStr">
        <is>
          <t>avverkningsanmälan</t>
        </is>
      </c>
      <c r="C1594" t="inlineStr">
        <is>
          <t>Föryngringsavverkning</t>
        </is>
      </c>
      <c r="D1594" s="1" t="n">
        <v>45957</v>
      </c>
      <c r="E1594" s="1" t="n">
        <v>46309</v>
      </c>
      <c r="F1594" t="inlineStr">
        <is>
          <t>UPPSALA LÄN</t>
        </is>
      </c>
      <c r="G1594" t="inlineStr">
        <is>
          <t>HEBY</t>
        </is>
      </c>
      <c r="I1594" t="n">
        <v>5.2</v>
      </c>
      <c r="J1594" t="n">
        <v>0</v>
      </c>
      <c r="K1594" t="n">
        <v>0</v>
      </c>
      <c r="L1594" t="n">
        <v>0</v>
      </c>
      <c r="M1594" t="n">
        <v>0</v>
      </c>
      <c r="N1594" t="n">
        <v>0</v>
      </c>
      <c r="O1594" t="n">
        <v>0</v>
      </c>
      <c r="P1594" t="n">
        <v>0</v>
      </c>
      <c r="Q1594" t="n">
        <v>0</v>
      </c>
      <c r="R1594" t="n">
        <v>0</v>
      </c>
      <c r="S1594" t="n">
        <v>0</v>
      </c>
      <c r="T1594" t="n">
        <v>0</v>
      </c>
      <c r="U1594" t="n">
        <v>0</v>
      </c>
      <c r="V1594" s="2" t="inlineStr"/>
    </row>
    <row r="1595" ht="15" customHeight="1">
      <c r="A1595" t="inlineStr">
        <is>
          <t>A 52790-2025</t>
        </is>
      </c>
      <c r="B1595" t="inlineStr">
        <is>
          <t>avverkningsanmälan</t>
        </is>
      </c>
      <c r="C1595" t="inlineStr">
        <is>
          <t>Föryngringsavverkning</t>
        </is>
      </c>
      <c r="D1595" s="1" t="n">
        <v>45957</v>
      </c>
      <c r="E1595" s="1" t="n">
        <v>46309</v>
      </c>
      <c r="F1595" t="inlineStr">
        <is>
          <t>UPPSALA LÄN</t>
        </is>
      </c>
      <c r="G1595" t="inlineStr">
        <is>
          <t>TIERP</t>
        </is>
      </c>
      <c r="I1595" t="n">
        <v>1.6</v>
      </c>
      <c r="J1595" t="n">
        <v>0</v>
      </c>
      <c r="K1595" t="n">
        <v>0</v>
      </c>
      <c r="L1595" t="n">
        <v>0</v>
      </c>
      <c r="M1595" t="n">
        <v>0</v>
      </c>
      <c r="N1595" t="n">
        <v>0</v>
      </c>
      <c r="O1595" t="n">
        <v>0</v>
      </c>
      <c r="P1595" t="n">
        <v>0</v>
      </c>
      <c r="Q1595" t="n">
        <v>0</v>
      </c>
      <c r="R1595" t="n">
        <v>0</v>
      </c>
      <c r="S1595" t="n">
        <v>0</v>
      </c>
      <c r="T1595" t="n">
        <v>0</v>
      </c>
      <c r="U1595" t="n">
        <v>0</v>
      </c>
      <c r="V1595" s="2" t="inlineStr"/>
    </row>
    <row r="1596" ht="15" customHeight="1">
      <c r="A1596" t="inlineStr">
        <is>
          <t>A 52873-2025</t>
        </is>
      </c>
      <c r="B1596" t="inlineStr">
        <is>
          <t>avverkningsanmälan</t>
        </is>
      </c>
      <c r="C1596" t="inlineStr">
        <is>
          <t>Föryngringsavverkning</t>
        </is>
      </c>
      <c r="D1596" s="1" t="n">
        <v>45957</v>
      </c>
      <c r="E1596" s="1" t="n">
        <v>46309</v>
      </c>
      <c r="F1596" t="inlineStr">
        <is>
          <t>UPPSALA LÄN</t>
        </is>
      </c>
      <c r="G1596" t="inlineStr">
        <is>
          <t>TIERP</t>
        </is>
      </c>
      <c r="I1596" t="n">
        <v>6.6</v>
      </c>
      <c r="J1596" t="n">
        <v>0</v>
      </c>
      <c r="K1596" t="n">
        <v>0</v>
      </c>
      <c r="L1596" t="n">
        <v>0</v>
      </c>
      <c r="M1596" t="n">
        <v>0</v>
      </c>
      <c r="N1596" t="n">
        <v>0</v>
      </c>
      <c r="O1596" t="n">
        <v>0</v>
      </c>
      <c r="P1596" t="n">
        <v>0</v>
      </c>
      <c r="Q1596" t="n">
        <v>0</v>
      </c>
      <c r="R1596" t="n">
        <v>0</v>
      </c>
      <c r="S1596" t="n">
        <v>0</v>
      </c>
      <c r="T1596" t="n">
        <v>0</v>
      </c>
      <c r="U1596" t="n">
        <v>0</v>
      </c>
      <c r="V1596" s="2" t="inlineStr"/>
    </row>
    <row r="1597" ht="15" customHeight="1">
      <c r="A1597" t="inlineStr">
        <is>
          <t>A 2541-2023</t>
        </is>
      </c>
      <c r="B1597" t="inlineStr">
        <is>
          <t>avverkningsanmälan</t>
        </is>
      </c>
      <c r="C1597" t="inlineStr">
        <is>
          <t>Föryngringsavverkning</t>
        </is>
      </c>
      <c r="D1597" s="1" t="n">
        <v>44943</v>
      </c>
      <c r="E1597" s="1" t="n">
        <v>46309</v>
      </c>
      <c r="F1597" t="inlineStr">
        <is>
          <t>UPPSALA LÄN</t>
        </is>
      </c>
      <c r="G1597" t="inlineStr">
        <is>
          <t>HEBY</t>
        </is>
      </c>
      <c r="I1597" t="n">
        <v>1</v>
      </c>
      <c r="J1597" t="n">
        <v>0</v>
      </c>
      <c r="K1597" t="n">
        <v>0</v>
      </c>
      <c r="L1597" t="n">
        <v>0</v>
      </c>
      <c r="M1597" t="n">
        <v>0</v>
      </c>
      <c r="N1597" t="n">
        <v>0</v>
      </c>
      <c r="O1597" t="n">
        <v>0</v>
      </c>
      <c r="P1597" t="n">
        <v>0</v>
      </c>
      <c r="Q1597" t="n">
        <v>0</v>
      </c>
      <c r="R1597" t="n">
        <v>0</v>
      </c>
      <c r="S1597" t="n">
        <v>0</v>
      </c>
      <c r="T1597" t="n">
        <v>0</v>
      </c>
      <c r="U1597" t="n">
        <v>0</v>
      </c>
      <c r="V1597" s="2" t="inlineStr"/>
    </row>
    <row r="1598" ht="15" customHeight="1">
      <c r="A1598" t="inlineStr">
        <is>
          <t>A 2733-2023</t>
        </is>
      </c>
      <c r="B1598" t="inlineStr">
        <is>
          <t>avverkningsanmälan</t>
        </is>
      </c>
      <c r="C1598" t="inlineStr">
        <is>
          <t>Avverkning för annat ändamål</t>
        </is>
      </c>
      <c r="D1598" s="1" t="n">
        <v>44943</v>
      </c>
      <c r="E1598" s="1" t="n">
        <v>46309</v>
      </c>
      <c r="F1598" t="inlineStr">
        <is>
          <t>UPPSALA LÄN</t>
        </is>
      </c>
      <c r="G1598" t="inlineStr">
        <is>
          <t>ÖSTHAMMAR</t>
        </is>
      </c>
      <c r="I1598" t="n">
        <v>2.6</v>
      </c>
      <c r="J1598" t="n">
        <v>0</v>
      </c>
      <c r="K1598" t="n">
        <v>0</v>
      </c>
      <c r="L1598" t="n">
        <v>0</v>
      </c>
      <c r="M1598" t="n">
        <v>0</v>
      </c>
      <c r="N1598" t="n">
        <v>0</v>
      </c>
      <c r="O1598" t="n">
        <v>0</v>
      </c>
      <c r="P1598" t="n">
        <v>0</v>
      </c>
      <c r="Q1598" t="n">
        <v>0</v>
      </c>
      <c r="R1598" t="n">
        <v>0</v>
      </c>
      <c r="S1598" t="n">
        <v>0</v>
      </c>
      <c r="T1598" t="n">
        <v>0</v>
      </c>
      <c r="U1598" t="n">
        <v>0</v>
      </c>
      <c r="V1598" s="2" t="inlineStr"/>
    </row>
    <row r="1599" ht="15" customHeight="1">
      <c r="A1599" t="inlineStr">
        <is>
          <t>A 4706-2026</t>
        </is>
      </c>
      <c r="B1599" t="inlineStr">
        <is>
          <t>avverkningsanmälan</t>
        </is>
      </c>
      <c r="C1599" t="inlineStr">
        <is>
          <t>Föryngringsavverkning</t>
        </is>
      </c>
      <c r="D1599" s="1" t="n">
        <v>46048</v>
      </c>
      <c r="E1599" s="1" t="n">
        <v>46309</v>
      </c>
      <c r="F1599" t="inlineStr">
        <is>
          <t>UPPSALA LÄN</t>
        </is>
      </c>
      <c r="G1599" t="inlineStr">
        <is>
          <t>TIERP</t>
        </is>
      </c>
      <c r="I1599" t="n">
        <v>0.9</v>
      </c>
      <c r="J1599" t="n">
        <v>0</v>
      </c>
      <c r="K1599" t="n">
        <v>0</v>
      </c>
      <c r="L1599" t="n">
        <v>0</v>
      </c>
      <c r="M1599" t="n">
        <v>0</v>
      </c>
      <c r="N1599" t="n">
        <v>0</v>
      </c>
      <c r="O1599" t="n">
        <v>0</v>
      </c>
      <c r="P1599" t="n">
        <v>0</v>
      </c>
      <c r="Q1599" t="n">
        <v>0</v>
      </c>
      <c r="R1599" t="n">
        <v>0</v>
      </c>
      <c r="S1599" t="n">
        <v>0</v>
      </c>
      <c r="T1599" t="n">
        <v>0</v>
      </c>
      <c r="U1599" t="n">
        <v>0</v>
      </c>
      <c r="V1599" s="2" t="inlineStr"/>
    </row>
    <row r="1600" ht="15" customHeight="1">
      <c r="A1600" t="inlineStr">
        <is>
          <t>A 53199-2025</t>
        </is>
      </c>
      <c r="B1600" t="inlineStr">
        <is>
          <t>avverkningsanmälan</t>
        </is>
      </c>
      <c r="C1600" t="inlineStr">
        <is>
          <t>Föryngringsavverkning</t>
        </is>
      </c>
      <c r="D1600" s="1" t="n">
        <v>45957</v>
      </c>
      <c r="E1600" s="1" t="n">
        <v>46309</v>
      </c>
      <c r="F1600" t="inlineStr">
        <is>
          <t>UPPSALA LÄN</t>
        </is>
      </c>
      <c r="G1600" t="inlineStr">
        <is>
          <t>TIERP</t>
        </is>
      </c>
      <c r="I1600" t="n">
        <v>0.5</v>
      </c>
      <c r="J1600" t="n">
        <v>0</v>
      </c>
      <c r="K1600" t="n">
        <v>0</v>
      </c>
      <c r="L1600" t="n">
        <v>0</v>
      </c>
      <c r="M1600" t="n">
        <v>0</v>
      </c>
      <c r="N1600" t="n">
        <v>0</v>
      </c>
      <c r="O1600" t="n">
        <v>0</v>
      </c>
      <c r="P1600" t="n">
        <v>0</v>
      </c>
      <c r="Q1600" t="n">
        <v>0</v>
      </c>
      <c r="R1600" t="n">
        <v>0</v>
      </c>
      <c r="S1600" t="n">
        <v>0</v>
      </c>
      <c r="T1600" t="n">
        <v>0</v>
      </c>
      <c r="U1600" t="n">
        <v>0</v>
      </c>
      <c r="V1600" s="2" t="inlineStr"/>
    </row>
    <row r="1601" ht="15" customHeight="1">
      <c r="A1601" t="inlineStr">
        <is>
          <t>A 53173-2025</t>
        </is>
      </c>
      <c r="B1601" t="inlineStr">
        <is>
          <t>avverkningsanmälan</t>
        </is>
      </c>
      <c r="C1601" t="inlineStr">
        <is>
          <t>Föryngringsavverkning</t>
        </is>
      </c>
      <c r="D1601" s="1" t="n">
        <v>45958</v>
      </c>
      <c r="E1601" s="1" t="n">
        <v>46309</v>
      </c>
      <c r="F1601" t="inlineStr">
        <is>
          <t>UPPSALA LÄN</t>
        </is>
      </c>
      <c r="G1601" t="inlineStr">
        <is>
          <t>ÄLVKARLEBY</t>
        </is>
      </c>
      <c r="H1601" t="inlineStr">
        <is>
          <t>Bergvik skog väst AB</t>
        </is>
      </c>
      <c r="I1601" t="n">
        <v>2.3</v>
      </c>
      <c r="J1601" t="n">
        <v>0</v>
      </c>
      <c r="K1601" t="n">
        <v>0</v>
      </c>
      <c r="L1601" t="n">
        <v>0</v>
      </c>
      <c r="M1601" t="n">
        <v>0</v>
      </c>
      <c r="N1601" t="n">
        <v>0</v>
      </c>
      <c r="O1601" t="n">
        <v>0</v>
      </c>
      <c r="P1601" t="n">
        <v>0</v>
      </c>
      <c r="Q1601" t="n">
        <v>0</v>
      </c>
      <c r="R1601" t="n">
        <v>0</v>
      </c>
      <c r="S1601" t="n">
        <v>0</v>
      </c>
      <c r="T1601" t="n">
        <v>0</v>
      </c>
      <c r="U1601" t="n">
        <v>0</v>
      </c>
      <c r="V1601" s="2" t="inlineStr"/>
    </row>
    <row r="1602" ht="15" customHeight="1">
      <c r="A1602" t="inlineStr">
        <is>
          <t>A 2899-2023</t>
        </is>
      </c>
      <c r="B1602" t="inlineStr">
        <is>
          <t>avverkningsanmälan</t>
        </is>
      </c>
      <c r="C1602" t="inlineStr">
        <is>
          <t>Föryngringsavverkning</t>
        </is>
      </c>
      <c r="D1602" s="1" t="n">
        <v>44945</v>
      </c>
      <c r="E1602" s="1" t="n">
        <v>46309</v>
      </c>
      <c r="F1602" t="inlineStr">
        <is>
          <t>UPPSALA LÄN</t>
        </is>
      </c>
      <c r="G1602" t="inlineStr">
        <is>
          <t>TIERP</t>
        </is>
      </c>
      <c r="I1602" t="n">
        <v>1.7</v>
      </c>
      <c r="J1602" t="n">
        <v>0</v>
      </c>
      <c r="K1602" t="n">
        <v>0</v>
      </c>
      <c r="L1602" t="n">
        <v>0</v>
      </c>
      <c r="M1602" t="n">
        <v>0</v>
      </c>
      <c r="N1602" t="n">
        <v>0</v>
      </c>
      <c r="O1602" t="n">
        <v>0</v>
      </c>
      <c r="P1602" t="n">
        <v>0</v>
      </c>
      <c r="Q1602" t="n">
        <v>0</v>
      </c>
      <c r="R1602" t="n">
        <v>0</v>
      </c>
      <c r="S1602" t="n">
        <v>0</v>
      </c>
      <c r="T1602" t="n">
        <v>0</v>
      </c>
      <c r="U1602" t="n">
        <v>0</v>
      </c>
      <c r="V1602" s="2" t="inlineStr"/>
    </row>
    <row r="1603" ht="15" customHeight="1">
      <c r="A1603" t="inlineStr">
        <is>
          <t>A 53186-2025</t>
        </is>
      </c>
      <c r="B1603" t="inlineStr">
        <is>
          <t>avverkningsanmälan</t>
        </is>
      </c>
      <c r="C1603" t="inlineStr">
        <is>
          <t>Föryngringsavverkning</t>
        </is>
      </c>
      <c r="D1603" s="1" t="n">
        <v>45958</v>
      </c>
      <c r="E1603" s="1" t="n">
        <v>46309</v>
      </c>
      <c r="F1603" t="inlineStr">
        <is>
          <t>UPPSALA LÄN</t>
        </is>
      </c>
      <c r="G1603" t="inlineStr">
        <is>
          <t>HEBY</t>
        </is>
      </c>
      <c r="I1603" t="n">
        <v>2.1</v>
      </c>
      <c r="J1603" t="n">
        <v>0</v>
      </c>
      <c r="K1603" t="n">
        <v>0</v>
      </c>
      <c r="L1603" t="n">
        <v>0</v>
      </c>
      <c r="M1603" t="n">
        <v>0</v>
      </c>
      <c r="N1603" t="n">
        <v>0</v>
      </c>
      <c r="O1603" t="n">
        <v>0</v>
      </c>
      <c r="P1603" t="n">
        <v>0</v>
      </c>
      <c r="Q1603" t="n">
        <v>0</v>
      </c>
      <c r="R1603" t="n">
        <v>0</v>
      </c>
      <c r="S1603" t="n">
        <v>0</v>
      </c>
      <c r="T1603" t="n">
        <v>0</v>
      </c>
      <c r="U1603" t="n">
        <v>0</v>
      </c>
      <c r="V1603" s="2" t="inlineStr"/>
    </row>
    <row r="1604" ht="15" customHeight="1">
      <c r="A1604" t="inlineStr">
        <is>
          <t>A 53164-2025</t>
        </is>
      </c>
      <c r="B1604" t="inlineStr">
        <is>
          <t>avverkningsanmälan</t>
        </is>
      </c>
      <c r="C1604" t="inlineStr">
        <is>
          <t>Föryngringsavverkning</t>
        </is>
      </c>
      <c r="D1604" s="1" t="n">
        <v>45957</v>
      </c>
      <c r="E1604" s="1" t="n">
        <v>46309</v>
      </c>
      <c r="F1604" t="inlineStr">
        <is>
          <t>UPPSALA LÄN</t>
        </is>
      </c>
      <c r="G1604" t="inlineStr">
        <is>
          <t>TIERP</t>
        </is>
      </c>
      <c r="I1604" t="n">
        <v>2.2</v>
      </c>
      <c r="J1604" t="n">
        <v>0</v>
      </c>
      <c r="K1604" t="n">
        <v>0</v>
      </c>
      <c r="L1604" t="n">
        <v>0</v>
      </c>
      <c r="M1604" t="n">
        <v>0</v>
      </c>
      <c r="N1604" t="n">
        <v>0</v>
      </c>
      <c r="O1604" t="n">
        <v>0</v>
      </c>
      <c r="P1604" t="n">
        <v>0</v>
      </c>
      <c r="Q1604" t="n">
        <v>0</v>
      </c>
      <c r="R1604" t="n">
        <v>0</v>
      </c>
      <c r="S1604" t="n">
        <v>0</v>
      </c>
      <c r="T1604" t="n">
        <v>0</v>
      </c>
      <c r="U1604" t="n">
        <v>0</v>
      </c>
      <c r="V1604" s="2" t="inlineStr"/>
    </row>
    <row r="1605" ht="15" customHeight="1">
      <c r="A1605" t="inlineStr">
        <is>
          <t>A 53230-2025</t>
        </is>
      </c>
      <c r="B1605" t="inlineStr">
        <is>
          <t>avverkningsanmälan</t>
        </is>
      </c>
      <c r="C1605" t="inlineStr">
        <is>
          <t>Föryngringsavverkning</t>
        </is>
      </c>
      <c r="D1605" s="1" t="n">
        <v>45958</v>
      </c>
      <c r="E1605" s="1" t="n">
        <v>46309</v>
      </c>
      <c r="F1605" t="inlineStr">
        <is>
          <t>UPPSALA LÄN</t>
        </is>
      </c>
      <c r="G1605" t="inlineStr">
        <is>
          <t>UPPSALA</t>
        </is>
      </c>
      <c r="H1605" t="inlineStr">
        <is>
          <t>Bergvik skog väst AB</t>
        </is>
      </c>
      <c r="I1605" t="n">
        <v>2.2</v>
      </c>
      <c r="J1605" t="n">
        <v>0</v>
      </c>
      <c r="K1605" t="n">
        <v>0</v>
      </c>
      <c r="L1605" t="n">
        <v>0</v>
      </c>
      <c r="M1605" t="n">
        <v>0</v>
      </c>
      <c r="N1605" t="n">
        <v>0</v>
      </c>
      <c r="O1605" t="n">
        <v>0</v>
      </c>
      <c r="P1605" t="n">
        <v>0</v>
      </c>
      <c r="Q1605" t="n">
        <v>0</v>
      </c>
      <c r="R1605" t="n">
        <v>0</v>
      </c>
      <c r="S1605" t="n">
        <v>0</v>
      </c>
      <c r="T1605" t="n">
        <v>0</v>
      </c>
      <c r="U1605" t="n">
        <v>0</v>
      </c>
      <c r="V1605" s="2" t="inlineStr"/>
    </row>
    <row r="1606" ht="15" customHeight="1">
      <c r="A1606" t="inlineStr">
        <is>
          <t>A 53242-2025</t>
        </is>
      </c>
      <c r="B1606" t="inlineStr">
        <is>
          <t>avverkningsanmälan</t>
        </is>
      </c>
      <c r="C1606" t="inlineStr">
        <is>
          <t>Föryngringsavverkning</t>
        </is>
      </c>
      <c r="D1606" s="1" t="n">
        <v>45958</v>
      </c>
      <c r="E1606" s="1" t="n">
        <v>46309</v>
      </c>
      <c r="F1606" t="inlineStr">
        <is>
          <t>UPPSALA LÄN</t>
        </is>
      </c>
      <c r="G1606" t="inlineStr">
        <is>
          <t>UPPSALA</t>
        </is>
      </c>
      <c r="H1606" t="inlineStr">
        <is>
          <t>Bergvik skog väst AB</t>
        </is>
      </c>
      <c r="I1606" t="n">
        <v>1.3</v>
      </c>
      <c r="J1606" t="n">
        <v>0</v>
      </c>
      <c r="K1606" t="n">
        <v>0</v>
      </c>
      <c r="L1606" t="n">
        <v>0</v>
      </c>
      <c r="M1606" t="n">
        <v>0</v>
      </c>
      <c r="N1606" t="n">
        <v>0</v>
      </c>
      <c r="O1606" t="n">
        <v>0</v>
      </c>
      <c r="P1606" t="n">
        <v>0</v>
      </c>
      <c r="Q1606" t="n">
        <v>0</v>
      </c>
      <c r="R1606" t="n">
        <v>0</v>
      </c>
      <c r="S1606" t="n">
        <v>0</v>
      </c>
      <c r="T1606" t="n">
        <v>0</v>
      </c>
      <c r="U1606" t="n">
        <v>0</v>
      </c>
      <c r="V1606" s="2" t="inlineStr"/>
    </row>
    <row r="1607" ht="15" customHeight="1">
      <c r="A1607" t="inlineStr">
        <is>
          <t>A 53184-2025</t>
        </is>
      </c>
      <c r="B1607" t="inlineStr">
        <is>
          <t>avverkningsanmälan</t>
        </is>
      </c>
      <c r="C1607" t="inlineStr">
        <is>
          <t>Föryngringsavverkning</t>
        </is>
      </c>
      <c r="D1607" s="1" t="n">
        <v>45958</v>
      </c>
      <c r="E1607" s="1" t="n">
        <v>46309</v>
      </c>
      <c r="F1607" t="inlineStr">
        <is>
          <t>UPPSALA LÄN</t>
        </is>
      </c>
      <c r="G1607" t="inlineStr">
        <is>
          <t>ÄLVKARLEBY</t>
        </is>
      </c>
      <c r="H1607" t="inlineStr">
        <is>
          <t>Bergvik skog väst AB</t>
        </is>
      </c>
      <c r="I1607" t="n">
        <v>0.6</v>
      </c>
      <c r="J1607" t="n">
        <v>0</v>
      </c>
      <c r="K1607" t="n">
        <v>0</v>
      </c>
      <c r="L1607" t="n">
        <v>0</v>
      </c>
      <c r="M1607" t="n">
        <v>0</v>
      </c>
      <c r="N1607" t="n">
        <v>0</v>
      </c>
      <c r="O1607" t="n">
        <v>0</v>
      </c>
      <c r="P1607" t="n">
        <v>0</v>
      </c>
      <c r="Q1607" t="n">
        <v>0</v>
      </c>
      <c r="R1607" t="n">
        <v>0</v>
      </c>
      <c r="S1607" t="n">
        <v>0</v>
      </c>
      <c r="T1607" t="n">
        <v>0</v>
      </c>
      <c r="U1607" t="n">
        <v>0</v>
      </c>
      <c r="V1607" s="2" t="inlineStr"/>
    </row>
    <row r="1608" ht="15" customHeight="1">
      <c r="A1608" t="inlineStr">
        <is>
          <t>A 53234-2025</t>
        </is>
      </c>
      <c r="B1608" t="inlineStr">
        <is>
          <t>avverkningsanmälan</t>
        </is>
      </c>
      <c r="C1608" t="inlineStr">
        <is>
          <t>Föryngringsavverkning</t>
        </is>
      </c>
      <c r="D1608" s="1" t="n">
        <v>45958</v>
      </c>
      <c r="E1608" s="1" t="n">
        <v>46309</v>
      </c>
      <c r="F1608" t="inlineStr">
        <is>
          <t>UPPSALA LÄN</t>
        </is>
      </c>
      <c r="G1608" t="inlineStr">
        <is>
          <t>UPPSALA</t>
        </is>
      </c>
      <c r="H1608" t="inlineStr">
        <is>
          <t>Bergvik skog väst AB</t>
        </is>
      </c>
      <c r="I1608" t="n">
        <v>1.6</v>
      </c>
      <c r="J1608" t="n">
        <v>0</v>
      </c>
      <c r="K1608" t="n">
        <v>0</v>
      </c>
      <c r="L1608" t="n">
        <v>0</v>
      </c>
      <c r="M1608" t="n">
        <v>0</v>
      </c>
      <c r="N1608" t="n">
        <v>0</v>
      </c>
      <c r="O1608" t="n">
        <v>0</v>
      </c>
      <c r="P1608" t="n">
        <v>0</v>
      </c>
      <c r="Q1608" t="n">
        <v>0</v>
      </c>
      <c r="R1608" t="n">
        <v>0</v>
      </c>
      <c r="S1608" t="n">
        <v>0</v>
      </c>
      <c r="T1608" t="n">
        <v>0</v>
      </c>
      <c r="U1608" t="n">
        <v>0</v>
      </c>
      <c r="V1608" s="2" t="inlineStr"/>
    </row>
    <row r="1609" ht="15" customHeight="1">
      <c r="A1609" t="inlineStr">
        <is>
          <t>A 53235-2025</t>
        </is>
      </c>
      <c r="B1609" t="inlineStr">
        <is>
          <t>avverkningsanmälan</t>
        </is>
      </c>
      <c r="C1609" t="inlineStr">
        <is>
          <t>Föryngringsavverkning</t>
        </is>
      </c>
      <c r="D1609" s="1" t="n">
        <v>45958</v>
      </c>
      <c r="E1609" s="1" t="n">
        <v>46309</v>
      </c>
      <c r="F1609" t="inlineStr">
        <is>
          <t>UPPSALA LÄN</t>
        </is>
      </c>
      <c r="G1609" t="inlineStr">
        <is>
          <t>UPPSALA</t>
        </is>
      </c>
      <c r="H1609" t="inlineStr">
        <is>
          <t>Bergvik skog väst AB</t>
        </is>
      </c>
      <c r="I1609" t="n">
        <v>0.8</v>
      </c>
      <c r="J1609" t="n">
        <v>0</v>
      </c>
      <c r="K1609" t="n">
        <v>0</v>
      </c>
      <c r="L1609" t="n">
        <v>0</v>
      </c>
      <c r="M1609" t="n">
        <v>0</v>
      </c>
      <c r="N1609" t="n">
        <v>0</v>
      </c>
      <c r="O1609" t="n">
        <v>0</v>
      </c>
      <c r="P1609" t="n">
        <v>0</v>
      </c>
      <c r="Q1609" t="n">
        <v>0</v>
      </c>
      <c r="R1609" t="n">
        <v>0</v>
      </c>
      <c r="S1609" t="n">
        <v>0</v>
      </c>
      <c r="T1609" t="n">
        <v>0</v>
      </c>
      <c r="U1609" t="n">
        <v>0</v>
      </c>
      <c r="V1609" s="2" t="inlineStr"/>
    </row>
    <row r="1610" ht="15" customHeight="1">
      <c r="A1610" t="inlineStr">
        <is>
          <t>A 37010-2025</t>
        </is>
      </c>
      <c r="B1610" t="inlineStr">
        <is>
          <t>avverkningsanmälan</t>
        </is>
      </c>
      <c r="C1610" t="inlineStr">
        <is>
          <t>Föryngringsavverkning</t>
        </is>
      </c>
      <c r="D1610" s="1" t="n">
        <v>45874</v>
      </c>
      <c r="E1610" s="1" t="n">
        <v>46309</v>
      </c>
      <c r="F1610" t="inlineStr">
        <is>
          <t>UPPSALA LÄN</t>
        </is>
      </c>
      <c r="G1610" t="inlineStr">
        <is>
          <t>UPPSALA</t>
        </is>
      </c>
      <c r="I1610" t="n">
        <v>0.8</v>
      </c>
      <c r="J1610" t="n">
        <v>0</v>
      </c>
      <c r="K1610" t="n">
        <v>0</v>
      </c>
      <c r="L1610" t="n">
        <v>0</v>
      </c>
      <c r="M1610" t="n">
        <v>0</v>
      </c>
      <c r="N1610" t="n">
        <v>0</v>
      </c>
      <c r="O1610" t="n">
        <v>0</v>
      </c>
      <c r="P1610" t="n">
        <v>0</v>
      </c>
      <c r="Q1610" t="n">
        <v>0</v>
      </c>
      <c r="R1610" t="n">
        <v>0</v>
      </c>
      <c r="S1610" t="n">
        <v>0</v>
      </c>
      <c r="T1610" t="n">
        <v>0</v>
      </c>
      <c r="U1610" t="n">
        <v>0</v>
      </c>
      <c r="V1610" s="2" t="inlineStr"/>
    </row>
    <row r="1611" ht="15" customHeight="1">
      <c r="A1611" t="inlineStr">
        <is>
          <t>A 53228-2025</t>
        </is>
      </c>
      <c r="B1611" t="inlineStr">
        <is>
          <t>avverkningsanmälan</t>
        </is>
      </c>
      <c r="C1611" t="inlineStr">
        <is>
          <t>Föryngringsavverkning</t>
        </is>
      </c>
      <c r="D1611" s="1" t="n">
        <v>45958</v>
      </c>
      <c r="E1611" s="1" t="n">
        <v>46309</v>
      </c>
      <c r="F1611" t="inlineStr">
        <is>
          <t>UPPSALA LÄN</t>
        </is>
      </c>
      <c r="G1611" t="inlineStr">
        <is>
          <t>UPPSALA</t>
        </is>
      </c>
      <c r="H1611" t="inlineStr">
        <is>
          <t>Bergvik skog väst AB</t>
        </is>
      </c>
      <c r="I1611" t="n">
        <v>0.7</v>
      </c>
      <c r="J1611" t="n">
        <v>0</v>
      </c>
      <c r="K1611" t="n">
        <v>0</v>
      </c>
      <c r="L1611" t="n">
        <v>0</v>
      </c>
      <c r="M1611" t="n">
        <v>0</v>
      </c>
      <c r="N1611" t="n">
        <v>0</v>
      </c>
      <c r="O1611" t="n">
        <v>0</v>
      </c>
      <c r="P1611" t="n">
        <v>0</v>
      </c>
      <c r="Q1611" t="n">
        <v>0</v>
      </c>
      <c r="R1611" t="n">
        <v>0</v>
      </c>
      <c r="S1611" t="n">
        <v>0</v>
      </c>
      <c r="T1611" t="n">
        <v>0</v>
      </c>
      <c r="U1611" t="n">
        <v>0</v>
      </c>
      <c r="V1611" s="2" t="inlineStr"/>
    </row>
    <row r="1612" ht="15" customHeight="1">
      <c r="A1612" t="inlineStr">
        <is>
          <t>A 53238-2025</t>
        </is>
      </c>
      <c r="B1612" t="inlineStr">
        <is>
          <t>avverkningsanmälan</t>
        </is>
      </c>
      <c r="C1612" t="inlineStr">
        <is>
          <t>Föryngringsavverkning</t>
        </is>
      </c>
      <c r="D1612" s="1" t="n">
        <v>45958</v>
      </c>
      <c r="E1612" s="1" t="n">
        <v>46309</v>
      </c>
      <c r="F1612" t="inlineStr">
        <is>
          <t>UPPSALA LÄN</t>
        </is>
      </c>
      <c r="G1612" t="inlineStr">
        <is>
          <t>UPPSALA</t>
        </is>
      </c>
      <c r="H1612" t="inlineStr">
        <is>
          <t>Bergvik skog väst AB</t>
        </is>
      </c>
      <c r="I1612" t="n">
        <v>1.2</v>
      </c>
      <c r="J1612" t="n">
        <v>0</v>
      </c>
      <c r="K1612" t="n">
        <v>0</v>
      </c>
      <c r="L1612" t="n">
        <v>0</v>
      </c>
      <c r="M1612" t="n">
        <v>0</v>
      </c>
      <c r="N1612" t="n">
        <v>0</v>
      </c>
      <c r="O1612" t="n">
        <v>0</v>
      </c>
      <c r="P1612" t="n">
        <v>0</v>
      </c>
      <c r="Q1612" t="n">
        <v>0</v>
      </c>
      <c r="R1612" t="n">
        <v>0</v>
      </c>
      <c r="S1612" t="n">
        <v>0</v>
      </c>
      <c r="T1612" t="n">
        <v>0</v>
      </c>
      <c r="U1612" t="n">
        <v>0</v>
      </c>
      <c r="V1612" s="2" t="inlineStr"/>
    </row>
    <row r="1613" ht="15" customHeight="1">
      <c r="A1613" t="inlineStr">
        <is>
          <t>A 55711-2023</t>
        </is>
      </c>
      <c r="B1613" t="inlineStr">
        <is>
          <t>avverkningsanmälan</t>
        </is>
      </c>
      <c r="C1613" t="inlineStr">
        <is>
          <t>Föryngringsavverkning</t>
        </is>
      </c>
      <c r="D1613" s="1" t="n">
        <v>45239</v>
      </c>
      <c r="E1613" s="1" t="n">
        <v>46309</v>
      </c>
      <c r="F1613" t="inlineStr">
        <is>
          <t>UPPSALA LÄN</t>
        </is>
      </c>
      <c r="G1613" t="inlineStr">
        <is>
          <t>TIERP</t>
        </is>
      </c>
      <c r="I1613" t="n">
        <v>1.6</v>
      </c>
      <c r="J1613" t="n">
        <v>0</v>
      </c>
      <c r="K1613" t="n">
        <v>0</v>
      </c>
      <c r="L1613" t="n">
        <v>0</v>
      </c>
      <c r="M1613" t="n">
        <v>0</v>
      </c>
      <c r="N1613" t="n">
        <v>0</v>
      </c>
      <c r="O1613" t="n">
        <v>0</v>
      </c>
      <c r="P1613" t="n">
        <v>0</v>
      </c>
      <c r="Q1613" t="n">
        <v>0</v>
      </c>
      <c r="R1613" t="n">
        <v>0</v>
      </c>
      <c r="S1613" t="n">
        <v>0</v>
      </c>
      <c r="T1613" t="n">
        <v>0</v>
      </c>
      <c r="U1613" t="n">
        <v>0</v>
      </c>
      <c r="V1613" s="2" t="inlineStr"/>
    </row>
    <row r="1614" ht="15" customHeight="1">
      <c r="A1614" t="inlineStr">
        <is>
          <t>A 64855-2021</t>
        </is>
      </c>
      <c r="B1614" t="inlineStr">
        <is>
          <t>avverkningsanmälan</t>
        </is>
      </c>
      <c r="C1614" t="inlineStr">
        <is>
          <t>Föryngringsavverkning</t>
        </is>
      </c>
      <c r="D1614" s="1" t="n">
        <v>44512</v>
      </c>
      <c r="E1614" s="1" t="n">
        <v>46309</v>
      </c>
      <c r="F1614" t="inlineStr">
        <is>
          <t>UPPSALA LÄN</t>
        </is>
      </c>
      <c r="G1614" t="inlineStr">
        <is>
          <t>UPPSALA</t>
        </is>
      </c>
      <c r="I1614" t="n">
        <v>3.1</v>
      </c>
      <c r="J1614" t="n">
        <v>0</v>
      </c>
      <c r="K1614" t="n">
        <v>0</v>
      </c>
      <c r="L1614" t="n">
        <v>0</v>
      </c>
      <c r="M1614" t="n">
        <v>0</v>
      </c>
      <c r="N1614" t="n">
        <v>0</v>
      </c>
      <c r="O1614" t="n">
        <v>0</v>
      </c>
      <c r="P1614" t="n">
        <v>0</v>
      </c>
      <c r="Q1614" t="n">
        <v>0</v>
      </c>
      <c r="R1614" t="n">
        <v>0</v>
      </c>
      <c r="S1614" t="n">
        <v>0</v>
      </c>
      <c r="T1614" t="n">
        <v>0</v>
      </c>
      <c r="U1614" t="n">
        <v>0</v>
      </c>
      <c r="V1614" s="2" t="inlineStr"/>
    </row>
    <row r="1615" ht="15" customHeight="1">
      <c r="A1615" t="inlineStr">
        <is>
          <t>A 22663-2022</t>
        </is>
      </c>
      <c r="B1615" t="inlineStr">
        <is>
          <t>avverkningsanmälan</t>
        </is>
      </c>
      <c r="C1615" t="inlineStr">
        <is>
          <t>Föryngringsavverkning</t>
        </is>
      </c>
      <c r="D1615" s="1" t="n">
        <v>44713</v>
      </c>
      <c r="E1615" s="1" t="n">
        <v>46309</v>
      </c>
      <c r="F1615" t="inlineStr">
        <is>
          <t>UPPSALA LÄN</t>
        </is>
      </c>
      <c r="G1615" t="inlineStr">
        <is>
          <t>TIERP</t>
        </is>
      </c>
      <c r="H1615" t="inlineStr">
        <is>
          <t>Bergvik skog väst AB</t>
        </is>
      </c>
      <c r="I1615" t="n">
        <v>0.9</v>
      </c>
      <c r="J1615" t="n">
        <v>0</v>
      </c>
      <c r="K1615" t="n">
        <v>0</v>
      </c>
      <c r="L1615" t="n">
        <v>0</v>
      </c>
      <c r="M1615" t="n">
        <v>0</v>
      </c>
      <c r="N1615" t="n">
        <v>0</v>
      </c>
      <c r="O1615" t="n">
        <v>0</v>
      </c>
      <c r="P1615" t="n">
        <v>0</v>
      </c>
      <c r="Q1615" t="n">
        <v>0</v>
      </c>
      <c r="R1615" t="n">
        <v>0</v>
      </c>
      <c r="S1615" t="n">
        <v>0</v>
      </c>
      <c r="T1615" t="n">
        <v>0</v>
      </c>
      <c r="U1615" t="n">
        <v>0</v>
      </c>
      <c r="V1615" s="2" t="inlineStr"/>
    </row>
    <row r="1616" ht="15" customHeight="1">
      <c r="A1616" t="inlineStr">
        <is>
          <t>A 61453-2022</t>
        </is>
      </c>
      <c r="B1616" t="inlineStr">
        <is>
          <t>avverkningsanmälan</t>
        </is>
      </c>
      <c r="C1616" t="inlineStr">
        <is>
          <t>Föryngringsavverkning</t>
        </is>
      </c>
      <c r="D1616" s="1" t="n">
        <v>44916</v>
      </c>
      <c r="E1616" s="1" t="n">
        <v>46309</v>
      </c>
      <c r="F1616" t="inlineStr">
        <is>
          <t>UPPSALA LÄN</t>
        </is>
      </c>
      <c r="G1616" t="inlineStr">
        <is>
          <t>HEBY</t>
        </is>
      </c>
      <c r="I1616" t="n">
        <v>3.1</v>
      </c>
      <c r="J1616" t="n">
        <v>0</v>
      </c>
      <c r="K1616" t="n">
        <v>0</v>
      </c>
      <c r="L1616" t="n">
        <v>0</v>
      </c>
      <c r="M1616" t="n">
        <v>0</v>
      </c>
      <c r="N1616" t="n">
        <v>0</v>
      </c>
      <c r="O1616" t="n">
        <v>0</v>
      </c>
      <c r="P1616" t="n">
        <v>0</v>
      </c>
      <c r="Q1616" t="n">
        <v>0</v>
      </c>
      <c r="R1616" t="n">
        <v>0</v>
      </c>
      <c r="S1616" t="n">
        <v>0</v>
      </c>
      <c r="T1616" t="n">
        <v>0</v>
      </c>
      <c r="U1616" t="n">
        <v>0</v>
      </c>
      <c r="V1616" s="2" t="inlineStr"/>
    </row>
    <row r="1617" ht="15" customHeight="1">
      <c r="A1617" t="inlineStr">
        <is>
          <t>A 12812-2024</t>
        </is>
      </c>
      <c r="B1617" t="inlineStr">
        <is>
          <t>avverkningsanmälan</t>
        </is>
      </c>
      <c r="C1617" t="inlineStr">
        <is>
          <t>Föryngringsavverkning</t>
        </is>
      </c>
      <c r="D1617" s="1" t="n">
        <v>45384</v>
      </c>
      <c r="E1617" s="1" t="n">
        <v>46309</v>
      </c>
      <c r="F1617" t="inlineStr">
        <is>
          <t>UPPSALA LÄN</t>
        </is>
      </c>
      <c r="G1617" t="inlineStr">
        <is>
          <t>ÖSTHAMMAR</t>
        </is>
      </c>
      <c r="I1617" t="n">
        <v>0.4</v>
      </c>
      <c r="J1617" t="n">
        <v>0</v>
      </c>
      <c r="K1617" t="n">
        <v>0</v>
      </c>
      <c r="L1617" t="n">
        <v>0</v>
      </c>
      <c r="M1617" t="n">
        <v>0</v>
      </c>
      <c r="N1617" t="n">
        <v>0</v>
      </c>
      <c r="O1617" t="n">
        <v>0</v>
      </c>
      <c r="P1617" t="n">
        <v>0</v>
      </c>
      <c r="Q1617" t="n">
        <v>0</v>
      </c>
      <c r="R1617" t="n">
        <v>0</v>
      </c>
      <c r="S1617" t="n">
        <v>0</v>
      </c>
      <c r="T1617" t="n">
        <v>0</v>
      </c>
      <c r="U1617" t="n">
        <v>0</v>
      </c>
      <c r="V1617" s="2" t="inlineStr"/>
    </row>
    <row r="1618" ht="15" customHeight="1">
      <c r="A1618" t="inlineStr">
        <is>
          <t>A 53735-2025</t>
        </is>
      </c>
      <c r="B1618" t="inlineStr">
        <is>
          <t>avverkningsanmälan</t>
        </is>
      </c>
      <c r="C1618" t="inlineStr">
        <is>
          <t>Föryngringsavverkning</t>
        </is>
      </c>
      <c r="D1618" s="1" t="n">
        <v>45960</v>
      </c>
      <c r="E1618" s="1" t="n">
        <v>46309</v>
      </c>
      <c r="F1618" t="inlineStr">
        <is>
          <t>UPPSALA LÄN</t>
        </is>
      </c>
      <c r="G1618" t="inlineStr">
        <is>
          <t>ÖSTHAMMAR</t>
        </is>
      </c>
      <c r="H1618" t="inlineStr">
        <is>
          <t>Bergvik skog öst AB</t>
        </is>
      </c>
      <c r="I1618" t="n">
        <v>0.9</v>
      </c>
      <c r="J1618" t="n">
        <v>0</v>
      </c>
      <c r="K1618" t="n">
        <v>0</v>
      </c>
      <c r="L1618" t="n">
        <v>0</v>
      </c>
      <c r="M1618" t="n">
        <v>0</v>
      </c>
      <c r="N1618" t="n">
        <v>0</v>
      </c>
      <c r="O1618" t="n">
        <v>0</v>
      </c>
      <c r="P1618" t="n">
        <v>0</v>
      </c>
      <c r="Q1618" t="n">
        <v>0</v>
      </c>
      <c r="R1618" t="n">
        <v>0</v>
      </c>
      <c r="S1618" t="n">
        <v>0</v>
      </c>
      <c r="T1618" t="n">
        <v>0</v>
      </c>
      <c r="U1618" t="n">
        <v>0</v>
      </c>
      <c r="V1618" s="2" t="inlineStr"/>
    </row>
    <row r="1619" ht="15" customHeight="1">
      <c r="A1619" t="inlineStr">
        <is>
          <t>A 53737-2025</t>
        </is>
      </c>
      <c r="B1619" t="inlineStr">
        <is>
          <t>avverkningsanmälan</t>
        </is>
      </c>
      <c r="C1619" t="inlineStr">
        <is>
          <t>Föryngringsavverkning</t>
        </is>
      </c>
      <c r="D1619" s="1" t="n">
        <v>45960</v>
      </c>
      <c r="E1619" s="1" t="n">
        <v>46309</v>
      </c>
      <c r="F1619" t="inlineStr">
        <is>
          <t>UPPSALA LÄN</t>
        </is>
      </c>
      <c r="G1619" t="inlineStr">
        <is>
          <t>ÖSTHAMMAR</t>
        </is>
      </c>
      <c r="H1619" t="inlineStr">
        <is>
          <t>Bergvik skog öst AB</t>
        </is>
      </c>
      <c r="I1619" t="n">
        <v>3</v>
      </c>
      <c r="J1619" t="n">
        <v>0</v>
      </c>
      <c r="K1619" t="n">
        <v>0</v>
      </c>
      <c r="L1619" t="n">
        <v>0</v>
      </c>
      <c r="M1619" t="n">
        <v>0</v>
      </c>
      <c r="N1619" t="n">
        <v>0</v>
      </c>
      <c r="O1619" t="n">
        <v>0</v>
      </c>
      <c r="P1619" t="n">
        <v>0</v>
      </c>
      <c r="Q1619" t="n">
        <v>0</v>
      </c>
      <c r="R1619" t="n">
        <v>0</v>
      </c>
      <c r="S1619" t="n">
        <v>0</v>
      </c>
      <c r="T1619" t="n">
        <v>0</v>
      </c>
      <c r="U1619" t="n">
        <v>0</v>
      </c>
      <c r="V1619" s="2" t="inlineStr"/>
    </row>
    <row r="1620" ht="15" customHeight="1">
      <c r="A1620" t="inlineStr">
        <is>
          <t>A 53423-2025</t>
        </is>
      </c>
      <c r="B1620" t="inlineStr">
        <is>
          <t>avverkningsanmälan</t>
        </is>
      </c>
      <c r="C1620" t="inlineStr">
        <is>
          <t>Föryngringsavverkning</t>
        </is>
      </c>
      <c r="D1620" s="1" t="n">
        <v>45959</v>
      </c>
      <c r="E1620" s="1" t="n">
        <v>46309</v>
      </c>
      <c r="F1620" t="inlineStr">
        <is>
          <t>UPPSALA LÄN</t>
        </is>
      </c>
      <c r="G1620" t="inlineStr">
        <is>
          <t>UPPSALA</t>
        </is>
      </c>
      <c r="H1620" t="inlineStr">
        <is>
          <t>Övriga Aktiebolag</t>
        </is>
      </c>
      <c r="I1620" t="n">
        <v>23.6</v>
      </c>
      <c r="J1620" t="n">
        <v>0</v>
      </c>
      <c r="K1620" t="n">
        <v>0</v>
      </c>
      <c r="L1620" t="n">
        <v>0</v>
      </c>
      <c r="M1620" t="n">
        <v>0</v>
      </c>
      <c r="N1620" t="n">
        <v>0</v>
      </c>
      <c r="O1620" t="n">
        <v>0</v>
      </c>
      <c r="P1620" t="n">
        <v>0</v>
      </c>
      <c r="Q1620" t="n">
        <v>0</v>
      </c>
      <c r="R1620" t="n">
        <v>0</v>
      </c>
      <c r="S1620" t="n">
        <v>0</v>
      </c>
      <c r="T1620" t="n">
        <v>0</v>
      </c>
      <c r="U1620" t="n">
        <v>0</v>
      </c>
      <c r="V1620" s="2" t="inlineStr"/>
    </row>
    <row r="1621" ht="15" customHeight="1">
      <c r="A1621" t="inlineStr">
        <is>
          <t>A 53483-2025</t>
        </is>
      </c>
      <c r="B1621" t="inlineStr">
        <is>
          <t>avverkningsanmälan</t>
        </is>
      </c>
      <c r="C1621" t="inlineStr">
        <is>
          <t>Föryngringsavverkning</t>
        </is>
      </c>
      <c r="D1621" s="1" t="n">
        <v>45959</v>
      </c>
      <c r="E1621" s="1" t="n">
        <v>46309</v>
      </c>
      <c r="F1621" t="inlineStr">
        <is>
          <t>UPPSALA LÄN</t>
        </is>
      </c>
      <c r="G1621" t="inlineStr">
        <is>
          <t>TIERP</t>
        </is>
      </c>
      <c r="I1621" t="n">
        <v>6.7</v>
      </c>
      <c r="J1621" t="n">
        <v>0</v>
      </c>
      <c r="K1621" t="n">
        <v>0</v>
      </c>
      <c r="L1621" t="n">
        <v>0</v>
      </c>
      <c r="M1621" t="n">
        <v>0</v>
      </c>
      <c r="N1621" t="n">
        <v>0</v>
      </c>
      <c r="O1621" t="n">
        <v>0</v>
      </c>
      <c r="P1621" t="n">
        <v>0</v>
      </c>
      <c r="Q1621" t="n">
        <v>0</v>
      </c>
      <c r="R1621" t="n">
        <v>0</v>
      </c>
      <c r="S1621" t="n">
        <v>0</v>
      </c>
      <c r="T1621" t="n">
        <v>0</v>
      </c>
      <c r="U1621" t="n">
        <v>0</v>
      </c>
      <c r="V1621" s="2" t="inlineStr"/>
    </row>
    <row r="1622" ht="15" customHeight="1">
      <c r="A1622" t="inlineStr">
        <is>
          <t>A 49622-2024</t>
        </is>
      </c>
      <c r="B1622" t="inlineStr">
        <is>
          <t>avverkningsanmälan</t>
        </is>
      </c>
      <c r="C1622" t="inlineStr">
        <is>
          <t>Föryngringsavverkning</t>
        </is>
      </c>
      <c r="D1622" s="1" t="n">
        <v>45596</v>
      </c>
      <c r="E1622" s="1" t="n">
        <v>46309</v>
      </c>
      <c r="F1622" t="inlineStr">
        <is>
          <t>UPPSALA LÄN</t>
        </is>
      </c>
      <c r="G1622" t="inlineStr">
        <is>
          <t>ENKÖPING</t>
        </is>
      </c>
      <c r="I1622" t="n">
        <v>1.3</v>
      </c>
      <c r="J1622" t="n">
        <v>0</v>
      </c>
      <c r="K1622" t="n">
        <v>0</v>
      </c>
      <c r="L1622" t="n">
        <v>0</v>
      </c>
      <c r="M1622" t="n">
        <v>0</v>
      </c>
      <c r="N1622" t="n">
        <v>0</v>
      </c>
      <c r="O1622" t="n">
        <v>0</v>
      </c>
      <c r="P1622" t="n">
        <v>0</v>
      </c>
      <c r="Q1622" t="n">
        <v>0</v>
      </c>
      <c r="R1622" t="n">
        <v>0</v>
      </c>
      <c r="S1622" t="n">
        <v>0</v>
      </c>
      <c r="T1622" t="n">
        <v>0</v>
      </c>
      <c r="U1622" t="n">
        <v>0</v>
      </c>
      <c r="V1622" s="2" t="inlineStr"/>
    </row>
    <row r="1623" ht="15" customHeight="1">
      <c r="A1623" t="inlineStr">
        <is>
          <t>A 13644-2024</t>
        </is>
      </c>
      <c r="B1623" t="inlineStr">
        <is>
          <t>avverkningsanmälan</t>
        </is>
      </c>
      <c r="C1623" t="inlineStr">
        <is>
          <t>Avverkning för annat ändamål</t>
        </is>
      </c>
      <c r="D1623" s="1" t="n">
        <v>45390</v>
      </c>
      <c r="E1623" s="1" t="n">
        <v>46309</v>
      </c>
      <c r="F1623" t="inlineStr">
        <is>
          <t>UPPSALA LÄN</t>
        </is>
      </c>
      <c r="G1623" t="inlineStr">
        <is>
          <t>UPPSALA</t>
        </is>
      </c>
      <c r="I1623" t="n">
        <v>0.5</v>
      </c>
      <c r="J1623" t="n">
        <v>0</v>
      </c>
      <c r="K1623" t="n">
        <v>0</v>
      </c>
      <c r="L1623" t="n">
        <v>0</v>
      </c>
      <c r="M1623" t="n">
        <v>0</v>
      </c>
      <c r="N1623" t="n">
        <v>0</v>
      </c>
      <c r="O1623" t="n">
        <v>0</v>
      </c>
      <c r="P1623" t="n">
        <v>0</v>
      </c>
      <c r="Q1623" t="n">
        <v>0</v>
      </c>
      <c r="R1623" t="n">
        <v>0</v>
      </c>
      <c r="S1623" t="n">
        <v>0</v>
      </c>
      <c r="T1623" t="n">
        <v>0</v>
      </c>
      <c r="U1623" t="n">
        <v>0</v>
      </c>
      <c r="V1623" s="2" t="inlineStr"/>
    </row>
    <row r="1624" ht="15" customHeight="1">
      <c r="A1624" t="inlineStr">
        <is>
          <t>A 58252-2024</t>
        </is>
      </c>
      <c r="B1624" t="inlineStr">
        <is>
          <t>avverkningsanmälan</t>
        </is>
      </c>
      <c r="C1624" t="inlineStr">
        <is>
          <t>Föryngringsavverkning</t>
        </is>
      </c>
      <c r="D1624" s="1" t="n">
        <v>45632</v>
      </c>
      <c r="E1624" s="1" t="n">
        <v>46309</v>
      </c>
      <c r="F1624" t="inlineStr">
        <is>
          <t>UPPSALA LÄN</t>
        </is>
      </c>
      <c r="G1624" t="inlineStr">
        <is>
          <t>TIERP</t>
        </is>
      </c>
      <c r="I1624" t="n">
        <v>3.2</v>
      </c>
      <c r="J1624" t="n">
        <v>0</v>
      </c>
      <c r="K1624" t="n">
        <v>0</v>
      </c>
      <c r="L1624" t="n">
        <v>0</v>
      </c>
      <c r="M1624" t="n">
        <v>0</v>
      </c>
      <c r="N1624" t="n">
        <v>0</v>
      </c>
      <c r="O1624" t="n">
        <v>0</v>
      </c>
      <c r="P1624" t="n">
        <v>0</v>
      </c>
      <c r="Q1624" t="n">
        <v>0</v>
      </c>
      <c r="R1624" t="n">
        <v>0</v>
      </c>
      <c r="S1624" t="n">
        <v>0</v>
      </c>
      <c r="T1624" t="n">
        <v>0</v>
      </c>
      <c r="U1624" t="n">
        <v>0</v>
      </c>
      <c r="V1624" s="2" t="inlineStr"/>
    </row>
    <row r="1625" ht="15" customHeight="1">
      <c r="A1625" t="inlineStr">
        <is>
          <t>A 9592-2022</t>
        </is>
      </c>
      <c r="B1625" t="inlineStr">
        <is>
          <t>avverkningsanmälan</t>
        </is>
      </c>
      <c r="C1625" t="inlineStr">
        <is>
          <t>Föryngringsavverkning</t>
        </is>
      </c>
      <c r="D1625" s="1" t="n">
        <v>44617</v>
      </c>
      <c r="E1625" s="1" t="n">
        <v>46309</v>
      </c>
      <c r="F1625" t="inlineStr">
        <is>
          <t>UPPSALA LÄN</t>
        </is>
      </c>
      <c r="G1625" t="inlineStr">
        <is>
          <t>UPPSALA</t>
        </is>
      </c>
      <c r="I1625" t="n">
        <v>7.5</v>
      </c>
      <c r="J1625" t="n">
        <v>0</v>
      </c>
      <c r="K1625" t="n">
        <v>0</v>
      </c>
      <c r="L1625" t="n">
        <v>0</v>
      </c>
      <c r="M1625" t="n">
        <v>0</v>
      </c>
      <c r="N1625" t="n">
        <v>0</v>
      </c>
      <c r="O1625" t="n">
        <v>0</v>
      </c>
      <c r="P1625" t="n">
        <v>0</v>
      </c>
      <c r="Q1625" t="n">
        <v>0</v>
      </c>
      <c r="R1625" t="n">
        <v>0</v>
      </c>
      <c r="S1625" t="n">
        <v>0</v>
      </c>
      <c r="T1625" t="n">
        <v>0</v>
      </c>
      <c r="U1625" t="n">
        <v>0</v>
      </c>
      <c r="V1625" s="2" t="inlineStr"/>
    </row>
    <row r="1626" ht="15" customHeight="1">
      <c r="A1626" t="inlineStr">
        <is>
          <t>A 10069-2024</t>
        </is>
      </c>
      <c r="B1626" t="inlineStr">
        <is>
          <t>avverkningsanmälan</t>
        </is>
      </c>
      <c r="C1626" t="inlineStr">
        <is>
          <t>Föryngringsavverkning</t>
        </is>
      </c>
      <c r="D1626" s="1" t="n">
        <v>45364</v>
      </c>
      <c r="E1626" s="1" t="n">
        <v>46309</v>
      </c>
      <c r="F1626" t="inlineStr">
        <is>
          <t>UPPSALA LÄN</t>
        </is>
      </c>
      <c r="G1626" t="inlineStr">
        <is>
          <t>HEBY</t>
        </is>
      </c>
      <c r="I1626" t="n">
        <v>3.8</v>
      </c>
      <c r="J1626" t="n">
        <v>0</v>
      </c>
      <c r="K1626" t="n">
        <v>0</v>
      </c>
      <c r="L1626" t="n">
        <v>0</v>
      </c>
      <c r="M1626" t="n">
        <v>0</v>
      </c>
      <c r="N1626" t="n">
        <v>0</v>
      </c>
      <c r="O1626" t="n">
        <v>0</v>
      </c>
      <c r="P1626" t="n">
        <v>0</v>
      </c>
      <c r="Q1626" t="n">
        <v>0</v>
      </c>
      <c r="R1626" t="n">
        <v>0</v>
      </c>
      <c r="S1626" t="n">
        <v>0</v>
      </c>
      <c r="T1626" t="n">
        <v>0</v>
      </c>
      <c r="U1626" t="n">
        <v>0</v>
      </c>
      <c r="V1626" s="2" t="inlineStr"/>
    </row>
    <row r="1627" ht="15" customHeight="1">
      <c r="A1627" t="inlineStr">
        <is>
          <t>A 10072-2024</t>
        </is>
      </c>
      <c r="B1627" t="inlineStr">
        <is>
          <t>avverkningsanmälan</t>
        </is>
      </c>
      <c r="C1627" t="inlineStr">
        <is>
          <t>Föryngringsavverkning</t>
        </is>
      </c>
      <c r="D1627" s="1" t="n">
        <v>45364</v>
      </c>
      <c r="E1627" s="1" t="n">
        <v>46309</v>
      </c>
      <c r="F1627" t="inlineStr">
        <is>
          <t>UPPSALA LÄN</t>
        </is>
      </c>
      <c r="G1627" t="inlineStr">
        <is>
          <t>HEBY</t>
        </is>
      </c>
      <c r="I1627" t="n">
        <v>1.7</v>
      </c>
      <c r="J1627" t="n">
        <v>0</v>
      </c>
      <c r="K1627" t="n">
        <v>0</v>
      </c>
      <c r="L1627" t="n">
        <v>0</v>
      </c>
      <c r="M1627" t="n">
        <v>0</v>
      </c>
      <c r="N1627" t="n">
        <v>0</v>
      </c>
      <c r="O1627" t="n">
        <v>0</v>
      </c>
      <c r="P1627" t="n">
        <v>0</v>
      </c>
      <c r="Q1627" t="n">
        <v>0</v>
      </c>
      <c r="R1627" t="n">
        <v>0</v>
      </c>
      <c r="S1627" t="n">
        <v>0</v>
      </c>
      <c r="T1627" t="n">
        <v>0</v>
      </c>
      <c r="U1627" t="n">
        <v>0</v>
      </c>
      <c r="V1627" s="2" t="inlineStr"/>
    </row>
    <row r="1628" ht="15" customHeight="1">
      <c r="A1628" t="inlineStr">
        <is>
          <t>A 2850-2025</t>
        </is>
      </c>
      <c r="B1628" t="inlineStr">
        <is>
          <t>avverkningsanmälan</t>
        </is>
      </c>
      <c r="C1628" t="inlineStr">
        <is>
          <t>Föryngringsavverkning</t>
        </is>
      </c>
      <c r="D1628" s="1" t="n">
        <v>45677</v>
      </c>
      <c r="E1628" s="1" t="n">
        <v>46309</v>
      </c>
      <c r="F1628" t="inlineStr">
        <is>
          <t>UPPSALA LÄN</t>
        </is>
      </c>
      <c r="G1628" t="inlineStr">
        <is>
          <t>ENKÖPING</t>
        </is>
      </c>
      <c r="I1628" t="n">
        <v>0.3</v>
      </c>
      <c r="J1628" t="n">
        <v>0</v>
      </c>
      <c r="K1628" t="n">
        <v>0</v>
      </c>
      <c r="L1628" t="n">
        <v>0</v>
      </c>
      <c r="M1628" t="n">
        <v>0</v>
      </c>
      <c r="N1628" t="n">
        <v>0</v>
      </c>
      <c r="O1628" t="n">
        <v>0</v>
      </c>
      <c r="P1628" t="n">
        <v>0</v>
      </c>
      <c r="Q1628" t="n">
        <v>0</v>
      </c>
      <c r="R1628" t="n">
        <v>0</v>
      </c>
      <c r="S1628" t="n">
        <v>0</v>
      </c>
      <c r="T1628" t="n">
        <v>0</v>
      </c>
      <c r="U1628" t="n">
        <v>0</v>
      </c>
      <c r="V1628" s="2" t="inlineStr"/>
    </row>
    <row r="1629" ht="15" customHeight="1">
      <c r="A1629" t="inlineStr">
        <is>
          <t>A 37856-2025</t>
        </is>
      </c>
      <c r="B1629" t="inlineStr">
        <is>
          <t>avverkningsanmälan</t>
        </is>
      </c>
      <c r="C1629" t="inlineStr">
        <is>
          <t>Föryngringsavverkning</t>
        </is>
      </c>
      <c r="D1629" s="1" t="n">
        <v>45881</v>
      </c>
      <c r="E1629" s="1" t="n">
        <v>46309</v>
      </c>
      <c r="F1629" t="inlineStr">
        <is>
          <t>UPPSALA LÄN</t>
        </is>
      </c>
      <c r="G1629" t="inlineStr">
        <is>
          <t>UPPSALA</t>
        </is>
      </c>
      <c r="I1629" t="n">
        <v>1.7</v>
      </c>
      <c r="J1629" t="n">
        <v>0</v>
      </c>
      <c r="K1629" t="n">
        <v>0</v>
      </c>
      <c r="L1629" t="n">
        <v>0</v>
      </c>
      <c r="M1629" t="n">
        <v>0</v>
      </c>
      <c r="N1629" t="n">
        <v>0</v>
      </c>
      <c r="O1629" t="n">
        <v>0</v>
      </c>
      <c r="P1629" t="n">
        <v>0</v>
      </c>
      <c r="Q1629" t="n">
        <v>0</v>
      </c>
      <c r="R1629" t="n">
        <v>0</v>
      </c>
      <c r="S1629" t="n">
        <v>0</v>
      </c>
      <c r="T1629" t="n">
        <v>0</v>
      </c>
      <c r="U1629" t="n">
        <v>0</v>
      </c>
      <c r="V1629" s="2" t="inlineStr"/>
    </row>
    <row r="1630" ht="15" customHeight="1">
      <c r="A1630" t="inlineStr">
        <is>
          <t>A 38113-2025</t>
        </is>
      </c>
      <c r="B1630" t="inlineStr">
        <is>
          <t>avverkningsanmälan</t>
        </is>
      </c>
      <c r="C1630" t="inlineStr">
        <is>
          <t>Föryngringsavverkning</t>
        </is>
      </c>
      <c r="D1630" s="1" t="n">
        <v>45882</v>
      </c>
      <c r="E1630" s="1" t="n">
        <v>46309</v>
      </c>
      <c r="F1630" t="inlineStr">
        <is>
          <t>UPPSALA LÄN</t>
        </is>
      </c>
      <c r="G1630" t="inlineStr">
        <is>
          <t>UPPSALA</t>
        </is>
      </c>
      <c r="I1630" t="n">
        <v>5.8</v>
      </c>
      <c r="J1630" t="n">
        <v>0</v>
      </c>
      <c r="K1630" t="n">
        <v>0</v>
      </c>
      <c r="L1630" t="n">
        <v>0</v>
      </c>
      <c r="M1630" t="n">
        <v>0</v>
      </c>
      <c r="N1630" t="n">
        <v>0</v>
      </c>
      <c r="O1630" t="n">
        <v>0</v>
      </c>
      <c r="P1630" t="n">
        <v>0</v>
      </c>
      <c r="Q1630" t="n">
        <v>0</v>
      </c>
      <c r="R1630" t="n">
        <v>0</v>
      </c>
      <c r="S1630" t="n">
        <v>0</v>
      </c>
      <c r="T1630" t="n">
        <v>0</v>
      </c>
      <c r="U1630" t="n">
        <v>0</v>
      </c>
      <c r="V1630" s="2" t="inlineStr"/>
    </row>
    <row r="1631" ht="15" customHeight="1">
      <c r="A1631" t="inlineStr">
        <is>
          <t>A 8473-2023</t>
        </is>
      </c>
      <c r="B1631" t="inlineStr">
        <is>
          <t>avverkningsanmälan</t>
        </is>
      </c>
      <c r="C1631" t="inlineStr">
        <is>
          <t>Avverkning för att bevara och utveckla /försöksver</t>
        </is>
      </c>
      <c r="D1631" s="1" t="n">
        <v>44977</v>
      </c>
      <c r="E1631" s="1" t="n">
        <v>46309</v>
      </c>
      <c r="F1631" t="inlineStr">
        <is>
          <t>UPPSALA LÄN</t>
        </is>
      </c>
      <c r="G1631" t="inlineStr">
        <is>
          <t>UPPSALA</t>
        </is>
      </c>
      <c r="H1631" t="inlineStr">
        <is>
          <t>Holmen skog AB</t>
        </is>
      </c>
      <c r="I1631" t="n">
        <v>3.6</v>
      </c>
      <c r="J1631" t="n">
        <v>0</v>
      </c>
      <c r="K1631" t="n">
        <v>0</v>
      </c>
      <c r="L1631" t="n">
        <v>0</v>
      </c>
      <c r="M1631" t="n">
        <v>0</v>
      </c>
      <c r="N1631" t="n">
        <v>0</v>
      </c>
      <c r="O1631" t="n">
        <v>0</v>
      </c>
      <c r="P1631" t="n">
        <v>0</v>
      </c>
      <c r="Q1631" t="n">
        <v>0</v>
      </c>
      <c r="R1631" t="n">
        <v>0</v>
      </c>
      <c r="S1631" t="n">
        <v>0</v>
      </c>
      <c r="T1631" t="n">
        <v>0</v>
      </c>
      <c r="U1631" t="n">
        <v>0</v>
      </c>
      <c r="V1631" s="2" t="inlineStr"/>
    </row>
    <row r="1632" ht="15" customHeight="1">
      <c r="A1632" t="inlineStr">
        <is>
          <t>A 22431-2024</t>
        </is>
      </c>
      <c r="B1632" t="inlineStr">
        <is>
          <t>avverkningsanmälan</t>
        </is>
      </c>
      <c r="C1632" t="inlineStr">
        <is>
          <t>Föryngringsavverkning</t>
        </is>
      </c>
      <c r="D1632" s="1" t="n">
        <v>45446</v>
      </c>
      <c r="E1632" s="1" t="n">
        <v>46309</v>
      </c>
      <c r="F1632" t="inlineStr">
        <is>
          <t>UPPSALA LÄN</t>
        </is>
      </c>
      <c r="G1632" t="inlineStr">
        <is>
          <t>UPPSALA</t>
        </is>
      </c>
      <c r="H1632" t="inlineStr">
        <is>
          <t>Bergvik skog öst AB</t>
        </is>
      </c>
      <c r="I1632" t="n">
        <v>0.5</v>
      </c>
      <c r="J1632" t="n">
        <v>0</v>
      </c>
      <c r="K1632" t="n">
        <v>0</v>
      </c>
      <c r="L1632" t="n">
        <v>0</v>
      </c>
      <c r="M1632" t="n">
        <v>0</v>
      </c>
      <c r="N1632" t="n">
        <v>0</v>
      </c>
      <c r="O1632" t="n">
        <v>0</v>
      </c>
      <c r="P1632" t="n">
        <v>0</v>
      </c>
      <c r="Q1632" t="n">
        <v>0</v>
      </c>
      <c r="R1632" t="n">
        <v>0</v>
      </c>
      <c r="S1632" t="n">
        <v>0</v>
      </c>
      <c r="T1632" t="n">
        <v>0</v>
      </c>
      <c r="U1632" t="n">
        <v>0</v>
      </c>
      <c r="V1632" s="2" t="inlineStr"/>
    </row>
    <row r="1633" ht="15" customHeight="1">
      <c r="A1633" t="inlineStr">
        <is>
          <t>A 7118-2023</t>
        </is>
      </c>
      <c r="B1633" t="inlineStr">
        <is>
          <t>avverkningsanmälan</t>
        </is>
      </c>
      <c r="C1633" t="inlineStr">
        <is>
          <t>Föryngringsavverkning</t>
        </is>
      </c>
      <c r="D1633" s="1" t="n">
        <v>44970</v>
      </c>
      <c r="E1633" s="1" t="n">
        <v>46309</v>
      </c>
      <c r="F1633" t="inlineStr">
        <is>
          <t>UPPSALA LÄN</t>
        </is>
      </c>
      <c r="G1633" t="inlineStr">
        <is>
          <t>ÖSTHAMMAR</t>
        </is>
      </c>
      <c r="I1633" t="n">
        <v>2.1</v>
      </c>
      <c r="J1633" t="n">
        <v>0</v>
      </c>
      <c r="K1633" t="n">
        <v>0</v>
      </c>
      <c r="L1633" t="n">
        <v>0</v>
      </c>
      <c r="M1633" t="n">
        <v>0</v>
      </c>
      <c r="N1633" t="n">
        <v>0</v>
      </c>
      <c r="O1633" t="n">
        <v>0</v>
      </c>
      <c r="P1633" t="n">
        <v>0</v>
      </c>
      <c r="Q1633" t="n">
        <v>0</v>
      </c>
      <c r="R1633" t="n">
        <v>0</v>
      </c>
      <c r="S1633" t="n">
        <v>0</v>
      </c>
      <c r="T1633" t="n">
        <v>0</v>
      </c>
      <c r="U1633" t="n">
        <v>0</v>
      </c>
      <c r="V1633" s="2" t="inlineStr"/>
    </row>
    <row r="1634" ht="15" customHeight="1">
      <c r="A1634" t="inlineStr">
        <is>
          <t>A 53891-2025</t>
        </is>
      </c>
      <c r="B1634" t="inlineStr">
        <is>
          <t>avverkningsanmälan</t>
        </is>
      </c>
      <c r="C1634" t="inlineStr">
        <is>
          <t>Föryngringsavverkning</t>
        </is>
      </c>
      <c r="D1634" s="1" t="n">
        <v>45961</v>
      </c>
      <c r="E1634" s="1" t="n">
        <v>46309</v>
      </c>
      <c r="F1634" t="inlineStr">
        <is>
          <t>UPPSALA LÄN</t>
        </is>
      </c>
      <c r="G1634" t="inlineStr">
        <is>
          <t>UPPSALA</t>
        </is>
      </c>
      <c r="I1634" t="n">
        <v>1.7</v>
      </c>
      <c r="J1634" t="n">
        <v>0</v>
      </c>
      <c r="K1634" t="n">
        <v>0</v>
      </c>
      <c r="L1634" t="n">
        <v>0</v>
      </c>
      <c r="M1634" t="n">
        <v>0</v>
      </c>
      <c r="N1634" t="n">
        <v>0</v>
      </c>
      <c r="O1634" t="n">
        <v>0</v>
      </c>
      <c r="P1634" t="n">
        <v>0</v>
      </c>
      <c r="Q1634" t="n">
        <v>0</v>
      </c>
      <c r="R1634" t="n">
        <v>0</v>
      </c>
      <c r="S1634" t="n">
        <v>0</v>
      </c>
      <c r="T1634" t="n">
        <v>0</v>
      </c>
      <c r="U1634" t="n">
        <v>0</v>
      </c>
      <c r="V1634" s="2" t="inlineStr"/>
    </row>
    <row r="1635" ht="15" customHeight="1">
      <c r="A1635" t="inlineStr">
        <is>
          <t>A 53886-2025</t>
        </is>
      </c>
      <c r="B1635" t="inlineStr">
        <is>
          <t>avverkningsanmälan</t>
        </is>
      </c>
      <c r="C1635" t="inlineStr">
        <is>
          <t>Föryngringsavverkning</t>
        </is>
      </c>
      <c r="D1635" s="1" t="n">
        <v>45961</v>
      </c>
      <c r="E1635" s="1" t="n">
        <v>46309</v>
      </c>
      <c r="F1635" t="inlineStr">
        <is>
          <t>UPPSALA LÄN</t>
        </is>
      </c>
      <c r="G1635" t="inlineStr">
        <is>
          <t>UPPSALA</t>
        </is>
      </c>
      <c r="I1635" t="n">
        <v>2</v>
      </c>
      <c r="J1635" t="n">
        <v>0</v>
      </c>
      <c r="K1635" t="n">
        <v>0</v>
      </c>
      <c r="L1635" t="n">
        <v>0</v>
      </c>
      <c r="M1635" t="n">
        <v>0</v>
      </c>
      <c r="N1635" t="n">
        <v>0</v>
      </c>
      <c r="O1635" t="n">
        <v>0</v>
      </c>
      <c r="P1635" t="n">
        <v>0</v>
      </c>
      <c r="Q1635" t="n">
        <v>0</v>
      </c>
      <c r="R1635" t="n">
        <v>0</v>
      </c>
      <c r="S1635" t="n">
        <v>0</v>
      </c>
      <c r="T1635" t="n">
        <v>0</v>
      </c>
      <c r="U1635" t="n">
        <v>0</v>
      </c>
      <c r="V1635" s="2" t="inlineStr"/>
    </row>
    <row r="1636" ht="15" customHeight="1">
      <c r="A1636" t="inlineStr">
        <is>
          <t>A 20995-2025</t>
        </is>
      </c>
      <c r="B1636" t="inlineStr">
        <is>
          <t>avverkningsanmälan</t>
        </is>
      </c>
      <c r="C1636" t="inlineStr">
        <is>
          <t>Föryngringsavverkning</t>
        </is>
      </c>
      <c r="D1636" s="1" t="n">
        <v>45777</v>
      </c>
      <c r="E1636" s="1" t="n">
        <v>46309</v>
      </c>
      <c r="F1636" t="inlineStr">
        <is>
          <t>UPPSALA LÄN</t>
        </is>
      </c>
      <c r="G1636" t="inlineStr">
        <is>
          <t>HEBY</t>
        </is>
      </c>
      <c r="I1636" t="n">
        <v>6.5</v>
      </c>
      <c r="J1636" t="n">
        <v>0</v>
      </c>
      <c r="K1636" t="n">
        <v>0</v>
      </c>
      <c r="L1636" t="n">
        <v>0</v>
      </c>
      <c r="M1636" t="n">
        <v>0</v>
      </c>
      <c r="N1636" t="n">
        <v>0</v>
      </c>
      <c r="O1636" t="n">
        <v>0</v>
      </c>
      <c r="P1636" t="n">
        <v>0</v>
      </c>
      <c r="Q1636" t="n">
        <v>0</v>
      </c>
      <c r="R1636" t="n">
        <v>0</v>
      </c>
      <c r="S1636" t="n">
        <v>0</v>
      </c>
      <c r="T1636" t="n">
        <v>0</v>
      </c>
      <c r="U1636" t="n">
        <v>0</v>
      </c>
      <c r="V1636" s="2" t="inlineStr"/>
    </row>
    <row r="1637" ht="15" customHeight="1">
      <c r="A1637" t="inlineStr">
        <is>
          <t>A 54458-2025</t>
        </is>
      </c>
      <c r="B1637" t="inlineStr">
        <is>
          <t>avverkningsanmälan</t>
        </is>
      </c>
      <c r="C1637" t="inlineStr">
        <is>
          <t>Föryngringsavverkning</t>
        </is>
      </c>
      <c r="D1637" s="1" t="n">
        <v>45965</v>
      </c>
      <c r="E1637" s="1" t="n">
        <v>46309</v>
      </c>
      <c r="F1637" t="inlineStr">
        <is>
          <t>UPPSALA LÄN</t>
        </is>
      </c>
      <c r="G1637" t="inlineStr">
        <is>
          <t>TIERP</t>
        </is>
      </c>
      <c r="H1637" t="inlineStr">
        <is>
          <t>Bergvik skog öst AB</t>
        </is>
      </c>
      <c r="I1637" t="n">
        <v>1.2</v>
      </c>
      <c r="J1637" t="n">
        <v>0</v>
      </c>
      <c r="K1637" t="n">
        <v>0</v>
      </c>
      <c r="L1637" t="n">
        <v>0</v>
      </c>
      <c r="M1637" t="n">
        <v>0</v>
      </c>
      <c r="N1637" t="n">
        <v>0</v>
      </c>
      <c r="O1637" t="n">
        <v>0</v>
      </c>
      <c r="P1637" t="n">
        <v>0</v>
      </c>
      <c r="Q1637" t="n">
        <v>0</v>
      </c>
      <c r="R1637" t="n">
        <v>0</v>
      </c>
      <c r="S1637" t="n">
        <v>0</v>
      </c>
      <c r="T1637" t="n">
        <v>0</v>
      </c>
      <c r="U1637" t="n">
        <v>0</v>
      </c>
      <c r="V1637" s="2" t="inlineStr"/>
    </row>
    <row r="1638" ht="15" customHeight="1">
      <c r="A1638" t="inlineStr">
        <is>
          <t>A 21032-2022</t>
        </is>
      </c>
      <c r="B1638" t="inlineStr">
        <is>
          <t>avverkningsanmälan</t>
        </is>
      </c>
      <c r="C1638" t="inlineStr">
        <is>
          <t>Föryngringsavverkning</t>
        </is>
      </c>
      <c r="D1638" s="1" t="n">
        <v>44704</v>
      </c>
      <c r="E1638" s="1" t="n">
        <v>46309</v>
      </c>
      <c r="F1638" t="inlineStr">
        <is>
          <t>UPPSALA LÄN</t>
        </is>
      </c>
      <c r="G1638" t="inlineStr">
        <is>
          <t>TIERP</t>
        </is>
      </c>
      <c r="H1638" t="inlineStr">
        <is>
          <t>Bergvik skog öst AB</t>
        </is>
      </c>
      <c r="I1638" t="n">
        <v>3.1</v>
      </c>
      <c r="J1638" t="n">
        <v>0</v>
      </c>
      <c r="K1638" t="n">
        <v>0</v>
      </c>
      <c r="L1638" t="n">
        <v>0</v>
      </c>
      <c r="M1638" t="n">
        <v>0</v>
      </c>
      <c r="N1638" t="n">
        <v>0</v>
      </c>
      <c r="O1638" t="n">
        <v>0</v>
      </c>
      <c r="P1638" t="n">
        <v>0</v>
      </c>
      <c r="Q1638" t="n">
        <v>0</v>
      </c>
      <c r="R1638" t="n">
        <v>0</v>
      </c>
      <c r="S1638" t="n">
        <v>0</v>
      </c>
      <c r="T1638" t="n">
        <v>0</v>
      </c>
      <c r="U1638" t="n">
        <v>0</v>
      </c>
      <c r="V1638" s="2" t="inlineStr"/>
    </row>
    <row r="1639" ht="15" customHeight="1">
      <c r="A1639" t="inlineStr">
        <is>
          <t>A 5469-2026</t>
        </is>
      </c>
      <c r="B1639" t="inlineStr">
        <is>
          <t>avverkningsanmälan</t>
        </is>
      </c>
      <c r="C1639" t="inlineStr">
        <is>
          <t>Avverkning för annat ändamål</t>
        </is>
      </c>
      <c r="D1639" s="1" t="n">
        <v>46050</v>
      </c>
      <c r="E1639" s="1" t="n">
        <v>46309</v>
      </c>
      <c r="F1639" t="inlineStr">
        <is>
          <t>UPPSALA LÄN</t>
        </is>
      </c>
      <c r="G1639" t="inlineStr">
        <is>
          <t>ÖSTHAMMAR</t>
        </is>
      </c>
      <c r="H1639" t="inlineStr">
        <is>
          <t>Övriga Aktiebolag</t>
        </is>
      </c>
      <c r="I1639" t="n">
        <v>1</v>
      </c>
      <c r="J1639" t="n">
        <v>0</v>
      </c>
      <c r="K1639" t="n">
        <v>0</v>
      </c>
      <c r="L1639" t="n">
        <v>0</v>
      </c>
      <c r="M1639" t="n">
        <v>0</v>
      </c>
      <c r="N1639" t="n">
        <v>0</v>
      </c>
      <c r="O1639" t="n">
        <v>0</v>
      </c>
      <c r="P1639" t="n">
        <v>0</v>
      </c>
      <c r="Q1639" t="n">
        <v>0</v>
      </c>
      <c r="R1639" t="n">
        <v>0</v>
      </c>
      <c r="S1639" t="n">
        <v>0</v>
      </c>
      <c r="T1639" t="n">
        <v>0</v>
      </c>
      <c r="U1639" t="n">
        <v>0</v>
      </c>
      <c r="V1639" s="2" t="inlineStr"/>
    </row>
    <row r="1640" ht="15" customHeight="1">
      <c r="A1640" t="inlineStr">
        <is>
          <t>A 18781-2022</t>
        </is>
      </c>
      <c r="B1640" t="inlineStr">
        <is>
          <t>avverkningsanmälan</t>
        </is>
      </c>
      <c r="C1640" t="inlineStr">
        <is>
          <t>Föryngringsavverkning</t>
        </is>
      </c>
      <c r="D1640" s="1" t="n">
        <v>44689</v>
      </c>
      <c r="E1640" s="1" t="n">
        <v>46309</v>
      </c>
      <c r="F1640" t="inlineStr">
        <is>
          <t>UPPSALA LÄN</t>
        </is>
      </c>
      <c r="G1640" t="inlineStr">
        <is>
          <t>TIERP</t>
        </is>
      </c>
      <c r="H1640" t="inlineStr">
        <is>
          <t>Kyrkan</t>
        </is>
      </c>
      <c r="I1640" t="n">
        <v>8.4</v>
      </c>
      <c r="J1640" t="n">
        <v>0</v>
      </c>
      <c r="K1640" t="n">
        <v>0</v>
      </c>
      <c r="L1640" t="n">
        <v>0</v>
      </c>
      <c r="M1640" t="n">
        <v>0</v>
      </c>
      <c r="N1640" t="n">
        <v>0</v>
      </c>
      <c r="O1640" t="n">
        <v>0</v>
      </c>
      <c r="P1640" t="n">
        <v>0</v>
      </c>
      <c r="Q1640" t="n">
        <v>0</v>
      </c>
      <c r="R1640" t="n">
        <v>0</v>
      </c>
      <c r="S1640" t="n">
        <v>0</v>
      </c>
      <c r="T1640" t="n">
        <v>0</v>
      </c>
      <c r="U1640" t="n">
        <v>0</v>
      </c>
      <c r="V1640" s="2" t="inlineStr"/>
    </row>
    <row r="1641" ht="15" customHeight="1">
      <c r="A1641" t="inlineStr">
        <is>
          <t>A 30351-2022</t>
        </is>
      </c>
      <c r="B1641" t="inlineStr">
        <is>
          <t>avverkningsanmälan</t>
        </is>
      </c>
      <c r="C1641" t="inlineStr">
        <is>
          <t>Föryngringsavverkning</t>
        </is>
      </c>
      <c r="D1641" s="1" t="n">
        <v>44757</v>
      </c>
      <c r="E1641" s="1" t="n">
        <v>46309</v>
      </c>
      <c r="F1641" t="inlineStr">
        <is>
          <t>UPPSALA LÄN</t>
        </is>
      </c>
      <c r="G1641" t="inlineStr">
        <is>
          <t>KNIVSTA</t>
        </is>
      </c>
      <c r="I1641" t="n">
        <v>5.7</v>
      </c>
      <c r="J1641" t="n">
        <v>0</v>
      </c>
      <c r="K1641" t="n">
        <v>0</v>
      </c>
      <c r="L1641" t="n">
        <v>0</v>
      </c>
      <c r="M1641" t="n">
        <v>0</v>
      </c>
      <c r="N1641" t="n">
        <v>0</v>
      </c>
      <c r="O1641" t="n">
        <v>0</v>
      </c>
      <c r="P1641" t="n">
        <v>0</v>
      </c>
      <c r="Q1641" t="n">
        <v>0</v>
      </c>
      <c r="R1641" t="n">
        <v>0</v>
      </c>
      <c r="S1641" t="n">
        <v>0</v>
      </c>
      <c r="T1641" t="n">
        <v>0</v>
      </c>
      <c r="U1641" t="n">
        <v>0</v>
      </c>
      <c r="V1641" s="2" t="inlineStr"/>
    </row>
    <row r="1642" ht="15" customHeight="1">
      <c r="A1642" t="inlineStr">
        <is>
          <t>A 21686-2022</t>
        </is>
      </c>
      <c r="B1642" t="inlineStr">
        <is>
          <t>avverkningsanmälan</t>
        </is>
      </c>
      <c r="C1642" t="inlineStr">
        <is>
          <t>Föryngringsavverkning</t>
        </is>
      </c>
      <c r="D1642" s="1" t="n">
        <v>44707</v>
      </c>
      <c r="E1642" s="1" t="n">
        <v>46309</v>
      </c>
      <c r="F1642" t="inlineStr">
        <is>
          <t>UPPSALA LÄN</t>
        </is>
      </c>
      <c r="G1642" t="inlineStr">
        <is>
          <t>ENKÖPING</t>
        </is>
      </c>
      <c r="I1642" t="n">
        <v>2.2</v>
      </c>
      <c r="J1642" t="n">
        <v>0</v>
      </c>
      <c r="K1642" t="n">
        <v>0</v>
      </c>
      <c r="L1642" t="n">
        <v>0</v>
      </c>
      <c r="M1642" t="n">
        <v>0</v>
      </c>
      <c r="N1642" t="n">
        <v>0</v>
      </c>
      <c r="O1642" t="n">
        <v>0</v>
      </c>
      <c r="P1642" t="n">
        <v>0</v>
      </c>
      <c r="Q1642" t="n">
        <v>0</v>
      </c>
      <c r="R1642" t="n">
        <v>0</v>
      </c>
      <c r="S1642" t="n">
        <v>0</v>
      </c>
      <c r="T1642" t="n">
        <v>0</v>
      </c>
      <c r="U1642" t="n">
        <v>0</v>
      </c>
      <c r="V1642" s="2" t="inlineStr"/>
    </row>
    <row r="1643" ht="15" customHeight="1">
      <c r="A1643" t="inlineStr">
        <is>
          <t>A 54634-2025</t>
        </is>
      </c>
      <c r="B1643" t="inlineStr">
        <is>
          <t>avverkningsanmälan</t>
        </is>
      </c>
      <c r="C1643" t="inlineStr">
        <is>
          <t>Föryngringsavverkning</t>
        </is>
      </c>
      <c r="D1643" s="1" t="n">
        <v>45966</v>
      </c>
      <c r="E1643" s="1" t="n">
        <v>46309</v>
      </c>
      <c r="F1643" t="inlineStr">
        <is>
          <t>UPPSALA LÄN</t>
        </is>
      </c>
      <c r="G1643" t="inlineStr">
        <is>
          <t>TIERP</t>
        </is>
      </c>
      <c r="H1643" t="inlineStr">
        <is>
          <t>Bergvik skog väst AB</t>
        </is>
      </c>
      <c r="I1643" t="n">
        <v>1.1</v>
      </c>
      <c r="J1643" t="n">
        <v>0</v>
      </c>
      <c r="K1643" t="n">
        <v>0</v>
      </c>
      <c r="L1643" t="n">
        <v>0</v>
      </c>
      <c r="M1643" t="n">
        <v>0</v>
      </c>
      <c r="N1643" t="n">
        <v>0</v>
      </c>
      <c r="O1643" t="n">
        <v>0</v>
      </c>
      <c r="P1643" t="n">
        <v>0</v>
      </c>
      <c r="Q1643" t="n">
        <v>0</v>
      </c>
      <c r="R1643" t="n">
        <v>0</v>
      </c>
      <c r="S1643" t="n">
        <v>0</v>
      </c>
      <c r="T1643" t="n">
        <v>0</v>
      </c>
      <c r="U1643" t="n">
        <v>0</v>
      </c>
      <c r="V1643" s="2" t="inlineStr"/>
    </row>
    <row r="1644" ht="15" customHeight="1">
      <c r="A1644" t="inlineStr">
        <is>
          <t>A 54844-2025</t>
        </is>
      </c>
      <c r="B1644" t="inlineStr">
        <is>
          <t>avverkningsanmälan</t>
        </is>
      </c>
      <c r="C1644" t="inlineStr">
        <is>
          <t>Föryngringsavverkning</t>
        </is>
      </c>
      <c r="D1644" s="1" t="n">
        <v>45966</v>
      </c>
      <c r="E1644" s="1" t="n">
        <v>46309</v>
      </c>
      <c r="F1644" t="inlineStr">
        <is>
          <t>UPPSALA LÄN</t>
        </is>
      </c>
      <c r="G1644" t="inlineStr">
        <is>
          <t>ENKÖPING</t>
        </is>
      </c>
      <c r="I1644" t="n">
        <v>5.5</v>
      </c>
      <c r="J1644" t="n">
        <v>0</v>
      </c>
      <c r="K1644" t="n">
        <v>0</v>
      </c>
      <c r="L1644" t="n">
        <v>0</v>
      </c>
      <c r="M1644" t="n">
        <v>0</v>
      </c>
      <c r="N1644" t="n">
        <v>0</v>
      </c>
      <c r="O1644" t="n">
        <v>0</v>
      </c>
      <c r="P1644" t="n">
        <v>0</v>
      </c>
      <c r="Q1644" t="n">
        <v>0</v>
      </c>
      <c r="R1644" t="n">
        <v>0</v>
      </c>
      <c r="S1644" t="n">
        <v>0</v>
      </c>
      <c r="T1644" t="n">
        <v>0</v>
      </c>
      <c r="U1644" t="n">
        <v>0</v>
      </c>
      <c r="V1644" s="2" t="inlineStr"/>
    </row>
    <row r="1645" ht="15" customHeight="1">
      <c r="A1645" t="inlineStr">
        <is>
          <t>A 54635-2025</t>
        </is>
      </c>
      <c r="B1645" t="inlineStr">
        <is>
          <t>avverkningsanmälan</t>
        </is>
      </c>
      <c r="C1645" t="inlineStr">
        <is>
          <t>Föryngringsavverkning</t>
        </is>
      </c>
      <c r="D1645" s="1" t="n">
        <v>45966</v>
      </c>
      <c r="E1645" s="1" t="n">
        <v>46309</v>
      </c>
      <c r="F1645" t="inlineStr">
        <is>
          <t>UPPSALA LÄN</t>
        </is>
      </c>
      <c r="G1645" t="inlineStr">
        <is>
          <t>HEBY</t>
        </is>
      </c>
      <c r="I1645" t="n">
        <v>0.6</v>
      </c>
      <c r="J1645" t="n">
        <v>0</v>
      </c>
      <c r="K1645" t="n">
        <v>0</v>
      </c>
      <c r="L1645" t="n">
        <v>0</v>
      </c>
      <c r="M1645" t="n">
        <v>0</v>
      </c>
      <c r="N1645" t="n">
        <v>0</v>
      </c>
      <c r="O1645" t="n">
        <v>0</v>
      </c>
      <c r="P1645" t="n">
        <v>0</v>
      </c>
      <c r="Q1645" t="n">
        <v>0</v>
      </c>
      <c r="R1645" t="n">
        <v>0</v>
      </c>
      <c r="S1645" t="n">
        <v>0</v>
      </c>
      <c r="T1645" t="n">
        <v>0</v>
      </c>
      <c r="U1645" t="n">
        <v>0</v>
      </c>
      <c r="V1645" s="2" t="inlineStr"/>
    </row>
    <row r="1646" ht="15" customHeight="1">
      <c r="A1646" t="inlineStr">
        <is>
          <t>A 54647-2025</t>
        </is>
      </c>
      <c r="B1646" t="inlineStr">
        <is>
          <t>avverkningsanmälan</t>
        </is>
      </c>
      <c r="C1646" t="inlineStr">
        <is>
          <t>Föryngringsavverkning</t>
        </is>
      </c>
      <c r="D1646" s="1" t="n">
        <v>45966</v>
      </c>
      <c r="E1646" s="1" t="n">
        <v>46309</v>
      </c>
      <c r="F1646" t="inlineStr">
        <is>
          <t>UPPSALA LÄN</t>
        </is>
      </c>
      <c r="G1646" t="inlineStr">
        <is>
          <t>ÖSTHAMMAR</t>
        </is>
      </c>
      <c r="I1646" t="n">
        <v>4.3</v>
      </c>
      <c r="J1646" t="n">
        <v>0</v>
      </c>
      <c r="K1646" t="n">
        <v>0</v>
      </c>
      <c r="L1646" t="n">
        <v>0</v>
      </c>
      <c r="M1646" t="n">
        <v>0</v>
      </c>
      <c r="N1646" t="n">
        <v>0</v>
      </c>
      <c r="O1646" t="n">
        <v>0</v>
      </c>
      <c r="P1646" t="n">
        <v>0</v>
      </c>
      <c r="Q1646" t="n">
        <v>0</v>
      </c>
      <c r="R1646" t="n">
        <v>0</v>
      </c>
      <c r="S1646" t="n">
        <v>0</v>
      </c>
      <c r="T1646" t="n">
        <v>0</v>
      </c>
      <c r="U1646" t="n">
        <v>0</v>
      </c>
      <c r="V1646" s="2" t="inlineStr"/>
    </row>
    <row r="1647" ht="15" customHeight="1">
      <c r="A1647" t="inlineStr">
        <is>
          <t>A 54649-2025</t>
        </is>
      </c>
      <c r="B1647" t="inlineStr">
        <is>
          <t>avverkningsanmälan</t>
        </is>
      </c>
      <c r="C1647" t="inlineStr">
        <is>
          <t>Föryngringsavverkning</t>
        </is>
      </c>
      <c r="D1647" s="1" t="n">
        <v>45966</v>
      </c>
      <c r="E1647" s="1" t="n">
        <v>46309</v>
      </c>
      <c r="F1647" t="inlineStr">
        <is>
          <t>UPPSALA LÄN</t>
        </is>
      </c>
      <c r="G1647" t="inlineStr">
        <is>
          <t>ÖSTHAMMAR</t>
        </is>
      </c>
      <c r="I1647" t="n">
        <v>0.5</v>
      </c>
      <c r="J1647" t="n">
        <v>0</v>
      </c>
      <c r="K1647" t="n">
        <v>0</v>
      </c>
      <c r="L1647" t="n">
        <v>0</v>
      </c>
      <c r="M1647" t="n">
        <v>0</v>
      </c>
      <c r="N1647" t="n">
        <v>0</v>
      </c>
      <c r="O1647" t="n">
        <v>0</v>
      </c>
      <c r="P1647" t="n">
        <v>0</v>
      </c>
      <c r="Q1647" t="n">
        <v>0</v>
      </c>
      <c r="R1647" t="n">
        <v>0</v>
      </c>
      <c r="S1647" t="n">
        <v>0</v>
      </c>
      <c r="T1647" t="n">
        <v>0</v>
      </c>
      <c r="U1647" t="n">
        <v>0</v>
      </c>
      <c r="V1647" s="2" t="inlineStr"/>
    </row>
    <row r="1648" ht="15" customHeight="1">
      <c r="A1648" t="inlineStr">
        <is>
          <t>A 29479-2022</t>
        </is>
      </c>
      <c r="B1648" t="inlineStr">
        <is>
          <t>avverkningsanmälan</t>
        </is>
      </c>
      <c r="C1648" t="inlineStr">
        <is>
          <t>Föryngringsavverkning</t>
        </is>
      </c>
      <c r="D1648" s="1" t="n">
        <v>44753</v>
      </c>
      <c r="E1648" s="1" t="n">
        <v>46309</v>
      </c>
      <c r="F1648" t="inlineStr">
        <is>
          <t>UPPSALA LÄN</t>
        </is>
      </c>
      <c r="G1648" t="inlineStr">
        <is>
          <t>ENKÖPING</t>
        </is>
      </c>
      <c r="I1648" t="n">
        <v>0.9</v>
      </c>
      <c r="J1648" t="n">
        <v>0</v>
      </c>
      <c r="K1648" t="n">
        <v>0</v>
      </c>
      <c r="L1648" t="n">
        <v>0</v>
      </c>
      <c r="M1648" t="n">
        <v>0</v>
      </c>
      <c r="N1648" t="n">
        <v>0</v>
      </c>
      <c r="O1648" t="n">
        <v>0</v>
      </c>
      <c r="P1648" t="n">
        <v>0</v>
      </c>
      <c r="Q1648" t="n">
        <v>0</v>
      </c>
      <c r="R1648" t="n">
        <v>0</v>
      </c>
      <c r="S1648" t="n">
        <v>0</v>
      </c>
      <c r="T1648" t="n">
        <v>0</v>
      </c>
      <c r="U1648" t="n">
        <v>0</v>
      </c>
      <c r="V1648" s="2" t="inlineStr"/>
    </row>
    <row r="1649" ht="15" customHeight="1">
      <c r="A1649" t="inlineStr">
        <is>
          <t>A 21017-2023</t>
        </is>
      </c>
      <c r="B1649" t="inlineStr">
        <is>
          <t>avverkningsanmälan</t>
        </is>
      </c>
      <c r="C1649" t="inlineStr">
        <is>
          <t>Föryngringsavverkning</t>
        </is>
      </c>
      <c r="D1649" s="1" t="n">
        <v>45061</v>
      </c>
      <c r="E1649" s="1" t="n">
        <v>46309</v>
      </c>
      <c r="F1649" t="inlineStr">
        <is>
          <t>UPPSALA LÄN</t>
        </is>
      </c>
      <c r="G1649" t="inlineStr">
        <is>
          <t>ENKÖPING</t>
        </is>
      </c>
      <c r="I1649" t="n">
        <v>4.8</v>
      </c>
      <c r="J1649" t="n">
        <v>0</v>
      </c>
      <c r="K1649" t="n">
        <v>0</v>
      </c>
      <c r="L1649" t="n">
        <v>0</v>
      </c>
      <c r="M1649" t="n">
        <v>0</v>
      </c>
      <c r="N1649" t="n">
        <v>0</v>
      </c>
      <c r="O1649" t="n">
        <v>0</v>
      </c>
      <c r="P1649" t="n">
        <v>0</v>
      </c>
      <c r="Q1649" t="n">
        <v>0</v>
      </c>
      <c r="R1649" t="n">
        <v>0</v>
      </c>
      <c r="S1649" t="n">
        <v>0</v>
      </c>
      <c r="T1649" t="n">
        <v>0</v>
      </c>
      <c r="U1649" t="n">
        <v>0</v>
      </c>
      <c r="V1649" s="2" t="inlineStr"/>
    </row>
    <row r="1650" ht="15" customHeight="1">
      <c r="A1650" t="inlineStr">
        <is>
          <t>A 31574-2022</t>
        </is>
      </c>
      <c r="B1650" t="inlineStr">
        <is>
          <t>avverkningsanmälan</t>
        </is>
      </c>
      <c r="C1650" t="inlineStr">
        <is>
          <t>Föryngringsavverkning</t>
        </is>
      </c>
      <c r="D1650" s="1" t="n">
        <v>44775</v>
      </c>
      <c r="E1650" s="1" t="n">
        <v>46309</v>
      </c>
      <c r="F1650" t="inlineStr">
        <is>
          <t>UPPSALA LÄN</t>
        </is>
      </c>
      <c r="G1650" t="inlineStr">
        <is>
          <t>ÖSTHAMMAR</t>
        </is>
      </c>
      <c r="I1650" t="n">
        <v>29.7</v>
      </c>
      <c r="J1650" t="n">
        <v>0</v>
      </c>
      <c r="K1650" t="n">
        <v>0</v>
      </c>
      <c r="L1650" t="n">
        <v>0</v>
      </c>
      <c r="M1650" t="n">
        <v>0</v>
      </c>
      <c r="N1650" t="n">
        <v>0</v>
      </c>
      <c r="O1650" t="n">
        <v>0</v>
      </c>
      <c r="P1650" t="n">
        <v>0</v>
      </c>
      <c r="Q1650" t="n">
        <v>0</v>
      </c>
      <c r="R1650" t="n">
        <v>0</v>
      </c>
      <c r="S1650" t="n">
        <v>0</v>
      </c>
      <c r="T1650" t="n">
        <v>0</v>
      </c>
      <c r="U1650" t="n">
        <v>0</v>
      </c>
      <c r="V1650" s="2" t="inlineStr"/>
    </row>
    <row r="1651" ht="15" customHeight="1">
      <c r="A1651" t="inlineStr">
        <is>
          <t>A 54393-2025</t>
        </is>
      </c>
      <c r="B1651" t="inlineStr">
        <is>
          <t>avverkningsanmälan</t>
        </is>
      </c>
      <c r="C1651" t="inlineStr">
        <is>
          <t>Föryngringsavverkning</t>
        </is>
      </c>
      <c r="D1651" s="1" t="n">
        <v>45965</v>
      </c>
      <c r="E1651" s="1" t="n">
        <v>46309</v>
      </c>
      <c r="F1651" t="inlineStr">
        <is>
          <t>UPPSALA LÄN</t>
        </is>
      </c>
      <c r="G1651" t="inlineStr">
        <is>
          <t>UPPSALA</t>
        </is>
      </c>
      <c r="H1651" t="inlineStr">
        <is>
          <t>Kyrkan</t>
        </is>
      </c>
      <c r="I1651" t="n">
        <v>1</v>
      </c>
      <c r="J1651" t="n">
        <v>0</v>
      </c>
      <c r="K1651" t="n">
        <v>0</v>
      </c>
      <c r="L1651" t="n">
        <v>0</v>
      </c>
      <c r="M1651" t="n">
        <v>0</v>
      </c>
      <c r="N1651" t="n">
        <v>0</v>
      </c>
      <c r="O1651" t="n">
        <v>0</v>
      </c>
      <c r="P1651" t="n">
        <v>0</v>
      </c>
      <c r="Q1651" t="n">
        <v>0</v>
      </c>
      <c r="R1651" t="n">
        <v>0</v>
      </c>
      <c r="S1651" t="n">
        <v>0</v>
      </c>
      <c r="T1651" t="n">
        <v>0</v>
      </c>
      <c r="U1651" t="n">
        <v>0</v>
      </c>
      <c r="V1651" s="2" t="inlineStr"/>
    </row>
    <row r="1652" ht="15" customHeight="1">
      <c r="A1652" t="inlineStr">
        <is>
          <t>A 11847-2023</t>
        </is>
      </c>
      <c r="B1652" t="inlineStr">
        <is>
          <t>avverkningsanmälan</t>
        </is>
      </c>
      <c r="C1652" t="inlineStr">
        <is>
          <t>Föryngringsavverkning</t>
        </is>
      </c>
      <c r="D1652" s="1" t="n">
        <v>44995</v>
      </c>
      <c r="E1652" s="1" t="n">
        <v>46309</v>
      </c>
      <c r="F1652" t="inlineStr">
        <is>
          <t>UPPSALA LÄN</t>
        </is>
      </c>
      <c r="G1652" t="inlineStr">
        <is>
          <t>KNIVSTA</t>
        </is>
      </c>
      <c r="I1652" t="n">
        <v>2.1</v>
      </c>
      <c r="J1652" t="n">
        <v>0</v>
      </c>
      <c r="K1652" t="n">
        <v>0</v>
      </c>
      <c r="L1652" t="n">
        <v>0</v>
      </c>
      <c r="M1652" t="n">
        <v>0</v>
      </c>
      <c r="N1652" t="n">
        <v>0</v>
      </c>
      <c r="O1652" t="n">
        <v>0</v>
      </c>
      <c r="P1652" t="n">
        <v>0</v>
      </c>
      <c r="Q1652" t="n">
        <v>0</v>
      </c>
      <c r="R1652" t="n">
        <v>0</v>
      </c>
      <c r="S1652" t="n">
        <v>0</v>
      </c>
      <c r="T1652" t="n">
        <v>0</v>
      </c>
      <c r="U1652" t="n">
        <v>0</v>
      </c>
      <c r="V1652" s="2" t="inlineStr"/>
    </row>
    <row r="1653" ht="15" customHeight="1">
      <c r="A1653" t="inlineStr">
        <is>
          <t>A 56884-2022</t>
        </is>
      </c>
      <c r="B1653" t="inlineStr">
        <is>
          <t>avverkningsanmälan</t>
        </is>
      </c>
      <c r="C1653" t="inlineStr">
        <is>
          <t>Föryngringsavverkning</t>
        </is>
      </c>
      <c r="D1653" s="1" t="n">
        <v>44888</v>
      </c>
      <c r="E1653" s="1" t="n">
        <v>46309</v>
      </c>
      <c r="F1653" t="inlineStr">
        <is>
          <t>UPPSALA LÄN</t>
        </is>
      </c>
      <c r="G1653" t="inlineStr">
        <is>
          <t>HEBY</t>
        </is>
      </c>
      <c r="H1653" t="inlineStr">
        <is>
          <t>Bergvik skog väst AB</t>
        </is>
      </c>
      <c r="I1653" t="n">
        <v>2.3</v>
      </c>
      <c r="J1653" t="n">
        <v>0</v>
      </c>
      <c r="K1653" t="n">
        <v>0</v>
      </c>
      <c r="L1653" t="n">
        <v>0</v>
      </c>
      <c r="M1653" t="n">
        <v>0</v>
      </c>
      <c r="N1653" t="n">
        <v>0</v>
      </c>
      <c r="O1653" t="n">
        <v>0</v>
      </c>
      <c r="P1653" t="n">
        <v>0</v>
      </c>
      <c r="Q1653" t="n">
        <v>0</v>
      </c>
      <c r="R1653" t="n">
        <v>0</v>
      </c>
      <c r="S1653" t="n">
        <v>0</v>
      </c>
      <c r="T1653" t="n">
        <v>0</v>
      </c>
      <c r="U1653" t="n">
        <v>0</v>
      </c>
      <c r="V1653" s="2" t="inlineStr"/>
    </row>
    <row r="1654" ht="15" customHeight="1">
      <c r="A1654" t="inlineStr">
        <is>
          <t>A 38521-2025</t>
        </is>
      </c>
      <c r="B1654" t="inlineStr">
        <is>
          <t>avverkningsanmälan</t>
        </is>
      </c>
      <c r="C1654" t="inlineStr">
        <is>
          <t>Föryngringsavverkning</t>
        </is>
      </c>
      <c r="D1654" s="1" t="n">
        <v>45884</v>
      </c>
      <c r="E1654" s="1" t="n">
        <v>46309</v>
      </c>
      <c r="F1654" t="inlineStr">
        <is>
          <t>UPPSALA LÄN</t>
        </is>
      </c>
      <c r="G1654" t="inlineStr">
        <is>
          <t>HEBY</t>
        </is>
      </c>
      <c r="H1654" t="inlineStr">
        <is>
          <t>Bergvik skog väst AB</t>
        </is>
      </c>
      <c r="I1654" t="n">
        <v>3.7</v>
      </c>
      <c r="J1654" t="n">
        <v>0</v>
      </c>
      <c r="K1654" t="n">
        <v>0</v>
      </c>
      <c r="L1654" t="n">
        <v>0</v>
      </c>
      <c r="M1654" t="n">
        <v>0</v>
      </c>
      <c r="N1654" t="n">
        <v>0</v>
      </c>
      <c r="O1654" t="n">
        <v>0</v>
      </c>
      <c r="P1654" t="n">
        <v>0</v>
      </c>
      <c r="Q1654" t="n">
        <v>0</v>
      </c>
      <c r="R1654" t="n">
        <v>0</v>
      </c>
      <c r="S1654" t="n">
        <v>0</v>
      </c>
      <c r="T1654" t="n">
        <v>0</v>
      </c>
      <c r="U1654" t="n">
        <v>0</v>
      </c>
      <c r="V1654" s="2" t="inlineStr"/>
    </row>
    <row r="1655" ht="15" customHeight="1">
      <c r="A1655" t="inlineStr">
        <is>
          <t>A 5569-2026</t>
        </is>
      </c>
      <c r="B1655" t="inlineStr">
        <is>
          <t>avverkningsanmälan</t>
        </is>
      </c>
      <c r="C1655" t="inlineStr">
        <is>
          <t>Föryngringsavverkning</t>
        </is>
      </c>
      <c r="D1655" s="1" t="n">
        <v>46050</v>
      </c>
      <c r="E1655" s="1" t="n">
        <v>46309</v>
      </c>
      <c r="F1655" t="inlineStr">
        <is>
          <t>UPPSALA LÄN</t>
        </is>
      </c>
      <c r="G1655" t="inlineStr">
        <is>
          <t>ENKÖPING</t>
        </is>
      </c>
      <c r="I1655" t="n">
        <v>1.6</v>
      </c>
      <c r="J1655" t="n">
        <v>0</v>
      </c>
      <c r="K1655" t="n">
        <v>0</v>
      </c>
      <c r="L1655" t="n">
        <v>0</v>
      </c>
      <c r="M1655" t="n">
        <v>0</v>
      </c>
      <c r="N1655" t="n">
        <v>0</v>
      </c>
      <c r="O1655" t="n">
        <v>0</v>
      </c>
      <c r="P1655" t="n">
        <v>0</v>
      </c>
      <c r="Q1655" t="n">
        <v>0</v>
      </c>
      <c r="R1655" t="n">
        <v>0</v>
      </c>
      <c r="S1655" t="n">
        <v>0</v>
      </c>
      <c r="T1655" t="n">
        <v>0</v>
      </c>
      <c r="U1655" t="n">
        <v>0</v>
      </c>
      <c r="V1655" s="2" t="inlineStr"/>
    </row>
    <row r="1656" ht="15" customHeight="1">
      <c r="A1656" t="inlineStr">
        <is>
          <t>A 18677-2024</t>
        </is>
      </c>
      <c r="B1656" t="inlineStr">
        <is>
          <t>avverkningsanmälan</t>
        </is>
      </c>
      <c r="C1656" t="inlineStr">
        <is>
          <t>Föryngringsavverkning</t>
        </is>
      </c>
      <c r="D1656" s="1" t="n">
        <v>45426</v>
      </c>
      <c r="E1656" s="1" t="n">
        <v>46309</v>
      </c>
      <c r="F1656" t="inlineStr">
        <is>
          <t>UPPSALA LÄN</t>
        </is>
      </c>
      <c r="G1656" t="inlineStr">
        <is>
          <t>UPPSALA</t>
        </is>
      </c>
      <c r="I1656" t="n">
        <v>2.8</v>
      </c>
      <c r="J1656" t="n">
        <v>0</v>
      </c>
      <c r="K1656" t="n">
        <v>0</v>
      </c>
      <c r="L1656" t="n">
        <v>0</v>
      </c>
      <c r="M1656" t="n">
        <v>0</v>
      </c>
      <c r="N1656" t="n">
        <v>0</v>
      </c>
      <c r="O1656" t="n">
        <v>0</v>
      </c>
      <c r="P1656" t="n">
        <v>0</v>
      </c>
      <c r="Q1656" t="n">
        <v>0</v>
      </c>
      <c r="R1656" t="n">
        <v>0</v>
      </c>
      <c r="S1656" t="n">
        <v>0</v>
      </c>
      <c r="T1656" t="n">
        <v>0</v>
      </c>
      <c r="U1656" t="n">
        <v>0</v>
      </c>
      <c r="V1656" s="2" t="inlineStr"/>
    </row>
    <row r="1657" ht="15" customHeight="1">
      <c r="A1657" t="inlineStr">
        <is>
          <t>A 11739-2023</t>
        </is>
      </c>
      <c r="B1657" t="inlineStr">
        <is>
          <t>avverkningsanmälan</t>
        </is>
      </c>
      <c r="C1657" t="inlineStr">
        <is>
          <t>Föryngringsavverkning</t>
        </is>
      </c>
      <c r="D1657" s="1" t="n">
        <v>44993</v>
      </c>
      <c r="E1657" s="1" t="n">
        <v>46309</v>
      </c>
      <c r="F1657" t="inlineStr">
        <is>
          <t>UPPSALA LÄN</t>
        </is>
      </c>
      <c r="G1657" t="inlineStr">
        <is>
          <t>UPPSALA</t>
        </is>
      </c>
      <c r="I1657" t="n">
        <v>1.1</v>
      </c>
      <c r="J1657" t="n">
        <v>0</v>
      </c>
      <c r="K1657" t="n">
        <v>0</v>
      </c>
      <c r="L1657" t="n">
        <v>0</v>
      </c>
      <c r="M1657" t="n">
        <v>0</v>
      </c>
      <c r="N1657" t="n">
        <v>0</v>
      </c>
      <c r="O1657" t="n">
        <v>0</v>
      </c>
      <c r="P1657" t="n">
        <v>0</v>
      </c>
      <c r="Q1657" t="n">
        <v>0</v>
      </c>
      <c r="R1657" t="n">
        <v>0</v>
      </c>
      <c r="S1657" t="n">
        <v>0</v>
      </c>
      <c r="T1657" t="n">
        <v>0</v>
      </c>
      <c r="U1657" t="n">
        <v>0</v>
      </c>
      <c r="V1657" s="2" t="inlineStr"/>
    </row>
    <row r="1658" ht="15" customHeight="1">
      <c r="A1658" t="inlineStr">
        <is>
          <t>A 11450-2023</t>
        </is>
      </c>
      <c r="B1658" t="inlineStr">
        <is>
          <t>avverkningsanmälan</t>
        </is>
      </c>
      <c r="C1658" t="inlineStr">
        <is>
          <t>Föryngringsavverkning</t>
        </is>
      </c>
      <c r="D1658" s="1" t="n">
        <v>44993</v>
      </c>
      <c r="E1658" s="1" t="n">
        <v>46309</v>
      </c>
      <c r="F1658" t="inlineStr">
        <is>
          <t>UPPSALA LÄN</t>
        </is>
      </c>
      <c r="G1658" t="inlineStr">
        <is>
          <t>KNIVSTA</t>
        </is>
      </c>
      <c r="I1658" t="n">
        <v>1.4</v>
      </c>
      <c r="J1658" t="n">
        <v>0</v>
      </c>
      <c r="K1658" t="n">
        <v>0</v>
      </c>
      <c r="L1658" t="n">
        <v>0</v>
      </c>
      <c r="M1658" t="n">
        <v>0</v>
      </c>
      <c r="N1658" t="n">
        <v>0</v>
      </c>
      <c r="O1658" t="n">
        <v>0</v>
      </c>
      <c r="P1658" t="n">
        <v>0</v>
      </c>
      <c r="Q1658" t="n">
        <v>0</v>
      </c>
      <c r="R1658" t="n">
        <v>0</v>
      </c>
      <c r="S1658" t="n">
        <v>0</v>
      </c>
      <c r="T1658" t="n">
        <v>0</v>
      </c>
      <c r="U1658" t="n">
        <v>0</v>
      </c>
      <c r="V1658" s="2" t="inlineStr"/>
    </row>
    <row r="1659" ht="15" customHeight="1">
      <c r="A1659" t="inlineStr">
        <is>
          <t>A 55018-2025</t>
        </is>
      </c>
      <c r="B1659" t="inlineStr">
        <is>
          <t>avverkningsanmälan</t>
        </is>
      </c>
      <c r="C1659" t="inlineStr">
        <is>
          <t>Föryngringsavverkning</t>
        </is>
      </c>
      <c r="D1659" s="1" t="n">
        <v>45967</v>
      </c>
      <c r="E1659" s="1" t="n">
        <v>46309</v>
      </c>
      <c r="F1659" t="inlineStr">
        <is>
          <t>UPPSALA LÄN</t>
        </is>
      </c>
      <c r="G1659" t="inlineStr">
        <is>
          <t>HEBY</t>
        </is>
      </c>
      <c r="I1659" t="n">
        <v>1.3</v>
      </c>
      <c r="J1659" t="n">
        <v>0</v>
      </c>
      <c r="K1659" t="n">
        <v>0</v>
      </c>
      <c r="L1659" t="n">
        <v>0</v>
      </c>
      <c r="M1659" t="n">
        <v>0</v>
      </c>
      <c r="N1659" t="n">
        <v>0</v>
      </c>
      <c r="O1659" t="n">
        <v>0</v>
      </c>
      <c r="P1659" t="n">
        <v>0</v>
      </c>
      <c r="Q1659" t="n">
        <v>0</v>
      </c>
      <c r="R1659" t="n">
        <v>0</v>
      </c>
      <c r="S1659" t="n">
        <v>0</v>
      </c>
      <c r="T1659" t="n">
        <v>0</v>
      </c>
      <c r="U1659" t="n">
        <v>0</v>
      </c>
      <c r="V1659" s="2" t="inlineStr"/>
    </row>
    <row r="1660" ht="15" customHeight="1">
      <c r="A1660" t="inlineStr">
        <is>
          <t>A 41389-2024</t>
        </is>
      </c>
      <c r="B1660" t="inlineStr">
        <is>
          <t>avverkningsanmälan</t>
        </is>
      </c>
      <c r="C1660" t="inlineStr">
        <is>
          <t>Föryngringsavverkning</t>
        </is>
      </c>
      <c r="D1660" s="1" t="n">
        <v>45560</v>
      </c>
      <c r="E1660" s="1" t="n">
        <v>46309</v>
      </c>
      <c r="F1660" t="inlineStr">
        <is>
          <t>UPPSALA LÄN</t>
        </is>
      </c>
      <c r="G1660" t="inlineStr">
        <is>
          <t>TIERP</t>
        </is>
      </c>
      <c r="H1660" t="inlineStr">
        <is>
          <t>Bergvik skog öst AB</t>
        </is>
      </c>
      <c r="I1660" t="n">
        <v>0.3</v>
      </c>
      <c r="J1660" t="n">
        <v>0</v>
      </c>
      <c r="K1660" t="n">
        <v>0</v>
      </c>
      <c r="L1660" t="n">
        <v>0</v>
      </c>
      <c r="M1660" t="n">
        <v>0</v>
      </c>
      <c r="N1660" t="n">
        <v>0</v>
      </c>
      <c r="O1660" t="n">
        <v>0</v>
      </c>
      <c r="P1660" t="n">
        <v>0</v>
      </c>
      <c r="Q1660" t="n">
        <v>0</v>
      </c>
      <c r="R1660" t="n">
        <v>0</v>
      </c>
      <c r="S1660" t="n">
        <v>0</v>
      </c>
      <c r="T1660" t="n">
        <v>0</v>
      </c>
      <c r="U1660" t="n">
        <v>0</v>
      </c>
      <c r="V1660" s="2" t="inlineStr"/>
    </row>
    <row r="1661" ht="15" customHeight="1">
      <c r="A1661" t="inlineStr">
        <is>
          <t>A 13603-2023</t>
        </is>
      </c>
      <c r="B1661" t="inlineStr">
        <is>
          <t>avverkningsanmälan</t>
        </is>
      </c>
      <c r="C1661" t="inlineStr">
        <is>
          <t>Föryngringsavverkning</t>
        </is>
      </c>
      <c r="D1661" s="1" t="n">
        <v>45006</v>
      </c>
      <c r="E1661" s="1" t="n">
        <v>46309</v>
      </c>
      <c r="F1661" t="inlineStr">
        <is>
          <t>UPPSALA LÄN</t>
        </is>
      </c>
      <c r="G1661" t="inlineStr">
        <is>
          <t>HEBY</t>
        </is>
      </c>
      <c r="I1661" t="n">
        <v>1.2</v>
      </c>
      <c r="J1661" t="n">
        <v>0</v>
      </c>
      <c r="K1661" t="n">
        <v>0</v>
      </c>
      <c r="L1661" t="n">
        <v>0</v>
      </c>
      <c r="M1661" t="n">
        <v>0</v>
      </c>
      <c r="N1661" t="n">
        <v>0</v>
      </c>
      <c r="O1661" t="n">
        <v>0</v>
      </c>
      <c r="P1661" t="n">
        <v>0</v>
      </c>
      <c r="Q1661" t="n">
        <v>0</v>
      </c>
      <c r="R1661" t="n">
        <v>0</v>
      </c>
      <c r="S1661" t="n">
        <v>0</v>
      </c>
      <c r="T1661" t="n">
        <v>0</v>
      </c>
      <c r="U1661" t="n">
        <v>0</v>
      </c>
      <c r="V1661" s="2" t="inlineStr"/>
    </row>
    <row r="1662" ht="15" customHeight="1">
      <c r="A1662" t="inlineStr">
        <is>
          <t>A 38371-2025</t>
        </is>
      </c>
      <c r="B1662" t="inlineStr">
        <is>
          <t>avverkningsanmälan</t>
        </is>
      </c>
      <c r="C1662" t="inlineStr">
        <is>
          <t>Föryngringsavverkning</t>
        </is>
      </c>
      <c r="D1662" s="1" t="n">
        <v>45883</v>
      </c>
      <c r="E1662" s="1" t="n">
        <v>46309</v>
      </c>
      <c r="F1662" t="inlineStr">
        <is>
          <t>UPPSALA LÄN</t>
        </is>
      </c>
      <c r="G1662" t="inlineStr">
        <is>
          <t>HEBY</t>
        </is>
      </c>
      <c r="I1662" t="n">
        <v>2.3</v>
      </c>
      <c r="J1662" t="n">
        <v>0</v>
      </c>
      <c r="K1662" t="n">
        <v>0</v>
      </c>
      <c r="L1662" t="n">
        <v>0</v>
      </c>
      <c r="M1662" t="n">
        <v>0</v>
      </c>
      <c r="N1662" t="n">
        <v>0</v>
      </c>
      <c r="O1662" t="n">
        <v>0</v>
      </c>
      <c r="P1662" t="n">
        <v>0</v>
      </c>
      <c r="Q1662" t="n">
        <v>0</v>
      </c>
      <c r="R1662" t="n">
        <v>0</v>
      </c>
      <c r="S1662" t="n">
        <v>0</v>
      </c>
      <c r="T1662" t="n">
        <v>0</v>
      </c>
      <c r="U1662" t="n">
        <v>0</v>
      </c>
      <c r="V1662" s="2" t="inlineStr"/>
    </row>
    <row r="1663" ht="15" customHeight="1">
      <c r="A1663" t="inlineStr">
        <is>
          <t>A 45915-2024</t>
        </is>
      </c>
      <c r="B1663" t="inlineStr">
        <is>
          <t>avverkningsanmälan</t>
        </is>
      </c>
      <c r="C1663" t="inlineStr">
        <is>
          <t>Föryngringsavverkning</t>
        </is>
      </c>
      <c r="D1663" s="1" t="n">
        <v>45580</v>
      </c>
      <c r="E1663" s="1" t="n">
        <v>46309</v>
      </c>
      <c r="F1663" t="inlineStr">
        <is>
          <t>UPPSALA LÄN</t>
        </is>
      </c>
      <c r="G1663" t="inlineStr">
        <is>
          <t>TIERP</t>
        </is>
      </c>
      <c r="I1663" t="n">
        <v>1.1</v>
      </c>
      <c r="J1663" t="n">
        <v>0</v>
      </c>
      <c r="K1663" t="n">
        <v>0</v>
      </c>
      <c r="L1663" t="n">
        <v>0</v>
      </c>
      <c r="M1663" t="n">
        <v>0</v>
      </c>
      <c r="N1663" t="n">
        <v>0</v>
      </c>
      <c r="O1663" t="n">
        <v>0</v>
      </c>
      <c r="P1663" t="n">
        <v>0</v>
      </c>
      <c r="Q1663" t="n">
        <v>0</v>
      </c>
      <c r="R1663" t="n">
        <v>0</v>
      </c>
      <c r="S1663" t="n">
        <v>0</v>
      </c>
      <c r="T1663" t="n">
        <v>0</v>
      </c>
      <c r="U1663" t="n">
        <v>0</v>
      </c>
      <c r="V1663" s="2" t="inlineStr"/>
    </row>
    <row r="1664" ht="15" customHeight="1">
      <c r="A1664" t="inlineStr">
        <is>
          <t>A 55357-2025</t>
        </is>
      </c>
      <c r="B1664" t="inlineStr">
        <is>
          <t>avverkningsanmälan</t>
        </is>
      </c>
      <c r="C1664" t="inlineStr">
        <is>
          <t>Föryngringsavverkning</t>
        </is>
      </c>
      <c r="D1664" s="1" t="n">
        <v>45971</v>
      </c>
      <c r="E1664" s="1" t="n">
        <v>46309</v>
      </c>
      <c r="F1664" t="inlineStr">
        <is>
          <t>UPPSALA LÄN</t>
        </is>
      </c>
      <c r="G1664" t="inlineStr">
        <is>
          <t>UPPSALA</t>
        </is>
      </c>
      <c r="I1664" t="n">
        <v>6</v>
      </c>
      <c r="J1664" t="n">
        <v>0</v>
      </c>
      <c r="K1664" t="n">
        <v>0</v>
      </c>
      <c r="L1664" t="n">
        <v>0</v>
      </c>
      <c r="M1664" t="n">
        <v>0</v>
      </c>
      <c r="N1664" t="n">
        <v>0</v>
      </c>
      <c r="O1664" t="n">
        <v>0</v>
      </c>
      <c r="P1664" t="n">
        <v>0</v>
      </c>
      <c r="Q1664" t="n">
        <v>0</v>
      </c>
      <c r="R1664" t="n">
        <v>0</v>
      </c>
      <c r="S1664" t="n">
        <v>0</v>
      </c>
      <c r="T1664" t="n">
        <v>0</v>
      </c>
      <c r="U1664" t="n">
        <v>0</v>
      </c>
      <c r="V1664" s="2" t="inlineStr"/>
    </row>
    <row r="1665" ht="15" customHeight="1">
      <c r="A1665" t="inlineStr">
        <is>
          <t>A 21293-2023</t>
        </is>
      </c>
      <c r="B1665" t="inlineStr">
        <is>
          <t>avverkningsanmälan</t>
        </is>
      </c>
      <c r="C1665" t="inlineStr">
        <is>
          <t>Föryngringsavverkning</t>
        </is>
      </c>
      <c r="D1665" s="1" t="n">
        <v>45058</v>
      </c>
      <c r="E1665" s="1" t="n">
        <v>46309</v>
      </c>
      <c r="F1665" t="inlineStr">
        <is>
          <t>UPPSALA LÄN</t>
        </is>
      </c>
      <c r="G1665" t="inlineStr">
        <is>
          <t>HEBY</t>
        </is>
      </c>
      <c r="H1665" t="inlineStr">
        <is>
          <t>Bergvik skog väst AB</t>
        </is>
      </c>
      <c r="I1665" t="n">
        <v>0.4</v>
      </c>
      <c r="J1665" t="n">
        <v>0</v>
      </c>
      <c r="K1665" t="n">
        <v>0</v>
      </c>
      <c r="L1665" t="n">
        <v>0</v>
      </c>
      <c r="M1665" t="n">
        <v>0</v>
      </c>
      <c r="N1665" t="n">
        <v>0</v>
      </c>
      <c r="O1665" t="n">
        <v>0</v>
      </c>
      <c r="P1665" t="n">
        <v>0</v>
      </c>
      <c r="Q1665" t="n">
        <v>0</v>
      </c>
      <c r="R1665" t="n">
        <v>0</v>
      </c>
      <c r="S1665" t="n">
        <v>0</v>
      </c>
      <c r="T1665" t="n">
        <v>0</v>
      </c>
      <c r="U1665" t="n">
        <v>0</v>
      </c>
      <c r="V1665" s="2" t="inlineStr"/>
    </row>
    <row r="1666" ht="15" customHeight="1">
      <c r="A1666" t="inlineStr">
        <is>
          <t>A 5629-2026</t>
        </is>
      </c>
      <c r="B1666" t="inlineStr">
        <is>
          <t>avverkningsanmälan</t>
        </is>
      </c>
      <c r="C1666" t="inlineStr">
        <is>
          <t>Föryngringsavverkning</t>
        </is>
      </c>
      <c r="D1666" s="1" t="n">
        <v>46051</v>
      </c>
      <c r="E1666" s="1" t="n">
        <v>46309</v>
      </c>
      <c r="F1666" t="inlineStr">
        <is>
          <t>UPPSALA LÄN</t>
        </is>
      </c>
      <c r="G1666" t="inlineStr">
        <is>
          <t>UPPSALA</t>
        </is>
      </c>
      <c r="I1666" t="n">
        <v>0.5</v>
      </c>
      <c r="J1666" t="n">
        <v>0</v>
      </c>
      <c r="K1666" t="n">
        <v>0</v>
      </c>
      <c r="L1666" t="n">
        <v>0</v>
      </c>
      <c r="M1666" t="n">
        <v>0</v>
      </c>
      <c r="N1666" t="n">
        <v>0</v>
      </c>
      <c r="O1666" t="n">
        <v>0</v>
      </c>
      <c r="P1666" t="n">
        <v>0</v>
      </c>
      <c r="Q1666" t="n">
        <v>0</v>
      </c>
      <c r="R1666" t="n">
        <v>0</v>
      </c>
      <c r="S1666" t="n">
        <v>0</v>
      </c>
      <c r="T1666" t="n">
        <v>0</v>
      </c>
      <c r="U1666" t="n">
        <v>0</v>
      </c>
      <c r="V1666" s="2" t="inlineStr"/>
    </row>
    <row r="1667" ht="15" customHeight="1">
      <c r="A1667" t="inlineStr">
        <is>
          <t>A 5794-2026</t>
        </is>
      </c>
      <c r="B1667" t="inlineStr">
        <is>
          <t>avverkningsanmälan</t>
        </is>
      </c>
      <c r="C1667" t="inlineStr">
        <is>
          <t>Föryngringsavverkning</t>
        </is>
      </c>
      <c r="D1667" s="1" t="n">
        <v>46051</v>
      </c>
      <c r="E1667" s="1" t="n">
        <v>46309</v>
      </c>
      <c r="F1667" t="inlineStr">
        <is>
          <t>UPPSALA LÄN</t>
        </is>
      </c>
      <c r="G1667" t="inlineStr">
        <is>
          <t>TIERP</t>
        </is>
      </c>
      <c r="I1667" t="n">
        <v>4.1</v>
      </c>
      <c r="J1667" t="n">
        <v>0</v>
      </c>
      <c r="K1667" t="n">
        <v>0</v>
      </c>
      <c r="L1667" t="n">
        <v>0</v>
      </c>
      <c r="M1667" t="n">
        <v>0</v>
      </c>
      <c r="N1667" t="n">
        <v>0</v>
      </c>
      <c r="O1667" t="n">
        <v>0</v>
      </c>
      <c r="P1667" t="n">
        <v>0</v>
      </c>
      <c r="Q1667" t="n">
        <v>0</v>
      </c>
      <c r="R1667" t="n">
        <v>0</v>
      </c>
      <c r="S1667" t="n">
        <v>0</v>
      </c>
      <c r="T1667" t="n">
        <v>0</v>
      </c>
      <c r="U1667" t="n">
        <v>0</v>
      </c>
      <c r="V1667" s="2" t="inlineStr"/>
    </row>
    <row r="1668" ht="15" customHeight="1">
      <c r="A1668" t="inlineStr">
        <is>
          <t>A 24181-2022</t>
        </is>
      </c>
      <c r="B1668" t="inlineStr">
        <is>
          <t>avverkningsanmälan</t>
        </is>
      </c>
      <c r="C1668" t="inlineStr">
        <is>
          <t>Föryngringsavverkning</t>
        </is>
      </c>
      <c r="D1668" s="1" t="n">
        <v>44725</v>
      </c>
      <c r="E1668" s="1" t="n">
        <v>46309</v>
      </c>
      <c r="F1668" t="inlineStr">
        <is>
          <t>UPPSALA LÄN</t>
        </is>
      </c>
      <c r="G1668" t="inlineStr">
        <is>
          <t>ÖSTHAMMAR</t>
        </is>
      </c>
      <c r="I1668" t="n">
        <v>1.4</v>
      </c>
      <c r="J1668" t="n">
        <v>0</v>
      </c>
      <c r="K1668" t="n">
        <v>0</v>
      </c>
      <c r="L1668" t="n">
        <v>0</v>
      </c>
      <c r="M1668" t="n">
        <v>0</v>
      </c>
      <c r="N1668" t="n">
        <v>0</v>
      </c>
      <c r="O1668" t="n">
        <v>0</v>
      </c>
      <c r="P1668" t="n">
        <v>0</v>
      </c>
      <c r="Q1668" t="n">
        <v>0</v>
      </c>
      <c r="R1668" t="n">
        <v>0</v>
      </c>
      <c r="S1668" t="n">
        <v>0</v>
      </c>
      <c r="T1668" t="n">
        <v>0</v>
      </c>
      <c r="U1668" t="n">
        <v>0</v>
      </c>
      <c r="V1668" s="2" t="inlineStr"/>
    </row>
    <row r="1669" ht="15" customHeight="1">
      <c r="A1669" t="inlineStr">
        <is>
          <t>A 5855-2026</t>
        </is>
      </c>
      <c r="B1669" t="inlineStr">
        <is>
          <t>avverkningsanmälan</t>
        </is>
      </c>
      <c r="C1669" t="inlineStr">
        <is>
          <t>Föryngringsavverkning</t>
        </is>
      </c>
      <c r="D1669" s="1" t="n">
        <v>46052</v>
      </c>
      <c r="E1669" s="1" t="n">
        <v>46309</v>
      </c>
      <c r="F1669" t="inlineStr">
        <is>
          <t>UPPSALA LÄN</t>
        </is>
      </c>
      <c r="G1669" t="inlineStr">
        <is>
          <t>HEBY</t>
        </is>
      </c>
      <c r="I1669" t="n">
        <v>0.8</v>
      </c>
      <c r="J1669" t="n">
        <v>0</v>
      </c>
      <c r="K1669" t="n">
        <v>0</v>
      </c>
      <c r="L1669" t="n">
        <v>0</v>
      </c>
      <c r="M1669" t="n">
        <v>0</v>
      </c>
      <c r="N1669" t="n">
        <v>0</v>
      </c>
      <c r="O1669" t="n">
        <v>0</v>
      </c>
      <c r="P1669" t="n">
        <v>0</v>
      </c>
      <c r="Q1669" t="n">
        <v>0</v>
      </c>
      <c r="R1669" t="n">
        <v>0</v>
      </c>
      <c r="S1669" t="n">
        <v>0</v>
      </c>
      <c r="T1669" t="n">
        <v>0</v>
      </c>
      <c r="U1669" t="n">
        <v>0</v>
      </c>
      <c r="V1669" s="2" t="inlineStr"/>
    </row>
    <row r="1670" ht="15" customHeight="1">
      <c r="A1670" t="inlineStr">
        <is>
          <t>A 5966-2026</t>
        </is>
      </c>
      <c r="B1670" t="inlineStr">
        <is>
          <t>avverkningsanmälan</t>
        </is>
      </c>
      <c r="C1670" t="inlineStr">
        <is>
          <t>Föryngringsavverkning</t>
        </is>
      </c>
      <c r="D1670" s="1" t="n">
        <v>46052</v>
      </c>
      <c r="E1670" s="1" t="n">
        <v>46309</v>
      </c>
      <c r="F1670" t="inlineStr">
        <is>
          <t>UPPSALA LÄN</t>
        </is>
      </c>
      <c r="G1670" t="inlineStr">
        <is>
          <t>HEBY</t>
        </is>
      </c>
      <c r="I1670" t="n">
        <v>1</v>
      </c>
      <c r="J1670" t="n">
        <v>0</v>
      </c>
      <c r="K1670" t="n">
        <v>0</v>
      </c>
      <c r="L1670" t="n">
        <v>0</v>
      </c>
      <c r="M1670" t="n">
        <v>0</v>
      </c>
      <c r="N1670" t="n">
        <v>0</v>
      </c>
      <c r="O1670" t="n">
        <v>0</v>
      </c>
      <c r="P1670" t="n">
        <v>0</v>
      </c>
      <c r="Q1670" t="n">
        <v>0</v>
      </c>
      <c r="R1670" t="n">
        <v>0</v>
      </c>
      <c r="S1670" t="n">
        <v>0</v>
      </c>
      <c r="T1670" t="n">
        <v>0</v>
      </c>
      <c r="U1670" t="n">
        <v>0</v>
      </c>
      <c r="V1670" s="2" t="inlineStr"/>
    </row>
    <row r="1671" ht="15" customHeight="1">
      <c r="A1671" t="inlineStr">
        <is>
          <t>A 6305-2026</t>
        </is>
      </c>
      <c r="B1671" t="inlineStr">
        <is>
          <t>avverkningsanmälan</t>
        </is>
      </c>
      <c r="C1671" t="inlineStr">
        <is>
          <t>Föryngringsavverkning</t>
        </is>
      </c>
      <c r="D1671" s="1" t="n">
        <v>46051</v>
      </c>
      <c r="E1671" s="1" t="n">
        <v>46309</v>
      </c>
      <c r="F1671" t="inlineStr">
        <is>
          <t>UPPSALA LÄN</t>
        </is>
      </c>
      <c r="G1671" t="inlineStr">
        <is>
          <t>HEBY</t>
        </is>
      </c>
      <c r="H1671" t="inlineStr">
        <is>
          <t>Bergvik skog väst AB</t>
        </is>
      </c>
      <c r="I1671" t="n">
        <v>1.8</v>
      </c>
      <c r="J1671" t="n">
        <v>0</v>
      </c>
      <c r="K1671" t="n">
        <v>0</v>
      </c>
      <c r="L1671" t="n">
        <v>0</v>
      </c>
      <c r="M1671" t="n">
        <v>0</v>
      </c>
      <c r="N1671" t="n">
        <v>0</v>
      </c>
      <c r="O1671" t="n">
        <v>0</v>
      </c>
      <c r="P1671" t="n">
        <v>0</v>
      </c>
      <c r="Q1671" t="n">
        <v>0</v>
      </c>
      <c r="R1671" t="n">
        <v>0</v>
      </c>
      <c r="S1671" t="n">
        <v>0</v>
      </c>
      <c r="T1671" t="n">
        <v>0</v>
      </c>
      <c r="U1671" t="n">
        <v>0</v>
      </c>
      <c r="V1671" s="2" t="inlineStr"/>
    </row>
    <row r="1672" ht="15" customHeight="1">
      <c r="A1672" t="inlineStr">
        <is>
          <t>A 55488-2025</t>
        </is>
      </c>
      <c r="B1672" t="inlineStr">
        <is>
          <t>avverkningsanmälan</t>
        </is>
      </c>
      <c r="C1672" t="inlineStr">
        <is>
          <t>Avverkning för att bevara och utveckla /försöksver</t>
        </is>
      </c>
      <c r="D1672" s="1" t="n">
        <v>45971</v>
      </c>
      <c r="E1672" s="1" t="n">
        <v>46309</v>
      </c>
      <c r="F1672" t="inlineStr">
        <is>
          <t>UPPSALA LÄN</t>
        </is>
      </c>
      <c r="G1672" t="inlineStr">
        <is>
          <t>HEBY</t>
        </is>
      </c>
      <c r="I1672" t="n">
        <v>0.4</v>
      </c>
      <c r="J1672" t="n">
        <v>0</v>
      </c>
      <c r="K1672" t="n">
        <v>0</v>
      </c>
      <c r="L1672" t="n">
        <v>0</v>
      </c>
      <c r="M1672" t="n">
        <v>0</v>
      </c>
      <c r="N1672" t="n">
        <v>0</v>
      </c>
      <c r="O1672" t="n">
        <v>0</v>
      </c>
      <c r="P1672" t="n">
        <v>0</v>
      </c>
      <c r="Q1672" t="n">
        <v>0</v>
      </c>
      <c r="R1672" t="n">
        <v>0</v>
      </c>
      <c r="S1672" t="n">
        <v>0</v>
      </c>
      <c r="T1672" t="n">
        <v>0</v>
      </c>
      <c r="U1672" t="n">
        <v>0</v>
      </c>
      <c r="V1672" s="2" t="inlineStr"/>
    </row>
    <row r="1673" ht="15" customHeight="1">
      <c r="A1673" t="inlineStr">
        <is>
          <t>A 55496-2025</t>
        </is>
      </c>
      <c r="B1673" t="inlineStr">
        <is>
          <t>avverkningsanmälan</t>
        </is>
      </c>
      <c r="C1673" t="inlineStr">
        <is>
          <t>Avverkning för att bevara och utveckla /försöksver</t>
        </is>
      </c>
      <c r="D1673" s="1" t="n">
        <v>45971</v>
      </c>
      <c r="E1673" s="1" t="n">
        <v>46309</v>
      </c>
      <c r="F1673" t="inlineStr">
        <is>
          <t>UPPSALA LÄN</t>
        </is>
      </c>
      <c r="G1673" t="inlineStr">
        <is>
          <t>HEBY</t>
        </is>
      </c>
      <c r="I1673" t="n">
        <v>0.5</v>
      </c>
      <c r="J1673" t="n">
        <v>0</v>
      </c>
      <c r="K1673" t="n">
        <v>0</v>
      </c>
      <c r="L1673" t="n">
        <v>0</v>
      </c>
      <c r="M1673" t="n">
        <v>0</v>
      </c>
      <c r="N1673" t="n">
        <v>0</v>
      </c>
      <c r="O1673" t="n">
        <v>0</v>
      </c>
      <c r="P1673" t="n">
        <v>0</v>
      </c>
      <c r="Q1673" t="n">
        <v>0</v>
      </c>
      <c r="R1673" t="n">
        <v>0</v>
      </c>
      <c r="S1673" t="n">
        <v>0</v>
      </c>
      <c r="T1673" t="n">
        <v>0</v>
      </c>
      <c r="U1673" t="n">
        <v>0</v>
      </c>
      <c r="V1673" s="2" t="inlineStr"/>
    </row>
    <row r="1674" ht="15" customHeight="1">
      <c r="A1674" t="inlineStr">
        <is>
          <t>A 55719-2025</t>
        </is>
      </c>
      <c r="B1674" t="inlineStr">
        <is>
          <t>avverkningsanmälan</t>
        </is>
      </c>
      <c r="C1674" t="inlineStr">
        <is>
          <t>Föryngringsavverkning</t>
        </is>
      </c>
      <c r="D1674" s="1" t="n">
        <v>45972</v>
      </c>
      <c r="E1674" s="1" t="n">
        <v>46309</v>
      </c>
      <c r="F1674" t="inlineStr">
        <is>
          <t>UPPSALA LÄN</t>
        </is>
      </c>
      <c r="G1674" t="inlineStr">
        <is>
          <t>TIERP</t>
        </is>
      </c>
      <c r="I1674" t="n">
        <v>1.7</v>
      </c>
      <c r="J1674" t="n">
        <v>0</v>
      </c>
      <c r="K1674" t="n">
        <v>0</v>
      </c>
      <c r="L1674" t="n">
        <v>0</v>
      </c>
      <c r="M1674" t="n">
        <v>0</v>
      </c>
      <c r="N1674" t="n">
        <v>0</v>
      </c>
      <c r="O1674" t="n">
        <v>0</v>
      </c>
      <c r="P1674" t="n">
        <v>0</v>
      </c>
      <c r="Q1674" t="n">
        <v>0</v>
      </c>
      <c r="R1674" t="n">
        <v>0</v>
      </c>
      <c r="S1674" t="n">
        <v>0</v>
      </c>
      <c r="T1674" t="n">
        <v>0</v>
      </c>
      <c r="U1674" t="n">
        <v>0</v>
      </c>
      <c r="V1674" s="2" t="inlineStr"/>
    </row>
    <row r="1675" ht="15" customHeight="1">
      <c r="A1675" t="inlineStr">
        <is>
          <t>A 55594-2025</t>
        </is>
      </c>
      <c r="B1675" t="inlineStr">
        <is>
          <t>avverkningsanmälan</t>
        </is>
      </c>
      <c r="C1675" t="inlineStr">
        <is>
          <t>Föryngringsavverkning</t>
        </is>
      </c>
      <c r="D1675" s="1" t="n">
        <v>45971</v>
      </c>
      <c r="E1675" s="1" t="n">
        <v>46309</v>
      </c>
      <c r="F1675" t="inlineStr">
        <is>
          <t>UPPSALA LÄN</t>
        </is>
      </c>
      <c r="G1675" t="inlineStr">
        <is>
          <t>UPPSALA</t>
        </is>
      </c>
      <c r="H1675" t="inlineStr">
        <is>
          <t>Allmännings- och besparingsskogar</t>
        </is>
      </c>
      <c r="I1675" t="n">
        <v>3.2</v>
      </c>
      <c r="J1675" t="n">
        <v>0</v>
      </c>
      <c r="K1675" t="n">
        <v>0</v>
      </c>
      <c r="L1675" t="n">
        <v>0</v>
      </c>
      <c r="M1675" t="n">
        <v>0</v>
      </c>
      <c r="N1675" t="n">
        <v>0</v>
      </c>
      <c r="O1675" t="n">
        <v>0</v>
      </c>
      <c r="P1675" t="n">
        <v>0</v>
      </c>
      <c r="Q1675" t="n">
        <v>0</v>
      </c>
      <c r="R1675" t="n">
        <v>0</v>
      </c>
      <c r="S1675" t="n">
        <v>0</v>
      </c>
      <c r="T1675" t="n">
        <v>0</v>
      </c>
      <c r="U1675" t="n">
        <v>0</v>
      </c>
      <c r="V1675" s="2" t="inlineStr"/>
    </row>
    <row r="1676" ht="15" customHeight="1">
      <c r="A1676" t="inlineStr">
        <is>
          <t>A 55732-2025</t>
        </is>
      </c>
      <c r="B1676" t="inlineStr">
        <is>
          <t>avverkningsanmälan</t>
        </is>
      </c>
      <c r="C1676" t="inlineStr">
        <is>
          <t>Föryngringsavverkning</t>
        </is>
      </c>
      <c r="D1676" s="1" t="n">
        <v>45972</v>
      </c>
      <c r="E1676" s="1" t="n">
        <v>46309</v>
      </c>
      <c r="F1676" t="inlineStr">
        <is>
          <t>UPPSALA LÄN</t>
        </is>
      </c>
      <c r="G1676" t="inlineStr">
        <is>
          <t>UPPSALA</t>
        </is>
      </c>
      <c r="I1676" t="n">
        <v>10.9</v>
      </c>
      <c r="J1676" t="n">
        <v>0</v>
      </c>
      <c r="K1676" t="n">
        <v>0</v>
      </c>
      <c r="L1676" t="n">
        <v>0</v>
      </c>
      <c r="M1676" t="n">
        <v>0</v>
      </c>
      <c r="N1676" t="n">
        <v>0</v>
      </c>
      <c r="O1676" t="n">
        <v>0</v>
      </c>
      <c r="P1676" t="n">
        <v>0</v>
      </c>
      <c r="Q1676" t="n">
        <v>0</v>
      </c>
      <c r="R1676" t="n">
        <v>0</v>
      </c>
      <c r="S1676" t="n">
        <v>0</v>
      </c>
      <c r="T1676" t="n">
        <v>0</v>
      </c>
      <c r="U1676" t="n">
        <v>0</v>
      </c>
      <c r="V1676" s="2" t="inlineStr"/>
    </row>
    <row r="1677" ht="15" customHeight="1">
      <c r="A1677" t="inlineStr">
        <is>
          <t>A 25776-2022</t>
        </is>
      </c>
      <c r="B1677" t="inlineStr">
        <is>
          <t>avverkningsanmälan</t>
        </is>
      </c>
      <c r="C1677" t="inlineStr">
        <is>
          <t>Föryngringsavverkning</t>
        </is>
      </c>
      <c r="D1677" s="1" t="n">
        <v>44733</v>
      </c>
      <c r="E1677" s="1" t="n">
        <v>46309</v>
      </c>
      <c r="F1677" t="inlineStr">
        <is>
          <t>UPPSALA LÄN</t>
        </is>
      </c>
      <c r="G1677" t="inlineStr">
        <is>
          <t>UPPSALA</t>
        </is>
      </c>
      <c r="I1677" t="n">
        <v>0.7</v>
      </c>
      <c r="J1677" t="n">
        <v>0</v>
      </c>
      <c r="K1677" t="n">
        <v>0</v>
      </c>
      <c r="L1677" t="n">
        <v>0</v>
      </c>
      <c r="M1677" t="n">
        <v>0</v>
      </c>
      <c r="N1677" t="n">
        <v>0</v>
      </c>
      <c r="O1677" t="n">
        <v>0</v>
      </c>
      <c r="P1677" t="n">
        <v>0</v>
      </c>
      <c r="Q1677" t="n">
        <v>0</v>
      </c>
      <c r="R1677" t="n">
        <v>0</v>
      </c>
      <c r="S1677" t="n">
        <v>0</v>
      </c>
      <c r="T1677" t="n">
        <v>0</v>
      </c>
      <c r="U1677" t="n">
        <v>0</v>
      </c>
      <c r="V1677" s="2" t="inlineStr"/>
    </row>
    <row r="1678" ht="15" customHeight="1">
      <c r="A1678" t="inlineStr">
        <is>
          <t>A 21000-2022</t>
        </is>
      </c>
      <c r="B1678" t="inlineStr">
        <is>
          <t>avverkningsanmälan</t>
        </is>
      </c>
      <c r="C1678" t="inlineStr">
        <is>
          <t>Föryngringsavverkning</t>
        </is>
      </c>
      <c r="D1678" s="1" t="n">
        <v>44701</v>
      </c>
      <c r="E1678" s="1" t="n">
        <v>46309</v>
      </c>
      <c r="F1678" t="inlineStr">
        <is>
          <t>UPPSALA LÄN</t>
        </is>
      </c>
      <c r="G1678" t="inlineStr">
        <is>
          <t>HEBY</t>
        </is>
      </c>
      <c r="H1678" t="inlineStr">
        <is>
          <t>Bergvik skog väst AB</t>
        </is>
      </c>
      <c r="I1678" t="n">
        <v>2.9</v>
      </c>
      <c r="J1678" t="n">
        <v>0</v>
      </c>
      <c r="K1678" t="n">
        <v>0</v>
      </c>
      <c r="L1678" t="n">
        <v>0</v>
      </c>
      <c r="M1678" t="n">
        <v>0</v>
      </c>
      <c r="N1678" t="n">
        <v>0</v>
      </c>
      <c r="O1678" t="n">
        <v>0</v>
      </c>
      <c r="P1678" t="n">
        <v>0</v>
      </c>
      <c r="Q1678" t="n">
        <v>0</v>
      </c>
      <c r="R1678" t="n">
        <v>0</v>
      </c>
      <c r="S1678" t="n">
        <v>0</v>
      </c>
      <c r="T1678" t="n">
        <v>0</v>
      </c>
      <c r="U1678" t="n">
        <v>0</v>
      </c>
      <c r="V1678" s="2" t="inlineStr"/>
    </row>
    <row r="1679" ht="15" customHeight="1">
      <c r="A1679" t="inlineStr">
        <is>
          <t>A 21017-2022</t>
        </is>
      </c>
      <c r="B1679" t="inlineStr">
        <is>
          <t>avverkningsanmälan</t>
        </is>
      </c>
      <c r="C1679" t="inlineStr">
        <is>
          <t>Föryngringsavverkning</t>
        </is>
      </c>
      <c r="D1679" s="1" t="n">
        <v>44704</v>
      </c>
      <c r="E1679" s="1" t="n">
        <v>46309</v>
      </c>
      <c r="F1679" t="inlineStr">
        <is>
          <t>UPPSALA LÄN</t>
        </is>
      </c>
      <c r="G1679" t="inlineStr">
        <is>
          <t>TIERP</t>
        </is>
      </c>
      <c r="I1679" t="n">
        <v>3.5</v>
      </c>
      <c r="J1679" t="n">
        <v>0</v>
      </c>
      <c r="K1679" t="n">
        <v>0</v>
      </c>
      <c r="L1679" t="n">
        <v>0</v>
      </c>
      <c r="M1679" t="n">
        <v>0</v>
      </c>
      <c r="N1679" t="n">
        <v>0</v>
      </c>
      <c r="O1679" t="n">
        <v>0</v>
      </c>
      <c r="P1679" t="n">
        <v>0</v>
      </c>
      <c r="Q1679" t="n">
        <v>0</v>
      </c>
      <c r="R1679" t="n">
        <v>0</v>
      </c>
      <c r="S1679" t="n">
        <v>0</v>
      </c>
      <c r="T1679" t="n">
        <v>0</v>
      </c>
      <c r="U1679" t="n">
        <v>0</v>
      </c>
      <c r="V1679" s="2" t="inlineStr"/>
    </row>
    <row r="1680" ht="15" customHeight="1">
      <c r="A1680" t="inlineStr">
        <is>
          <t>A 21034-2022</t>
        </is>
      </c>
      <c r="B1680" t="inlineStr">
        <is>
          <t>avverkningsanmälan</t>
        </is>
      </c>
      <c r="C1680" t="inlineStr">
        <is>
          <t>Föryngringsavverkning</t>
        </is>
      </c>
      <c r="D1680" s="1" t="n">
        <v>44704</v>
      </c>
      <c r="E1680" s="1" t="n">
        <v>46309</v>
      </c>
      <c r="F1680" t="inlineStr">
        <is>
          <t>UPPSALA LÄN</t>
        </is>
      </c>
      <c r="G1680" t="inlineStr">
        <is>
          <t>TIERP</t>
        </is>
      </c>
      <c r="I1680" t="n">
        <v>4</v>
      </c>
      <c r="J1680" t="n">
        <v>0</v>
      </c>
      <c r="K1680" t="n">
        <v>0</v>
      </c>
      <c r="L1680" t="n">
        <v>0</v>
      </c>
      <c r="M1680" t="n">
        <v>0</v>
      </c>
      <c r="N1680" t="n">
        <v>0</v>
      </c>
      <c r="O1680" t="n">
        <v>0</v>
      </c>
      <c r="P1680" t="n">
        <v>0</v>
      </c>
      <c r="Q1680" t="n">
        <v>0</v>
      </c>
      <c r="R1680" t="n">
        <v>0</v>
      </c>
      <c r="S1680" t="n">
        <v>0</v>
      </c>
      <c r="T1680" t="n">
        <v>0</v>
      </c>
      <c r="U1680" t="n">
        <v>0</v>
      </c>
      <c r="V1680" s="2" t="inlineStr"/>
    </row>
    <row r="1681" ht="15" customHeight="1">
      <c r="A1681" t="inlineStr">
        <is>
          <t>A 55810-2025</t>
        </is>
      </c>
      <c r="B1681" t="inlineStr">
        <is>
          <t>avverkningsanmälan</t>
        </is>
      </c>
      <c r="C1681" t="inlineStr">
        <is>
          <t>Föryngringsavverkning</t>
        </is>
      </c>
      <c r="D1681" s="1" t="n">
        <v>45972</v>
      </c>
      <c r="E1681" s="1" t="n">
        <v>46309</v>
      </c>
      <c r="F1681" t="inlineStr">
        <is>
          <t>UPPSALA LÄN</t>
        </is>
      </c>
      <c r="G1681" t="inlineStr">
        <is>
          <t>HEBY</t>
        </is>
      </c>
      <c r="I1681" t="n">
        <v>2.6</v>
      </c>
      <c r="J1681" t="n">
        <v>0</v>
      </c>
      <c r="K1681" t="n">
        <v>0</v>
      </c>
      <c r="L1681" t="n">
        <v>0</v>
      </c>
      <c r="M1681" t="n">
        <v>0</v>
      </c>
      <c r="N1681" t="n">
        <v>0</v>
      </c>
      <c r="O1681" t="n">
        <v>0</v>
      </c>
      <c r="P1681" t="n">
        <v>0</v>
      </c>
      <c r="Q1681" t="n">
        <v>0</v>
      </c>
      <c r="R1681" t="n">
        <v>0</v>
      </c>
      <c r="S1681" t="n">
        <v>0</v>
      </c>
      <c r="T1681" t="n">
        <v>0</v>
      </c>
      <c r="U1681" t="n">
        <v>0</v>
      </c>
      <c r="V1681" s="2" t="inlineStr"/>
    </row>
    <row r="1682" ht="15" customHeight="1">
      <c r="A1682" t="inlineStr">
        <is>
          <t>A 5948-2026</t>
        </is>
      </c>
      <c r="B1682" t="inlineStr">
        <is>
          <t>avverkningsanmälan</t>
        </is>
      </c>
      <c r="C1682" t="inlineStr">
        <is>
          <t>Föryngringsavverkning</t>
        </is>
      </c>
      <c r="D1682" s="1" t="n">
        <v>46052</v>
      </c>
      <c r="E1682" s="1" t="n">
        <v>46309</v>
      </c>
      <c r="F1682" t="inlineStr">
        <is>
          <t>UPPSALA LÄN</t>
        </is>
      </c>
      <c r="G1682" t="inlineStr">
        <is>
          <t>ENKÖPING</t>
        </is>
      </c>
      <c r="I1682" t="n">
        <v>0.5</v>
      </c>
      <c r="J1682" t="n">
        <v>0</v>
      </c>
      <c r="K1682" t="n">
        <v>0</v>
      </c>
      <c r="L1682" t="n">
        <v>0</v>
      </c>
      <c r="M1682" t="n">
        <v>0</v>
      </c>
      <c r="N1682" t="n">
        <v>0</v>
      </c>
      <c r="O1682" t="n">
        <v>0</v>
      </c>
      <c r="P1682" t="n">
        <v>0</v>
      </c>
      <c r="Q1682" t="n">
        <v>0</v>
      </c>
      <c r="R1682" t="n">
        <v>0</v>
      </c>
      <c r="S1682" t="n">
        <v>0</v>
      </c>
      <c r="T1682" t="n">
        <v>0</v>
      </c>
      <c r="U1682" t="n">
        <v>0</v>
      </c>
      <c r="V1682" s="2" t="inlineStr"/>
    </row>
    <row r="1683" ht="15" customHeight="1">
      <c r="A1683" t="inlineStr">
        <is>
          <t>A 6043-2026</t>
        </is>
      </c>
      <c r="B1683" t="inlineStr">
        <is>
          <t>avverkningsanmälan</t>
        </is>
      </c>
      <c r="C1683" t="inlineStr">
        <is>
          <t>Föryngringsavverkning</t>
        </is>
      </c>
      <c r="D1683" s="1" t="n">
        <v>46052</v>
      </c>
      <c r="E1683" s="1" t="n">
        <v>46309</v>
      </c>
      <c r="F1683" t="inlineStr">
        <is>
          <t>UPPSALA LÄN</t>
        </is>
      </c>
      <c r="G1683" t="inlineStr">
        <is>
          <t>HEBY</t>
        </is>
      </c>
      <c r="I1683" t="n">
        <v>1.6</v>
      </c>
      <c r="J1683" t="n">
        <v>0</v>
      </c>
      <c r="K1683" t="n">
        <v>0</v>
      </c>
      <c r="L1683" t="n">
        <v>0</v>
      </c>
      <c r="M1683" t="n">
        <v>0</v>
      </c>
      <c r="N1683" t="n">
        <v>0</v>
      </c>
      <c r="O1683" t="n">
        <v>0</v>
      </c>
      <c r="P1683" t="n">
        <v>0</v>
      </c>
      <c r="Q1683" t="n">
        <v>0</v>
      </c>
      <c r="R1683" t="n">
        <v>0</v>
      </c>
      <c r="S1683" t="n">
        <v>0</v>
      </c>
      <c r="T1683" t="n">
        <v>0</v>
      </c>
      <c r="U1683" t="n">
        <v>0</v>
      </c>
      <c r="V1683" s="2" t="inlineStr"/>
    </row>
    <row r="1684" ht="15" customHeight="1">
      <c r="A1684" t="inlineStr">
        <is>
          <t>A 6081-2026</t>
        </is>
      </c>
      <c r="B1684" t="inlineStr">
        <is>
          <t>avverkningsanmälan</t>
        </is>
      </c>
      <c r="C1684" t="inlineStr">
        <is>
          <t>Föryngringsavverkning</t>
        </is>
      </c>
      <c r="D1684" s="1" t="n">
        <v>46052</v>
      </c>
      <c r="E1684" s="1" t="n">
        <v>46309</v>
      </c>
      <c r="F1684" t="inlineStr">
        <is>
          <t>UPPSALA LÄN</t>
        </is>
      </c>
      <c r="G1684" t="inlineStr">
        <is>
          <t>TIERP</t>
        </is>
      </c>
      <c r="I1684" t="n">
        <v>8</v>
      </c>
      <c r="J1684" t="n">
        <v>0</v>
      </c>
      <c r="K1684" t="n">
        <v>0</v>
      </c>
      <c r="L1684" t="n">
        <v>0</v>
      </c>
      <c r="M1684" t="n">
        <v>0</v>
      </c>
      <c r="N1684" t="n">
        <v>0</v>
      </c>
      <c r="O1684" t="n">
        <v>0</v>
      </c>
      <c r="P1684" t="n">
        <v>0</v>
      </c>
      <c r="Q1684" t="n">
        <v>0</v>
      </c>
      <c r="R1684" t="n">
        <v>0</v>
      </c>
      <c r="S1684" t="n">
        <v>0</v>
      </c>
      <c r="T1684" t="n">
        <v>0</v>
      </c>
      <c r="U1684" t="n">
        <v>0</v>
      </c>
      <c r="V1684" s="2" t="inlineStr"/>
    </row>
    <row r="1685" ht="15" customHeight="1">
      <c r="A1685" t="inlineStr">
        <is>
          <t>A 5797-2026</t>
        </is>
      </c>
      <c r="B1685" t="inlineStr">
        <is>
          <t>avverkningsanmälan</t>
        </is>
      </c>
      <c r="C1685" t="inlineStr">
        <is>
          <t>Föryngringsavverkning</t>
        </is>
      </c>
      <c r="D1685" s="1" t="n">
        <v>46051</v>
      </c>
      <c r="E1685" s="1" t="n">
        <v>46309</v>
      </c>
      <c r="F1685" t="inlineStr">
        <is>
          <t>UPPSALA LÄN</t>
        </is>
      </c>
      <c r="G1685" t="inlineStr">
        <is>
          <t>TIERP</t>
        </is>
      </c>
      <c r="I1685" t="n">
        <v>1.6</v>
      </c>
      <c r="J1685" t="n">
        <v>0</v>
      </c>
      <c r="K1685" t="n">
        <v>0</v>
      </c>
      <c r="L1685" t="n">
        <v>0</v>
      </c>
      <c r="M1685" t="n">
        <v>0</v>
      </c>
      <c r="N1685" t="n">
        <v>0</v>
      </c>
      <c r="O1685" t="n">
        <v>0</v>
      </c>
      <c r="P1685" t="n">
        <v>0</v>
      </c>
      <c r="Q1685" t="n">
        <v>0</v>
      </c>
      <c r="R1685" t="n">
        <v>0</v>
      </c>
      <c r="S1685" t="n">
        <v>0</v>
      </c>
      <c r="T1685" t="n">
        <v>0</v>
      </c>
      <c r="U1685" t="n">
        <v>0</v>
      </c>
      <c r="V1685" s="2" t="inlineStr"/>
    </row>
    <row r="1686" ht="15" customHeight="1">
      <c r="A1686" t="inlineStr">
        <is>
          <t>A 20911-2022</t>
        </is>
      </c>
      <c r="B1686" t="inlineStr">
        <is>
          <t>avverkningsanmälan</t>
        </is>
      </c>
      <c r="C1686" t="inlineStr">
        <is>
          <t>Föryngringsavverkning</t>
        </is>
      </c>
      <c r="D1686" s="1" t="n">
        <v>44701</v>
      </c>
      <c r="E1686" s="1" t="n">
        <v>46309</v>
      </c>
      <c r="F1686" t="inlineStr">
        <is>
          <t>UPPSALA LÄN</t>
        </is>
      </c>
      <c r="G1686" t="inlineStr">
        <is>
          <t>TIERP</t>
        </is>
      </c>
      <c r="I1686" t="n">
        <v>1.2</v>
      </c>
      <c r="J1686" t="n">
        <v>0</v>
      </c>
      <c r="K1686" t="n">
        <v>0</v>
      </c>
      <c r="L1686" t="n">
        <v>0</v>
      </c>
      <c r="M1686" t="n">
        <v>0</v>
      </c>
      <c r="N1686" t="n">
        <v>0</v>
      </c>
      <c r="O1686" t="n">
        <v>0</v>
      </c>
      <c r="P1686" t="n">
        <v>0</v>
      </c>
      <c r="Q1686" t="n">
        <v>0</v>
      </c>
      <c r="R1686" t="n">
        <v>0</v>
      </c>
      <c r="S1686" t="n">
        <v>0</v>
      </c>
      <c r="T1686" t="n">
        <v>0</v>
      </c>
      <c r="U1686" t="n">
        <v>0</v>
      </c>
      <c r="V1686" s="2" t="inlineStr"/>
    </row>
    <row r="1687" ht="15" customHeight="1">
      <c r="A1687" t="inlineStr">
        <is>
          <t>A 6031-2026</t>
        </is>
      </c>
      <c r="B1687" t="inlineStr">
        <is>
          <t>avverkningsanmälan</t>
        </is>
      </c>
      <c r="C1687" t="inlineStr">
        <is>
          <t>Föryngringsavverkning</t>
        </is>
      </c>
      <c r="D1687" s="1" t="n">
        <v>46052</v>
      </c>
      <c r="E1687" s="1" t="n">
        <v>46309</v>
      </c>
      <c r="F1687" t="inlineStr">
        <is>
          <t>UPPSALA LÄN</t>
        </is>
      </c>
      <c r="G1687" t="inlineStr">
        <is>
          <t>ENKÖPING</t>
        </is>
      </c>
      <c r="I1687" t="n">
        <v>4.1</v>
      </c>
      <c r="J1687" t="n">
        <v>0</v>
      </c>
      <c r="K1687" t="n">
        <v>0</v>
      </c>
      <c r="L1687" t="n">
        <v>0</v>
      </c>
      <c r="M1687" t="n">
        <v>0</v>
      </c>
      <c r="N1687" t="n">
        <v>0</v>
      </c>
      <c r="O1687" t="n">
        <v>0</v>
      </c>
      <c r="P1687" t="n">
        <v>0</v>
      </c>
      <c r="Q1687" t="n">
        <v>0</v>
      </c>
      <c r="R1687" t="n">
        <v>0</v>
      </c>
      <c r="S1687" t="n">
        <v>0</v>
      </c>
      <c r="T1687" t="n">
        <v>0</v>
      </c>
      <c r="U1687" t="n">
        <v>0</v>
      </c>
      <c r="V1687" s="2" t="inlineStr"/>
    </row>
    <row r="1688" ht="15" customHeight="1">
      <c r="A1688" t="inlineStr">
        <is>
          <t>A 5727-2026</t>
        </is>
      </c>
      <c r="B1688" t="inlineStr">
        <is>
          <t>avverkningsanmälan</t>
        </is>
      </c>
      <c r="C1688" t="inlineStr">
        <is>
          <t>Föryngringsavverkning</t>
        </is>
      </c>
      <c r="D1688" s="1" t="n">
        <v>46051</v>
      </c>
      <c r="E1688" s="1" t="n">
        <v>46309</v>
      </c>
      <c r="F1688" t="inlineStr">
        <is>
          <t>UPPSALA LÄN</t>
        </is>
      </c>
      <c r="G1688" t="inlineStr">
        <is>
          <t>TIERP</t>
        </is>
      </c>
      <c r="I1688" t="n">
        <v>5.1</v>
      </c>
      <c r="J1688" t="n">
        <v>0</v>
      </c>
      <c r="K1688" t="n">
        <v>0</v>
      </c>
      <c r="L1688" t="n">
        <v>0</v>
      </c>
      <c r="M1688" t="n">
        <v>0</v>
      </c>
      <c r="N1688" t="n">
        <v>0</v>
      </c>
      <c r="O1688" t="n">
        <v>0</v>
      </c>
      <c r="P1688" t="n">
        <v>0</v>
      </c>
      <c r="Q1688" t="n">
        <v>0</v>
      </c>
      <c r="R1688" t="n">
        <v>0</v>
      </c>
      <c r="S1688" t="n">
        <v>0</v>
      </c>
      <c r="T1688" t="n">
        <v>0</v>
      </c>
      <c r="U1688" t="n">
        <v>0</v>
      </c>
      <c r="V1688" s="2" t="inlineStr"/>
    </row>
    <row r="1689" ht="15" customHeight="1">
      <c r="A1689" t="inlineStr">
        <is>
          <t>A 5735-2026</t>
        </is>
      </c>
      <c r="B1689" t="inlineStr">
        <is>
          <t>avverkningsanmälan</t>
        </is>
      </c>
      <c r="C1689" t="inlineStr">
        <is>
          <t>Föryngringsavverkning</t>
        </is>
      </c>
      <c r="D1689" s="1" t="n">
        <v>46051</v>
      </c>
      <c r="E1689" s="1" t="n">
        <v>46309</v>
      </c>
      <c r="F1689" t="inlineStr">
        <is>
          <t>UPPSALA LÄN</t>
        </is>
      </c>
      <c r="G1689" t="inlineStr">
        <is>
          <t>TIERP</t>
        </is>
      </c>
      <c r="I1689" t="n">
        <v>1.6</v>
      </c>
      <c r="J1689" t="n">
        <v>0</v>
      </c>
      <c r="K1689" t="n">
        <v>0</v>
      </c>
      <c r="L1689" t="n">
        <v>0</v>
      </c>
      <c r="M1689" t="n">
        <v>0</v>
      </c>
      <c r="N1689" t="n">
        <v>0</v>
      </c>
      <c r="O1689" t="n">
        <v>0</v>
      </c>
      <c r="P1689" t="n">
        <v>0</v>
      </c>
      <c r="Q1689" t="n">
        <v>0</v>
      </c>
      <c r="R1689" t="n">
        <v>0</v>
      </c>
      <c r="S1689" t="n">
        <v>0</v>
      </c>
      <c r="T1689" t="n">
        <v>0</v>
      </c>
      <c r="U1689" t="n">
        <v>0</v>
      </c>
      <c r="V1689" s="2" t="inlineStr"/>
    </row>
    <row r="1690" ht="15" customHeight="1">
      <c r="A1690" t="inlineStr">
        <is>
          <t>A 5741-2026</t>
        </is>
      </c>
      <c r="B1690" t="inlineStr">
        <is>
          <t>avverkningsanmälan</t>
        </is>
      </c>
      <c r="C1690" t="inlineStr">
        <is>
          <t>Föryngringsavverkning</t>
        </is>
      </c>
      <c r="D1690" s="1" t="n">
        <v>46051</v>
      </c>
      <c r="E1690" s="1" t="n">
        <v>46309</v>
      </c>
      <c r="F1690" t="inlineStr">
        <is>
          <t>UPPSALA LÄN</t>
        </is>
      </c>
      <c r="G1690" t="inlineStr">
        <is>
          <t>TIERP</t>
        </is>
      </c>
      <c r="I1690" t="n">
        <v>5.8</v>
      </c>
      <c r="J1690" t="n">
        <v>0</v>
      </c>
      <c r="K1690" t="n">
        <v>0</v>
      </c>
      <c r="L1690" t="n">
        <v>0</v>
      </c>
      <c r="M1690" t="n">
        <v>0</v>
      </c>
      <c r="N1690" t="n">
        <v>0</v>
      </c>
      <c r="O1690" t="n">
        <v>0</v>
      </c>
      <c r="P1690" t="n">
        <v>0</v>
      </c>
      <c r="Q1690" t="n">
        <v>0</v>
      </c>
      <c r="R1690" t="n">
        <v>0</v>
      </c>
      <c r="S1690" t="n">
        <v>0</v>
      </c>
      <c r="T1690" t="n">
        <v>0</v>
      </c>
      <c r="U1690" t="n">
        <v>0</v>
      </c>
      <c r="V1690" s="2" t="inlineStr"/>
    </row>
    <row r="1691" ht="15" customHeight="1">
      <c r="A1691" t="inlineStr">
        <is>
          <t>A 56051-2025</t>
        </is>
      </c>
      <c r="B1691" t="inlineStr">
        <is>
          <t>avverkningsanmälan</t>
        </is>
      </c>
      <c r="C1691" t="inlineStr">
        <is>
          <t>Föryngringsavverkning</t>
        </is>
      </c>
      <c r="D1691" s="1" t="n">
        <v>45973</v>
      </c>
      <c r="E1691" s="1" t="n">
        <v>46309</v>
      </c>
      <c r="F1691" t="inlineStr">
        <is>
          <t>UPPSALA LÄN</t>
        </is>
      </c>
      <c r="G1691" t="inlineStr">
        <is>
          <t>TIERP</t>
        </is>
      </c>
      <c r="H1691" t="inlineStr">
        <is>
          <t>Bergvik skog väst AB</t>
        </is>
      </c>
      <c r="I1691" t="n">
        <v>4.6</v>
      </c>
      <c r="J1691" t="n">
        <v>0</v>
      </c>
      <c r="K1691" t="n">
        <v>0</v>
      </c>
      <c r="L1691" t="n">
        <v>0</v>
      </c>
      <c r="M1691" t="n">
        <v>0</v>
      </c>
      <c r="N1691" t="n">
        <v>0</v>
      </c>
      <c r="O1691" t="n">
        <v>0</v>
      </c>
      <c r="P1691" t="n">
        <v>0</v>
      </c>
      <c r="Q1691" t="n">
        <v>0</v>
      </c>
      <c r="R1691" t="n">
        <v>0</v>
      </c>
      <c r="S1691" t="n">
        <v>0</v>
      </c>
      <c r="T1691" t="n">
        <v>0</v>
      </c>
      <c r="U1691" t="n">
        <v>0</v>
      </c>
      <c r="V1691" s="2" t="inlineStr"/>
    </row>
    <row r="1692" ht="15" customHeight="1">
      <c r="A1692" t="inlineStr">
        <is>
          <t>A 56059-2025</t>
        </is>
      </c>
      <c r="B1692" t="inlineStr">
        <is>
          <t>avverkningsanmälan</t>
        </is>
      </c>
      <c r="C1692" t="inlineStr">
        <is>
          <t>Föryngringsavverkning</t>
        </is>
      </c>
      <c r="D1692" s="1" t="n">
        <v>45973</v>
      </c>
      <c r="E1692" s="1" t="n">
        <v>46309</v>
      </c>
      <c r="F1692" t="inlineStr">
        <is>
          <t>UPPSALA LÄN</t>
        </is>
      </c>
      <c r="G1692" t="inlineStr">
        <is>
          <t>TIERP</t>
        </is>
      </c>
      <c r="H1692" t="inlineStr">
        <is>
          <t>Bergvik skog väst AB</t>
        </is>
      </c>
      <c r="I1692" t="n">
        <v>3.2</v>
      </c>
      <c r="J1692" t="n">
        <v>0</v>
      </c>
      <c r="K1692" t="n">
        <v>0</v>
      </c>
      <c r="L1692" t="n">
        <v>0</v>
      </c>
      <c r="M1692" t="n">
        <v>0</v>
      </c>
      <c r="N1692" t="n">
        <v>0</v>
      </c>
      <c r="O1692" t="n">
        <v>0</v>
      </c>
      <c r="P1692" t="n">
        <v>0</v>
      </c>
      <c r="Q1692" t="n">
        <v>0</v>
      </c>
      <c r="R1692" t="n">
        <v>0</v>
      </c>
      <c r="S1692" t="n">
        <v>0</v>
      </c>
      <c r="T1692" t="n">
        <v>0</v>
      </c>
      <c r="U1692" t="n">
        <v>0</v>
      </c>
      <c r="V1692" s="2" t="inlineStr"/>
    </row>
    <row r="1693" ht="15" customHeight="1">
      <c r="A1693" t="inlineStr">
        <is>
          <t>A 6036-2026</t>
        </is>
      </c>
      <c r="B1693" t="inlineStr">
        <is>
          <t>avverkningsanmälan</t>
        </is>
      </c>
      <c r="C1693" t="inlineStr">
        <is>
          <t>Föryngringsavverkning</t>
        </is>
      </c>
      <c r="D1693" s="1" t="n">
        <v>46052</v>
      </c>
      <c r="E1693" s="1" t="n">
        <v>46309</v>
      </c>
      <c r="F1693" t="inlineStr">
        <is>
          <t>UPPSALA LÄN</t>
        </is>
      </c>
      <c r="G1693" t="inlineStr">
        <is>
          <t>TIERP</t>
        </is>
      </c>
      <c r="I1693" t="n">
        <v>1.4</v>
      </c>
      <c r="J1693" t="n">
        <v>0</v>
      </c>
      <c r="K1693" t="n">
        <v>0</v>
      </c>
      <c r="L1693" t="n">
        <v>0</v>
      </c>
      <c r="M1693" t="n">
        <v>0</v>
      </c>
      <c r="N1693" t="n">
        <v>0</v>
      </c>
      <c r="O1693" t="n">
        <v>0</v>
      </c>
      <c r="P1693" t="n">
        <v>0</v>
      </c>
      <c r="Q1693" t="n">
        <v>0</v>
      </c>
      <c r="R1693" t="n">
        <v>0</v>
      </c>
      <c r="S1693" t="n">
        <v>0</v>
      </c>
      <c r="T1693" t="n">
        <v>0</v>
      </c>
      <c r="U1693" t="n">
        <v>0</v>
      </c>
      <c r="V1693" s="2" t="inlineStr"/>
    </row>
    <row r="1694" ht="15" customHeight="1">
      <c r="A1694" t="inlineStr">
        <is>
          <t>A 6047-2026</t>
        </is>
      </c>
      <c r="B1694" t="inlineStr">
        <is>
          <t>avverkningsanmälan</t>
        </is>
      </c>
      <c r="C1694" t="inlineStr">
        <is>
          <t>Föryngringsavverkning</t>
        </is>
      </c>
      <c r="D1694" s="1" t="n">
        <v>46052</v>
      </c>
      <c r="E1694" s="1" t="n">
        <v>46309</v>
      </c>
      <c r="F1694" t="inlineStr">
        <is>
          <t>UPPSALA LÄN</t>
        </is>
      </c>
      <c r="G1694" t="inlineStr">
        <is>
          <t>ENKÖPING</t>
        </is>
      </c>
      <c r="I1694" t="n">
        <v>0.9</v>
      </c>
      <c r="J1694" t="n">
        <v>0</v>
      </c>
      <c r="K1694" t="n">
        <v>0</v>
      </c>
      <c r="L1694" t="n">
        <v>0</v>
      </c>
      <c r="M1694" t="n">
        <v>0</v>
      </c>
      <c r="N1694" t="n">
        <v>0</v>
      </c>
      <c r="O1694" t="n">
        <v>0</v>
      </c>
      <c r="P1694" t="n">
        <v>0</v>
      </c>
      <c r="Q1694" t="n">
        <v>0</v>
      </c>
      <c r="R1694" t="n">
        <v>0</v>
      </c>
      <c r="S1694" t="n">
        <v>0</v>
      </c>
      <c r="T1694" t="n">
        <v>0</v>
      </c>
      <c r="U1694" t="n">
        <v>0</v>
      </c>
      <c r="V1694" s="2" t="inlineStr"/>
    </row>
    <row r="1695" ht="15" customHeight="1">
      <c r="A1695" t="inlineStr">
        <is>
          <t>A 31875-2022</t>
        </is>
      </c>
      <c r="B1695" t="inlineStr">
        <is>
          <t>avverkningsanmälan</t>
        </is>
      </c>
      <c r="C1695" t="inlineStr">
        <is>
          <t>Föryngringsavverkning</t>
        </is>
      </c>
      <c r="D1695" s="1" t="n">
        <v>44777</v>
      </c>
      <c r="E1695" s="1" t="n">
        <v>46309</v>
      </c>
      <c r="F1695" t="inlineStr">
        <is>
          <t>UPPSALA LÄN</t>
        </is>
      </c>
      <c r="G1695" t="inlineStr">
        <is>
          <t>KNIVSTA</t>
        </is>
      </c>
      <c r="I1695" t="n">
        <v>0.7</v>
      </c>
      <c r="J1695" t="n">
        <v>0</v>
      </c>
      <c r="K1695" t="n">
        <v>0</v>
      </c>
      <c r="L1695" t="n">
        <v>0</v>
      </c>
      <c r="M1695" t="n">
        <v>0</v>
      </c>
      <c r="N1695" t="n">
        <v>0</v>
      </c>
      <c r="O1695" t="n">
        <v>0</v>
      </c>
      <c r="P1695" t="n">
        <v>0</v>
      </c>
      <c r="Q1695" t="n">
        <v>0</v>
      </c>
      <c r="R1695" t="n">
        <v>0</v>
      </c>
      <c r="S1695" t="n">
        <v>0</v>
      </c>
      <c r="T1695" t="n">
        <v>0</v>
      </c>
      <c r="U1695" t="n">
        <v>0</v>
      </c>
      <c r="V1695" s="2" t="inlineStr"/>
    </row>
    <row r="1696" ht="15" customHeight="1">
      <c r="A1696" t="inlineStr">
        <is>
          <t>A 5908-2026</t>
        </is>
      </c>
      <c r="B1696" t="inlineStr">
        <is>
          <t>avverkningsanmälan</t>
        </is>
      </c>
      <c r="C1696" t="inlineStr">
        <is>
          <t>Föryngringsavverkning</t>
        </is>
      </c>
      <c r="D1696" s="1" t="n">
        <v>46052</v>
      </c>
      <c r="E1696" s="1" t="n">
        <v>46309</v>
      </c>
      <c r="F1696" t="inlineStr">
        <is>
          <t>UPPSALA LÄN</t>
        </is>
      </c>
      <c r="G1696" t="inlineStr">
        <is>
          <t>KNIVSTA</t>
        </is>
      </c>
      <c r="I1696" t="n">
        <v>0.9</v>
      </c>
      <c r="J1696" t="n">
        <v>0</v>
      </c>
      <c r="K1696" t="n">
        <v>0</v>
      </c>
      <c r="L1696" t="n">
        <v>0</v>
      </c>
      <c r="M1696" t="n">
        <v>0</v>
      </c>
      <c r="N1696" t="n">
        <v>0</v>
      </c>
      <c r="O1696" t="n">
        <v>0</v>
      </c>
      <c r="P1696" t="n">
        <v>0</v>
      </c>
      <c r="Q1696" t="n">
        <v>0</v>
      </c>
      <c r="R1696" t="n">
        <v>0</v>
      </c>
      <c r="S1696" t="n">
        <v>0</v>
      </c>
      <c r="T1696" t="n">
        <v>0</v>
      </c>
      <c r="U1696" t="n">
        <v>0</v>
      </c>
      <c r="V1696" s="2" t="inlineStr"/>
    </row>
    <row r="1697" ht="15" customHeight="1">
      <c r="A1697" t="inlineStr">
        <is>
          <t>A 5910-2026</t>
        </is>
      </c>
      <c r="B1697" t="inlineStr">
        <is>
          <t>avverkningsanmälan</t>
        </is>
      </c>
      <c r="C1697" t="inlineStr">
        <is>
          <t>Föryngringsavverkning</t>
        </is>
      </c>
      <c r="D1697" s="1" t="n">
        <v>46052</v>
      </c>
      <c r="E1697" s="1" t="n">
        <v>46309</v>
      </c>
      <c r="F1697" t="inlineStr">
        <is>
          <t>UPPSALA LÄN</t>
        </is>
      </c>
      <c r="G1697" t="inlineStr">
        <is>
          <t>KNIVSTA</t>
        </is>
      </c>
      <c r="I1697" t="n">
        <v>0.6</v>
      </c>
      <c r="J1697" t="n">
        <v>0</v>
      </c>
      <c r="K1697" t="n">
        <v>0</v>
      </c>
      <c r="L1697" t="n">
        <v>0</v>
      </c>
      <c r="M1697" t="n">
        <v>0</v>
      </c>
      <c r="N1697" t="n">
        <v>0</v>
      </c>
      <c r="O1697" t="n">
        <v>0</v>
      </c>
      <c r="P1697" t="n">
        <v>0</v>
      </c>
      <c r="Q1697" t="n">
        <v>0</v>
      </c>
      <c r="R1697" t="n">
        <v>0</v>
      </c>
      <c r="S1697" t="n">
        <v>0</v>
      </c>
      <c r="T1697" t="n">
        <v>0</v>
      </c>
      <c r="U1697" t="n">
        <v>0</v>
      </c>
      <c r="V1697" s="2" t="inlineStr"/>
    </row>
    <row r="1698" ht="15" customHeight="1">
      <c r="A1698" t="inlineStr">
        <is>
          <t>A 56067-2025</t>
        </is>
      </c>
      <c r="B1698" t="inlineStr">
        <is>
          <t>avverkningsanmälan</t>
        </is>
      </c>
      <c r="C1698" t="inlineStr">
        <is>
          <t>Föryngringsavverkning</t>
        </is>
      </c>
      <c r="D1698" s="1" t="n">
        <v>45973</v>
      </c>
      <c r="E1698" s="1" t="n">
        <v>46309</v>
      </c>
      <c r="F1698" t="inlineStr">
        <is>
          <t>UPPSALA LÄN</t>
        </is>
      </c>
      <c r="G1698" t="inlineStr">
        <is>
          <t>TIERP</t>
        </is>
      </c>
      <c r="H1698" t="inlineStr">
        <is>
          <t>Bergvik skog väst AB</t>
        </is>
      </c>
      <c r="I1698" t="n">
        <v>8.6</v>
      </c>
      <c r="J1698" t="n">
        <v>0</v>
      </c>
      <c r="K1698" t="n">
        <v>0</v>
      </c>
      <c r="L1698" t="n">
        <v>0</v>
      </c>
      <c r="M1698" t="n">
        <v>0</v>
      </c>
      <c r="N1698" t="n">
        <v>0</v>
      </c>
      <c r="O1698" t="n">
        <v>0</v>
      </c>
      <c r="P1698" t="n">
        <v>0</v>
      </c>
      <c r="Q1698" t="n">
        <v>0</v>
      </c>
      <c r="R1698" t="n">
        <v>0</v>
      </c>
      <c r="S1698" t="n">
        <v>0</v>
      </c>
      <c r="T1698" t="n">
        <v>0</v>
      </c>
      <c r="U1698" t="n">
        <v>0</v>
      </c>
      <c r="V1698" s="2" t="inlineStr"/>
    </row>
    <row r="1699" ht="15" customHeight="1">
      <c r="A1699" t="inlineStr">
        <is>
          <t>A 5662-2026</t>
        </is>
      </c>
      <c r="B1699" t="inlineStr">
        <is>
          <t>avverkningsanmälan</t>
        </is>
      </c>
      <c r="C1699" t="inlineStr">
        <is>
          <t>Föryngringsavverkning</t>
        </is>
      </c>
      <c r="D1699" s="1" t="n">
        <v>46051</v>
      </c>
      <c r="E1699" s="1" t="n">
        <v>46309</v>
      </c>
      <c r="F1699" t="inlineStr">
        <is>
          <t>UPPSALA LÄN</t>
        </is>
      </c>
      <c r="G1699" t="inlineStr">
        <is>
          <t>TIERP</t>
        </is>
      </c>
      <c r="I1699" t="n">
        <v>1.2</v>
      </c>
      <c r="J1699" t="n">
        <v>0</v>
      </c>
      <c r="K1699" t="n">
        <v>0</v>
      </c>
      <c r="L1699" t="n">
        <v>0</v>
      </c>
      <c r="M1699" t="n">
        <v>0</v>
      </c>
      <c r="N1699" t="n">
        <v>0</v>
      </c>
      <c r="O1699" t="n">
        <v>0</v>
      </c>
      <c r="P1699" t="n">
        <v>0</v>
      </c>
      <c r="Q1699" t="n">
        <v>0</v>
      </c>
      <c r="R1699" t="n">
        <v>0</v>
      </c>
      <c r="S1699" t="n">
        <v>0</v>
      </c>
      <c r="T1699" t="n">
        <v>0</v>
      </c>
      <c r="U1699" t="n">
        <v>0</v>
      </c>
      <c r="V1699" s="2" t="inlineStr"/>
    </row>
    <row r="1700" ht="15" customHeight="1">
      <c r="A1700" t="inlineStr">
        <is>
          <t>A 5687-2026</t>
        </is>
      </c>
      <c r="B1700" t="inlineStr">
        <is>
          <t>avverkningsanmälan</t>
        </is>
      </c>
      <c r="C1700" t="inlineStr">
        <is>
          <t>Föryngringsavverkning</t>
        </is>
      </c>
      <c r="D1700" s="1" t="n">
        <v>46051</v>
      </c>
      <c r="E1700" s="1" t="n">
        <v>46309</v>
      </c>
      <c r="F1700" t="inlineStr">
        <is>
          <t>UPPSALA LÄN</t>
        </is>
      </c>
      <c r="G1700" t="inlineStr">
        <is>
          <t>UPPSALA</t>
        </is>
      </c>
      <c r="I1700" t="n">
        <v>1.2</v>
      </c>
      <c r="J1700" t="n">
        <v>0</v>
      </c>
      <c r="K1700" t="n">
        <v>0</v>
      </c>
      <c r="L1700" t="n">
        <v>0</v>
      </c>
      <c r="M1700" t="n">
        <v>0</v>
      </c>
      <c r="N1700" t="n">
        <v>0</v>
      </c>
      <c r="O1700" t="n">
        <v>0</v>
      </c>
      <c r="P1700" t="n">
        <v>0</v>
      </c>
      <c r="Q1700" t="n">
        <v>0</v>
      </c>
      <c r="R1700" t="n">
        <v>0</v>
      </c>
      <c r="S1700" t="n">
        <v>0</v>
      </c>
      <c r="T1700" t="n">
        <v>0</v>
      </c>
      <c r="U1700" t="n">
        <v>0</v>
      </c>
      <c r="V1700" s="2" t="inlineStr"/>
    </row>
    <row r="1701" ht="15" customHeight="1">
      <c r="A1701" t="inlineStr">
        <is>
          <t>A 56044-2025</t>
        </is>
      </c>
      <c r="B1701" t="inlineStr">
        <is>
          <t>avverkningsanmälan</t>
        </is>
      </c>
      <c r="C1701" t="inlineStr">
        <is>
          <t>Föryngringsavverkning</t>
        </is>
      </c>
      <c r="D1701" s="1" t="n">
        <v>45973</v>
      </c>
      <c r="E1701" s="1" t="n">
        <v>46309</v>
      </c>
      <c r="F1701" t="inlineStr">
        <is>
          <t>UPPSALA LÄN</t>
        </is>
      </c>
      <c r="G1701" t="inlineStr">
        <is>
          <t>TIERP</t>
        </is>
      </c>
      <c r="H1701" t="inlineStr">
        <is>
          <t>Bergvik skog väst AB</t>
        </is>
      </c>
      <c r="I1701" t="n">
        <v>3.9</v>
      </c>
      <c r="J1701" t="n">
        <v>0</v>
      </c>
      <c r="K1701" t="n">
        <v>0</v>
      </c>
      <c r="L1701" t="n">
        <v>0</v>
      </c>
      <c r="M1701" t="n">
        <v>0</v>
      </c>
      <c r="N1701" t="n">
        <v>0</v>
      </c>
      <c r="O1701" t="n">
        <v>0</v>
      </c>
      <c r="P1701" t="n">
        <v>0</v>
      </c>
      <c r="Q1701" t="n">
        <v>0</v>
      </c>
      <c r="R1701" t="n">
        <v>0</v>
      </c>
      <c r="S1701" t="n">
        <v>0</v>
      </c>
      <c r="T1701" t="n">
        <v>0</v>
      </c>
      <c r="U1701" t="n">
        <v>0</v>
      </c>
      <c r="V1701" s="2" t="inlineStr"/>
    </row>
    <row r="1702" ht="15" customHeight="1">
      <c r="A1702" t="inlineStr">
        <is>
          <t>A 6707-2026</t>
        </is>
      </c>
      <c r="B1702" t="inlineStr">
        <is>
          <t>avverkningsanmälan</t>
        </is>
      </c>
      <c r="C1702" t="inlineStr">
        <is>
          <t>Föryngringsavverkning</t>
        </is>
      </c>
      <c r="D1702" s="1" t="n">
        <v>46053</v>
      </c>
      <c r="E1702" s="1" t="n">
        <v>46309</v>
      </c>
      <c r="F1702" t="inlineStr">
        <is>
          <t>UPPSALA LÄN</t>
        </is>
      </c>
      <c r="G1702" t="inlineStr">
        <is>
          <t>TIERP</t>
        </is>
      </c>
      <c r="I1702" t="n">
        <v>0.9</v>
      </c>
      <c r="J1702" t="n">
        <v>0</v>
      </c>
      <c r="K1702" t="n">
        <v>0</v>
      </c>
      <c r="L1702" t="n">
        <v>0</v>
      </c>
      <c r="M1702" t="n">
        <v>0</v>
      </c>
      <c r="N1702" t="n">
        <v>0</v>
      </c>
      <c r="O1702" t="n">
        <v>0</v>
      </c>
      <c r="P1702" t="n">
        <v>0</v>
      </c>
      <c r="Q1702" t="n">
        <v>0</v>
      </c>
      <c r="R1702" t="n">
        <v>0</v>
      </c>
      <c r="S1702" t="n">
        <v>0</v>
      </c>
      <c r="T1702" t="n">
        <v>0</v>
      </c>
      <c r="U1702" t="n">
        <v>0</v>
      </c>
      <c r="V1702" s="2" t="inlineStr"/>
    </row>
    <row r="1703" ht="15" customHeight="1">
      <c r="A1703" t="inlineStr">
        <is>
          <t>A 11568-2023</t>
        </is>
      </c>
      <c r="B1703" t="inlineStr">
        <is>
          <t>avverkningsanmälan</t>
        </is>
      </c>
      <c r="C1703" t="inlineStr">
        <is>
          <t>Föryngringsavverkning</t>
        </is>
      </c>
      <c r="D1703" s="1" t="n">
        <v>44994</v>
      </c>
      <c r="E1703" s="1" t="n">
        <v>46309</v>
      </c>
      <c r="F1703" t="inlineStr">
        <is>
          <t>UPPSALA LÄN</t>
        </is>
      </c>
      <c r="G1703" t="inlineStr">
        <is>
          <t>UPPSALA</t>
        </is>
      </c>
      <c r="I1703" t="n">
        <v>0.8</v>
      </c>
      <c r="J1703" t="n">
        <v>0</v>
      </c>
      <c r="K1703" t="n">
        <v>0</v>
      </c>
      <c r="L1703" t="n">
        <v>0</v>
      </c>
      <c r="M1703" t="n">
        <v>0</v>
      </c>
      <c r="N1703" t="n">
        <v>0</v>
      </c>
      <c r="O1703" t="n">
        <v>0</v>
      </c>
      <c r="P1703" t="n">
        <v>0</v>
      </c>
      <c r="Q1703" t="n">
        <v>0</v>
      </c>
      <c r="R1703" t="n">
        <v>0</v>
      </c>
      <c r="S1703" t="n">
        <v>0</v>
      </c>
      <c r="T1703" t="n">
        <v>0</v>
      </c>
      <c r="U1703" t="n">
        <v>0</v>
      </c>
      <c r="V1703" s="2" t="inlineStr"/>
    </row>
    <row r="1704" ht="15" customHeight="1">
      <c r="A1704" t="inlineStr">
        <is>
          <t>A 56620-2025</t>
        </is>
      </c>
      <c r="B1704" t="inlineStr">
        <is>
          <t>avverkningsanmälan</t>
        </is>
      </c>
      <c r="C1704" t="inlineStr">
        <is>
          <t>Föryngringsavverkning</t>
        </is>
      </c>
      <c r="D1704" s="1" t="n">
        <v>45975</v>
      </c>
      <c r="E1704" s="1" t="n">
        <v>46309</v>
      </c>
      <c r="F1704" t="inlineStr">
        <is>
          <t>UPPSALA LÄN</t>
        </is>
      </c>
      <c r="G1704" t="inlineStr">
        <is>
          <t>UPPSALA</t>
        </is>
      </c>
      <c r="I1704" t="n">
        <v>3.6</v>
      </c>
      <c r="J1704" t="n">
        <v>0</v>
      </c>
      <c r="K1704" t="n">
        <v>0</v>
      </c>
      <c r="L1704" t="n">
        <v>0</v>
      </c>
      <c r="M1704" t="n">
        <v>0</v>
      </c>
      <c r="N1704" t="n">
        <v>0</v>
      </c>
      <c r="O1704" t="n">
        <v>0</v>
      </c>
      <c r="P1704" t="n">
        <v>0</v>
      </c>
      <c r="Q1704" t="n">
        <v>0</v>
      </c>
      <c r="R1704" t="n">
        <v>0</v>
      </c>
      <c r="S1704" t="n">
        <v>0</v>
      </c>
      <c r="T1704" t="n">
        <v>0</v>
      </c>
      <c r="U1704" t="n">
        <v>0</v>
      </c>
      <c r="V1704" s="2" t="inlineStr"/>
    </row>
    <row r="1705" ht="15" customHeight="1">
      <c r="A1705" t="inlineStr">
        <is>
          <t>A 6410-2026</t>
        </is>
      </c>
      <c r="B1705" t="inlineStr">
        <is>
          <t>avverkningsanmälan</t>
        </is>
      </c>
      <c r="C1705" t="inlineStr">
        <is>
          <t>Föryngringsavverkning</t>
        </is>
      </c>
      <c r="D1705" s="1" t="n">
        <v>46055</v>
      </c>
      <c r="E1705" s="1" t="n">
        <v>46309</v>
      </c>
      <c r="F1705" t="inlineStr">
        <is>
          <t>UPPSALA LÄN</t>
        </is>
      </c>
      <c r="G1705" t="inlineStr">
        <is>
          <t>TIERP</t>
        </is>
      </c>
      <c r="I1705" t="n">
        <v>3.7</v>
      </c>
      <c r="J1705" t="n">
        <v>0</v>
      </c>
      <c r="K1705" t="n">
        <v>0</v>
      </c>
      <c r="L1705" t="n">
        <v>0</v>
      </c>
      <c r="M1705" t="n">
        <v>0</v>
      </c>
      <c r="N1705" t="n">
        <v>0</v>
      </c>
      <c r="O1705" t="n">
        <v>0</v>
      </c>
      <c r="P1705" t="n">
        <v>0</v>
      </c>
      <c r="Q1705" t="n">
        <v>0</v>
      </c>
      <c r="R1705" t="n">
        <v>0</v>
      </c>
      <c r="S1705" t="n">
        <v>0</v>
      </c>
      <c r="T1705" t="n">
        <v>0</v>
      </c>
      <c r="U1705" t="n">
        <v>0</v>
      </c>
      <c r="V1705" s="2" t="inlineStr"/>
    </row>
    <row r="1706" ht="15" customHeight="1">
      <c r="A1706" t="inlineStr">
        <is>
          <t>A 6360-2026</t>
        </is>
      </c>
      <c r="B1706" t="inlineStr">
        <is>
          <t>avverkningsanmälan</t>
        </is>
      </c>
      <c r="C1706" t="inlineStr">
        <is>
          <t>Föryngringsavverkning</t>
        </is>
      </c>
      <c r="D1706" s="1" t="n">
        <v>46055</v>
      </c>
      <c r="E1706" s="1" t="n">
        <v>46309</v>
      </c>
      <c r="F1706" t="inlineStr">
        <is>
          <t>UPPSALA LÄN</t>
        </is>
      </c>
      <c r="G1706" t="inlineStr">
        <is>
          <t>UPPSALA</t>
        </is>
      </c>
      <c r="I1706" t="n">
        <v>0.6</v>
      </c>
      <c r="J1706" t="n">
        <v>0</v>
      </c>
      <c r="K1706" t="n">
        <v>0</v>
      </c>
      <c r="L1706" t="n">
        <v>0</v>
      </c>
      <c r="M1706" t="n">
        <v>0</v>
      </c>
      <c r="N1706" t="n">
        <v>0</v>
      </c>
      <c r="O1706" t="n">
        <v>0</v>
      </c>
      <c r="P1706" t="n">
        <v>0</v>
      </c>
      <c r="Q1706" t="n">
        <v>0</v>
      </c>
      <c r="R1706" t="n">
        <v>0</v>
      </c>
      <c r="S1706" t="n">
        <v>0</v>
      </c>
      <c r="T1706" t="n">
        <v>0</v>
      </c>
      <c r="U1706" t="n">
        <v>0</v>
      </c>
      <c r="V1706" s="2" t="inlineStr"/>
    </row>
    <row r="1707" ht="15" customHeight="1">
      <c r="A1707" t="inlineStr">
        <is>
          <t>A 56757-2025</t>
        </is>
      </c>
      <c r="B1707" t="inlineStr">
        <is>
          <t>avverkningsanmälan</t>
        </is>
      </c>
      <c r="C1707" t="inlineStr">
        <is>
          <t>Föryngringsavverkning</t>
        </is>
      </c>
      <c r="D1707" s="1" t="n">
        <v>45978</v>
      </c>
      <c r="E1707" s="1" t="n">
        <v>46309</v>
      </c>
      <c r="F1707" t="inlineStr">
        <is>
          <t>UPPSALA LÄN</t>
        </is>
      </c>
      <c r="G1707" t="inlineStr">
        <is>
          <t>ÖSTHAMMAR</t>
        </is>
      </c>
      <c r="I1707" t="n">
        <v>1.1</v>
      </c>
      <c r="J1707" t="n">
        <v>0</v>
      </c>
      <c r="K1707" t="n">
        <v>0</v>
      </c>
      <c r="L1707" t="n">
        <v>0</v>
      </c>
      <c r="M1707" t="n">
        <v>0</v>
      </c>
      <c r="N1707" t="n">
        <v>0</v>
      </c>
      <c r="O1707" t="n">
        <v>0</v>
      </c>
      <c r="P1707" t="n">
        <v>0</v>
      </c>
      <c r="Q1707" t="n">
        <v>0</v>
      </c>
      <c r="R1707" t="n">
        <v>0</v>
      </c>
      <c r="S1707" t="n">
        <v>0</v>
      </c>
      <c r="T1707" t="n">
        <v>0</v>
      </c>
      <c r="U1707" t="n">
        <v>0</v>
      </c>
      <c r="V1707" s="2" t="inlineStr"/>
    </row>
    <row r="1708" ht="15" customHeight="1">
      <c r="A1708" t="inlineStr">
        <is>
          <t>A 56823-2025</t>
        </is>
      </c>
      <c r="B1708" t="inlineStr">
        <is>
          <t>avverkningsanmälan</t>
        </is>
      </c>
      <c r="C1708" t="inlineStr">
        <is>
          <t>Föryngringsavverkning</t>
        </is>
      </c>
      <c r="D1708" s="1" t="n">
        <v>45978</v>
      </c>
      <c r="E1708" s="1" t="n">
        <v>46309</v>
      </c>
      <c r="F1708" t="inlineStr">
        <is>
          <t>UPPSALA LÄN</t>
        </is>
      </c>
      <c r="G1708" t="inlineStr">
        <is>
          <t>ÖSTHAMMAR</t>
        </is>
      </c>
      <c r="I1708" t="n">
        <v>0.1</v>
      </c>
      <c r="J1708" t="n">
        <v>0</v>
      </c>
      <c r="K1708" t="n">
        <v>0</v>
      </c>
      <c r="L1708" t="n">
        <v>0</v>
      </c>
      <c r="M1708" t="n">
        <v>0</v>
      </c>
      <c r="N1708" t="n">
        <v>0</v>
      </c>
      <c r="O1708" t="n">
        <v>0</v>
      </c>
      <c r="P1708" t="n">
        <v>0</v>
      </c>
      <c r="Q1708" t="n">
        <v>0</v>
      </c>
      <c r="R1708" t="n">
        <v>0</v>
      </c>
      <c r="S1708" t="n">
        <v>0</v>
      </c>
      <c r="T1708" t="n">
        <v>0</v>
      </c>
      <c r="U1708" t="n">
        <v>0</v>
      </c>
      <c r="V1708" s="2" t="inlineStr"/>
    </row>
    <row r="1709" ht="15" customHeight="1">
      <c r="A1709" t="inlineStr">
        <is>
          <t>A 56861-2025</t>
        </is>
      </c>
      <c r="B1709" t="inlineStr">
        <is>
          <t>avverkningsanmälan</t>
        </is>
      </c>
      <c r="C1709" t="inlineStr">
        <is>
          <t>Avverkning för att bevara och utveckla /försöksver</t>
        </is>
      </c>
      <c r="D1709" s="1" t="n">
        <v>45978</v>
      </c>
      <c r="E1709" s="1" t="n">
        <v>46309</v>
      </c>
      <c r="F1709" t="inlineStr">
        <is>
          <t>UPPSALA LÄN</t>
        </is>
      </c>
      <c r="G1709" t="inlineStr">
        <is>
          <t>ÄLVKARLEBY</t>
        </is>
      </c>
      <c r="H1709" t="inlineStr">
        <is>
          <t>Bergvik skog väst AB</t>
        </is>
      </c>
      <c r="I1709" t="n">
        <v>1.6</v>
      </c>
      <c r="J1709" t="n">
        <v>0</v>
      </c>
      <c r="K1709" t="n">
        <v>0</v>
      </c>
      <c r="L1709" t="n">
        <v>0</v>
      </c>
      <c r="M1709" t="n">
        <v>0</v>
      </c>
      <c r="N1709" t="n">
        <v>0</v>
      </c>
      <c r="O1709" t="n">
        <v>0</v>
      </c>
      <c r="P1709" t="n">
        <v>0</v>
      </c>
      <c r="Q1709" t="n">
        <v>0</v>
      </c>
      <c r="R1709" t="n">
        <v>0</v>
      </c>
      <c r="S1709" t="n">
        <v>0</v>
      </c>
      <c r="T1709" t="n">
        <v>0</v>
      </c>
      <c r="U1709" t="n">
        <v>0</v>
      </c>
      <c r="V1709" s="2" t="inlineStr"/>
    </row>
    <row r="1710" ht="15" customHeight="1">
      <c r="A1710" t="inlineStr">
        <is>
          <t>A 16126-2022</t>
        </is>
      </c>
      <c r="B1710" t="inlineStr">
        <is>
          <t>avverkningsanmälan</t>
        </is>
      </c>
      <c r="C1710" t="inlineStr">
        <is>
          <t>Föryngringsavverkning</t>
        </is>
      </c>
      <c r="D1710" s="1" t="n">
        <v>44665</v>
      </c>
      <c r="E1710" s="1" t="n">
        <v>46309</v>
      </c>
      <c r="F1710" t="inlineStr">
        <is>
          <t>UPPSALA LÄN</t>
        </is>
      </c>
      <c r="G1710" t="inlineStr">
        <is>
          <t>UPPSALA</t>
        </is>
      </c>
      <c r="H1710" t="inlineStr">
        <is>
          <t>Bergvik skog öst AB</t>
        </is>
      </c>
      <c r="I1710" t="n">
        <v>4.4</v>
      </c>
      <c r="J1710" t="n">
        <v>0</v>
      </c>
      <c r="K1710" t="n">
        <v>0</v>
      </c>
      <c r="L1710" t="n">
        <v>0</v>
      </c>
      <c r="M1710" t="n">
        <v>0</v>
      </c>
      <c r="N1710" t="n">
        <v>0</v>
      </c>
      <c r="O1710" t="n">
        <v>0</v>
      </c>
      <c r="P1710" t="n">
        <v>0</v>
      </c>
      <c r="Q1710" t="n">
        <v>0</v>
      </c>
      <c r="R1710" t="n">
        <v>0</v>
      </c>
      <c r="S1710" t="n">
        <v>0</v>
      </c>
      <c r="T1710" t="n">
        <v>0</v>
      </c>
      <c r="U1710" t="n">
        <v>0</v>
      </c>
      <c r="V1710" s="2" t="inlineStr"/>
    </row>
    <row r="1711" ht="15" customHeight="1">
      <c r="A1711" t="inlineStr">
        <is>
          <t>A 6404-2026</t>
        </is>
      </c>
      <c r="B1711" t="inlineStr">
        <is>
          <t>avverkningsanmälan</t>
        </is>
      </c>
      <c r="C1711" t="inlineStr">
        <is>
          <t>Föryngringsavverkning</t>
        </is>
      </c>
      <c r="D1711" s="1" t="n">
        <v>46055</v>
      </c>
      <c r="E1711" s="1" t="n">
        <v>46309</v>
      </c>
      <c r="F1711" t="inlineStr">
        <is>
          <t>UPPSALA LÄN</t>
        </is>
      </c>
      <c r="G1711" t="inlineStr">
        <is>
          <t>TIERP</t>
        </is>
      </c>
      <c r="I1711" t="n">
        <v>6.4</v>
      </c>
      <c r="J1711" t="n">
        <v>0</v>
      </c>
      <c r="K1711" t="n">
        <v>0</v>
      </c>
      <c r="L1711" t="n">
        <v>0</v>
      </c>
      <c r="M1711" t="n">
        <v>0</v>
      </c>
      <c r="N1711" t="n">
        <v>0</v>
      </c>
      <c r="O1711" t="n">
        <v>0</v>
      </c>
      <c r="P1711" t="n">
        <v>0</v>
      </c>
      <c r="Q1711" t="n">
        <v>0</v>
      </c>
      <c r="R1711" t="n">
        <v>0</v>
      </c>
      <c r="S1711" t="n">
        <v>0</v>
      </c>
      <c r="T1711" t="n">
        <v>0</v>
      </c>
      <c r="U1711" t="n">
        <v>0</v>
      </c>
      <c r="V1711" s="2" t="inlineStr"/>
    </row>
    <row r="1712" ht="15" customHeight="1">
      <c r="A1712" t="inlineStr">
        <is>
          <t>A 56656-2025</t>
        </is>
      </c>
      <c r="B1712" t="inlineStr">
        <is>
          <t>avverkningsanmälan</t>
        </is>
      </c>
      <c r="C1712" t="inlineStr">
        <is>
          <t>Föryngringsavverkning</t>
        </is>
      </c>
      <c r="D1712" s="1" t="n">
        <v>45975</v>
      </c>
      <c r="E1712" s="1" t="n">
        <v>46309</v>
      </c>
      <c r="F1712" t="inlineStr">
        <is>
          <t>UPPSALA LÄN</t>
        </is>
      </c>
      <c r="G1712" t="inlineStr">
        <is>
          <t>UPPSALA</t>
        </is>
      </c>
      <c r="H1712" t="inlineStr">
        <is>
          <t>Övriga Aktiebolag</t>
        </is>
      </c>
      <c r="I1712" t="n">
        <v>1.2</v>
      </c>
      <c r="J1712" t="n">
        <v>0</v>
      </c>
      <c r="K1712" t="n">
        <v>0</v>
      </c>
      <c r="L1712" t="n">
        <v>0</v>
      </c>
      <c r="M1712" t="n">
        <v>0</v>
      </c>
      <c r="N1712" t="n">
        <v>0</v>
      </c>
      <c r="O1712" t="n">
        <v>0</v>
      </c>
      <c r="P1712" t="n">
        <v>0</v>
      </c>
      <c r="Q1712" t="n">
        <v>0</v>
      </c>
      <c r="R1712" t="n">
        <v>0</v>
      </c>
      <c r="S1712" t="n">
        <v>0</v>
      </c>
      <c r="T1712" t="n">
        <v>0</v>
      </c>
      <c r="U1712" t="n">
        <v>0</v>
      </c>
      <c r="V1712" s="2" t="inlineStr"/>
    </row>
    <row r="1713" ht="15" customHeight="1">
      <c r="A1713" t="inlineStr">
        <is>
          <t>A 21935-2023</t>
        </is>
      </c>
      <c r="B1713" t="inlineStr">
        <is>
          <t>avverkningsanmälan</t>
        </is>
      </c>
      <c r="C1713" t="inlineStr">
        <is>
          <t>Föryngringsavverkning</t>
        </is>
      </c>
      <c r="D1713" s="1" t="n">
        <v>45068</v>
      </c>
      <c r="E1713" s="1" t="n">
        <v>46309</v>
      </c>
      <c r="F1713" t="inlineStr">
        <is>
          <t>UPPSALA LÄN</t>
        </is>
      </c>
      <c r="G1713" t="inlineStr">
        <is>
          <t>UPPSALA</t>
        </is>
      </c>
      <c r="I1713" t="n">
        <v>2.6</v>
      </c>
      <c r="J1713" t="n">
        <v>0</v>
      </c>
      <c r="K1713" t="n">
        <v>0</v>
      </c>
      <c r="L1713" t="n">
        <v>0</v>
      </c>
      <c r="M1713" t="n">
        <v>0</v>
      </c>
      <c r="N1713" t="n">
        <v>0</v>
      </c>
      <c r="O1713" t="n">
        <v>0</v>
      </c>
      <c r="P1713" t="n">
        <v>0</v>
      </c>
      <c r="Q1713" t="n">
        <v>0</v>
      </c>
      <c r="R1713" t="n">
        <v>0</v>
      </c>
      <c r="S1713" t="n">
        <v>0</v>
      </c>
      <c r="T1713" t="n">
        <v>0</v>
      </c>
      <c r="U1713" t="n">
        <v>0</v>
      </c>
      <c r="V1713" s="2" t="inlineStr"/>
    </row>
    <row r="1714" ht="15" customHeight="1">
      <c r="A1714" t="inlineStr">
        <is>
          <t>A 6696-2026</t>
        </is>
      </c>
      <c r="B1714" t="inlineStr">
        <is>
          <t>avverkningsanmälan</t>
        </is>
      </c>
      <c r="C1714" t="inlineStr">
        <is>
          <t>Föryngringsavverkning</t>
        </is>
      </c>
      <c r="D1714" s="1" t="n">
        <v>46053</v>
      </c>
      <c r="E1714" s="1" t="n">
        <v>46309</v>
      </c>
      <c r="F1714" t="inlineStr">
        <is>
          <t>UPPSALA LÄN</t>
        </is>
      </c>
      <c r="G1714" t="inlineStr">
        <is>
          <t>TIERP</t>
        </is>
      </c>
      <c r="I1714" t="n">
        <v>1.4</v>
      </c>
      <c r="J1714" t="n">
        <v>0</v>
      </c>
      <c r="K1714" t="n">
        <v>0</v>
      </c>
      <c r="L1714" t="n">
        <v>0</v>
      </c>
      <c r="M1714" t="n">
        <v>0</v>
      </c>
      <c r="N1714" t="n">
        <v>0</v>
      </c>
      <c r="O1714" t="n">
        <v>0</v>
      </c>
      <c r="P1714" t="n">
        <v>0</v>
      </c>
      <c r="Q1714" t="n">
        <v>0</v>
      </c>
      <c r="R1714" t="n">
        <v>0</v>
      </c>
      <c r="S1714" t="n">
        <v>0</v>
      </c>
      <c r="T1714" t="n">
        <v>0</v>
      </c>
      <c r="U1714" t="n">
        <v>0</v>
      </c>
      <c r="V1714" s="2" t="inlineStr"/>
    </row>
    <row r="1715" ht="15" customHeight="1">
      <c r="A1715" t="inlineStr">
        <is>
          <t>A 56748-2025</t>
        </is>
      </c>
      <c r="B1715" t="inlineStr">
        <is>
          <t>avverkningsanmälan</t>
        </is>
      </c>
      <c r="C1715" t="inlineStr">
        <is>
          <t>Föryngringsavverkning</t>
        </is>
      </c>
      <c r="D1715" s="1" t="n">
        <v>45978</v>
      </c>
      <c r="E1715" s="1" t="n">
        <v>46309</v>
      </c>
      <c r="F1715" t="inlineStr">
        <is>
          <t>UPPSALA LÄN</t>
        </is>
      </c>
      <c r="G1715" t="inlineStr">
        <is>
          <t>ÖSTHAMMAR</t>
        </is>
      </c>
      <c r="H1715" t="inlineStr">
        <is>
          <t>Sveaskog</t>
        </is>
      </c>
      <c r="I1715" t="n">
        <v>3.4</v>
      </c>
      <c r="J1715" t="n">
        <v>0</v>
      </c>
      <c r="K1715" t="n">
        <v>0</v>
      </c>
      <c r="L1715" t="n">
        <v>0</v>
      </c>
      <c r="M1715" t="n">
        <v>0</v>
      </c>
      <c r="N1715" t="n">
        <v>0</v>
      </c>
      <c r="O1715" t="n">
        <v>0</v>
      </c>
      <c r="P1715" t="n">
        <v>0</v>
      </c>
      <c r="Q1715" t="n">
        <v>0</v>
      </c>
      <c r="R1715" t="n">
        <v>0</v>
      </c>
      <c r="S1715" t="n">
        <v>0</v>
      </c>
      <c r="T1715" t="n">
        <v>0</v>
      </c>
      <c r="U1715" t="n">
        <v>0</v>
      </c>
      <c r="V1715" s="2" t="inlineStr"/>
    </row>
    <row r="1716" ht="15" customHeight="1">
      <c r="A1716" t="inlineStr">
        <is>
          <t>A 11555-2026</t>
        </is>
      </c>
      <c r="B1716" t="inlineStr">
        <is>
          <t>avverkningsanmälan</t>
        </is>
      </c>
      <c r="C1716" t="inlineStr">
        <is>
          <t>Avverkning för annat ändamål</t>
        </is>
      </c>
      <c r="D1716" s="1" t="n">
        <v>46084</v>
      </c>
      <c r="E1716" s="1" t="n">
        <v>46309</v>
      </c>
      <c r="F1716" t="inlineStr">
        <is>
          <t>UPPSALA LÄN</t>
        </is>
      </c>
      <c r="G1716" t="inlineStr">
        <is>
          <t>HEBY</t>
        </is>
      </c>
      <c r="I1716" t="n">
        <v>4.6</v>
      </c>
      <c r="J1716" t="n">
        <v>0</v>
      </c>
      <c r="K1716" t="n">
        <v>0</v>
      </c>
      <c r="L1716" t="n">
        <v>0</v>
      </c>
      <c r="M1716" t="n">
        <v>0</v>
      </c>
      <c r="N1716" t="n">
        <v>0</v>
      </c>
      <c r="O1716" t="n">
        <v>0</v>
      </c>
      <c r="P1716" t="n">
        <v>0</v>
      </c>
      <c r="Q1716" t="n">
        <v>0</v>
      </c>
      <c r="R1716" t="n">
        <v>0</v>
      </c>
      <c r="S1716" t="n">
        <v>0</v>
      </c>
      <c r="T1716" t="n">
        <v>0</v>
      </c>
      <c r="U1716" t="n">
        <v>0</v>
      </c>
      <c r="V1716" s="2" t="inlineStr"/>
    </row>
    <row r="1717" ht="15" customHeight="1">
      <c r="A1717" t="inlineStr">
        <is>
          <t>A 56753-2025</t>
        </is>
      </c>
      <c r="B1717" t="inlineStr">
        <is>
          <t>avverkningsanmälan</t>
        </is>
      </c>
      <c r="C1717" t="inlineStr">
        <is>
          <t>Föryngringsavverkning</t>
        </is>
      </c>
      <c r="D1717" s="1" t="n">
        <v>45978</v>
      </c>
      <c r="E1717" s="1" t="n">
        <v>46309</v>
      </c>
      <c r="F1717" t="inlineStr">
        <is>
          <t>UPPSALA LÄN</t>
        </is>
      </c>
      <c r="G1717" t="inlineStr">
        <is>
          <t>ÖSTHAMMAR</t>
        </is>
      </c>
      <c r="H1717" t="inlineStr">
        <is>
          <t>Sveaskog</t>
        </is>
      </c>
      <c r="I1717" t="n">
        <v>8.6</v>
      </c>
      <c r="J1717" t="n">
        <v>0</v>
      </c>
      <c r="K1717" t="n">
        <v>0</v>
      </c>
      <c r="L1717" t="n">
        <v>0</v>
      </c>
      <c r="M1717" t="n">
        <v>0</v>
      </c>
      <c r="N1717" t="n">
        <v>0</v>
      </c>
      <c r="O1717" t="n">
        <v>0</v>
      </c>
      <c r="P1717" t="n">
        <v>0</v>
      </c>
      <c r="Q1717" t="n">
        <v>0</v>
      </c>
      <c r="R1717" t="n">
        <v>0</v>
      </c>
      <c r="S1717" t="n">
        <v>0</v>
      </c>
      <c r="T1717" t="n">
        <v>0</v>
      </c>
      <c r="U1717" t="n">
        <v>0</v>
      </c>
      <c r="V1717" s="2" t="inlineStr"/>
    </row>
    <row r="1718" ht="15" customHeight="1">
      <c r="A1718" t="inlineStr">
        <is>
          <t>A 6523-2022</t>
        </is>
      </c>
      <c r="B1718" t="inlineStr">
        <is>
          <t>avverkningsanmälan</t>
        </is>
      </c>
      <c r="C1718" t="inlineStr">
        <is>
          <t>Föryngringsavverkning</t>
        </is>
      </c>
      <c r="D1718" s="1" t="n">
        <v>44601</v>
      </c>
      <c r="E1718" s="1" t="n">
        <v>46309</v>
      </c>
      <c r="F1718" t="inlineStr">
        <is>
          <t>UPPSALA LÄN</t>
        </is>
      </c>
      <c r="G1718" t="inlineStr">
        <is>
          <t>HEBY</t>
        </is>
      </c>
      <c r="I1718" t="n">
        <v>1.1</v>
      </c>
      <c r="J1718" t="n">
        <v>0</v>
      </c>
      <c r="K1718" t="n">
        <v>0</v>
      </c>
      <c r="L1718" t="n">
        <v>0</v>
      </c>
      <c r="M1718" t="n">
        <v>0</v>
      </c>
      <c r="N1718" t="n">
        <v>0</v>
      </c>
      <c r="O1718" t="n">
        <v>0</v>
      </c>
      <c r="P1718" t="n">
        <v>0</v>
      </c>
      <c r="Q1718" t="n">
        <v>0</v>
      </c>
      <c r="R1718" t="n">
        <v>0</v>
      </c>
      <c r="S1718" t="n">
        <v>0</v>
      </c>
      <c r="T1718" t="n">
        <v>0</v>
      </c>
      <c r="U1718" t="n">
        <v>0</v>
      </c>
      <c r="V1718" s="2" t="inlineStr"/>
    </row>
    <row r="1719" ht="15" customHeight="1">
      <c r="A1719" t="inlineStr">
        <is>
          <t>A 57294-2025</t>
        </is>
      </c>
      <c r="B1719" t="inlineStr">
        <is>
          <t>avverkningsanmälan</t>
        </is>
      </c>
      <c r="C1719" t="inlineStr">
        <is>
          <t>Föryngringsavverkning</t>
        </is>
      </c>
      <c r="D1719" s="1" t="n">
        <v>45979</v>
      </c>
      <c r="E1719" s="1" t="n">
        <v>46309</v>
      </c>
      <c r="F1719" t="inlineStr">
        <is>
          <t>UPPSALA LÄN</t>
        </is>
      </c>
      <c r="G1719" t="inlineStr">
        <is>
          <t>ENKÖPING</t>
        </is>
      </c>
      <c r="I1719" t="n">
        <v>6.2</v>
      </c>
      <c r="J1719" t="n">
        <v>0</v>
      </c>
      <c r="K1719" t="n">
        <v>0</v>
      </c>
      <c r="L1719" t="n">
        <v>0</v>
      </c>
      <c r="M1719" t="n">
        <v>0</v>
      </c>
      <c r="N1719" t="n">
        <v>0</v>
      </c>
      <c r="O1719" t="n">
        <v>0</v>
      </c>
      <c r="P1719" t="n">
        <v>0</v>
      </c>
      <c r="Q1719" t="n">
        <v>0</v>
      </c>
      <c r="R1719" t="n">
        <v>0</v>
      </c>
      <c r="S1719" t="n">
        <v>0</v>
      </c>
      <c r="T1719" t="n">
        <v>0</v>
      </c>
      <c r="U1719" t="n">
        <v>0</v>
      </c>
      <c r="V1719" s="2" t="inlineStr"/>
    </row>
    <row r="1720" ht="15" customHeight="1">
      <c r="A1720" t="inlineStr">
        <is>
          <t>A 6622-2026</t>
        </is>
      </c>
      <c r="B1720" t="inlineStr">
        <is>
          <t>avverkningsanmälan</t>
        </is>
      </c>
      <c r="C1720" t="inlineStr">
        <is>
          <t>Föryngringsavverkning</t>
        </is>
      </c>
      <c r="D1720" s="1" t="n">
        <v>46056</v>
      </c>
      <c r="E1720" s="1" t="n">
        <v>46309</v>
      </c>
      <c r="F1720" t="inlineStr">
        <is>
          <t>UPPSALA LÄN</t>
        </is>
      </c>
      <c r="G1720" t="inlineStr">
        <is>
          <t>HEBY</t>
        </is>
      </c>
      <c r="I1720" t="n">
        <v>1.4</v>
      </c>
      <c r="J1720" t="n">
        <v>0</v>
      </c>
      <c r="K1720" t="n">
        <v>0</v>
      </c>
      <c r="L1720" t="n">
        <v>0</v>
      </c>
      <c r="M1720" t="n">
        <v>0</v>
      </c>
      <c r="N1720" t="n">
        <v>0</v>
      </c>
      <c r="O1720" t="n">
        <v>0</v>
      </c>
      <c r="P1720" t="n">
        <v>0</v>
      </c>
      <c r="Q1720" t="n">
        <v>0</v>
      </c>
      <c r="R1720" t="n">
        <v>0</v>
      </c>
      <c r="S1720" t="n">
        <v>0</v>
      </c>
      <c r="T1720" t="n">
        <v>0</v>
      </c>
      <c r="U1720" t="n">
        <v>0</v>
      </c>
      <c r="V1720" s="2" t="inlineStr"/>
    </row>
    <row r="1721" ht="15" customHeight="1">
      <c r="A1721" t="inlineStr">
        <is>
          <t>A 57064-2025</t>
        </is>
      </c>
      <c r="B1721" t="inlineStr">
        <is>
          <t>avverkningsanmälan</t>
        </is>
      </c>
      <c r="C1721" t="inlineStr">
        <is>
          <t>Föryngringsavverkning</t>
        </is>
      </c>
      <c r="D1721" s="1" t="n">
        <v>45979</v>
      </c>
      <c r="E1721" s="1" t="n">
        <v>46309</v>
      </c>
      <c r="F1721" t="inlineStr">
        <is>
          <t>UPPSALA LÄN</t>
        </is>
      </c>
      <c r="G1721" t="inlineStr">
        <is>
          <t>TIERP</t>
        </is>
      </c>
      <c r="I1721" t="n">
        <v>2.6</v>
      </c>
      <c r="J1721" t="n">
        <v>0</v>
      </c>
      <c r="K1721" t="n">
        <v>0</v>
      </c>
      <c r="L1721" t="n">
        <v>0</v>
      </c>
      <c r="M1721" t="n">
        <v>0</v>
      </c>
      <c r="N1721" t="n">
        <v>0</v>
      </c>
      <c r="O1721" t="n">
        <v>0</v>
      </c>
      <c r="P1721" t="n">
        <v>0</v>
      </c>
      <c r="Q1721" t="n">
        <v>0</v>
      </c>
      <c r="R1721" t="n">
        <v>0</v>
      </c>
      <c r="S1721" t="n">
        <v>0</v>
      </c>
      <c r="T1721" t="n">
        <v>0</v>
      </c>
      <c r="U1721" t="n">
        <v>0</v>
      </c>
      <c r="V1721" s="2" t="inlineStr"/>
    </row>
    <row r="1722" ht="15" customHeight="1">
      <c r="A1722" t="inlineStr">
        <is>
          <t>A 6187-2026</t>
        </is>
      </c>
      <c r="B1722" t="inlineStr">
        <is>
          <t>avverkningsanmälan</t>
        </is>
      </c>
      <c r="C1722" t="inlineStr">
        <is>
          <t>Föryngringsavverkning</t>
        </is>
      </c>
      <c r="D1722" s="1" t="n">
        <v>46055</v>
      </c>
      <c r="E1722" s="1" t="n">
        <v>46309</v>
      </c>
      <c r="F1722" t="inlineStr">
        <is>
          <t>UPPSALA LÄN</t>
        </is>
      </c>
      <c r="G1722" t="inlineStr">
        <is>
          <t>UPPSALA</t>
        </is>
      </c>
      <c r="H1722" t="inlineStr">
        <is>
          <t>Allmännings- och besparingsskogar</t>
        </is>
      </c>
      <c r="I1722" t="n">
        <v>10.6</v>
      </c>
      <c r="J1722" t="n">
        <v>0</v>
      </c>
      <c r="K1722" t="n">
        <v>0</v>
      </c>
      <c r="L1722" t="n">
        <v>0</v>
      </c>
      <c r="M1722" t="n">
        <v>0</v>
      </c>
      <c r="N1722" t="n">
        <v>0</v>
      </c>
      <c r="O1722" t="n">
        <v>0</v>
      </c>
      <c r="P1722" t="n">
        <v>0</v>
      </c>
      <c r="Q1722" t="n">
        <v>0</v>
      </c>
      <c r="R1722" t="n">
        <v>0</v>
      </c>
      <c r="S1722" t="n">
        <v>0</v>
      </c>
      <c r="T1722" t="n">
        <v>0</v>
      </c>
      <c r="U1722" t="n">
        <v>0</v>
      </c>
      <c r="V1722" s="2" t="inlineStr"/>
    </row>
    <row r="1723" ht="15" customHeight="1">
      <c r="A1723" t="inlineStr">
        <is>
          <t>A 57328-2024</t>
        </is>
      </c>
      <c r="B1723" t="inlineStr">
        <is>
          <t>avverkningsanmälan</t>
        </is>
      </c>
      <c r="C1723" t="inlineStr">
        <is>
          <t>Föryngringsavverkning</t>
        </is>
      </c>
      <c r="D1723" s="1" t="n">
        <v>45629</v>
      </c>
      <c r="E1723" s="1" t="n">
        <v>46309</v>
      </c>
      <c r="F1723" t="inlineStr">
        <is>
          <t>UPPSALA LÄN</t>
        </is>
      </c>
      <c r="G1723" t="inlineStr">
        <is>
          <t>ENKÖPING</t>
        </is>
      </c>
      <c r="I1723" t="n">
        <v>0.8</v>
      </c>
      <c r="J1723" t="n">
        <v>0</v>
      </c>
      <c r="K1723" t="n">
        <v>0</v>
      </c>
      <c r="L1723" t="n">
        <v>0</v>
      </c>
      <c r="M1723" t="n">
        <v>0</v>
      </c>
      <c r="N1723" t="n">
        <v>0</v>
      </c>
      <c r="O1723" t="n">
        <v>0</v>
      </c>
      <c r="P1723" t="n">
        <v>0</v>
      </c>
      <c r="Q1723" t="n">
        <v>0</v>
      </c>
      <c r="R1723" t="n">
        <v>0</v>
      </c>
      <c r="S1723" t="n">
        <v>0</v>
      </c>
      <c r="T1723" t="n">
        <v>0</v>
      </c>
      <c r="U1723" t="n">
        <v>0</v>
      </c>
      <c r="V1723" s="2" t="inlineStr"/>
    </row>
    <row r="1724" ht="15" customHeight="1">
      <c r="A1724" t="inlineStr">
        <is>
          <t>A 57403-2025</t>
        </is>
      </c>
      <c r="B1724" t="inlineStr">
        <is>
          <t>avverkningsanmälan</t>
        </is>
      </c>
      <c r="C1724" t="inlineStr">
        <is>
          <t>Föryngringsavverkning</t>
        </is>
      </c>
      <c r="D1724" s="1" t="n">
        <v>45980</v>
      </c>
      <c r="E1724" s="1" t="n">
        <v>46309</v>
      </c>
      <c r="F1724" t="inlineStr">
        <is>
          <t>UPPSALA LÄN</t>
        </is>
      </c>
      <c r="G1724" t="inlineStr">
        <is>
          <t>HEBY</t>
        </is>
      </c>
      <c r="I1724" t="n">
        <v>0.8</v>
      </c>
      <c r="J1724" t="n">
        <v>0</v>
      </c>
      <c r="K1724" t="n">
        <v>0</v>
      </c>
      <c r="L1724" t="n">
        <v>0</v>
      </c>
      <c r="M1724" t="n">
        <v>0</v>
      </c>
      <c r="N1724" t="n">
        <v>0</v>
      </c>
      <c r="O1724" t="n">
        <v>0</v>
      </c>
      <c r="P1724" t="n">
        <v>0</v>
      </c>
      <c r="Q1724" t="n">
        <v>0</v>
      </c>
      <c r="R1724" t="n">
        <v>0</v>
      </c>
      <c r="S1724" t="n">
        <v>0</v>
      </c>
      <c r="T1724" t="n">
        <v>0</v>
      </c>
      <c r="U1724" t="n">
        <v>0</v>
      </c>
      <c r="V1724" s="2" t="inlineStr"/>
    </row>
    <row r="1725" ht="15" customHeight="1">
      <c r="A1725" t="inlineStr">
        <is>
          <t>A 18278-2024</t>
        </is>
      </c>
      <c r="B1725" t="inlineStr">
        <is>
          <t>avverkningsanmälan</t>
        </is>
      </c>
      <c r="C1725" t="inlineStr">
        <is>
          <t>Föryngringsavverkning</t>
        </is>
      </c>
      <c r="D1725" s="1" t="n">
        <v>45422</v>
      </c>
      <c r="E1725" s="1" t="n">
        <v>46309</v>
      </c>
      <c r="F1725" t="inlineStr">
        <is>
          <t>UPPSALA LÄN</t>
        </is>
      </c>
      <c r="G1725" t="inlineStr">
        <is>
          <t>HEBY</t>
        </is>
      </c>
      <c r="I1725" t="n">
        <v>2.8</v>
      </c>
      <c r="J1725" t="n">
        <v>0</v>
      </c>
      <c r="K1725" t="n">
        <v>0</v>
      </c>
      <c r="L1725" t="n">
        <v>0</v>
      </c>
      <c r="M1725" t="n">
        <v>0</v>
      </c>
      <c r="N1725" t="n">
        <v>0</v>
      </c>
      <c r="O1725" t="n">
        <v>0</v>
      </c>
      <c r="P1725" t="n">
        <v>0</v>
      </c>
      <c r="Q1725" t="n">
        <v>0</v>
      </c>
      <c r="R1725" t="n">
        <v>0</v>
      </c>
      <c r="S1725" t="n">
        <v>0</v>
      </c>
      <c r="T1725" t="n">
        <v>0</v>
      </c>
      <c r="U1725" t="n">
        <v>0</v>
      </c>
      <c r="V1725" s="2" t="inlineStr"/>
    </row>
    <row r="1726" ht="15" customHeight="1">
      <c r="A1726" t="inlineStr">
        <is>
          <t>A 6407-2026</t>
        </is>
      </c>
      <c r="B1726" t="inlineStr">
        <is>
          <t>avverkningsanmälan</t>
        </is>
      </c>
      <c r="C1726" t="inlineStr">
        <is>
          <t>Föryngringsavverkning</t>
        </is>
      </c>
      <c r="D1726" s="1" t="n">
        <v>46055</v>
      </c>
      <c r="E1726" s="1" t="n">
        <v>46309</v>
      </c>
      <c r="F1726" t="inlineStr">
        <is>
          <t>UPPSALA LÄN</t>
        </is>
      </c>
      <c r="G1726" t="inlineStr">
        <is>
          <t>TIERP</t>
        </is>
      </c>
      <c r="I1726" t="n">
        <v>0.5</v>
      </c>
      <c r="J1726" t="n">
        <v>0</v>
      </c>
      <c r="K1726" t="n">
        <v>0</v>
      </c>
      <c r="L1726" t="n">
        <v>0</v>
      </c>
      <c r="M1726" t="n">
        <v>0</v>
      </c>
      <c r="N1726" t="n">
        <v>0</v>
      </c>
      <c r="O1726" t="n">
        <v>0</v>
      </c>
      <c r="P1726" t="n">
        <v>0</v>
      </c>
      <c r="Q1726" t="n">
        <v>0</v>
      </c>
      <c r="R1726" t="n">
        <v>0</v>
      </c>
      <c r="S1726" t="n">
        <v>0</v>
      </c>
      <c r="T1726" t="n">
        <v>0</v>
      </c>
      <c r="U1726" t="n">
        <v>0</v>
      </c>
      <c r="V1726" s="2" t="inlineStr"/>
    </row>
    <row r="1727" ht="15" customHeight="1">
      <c r="A1727" t="inlineStr">
        <is>
          <t>A 6709-2026</t>
        </is>
      </c>
      <c r="B1727" t="inlineStr">
        <is>
          <t>avverkningsanmälan</t>
        </is>
      </c>
      <c r="C1727" t="inlineStr">
        <is>
          <t>Föryngringsavverkning</t>
        </is>
      </c>
      <c r="D1727" s="1" t="n">
        <v>46053</v>
      </c>
      <c r="E1727" s="1" t="n">
        <v>46309</v>
      </c>
      <c r="F1727" t="inlineStr">
        <is>
          <t>UPPSALA LÄN</t>
        </is>
      </c>
      <c r="G1727" t="inlineStr">
        <is>
          <t>TIERP</t>
        </is>
      </c>
      <c r="I1727" t="n">
        <v>0.6</v>
      </c>
      <c r="J1727" t="n">
        <v>0</v>
      </c>
      <c r="K1727" t="n">
        <v>0</v>
      </c>
      <c r="L1727" t="n">
        <v>0</v>
      </c>
      <c r="M1727" t="n">
        <v>0</v>
      </c>
      <c r="N1727" t="n">
        <v>0</v>
      </c>
      <c r="O1727" t="n">
        <v>0</v>
      </c>
      <c r="P1727" t="n">
        <v>0</v>
      </c>
      <c r="Q1727" t="n">
        <v>0</v>
      </c>
      <c r="R1727" t="n">
        <v>0</v>
      </c>
      <c r="S1727" t="n">
        <v>0</v>
      </c>
      <c r="T1727" t="n">
        <v>0</v>
      </c>
      <c r="U1727" t="n">
        <v>0</v>
      </c>
      <c r="V1727" s="2" t="inlineStr"/>
    </row>
    <row r="1728" ht="15" customHeight="1">
      <c r="A1728" t="inlineStr">
        <is>
          <t>A 9914-2024</t>
        </is>
      </c>
      <c r="B1728" t="inlineStr">
        <is>
          <t>avverkningsanmälan</t>
        </is>
      </c>
      <c r="C1728" t="inlineStr">
        <is>
          <t>Föryngringsavverkning</t>
        </is>
      </c>
      <c r="D1728" s="1" t="n">
        <v>45363</v>
      </c>
      <c r="E1728" s="1" t="n">
        <v>46309</v>
      </c>
      <c r="F1728" t="inlineStr">
        <is>
          <t>UPPSALA LÄN</t>
        </is>
      </c>
      <c r="G1728" t="inlineStr">
        <is>
          <t>UPPSALA</t>
        </is>
      </c>
      <c r="H1728" t="inlineStr">
        <is>
          <t>Bergvik skog väst AB</t>
        </is>
      </c>
      <c r="I1728" t="n">
        <v>1.6</v>
      </c>
      <c r="J1728" t="n">
        <v>0</v>
      </c>
      <c r="K1728" t="n">
        <v>0</v>
      </c>
      <c r="L1728" t="n">
        <v>0</v>
      </c>
      <c r="M1728" t="n">
        <v>0</v>
      </c>
      <c r="N1728" t="n">
        <v>0</v>
      </c>
      <c r="O1728" t="n">
        <v>0</v>
      </c>
      <c r="P1728" t="n">
        <v>0</v>
      </c>
      <c r="Q1728" t="n">
        <v>0</v>
      </c>
      <c r="R1728" t="n">
        <v>0</v>
      </c>
      <c r="S1728" t="n">
        <v>0</v>
      </c>
      <c r="T1728" t="n">
        <v>0</v>
      </c>
      <c r="U1728" t="n">
        <v>0</v>
      </c>
      <c r="V1728" s="2" t="inlineStr"/>
    </row>
    <row r="1729" ht="15" customHeight="1">
      <c r="A1729" t="inlineStr">
        <is>
          <t>A 57377-2025</t>
        </is>
      </c>
      <c r="B1729" t="inlineStr">
        <is>
          <t>avverkningsanmälan</t>
        </is>
      </c>
      <c r="C1729" t="inlineStr">
        <is>
          <t>Föryngringsavverkning</t>
        </is>
      </c>
      <c r="D1729" s="1" t="n">
        <v>45980</v>
      </c>
      <c r="E1729" s="1" t="n">
        <v>46309</v>
      </c>
      <c r="F1729" t="inlineStr">
        <is>
          <t>UPPSALA LÄN</t>
        </is>
      </c>
      <c r="G1729" t="inlineStr">
        <is>
          <t>HEBY</t>
        </is>
      </c>
      <c r="I1729" t="n">
        <v>1.7</v>
      </c>
      <c r="J1729" t="n">
        <v>0</v>
      </c>
      <c r="K1729" t="n">
        <v>0</v>
      </c>
      <c r="L1729" t="n">
        <v>0</v>
      </c>
      <c r="M1729" t="n">
        <v>0</v>
      </c>
      <c r="N1729" t="n">
        <v>0</v>
      </c>
      <c r="O1729" t="n">
        <v>0</v>
      </c>
      <c r="P1729" t="n">
        <v>0</v>
      </c>
      <c r="Q1729" t="n">
        <v>0</v>
      </c>
      <c r="R1729" t="n">
        <v>0</v>
      </c>
      <c r="S1729" t="n">
        <v>0</v>
      </c>
      <c r="T1729" t="n">
        <v>0</v>
      </c>
      <c r="U1729" t="n">
        <v>0</v>
      </c>
      <c r="V1729" s="2" t="inlineStr"/>
    </row>
    <row r="1730" ht="15" customHeight="1">
      <c r="A1730" t="inlineStr">
        <is>
          <t>A 57397-2025</t>
        </is>
      </c>
      <c r="B1730" t="inlineStr">
        <is>
          <t>avverkningsanmälan</t>
        </is>
      </c>
      <c r="C1730" t="inlineStr">
        <is>
          <t>Föryngringsavverkning</t>
        </is>
      </c>
      <c r="D1730" s="1" t="n">
        <v>45980</v>
      </c>
      <c r="E1730" s="1" t="n">
        <v>46309</v>
      </c>
      <c r="F1730" t="inlineStr">
        <is>
          <t>UPPSALA LÄN</t>
        </is>
      </c>
      <c r="G1730" t="inlineStr">
        <is>
          <t>HEBY</t>
        </is>
      </c>
      <c r="I1730" t="n">
        <v>2.7</v>
      </c>
      <c r="J1730" t="n">
        <v>0</v>
      </c>
      <c r="K1730" t="n">
        <v>0</v>
      </c>
      <c r="L1730" t="n">
        <v>0</v>
      </c>
      <c r="M1730" t="n">
        <v>0</v>
      </c>
      <c r="N1730" t="n">
        <v>0</v>
      </c>
      <c r="O1730" t="n">
        <v>0</v>
      </c>
      <c r="P1730" t="n">
        <v>0</v>
      </c>
      <c r="Q1730" t="n">
        <v>0</v>
      </c>
      <c r="R1730" t="n">
        <v>0</v>
      </c>
      <c r="S1730" t="n">
        <v>0</v>
      </c>
      <c r="T1730" t="n">
        <v>0</v>
      </c>
      <c r="U1730" t="n">
        <v>0</v>
      </c>
      <c r="V1730" s="2" t="inlineStr"/>
    </row>
    <row r="1731" ht="15" customHeight="1">
      <c r="A1731" t="inlineStr">
        <is>
          <t>A 7002-2023</t>
        </is>
      </c>
      <c r="B1731" t="inlineStr">
        <is>
          <t>avverkningsanmälan</t>
        </is>
      </c>
      <c r="C1731" t="inlineStr">
        <is>
          <t>Föryngringsavverkning</t>
        </is>
      </c>
      <c r="D1731" s="1" t="n">
        <v>44967</v>
      </c>
      <c r="E1731" s="1" t="n">
        <v>46309</v>
      </c>
      <c r="F1731" t="inlineStr">
        <is>
          <t>UPPSALA LÄN</t>
        </is>
      </c>
      <c r="G1731" t="inlineStr">
        <is>
          <t>UPPSALA</t>
        </is>
      </c>
      <c r="I1731" t="n">
        <v>5</v>
      </c>
      <c r="J1731" t="n">
        <v>0</v>
      </c>
      <c r="K1731" t="n">
        <v>0</v>
      </c>
      <c r="L1731" t="n">
        <v>0</v>
      </c>
      <c r="M1731" t="n">
        <v>0</v>
      </c>
      <c r="N1731" t="n">
        <v>0</v>
      </c>
      <c r="O1731" t="n">
        <v>0</v>
      </c>
      <c r="P1731" t="n">
        <v>0</v>
      </c>
      <c r="Q1731" t="n">
        <v>0</v>
      </c>
      <c r="R1731" t="n">
        <v>0</v>
      </c>
      <c r="S1731" t="n">
        <v>0</v>
      </c>
      <c r="T1731" t="n">
        <v>0</v>
      </c>
      <c r="U1731" t="n">
        <v>0</v>
      </c>
      <c r="V1731" s="2" t="inlineStr"/>
    </row>
    <row r="1732" ht="15" customHeight="1">
      <c r="A1732" t="inlineStr">
        <is>
          <t>A 7320-2026</t>
        </is>
      </c>
      <c r="B1732" t="inlineStr">
        <is>
          <t>avverkningsanmälan</t>
        </is>
      </c>
      <c r="C1732" t="inlineStr">
        <is>
          <t>Föryngringsavverkning</t>
        </is>
      </c>
      <c r="D1732" s="1" t="n">
        <v>46058</v>
      </c>
      <c r="E1732" s="1" t="n">
        <v>46309</v>
      </c>
      <c r="F1732" t="inlineStr">
        <is>
          <t>UPPSALA LÄN</t>
        </is>
      </c>
      <c r="G1732" t="inlineStr">
        <is>
          <t>HEBY</t>
        </is>
      </c>
      <c r="I1732" t="n">
        <v>0.5</v>
      </c>
      <c r="J1732" t="n">
        <v>0</v>
      </c>
      <c r="K1732" t="n">
        <v>0</v>
      </c>
      <c r="L1732" t="n">
        <v>0</v>
      </c>
      <c r="M1732" t="n">
        <v>0</v>
      </c>
      <c r="N1732" t="n">
        <v>0</v>
      </c>
      <c r="O1732" t="n">
        <v>0</v>
      </c>
      <c r="P1732" t="n">
        <v>0</v>
      </c>
      <c r="Q1732" t="n">
        <v>0</v>
      </c>
      <c r="R1732" t="n">
        <v>0</v>
      </c>
      <c r="S1732" t="n">
        <v>0</v>
      </c>
      <c r="T1732" t="n">
        <v>0</v>
      </c>
      <c r="U1732" t="n">
        <v>0</v>
      </c>
      <c r="V1732" s="2" t="inlineStr"/>
    </row>
    <row r="1733" ht="15" customHeight="1">
      <c r="A1733" t="inlineStr">
        <is>
          <t>A 7003-2026</t>
        </is>
      </c>
      <c r="B1733" t="inlineStr">
        <is>
          <t>avverkningsanmälan</t>
        </is>
      </c>
      <c r="C1733" t="inlineStr">
        <is>
          <t>Föryngringsavverkning</t>
        </is>
      </c>
      <c r="D1733" s="1" t="n">
        <v>46057</v>
      </c>
      <c r="E1733" s="1" t="n">
        <v>46309</v>
      </c>
      <c r="F1733" t="inlineStr">
        <is>
          <t>UPPSALA LÄN</t>
        </is>
      </c>
      <c r="G1733" t="inlineStr">
        <is>
          <t>ENKÖPING</t>
        </is>
      </c>
      <c r="I1733" t="n">
        <v>0.7</v>
      </c>
      <c r="J1733" t="n">
        <v>0</v>
      </c>
      <c r="K1733" t="n">
        <v>0</v>
      </c>
      <c r="L1733" t="n">
        <v>0</v>
      </c>
      <c r="M1733" t="n">
        <v>0</v>
      </c>
      <c r="N1733" t="n">
        <v>0</v>
      </c>
      <c r="O1733" t="n">
        <v>0</v>
      </c>
      <c r="P1733" t="n">
        <v>0</v>
      </c>
      <c r="Q1733" t="n">
        <v>0</v>
      </c>
      <c r="R1733" t="n">
        <v>0</v>
      </c>
      <c r="S1733" t="n">
        <v>0</v>
      </c>
      <c r="T1733" t="n">
        <v>0</v>
      </c>
      <c r="U1733" t="n">
        <v>0</v>
      </c>
      <c r="V1733" s="2" t="inlineStr"/>
    </row>
    <row r="1734" ht="15" customHeight="1">
      <c r="A1734" t="inlineStr">
        <is>
          <t>A 58104-2025</t>
        </is>
      </c>
      <c r="B1734" t="inlineStr">
        <is>
          <t>avverkningsanmälan</t>
        </is>
      </c>
      <c r="C1734" t="inlineStr">
        <is>
          <t>Föryngringsavverkning</t>
        </is>
      </c>
      <c r="D1734" s="1" t="n">
        <v>45982</v>
      </c>
      <c r="E1734" s="1" t="n">
        <v>46309</v>
      </c>
      <c r="F1734" t="inlineStr">
        <is>
          <t>UPPSALA LÄN</t>
        </is>
      </c>
      <c r="G1734" t="inlineStr">
        <is>
          <t>UPPSALA</t>
        </is>
      </c>
      <c r="I1734" t="n">
        <v>1.2</v>
      </c>
      <c r="J1734" t="n">
        <v>0</v>
      </c>
      <c r="K1734" t="n">
        <v>0</v>
      </c>
      <c r="L1734" t="n">
        <v>0</v>
      </c>
      <c r="M1734" t="n">
        <v>0</v>
      </c>
      <c r="N1734" t="n">
        <v>0</v>
      </c>
      <c r="O1734" t="n">
        <v>0</v>
      </c>
      <c r="P1734" t="n">
        <v>0</v>
      </c>
      <c r="Q1734" t="n">
        <v>0</v>
      </c>
      <c r="R1734" t="n">
        <v>0</v>
      </c>
      <c r="S1734" t="n">
        <v>0</v>
      </c>
      <c r="T1734" t="n">
        <v>0</v>
      </c>
      <c r="U1734" t="n">
        <v>0</v>
      </c>
      <c r="V1734" s="2" t="inlineStr"/>
    </row>
    <row r="1735" ht="15" customHeight="1">
      <c r="A1735" t="inlineStr">
        <is>
          <t>A 19990-2022</t>
        </is>
      </c>
      <c r="B1735" t="inlineStr">
        <is>
          <t>avverkningsanmälan</t>
        </is>
      </c>
      <c r="C1735" t="inlineStr">
        <is>
          <t>Föryngringsavverkning</t>
        </is>
      </c>
      <c r="D1735" s="1" t="n">
        <v>44697</v>
      </c>
      <c r="E1735" s="1" t="n">
        <v>46309</v>
      </c>
      <c r="F1735" t="inlineStr">
        <is>
          <t>UPPSALA LÄN</t>
        </is>
      </c>
      <c r="G1735" t="inlineStr">
        <is>
          <t>HEBY</t>
        </is>
      </c>
      <c r="H1735" t="inlineStr">
        <is>
          <t>Bergvik skog väst AB</t>
        </is>
      </c>
      <c r="I1735" t="n">
        <v>14.3</v>
      </c>
      <c r="J1735" t="n">
        <v>0</v>
      </c>
      <c r="K1735" t="n">
        <v>0</v>
      </c>
      <c r="L1735" t="n">
        <v>0</v>
      </c>
      <c r="M1735" t="n">
        <v>0</v>
      </c>
      <c r="N1735" t="n">
        <v>0</v>
      </c>
      <c r="O1735" t="n">
        <v>0</v>
      </c>
      <c r="P1735" t="n">
        <v>0</v>
      </c>
      <c r="Q1735" t="n">
        <v>0</v>
      </c>
      <c r="R1735" t="n">
        <v>0</v>
      </c>
      <c r="S1735" t="n">
        <v>0</v>
      </c>
      <c r="T1735" t="n">
        <v>0</v>
      </c>
      <c r="U1735" t="n">
        <v>0</v>
      </c>
      <c r="V1735" s="2" t="inlineStr"/>
    </row>
    <row r="1736" ht="15" customHeight="1">
      <c r="A1736" t="inlineStr">
        <is>
          <t>A 57796-2025</t>
        </is>
      </c>
      <c r="B1736" t="inlineStr">
        <is>
          <t>avverkningsanmälan</t>
        </is>
      </c>
      <c r="C1736" t="inlineStr">
        <is>
          <t>Föryngringsavverkning</t>
        </is>
      </c>
      <c r="D1736" s="1" t="n">
        <v>45981</v>
      </c>
      <c r="E1736" s="1" t="n">
        <v>46309</v>
      </c>
      <c r="F1736" t="inlineStr">
        <is>
          <t>UPPSALA LÄN</t>
        </is>
      </c>
      <c r="G1736" t="inlineStr">
        <is>
          <t>UPPSALA</t>
        </is>
      </c>
      <c r="I1736" t="n">
        <v>2.6</v>
      </c>
      <c r="J1736" t="n">
        <v>0</v>
      </c>
      <c r="K1736" t="n">
        <v>0</v>
      </c>
      <c r="L1736" t="n">
        <v>0</v>
      </c>
      <c r="M1736" t="n">
        <v>0</v>
      </c>
      <c r="N1736" t="n">
        <v>0</v>
      </c>
      <c r="O1736" t="n">
        <v>0</v>
      </c>
      <c r="P1736" t="n">
        <v>0</v>
      </c>
      <c r="Q1736" t="n">
        <v>0</v>
      </c>
      <c r="R1736" t="n">
        <v>0</v>
      </c>
      <c r="S1736" t="n">
        <v>0</v>
      </c>
      <c r="T1736" t="n">
        <v>0</v>
      </c>
      <c r="U1736" t="n">
        <v>0</v>
      </c>
      <c r="V1736" s="2" t="inlineStr"/>
    </row>
    <row r="1737" ht="15" customHeight="1">
      <c r="A1737" t="inlineStr">
        <is>
          <t>A 25418-2022</t>
        </is>
      </c>
      <c r="B1737" t="inlineStr">
        <is>
          <t>avverkningsanmälan</t>
        </is>
      </c>
      <c r="C1737" t="inlineStr">
        <is>
          <t>Föryngringsavverkning</t>
        </is>
      </c>
      <c r="D1737" s="1" t="n">
        <v>44732</v>
      </c>
      <c r="E1737" s="1" t="n">
        <v>46309</v>
      </c>
      <c r="F1737" t="inlineStr">
        <is>
          <t>UPPSALA LÄN</t>
        </is>
      </c>
      <c r="G1737" t="inlineStr">
        <is>
          <t>ÖSTHAMMAR</t>
        </is>
      </c>
      <c r="I1737" t="n">
        <v>2.8</v>
      </c>
      <c r="J1737" t="n">
        <v>0</v>
      </c>
      <c r="K1737" t="n">
        <v>0</v>
      </c>
      <c r="L1737" t="n">
        <v>0</v>
      </c>
      <c r="M1737" t="n">
        <v>0</v>
      </c>
      <c r="N1737" t="n">
        <v>0</v>
      </c>
      <c r="O1737" t="n">
        <v>0</v>
      </c>
      <c r="P1737" t="n">
        <v>0</v>
      </c>
      <c r="Q1737" t="n">
        <v>0</v>
      </c>
      <c r="R1737" t="n">
        <v>0</v>
      </c>
      <c r="S1737" t="n">
        <v>0</v>
      </c>
      <c r="T1737" t="n">
        <v>0</v>
      </c>
      <c r="U1737" t="n">
        <v>0</v>
      </c>
      <c r="V1737" s="2" t="inlineStr"/>
    </row>
    <row r="1738" ht="15" customHeight="1">
      <c r="A1738" t="inlineStr">
        <is>
          <t>A 7222-2026</t>
        </is>
      </c>
      <c r="B1738" t="inlineStr">
        <is>
          <t>avverkningsanmälan</t>
        </is>
      </c>
      <c r="C1738" t="inlineStr">
        <is>
          <t>Föryngringsavverkning</t>
        </is>
      </c>
      <c r="D1738" s="1" t="n">
        <v>46058</v>
      </c>
      <c r="E1738" s="1" t="n">
        <v>46309</v>
      </c>
      <c r="F1738" t="inlineStr">
        <is>
          <t>UPPSALA LÄN</t>
        </is>
      </c>
      <c r="G1738" t="inlineStr">
        <is>
          <t>HEBY</t>
        </is>
      </c>
      <c r="I1738" t="n">
        <v>2.2</v>
      </c>
      <c r="J1738" t="n">
        <v>0</v>
      </c>
      <c r="K1738" t="n">
        <v>0</v>
      </c>
      <c r="L1738" t="n">
        <v>0</v>
      </c>
      <c r="M1738" t="n">
        <v>0</v>
      </c>
      <c r="N1738" t="n">
        <v>0</v>
      </c>
      <c r="O1738" t="n">
        <v>0</v>
      </c>
      <c r="P1738" t="n">
        <v>0</v>
      </c>
      <c r="Q1738" t="n">
        <v>0</v>
      </c>
      <c r="R1738" t="n">
        <v>0</v>
      </c>
      <c r="S1738" t="n">
        <v>0</v>
      </c>
      <c r="T1738" t="n">
        <v>0</v>
      </c>
      <c r="U1738" t="n">
        <v>0</v>
      </c>
      <c r="V1738" s="2" t="inlineStr"/>
    </row>
    <row r="1739" ht="15" customHeight="1">
      <c r="A1739" t="inlineStr">
        <is>
          <t>A 58168-2025</t>
        </is>
      </c>
      <c r="B1739" t="inlineStr">
        <is>
          <t>avverkningsanmälan</t>
        </is>
      </c>
      <c r="C1739" t="inlineStr">
        <is>
          <t>Föryngringsavverkning</t>
        </is>
      </c>
      <c r="D1739" s="1" t="n">
        <v>45982</v>
      </c>
      <c r="E1739" s="1" t="n">
        <v>46309</v>
      </c>
      <c r="F1739" t="inlineStr">
        <is>
          <t>UPPSALA LÄN</t>
        </is>
      </c>
      <c r="G1739" t="inlineStr">
        <is>
          <t>ÄLVKARLEBY</t>
        </is>
      </c>
      <c r="H1739" t="inlineStr">
        <is>
          <t>Bergvik skog väst AB</t>
        </is>
      </c>
      <c r="I1739" t="n">
        <v>1.7</v>
      </c>
      <c r="J1739" t="n">
        <v>0</v>
      </c>
      <c r="K1739" t="n">
        <v>0</v>
      </c>
      <c r="L1739" t="n">
        <v>0</v>
      </c>
      <c r="M1739" t="n">
        <v>0</v>
      </c>
      <c r="N1739" t="n">
        <v>0</v>
      </c>
      <c r="O1739" t="n">
        <v>0</v>
      </c>
      <c r="P1739" t="n">
        <v>0</v>
      </c>
      <c r="Q1739" t="n">
        <v>0</v>
      </c>
      <c r="R1739" t="n">
        <v>0</v>
      </c>
      <c r="S1739" t="n">
        <v>0</v>
      </c>
      <c r="T1739" t="n">
        <v>0</v>
      </c>
      <c r="U1739" t="n">
        <v>0</v>
      </c>
      <c r="V1739" s="2" t="inlineStr"/>
    </row>
    <row r="1740" ht="15" customHeight="1">
      <c r="A1740" t="inlineStr">
        <is>
          <t>A 6996-2026</t>
        </is>
      </c>
      <c r="B1740" t="inlineStr">
        <is>
          <t>avverkningsanmälan</t>
        </is>
      </c>
      <c r="C1740" t="inlineStr">
        <is>
          <t>Föryngringsavverkning</t>
        </is>
      </c>
      <c r="D1740" s="1" t="n">
        <v>46057</v>
      </c>
      <c r="E1740" s="1" t="n">
        <v>46309</v>
      </c>
      <c r="F1740" t="inlineStr">
        <is>
          <t>UPPSALA LÄN</t>
        </is>
      </c>
      <c r="G1740" t="inlineStr">
        <is>
          <t>HEBY</t>
        </is>
      </c>
      <c r="H1740" t="inlineStr">
        <is>
          <t>Kommuner</t>
        </is>
      </c>
      <c r="I1740" t="n">
        <v>4.6</v>
      </c>
      <c r="J1740" t="n">
        <v>0</v>
      </c>
      <c r="K1740" t="n">
        <v>0</v>
      </c>
      <c r="L1740" t="n">
        <v>0</v>
      </c>
      <c r="M1740" t="n">
        <v>0</v>
      </c>
      <c r="N1740" t="n">
        <v>0</v>
      </c>
      <c r="O1740" t="n">
        <v>0</v>
      </c>
      <c r="P1740" t="n">
        <v>0</v>
      </c>
      <c r="Q1740" t="n">
        <v>0</v>
      </c>
      <c r="R1740" t="n">
        <v>0</v>
      </c>
      <c r="S1740" t="n">
        <v>0</v>
      </c>
      <c r="T1740" t="n">
        <v>0</v>
      </c>
      <c r="U1740" t="n">
        <v>0</v>
      </c>
      <c r="V1740" s="2" t="inlineStr"/>
    </row>
    <row r="1741" ht="15" customHeight="1">
      <c r="A1741" t="inlineStr">
        <is>
          <t>A 7002-2026</t>
        </is>
      </c>
      <c r="B1741" t="inlineStr">
        <is>
          <t>avverkningsanmälan</t>
        </is>
      </c>
      <c r="C1741" t="inlineStr">
        <is>
          <t>Föryngringsavverkning</t>
        </is>
      </c>
      <c r="D1741" s="1" t="n">
        <v>46057</v>
      </c>
      <c r="E1741" s="1" t="n">
        <v>46309</v>
      </c>
      <c r="F1741" t="inlineStr">
        <is>
          <t>UPPSALA LÄN</t>
        </is>
      </c>
      <c r="G1741" t="inlineStr">
        <is>
          <t>UPPSALA</t>
        </is>
      </c>
      <c r="I1741" t="n">
        <v>1.4</v>
      </c>
      <c r="J1741" t="n">
        <v>0</v>
      </c>
      <c r="K1741" t="n">
        <v>0</v>
      </c>
      <c r="L1741" t="n">
        <v>0</v>
      </c>
      <c r="M1741" t="n">
        <v>0</v>
      </c>
      <c r="N1741" t="n">
        <v>0</v>
      </c>
      <c r="O1741" t="n">
        <v>0</v>
      </c>
      <c r="P1741" t="n">
        <v>0</v>
      </c>
      <c r="Q1741" t="n">
        <v>0</v>
      </c>
      <c r="R1741" t="n">
        <v>0</v>
      </c>
      <c r="S1741" t="n">
        <v>0</v>
      </c>
      <c r="T1741" t="n">
        <v>0</v>
      </c>
      <c r="U1741" t="n">
        <v>0</v>
      </c>
      <c r="V1741" s="2" t="inlineStr"/>
    </row>
    <row r="1742" ht="15" customHeight="1">
      <c r="A1742" t="inlineStr">
        <is>
          <t>A 367-2023</t>
        </is>
      </c>
      <c r="B1742" t="inlineStr">
        <is>
          <t>avverkningsanmälan</t>
        </is>
      </c>
      <c r="C1742" t="inlineStr">
        <is>
          <t>Föryngringsavverkning</t>
        </is>
      </c>
      <c r="D1742" s="1" t="n">
        <v>44929</v>
      </c>
      <c r="E1742" s="1" t="n">
        <v>46309</v>
      </c>
      <c r="F1742" t="inlineStr">
        <is>
          <t>UPPSALA LÄN</t>
        </is>
      </c>
      <c r="G1742" t="inlineStr">
        <is>
          <t>UPPSALA</t>
        </is>
      </c>
      <c r="I1742" t="n">
        <v>2.4</v>
      </c>
      <c r="J1742" t="n">
        <v>0</v>
      </c>
      <c r="K1742" t="n">
        <v>0</v>
      </c>
      <c r="L1742" t="n">
        <v>0</v>
      </c>
      <c r="M1742" t="n">
        <v>0</v>
      </c>
      <c r="N1742" t="n">
        <v>0</v>
      </c>
      <c r="O1742" t="n">
        <v>0</v>
      </c>
      <c r="P1742" t="n">
        <v>0</v>
      </c>
      <c r="Q1742" t="n">
        <v>0</v>
      </c>
      <c r="R1742" t="n">
        <v>0</v>
      </c>
      <c r="S1742" t="n">
        <v>0</v>
      </c>
      <c r="T1742" t="n">
        <v>0</v>
      </c>
      <c r="U1742" t="n">
        <v>0</v>
      </c>
      <c r="V1742" s="2" t="inlineStr"/>
    </row>
    <row r="1743" ht="15" customHeight="1">
      <c r="A1743" t="inlineStr">
        <is>
          <t>A 14086-2023</t>
        </is>
      </c>
      <c r="B1743" t="inlineStr">
        <is>
          <t>avverkningsanmälan</t>
        </is>
      </c>
      <c r="C1743" t="inlineStr">
        <is>
          <t>Föryngringsavverkning</t>
        </is>
      </c>
      <c r="D1743" s="1" t="n">
        <v>45009</v>
      </c>
      <c r="E1743" s="1" t="n">
        <v>46309</v>
      </c>
      <c r="F1743" t="inlineStr">
        <is>
          <t>UPPSALA LÄN</t>
        </is>
      </c>
      <c r="G1743" t="inlineStr">
        <is>
          <t>TIERP</t>
        </is>
      </c>
      <c r="H1743" t="inlineStr">
        <is>
          <t>Bergvik skog väst AB</t>
        </is>
      </c>
      <c r="I1743" t="n">
        <v>19</v>
      </c>
      <c r="J1743" t="n">
        <v>0</v>
      </c>
      <c r="K1743" t="n">
        <v>0</v>
      </c>
      <c r="L1743" t="n">
        <v>0</v>
      </c>
      <c r="M1743" t="n">
        <v>0</v>
      </c>
      <c r="N1743" t="n">
        <v>0</v>
      </c>
      <c r="O1743" t="n">
        <v>0</v>
      </c>
      <c r="P1743" t="n">
        <v>0</v>
      </c>
      <c r="Q1743" t="n">
        <v>0</v>
      </c>
      <c r="R1743" t="n">
        <v>0</v>
      </c>
      <c r="S1743" t="n">
        <v>0</v>
      </c>
      <c r="T1743" t="n">
        <v>0</v>
      </c>
      <c r="U1743" t="n">
        <v>0</v>
      </c>
      <c r="V1743" s="2" t="inlineStr"/>
    </row>
    <row r="1744" ht="15" customHeight="1">
      <c r="A1744" t="inlineStr">
        <is>
          <t>A 58134-2025</t>
        </is>
      </c>
      <c r="B1744" t="inlineStr">
        <is>
          <t>avverkningsanmälan</t>
        </is>
      </c>
      <c r="C1744" t="inlineStr">
        <is>
          <t>Föryngringsavverkning</t>
        </is>
      </c>
      <c r="D1744" s="1" t="n">
        <v>45982</v>
      </c>
      <c r="E1744" s="1" t="n">
        <v>46309</v>
      </c>
      <c r="F1744" t="inlineStr">
        <is>
          <t>UPPSALA LÄN</t>
        </is>
      </c>
      <c r="G1744" t="inlineStr">
        <is>
          <t>TIERP</t>
        </is>
      </c>
      <c r="I1744" t="n">
        <v>0.8</v>
      </c>
      <c r="J1744" t="n">
        <v>0</v>
      </c>
      <c r="K1744" t="n">
        <v>0</v>
      </c>
      <c r="L1744" t="n">
        <v>0</v>
      </c>
      <c r="M1744" t="n">
        <v>0</v>
      </c>
      <c r="N1744" t="n">
        <v>0</v>
      </c>
      <c r="O1744" t="n">
        <v>0</v>
      </c>
      <c r="P1744" t="n">
        <v>0</v>
      </c>
      <c r="Q1744" t="n">
        <v>0</v>
      </c>
      <c r="R1744" t="n">
        <v>0</v>
      </c>
      <c r="S1744" t="n">
        <v>0</v>
      </c>
      <c r="T1744" t="n">
        <v>0</v>
      </c>
      <c r="U1744" t="n">
        <v>0</v>
      </c>
      <c r="V1744" s="2" t="inlineStr"/>
    </row>
    <row r="1745" ht="15" customHeight="1">
      <c r="A1745" t="inlineStr">
        <is>
          <t>A 7008-2026</t>
        </is>
      </c>
      <c r="B1745" t="inlineStr">
        <is>
          <t>avverkningsanmälan</t>
        </is>
      </c>
      <c r="C1745" t="inlineStr">
        <is>
          <t>Föryngringsavverkning</t>
        </is>
      </c>
      <c r="D1745" s="1" t="n">
        <v>46057</v>
      </c>
      <c r="E1745" s="1" t="n">
        <v>46309</v>
      </c>
      <c r="F1745" t="inlineStr">
        <is>
          <t>UPPSALA LÄN</t>
        </is>
      </c>
      <c r="G1745" t="inlineStr">
        <is>
          <t>ENKÖPING</t>
        </is>
      </c>
      <c r="I1745" t="n">
        <v>1</v>
      </c>
      <c r="J1745" t="n">
        <v>0</v>
      </c>
      <c r="K1745" t="n">
        <v>0</v>
      </c>
      <c r="L1745" t="n">
        <v>0</v>
      </c>
      <c r="M1745" t="n">
        <v>0</v>
      </c>
      <c r="N1745" t="n">
        <v>0</v>
      </c>
      <c r="O1745" t="n">
        <v>0</v>
      </c>
      <c r="P1745" t="n">
        <v>0</v>
      </c>
      <c r="Q1745" t="n">
        <v>0</v>
      </c>
      <c r="R1745" t="n">
        <v>0</v>
      </c>
      <c r="S1745" t="n">
        <v>0</v>
      </c>
      <c r="T1745" t="n">
        <v>0</v>
      </c>
      <c r="U1745" t="n">
        <v>0</v>
      </c>
      <c r="V1745" s="2" t="inlineStr"/>
    </row>
    <row r="1746" ht="15" customHeight="1">
      <c r="A1746" t="inlineStr">
        <is>
          <t>A 57827-2025</t>
        </is>
      </c>
      <c r="B1746" t="inlineStr">
        <is>
          <t>avverkningsanmälan</t>
        </is>
      </c>
      <c r="C1746" t="inlineStr">
        <is>
          <t>Föryngringsavverkning</t>
        </is>
      </c>
      <c r="D1746" s="1" t="n">
        <v>45981</v>
      </c>
      <c r="E1746" s="1" t="n">
        <v>46309</v>
      </c>
      <c r="F1746" t="inlineStr">
        <is>
          <t>UPPSALA LÄN</t>
        </is>
      </c>
      <c r="G1746" t="inlineStr">
        <is>
          <t>UPPSALA</t>
        </is>
      </c>
      <c r="H1746" t="inlineStr">
        <is>
          <t>Kyrkan</t>
        </is>
      </c>
      <c r="I1746" t="n">
        <v>2.9</v>
      </c>
      <c r="J1746" t="n">
        <v>0</v>
      </c>
      <c r="K1746" t="n">
        <v>0</v>
      </c>
      <c r="L1746" t="n">
        <v>0</v>
      </c>
      <c r="M1746" t="n">
        <v>0</v>
      </c>
      <c r="N1746" t="n">
        <v>0</v>
      </c>
      <c r="O1746" t="n">
        <v>0</v>
      </c>
      <c r="P1746" t="n">
        <v>0</v>
      </c>
      <c r="Q1746" t="n">
        <v>0</v>
      </c>
      <c r="R1746" t="n">
        <v>0</v>
      </c>
      <c r="S1746" t="n">
        <v>0</v>
      </c>
      <c r="T1746" t="n">
        <v>0</v>
      </c>
      <c r="U1746" t="n">
        <v>0</v>
      </c>
      <c r="V1746" s="2" t="inlineStr"/>
    </row>
    <row r="1747" ht="15" customHeight="1">
      <c r="A1747" t="inlineStr">
        <is>
          <t>A 57836-2025</t>
        </is>
      </c>
      <c r="B1747" t="inlineStr">
        <is>
          <t>avverkningsanmälan</t>
        </is>
      </c>
      <c r="C1747" t="inlineStr">
        <is>
          <t>Föryngringsavverkning</t>
        </is>
      </c>
      <c r="D1747" s="1" t="n">
        <v>45981</v>
      </c>
      <c r="E1747" s="1" t="n">
        <v>46309</v>
      </c>
      <c r="F1747" t="inlineStr">
        <is>
          <t>UPPSALA LÄN</t>
        </is>
      </c>
      <c r="G1747" t="inlineStr">
        <is>
          <t>UPPSALA</t>
        </is>
      </c>
      <c r="H1747" t="inlineStr">
        <is>
          <t>Kyrkan</t>
        </is>
      </c>
      <c r="I1747" t="n">
        <v>0.8</v>
      </c>
      <c r="J1747" t="n">
        <v>0</v>
      </c>
      <c r="K1747" t="n">
        <v>0</v>
      </c>
      <c r="L1747" t="n">
        <v>0</v>
      </c>
      <c r="M1747" t="n">
        <v>0</v>
      </c>
      <c r="N1747" t="n">
        <v>0</v>
      </c>
      <c r="O1747" t="n">
        <v>0</v>
      </c>
      <c r="P1747" t="n">
        <v>0</v>
      </c>
      <c r="Q1747" t="n">
        <v>0</v>
      </c>
      <c r="R1747" t="n">
        <v>0</v>
      </c>
      <c r="S1747" t="n">
        <v>0</v>
      </c>
      <c r="T1747" t="n">
        <v>0</v>
      </c>
      <c r="U1747" t="n">
        <v>0</v>
      </c>
      <c r="V1747" s="2" t="inlineStr"/>
    </row>
    <row r="1748" ht="15" customHeight="1">
      <c r="A1748" t="inlineStr">
        <is>
          <t>A 6969-2026</t>
        </is>
      </c>
      <c r="B1748" t="inlineStr">
        <is>
          <t>avverkningsanmälan</t>
        </is>
      </c>
      <c r="C1748" t="inlineStr">
        <is>
          <t>Föryngringsavverkning</t>
        </is>
      </c>
      <c r="D1748" s="1" t="n">
        <v>46057</v>
      </c>
      <c r="E1748" s="1" t="n">
        <v>46309</v>
      </c>
      <c r="F1748" t="inlineStr">
        <is>
          <t>UPPSALA LÄN</t>
        </is>
      </c>
      <c r="G1748" t="inlineStr">
        <is>
          <t>HEBY</t>
        </is>
      </c>
      <c r="H1748" t="inlineStr">
        <is>
          <t>Kommuner</t>
        </is>
      </c>
      <c r="I1748" t="n">
        <v>1.5</v>
      </c>
      <c r="J1748" t="n">
        <v>0</v>
      </c>
      <c r="K1748" t="n">
        <v>0</v>
      </c>
      <c r="L1748" t="n">
        <v>0</v>
      </c>
      <c r="M1748" t="n">
        <v>0</v>
      </c>
      <c r="N1748" t="n">
        <v>0</v>
      </c>
      <c r="O1748" t="n">
        <v>0</v>
      </c>
      <c r="P1748" t="n">
        <v>0</v>
      </c>
      <c r="Q1748" t="n">
        <v>0</v>
      </c>
      <c r="R1748" t="n">
        <v>0</v>
      </c>
      <c r="S1748" t="n">
        <v>0</v>
      </c>
      <c r="T1748" t="n">
        <v>0</v>
      </c>
      <c r="U1748" t="n">
        <v>0</v>
      </c>
      <c r="V1748" s="2" t="inlineStr"/>
    </row>
    <row r="1749" ht="15" customHeight="1">
      <c r="A1749" t="inlineStr">
        <is>
          <t>A 7216-2026</t>
        </is>
      </c>
      <c r="B1749" t="inlineStr">
        <is>
          <t>avverkningsanmälan</t>
        </is>
      </c>
      <c r="C1749" t="inlineStr">
        <is>
          <t>Föryngringsavverkning</t>
        </is>
      </c>
      <c r="D1749" s="1" t="n">
        <v>46058</v>
      </c>
      <c r="E1749" s="1" t="n">
        <v>46309</v>
      </c>
      <c r="F1749" t="inlineStr">
        <is>
          <t>UPPSALA LÄN</t>
        </is>
      </c>
      <c r="G1749" t="inlineStr">
        <is>
          <t>HEBY</t>
        </is>
      </c>
      <c r="I1749" t="n">
        <v>3.1</v>
      </c>
      <c r="J1749" t="n">
        <v>0</v>
      </c>
      <c r="K1749" t="n">
        <v>0</v>
      </c>
      <c r="L1749" t="n">
        <v>0</v>
      </c>
      <c r="M1749" t="n">
        <v>0</v>
      </c>
      <c r="N1749" t="n">
        <v>0</v>
      </c>
      <c r="O1749" t="n">
        <v>0</v>
      </c>
      <c r="P1749" t="n">
        <v>0</v>
      </c>
      <c r="Q1749" t="n">
        <v>0</v>
      </c>
      <c r="R1749" t="n">
        <v>0</v>
      </c>
      <c r="S1749" t="n">
        <v>0</v>
      </c>
      <c r="T1749" t="n">
        <v>0</v>
      </c>
      <c r="U1749" t="n">
        <v>0</v>
      </c>
      <c r="V1749" s="2" t="inlineStr"/>
    </row>
    <row r="1750" ht="15" customHeight="1">
      <c r="A1750" t="inlineStr">
        <is>
          <t>A 5289-2023</t>
        </is>
      </c>
      <c r="B1750" t="inlineStr">
        <is>
          <t>avverkningsanmälan</t>
        </is>
      </c>
      <c r="C1750" t="inlineStr">
        <is>
          <t>Föryngringsavverkning</t>
        </is>
      </c>
      <c r="D1750" s="1" t="n">
        <v>44959</v>
      </c>
      <c r="E1750" s="1" t="n">
        <v>46309</v>
      </c>
      <c r="F1750" t="inlineStr">
        <is>
          <t>UPPSALA LÄN</t>
        </is>
      </c>
      <c r="G1750" t="inlineStr">
        <is>
          <t>TIERP</t>
        </is>
      </c>
      <c r="I1750" t="n">
        <v>2</v>
      </c>
      <c r="J1750" t="n">
        <v>0</v>
      </c>
      <c r="K1750" t="n">
        <v>0</v>
      </c>
      <c r="L1750" t="n">
        <v>0</v>
      </c>
      <c r="M1750" t="n">
        <v>0</v>
      </c>
      <c r="N1750" t="n">
        <v>0</v>
      </c>
      <c r="O1750" t="n">
        <v>0</v>
      </c>
      <c r="P1750" t="n">
        <v>0</v>
      </c>
      <c r="Q1750" t="n">
        <v>0</v>
      </c>
      <c r="R1750" t="n">
        <v>0</v>
      </c>
      <c r="S1750" t="n">
        <v>0</v>
      </c>
      <c r="T1750" t="n">
        <v>0</v>
      </c>
      <c r="U1750" t="n">
        <v>0</v>
      </c>
      <c r="V1750" s="2" t="inlineStr"/>
    </row>
    <row r="1751" ht="15" customHeight="1">
      <c r="A1751" t="inlineStr">
        <is>
          <t>A 53206-2025</t>
        </is>
      </c>
      <c r="B1751" t="inlineStr">
        <is>
          <t>avverkningsanmälan</t>
        </is>
      </c>
      <c r="C1751" t="inlineStr">
        <is>
          <t>Föryngringsavverkning</t>
        </is>
      </c>
      <c r="D1751" s="1" t="n">
        <v>45958</v>
      </c>
      <c r="E1751" s="1" t="n">
        <v>46309</v>
      </c>
      <c r="F1751" t="inlineStr">
        <is>
          <t>UPPSALA LÄN</t>
        </is>
      </c>
      <c r="G1751" t="inlineStr">
        <is>
          <t>UPPSALA</t>
        </is>
      </c>
      <c r="H1751" t="inlineStr">
        <is>
          <t>Bergvik skog väst AB</t>
        </is>
      </c>
      <c r="I1751" t="n">
        <v>18.6</v>
      </c>
      <c r="J1751" t="n">
        <v>0</v>
      </c>
      <c r="K1751" t="n">
        <v>0</v>
      </c>
      <c r="L1751" t="n">
        <v>0</v>
      </c>
      <c r="M1751" t="n">
        <v>0</v>
      </c>
      <c r="N1751" t="n">
        <v>0</v>
      </c>
      <c r="O1751" t="n">
        <v>0</v>
      </c>
      <c r="P1751" t="n">
        <v>0</v>
      </c>
      <c r="Q1751" t="n">
        <v>0</v>
      </c>
      <c r="R1751" t="n">
        <v>0</v>
      </c>
      <c r="S1751" t="n">
        <v>0</v>
      </c>
      <c r="T1751" t="n">
        <v>0</v>
      </c>
      <c r="U1751" t="n">
        <v>0</v>
      </c>
      <c r="V1751" s="2" t="inlineStr"/>
    </row>
    <row r="1752" ht="15" customHeight="1">
      <c r="A1752" t="inlineStr">
        <is>
          <t>A 57944-2025</t>
        </is>
      </c>
      <c r="B1752" t="inlineStr">
        <is>
          <t>avverkningsanmälan</t>
        </is>
      </c>
      <c r="C1752" t="inlineStr">
        <is>
          <t>Föryngringsavverkning</t>
        </is>
      </c>
      <c r="D1752" s="1" t="n">
        <v>45982</v>
      </c>
      <c r="E1752" s="1" t="n">
        <v>46309</v>
      </c>
      <c r="F1752" t="inlineStr">
        <is>
          <t>UPPSALA LÄN</t>
        </is>
      </c>
      <c r="G1752" t="inlineStr">
        <is>
          <t>TIERP</t>
        </is>
      </c>
      <c r="H1752" t="inlineStr">
        <is>
          <t>Övriga Aktiebolag</t>
        </is>
      </c>
      <c r="I1752" t="n">
        <v>6.2</v>
      </c>
      <c r="J1752" t="n">
        <v>0</v>
      </c>
      <c r="K1752" t="n">
        <v>0</v>
      </c>
      <c r="L1752" t="n">
        <v>0</v>
      </c>
      <c r="M1752" t="n">
        <v>0</v>
      </c>
      <c r="N1752" t="n">
        <v>0</v>
      </c>
      <c r="O1752" t="n">
        <v>0</v>
      </c>
      <c r="P1752" t="n">
        <v>0</v>
      </c>
      <c r="Q1752" t="n">
        <v>0</v>
      </c>
      <c r="R1752" t="n">
        <v>0</v>
      </c>
      <c r="S1752" t="n">
        <v>0</v>
      </c>
      <c r="T1752" t="n">
        <v>0</v>
      </c>
      <c r="U1752" t="n">
        <v>0</v>
      </c>
      <c r="V1752" s="2" t="inlineStr"/>
    </row>
    <row r="1753" ht="15" customHeight="1">
      <c r="A1753" t="inlineStr">
        <is>
          <t>A 62391-2022</t>
        </is>
      </c>
      <c r="B1753" t="inlineStr">
        <is>
          <t>avverkningsanmälan</t>
        </is>
      </c>
      <c r="C1753" t="inlineStr">
        <is>
          <t>Föryngringsavverkning</t>
        </is>
      </c>
      <c r="D1753" s="1" t="n">
        <v>44923</v>
      </c>
      <c r="E1753" s="1" t="n">
        <v>46309</v>
      </c>
      <c r="F1753" t="inlineStr">
        <is>
          <t>UPPSALA LÄN</t>
        </is>
      </c>
      <c r="G1753" t="inlineStr">
        <is>
          <t>ÖSTHAMMAR</t>
        </is>
      </c>
      <c r="H1753" t="inlineStr">
        <is>
          <t>Bergvik skog öst AB</t>
        </is>
      </c>
      <c r="I1753" t="n">
        <v>1</v>
      </c>
      <c r="J1753" t="n">
        <v>0</v>
      </c>
      <c r="K1753" t="n">
        <v>0</v>
      </c>
      <c r="L1753" t="n">
        <v>0</v>
      </c>
      <c r="M1753" t="n">
        <v>0</v>
      </c>
      <c r="N1753" t="n">
        <v>0</v>
      </c>
      <c r="O1753" t="n">
        <v>0</v>
      </c>
      <c r="P1753" t="n">
        <v>0</v>
      </c>
      <c r="Q1753" t="n">
        <v>0</v>
      </c>
      <c r="R1753" t="n">
        <v>0</v>
      </c>
      <c r="S1753" t="n">
        <v>0</v>
      </c>
      <c r="T1753" t="n">
        <v>0</v>
      </c>
      <c r="U1753" t="n">
        <v>0</v>
      </c>
      <c r="V1753" s="2" t="inlineStr"/>
    </row>
    <row r="1754" ht="15" customHeight="1">
      <c r="A1754" t="inlineStr">
        <is>
          <t>A 57789-2025</t>
        </is>
      </c>
      <c r="B1754" t="inlineStr">
        <is>
          <t>avverkningsanmälan</t>
        </is>
      </c>
      <c r="C1754" t="inlineStr">
        <is>
          <t>Föryngringsavverkning</t>
        </is>
      </c>
      <c r="D1754" s="1" t="n">
        <v>45981</v>
      </c>
      <c r="E1754" s="1" t="n">
        <v>46309</v>
      </c>
      <c r="F1754" t="inlineStr">
        <is>
          <t>UPPSALA LÄN</t>
        </is>
      </c>
      <c r="G1754" t="inlineStr">
        <is>
          <t>UPPSALA</t>
        </is>
      </c>
      <c r="I1754" t="n">
        <v>2.2</v>
      </c>
      <c r="J1754" t="n">
        <v>0</v>
      </c>
      <c r="K1754" t="n">
        <v>0</v>
      </c>
      <c r="L1754" t="n">
        <v>0</v>
      </c>
      <c r="M1754" t="n">
        <v>0</v>
      </c>
      <c r="N1754" t="n">
        <v>0</v>
      </c>
      <c r="O1754" t="n">
        <v>0</v>
      </c>
      <c r="P1754" t="n">
        <v>0</v>
      </c>
      <c r="Q1754" t="n">
        <v>0</v>
      </c>
      <c r="R1754" t="n">
        <v>0</v>
      </c>
      <c r="S1754" t="n">
        <v>0</v>
      </c>
      <c r="T1754" t="n">
        <v>0</v>
      </c>
      <c r="U1754" t="n">
        <v>0</v>
      </c>
      <c r="V1754" s="2" t="inlineStr"/>
    </row>
    <row r="1755" ht="15" customHeight="1">
      <c r="A1755" t="inlineStr">
        <is>
          <t>A 31485-2023</t>
        </is>
      </c>
      <c r="B1755" t="inlineStr">
        <is>
          <t>avverkningsanmälan</t>
        </is>
      </c>
      <c r="C1755" t="inlineStr">
        <is>
          <t>Föryngringsavverkning</t>
        </is>
      </c>
      <c r="D1755" s="1" t="n">
        <v>45114</v>
      </c>
      <c r="E1755" s="1" t="n">
        <v>46309</v>
      </c>
      <c r="F1755" t="inlineStr">
        <is>
          <t>UPPSALA LÄN</t>
        </is>
      </c>
      <c r="G1755" t="inlineStr">
        <is>
          <t>ÖSTHAMMAR</t>
        </is>
      </c>
      <c r="H1755" t="inlineStr">
        <is>
          <t>Bergvik skog öst AB</t>
        </is>
      </c>
      <c r="I1755" t="n">
        <v>1</v>
      </c>
      <c r="J1755" t="n">
        <v>0</v>
      </c>
      <c r="K1755" t="n">
        <v>0</v>
      </c>
      <c r="L1755" t="n">
        <v>0</v>
      </c>
      <c r="M1755" t="n">
        <v>0</v>
      </c>
      <c r="N1755" t="n">
        <v>0</v>
      </c>
      <c r="O1755" t="n">
        <v>0</v>
      </c>
      <c r="P1755" t="n">
        <v>0</v>
      </c>
      <c r="Q1755" t="n">
        <v>0</v>
      </c>
      <c r="R1755" t="n">
        <v>0</v>
      </c>
      <c r="S1755" t="n">
        <v>0</v>
      </c>
      <c r="T1755" t="n">
        <v>0</v>
      </c>
      <c r="U1755" t="n">
        <v>0</v>
      </c>
      <c r="V1755" s="2" t="inlineStr"/>
    </row>
    <row r="1756" ht="15" customHeight="1">
      <c r="A1756" t="inlineStr">
        <is>
          <t>A 7473-2026</t>
        </is>
      </c>
      <c r="B1756" t="inlineStr">
        <is>
          <t>avverkningsanmälan</t>
        </is>
      </c>
      <c r="C1756" t="inlineStr">
        <is>
          <t>Föryngringsavverkning</t>
        </is>
      </c>
      <c r="D1756" s="1" t="n">
        <v>46059</v>
      </c>
      <c r="E1756" s="1" t="n">
        <v>46309</v>
      </c>
      <c r="F1756" t="inlineStr">
        <is>
          <t>UPPSALA LÄN</t>
        </is>
      </c>
      <c r="G1756" t="inlineStr">
        <is>
          <t>HEBY</t>
        </is>
      </c>
      <c r="I1756" t="n">
        <v>1.2</v>
      </c>
      <c r="J1756" t="n">
        <v>0</v>
      </c>
      <c r="K1756" t="n">
        <v>0</v>
      </c>
      <c r="L1756" t="n">
        <v>0</v>
      </c>
      <c r="M1756" t="n">
        <v>0</v>
      </c>
      <c r="N1756" t="n">
        <v>0</v>
      </c>
      <c r="O1756" t="n">
        <v>0</v>
      </c>
      <c r="P1756" t="n">
        <v>0</v>
      </c>
      <c r="Q1756" t="n">
        <v>0</v>
      </c>
      <c r="R1756" t="n">
        <v>0</v>
      </c>
      <c r="S1756" t="n">
        <v>0</v>
      </c>
      <c r="T1756" t="n">
        <v>0</v>
      </c>
      <c r="U1756" t="n">
        <v>0</v>
      </c>
      <c r="V1756" s="2" t="inlineStr"/>
    </row>
    <row r="1757" ht="15" customHeight="1">
      <c r="A1757" t="inlineStr">
        <is>
          <t>A 12414-2025</t>
        </is>
      </c>
      <c r="B1757" t="inlineStr">
        <is>
          <t>avverkningsanmälan</t>
        </is>
      </c>
      <c r="C1757" t="inlineStr">
        <is>
          <t>Föryngringsavverkning</t>
        </is>
      </c>
      <c r="D1757" s="1" t="n">
        <v>45730</v>
      </c>
      <c r="E1757" s="1" t="n">
        <v>46309</v>
      </c>
      <c r="F1757" t="inlineStr">
        <is>
          <t>UPPSALA LÄN</t>
        </is>
      </c>
      <c r="G1757" t="inlineStr">
        <is>
          <t>UPPSALA</t>
        </is>
      </c>
      <c r="H1757" t="inlineStr">
        <is>
          <t>Övriga statliga verk och myndigheter</t>
        </is>
      </c>
      <c r="I1757" t="n">
        <v>6.8</v>
      </c>
      <c r="J1757" t="n">
        <v>0</v>
      </c>
      <c r="K1757" t="n">
        <v>0</v>
      </c>
      <c r="L1757" t="n">
        <v>0</v>
      </c>
      <c r="M1757" t="n">
        <v>0</v>
      </c>
      <c r="N1757" t="n">
        <v>0</v>
      </c>
      <c r="O1757" t="n">
        <v>0</v>
      </c>
      <c r="P1757" t="n">
        <v>0</v>
      </c>
      <c r="Q1757" t="n">
        <v>0</v>
      </c>
      <c r="R1757" t="n">
        <v>0</v>
      </c>
      <c r="S1757" t="n">
        <v>0</v>
      </c>
      <c r="T1757" t="n">
        <v>0</v>
      </c>
      <c r="U1757" t="n">
        <v>0</v>
      </c>
      <c r="V1757" s="2" t="inlineStr"/>
    </row>
    <row r="1758" ht="15" customHeight="1">
      <c r="A1758" t="inlineStr">
        <is>
          <t>A 59486-2021</t>
        </is>
      </c>
      <c r="B1758" t="inlineStr">
        <is>
          <t>avverkningsanmälan</t>
        </is>
      </c>
      <c r="C1758" t="inlineStr">
        <is>
          <t>Föryngringsavverkning</t>
        </is>
      </c>
      <c r="D1758" s="1" t="n">
        <v>44491</v>
      </c>
      <c r="E1758" s="1" t="n">
        <v>46309</v>
      </c>
      <c r="F1758" t="inlineStr">
        <is>
          <t>UPPSALA LÄN</t>
        </is>
      </c>
      <c r="G1758" t="inlineStr">
        <is>
          <t>HEBY</t>
        </is>
      </c>
      <c r="I1758" t="n">
        <v>2.9</v>
      </c>
      <c r="J1758" t="n">
        <v>0</v>
      </c>
      <c r="K1758" t="n">
        <v>0</v>
      </c>
      <c r="L1758" t="n">
        <v>0</v>
      </c>
      <c r="M1758" t="n">
        <v>0</v>
      </c>
      <c r="N1758" t="n">
        <v>0</v>
      </c>
      <c r="O1758" t="n">
        <v>0</v>
      </c>
      <c r="P1758" t="n">
        <v>0</v>
      </c>
      <c r="Q1758" t="n">
        <v>0</v>
      </c>
      <c r="R1758" t="n">
        <v>0</v>
      </c>
      <c r="S1758" t="n">
        <v>0</v>
      </c>
      <c r="T1758" t="n">
        <v>0</v>
      </c>
      <c r="U1758" t="n">
        <v>0</v>
      </c>
      <c r="V1758" s="2" t="inlineStr"/>
    </row>
    <row r="1759" ht="15" customHeight="1">
      <c r="A1759" t="inlineStr">
        <is>
          <t>A 26559-2023</t>
        </is>
      </c>
      <c r="B1759" t="inlineStr">
        <is>
          <t>avverkningsanmälan</t>
        </is>
      </c>
      <c r="C1759" t="inlineStr">
        <is>
          <t>Föryngringsavverkning</t>
        </is>
      </c>
      <c r="D1759" s="1" t="n">
        <v>45092</v>
      </c>
      <c r="E1759" s="1" t="n">
        <v>46309</v>
      </c>
      <c r="F1759" t="inlineStr">
        <is>
          <t>UPPSALA LÄN</t>
        </is>
      </c>
      <c r="G1759" t="inlineStr">
        <is>
          <t>HEBY</t>
        </is>
      </c>
      <c r="I1759" t="n">
        <v>1.4</v>
      </c>
      <c r="J1759" t="n">
        <v>0</v>
      </c>
      <c r="K1759" t="n">
        <v>0</v>
      </c>
      <c r="L1759" t="n">
        <v>0</v>
      </c>
      <c r="M1759" t="n">
        <v>0</v>
      </c>
      <c r="N1759" t="n">
        <v>0</v>
      </c>
      <c r="O1759" t="n">
        <v>0</v>
      </c>
      <c r="P1759" t="n">
        <v>0</v>
      </c>
      <c r="Q1759" t="n">
        <v>0</v>
      </c>
      <c r="R1759" t="n">
        <v>0</v>
      </c>
      <c r="S1759" t="n">
        <v>0</v>
      </c>
      <c r="T1759" t="n">
        <v>0</v>
      </c>
      <c r="U1759" t="n">
        <v>0</v>
      </c>
      <c r="V1759" s="2" t="inlineStr"/>
    </row>
    <row r="1760" ht="15" customHeight="1">
      <c r="A1760" t="inlineStr">
        <is>
          <t>A 12156-2023</t>
        </is>
      </c>
      <c r="B1760" t="inlineStr">
        <is>
          <t>avverkningsanmälan</t>
        </is>
      </c>
      <c r="C1760" t="inlineStr">
        <is>
          <t>Föryngringsavverkning</t>
        </is>
      </c>
      <c r="D1760" s="1" t="n">
        <v>44998</v>
      </c>
      <c r="E1760" s="1" t="n">
        <v>46309</v>
      </c>
      <c r="F1760" t="inlineStr">
        <is>
          <t>UPPSALA LÄN</t>
        </is>
      </c>
      <c r="G1760" t="inlineStr">
        <is>
          <t>HÅBO</t>
        </is>
      </c>
      <c r="I1760" t="n">
        <v>0.5</v>
      </c>
      <c r="J1760" t="n">
        <v>0</v>
      </c>
      <c r="K1760" t="n">
        <v>0</v>
      </c>
      <c r="L1760" t="n">
        <v>0</v>
      </c>
      <c r="M1760" t="n">
        <v>0</v>
      </c>
      <c r="N1760" t="n">
        <v>0</v>
      </c>
      <c r="O1760" t="n">
        <v>0</v>
      </c>
      <c r="P1760" t="n">
        <v>0</v>
      </c>
      <c r="Q1760" t="n">
        <v>0</v>
      </c>
      <c r="R1760" t="n">
        <v>0</v>
      </c>
      <c r="S1760" t="n">
        <v>0</v>
      </c>
      <c r="T1760" t="n">
        <v>0</v>
      </c>
      <c r="U1760" t="n">
        <v>0</v>
      </c>
      <c r="V1760" s="2" t="inlineStr"/>
    </row>
    <row r="1761" ht="15" customHeight="1">
      <c r="A1761" t="inlineStr">
        <is>
          <t>A 7739-2026</t>
        </is>
      </c>
      <c r="B1761" t="inlineStr">
        <is>
          <t>avverkningsanmälan</t>
        </is>
      </c>
      <c r="C1761" t="inlineStr">
        <is>
          <t>Föryngringsavverkning</t>
        </is>
      </c>
      <c r="D1761" s="1" t="n">
        <v>46062</v>
      </c>
      <c r="E1761" s="1" t="n">
        <v>46309</v>
      </c>
      <c r="F1761" t="inlineStr">
        <is>
          <t>UPPSALA LÄN</t>
        </is>
      </c>
      <c r="G1761" t="inlineStr">
        <is>
          <t>UPPSALA</t>
        </is>
      </c>
      <c r="I1761" t="n">
        <v>7.2</v>
      </c>
      <c r="J1761" t="n">
        <v>0</v>
      </c>
      <c r="K1761" t="n">
        <v>0</v>
      </c>
      <c r="L1761" t="n">
        <v>0</v>
      </c>
      <c r="M1761" t="n">
        <v>0</v>
      </c>
      <c r="N1761" t="n">
        <v>0</v>
      </c>
      <c r="O1761" t="n">
        <v>0</v>
      </c>
      <c r="P1761" t="n">
        <v>0</v>
      </c>
      <c r="Q1761" t="n">
        <v>0</v>
      </c>
      <c r="R1761" t="n">
        <v>0</v>
      </c>
      <c r="S1761" t="n">
        <v>0</v>
      </c>
      <c r="T1761" t="n">
        <v>0</v>
      </c>
      <c r="U1761" t="n">
        <v>0</v>
      </c>
      <c r="V1761" s="2" t="inlineStr"/>
    </row>
    <row r="1762" ht="15" customHeight="1">
      <c r="A1762" t="inlineStr">
        <is>
          <t>A 53365-2024</t>
        </is>
      </c>
      <c r="B1762" t="inlineStr">
        <is>
          <t>avverkningsanmälan</t>
        </is>
      </c>
      <c r="C1762" t="inlineStr">
        <is>
          <t>Föryngringsavverkning</t>
        </is>
      </c>
      <c r="D1762" s="1" t="n">
        <v>45614</v>
      </c>
      <c r="E1762" s="1" t="n">
        <v>46309</v>
      </c>
      <c r="F1762" t="inlineStr">
        <is>
          <t>UPPSALA LÄN</t>
        </is>
      </c>
      <c r="G1762" t="inlineStr">
        <is>
          <t>UPPSALA</t>
        </is>
      </c>
      <c r="H1762" t="inlineStr">
        <is>
          <t>Allmännings- och besparingsskogar</t>
        </is>
      </c>
      <c r="I1762" t="n">
        <v>6.6</v>
      </c>
      <c r="J1762" t="n">
        <v>0</v>
      </c>
      <c r="K1762" t="n">
        <v>0</v>
      </c>
      <c r="L1762" t="n">
        <v>0</v>
      </c>
      <c r="M1762" t="n">
        <v>0</v>
      </c>
      <c r="N1762" t="n">
        <v>0</v>
      </c>
      <c r="O1762" t="n">
        <v>0</v>
      </c>
      <c r="P1762" t="n">
        <v>0</v>
      </c>
      <c r="Q1762" t="n">
        <v>0</v>
      </c>
      <c r="R1762" t="n">
        <v>0</v>
      </c>
      <c r="S1762" t="n">
        <v>0</v>
      </c>
      <c r="T1762" t="n">
        <v>0</v>
      </c>
      <c r="U1762" t="n">
        <v>0</v>
      </c>
      <c r="V1762" s="2" t="inlineStr"/>
    </row>
    <row r="1763" ht="15" customHeight="1">
      <c r="A1763" t="inlineStr">
        <is>
          <t>A 58661-2025</t>
        </is>
      </c>
      <c r="B1763" t="inlineStr">
        <is>
          <t>avverkningsanmälan</t>
        </is>
      </c>
      <c r="C1763" t="inlineStr">
        <is>
          <t>Föryngringsavverkning</t>
        </is>
      </c>
      <c r="D1763" s="1" t="n">
        <v>45986</v>
      </c>
      <c r="E1763" s="1" t="n">
        <v>46309</v>
      </c>
      <c r="F1763" t="inlineStr">
        <is>
          <t>UPPSALA LÄN</t>
        </is>
      </c>
      <c r="G1763" t="inlineStr">
        <is>
          <t>TIERP</t>
        </is>
      </c>
      <c r="I1763" t="n">
        <v>4.2</v>
      </c>
      <c r="J1763" t="n">
        <v>0</v>
      </c>
      <c r="K1763" t="n">
        <v>0</v>
      </c>
      <c r="L1763" t="n">
        <v>0</v>
      </c>
      <c r="M1763" t="n">
        <v>0</v>
      </c>
      <c r="N1763" t="n">
        <v>0</v>
      </c>
      <c r="O1763" t="n">
        <v>0</v>
      </c>
      <c r="P1763" t="n">
        <v>0</v>
      </c>
      <c r="Q1763" t="n">
        <v>0</v>
      </c>
      <c r="R1763" t="n">
        <v>0</v>
      </c>
      <c r="S1763" t="n">
        <v>0</v>
      </c>
      <c r="T1763" t="n">
        <v>0</v>
      </c>
      <c r="U1763" t="n">
        <v>0</v>
      </c>
      <c r="V1763" s="2" t="inlineStr"/>
    </row>
    <row r="1764" ht="15" customHeight="1">
      <c r="A1764" t="inlineStr">
        <is>
          <t>A 30891-2023</t>
        </is>
      </c>
      <c r="B1764" t="inlineStr">
        <is>
          <t>avverkningsanmälan</t>
        </is>
      </c>
      <c r="C1764" t="inlineStr">
        <is>
          <t>Föryngringsavverkning</t>
        </is>
      </c>
      <c r="D1764" s="1" t="n">
        <v>45113</v>
      </c>
      <c r="E1764" s="1" t="n">
        <v>46309</v>
      </c>
      <c r="F1764" t="inlineStr">
        <is>
          <t>UPPSALA LÄN</t>
        </is>
      </c>
      <c r="G1764" t="inlineStr">
        <is>
          <t>HEBY</t>
        </is>
      </c>
      <c r="H1764" t="inlineStr">
        <is>
          <t>Övriga Aktiebolag</t>
        </is>
      </c>
      <c r="I1764" t="n">
        <v>1.7</v>
      </c>
      <c r="J1764" t="n">
        <v>0</v>
      </c>
      <c r="K1764" t="n">
        <v>0</v>
      </c>
      <c r="L1764" t="n">
        <v>0</v>
      </c>
      <c r="M1764" t="n">
        <v>0</v>
      </c>
      <c r="N1764" t="n">
        <v>0</v>
      </c>
      <c r="O1764" t="n">
        <v>0</v>
      </c>
      <c r="P1764" t="n">
        <v>0</v>
      </c>
      <c r="Q1764" t="n">
        <v>0</v>
      </c>
      <c r="R1764" t="n">
        <v>0</v>
      </c>
      <c r="S1764" t="n">
        <v>0</v>
      </c>
      <c r="T1764" t="n">
        <v>0</v>
      </c>
      <c r="U1764" t="n">
        <v>0</v>
      </c>
      <c r="V1764" s="2" t="inlineStr"/>
    </row>
    <row r="1765" ht="15" customHeight="1">
      <c r="A1765" t="inlineStr">
        <is>
          <t>A 58399-2025</t>
        </is>
      </c>
      <c r="B1765" t="inlineStr">
        <is>
          <t>avverkningsanmälan</t>
        </is>
      </c>
      <c r="C1765" t="inlineStr">
        <is>
          <t>Föryngringsavverkning</t>
        </is>
      </c>
      <c r="D1765" s="1" t="n">
        <v>45985</v>
      </c>
      <c r="E1765" s="1" t="n">
        <v>46309</v>
      </c>
      <c r="F1765" t="inlineStr">
        <is>
          <t>UPPSALA LÄN</t>
        </is>
      </c>
      <c r="G1765" t="inlineStr">
        <is>
          <t>ÖSTHAMMAR</t>
        </is>
      </c>
      <c r="I1765" t="n">
        <v>2.6</v>
      </c>
      <c r="J1765" t="n">
        <v>0</v>
      </c>
      <c r="K1765" t="n">
        <v>0</v>
      </c>
      <c r="L1765" t="n">
        <v>0</v>
      </c>
      <c r="M1765" t="n">
        <v>0</v>
      </c>
      <c r="N1765" t="n">
        <v>0</v>
      </c>
      <c r="O1765" t="n">
        <v>0</v>
      </c>
      <c r="P1765" t="n">
        <v>0</v>
      </c>
      <c r="Q1765" t="n">
        <v>0</v>
      </c>
      <c r="R1765" t="n">
        <v>0</v>
      </c>
      <c r="S1765" t="n">
        <v>0</v>
      </c>
      <c r="T1765" t="n">
        <v>0</v>
      </c>
      <c r="U1765" t="n">
        <v>0</v>
      </c>
      <c r="V1765" s="2" t="inlineStr"/>
    </row>
    <row r="1766" ht="15" customHeight="1">
      <c r="A1766" t="inlineStr">
        <is>
          <t>A 57188-2025</t>
        </is>
      </c>
      <c r="B1766" t="inlineStr">
        <is>
          <t>avverkningsanmälan</t>
        </is>
      </c>
      <c r="C1766" t="inlineStr">
        <is>
          <t>Föryngringsavverkning</t>
        </is>
      </c>
      <c r="D1766" s="1" t="n">
        <v>45979</v>
      </c>
      <c r="E1766" s="1" t="n">
        <v>46309</v>
      </c>
      <c r="F1766" t="inlineStr">
        <is>
          <t>UPPSALA LÄN</t>
        </is>
      </c>
      <c r="G1766" t="inlineStr">
        <is>
          <t>ENKÖPING</t>
        </is>
      </c>
      <c r="I1766" t="n">
        <v>1.7</v>
      </c>
      <c r="J1766" t="n">
        <v>0</v>
      </c>
      <c r="K1766" t="n">
        <v>0</v>
      </c>
      <c r="L1766" t="n">
        <v>0</v>
      </c>
      <c r="M1766" t="n">
        <v>0</v>
      </c>
      <c r="N1766" t="n">
        <v>0</v>
      </c>
      <c r="O1766" t="n">
        <v>0</v>
      </c>
      <c r="P1766" t="n">
        <v>0</v>
      </c>
      <c r="Q1766" t="n">
        <v>0</v>
      </c>
      <c r="R1766" t="n">
        <v>0</v>
      </c>
      <c r="S1766" t="n">
        <v>0</v>
      </c>
      <c r="T1766" t="n">
        <v>0</v>
      </c>
      <c r="U1766" t="n">
        <v>0</v>
      </c>
      <c r="V1766" s="2" t="inlineStr"/>
    </row>
    <row r="1767" ht="15" customHeight="1">
      <c r="A1767" t="inlineStr">
        <is>
          <t>A 7865-2026</t>
        </is>
      </c>
      <c r="B1767" t="inlineStr">
        <is>
          <t>avverkningsanmälan</t>
        </is>
      </c>
      <c r="C1767" t="inlineStr">
        <is>
          <t>Föryngringsavverkning</t>
        </is>
      </c>
      <c r="D1767" s="1" t="n">
        <v>46062</v>
      </c>
      <c r="E1767" s="1" t="n">
        <v>46309</v>
      </c>
      <c r="F1767" t="inlineStr">
        <is>
          <t>UPPSALA LÄN</t>
        </is>
      </c>
      <c r="G1767" t="inlineStr">
        <is>
          <t>UPPSALA</t>
        </is>
      </c>
      <c r="H1767" t="inlineStr">
        <is>
          <t>Bergvik skog öst AB</t>
        </is>
      </c>
      <c r="I1767" t="n">
        <v>4.4</v>
      </c>
      <c r="J1767" t="n">
        <v>0</v>
      </c>
      <c r="K1767" t="n">
        <v>0</v>
      </c>
      <c r="L1767" t="n">
        <v>0</v>
      </c>
      <c r="M1767" t="n">
        <v>0</v>
      </c>
      <c r="N1767" t="n">
        <v>0</v>
      </c>
      <c r="O1767" t="n">
        <v>0</v>
      </c>
      <c r="P1767" t="n">
        <v>0</v>
      </c>
      <c r="Q1767" t="n">
        <v>0</v>
      </c>
      <c r="R1767" t="n">
        <v>0</v>
      </c>
      <c r="S1767" t="n">
        <v>0</v>
      </c>
      <c r="T1767" t="n">
        <v>0</v>
      </c>
      <c r="U1767" t="n">
        <v>0</v>
      </c>
      <c r="V1767" s="2" t="inlineStr"/>
    </row>
    <row r="1768" ht="15" customHeight="1">
      <c r="A1768" t="inlineStr">
        <is>
          <t>A 7866-2026</t>
        </is>
      </c>
      <c r="B1768" t="inlineStr">
        <is>
          <t>avverkningsanmälan</t>
        </is>
      </c>
      <c r="C1768" t="inlineStr">
        <is>
          <t>Föryngringsavverkning</t>
        </is>
      </c>
      <c r="D1768" s="1" t="n">
        <v>46062</v>
      </c>
      <c r="E1768" s="1" t="n">
        <v>46309</v>
      </c>
      <c r="F1768" t="inlineStr">
        <is>
          <t>UPPSALA LÄN</t>
        </is>
      </c>
      <c r="G1768" t="inlineStr">
        <is>
          <t>UPPSALA</t>
        </is>
      </c>
      <c r="H1768" t="inlineStr">
        <is>
          <t>Bergvik skog öst AB</t>
        </is>
      </c>
      <c r="I1768" t="n">
        <v>1.4</v>
      </c>
      <c r="J1768" t="n">
        <v>0</v>
      </c>
      <c r="K1768" t="n">
        <v>0</v>
      </c>
      <c r="L1768" t="n">
        <v>0</v>
      </c>
      <c r="M1768" t="n">
        <v>0</v>
      </c>
      <c r="N1768" t="n">
        <v>0</v>
      </c>
      <c r="O1768" t="n">
        <v>0</v>
      </c>
      <c r="P1768" t="n">
        <v>0</v>
      </c>
      <c r="Q1768" t="n">
        <v>0</v>
      </c>
      <c r="R1768" t="n">
        <v>0</v>
      </c>
      <c r="S1768" t="n">
        <v>0</v>
      </c>
      <c r="T1768" t="n">
        <v>0</v>
      </c>
      <c r="U1768" t="n">
        <v>0</v>
      </c>
      <c r="V1768" s="2" t="inlineStr"/>
    </row>
    <row r="1769" ht="15" customHeight="1">
      <c r="A1769" t="inlineStr">
        <is>
          <t>A 58193-2025</t>
        </is>
      </c>
      <c r="B1769" t="inlineStr">
        <is>
          <t>avverkningsanmälan</t>
        </is>
      </c>
      <c r="C1769" t="inlineStr">
        <is>
          <t>Föryngringsavverkning</t>
        </is>
      </c>
      <c r="D1769" s="1" t="n">
        <v>45983</v>
      </c>
      <c r="E1769" s="1" t="n">
        <v>46309</v>
      </c>
      <c r="F1769" t="inlineStr">
        <is>
          <t>UPPSALA LÄN</t>
        </is>
      </c>
      <c r="G1769" t="inlineStr">
        <is>
          <t>UPPSALA</t>
        </is>
      </c>
      <c r="I1769" t="n">
        <v>2.7</v>
      </c>
      <c r="J1769" t="n">
        <v>0</v>
      </c>
      <c r="K1769" t="n">
        <v>0</v>
      </c>
      <c r="L1769" t="n">
        <v>0</v>
      </c>
      <c r="M1769" t="n">
        <v>0</v>
      </c>
      <c r="N1769" t="n">
        <v>0</v>
      </c>
      <c r="O1769" t="n">
        <v>0</v>
      </c>
      <c r="P1769" t="n">
        <v>0</v>
      </c>
      <c r="Q1769" t="n">
        <v>0</v>
      </c>
      <c r="R1769" t="n">
        <v>0</v>
      </c>
      <c r="S1769" t="n">
        <v>0</v>
      </c>
      <c r="T1769" t="n">
        <v>0</v>
      </c>
      <c r="U1769" t="n">
        <v>0</v>
      </c>
      <c r="V1769" s="2" t="inlineStr"/>
    </row>
    <row r="1770" ht="15" customHeight="1">
      <c r="A1770" t="inlineStr">
        <is>
          <t>A 51733-2025</t>
        </is>
      </c>
      <c r="B1770" t="inlineStr">
        <is>
          <t>avverkningsanmälan</t>
        </is>
      </c>
      <c r="C1770" t="inlineStr">
        <is>
          <t>Föryngringsavverkning</t>
        </is>
      </c>
      <c r="D1770" s="1" t="n">
        <v>45951</v>
      </c>
      <c r="E1770" s="1" t="n">
        <v>46309</v>
      </c>
      <c r="F1770" t="inlineStr">
        <is>
          <t>UPPSALA LÄN</t>
        </is>
      </c>
      <c r="G1770" t="inlineStr">
        <is>
          <t>HEBY</t>
        </is>
      </c>
      <c r="H1770" t="inlineStr">
        <is>
          <t>Bergvik skog öst AB</t>
        </is>
      </c>
      <c r="I1770" t="n">
        <v>1.9</v>
      </c>
      <c r="J1770" t="n">
        <v>0</v>
      </c>
      <c r="K1770" t="n">
        <v>0</v>
      </c>
      <c r="L1770" t="n">
        <v>0</v>
      </c>
      <c r="M1770" t="n">
        <v>0</v>
      </c>
      <c r="N1770" t="n">
        <v>0</v>
      </c>
      <c r="O1770" t="n">
        <v>0</v>
      </c>
      <c r="P1770" t="n">
        <v>0</v>
      </c>
      <c r="Q1770" t="n">
        <v>0</v>
      </c>
      <c r="R1770" t="n">
        <v>0</v>
      </c>
      <c r="S1770" t="n">
        <v>0</v>
      </c>
      <c r="T1770" t="n">
        <v>0</v>
      </c>
      <c r="U1770" t="n">
        <v>0</v>
      </c>
      <c r="V1770" s="2" t="inlineStr"/>
    </row>
    <row r="1771" ht="15" customHeight="1">
      <c r="A1771" t="inlineStr">
        <is>
          <t>A 32744-2022</t>
        </is>
      </c>
      <c r="B1771" t="inlineStr">
        <is>
          <t>avverkningsanmälan</t>
        </is>
      </c>
      <c r="C1771" t="inlineStr">
        <is>
          <t>Föryngringsavverkning</t>
        </is>
      </c>
      <c r="D1771" s="1" t="n">
        <v>44783</v>
      </c>
      <c r="E1771" s="1" t="n">
        <v>46309</v>
      </c>
      <c r="F1771" t="inlineStr">
        <is>
          <t>UPPSALA LÄN</t>
        </is>
      </c>
      <c r="G1771" t="inlineStr">
        <is>
          <t>ÖSTHAMMAR</t>
        </is>
      </c>
      <c r="H1771" t="inlineStr">
        <is>
          <t>Bergvik skog öst AB</t>
        </is>
      </c>
      <c r="I1771" t="n">
        <v>3</v>
      </c>
      <c r="J1771" t="n">
        <v>0</v>
      </c>
      <c r="K1771" t="n">
        <v>0</v>
      </c>
      <c r="L1771" t="n">
        <v>0</v>
      </c>
      <c r="M1771" t="n">
        <v>0</v>
      </c>
      <c r="N1771" t="n">
        <v>0</v>
      </c>
      <c r="O1771" t="n">
        <v>0</v>
      </c>
      <c r="P1771" t="n">
        <v>0</v>
      </c>
      <c r="Q1771" t="n">
        <v>0</v>
      </c>
      <c r="R1771" t="n">
        <v>0</v>
      </c>
      <c r="S1771" t="n">
        <v>0</v>
      </c>
      <c r="T1771" t="n">
        <v>0</v>
      </c>
      <c r="U1771" t="n">
        <v>0</v>
      </c>
      <c r="V1771" s="2" t="inlineStr"/>
    </row>
    <row r="1772" ht="15" customHeight="1">
      <c r="A1772" t="inlineStr">
        <is>
          <t>A 44774-2024</t>
        </is>
      </c>
      <c r="B1772" t="inlineStr">
        <is>
          <t>avverkningsanmälan</t>
        </is>
      </c>
      <c r="C1772" t="inlineStr">
        <is>
          <t>Föryngringsavverkning</t>
        </is>
      </c>
      <c r="D1772" s="1" t="n">
        <v>45574</v>
      </c>
      <c r="E1772" s="1" t="n">
        <v>46309</v>
      </c>
      <c r="F1772" t="inlineStr">
        <is>
          <t>UPPSALA LÄN</t>
        </is>
      </c>
      <c r="G1772" t="inlineStr">
        <is>
          <t>TIERP</t>
        </is>
      </c>
      <c r="I1772" t="n">
        <v>1.3</v>
      </c>
      <c r="J1772" t="n">
        <v>0</v>
      </c>
      <c r="K1772" t="n">
        <v>0</v>
      </c>
      <c r="L1772" t="n">
        <v>0</v>
      </c>
      <c r="M1772" t="n">
        <v>0</v>
      </c>
      <c r="N1772" t="n">
        <v>0</v>
      </c>
      <c r="O1772" t="n">
        <v>0</v>
      </c>
      <c r="P1772" t="n">
        <v>0</v>
      </c>
      <c r="Q1772" t="n">
        <v>0</v>
      </c>
      <c r="R1772" t="n">
        <v>0</v>
      </c>
      <c r="S1772" t="n">
        <v>0</v>
      </c>
      <c r="T1772" t="n">
        <v>0</v>
      </c>
      <c r="U1772" t="n">
        <v>0</v>
      </c>
      <c r="V1772" s="2" t="inlineStr"/>
    </row>
    <row r="1773" ht="15" customHeight="1">
      <c r="A1773" t="inlineStr">
        <is>
          <t>A 7867-2026</t>
        </is>
      </c>
      <c r="B1773" t="inlineStr">
        <is>
          <t>avverkningsanmälan</t>
        </is>
      </c>
      <c r="C1773" t="inlineStr">
        <is>
          <t>Föryngringsavverkning</t>
        </is>
      </c>
      <c r="D1773" s="1" t="n">
        <v>46062</v>
      </c>
      <c r="E1773" s="1" t="n">
        <v>46309</v>
      </c>
      <c r="F1773" t="inlineStr">
        <is>
          <t>UPPSALA LÄN</t>
        </is>
      </c>
      <c r="G1773" t="inlineStr">
        <is>
          <t>UPPSALA</t>
        </is>
      </c>
      <c r="H1773" t="inlineStr">
        <is>
          <t>Bergvik skog öst AB</t>
        </is>
      </c>
      <c r="I1773" t="n">
        <v>0.3</v>
      </c>
      <c r="J1773" t="n">
        <v>0</v>
      </c>
      <c r="K1773" t="n">
        <v>0</v>
      </c>
      <c r="L1773" t="n">
        <v>0</v>
      </c>
      <c r="M1773" t="n">
        <v>0</v>
      </c>
      <c r="N1773" t="n">
        <v>0</v>
      </c>
      <c r="O1773" t="n">
        <v>0</v>
      </c>
      <c r="P1773" t="n">
        <v>0</v>
      </c>
      <c r="Q1773" t="n">
        <v>0</v>
      </c>
      <c r="R1773" t="n">
        <v>0</v>
      </c>
      <c r="S1773" t="n">
        <v>0</v>
      </c>
      <c r="T1773" t="n">
        <v>0</v>
      </c>
      <c r="U1773" t="n">
        <v>0</v>
      </c>
      <c r="V1773" s="2" t="inlineStr"/>
    </row>
    <row r="1774" ht="15" customHeight="1">
      <c r="A1774" t="inlineStr">
        <is>
          <t>A 53090-2025</t>
        </is>
      </c>
      <c r="B1774" t="inlineStr">
        <is>
          <t>avverkningsanmälan</t>
        </is>
      </c>
      <c r="C1774" t="inlineStr">
        <is>
          <t>Föryngringsavverkning</t>
        </is>
      </c>
      <c r="D1774" s="1" t="n">
        <v>45958</v>
      </c>
      <c r="E1774" s="1" t="n">
        <v>46309</v>
      </c>
      <c r="F1774" t="inlineStr">
        <is>
          <t>UPPSALA LÄN</t>
        </is>
      </c>
      <c r="G1774" t="inlineStr">
        <is>
          <t>TIERP</t>
        </is>
      </c>
      <c r="H1774" t="inlineStr">
        <is>
          <t>Bergvik skog öst AB</t>
        </is>
      </c>
      <c r="I1774" t="n">
        <v>0.4</v>
      </c>
      <c r="J1774" t="n">
        <v>0</v>
      </c>
      <c r="K1774" t="n">
        <v>0</v>
      </c>
      <c r="L1774" t="n">
        <v>0</v>
      </c>
      <c r="M1774" t="n">
        <v>0</v>
      </c>
      <c r="N1774" t="n">
        <v>0</v>
      </c>
      <c r="O1774" t="n">
        <v>0</v>
      </c>
      <c r="P1774" t="n">
        <v>0</v>
      </c>
      <c r="Q1774" t="n">
        <v>0</v>
      </c>
      <c r="R1774" t="n">
        <v>0</v>
      </c>
      <c r="S1774" t="n">
        <v>0</v>
      </c>
      <c r="T1774" t="n">
        <v>0</v>
      </c>
      <c r="U1774" t="n">
        <v>0</v>
      </c>
      <c r="V1774" s="2" t="inlineStr"/>
    </row>
    <row r="1775" ht="15" customHeight="1">
      <c r="A1775" t="inlineStr">
        <is>
          <t>A 53784-2025</t>
        </is>
      </c>
      <c r="B1775" t="inlineStr">
        <is>
          <t>avverkningsanmälan</t>
        </is>
      </c>
      <c r="C1775" t="inlineStr">
        <is>
          <t>Föryngringsavverkning</t>
        </is>
      </c>
      <c r="D1775" s="1" t="n">
        <v>45960</v>
      </c>
      <c r="E1775" s="1" t="n">
        <v>46309</v>
      </c>
      <c r="F1775" t="inlineStr">
        <is>
          <t>UPPSALA LÄN</t>
        </is>
      </c>
      <c r="G1775" t="inlineStr">
        <is>
          <t>TIERP</t>
        </is>
      </c>
      <c r="H1775" t="inlineStr">
        <is>
          <t>Bergvik skog öst AB</t>
        </is>
      </c>
      <c r="I1775" t="n">
        <v>2.1</v>
      </c>
      <c r="J1775" t="n">
        <v>0</v>
      </c>
      <c r="K1775" t="n">
        <v>0</v>
      </c>
      <c r="L1775" t="n">
        <v>0</v>
      </c>
      <c r="M1775" t="n">
        <v>0</v>
      </c>
      <c r="N1775" t="n">
        <v>0</v>
      </c>
      <c r="O1775" t="n">
        <v>0</v>
      </c>
      <c r="P1775" t="n">
        <v>0</v>
      </c>
      <c r="Q1775" t="n">
        <v>0</v>
      </c>
      <c r="R1775" t="n">
        <v>0</v>
      </c>
      <c r="S1775" t="n">
        <v>0</v>
      </c>
      <c r="T1775" t="n">
        <v>0</v>
      </c>
      <c r="U1775" t="n">
        <v>0</v>
      </c>
      <c r="V1775" s="2" t="inlineStr"/>
    </row>
    <row r="1776" ht="15" customHeight="1">
      <c r="A1776" t="inlineStr">
        <is>
          <t>A 53798-2025</t>
        </is>
      </c>
      <c r="B1776" t="inlineStr">
        <is>
          <t>avverkningsanmälan</t>
        </is>
      </c>
      <c r="C1776" t="inlineStr">
        <is>
          <t>Föryngringsavverkning</t>
        </is>
      </c>
      <c r="D1776" s="1" t="n">
        <v>45960</v>
      </c>
      <c r="E1776" s="1" t="n">
        <v>46309</v>
      </c>
      <c r="F1776" t="inlineStr">
        <is>
          <t>UPPSALA LÄN</t>
        </is>
      </c>
      <c r="G1776" t="inlineStr">
        <is>
          <t>TIERP</t>
        </is>
      </c>
      <c r="H1776" t="inlineStr">
        <is>
          <t>Bergvik skog öst AB</t>
        </is>
      </c>
      <c r="I1776" t="n">
        <v>1.8</v>
      </c>
      <c r="J1776" t="n">
        <v>0</v>
      </c>
      <c r="K1776" t="n">
        <v>0</v>
      </c>
      <c r="L1776" t="n">
        <v>0</v>
      </c>
      <c r="M1776" t="n">
        <v>0</v>
      </c>
      <c r="N1776" t="n">
        <v>0</v>
      </c>
      <c r="O1776" t="n">
        <v>0</v>
      </c>
      <c r="P1776" t="n">
        <v>0</v>
      </c>
      <c r="Q1776" t="n">
        <v>0</v>
      </c>
      <c r="R1776" t="n">
        <v>0</v>
      </c>
      <c r="S1776" t="n">
        <v>0</v>
      </c>
      <c r="T1776" t="n">
        <v>0</v>
      </c>
      <c r="U1776" t="n">
        <v>0</v>
      </c>
      <c r="V1776" s="2" t="inlineStr"/>
    </row>
    <row r="1777" ht="15" customHeight="1">
      <c r="A1777" t="inlineStr">
        <is>
          <t>A 8309-2026</t>
        </is>
      </c>
      <c r="B1777" t="inlineStr">
        <is>
          <t>avverkningsanmälan</t>
        </is>
      </c>
      <c r="C1777" t="inlineStr">
        <is>
          <t>Föryngringsavverkning</t>
        </is>
      </c>
      <c r="D1777" s="1" t="n">
        <v>46064</v>
      </c>
      <c r="E1777" s="1" t="n">
        <v>46309</v>
      </c>
      <c r="F1777" t="inlineStr">
        <is>
          <t>UPPSALA LÄN</t>
        </is>
      </c>
      <c r="G1777" t="inlineStr">
        <is>
          <t>ENKÖPING</t>
        </is>
      </c>
      <c r="I1777" t="n">
        <v>1.9</v>
      </c>
      <c r="J1777" t="n">
        <v>0</v>
      </c>
      <c r="K1777" t="n">
        <v>0</v>
      </c>
      <c r="L1777" t="n">
        <v>0</v>
      </c>
      <c r="M1777" t="n">
        <v>0</v>
      </c>
      <c r="N1777" t="n">
        <v>0</v>
      </c>
      <c r="O1777" t="n">
        <v>0</v>
      </c>
      <c r="P1777" t="n">
        <v>0</v>
      </c>
      <c r="Q1777" t="n">
        <v>0</v>
      </c>
      <c r="R1777" t="n">
        <v>0</v>
      </c>
      <c r="S1777" t="n">
        <v>0</v>
      </c>
      <c r="T1777" t="n">
        <v>0</v>
      </c>
      <c r="U1777" t="n">
        <v>0</v>
      </c>
      <c r="V1777" s="2" t="inlineStr"/>
    </row>
    <row r="1778" ht="15" customHeight="1">
      <c r="A1778" t="inlineStr">
        <is>
          <t>A 59207-2025</t>
        </is>
      </c>
      <c r="B1778" t="inlineStr">
        <is>
          <t>avverkningsanmälan</t>
        </is>
      </c>
      <c r="C1778" t="inlineStr">
        <is>
          <t>Föryngringsavverkning</t>
        </is>
      </c>
      <c r="D1778" s="1" t="n">
        <v>45988</v>
      </c>
      <c r="E1778" s="1" t="n">
        <v>46309</v>
      </c>
      <c r="F1778" t="inlineStr">
        <is>
          <t>UPPSALA LÄN</t>
        </is>
      </c>
      <c r="G1778" t="inlineStr">
        <is>
          <t>UPPSALA</t>
        </is>
      </c>
      <c r="H1778" t="inlineStr">
        <is>
          <t>Kyrkan</t>
        </is>
      </c>
      <c r="I1778" t="n">
        <v>1.5</v>
      </c>
      <c r="J1778" t="n">
        <v>0</v>
      </c>
      <c r="K1778" t="n">
        <v>0</v>
      </c>
      <c r="L1778" t="n">
        <v>0</v>
      </c>
      <c r="M1778" t="n">
        <v>0</v>
      </c>
      <c r="N1778" t="n">
        <v>0</v>
      </c>
      <c r="O1778" t="n">
        <v>0</v>
      </c>
      <c r="P1778" t="n">
        <v>0</v>
      </c>
      <c r="Q1778" t="n">
        <v>0</v>
      </c>
      <c r="R1778" t="n">
        <v>0</v>
      </c>
      <c r="S1778" t="n">
        <v>0</v>
      </c>
      <c r="T1778" t="n">
        <v>0</v>
      </c>
      <c r="U1778" t="n">
        <v>0</v>
      </c>
      <c r="V1778" s="2" t="inlineStr"/>
    </row>
    <row r="1779" ht="15" customHeight="1">
      <c r="A1779" t="inlineStr">
        <is>
          <t>A 40435-2025</t>
        </is>
      </c>
      <c r="B1779" t="inlineStr">
        <is>
          <t>avverkningsanmälan</t>
        </is>
      </c>
      <c r="C1779" t="inlineStr">
        <is>
          <t>Föryngringsavverkning</t>
        </is>
      </c>
      <c r="D1779" s="1" t="n">
        <v>45895</v>
      </c>
      <c r="E1779" s="1" t="n">
        <v>46309</v>
      </c>
      <c r="F1779" t="inlineStr">
        <is>
          <t>UPPSALA LÄN</t>
        </is>
      </c>
      <c r="G1779" t="inlineStr">
        <is>
          <t>HEBY</t>
        </is>
      </c>
      <c r="H1779" t="inlineStr">
        <is>
          <t>Bergvik skog öst AB</t>
        </is>
      </c>
      <c r="I1779" t="n">
        <v>1.9</v>
      </c>
      <c r="J1779" t="n">
        <v>0</v>
      </c>
      <c r="K1779" t="n">
        <v>0</v>
      </c>
      <c r="L1779" t="n">
        <v>0</v>
      </c>
      <c r="M1779" t="n">
        <v>0</v>
      </c>
      <c r="N1779" t="n">
        <v>0</v>
      </c>
      <c r="O1779" t="n">
        <v>0</v>
      </c>
      <c r="P1779" t="n">
        <v>0</v>
      </c>
      <c r="Q1779" t="n">
        <v>0</v>
      </c>
      <c r="R1779" t="n">
        <v>0</v>
      </c>
      <c r="S1779" t="n">
        <v>0</v>
      </c>
      <c r="T1779" t="n">
        <v>0</v>
      </c>
      <c r="U1779" t="n">
        <v>0</v>
      </c>
      <c r="V1779" s="2" t="inlineStr"/>
    </row>
    <row r="1780" ht="15" customHeight="1">
      <c r="A1780" t="inlineStr">
        <is>
          <t>A 8291-2026</t>
        </is>
      </c>
      <c r="B1780" t="inlineStr">
        <is>
          <t>avverkningsanmälan</t>
        </is>
      </c>
      <c r="C1780" t="inlineStr">
        <is>
          <t>Föryngringsavverkning</t>
        </is>
      </c>
      <c r="D1780" s="1" t="n">
        <v>46064</v>
      </c>
      <c r="E1780" s="1" t="n">
        <v>46309</v>
      </c>
      <c r="F1780" t="inlineStr">
        <is>
          <t>UPPSALA LÄN</t>
        </is>
      </c>
      <c r="G1780" t="inlineStr">
        <is>
          <t>ÖSTHAMMAR</t>
        </is>
      </c>
      <c r="I1780" t="n">
        <v>4.5</v>
      </c>
      <c r="J1780" t="n">
        <v>0</v>
      </c>
      <c r="K1780" t="n">
        <v>0</v>
      </c>
      <c r="L1780" t="n">
        <v>0</v>
      </c>
      <c r="M1780" t="n">
        <v>0</v>
      </c>
      <c r="N1780" t="n">
        <v>0</v>
      </c>
      <c r="O1780" t="n">
        <v>0</v>
      </c>
      <c r="P1780" t="n">
        <v>0</v>
      </c>
      <c r="Q1780" t="n">
        <v>0</v>
      </c>
      <c r="R1780" t="n">
        <v>0</v>
      </c>
      <c r="S1780" t="n">
        <v>0</v>
      </c>
      <c r="T1780" t="n">
        <v>0</v>
      </c>
      <c r="U1780" t="n">
        <v>0</v>
      </c>
      <c r="V1780" s="2" t="inlineStr"/>
    </row>
    <row r="1781" ht="15" customHeight="1">
      <c r="A1781" t="inlineStr">
        <is>
          <t>A 4487-2023</t>
        </is>
      </c>
      <c r="B1781" t="inlineStr">
        <is>
          <t>avverkningsanmälan</t>
        </is>
      </c>
      <c r="C1781" t="inlineStr">
        <is>
          <t>Föryngringsavverkning</t>
        </is>
      </c>
      <c r="D1781" s="1" t="n">
        <v>44956</v>
      </c>
      <c r="E1781" s="1" t="n">
        <v>46309</v>
      </c>
      <c r="F1781" t="inlineStr">
        <is>
          <t>UPPSALA LÄN</t>
        </is>
      </c>
      <c r="G1781" t="inlineStr">
        <is>
          <t>HEBY</t>
        </is>
      </c>
      <c r="H1781" t="inlineStr">
        <is>
          <t>Kyrkan</t>
        </is>
      </c>
      <c r="I1781" t="n">
        <v>0.6</v>
      </c>
      <c r="J1781" t="n">
        <v>0</v>
      </c>
      <c r="K1781" t="n">
        <v>0</v>
      </c>
      <c r="L1781" t="n">
        <v>0</v>
      </c>
      <c r="M1781" t="n">
        <v>0</v>
      </c>
      <c r="N1781" t="n">
        <v>0</v>
      </c>
      <c r="O1781" t="n">
        <v>0</v>
      </c>
      <c r="P1781" t="n">
        <v>0</v>
      </c>
      <c r="Q1781" t="n">
        <v>0</v>
      </c>
      <c r="R1781" t="n">
        <v>0</v>
      </c>
      <c r="S1781" t="n">
        <v>0</v>
      </c>
      <c r="T1781" t="n">
        <v>0</v>
      </c>
      <c r="U1781" t="n">
        <v>0</v>
      </c>
      <c r="V1781" s="2" t="inlineStr"/>
    </row>
    <row r="1782" ht="15" customHeight="1">
      <c r="A1782" t="inlineStr">
        <is>
          <t>A 8269-2026</t>
        </is>
      </c>
      <c r="B1782" t="inlineStr">
        <is>
          <t>avverkningsanmälan</t>
        </is>
      </c>
      <c r="C1782" t="inlineStr">
        <is>
          <t>Föryngringsavverkning</t>
        </is>
      </c>
      <c r="D1782" s="1" t="n">
        <v>46064</v>
      </c>
      <c r="E1782" s="1" t="n">
        <v>46309</v>
      </c>
      <c r="F1782" t="inlineStr">
        <is>
          <t>UPPSALA LÄN</t>
        </is>
      </c>
      <c r="G1782" t="inlineStr">
        <is>
          <t>ÖSTHAMMAR</t>
        </is>
      </c>
      <c r="I1782" t="n">
        <v>2.6</v>
      </c>
      <c r="J1782" t="n">
        <v>0</v>
      </c>
      <c r="K1782" t="n">
        <v>0</v>
      </c>
      <c r="L1782" t="n">
        <v>0</v>
      </c>
      <c r="M1782" t="n">
        <v>0</v>
      </c>
      <c r="N1782" t="n">
        <v>0</v>
      </c>
      <c r="O1782" t="n">
        <v>0</v>
      </c>
      <c r="P1782" t="n">
        <v>0</v>
      </c>
      <c r="Q1782" t="n">
        <v>0</v>
      </c>
      <c r="R1782" t="n">
        <v>0</v>
      </c>
      <c r="S1782" t="n">
        <v>0</v>
      </c>
      <c r="T1782" t="n">
        <v>0</v>
      </c>
      <c r="U1782" t="n">
        <v>0</v>
      </c>
      <c r="V1782" s="2" t="inlineStr"/>
    </row>
    <row r="1783" ht="15" customHeight="1">
      <c r="A1783" t="inlineStr">
        <is>
          <t>A 58842-2025</t>
        </is>
      </c>
      <c r="B1783" t="inlineStr">
        <is>
          <t>avverkningsanmälan</t>
        </is>
      </c>
      <c r="C1783" t="inlineStr">
        <is>
          <t>Föryngringsavverkning</t>
        </is>
      </c>
      <c r="D1783" s="1" t="n">
        <v>45987</v>
      </c>
      <c r="E1783" s="1" t="n">
        <v>46309</v>
      </c>
      <c r="F1783" t="inlineStr">
        <is>
          <t>UPPSALA LÄN</t>
        </is>
      </c>
      <c r="G1783" t="inlineStr">
        <is>
          <t>TIERP</t>
        </is>
      </c>
      <c r="I1783" t="n">
        <v>5.6</v>
      </c>
      <c r="J1783" t="n">
        <v>0</v>
      </c>
      <c r="K1783" t="n">
        <v>0</v>
      </c>
      <c r="L1783" t="n">
        <v>0</v>
      </c>
      <c r="M1783" t="n">
        <v>0</v>
      </c>
      <c r="N1783" t="n">
        <v>0</v>
      </c>
      <c r="O1783" t="n">
        <v>0</v>
      </c>
      <c r="P1783" t="n">
        <v>0</v>
      </c>
      <c r="Q1783" t="n">
        <v>0</v>
      </c>
      <c r="R1783" t="n">
        <v>0</v>
      </c>
      <c r="S1783" t="n">
        <v>0</v>
      </c>
      <c r="T1783" t="n">
        <v>0</v>
      </c>
      <c r="U1783" t="n">
        <v>0</v>
      </c>
      <c r="V1783" s="2" t="inlineStr"/>
    </row>
    <row r="1784" ht="15" customHeight="1">
      <c r="A1784" t="inlineStr">
        <is>
          <t>A 8364-2026</t>
        </is>
      </c>
      <c r="B1784" t="inlineStr">
        <is>
          <t>avverkningsanmälan</t>
        </is>
      </c>
      <c r="C1784" t="inlineStr">
        <is>
          <t>Avverkning för annat ändamål</t>
        </is>
      </c>
      <c r="D1784" s="1" t="n">
        <v>46064</v>
      </c>
      <c r="E1784" s="1" t="n">
        <v>46309</v>
      </c>
      <c r="F1784" t="inlineStr">
        <is>
          <t>UPPSALA LÄN</t>
        </is>
      </c>
      <c r="G1784" t="inlineStr">
        <is>
          <t>UPPSALA</t>
        </is>
      </c>
      <c r="I1784" t="n">
        <v>0.7</v>
      </c>
      <c r="J1784" t="n">
        <v>0</v>
      </c>
      <c r="K1784" t="n">
        <v>0</v>
      </c>
      <c r="L1784" t="n">
        <v>0</v>
      </c>
      <c r="M1784" t="n">
        <v>0</v>
      </c>
      <c r="N1784" t="n">
        <v>0</v>
      </c>
      <c r="O1784" t="n">
        <v>0</v>
      </c>
      <c r="P1784" t="n">
        <v>0</v>
      </c>
      <c r="Q1784" t="n">
        <v>0</v>
      </c>
      <c r="R1784" t="n">
        <v>0</v>
      </c>
      <c r="S1784" t="n">
        <v>0</v>
      </c>
      <c r="T1784" t="n">
        <v>0</v>
      </c>
      <c r="U1784" t="n">
        <v>0</v>
      </c>
      <c r="V1784" s="2" t="inlineStr"/>
    </row>
    <row r="1785" ht="15" customHeight="1">
      <c r="A1785" t="inlineStr">
        <is>
          <t>A 59779-2025</t>
        </is>
      </c>
      <c r="B1785" t="inlineStr">
        <is>
          <t>avverkningsanmälan</t>
        </is>
      </c>
      <c r="C1785" t="inlineStr">
        <is>
          <t>Föryngringsavverkning</t>
        </is>
      </c>
      <c r="D1785" s="1" t="n">
        <v>45992</v>
      </c>
      <c r="E1785" s="1" t="n">
        <v>46309</v>
      </c>
      <c r="F1785" t="inlineStr">
        <is>
          <t>UPPSALA LÄN</t>
        </is>
      </c>
      <c r="G1785" t="inlineStr">
        <is>
          <t>UPPSALA</t>
        </is>
      </c>
      <c r="I1785" t="n">
        <v>1.4</v>
      </c>
      <c r="J1785" t="n">
        <v>0</v>
      </c>
      <c r="K1785" t="n">
        <v>0</v>
      </c>
      <c r="L1785" t="n">
        <v>0</v>
      </c>
      <c r="M1785" t="n">
        <v>0</v>
      </c>
      <c r="N1785" t="n">
        <v>0</v>
      </c>
      <c r="O1785" t="n">
        <v>0</v>
      </c>
      <c r="P1785" t="n">
        <v>0</v>
      </c>
      <c r="Q1785" t="n">
        <v>0</v>
      </c>
      <c r="R1785" t="n">
        <v>0</v>
      </c>
      <c r="S1785" t="n">
        <v>0</v>
      </c>
      <c r="T1785" t="n">
        <v>0</v>
      </c>
      <c r="U1785" t="n">
        <v>0</v>
      </c>
      <c r="V1785" s="2" t="inlineStr"/>
    </row>
    <row r="1786" ht="15" customHeight="1">
      <c r="A1786" t="inlineStr">
        <is>
          <t>A 59688-2025</t>
        </is>
      </c>
      <c r="B1786" t="inlineStr">
        <is>
          <t>avverkningsanmälan</t>
        </is>
      </c>
      <c r="C1786" t="inlineStr">
        <is>
          <t>Föryngringsavverkning</t>
        </is>
      </c>
      <c r="D1786" s="1" t="n">
        <v>45992</v>
      </c>
      <c r="E1786" s="1" t="n">
        <v>46309</v>
      </c>
      <c r="F1786" t="inlineStr">
        <is>
          <t>UPPSALA LÄN</t>
        </is>
      </c>
      <c r="G1786" t="inlineStr">
        <is>
          <t>UPPSALA</t>
        </is>
      </c>
      <c r="I1786" t="n">
        <v>2.8</v>
      </c>
      <c r="J1786" t="n">
        <v>0</v>
      </c>
      <c r="K1786" t="n">
        <v>0</v>
      </c>
      <c r="L1786" t="n">
        <v>0</v>
      </c>
      <c r="M1786" t="n">
        <v>0</v>
      </c>
      <c r="N1786" t="n">
        <v>0</v>
      </c>
      <c r="O1786" t="n">
        <v>0</v>
      </c>
      <c r="P1786" t="n">
        <v>0</v>
      </c>
      <c r="Q1786" t="n">
        <v>0</v>
      </c>
      <c r="R1786" t="n">
        <v>0</v>
      </c>
      <c r="S1786" t="n">
        <v>0</v>
      </c>
      <c r="T1786" t="n">
        <v>0</v>
      </c>
      <c r="U1786" t="n">
        <v>0</v>
      </c>
      <c r="V1786" s="2" t="inlineStr"/>
    </row>
    <row r="1787" ht="15" customHeight="1">
      <c r="A1787" t="inlineStr">
        <is>
          <t>A 8003-2026</t>
        </is>
      </c>
      <c r="B1787" t="inlineStr">
        <is>
          <t>avverkningsanmälan</t>
        </is>
      </c>
      <c r="C1787" t="inlineStr">
        <is>
          <t>Föryngringsavverkning</t>
        </is>
      </c>
      <c r="D1787" s="1" t="n">
        <v>46063</v>
      </c>
      <c r="E1787" s="1" t="n">
        <v>46309</v>
      </c>
      <c r="F1787" t="inlineStr">
        <is>
          <t>UPPSALA LÄN</t>
        </is>
      </c>
      <c r="G1787" t="inlineStr">
        <is>
          <t>HEBY</t>
        </is>
      </c>
      <c r="I1787" t="n">
        <v>5.5</v>
      </c>
      <c r="J1787" t="n">
        <v>0</v>
      </c>
      <c r="K1787" t="n">
        <v>0</v>
      </c>
      <c r="L1787" t="n">
        <v>0</v>
      </c>
      <c r="M1787" t="n">
        <v>0</v>
      </c>
      <c r="N1787" t="n">
        <v>0</v>
      </c>
      <c r="O1787" t="n">
        <v>0</v>
      </c>
      <c r="P1787" t="n">
        <v>0</v>
      </c>
      <c r="Q1787" t="n">
        <v>0</v>
      </c>
      <c r="R1787" t="n">
        <v>0</v>
      </c>
      <c r="S1787" t="n">
        <v>0</v>
      </c>
      <c r="T1787" t="n">
        <v>0</v>
      </c>
      <c r="U1787" t="n">
        <v>0</v>
      </c>
      <c r="V1787" s="2" t="inlineStr"/>
    </row>
    <row r="1788" ht="15" customHeight="1">
      <c r="A1788" t="inlineStr">
        <is>
          <t>A 5570-2023</t>
        </is>
      </c>
      <c r="B1788" t="inlineStr">
        <is>
          <t>avverkningsanmälan</t>
        </is>
      </c>
      <c r="C1788" t="inlineStr">
        <is>
          <t>Föryngringsavverkning</t>
        </is>
      </c>
      <c r="D1788" s="1" t="n">
        <v>44960</v>
      </c>
      <c r="E1788" s="1" t="n">
        <v>46309</v>
      </c>
      <c r="F1788" t="inlineStr">
        <is>
          <t>UPPSALA LÄN</t>
        </is>
      </c>
      <c r="G1788" t="inlineStr">
        <is>
          <t>HEBY</t>
        </is>
      </c>
      <c r="I1788" t="n">
        <v>1</v>
      </c>
      <c r="J1788" t="n">
        <v>0</v>
      </c>
      <c r="K1788" t="n">
        <v>0</v>
      </c>
      <c r="L1788" t="n">
        <v>0</v>
      </c>
      <c r="M1788" t="n">
        <v>0</v>
      </c>
      <c r="N1788" t="n">
        <v>0</v>
      </c>
      <c r="O1788" t="n">
        <v>0</v>
      </c>
      <c r="P1788" t="n">
        <v>0</v>
      </c>
      <c r="Q1788" t="n">
        <v>0</v>
      </c>
      <c r="R1788" t="n">
        <v>0</v>
      </c>
      <c r="S1788" t="n">
        <v>0</v>
      </c>
      <c r="T1788" t="n">
        <v>0</v>
      </c>
      <c r="U1788" t="n">
        <v>0</v>
      </c>
      <c r="V1788" s="2" t="inlineStr"/>
    </row>
    <row r="1789" ht="15" customHeight="1">
      <c r="A1789" t="inlineStr">
        <is>
          <t>A 18443-2023</t>
        </is>
      </c>
      <c r="B1789" t="inlineStr">
        <is>
          <t>avverkningsanmälan</t>
        </is>
      </c>
      <c r="C1789" t="inlineStr">
        <is>
          <t>Föryngringsavverkning</t>
        </is>
      </c>
      <c r="D1789" s="1" t="n">
        <v>45042</v>
      </c>
      <c r="E1789" s="1" t="n">
        <v>46309</v>
      </c>
      <c r="F1789" t="inlineStr">
        <is>
          <t>UPPSALA LÄN</t>
        </is>
      </c>
      <c r="G1789" t="inlineStr">
        <is>
          <t>UPPSALA</t>
        </is>
      </c>
      <c r="I1789" t="n">
        <v>0.4</v>
      </c>
      <c r="J1789" t="n">
        <v>0</v>
      </c>
      <c r="K1789" t="n">
        <v>0</v>
      </c>
      <c r="L1789" t="n">
        <v>0</v>
      </c>
      <c r="M1789" t="n">
        <v>0</v>
      </c>
      <c r="N1789" t="n">
        <v>0</v>
      </c>
      <c r="O1789" t="n">
        <v>0</v>
      </c>
      <c r="P1789" t="n">
        <v>0</v>
      </c>
      <c r="Q1789" t="n">
        <v>0</v>
      </c>
      <c r="R1789" t="n">
        <v>0</v>
      </c>
      <c r="S1789" t="n">
        <v>0</v>
      </c>
      <c r="T1789" t="n">
        <v>0</v>
      </c>
      <c r="U1789" t="n">
        <v>0</v>
      </c>
      <c r="V1789" s="2" t="inlineStr"/>
    </row>
    <row r="1790" ht="15" customHeight="1">
      <c r="A1790" t="inlineStr">
        <is>
          <t>A 7986-2026</t>
        </is>
      </c>
      <c r="B1790" t="inlineStr">
        <is>
          <t>avverkningsanmälan</t>
        </is>
      </c>
      <c r="C1790" t="inlineStr">
        <is>
          <t>Föryngringsavverkning</t>
        </is>
      </c>
      <c r="D1790" s="1" t="n">
        <v>46063</v>
      </c>
      <c r="E1790" s="1" t="n">
        <v>46309</v>
      </c>
      <c r="F1790" t="inlineStr">
        <is>
          <t>UPPSALA LÄN</t>
        </is>
      </c>
      <c r="G1790" t="inlineStr">
        <is>
          <t>HEBY</t>
        </is>
      </c>
      <c r="I1790" t="n">
        <v>5.4</v>
      </c>
      <c r="J1790" t="n">
        <v>0</v>
      </c>
      <c r="K1790" t="n">
        <v>0</v>
      </c>
      <c r="L1790" t="n">
        <v>0</v>
      </c>
      <c r="M1790" t="n">
        <v>0</v>
      </c>
      <c r="N1790" t="n">
        <v>0</v>
      </c>
      <c r="O1790" t="n">
        <v>0</v>
      </c>
      <c r="P1790" t="n">
        <v>0</v>
      </c>
      <c r="Q1790" t="n">
        <v>0</v>
      </c>
      <c r="R1790" t="n">
        <v>0</v>
      </c>
      <c r="S1790" t="n">
        <v>0</v>
      </c>
      <c r="T1790" t="n">
        <v>0</v>
      </c>
      <c r="U1790" t="n">
        <v>0</v>
      </c>
      <c r="V1790" s="2" t="inlineStr"/>
    </row>
    <row r="1791" ht="15" customHeight="1">
      <c r="A1791" t="inlineStr">
        <is>
          <t>A 8486-2026</t>
        </is>
      </c>
      <c r="B1791" t="inlineStr">
        <is>
          <t>avverkningsanmälan</t>
        </is>
      </c>
      <c r="C1791" t="inlineStr">
        <is>
          <t>Föryngringsavverkning</t>
        </is>
      </c>
      <c r="D1791" s="1" t="n">
        <v>46064</v>
      </c>
      <c r="E1791" s="1" t="n">
        <v>46309</v>
      </c>
      <c r="F1791" t="inlineStr">
        <is>
          <t>UPPSALA LÄN</t>
        </is>
      </c>
      <c r="G1791" t="inlineStr">
        <is>
          <t>HÅBO</t>
        </is>
      </c>
      <c r="I1791" t="n">
        <v>1</v>
      </c>
      <c r="J1791" t="n">
        <v>0</v>
      </c>
      <c r="K1791" t="n">
        <v>0</v>
      </c>
      <c r="L1791" t="n">
        <v>0</v>
      </c>
      <c r="M1791" t="n">
        <v>0</v>
      </c>
      <c r="N1791" t="n">
        <v>0</v>
      </c>
      <c r="O1791" t="n">
        <v>0</v>
      </c>
      <c r="P1791" t="n">
        <v>0</v>
      </c>
      <c r="Q1791" t="n">
        <v>0</v>
      </c>
      <c r="R1791" t="n">
        <v>0</v>
      </c>
      <c r="S1791" t="n">
        <v>0</v>
      </c>
      <c r="T1791" t="n">
        <v>0</v>
      </c>
      <c r="U1791" t="n">
        <v>0</v>
      </c>
      <c r="V1791" s="2" t="inlineStr"/>
    </row>
    <row r="1792" ht="15" customHeight="1">
      <c r="A1792" t="inlineStr">
        <is>
          <t>A 8090-2022</t>
        </is>
      </c>
      <c r="B1792" t="inlineStr">
        <is>
          <t>avverkningsanmälan</t>
        </is>
      </c>
      <c r="C1792" t="inlineStr">
        <is>
          <t>Föryngringsavverkning</t>
        </is>
      </c>
      <c r="D1792" s="1" t="n">
        <v>44608</v>
      </c>
      <c r="E1792" s="1" t="n">
        <v>46309</v>
      </c>
      <c r="F1792" t="inlineStr">
        <is>
          <t>UPPSALA LÄN</t>
        </is>
      </c>
      <c r="G1792" t="inlineStr">
        <is>
          <t>UPPSALA</t>
        </is>
      </c>
      <c r="I1792" t="n">
        <v>1.4</v>
      </c>
      <c r="J1792" t="n">
        <v>0</v>
      </c>
      <c r="K1792" t="n">
        <v>0</v>
      </c>
      <c r="L1792" t="n">
        <v>0</v>
      </c>
      <c r="M1792" t="n">
        <v>0</v>
      </c>
      <c r="N1792" t="n">
        <v>0</v>
      </c>
      <c r="O1792" t="n">
        <v>0</v>
      </c>
      <c r="P1792" t="n">
        <v>0</v>
      </c>
      <c r="Q1792" t="n">
        <v>0</v>
      </c>
      <c r="R1792" t="n">
        <v>0</v>
      </c>
      <c r="S1792" t="n">
        <v>0</v>
      </c>
      <c r="T1792" t="n">
        <v>0</v>
      </c>
      <c r="U1792" t="n">
        <v>0</v>
      </c>
      <c r="V1792" s="2" t="inlineStr"/>
    </row>
    <row r="1793" ht="15" customHeight="1">
      <c r="A1793" t="inlineStr">
        <is>
          <t>A 60047-2022</t>
        </is>
      </c>
      <c r="B1793" t="inlineStr">
        <is>
          <t>avverkningsanmälan</t>
        </is>
      </c>
      <c r="C1793" t="inlineStr">
        <is>
          <t>Föryngringsavverkning</t>
        </is>
      </c>
      <c r="D1793" s="1" t="n">
        <v>44909</v>
      </c>
      <c r="E1793" s="1" t="n">
        <v>46309</v>
      </c>
      <c r="F1793" t="inlineStr">
        <is>
          <t>UPPSALA LÄN</t>
        </is>
      </c>
      <c r="G1793" t="inlineStr">
        <is>
          <t>UPPSALA</t>
        </is>
      </c>
      <c r="H1793" t="inlineStr">
        <is>
          <t>Kyrkan</t>
        </is>
      </c>
      <c r="I1793" t="n">
        <v>0.7</v>
      </c>
      <c r="J1793" t="n">
        <v>0</v>
      </c>
      <c r="K1793" t="n">
        <v>0</v>
      </c>
      <c r="L1793" t="n">
        <v>0</v>
      </c>
      <c r="M1793" t="n">
        <v>0</v>
      </c>
      <c r="N1793" t="n">
        <v>0</v>
      </c>
      <c r="O1793" t="n">
        <v>0</v>
      </c>
      <c r="P1793" t="n">
        <v>0</v>
      </c>
      <c r="Q1793" t="n">
        <v>0</v>
      </c>
      <c r="R1793" t="n">
        <v>0</v>
      </c>
      <c r="S1793" t="n">
        <v>0</v>
      </c>
      <c r="T1793" t="n">
        <v>0</v>
      </c>
      <c r="U1793" t="n">
        <v>0</v>
      </c>
      <c r="V1793" s="2" t="inlineStr"/>
    </row>
    <row r="1794" ht="15" customHeight="1">
      <c r="A1794" t="inlineStr">
        <is>
          <t>A 8582-2026</t>
        </is>
      </c>
      <c r="B1794" t="inlineStr">
        <is>
          <t>avverkningsanmälan</t>
        </is>
      </c>
      <c r="C1794" t="inlineStr">
        <is>
          <t>Föryngringsavverkning</t>
        </is>
      </c>
      <c r="D1794" s="1" t="n">
        <v>46065</v>
      </c>
      <c r="E1794" s="1" t="n">
        <v>46309</v>
      </c>
      <c r="F1794" t="inlineStr">
        <is>
          <t>UPPSALA LÄN</t>
        </is>
      </c>
      <c r="G1794" t="inlineStr">
        <is>
          <t>UPPSALA</t>
        </is>
      </c>
      <c r="I1794" t="n">
        <v>1.4</v>
      </c>
      <c r="J1794" t="n">
        <v>0</v>
      </c>
      <c r="K1794" t="n">
        <v>0</v>
      </c>
      <c r="L1794" t="n">
        <v>0</v>
      </c>
      <c r="M1794" t="n">
        <v>0</v>
      </c>
      <c r="N1794" t="n">
        <v>0</v>
      </c>
      <c r="O1794" t="n">
        <v>0</v>
      </c>
      <c r="P1794" t="n">
        <v>0</v>
      </c>
      <c r="Q1794" t="n">
        <v>0</v>
      </c>
      <c r="R1794" t="n">
        <v>0</v>
      </c>
      <c r="S1794" t="n">
        <v>0</v>
      </c>
      <c r="T1794" t="n">
        <v>0</v>
      </c>
      <c r="U1794" t="n">
        <v>0</v>
      </c>
      <c r="V1794" s="2" t="inlineStr"/>
    </row>
    <row r="1795" ht="15" customHeight="1">
      <c r="A1795" t="inlineStr">
        <is>
          <t>A 59837-2025</t>
        </is>
      </c>
      <c r="B1795" t="inlineStr">
        <is>
          <t>avverkningsanmälan</t>
        </is>
      </c>
      <c r="C1795" t="inlineStr">
        <is>
          <t>Föryngringsavverkning</t>
        </is>
      </c>
      <c r="D1795" s="1" t="n">
        <v>45992</v>
      </c>
      <c r="E1795" s="1" t="n">
        <v>46309</v>
      </c>
      <c r="F1795" t="inlineStr">
        <is>
          <t>UPPSALA LÄN</t>
        </is>
      </c>
      <c r="G1795" t="inlineStr">
        <is>
          <t>HEBY</t>
        </is>
      </c>
      <c r="I1795" t="n">
        <v>1.1</v>
      </c>
      <c r="J1795" t="n">
        <v>0</v>
      </c>
      <c r="K1795" t="n">
        <v>0</v>
      </c>
      <c r="L1795" t="n">
        <v>0</v>
      </c>
      <c r="M1795" t="n">
        <v>0</v>
      </c>
      <c r="N1795" t="n">
        <v>0</v>
      </c>
      <c r="O1795" t="n">
        <v>0</v>
      </c>
      <c r="P1795" t="n">
        <v>0</v>
      </c>
      <c r="Q1795" t="n">
        <v>0</v>
      </c>
      <c r="R1795" t="n">
        <v>0</v>
      </c>
      <c r="S1795" t="n">
        <v>0</v>
      </c>
      <c r="T1795" t="n">
        <v>0</v>
      </c>
      <c r="U1795" t="n">
        <v>0</v>
      </c>
      <c r="V1795" s="2" t="inlineStr"/>
    </row>
    <row r="1796" ht="15" customHeight="1">
      <c r="A1796" t="inlineStr">
        <is>
          <t>A 29799-2023</t>
        </is>
      </c>
      <c r="B1796" t="inlineStr">
        <is>
          <t>avverkningsanmälan</t>
        </is>
      </c>
      <c r="C1796" t="inlineStr">
        <is>
          <t>Avverkning för att bevara och utveckla /försöksver</t>
        </is>
      </c>
      <c r="D1796" s="1" t="n">
        <v>45107</v>
      </c>
      <c r="E1796" s="1" t="n">
        <v>46309</v>
      </c>
      <c r="F1796" t="inlineStr">
        <is>
          <t>UPPSALA LÄN</t>
        </is>
      </c>
      <c r="G1796" t="inlineStr">
        <is>
          <t>UPPSALA</t>
        </is>
      </c>
      <c r="I1796" t="n">
        <v>1.7</v>
      </c>
      <c r="J1796" t="n">
        <v>0</v>
      </c>
      <c r="K1796" t="n">
        <v>0</v>
      </c>
      <c r="L1796" t="n">
        <v>0</v>
      </c>
      <c r="M1796" t="n">
        <v>0</v>
      </c>
      <c r="N1796" t="n">
        <v>0</v>
      </c>
      <c r="O1796" t="n">
        <v>0</v>
      </c>
      <c r="P1796" t="n">
        <v>0</v>
      </c>
      <c r="Q1796" t="n">
        <v>0</v>
      </c>
      <c r="R1796" t="n">
        <v>0</v>
      </c>
      <c r="S1796" t="n">
        <v>0</v>
      </c>
      <c r="T1796" t="n">
        <v>0</v>
      </c>
      <c r="U1796" t="n">
        <v>0</v>
      </c>
      <c r="V1796" s="2" t="inlineStr"/>
    </row>
    <row r="1797" ht="15" customHeight="1">
      <c r="A1797" t="inlineStr">
        <is>
          <t>A 59388-2025</t>
        </is>
      </c>
      <c r="B1797" t="inlineStr">
        <is>
          <t>avverkningsanmälan</t>
        </is>
      </c>
      <c r="C1797" t="inlineStr">
        <is>
          <t>Föryngringsavverkning</t>
        </is>
      </c>
      <c r="D1797" s="1" t="n">
        <v>45989</v>
      </c>
      <c r="E1797" s="1" t="n">
        <v>46309</v>
      </c>
      <c r="F1797" t="inlineStr">
        <is>
          <t>UPPSALA LÄN</t>
        </is>
      </c>
      <c r="G1797" t="inlineStr">
        <is>
          <t>TIERP</t>
        </is>
      </c>
      <c r="I1797" t="n">
        <v>1.3</v>
      </c>
      <c r="J1797" t="n">
        <v>0</v>
      </c>
      <c r="K1797" t="n">
        <v>0</v>
      </c>
      <c r="L1797" t="n">
        <v>0</v>
      </c>
      <c r="M1797" t="n">
        <v>0</v>
      </c>
      <c r="N1797" t="n">
        <v>0</v>
      </c>
      <c r="O1797" t="n">
        <v>0</v>
      </c>
      <c r="P1797" t="n">
        <v>0</v>
      </c>
      <c r="Q1797" t="n">
        <v>0</v>
      </c>
      <c r="R1797" t="n">
        <v>0</v>
      </c>
      <c r="S1797" t="n">
        <v>0</v>
      </c>
      <c r="T1797" t="n">
        <v>0</v>
      </c>
      <c r="U1797" t="n">
        <v>0</v>
      </c>
      <c r="V1797" s="2" t="inlineStr"/>
    </row>
    <row r="1798" ht="15" customHeight="1">
      <c r="A1798" t="inlineStr">
        <is>
          <t>A 59555-2025</t>
        </is>
      </c>
      <c r="B1798" t="inlineStr">
        <is>
          <t>avverkningsanmälan</t>
        </is>
      </c>
      <c r="C1798" t="inlineStr">
        <is>
          <t>Föryngringsavverkning</t>
        </is>
      </c>
      <c r="D1798" s="1" t="n">
        <v>45991</v>
      </c>
      <c r="E1798" s="1" t="n">
        <v>46309</v>
      </c>
      <c r="F1798" t="inlineStr">
        <is>
          <t>UPPSALA LÄN</t>
        </is>
      </c>
      <c r="G1798" t="inlineStr">
        <is>
          <t>TIERP</t>
        </is>
      </c>
      <c r="H1798" t="inlineStr">
        <is>
          <t>Bergvik skog väst AB</t>
        </is>
      </c>
      <c r="I1798" t="n">
        <v>0.5</v>
      </c>
      <c r="J1798" t="n">
        <v>0</v>
      </c>
      <c r="K1798" t="n">
        <v>0</v>
      </c>
      <c r="L1798" t="n">
        <v>0</v>
      </c>
      <c r="M1798" t="n">
        <v>0</v>
      </c>
      <c r="N1798" t="n">
        <v>0</v>
      </c>
      <c r="O1798" t="n">
        <v>0</v>
      </c>
      <c r="P1798" t="n">
        <v>0</v>
      </c>
      <c r="Q1798" t="n">
        <v>0</v>
      </c>
      <c r="R1798" t="n">
        <v>0</v>
      </c>
      <c r="S1798" t="n">
        <v>0</v>
      </c>
      <c r="T1798" t="n">
        <v>0</v>
      </c>
      <c r="U1798" t="n">
        <v>0</v>
      </c>
      <c r="V1798" s="2" t="inlineStr"/>
    </row>
    <row r="1799" ht="15" customHeight="1">
      <c r="A1799" t="inlineStr">
        <is>
          <t>A 60243-2025</t>
        </is>
      </c>
      <c r="B1799" t="inlineStr">
        <is>
          <t>avverkningsanmälan</t>
        </is>
      </c>
      <c r="C1799" t="inlineStr">
        <is>
          <t>Föryngringsavverkning</t>
        </is>
      </c>
      <c r="D1799" s="1" t="n">
        <v>45994</v>
      </c>
      <c r="E1799" s="1" t="n">
        <v>46309</v>
      </c>
      <c r="F1799" t="inlineStr">
        <is>
          <t>UPPSALA LÄN</t>
        </is>
      </c>
      <c r="G1799" t="inlineStr">
        <is>
          <t>KNIVSTA</t>
        </is>
      </c>
      <c r="H1799" t="inlineStr">
        <is>
          <t>Holmen skog AB</t>
        </is>
      </c>
      <c r="I1799" t="n">
        <v>2.4</v>
      </c>
      <c r="J1799" t="n">
        <v>0</v>
      </c>
      <c r="K1799" t="n">
        <v>0</v>
      </c>
      <c r="L1799" t="n">
        <v>0</v>
      </c>
      <c r="M1799" t="n">
        <v>0</v>
      </c>
      <c r="N1799" t="n">
        <v>0</v>
      </c>
      <c r="O1799" t="n">
        <v>0</v>
      </c>
      <c r="P1799" t="n">
        <v>0</v>
      </c>
      <c r="Q1799" t="n">
        <v>0</v>
      </c>
      <c r="R1799" t="n">
        <v>0</v>
      </c>
      <c r="S1799" t="n">
        <v>0</v>
      </c>
      <c r="T1799" t="n">
        <v>0</v>
      </c>
      <c r="U1799" t="n">
        <v>0</v>
      </c>
      <c r="V1799" s="2" t="inlineStr"/>
    </row>
    <row r="1800" ht="15" customHeight="1">
      <c r="A1800" t="inlineStr">
        <is>
          <t>A 8525-2026</t>
        </is>
      </c>
      <c r="B1800" t="inlineStr">
        <is>
          <t>avverkningsanmälan</t>
        </is>
      </c>
      <c r="C1800" t="inlineStr">
        <is>
          <t>Föryngringsavverkning</t>
        </is>
      </c>
      <c r="D1800" s="1" t="n">
        <v>46065</v>
      </c>
      <c r="E1800" s="1" t="n">
        <v>46309</v>
      </c>
      <c r="F1800" t="inlineStr">
        <is>
          <t>UPPSALA LÄN</t>
        </is>
      </c>
      <c r="G1800" t="inlineStr">
        <is>
          <t>ÖSTHAMMAR</t>
        </is>
      </c>
      <c r="H1800" t="inlineStr">
        <is>
          <t>Övriga Aktiebolag</t>
        </is>
      </c>
      <c r="I1800" t="n">
        <v>4.8</v>
      </c>
      <c r="J1800" t="n">
        <v>0</v>
      </c>
      <c r="K1800" t="n">
        <v>0</v>
      </c>
      <c r="L1800" t="n">
        <v>0</v>
      </c>
      <c r="M1800" t="n">
        <v>0</v>
      </c>
      <c r="N1800" t="n">
        <v>0</v>
      </c>
      <c r="O1800" t="n">
        <v>0</v>
      </c>
      <c r="P1800" t="n">
        <v>0</v>
      </c>
      <c r="Q1800" t="n">
        <v>0</v>
      </c>
      <c r="R1800" t="n">
        <v>0</v>
      </c>
      <c r="S1800" t="n">
        <v>0</v>
      </c>
      <c r="T1800" t="n">
        <v>0</v>
      </c>
      <c r="U1800" t="n">
        <v>0</v>
      </c>
      <c r="V1800" s="2" t="inlineStr"/>
    </row>
    <row r="1801" ht="15" customHeight="1">
      <c r="A1801" t="inlineStr">
        <is>
          <t>A 8530-2026</t>
        </is>
      </c>
      <c r="B1801" t="inlineStr">
        <is>
          <t>avverkningsanmälan</t>
        </is>
      </c>
      <c r="C1801" t="inlineStr">
        <is>
          <t>Föryngringsavverkning</t>
        </is>
      </c>
      <c r="D1801" s="1" t="n">
        <v>46065</v>
      </c>
      <c r="E1801" s="1" t="n">
        <v>46309</v>
      </c>
      <c r="F1801" t="inlineStr">
        <is>
          <t>UPPSALA LÄN</t>
        </is>
      </c>
      <c r="G1801" t="inlineStr">
        <is>
          <t>ÖSTHAMMAR</t>
        </is>
      </c>
      <c r="H1801" t="inlineStr">
        <is>
          <t>Övriga Aktiebolag</t>
        </is>
      </c>
      <c r="I1801" t="n">
        <v>2</v>
      </c>
      <c r="J1801" t="n">
        <v>0</v>
      </c>
      <c r="K1801" t="n">
        <v>0</v>
      </c>
      <c r="L1801" t="n">
        <v>0</v>
      </c>
      <c r="M1801" t="n">
        <v>0</v>
      </c>
      <c r="N1801" t="n">
        <v>0</v>
      </c>
      <c r="O1801" t="n">
        <v>0</v>
      </c>
      <c r="P1801" t="n">
        <v>0</v>
      </c>
      <c r="Q1801" t="n">
        <v>0</v>
      </c>
      <c r="R1801" t="n">
        <v>0</v>
      </c>
      <c r="S1801" t="n">
        <v>0</v>
      </c>
      <c r="T1801" t="n">
        <v>0</v>
      </c>
      <c r="U1801" t="n">
        <v>0</v>
      </c>
      <c r="V1801" s="2" t="inlineStr"/>
    </row>
    <row r="1802" ht="15" customHeight="1">
      <c r="A1802" t="inlineStr">
        <is>
          <t>A 52869-2025</t>
        </is>
      </c>
      <c r="B1802" t="inlineStr">
        <is>
          <t>avverkningsanmälan</t>
        </is>
      </c>
      <c r="C1802" t="inlineStr">
        <is>
          <t>Avverkning för annat ändamål</t>
        </is>
      </c>
      <c r="D1802" s="1" t="n">
        <v>45957</v>
      </c>
      <c r="E1802" s="1" t="n">
        <v>46309</v>
      </c>
      <c r="F1802" t="inlineStr">
        <is>
          <t>UPPSALA LÄN</t>
        </is>
      </c>
      <c r="G1802" t="inlineStr">
        <is>
          <t>TIERP</t>
        </is>
      </c>
      <c r="I1802" t="n">
        <v>0.8</v>
      </c>
      <c r="J1802" t="n">
        <v>0</v>
      </c>
      <c r="K1802" t="n">
        <v>0</v>
      </c>
      <c r="L1802" t="n">
        <v>0</v>
      </c>
      <c r="M1802" t="n">
        <v>0</v>
      </c>
      <c r="N1802" t="n">
        <v>0</v>
      </c>
      <c r="O1802" t="n">
        <v>0</v>
      </c>
      <c r="P1802" t="n">
        <v>0</v>
      </c>
      <c r="Q1802" t="n">
        <v>0</v>
      </c>
      <c r="R1802" t="n">
        <v>0</v>
      </c>
      <c r="S1802" t="n">
        <v>0</v>
      </c>
      <c r="T1802" t="n">
        <v>0</v>
      </c>
      <c r="U1802" t="n">
        <v>0</v>
      </c>
      <c r="V1802" s="2" t="inlineStr"/>
    </row>
    <row r="1803" ht="15" customHeight="1">
      <c r="A1803" t="inlineStr">
        <is>
          <t>A 8500-2026</t>
        </is>
      </c>
      <c r="B1803" t="inlineStr">
        <is>
          <t>avverkningsanmälan</t>
        </is>
      </c>
      <c r="C1803" t="inlineStr">
        <is>
          <t>Föryngringsavverkning</t>
        </is>
      </c>
      <c r="D1803" s="1" t="n">
        <v>46065</v>
      </c>
      <c r="E1803" s="1" t="n">
        <v>46309</v>
      </c>
      <c r="F1803" t="inlineStr">
        <is>
          <t>UPPSALA LÄN</t>
        </is>
      </c>
      <c r="G1803" t="inlineStr">
        <is>
          <t>UPPSALA</t>
        </is>
      </c>
      <c r="I1803" t="n">
        <v>2.5</v>
      </c>
      <c r="J1803" t="n">
        <v>0</v>
      </c>
      <c r="K1803" t="n">
        <v>0</v>
      </c>
      <c r="L1803" t="n">
        <v>0</v>
      </c>
      <c r="M1803" t="n">
        <v>0</v>
      </c>
      <c r="N1803" t="n">
        <v>0</v>
      </c>
      <c r="O1803" t="n">
        <v>0</v>
      </c>
      <c r="P1803" t="n">
        <v>0</v>
      </c>
      <c r="Q1803" t="n">
        <v>0</v>
      </c>
      <c r="R1803" t="n">
        <v>0</v>
      </c>
      <c r="S1803" t="n">
        <v>0</v>
      </c>
      <c r="T1803" t="n">
        <v>0</v>
      </c>
      <c r="U1803" t="n">
        <v>0</v>
      </c>
      <c r="V1803" s="2" t="inlineStr"/>
    </row>
    <row r="1804" ht="15" customHeight="1">
      <c r="A1804" t="inlineStr">
        <is>
          <t>A 59964-2025</t>
        </is>
      </c>
      <c r="B1804" t="inlineStr">
        <is>
          <t>avverkningsanmälan</t>
        </is>
      </c>
      <c r="C1804" t="inlineStr">
        <is>
          <t>Föryngringsavverkning</t>
        </is>
      </c>
      <c r="D1804" s="1" t="n">
        <v>45993</v>
      </c>
      <c r="E1804" s="1" t="n">
        <v>46309</v>
      </c>
      <c r="F1804" t="inlineStr">
        <is>
          <t>UPPSALA LÄN</t>
        </is>
      </c>
      <c r="G1804" t="inlineStr">
        <is>
          <t>ENKÖPING</t>
        </is>
      </c>
      <c r="I1804" t="n">
        <v>2.1</v>
      </c>
      <c r="J1804" t="n">
        <v>0</v>
      </c>
      <c r="K1804" t="n">
        <v>0</v>
      </c>
      <c r="L1804" t="n">
        <v>0</v>
      </c>
      <c r="M1804" t="n">
        <v>0</v>
      </c>
      <c r="N1804" t="n">
        <v>0</v>
      </c>
      <c r="O1804" t="n">
        <v>0</v>
      </c>
      <c r="P1804" t="n">
        <v>0</v>
      </c>
      <c r="Q1804" t="n">
        <v>0</v>
      </c>
      <c r="R1804" t="n">
        <v>0</v>
      </c>
      <c r="S1804" t="n">
        <v>0</v>
      </c>
      <c r="T1804" t="n">
        <v>0</v>
      </c>
      <c r="U1804" t="n">
        <v>0</v>
      </c>
      <c r="V1804" s="2" t="inlineStr"/>
    </row>
    <row r="1805" ht="15" customHeight="1">
      <c r="A1805" t="inlineStr">
        <is>
          <t>A 60211-2025</t>
        </is>
      </c>
      <c r="B1805" t="inlineStr">
        <is>
          <t>avverkningsanmälan</t>
        </is>
      </c>
      <c r="C1805" t="inlineStr">
        <is>
          <t>Föryngringsavverkning</t>
        </is>
      </c>
      <c r="D1805" s="1" t="n">
        <v>45994</v>
      </c>
      <c r="E1805" s="1" t="n">
        <v>46309</v>
      </c>
      <c r="F1805" t="inlineStr">
        <is>
          <t>UPPSALA LÄN</t>
        </is>
      </c>
      <c r="G1805" t="inlineStr">
        <is>
          <t>TIERP</t>
        </is>
      </c>
      <c r="I1805" t="n">
        <v>0.5</v>
      </c>
      <c r="J1805" t="n">
        <v>0</v>
      </c>
      <c r="K1805" t="n">
        <v>0</v>
      </c>
      <c r="L1805" t="n">
        <v>0</v>
      </c>
      <c r="M1805" t="n">
        <v>0</v>
      </c>
      <c r="N1805" t="n">
        <v>0</v>
      </c>
      <c r="O1805" t="n">
        <v>0</v>
      </c>
      <c r="P1805" t="n">
        <v>0</v>
      </c>
      <c r="Q1805" t="n">
        <v>0</v>
      </c>
      <c r="R1805" t="n">
        <v>0</v>
      </c>
      <c r="S1805" t="n">
        <v>0</v>
      </c>
      <c r="T1805" t="n">
        <v>0</v>
      </c>
      <c r="U1805" t="n">
        <v>0</v>
      </c>
      <c r="V1805" s="2" t="inlineStr"/>
    </row>
    <row r="1806" ht="15" customHeight="1">
      <c r="A1806" t="inlineStr">
        <is>
          <t>A 60142-2025</t>
        </is>
      </c>
      <c r="B1806" t="inlineStr">
        <is>
          <t>avverkningsanmälan</t>
        </is>
      </c>
      <c r="C1806" t="inlineStr">
        <is>
          <t>Föryngringsavverkning</t>
        </is>
      </c>
      <c r="D1806" s="1" t="n">
        <v>45994</v>
      </c>
      <c r="E1806" s="1" t="n">
        <v>46309</v>
      </c>
      <c r="F1806" t="inlineStr">
        <is>
          <t>UPPSALA LÄN</t>
        </is>
      </c>
      <c r="G1806" t="inlineStr">
        <is>
          <t>TIERP</t>
        </is>
      </c>
      <c r="H1806" t="inlineStr">
        <is>
          <t>Bergvik skog öst AB</t>
        </is>
      </c>
      <c r="I1806" t="n">
        <v>1</v>
      </c>
      <c r="J1806" t="n">
        <v>0</v>
      </c>
      <c r="K1806" t="n">
        <v>0</v>
      </c>
      <c r="L1806" t="n">
        <v>0</v>
      </c>
      <c r="M1806" t="n">
        <v>0</v>
      </c>
      <c r="N1806" t="n">
        <v>0</v>
      </c>
      <c r="O1806" t="n">
        <v>0</v>
      </c>
      <c r="P1806" t="n">
        <v>0</v>
      </c>
      <c r="Q1806" t="n">
        <v>0</v>
      </c>
      <c r="R1806" t="n">
        <v>0</v>
      </c>
      <c r="S1806" t="n">
        <v>0</v>
      </c>
      <c r="T1806" t="n">
        <v>0</v>
      </c>
      <c r="U1806" t="n">
        <v>0</v>
      </c>
      <c r="V1806" s="2" t="inlineStr"/>
    </row>
    <row r="1807" ht="15" customHeight="1">
      <c r="A1807" t="inlineStr">
        <is>
          <t>A 60175-2025</t>
        </is>
      </c>
      <c r="B1807" t="inlineStr">
        <is>
          <t>avverkningsanmälan</t>
        </is>
      </c>
      <c r="C1807" t="inlineStr">
        <is>
          <t>Föryngringsavverkning</t>
        </is>
      </c>
      <c r="D1807" s="1" t="n">
        <v>45994</v>
      </c>
      <c r="E1807" s="1" t="n">
        <v>46309</v>
      </c>
      <c r="F1807" t="inlineStr">
        <is>
          <t>UPPSALA LÄN</t>
        </is>
      </c>
      <c r="G1807" t="inlineStr">
        <is>
          <t>ENKÖPING</t>
        </is>
      </c>
      <c r="I1807" t="n">
        <v>2.4</v>
      </c>
      <c r="J1807" t="n">
        <v>0</v>
      </c>
      <c r="K1807" t="n">
        <v>0</v>
      </c>
      <c r="L1807" t="n">
        <v>0</v>
      </c>
      <c r="M1807" t="n">
        <v>0</v>
      </c>
      <c r="N1807" t="n">
        <v>0</v>
      </c>
      <c r="O1807" t="n">
        <v>0</v>
      </c>
      <c r="P1807" t="n">
        <v>0</v>
      </c>
      <c r="Q1807" t="n">
        <v>0</v>
      </c>
      <c r="R1807" t="n">
        <v>0</v>
      </c>
      <c r="S1807" t="n">
        <v>0</v>
      </c>
      <c r="T1807" t="n">
        <v>0</v>
      </c>
      <c r="U1807" t="n">
        <v>0</v>
      </c>
      <c r="V1807" s="2" t="inlineStr"/>
    </row>
    <row r="1808" ht="15" customHeight="1">
      <c r="A1808" t="inlineStr">
        <is>
          <t>A 60256-2025</t>
        </is>
      </c>
      <c r="B1808" t="inlineStr">
        <is>
          <t>avverkningsanmälan</t>
        </is>
      </c>
      <c r="C1808" t="inlineStr">
        <is>
          <t>Föryngringsavverkning</t>
        </is>
      </c>
      <c r="D1808" s="1" t="n">
        <v>45994</v>
      </c>
      <c r="E1808" s="1" t="n">
        <v>46309</v>
      </c>
      <c r="F1808" t="inlineStr">
        <is>
          <t>UPPSALA LÄN</t>
        </is>
      </c>
      <c r="G1808" t="inlineStr">
        <is>
          <t>ÄLVKARLEBY</t>
        </is>
      </c>
      <c r="I1808" t="n">
        <v>1</v>
      </c>
      <c r="J1808" t="n">
        <v>0</v>
      </c>
      <c r="K1808" t="n">
        <v>0</v>
      </c>
      <c r="L1808" t="n">
        <v>0</v>
      </c>
      <c r="M1808" t="n">
        <v>0</v>
      </c>
      <c r="N1808" t="n">
        <v>0</v>
      </c>
      <c r="O1808" t="n">
        <v>0</v>
      </c>
      <c r="P1808" t="n">
        <v>0</v>
      </c>
      <c r="Q1808" t="n">
        <v>0</v>
      </c>
      <c r="R1808" t="n">
        <v>0</v>
      </c>
      <c r="S1808" t="n">
        <v>0</v>
      </c>
      <c r="T1808" t="n">
        <v>0</v>
      </c>
      <c r="U1808" t="n">
        <v>0</v>
      </c>
      <c r="V1808" s="2" t="inlineStr"/>
    </row>
    <row r="1809" ht="15" customHeight="1">
      <c r="A1809" t="inlineStr">
        <is>
          <t>A 4559-2022</t>
        </is>
      </c>
      <c r="B1809" t="inlineStr">
        <is>
          <t>avverkningsanmälan</t>
        </is>
      </c>
      <c r="C1809" t="inlineStr">
        <is>
          <t>Föryngringsavverkning</t>
        </is>
      </c>
      <c r="D1809" s="1" t="n">
        <v>44591</v>
      </c>
      <c r="E1809" s="1" t="n">
        <v>46309</v>
      </c>
      <c r="F1809" t="inlineStr">
        <is>
          <t>UPPSALA LÄN</t>
        </is>
      </c>
      <c r="G1809" t="inlineStr">
        <is>
          <t>ÖSTHAMMAR</t>
        </is>
      </c>
      <c r="H1809" t="inlineStr">
        <is>
          <t>Bergvik skog öst AB</t>
        </is>
      </c>
      <c r="I1809" t="n">
        <v>1.1</v>
      </c>
      <c r="J1809" t="n">
        <v>0</v>
      </c>
      <c r="K1809" t="n">
        <v>0</v>
      </c>
      <c r="L1809" t="n">
        <v>0</v>
      </c>
      <c r="M1809" t="n">
        <v>0</v>
      </c>
      <c r="N1809" t="n">
        <v>0</v>
      </c>
      <c r="O1809" t="n">
        <v>0</v>
      </c>
      <c r="P1809" t="n">
        <v>0</v>
      </c>
      <c r="Q1809" t="n">
        <v>0</v>
      </c>
      <c r="R1809" t="n">
        <v>0</v>
      </c>
      <c r="S1809" t="n">
        <v>0</v>
      </c>
      <c r="T1809" t="n">
        <v>0</v>
      </c>
      <c r="U1809" t="n">
        <v>0</v>
      </c>
      <c r="V1809" s="2" t="inlineStr"/>
    </row>
    <row r="1810" ht="15" customHeight="1">
      <c r="A1810" t="inlineStr">
        <is>
          <t>A 9675-2023</t>
        </is>
      </c>
      <c r="B1810" t="inlineStr">
        <is>
          <t>avverkningsanmälan</t>
        </is>
      </c>
      <c r="C1810" t="inlineStr">
        <is>
          <t>Föryngringsavverkning</t>
        </is>
      </c>
      <c r="D1810" s="1" t="n">
        <v>44984</v>
      </c>
      <c r="E1810" s="1" t="n">
        <v>46309</v>
      </c>
      <c r="F1810" t="inlineStr">
        <is>
          <t>UPPSALA LÄN</t>
        </is>
      </c>
      <c r="G1810" t="inlineStr">
        <is>
          <t>HEBY</t>
        </is>
      </c>
      <c r="I1810" t="n">
        <v>0.5</v>
      </c>
      <c r="J1810" t="n">
        <v>0</v>
      </c>
      <c r="K1810" t="n">
        <v>0</v>
      </c>
      <c r="L1810" t="n">
        <v>0</v>
      </c>
      <c r="M1810" t="n">
        <v>0</v>
      </c>
      <c r="N1810" t="n">
        <v>0</v>
      </c>
      <c r="O1810" t="n">
        <v>0</v>
      </c>
      <c r="P1810" t="n">
        <v>0</v>
      </c>
      <c r="Q1810" t="n">
        <v>0</v>
      </c>
      <c r="R1810" t="n">
        <v>0</v>
      </c>
      <c r="S1810" t="n">
        <v>0</v>
      </c>
      <c r="T1810" t="n">
        <v>0</v>
      </c>
      <c r="U1810" t="n">
        <v>0</v>
      </c>
      <c r="V1810" s="2" t="inlineStr"/>
    </row>
    <row r="1811" ht="15" customHeight="1">
      <c r="A1811" t="inlineStr">
        <is>
          <t>A 11643-2022</t>
        </is>
      </c>
      <c r="B1811" t="inlineStr">
        <is>
          <t>avverkningsanmälan</t>
        </is>
      </c>
      <c r="C1811" t="inlineStr">
        <is>
          <t>Föryngringsavverkning</t>
        </is>
      </c>
      <c r="D1811" s="1" t="n">
        <v>44631</v>
      </c>
      <c r="E1811" s="1" t="n">
        <v>46309</v>
      </c>
      <c r="F1811" t="inlineStr">
        <is>
          <t>UPPSALA LÄN</t>
        </is>
      </c>
      <c r="G1811" t="inlineStr">
        <is>
          <t>ÖSTHAMMAR</t>
        </is>
      </c>
      <c r="H1811" t="inlineStr">
        <is>
          <t>Bergvik skog öst AB</t>
        </is>
      </c>
      <c r="I1811" t="n">
        <v>1.1</v>
      </c>
      <c r="J1811" t="n">
        <v>0</v>
      </c>
      <c r="K1811" t="n">
        <v>0</v>
      </c>
      <c r="L1811" t="n">
        <v>0</v>
      </c>
      <c r="M1811" t="n">
        <v>0</v>
      </c>
      <c r="N1811" t="n">
        <v>0</v>
      </c>
      <c r="O1811" t="n">
        <v>0</v>
      </c>
      <c r="P1811" t="n">
        <v>0</v>
      </c>
      <c r="Q1811" t="n">
        <v>0</v>
      </c>
      <c r="R1811" t="n">
        <v>0</v>
      </c>
      <c r="S1811" t="n">
        <v>0</v>
      </c>
      <c r="T1811" t="n">
        <v>0</v>
      </c>
      <c r="U1811" t="n">
        <v>0</v>
      </c>
      <c r="V1811" s="2" t="inlineStr"/>
    </row>
    <row r="1812" ht="15" customHeight="1">
      <c r="A1812" t="inlineStr">
        <is>
          <t>A 9148-2026</t>
        </is>
      </c>
      <c r="B1812" t="inlineStr">
        <is>
          <t>avverkningsanmälan</t>
        </is>
      </c>
      <c r="C1812" t="inlineStr">
        <is>
          <t>Föryngringsavverkning</t>
        </is>
      </c>
      <c r="D1812" s="1" t="n">
        <v>46070</v>
      </c>
      <c r="E1812" s="1" t="n">
        <v>46309</v>
      </c>
      <c r="F1812" t="inlineStr">
        <is>
          <t>UPPSALA LÄN</t>
        </is>
      </c>
      <c r="G1812" t="inlineStr">
        <is>
          <t>ENKÖPING</t>
        </is>
      </c>
      <c r="I1812" t="n">
        <v>0.8</v>
      </c>
      <c r="J1812" t="n">
        <v>0</v>
      </c>
      <c r="K1812" t="n">
        <v>0</v>
      </c>
      <c r="L1812" t="n">
        <v>0</v>
      </c>
      <c r="M1812" t="n">
        <v>0</v>
      </c>
      <c r="N1812" t="n">
        <v>0</v>
      </c>
      <c r="O1812" t="n">
        <v>0</v>
      </c>
      <c r="P1812" t="n">
        <v>0</v>
      </c>
      <c r="Q1812" t="n">
        <v>0</v>
      </c>
      <c r="R1812" t="n">
        <v>0</v>
      </c>
      <c r="S1812" t="n">
        <v>0</v>
      </c>
      <c r="T1812" t="n">
        <v>0</v>
      </c>
      <c r="U1812" t="n">
        <v>0</v>
      </c>
      <c r="V1812" s="2" t="inlineStr"/>
    </row>
    <row r="1813" ht="15" customHeight="1">
      <c r="A1813" t="inlineStr">
        <is>
          <t>A 70158-2021</t>
        </is>
      </c>
      <c r="B1813" t="inlineStr">
        <is>
          <t>avverkningsanmälan</t>
        </is>
      </c>
      <c r="C1813" t="inlineStr">
        <is>
          <t>Föryngringsavverkning</t>
        </is>
      </c>
      <c r="D1813" s="1" t="n">
        <v>44533</v>
      </c>
      <c r="E1813" s="1" t="n">
        <v>46309</v>
      </c>
      <c r="F1813" t="inlineStr">
        <is>
          <t>UPPSALA LÄN</t>
        </is>
      </c>
      <c r="G1813" t="inlineStr">
        <is>
          <t>HEBY</t>
        </is>
      </c>
      <c r="I1813" t="n">
        <v>1.5</v>
      </c>
      <c r="J1813" t="n">
        <v>0</v>
      </c>
      <c r="K1813" t="n">
        <v>0</v>
      </c>
      <c r="L1813" t="n">
        <v>0</v>
      </c>
      <c r="M1813" t="n">
        <v>0</v>
      </c>
      <c r="N1813" t="n">
        <v>0</v>
      </c>
      <c r="O1813" t="n">
        <v>0</v>
      </c>
      <c r="P1813" t="n">
        <v>0</v>
      </c>
      <c r="Q1813" t="n">
        <v>0</v>
      </c>
      <c r="R1813" t="n">
        <v>0</v>
      </c>
      <c r="S1813" t="n">
        <v>0</v>
      </c>
      <c r="T1813" t="n">
        <v>0</v>
      </c>
      <c r="U1813" t="n">
        <v>0</v>
      </c>
      <c r="V1813" s="2" t="inlineStr"/>
    </row>
    <row r="1814" ht="15" customHeight="1">
      <c r="A1814" t="inlineStr">
        <is>
          <t>A 25334-2023</t>
        </is>
      </c>
      <c r="B1814" t="inlineStr">
        <is>
          <t>avverkningsanmälan</t>
        </is>
      </c>
      <c r="C1814" t="inlineStr">
        <is>
          <t>Avverkning för annat ändamål</t>
        </is>
      </c>
      <c r="D1814" s="1" t="n">
        <v>45083</v>
      </c>
      <c r="E1814" s="1" t="n">
        <v>46309</v>
      </c>
      <c r="F1814" t="inlineStr">
        <is>
          <t>UPPSALA LÄN</t>
        </is>
      </c>
      <c r="G1814" t="inlineStr">
        <is>
          <t>ENKÖPING</t>
        </is>
      </c>
      <c r="I1814" t="n">
        <v>0.2</v>
      </c>
      <c r="J1814" t="n">
        <v>0</v>
      </c>
      <c r="K1814" t="n">
        <v>0</v>
      </c>
      <c r="L1814" t="n">
        <v>0</v>
      </c>
      <c r="M1814" t="n">
        <v>0</v>
      </c>
      <c r="N1814" t="n">
        <v>0</v>
      </c>
      <c r="O1814" t="n">
        <v>0</v>
      </c>
      <c r="P1814" t="n">
        <v>0</v>
      </c>
      <c r="Q1814" t="n">
        <v>0</v>
      </c>
      <c r="R1814" t="n">
        <v>0</v>
      </c>
      <c r="S1814" t="n">
        <v>0</v>
      </c>
      <c r="T1814" t="n">
        <v>0</v>
      </c>
      <c r="U1814" t="n">
        <v>0</v>
      </c>
      <c r="V1814" s="2" t="inlineStr"/>
    </row>
    <row r="1815" ht="15" customHeight="1">
      <c r="A1815" t="inlineStr">
        <is>
          <t>A 60139-2025</t>
        </is>
      </c>
      <c r="B1815" t="inlineStr">
        <is>
          <t>avverkningsanmälan</t>
        </is>
      </c>
      <c r="C1815" t="inlineStr">
        <is>
          <t>Föryngringsavverkning</t>
        </is>
      </c>
      <c r="D1815" s="1" t="n">
        <v>45994</v>
      </c>
      <c r="E1815" s="1" t="n">
        <v>46309</v>
      </c>
      <c r="F1815" t="inlineStr">
        <is>
          <t>UPPSALA LÄN</t>
        </is>
      </c>
      <c r="G1815" t="inlineStr">
        <is>
          <t>TIERP</t>
        </is>
      </c>
      <c r="H1815" t="inlineStr">
        <is>
          <t>Bergvik skog öst AB</t>
        </is>
      </c>
      <c r="I1815" t="n">
        <v>1.2</v>
      </c>
      <c r="J1815" t="n">
        <v>0</v>
      </c>
      <c r="K1815" t="n">
        <v>0</v>
      </c>
      <c r="L1815" t="n">
        <v>0</v>
      </c>
      <c r="M1815" t="n">
        <v>0</v>
      </c>
      <c r="N1815" t="n">
        <v>0</v>
      </c>
      <c r="O1815" t="n">
        <v>0</v>
      </c>
      <c r="P1815" t="n">
        <v>0</v>
      </c>
      <c r="Q1815" t="n">
        <v>0</v>
      </c>
      <c r="R1815" t="n">
        <v>0</v>
      </c>
      <c r="S1815" t="n">
        <v>0</v>
      </c>
      <c r="T1815" t="n">
        <v>0</v>
      </c>
      <c r="U1815" t="n">
        <v>0</v>
      </c>
      <c r="V1815" s="2" t="inlineStr"/>
    </row>
    <row r="1816" ht="15" customHeight="1">
      <c r="A1816" t="inlineStr">
        <is>
          <t>A 60356-2025</t>
        </is>
      </c>
      <c r="B1816" t="inlineStr">
        <is>
          <t>avverkningsanmälan</t>
        </is>
      </c>
      <c r="C1816" t="inlineStr">
        <is>
          <t>Föryngringsavverkning</t>
        </is>
      </c>
      <c r="D1816" s="1" t="n">
        <v>45995</v>
      </c>
      <c r="E1816" s="1" t="n">
        <v>46309</v>
      </c>
      <c r="F1816" t="inlineStr">
        <is>
          <t>UPPSALA LÄN</t>
        </is>
      </c>
      <c r="G1816" t="inlineStr">
        <is>
          <t>UPPSALA</t>
        </is>
      </c>
      <c r="I1816" t="n">
        <v>1</v>
      </c>
      <c r="J1816" t="n">
        <v>0</v>
      </c>
      <c r="K1816" t="n">
        <v>0</v>
      </c>
      <c r="L1816" t="n">
        <v>0</v>
      </c>
      <c r="M1816" t="n">
        <v>0</v>
      </c>
      <c r="N1816" t="n">
        <v>0</v>
      </c>
      <c r="O1816" t="n">
        <v>0</v>
      </c>
      <c r="P1816" t="n">
        <v>0</v>
      </c>
      <c r="Q1816" t="n">
        <v>0</v>
      </c>
      <c r="R1816" t="n">
        <v>0</v>
      </c>
      <c r="S1816" t="n">
        <v>0</v>
      </c>
      <c r="T1816" t="n">
        <v>0</v>
      </c>
      <c r="U1816" t="n">
        <v>0</v>
      </c>
      <c r="V1816" s="2" t="inlineStr"/>
    </row>
    <row r="1817" ht="15" customHeight="1">
      <c r="A1817" t="inlineStr">
        <is>
          <t>A 60512-2025</t>
        </is>
      </c>
      <c r="B1817" t="inlineStr">
        <is>
          <t>avverkningsanmälan</t>
        </is>
      </c>
      <c r="C1817" t="inlineStr">
        <is>
          <t>Föryngringsavverkning</t>
        </is>
      </c>
      <c r="D1817" s="1" t="n">
        <v>45995</v>
      </c>
      <c r="E1817" s="1" t="n">
        <v>46309</v>
      </c>
      <c r="F1817" t="inlineStr">
        <is>
          <t>UPPSALA LÄN</t>
        </is>
      </c>
      <c r="G1817" t="inlineStr">
        <is>
          <t>UPPSALA</t>
        </is>
      </c>
      <c r="I1817" t="n">
        <v>2.6</v>
      </c>
      <c r="J1817" t="n">
        <v>0</v>
      </c>
      <c r="K1817" t="n">
        <v>0</v>
      </c>
      <c r="L1817" t="n">
        <v>0</v>
      </c>
      <c r="M1817" t="n">
        <v>0</v>
      </c>
      <c r="N1817" t="n">
        <v>0</v>
      </c>
      <c r="O1817" t="n">
        <v>0</v>
      </c>
      <c r="P1817" t="n">
        <v>0</v>
      </c>
      <c r="Q1817" t="n">
        <v>0</v>
      </c>
      <c r="R1817" t="n">
        <v>0</v>
      </c>
      <c r="S1817" t="n">
        <v>0</v>
      </c>
      <c r="T1817" t="n">
        <v>0</v>
      </c>
      <c r="U1817" t="n">
        <v>0</v>
      </c>
      <c r="V1817" s="2" t="inlineStr"/>
    </row>
    <row r="1818" ht="15" customHeight="1">
      <c r="A1818" t="inlineStr">
        <is>
          <t>A 25462-2023</t>
        </is>
      </c>
      <c r="B1818" t="inlineStr">
        <is>
          <t>avverkningsanmälan</t>
        </is>
      </c>
      <c r="C1818" t="inlineStr">
        <is>
          <t>Föryngringsavverkning</t>
        </is>
      </c>
      <c r="D1818" s="1" t="n">
        <v>45089</v>
      </c>
      <c r="E1818" s="1" t="n">
        <v>46309</v>
      </c>
      <c r="F1818" t="inlineStr">
        <is>
          <t>UPPSALA LÄN</t>
        </is>
      </c>
      <c r="G1818" t="inlineStr">
        <is>
          <t>UPPSALA</t>
        </is>
      </c>
      <c r="I1818" t="n">
        <v>1.3</v>
      </c>
      <c r="J1818" t="n">
        <v>0</v>
      </c>
      <c r="K1818" t="n">
        <v>0</v>
      </c>
      <c r="L1818" t="n">
        <v>0</v>
      </c>
      <c r="M1818" t="n">
        <v>0</v>
      </c>
      <c r="N1818" t="n">
        <v>0</v>
      </c>
      <c r="O1818" t="n">
        <v>0</v>
      </c>
      <c r="P1818" t="n">
        <v>0</v>
      </c>
      <c r="Q1818" t="n">
        <v>0</v>
      </c>
      <c r="R1818" t="n">
        <v>0</v>
      </c>
      <c r="S1818" t="n">
        <v>0</v>
      </c>
      <c r="T1818" t="n">
        <v>0</v>
      </c>
      <c r="U1818" t="n">
        <v>0</v>
      </c>
      <c r="V1818" s="2" t="inlineStr"/>
    </row>
    <row r="1819" ht="15" customHeight="1">
      <c r="A1819" t="inlineStr">
        <is>
          <t>A 23154-2023</t>
        </is>
      </c>
      <c r="B1819" t="inlineStr">
        <is>
          <t>avverkningsanmälan</t>
        </is>
      </c>
      <c r="C1819" t="inlineStr">
        <is>
          <t>Föryngringsavverkning</t>
        </is>
      </c>
      <c r="D1819" s="1" t="n">
        <v>45075</v>
      </c>
      <c r="E1819" s="1" t="n">
        <v>46309</v>
      </c>
      <c r="F1819" t="inlineStr">
        <is>
          <t>UPPSALA LÄN</t>
        </is>
      </c>
      <c r="G1819" t="inlineStr">
        <is>
          <t>TIERP</t>
        </is>
      </c>
      <c r="H1819" t="inlineStr">
        <is>
          <t>Kyrkan</t>
        </is>
      </c>
      <c r="I1819" t="n">
        <v>3.3</v>
      </c>
      <c r="J1819" t="n">
        <v>0</v>
      </c>
      <c r="K1819" t="n">
        <v>0</v>
      </c>
      <c r="L1819" t="n">
        <v>0</v>
      </c>
      <c r="M1819" t="n">
        <v>0</v>
      </c>
      <c r="N1819" t="n">
        <v>0</v>
      </c>
      <c r="O1819" t="n">
        <v>0</v>
      </c>
      <c r="P1819" t="n">
        <v>0</v>
      </c>
      <c r="Q1819" t="n">
        <v>0</v>
      </c>
      <c r="R1819" t="n">
        <v>0</v>
      </c>
      <c r="S1819" t="n">
        <v>0</v>
      </c>
      <c r="T1819" t="n">
        <v>0</v>
      </c>
      <c r="U1819" t="n">
        <v>0</v>
      </c>
      <c r="V1819" s="2" t="inlineStr"/>
    </row>
    <row r="1820" ht="15" customHeight="1">
      <c r="A1820" t="inlineStr">
        <is>
          <t>A 23239-2023</t>
        </is>
      </c>
      <c r="B1820" t="inlineStr">
        <is>
          <t>avverkningsanmälan</t>
        </is>
      </c>
      <c r="C1820" t="inlineStr">
        <is>
          <t>Föryngringsavverkning</t>
        </is>
      </c>
      <c r="D1820" s="1" t="n">
        <v>45075</v>
      </c>
      <c r="E1820" s="1" t="n">
        <v>46309</v>
      </c>
      <c r="F1820" t="inlineStr">
        <is>
          <t>UPPSALA LÄN</t>
        </is>
      </c>
      <c r="G1820" t="inlineStr">
        <is>
          <t>KNIVSTA</t>
        </is>
      </c>
      <c r="I1820" t="n">
        <v>1.8</v>
      </c>
      <c r="J1820" t="n">
        <v>0</v>
      </c>
      <c r="K1820" t="n">
        <v>0</v>
      </c>
      <c r="L1820" t="n">
        <v>0</v>
      </c>
      <c r="M1820" t="n">
        <v>0</v>
      </c>
      <c r="N1820" t="n">
        <v>0</v>
      </c>
      <c r="O1820" t="n">
        <v>0</v>
      </c>
      <c r="P1820" t="n">
        <v>0</v>
      </c>
      <c r="Q1820" t="n">
        <v>0</v>
      </c>
      <c r="R1820" t="n">
        <v>0</v>
      </c>
      <c r="S1820" t="n">
        <v>0</v>
      </c>
      <c r="T1820" t="n">
        <v>0</v>
      </c>
      <c r="U1820" t="n">
        <v>0</v>
      </c>
      <c r="V1820" s="2" t="inlineStr"/>
    </row>
    <row r="1821" ht="15" customHeight="1">
      <c r="A1821" t="inlineStr">
        <is>
          <t>A 60603-2025</t>
        </is>
      </c>
      <c r="B1821" t="inlineStr">
        <is>
          <t>avverkningsanmälan</t>
        </is>
      </c>
      <c r="C1821" t="inlineStr">
        <is>
          <t>Föryngringsavverkning</t>
        </is>
      </c>
      <c r="D1821" s="1" t="n">
        <v>45996</v>
      </c>
      <c r="E1821" s="1" t="n">
        <v>46309</v>
      </c>
      <c r="F1821" t="inlineStr">
        <is>
          <t>UPPSALA LÄN</t>
        </is>
      </c>
      <c r="G1821" t="inlineStr">
        <is>
          <t>ÖSTHAMMAR</t>
        </is>
      </c>
      <c r="I1821" t="n">
        <v>4.7</v>
      </c>
      <c r="J1821" t="n">
        <v>0</v>
      </c>
      <c r="K1821" t="n">
        <v>0</v>
      </c>
      <c r="L1821" t="n">
        <v>0</v>
      </c>
      <c r="M1821" t="n">
        <v>0</v>
      </c>
      <c r="N1821" t="n">
        <v>0</v>
      </c>
      <c r="O1821" t="n">
        <v>0</v>
      </c>
      <c r="P1821" t="n">
        <v>0</v>
      </c>
      <c r="Q1821" t="n">
        <v>0</v>
      </c>
      <c r="R1821" t="n">
        <v>0</v>
      </c>
      <c r="S1821" t="n">
        <v>0</v>
      </c>
      <c r="T1821" t="n">
        <v>0</v>
      </c>
      <c r="U1821" t="n">
        <v>0</v>
      </c>
      <c r="V1821" s="2" t="inlineStr"/>
    </row>
    <row r="1822" ht="15" customHeight="1">
      <c r="A1822" t="inlineStr">
        <is>
          <t>A 11036-2023</t>
        </is>
      </c>
      <c r="B1822" t="inlineStr">
        <is>
          <t>avverkningsanmälan</t>
        </is>
      </c>
      <c r="C1822" t="inlineStr">
        <is>
          <t>Föryngringsavverkning</t>
        </is>
      </c>
      <c r="D1822" s="1" t="n">
        <v>44991</v>
      </c>
      <c r="E1822" s="1" t="n">
        <v>46309</v>
      </c>
      <c r="F1822" t="inlineStr">
        <is>
          <t>UPPSALA LÄN</t>
        </is>
      </c>
      <c r="G1822" t="inlineStr">
        <is>
          <t>ÖSTHAMMAR</t>
        </is>
      </c>
      <c r="H1822" t="inlineStr">
        <is>
          <t>Bergvik skog öst AB</t>
        </is>
      </c>
      <c r="I1822" t="n">
        <v>3</v>
      </c>
      <c r="J1822" t="n">
        <v>0</v>
      </c>
      <c r="K1822" t="n">
        <v>0</v>
      </c>
      <c r="L1822" t="n">
        <v>0</v>
      </c>
      <c r="M1822" t="n">
        <v>0</v>
      </c>
      <c r="N1822" t="n">
        <v>0</v>
      </c>
      <c r="O1822" t="n">
        <v>0</v>
      </c>
      <c r="P1822" t="n">
        <v>0</v>
      </c>
      <c r="Q1822" t="n">
        <v>0</v>
      </c>
      <c r="R1822" t="n">
        <v>0</v>
      </c>
      <c r="S1822" t="n">
        <v>0</v>
      </c>
      <c r="T1822" t="n">
        <v>0</v>
      </c>
      <c r="U1822" t="n">
        <v>0</v>
      </c>
      <c r="V1822" s="2" t="inlineStr"/>
    </row>
    <row r="1823" ht="15" customHeight="1">
      <c r="A1823" t="inlineStr">
        <is>
          <t>A 61252-2025</t>
        </is>
      </c>
      <c r="B1823" t="inlineStr">
        <is>
          <t>avverkningsanmälan</t>
        </is>
      </c>
      <c r="C1823" t="inlineStr">
        <is>
          <t>Föryngringsavverkning</t>
        </is>
      </c>
      <c r="D1823" s="1" t="n">
        <v>46000</v>
      </c>
      <c r="E1823" s="1" t="n">
        <v>46309</v>
      </c>
      <c r="F1823" t="inlineStr">
        <is>
          <t>UPPSALA LÄN</t>
        </is>
      </c>
      <c r="G1823" t="inlineStr">
        <is>
          <t>TIERP</t>
        </is>
      </c>
      <c r="I1823" t="n">
        <v>1.2</v>
      </c>
      <c r="J1823" t="n">
        <v>0</v>
      </c>
      <c r="K1823" t="n">
        <v>0</v>
      </c>
      <c r="L1823" t="n">
        <v>0</v>
      </c>
      <c r="M1823" t="n">
        <v>0</v>
      </c>
      <c r="N1823" t="n">
        <v>0</v>
      </c>
      <c r="O1823" t="n">
        <v>0</v>
      </c>
      <c r="P1823" t="n">
        <v>0</v>
      </c>
      <c r="Q1823" t="n">
        <v>0</v>
      </c>
      <c r="R1823" t="n">
        <v>0</v>
      </c>
      <c r="S1823" t="n">
        <v>0</v>
      </c>
      <c r="T1823" t="n">
        <v>0</v>
      </c>
      <c r="U1823" t="n">
        <v>0</v>
      </c>
      <c r="V1823" s="2" t="inlineStr"/>
    </row>
    <row r="1824" ht="15" customHeight="1">
      <c r="A1824" t="inlineStr">
        <is>
          <t>A 3418-2025</t>
        </is>
      </c>
      <c r="B1824" t="inlineStr">
        <is>
          <t>avverkningsanmälan</t>
        </is>
      </c>
      <c r="C1824" t="inlineStr">
        <is>
          <t>Föryngringsavverkning</t>
        </is>
      </c>
      <c r="D1824" s="1" t="n">
        <v>45680</v>
      </c>
      <c r="E1824" s="1" t="n">
        <v>46309</v>
      </c>
      <c r="F1824" t="inlineStr">
        <is>
          <t>UPPSALA LÄN</t>
        </is>
      </c>
      <c r="G1824" t="inlineStr">
        <is>
          <t>ÖSTHAMMAR</t>
        </is>
      </c>
      <c r="H1824" t="inlineStr">
        <is>
          <t>Bergvik skog väst AB</t>
        </is>
      </c>
      <c r="I1824" t="n">
        <v>0.4</v>
      </c>
      <c r="J1824" t="n">
        <v>0</v>
      </c>
      <c r="K1824" t="n">
        <v>0</v>
      </c>
      <c r="L1824" t="n">
        <v>0</v>
      </c>
      <c r="M1824" t="n">
        <v>0</v>
      </c>
      <c r="N1824" t="n">
        <v>0</v>
      </c>
      <c r="O1824" t="n">
        <v>0</v>
      </c>
      <c r="P1824" t="n">
        <v>0</v>
      </c>
      <c r="Q1824" t="n">
        <v>0</v>
      </c>
      <c r="R1824" t="n">
        <v>0</v>
      </c>
      <c r="S1824" t="n">
        <v>0</v>
      </c>
      <c r="T1824" t="n">
        <v>0</v>
      </c>
      <c r="U1824" t="n">
        <v>0</v>
      </c>
      <c r="V1824" s="2" t="inlineStr"/>
    </row>
    <row r="1825" ht="15" customHeight="1">
      <c r="A1825" t="inlineStr">
        <is>
          <t>A 9456-2026</t>
        </is>
      </c>
      <c r="B1825" t="inlineStr">
        <is>
          <t>avverkningsanmälan</t>
        </is>
      </c>
      <c r="C1825" t="inlineStr">
        <is>
          <t>Föryngringsavverkning</t>
        </is>
      </c>
      <c r="D1825" s="1" t="n">
        <v>46071</v>
      </c>
      <c r="E1825" s="1" t="n">
        <v>46309</v>
      </c>
      <c r="F1825" t="inlineStr">
        <is>
          <t>UPPSALA LÄN</t>
        </is>
      </c>
      <c r="G1825" t="inlineStr">
        <is>
          <t>HEBY</t>
        </is>
      </c>
      <c r="I1825" t="n">
        <v>0.8</v>
      </c>
      <c r="J1825" t="n">
        <v>0</v>
      </c>
      <c r="K1825" t="n">
        <v>0</v>
      </c>
      <c r="L1825" t="n">
        <v>0</v>
      </c>
      <c r="M1825" t="n">
        <v>0</v>
      </c>
      <c r="N1825" t="n">
        <v>0</v>
      </c>
      <c r="O1825" t="n">
        <v>0</v>
      </c>
      <c r="P1825" t="n">
        <v>0</v>
      </c>
      <c r="Q1825" t="n">
        <v>0</v>
      </c>
      <c r="R1825" t="n">
        <v>0</v>
      </c>
      <c r="S1825" t="n">
        <v>0</v>
      </c>
      <c r="T1825" t="n">
        <v>0</v>
      </c>
      <c r="U1825" t="n">
        <v>0</v>
      </c>
      <c r="V1825" s="2" t="inlineStr"/>
    </row>
    <row r="1826" ht="15" customHeight="1">
      <c r="A1826" t="inlineStr">
        <is>
          <t>A 60947-2025</t>
        </is>
      </c>
      <c r="B1826" t="inlineStr">
        <is>
          <t>avverkningsanmälan</t>
        </is>
      </c>
      <c r="C1826" t="inlineStr">
        <is>
          <t>Föryngringsavverkning</t>
        </is>
      </c>
      <c r="D1826" s="1" t="n">
        <v>45999</v>
      </c>
      <c r="E1826" s="1" t="n">
        <v>46309</v>
      </c>
      <c r="F1826" t="inlineStr">
        <is>
          <t>UPPSALA LÄN</t>
        </is>
      </c>
      <c r="G1826" t="inlineStr">
        <is>
          <t>ENKÖPING</t>
        </is>
      </c>
      <c r="I1826" t="n">
        <v>4</v>
      </c>
      <c r="J1826" t="n">
        <v>0</v>
      </c>
      <c r="K1826" t="n">
        <v>0</v>
      </c>
      <c r="L1826" t="n">
        <v>0</v>
      </c>
      <c r="M1826" t="n">
        <v>0</v>
      </c>
      <c r="N1826" t="n">
        <v>0</v>
      </c>
      <c r="O1826" t="n">
        <v>0</v>
      </c>
      <c r="P1826" t="n">
        <v>0</v>
      </c>
      <c r="Q1826" t="n">
        <v>0</v>
      </c>
      <c r="R1826" t="n">
        <v>0</v>
      </c>
      <c r="S1826" t="n">
        <v>0</v>
      </c>
      <c r="T1826" t="n">
        <v>0</v>
      </c>
      <c r="U1826" t="n">
        <v>0</v>
      </c>
      <c r="V1826" s="2" t="inlineStr"/>
    </row>
    <row r="1827" ht="15" customHeight="1">
      <c r="A1827" t="inlineStr">
        <is>
          <t>A 9474-2026</t>
        </is>
      </c>
      <c r="B1827" t="inlineStr">
        <is>
          <t>avverkningsanmälan</t>
        </is>
      </c>
      <c r="C1827" t="inlineStr">
        <is>
          <t>Föryngringsavverkning</t>
        </is>
      </c>
      <c r="D1827" s="1" t="n">
        <v>46071</v>
      </c>
      <c r="E1827" s="1" t="n">
        <v>46309</v>
      </c>
      <c r="F1827" t="inlineStr">
        <is>
          <t>UPPSALA LÄN</t>
        </is>
      </c>
      <c r="G1827" t="inlineStr">
        <is>
          <t>ENKÖPING</t>
        </is>
      </c>
      <c r="I1827" t="n">
        <v>0.7</v>
      </c>
      <c r="J1827" t="n">
        <v>0</v>
      </c>
      <c r="K1827" t="n">
        <v>0</v>
      </c>
      <c r="L1827" t="n">
        <v>0</v>
      </c>
      <c r="M1827" t="n">
        <v>0</v>
      </c>
      <c r="N1827" t="n">
        <v>0</v>
      </c>
      <c r="O1827" t="n">
        <v>0</v>
      </c>
      <c r="P1827" t="n">
        <v>0</v>
      </c>
      <c r="Q1827" t="n">
        <v>0</v>
      </c>
      <c r="R1827" t="n">
        <v>0</v>
      </c>
      <c r="S1827" t="n">
        <v>0</v>
      </c>
      <c r="T1827" t="n">
        <v>0</v>
      </c>
      <c r="U1827" t="n">
        <v>0</v>
      </c>
      <c r="V1827" s="2" t="inlineStr"/>
    </row>
    <row r="1828" ht="15" customHeight="1">
      <c r="A1828" t="inlineStr">
        <is>
          <t>A 60910-2025</t>
        </is>
      </c>
      <c r="B1828" t="inlineStr">
        <is>
          <t>avverkningsanmälan</t>
        </is>
      </c>
      <c r="C1828" t="inlineStr">
        <is>
          <t>Föryngringsavverkning</t>
        </is>
      </c>
      <c r="D1828" s="1" t="n">
        <v>45999</v>
      </c>
      <c r="E1828" s="1" t="n">
        <v>46309</v>
      </c>
      <c r="F1828" t="inlineStr">
        <is>
          <t>UPPSALA LÄN</t>
        </is>
      </c>
      <c r="G1828" t="inlineStr">
        <is>
          <t>ÖSTHAMMAR</t>
        </is>
      </c>
      <c r="I1828" t="n">
        <v>3.5</v>
      </c>
      <c r="J1828" t="n">
        <v>0</v>
      </c>
      <c r="K1828" t="n">
        <v>0</v>
      </c>
      <c r="L1828" t="n">
        <v>0</v>
      </c>
      <c r="M1828" t="n">
        <v>0</v>
      </c>
      <c r="N1828" t="n">
        <v>0</v>
      </c>
      <c r="O1828" t="n">
        <v>0</v>
      </c>
      <c r="P1828" t="n">
        <v>0</v>
      </c>
      <c r="Q1828" t="n">
        <v>0</v>
      </c>
      <c r="R1828" t="n">
        <v>0</v>
      </c>
      <c r="S1828" t="n">
        <v>0</v>
      </c>
      <c r="T1828" t="n">
        <v>0</v>
      </c>
      <c r="U1828" t="n">
        <v>0</v>
      </c>
      <c r="V1828" s="2" t="inlineStr"/>
    </row>
    <row r="1829" ht="15" customHeight="1">
      <c r="A1829" t="inlineStr">
        <is>
          <t>A 60842-2025</t>
        </is>
      </c>
      <c r="B1829" t="inlineStr">
        <is>
          <t>avverkningsanmälan</t>
        </is>
      </c>
      <c r="C1829" t="inlineStr">
        <is>
          <t>Avverkning för att bevara och utveckla /försöksver</t>
        </is>
      </c>
      <c r="D1829" s="1" t="n">
        <v>45999</v>
      </c>
      <c r="E1829" s="1" t="n">
        <v>46309</v>
      </c>
      <c r="F1829" t="inlineStr">
        <is>
          <t>UPPSALA LÄN</t>
        </is>
      </c>
      <c r="G1829" t="inlineStr">
        <is>
          <t>ÄLVKARLEBY</t>
        </is>
      </c>
      <c r="H1829" t="inlineStr">
        <is>
          <t>Bergvik skog väst AB</t>
        </is>
      </c>
      <c r="I1829" t="n">
        <v>1.9</v>
      </c>
      <c r="J1829" t="n">
        <v>0</v>
      </c>
      <c r="K1829" t="n">
        <v>0</v>
      </c>
      <c r="L1829" t="n">
        <v>0</v>
      </c>
      <c r="M1829" t="n">
        <v>0</v>
      </c>
      <c r="N1829" t="n">
        <v>0</v>
      </c>
      <c r="O1829" t="n">
        <v>0</v>
      </c>
      <c r="P1829" t="n">
        <v>0</v>
      </c>
      <c r="Q1829" t="n">
        <v>0</v>
      </c>
      <c r="R1829" t="n">
        <v>0</v>
      </c>
      <c r="S1829" t="n">
        <v>0</v>
      </c>
      <c r="T1829" t="n">
        <v>0</v>
      </c>
      <c r="U1829" t="n">
        <v>0</v>
      </c>
      <c r="V1829" s="2" t="inlineStr"/>
    </row>
    <row r="1830" ht="15" customHeight="1">
      <c r="A1830" t="inlineStr">
        <is>
          <t>A 9394-2026</t>
        </is>
      </c>
      <c r="B1830" t="inlineStr">
        <is>
          <t>avverkningsanmälan</t>
        </is>
      </c>
      <c r="C1830" t="inlineStr">
        <is>
          <t>Föryngringsavverkning</t>
        </is>
      </c>
      <c r="D1830" s="1" t="n">
        <v>46071</v>
      </c>
      <c r="E1830" s="1" t="n">
        <v>46309</v>
      </c>
      <c r="F1830" t="inlineStr">
        <is>
          <t>UPPSALA LÄN</t>
        </is>
      </c>
      <c r="G1830" t="inlineStr">
        <is>
          <t>ÄLVKARLEBY</t>
        </is>
      </c>
      <c r="H1830" t="inlineStr">
        <is>
          <t>Bergvik skog väst AB</t>
        </is>
      </c>
      <c r="I1830" t="n">
        <v>2.2</v>
      </c>
      <c r="J1830" t="n">
        <v>0</v>
      </c>
      <c r="K1830" t="n">
        <v>0</v>
      </c>
      <c r="L1830" t="n">
        <v>0</v>
      </c>
      <c r="M1830" t="n">
        <v>0</v>
      </c>
      <c r="N1830" t="n">
        <v>0</v>
      </c>
      <c r="O1830" t="n">
        <v>0</v>
      </c>
      <c r="P1830" t="n">
        <v>0</v>
      </c>
      <c r="Q1830" t="n">
        <v>0</v>
      </c>
      <c r="R1830" t="n">
        <v>0</v>
      </c>
      <c r="S1830" t="n">
        <v>0</v>
      </c>
      <c r="T1830" t="n">
        <v>0</v>
      </c>
      <c r="U1830" t="n">
        <v>0</v>
      </c>
      <c r="V1830" s="2" t="inlineStr"/>
    </row>
    <row r="1831" ht="15" customHeight="1">
      <c r="A1831" t="inlineStr">
        <is>
          <t>A 59244-2024</t>
        </is>
      </c>
      <c r="B1831" t="inlineStr">
        <is>
          <t>avverkningsanmälan</t>
        </is>
      </c>
      <c r="C1831" t="inlineStr">
        <is>
          <t>Föryngringsavverkning</t>
        </is>
      </c>
      <c r="D1831" s="1" t="n">
        <v>45637</v>
      </c>
      <c r="E1831" s="1" t="n">
        <v>46309</v>
      </c>
      <c r="F1831" t="inlineStr">
        <is>
          <t>UPPSALA LÄN</t>
        </is>
      </c>
      <c r="G1831" t="inlineStr">
        <is>
          <t>TIERP</t>
        </is>
      </c>
      <c r="I1831" t="n">
        <v>2.1</v>
      </c>
      <c r="J1831" t="n">
        <v>0</v>
      </c>
      <c r="K1831" t="n">
        <v>0</v>
      </c>
      <c r="L1831" t="n">
        <v>0</v>
      </c>
      <c r="M1831" t="n">
        <v>0</v>
      </c>
      <c r="N1831" t="n">
        <v>0</v>
      </c>
      <c r="O1831" t="n">
        <v>0</v>
      </c>
      <c r="P1831" t="n">
        <v>0</v>
      </c>
      <c r="Q1831" t="n">
        <v>0</v>
      </c>
      <c r="R1831" t="n">
        <v>0</v>
      </c>
      <c r="S1831" t="n">
        <v>0</v>
      </c>
      <c r="T1831" t="n">
        <v>0</v>
      </c>
      <c r="U1831" t="n">
        <v>0</v>
      </c>
      <c r="V1831" s="2" t="inlineStr"/>
    </row>
    <row r="1832" ht="15" customHeight="1">
      <c r="A1832" t="inlineStr">
        <is>
          <t>A 59267-2024</t>
        </is>
      </c>
      <c r="B1832" t="inlineStr">
        <is>
          <t>avverkningsanmälan</t>
        </is>
      </c>
      <c r="C1832" t="inlineStr">
        <is>
          <t>Föryngringsavverkning</t>
        </is>
      </c>
      <c r="D1832" s="1" t="n">
        <v>45637</v>
      </c>
      <c r="E1832" s="1" t="n">
        <v>46309</v>
      </c>
      <c r="F1832" t="inlineStr">
        <is>
          <t>UPPSALA LÄN</t>
        </is>
      </c>
      <c r="G1832" t="inlineStr">
        <is>
          <t>TIERP</t>
        </is>
      </c>
      <c r="I1832" t="n">
        <v>4.1</v>
      </c>
      <c r="J1832" t="n">
        <v>0</v>
      </c>
      <c r="K1832" t="n">
        <v>0</v>
      </c>
      <c r="L1832" t="n">
        <v>0</v>
      </c>
      <c r="M1832" t="n">
        <v>0</v>
      </c>
      <c r="N1832" t="n">
        <v>0</v>
      </c>
      <c r="O1832" t="n">
        <v>0</v>
      </c>
      <c r="P1832" t="n">
        <v>0</v>
      </c>
      <c r="Q1832" t="n">
        <v>0</v>
      </c>
      <c r="R1832" t="n">
        <v>0</v>
      </c>
      <c r="S1832" t="n">
        <v>0</v>
      </c>
      <c r="T1832" t="n">
        <v>0</v>
      </c>
      <c r="U1832" t="n">
        <v>0</v>
      </c>
      <c r="V1832" s="2" t="inlineStr"/>
    </row>
    <row r="1833" ht="15" customHeight="1">
      <c r="A1833" t="inlineStr">
        <is>
          <t>A 60795-2025</t>
        </is>
      </c>
      <c r="B1833" t="inlineStr">
        <is>
          <t>avverkningsanmälan</t>
        </is>
      </c>
      <c r="C1833" t="inlineStr">
        <is>
          <t>Föryngringsavverkning</t>
        </is>
      </c>
      <c r="D1833" s="1" t="n">
        <v>45999</v>
      </c>
      <c r="E1833" s="1" t="n">
        <v>46309</v>
      </c>
      <c r="F1833" t="inlineStr">
        <is>
          <t>UPPSALA LÄN</t>
        </is>
      </c>
      <c r="G1833" t="inlineStr">
        <is>
          <t>TIERP</t>
        </is>
      </c>
      <c r="I1833" t="n">
        <v>0.5</v>
      </c>
      <c r="J1833" t="n">
        <v>0</v>
      </c>
      <c r="K1833" t="n">
        <v>0</v>
      </c>
      <c r="L1833" t="n">
        <v>0</v>
      </c>
      <c r="M1833" t="n">
        <v>0</v>
      </c>
      <c r="N1833" t="n">
        <v>0</v>
      </c>
      <c r="O1833" t="n">
        <v>0</v>
      </c>
      <c r="P1833" t="n">
        <v>0</v>
      </c>
      <c r="Q1833" t="n">
        <v>0</v>
      </c>
      <c r="R1833" t="n">
        <v>0</v>
      </c>
      <c r="S1833" t="n">
        <v>0</v>
      </c>
      <c r="T1833" t="n">
        <v>0</v>
      </c>
      <c r="U1833" t="n">
        <v>0</v>
      </c>
      <c r="V1833" s="2" t="inlineStr"/>
    </row>
    <row r="1834" ht="15" customHeight="1">
      <c r="A1834" t="inlineStr">
        <is>
          <t>A 14505-2023</t>
        </is>
      </c>
      <c r="B1834" t="inlineStr">
        <is>
          <t>avverkningsanmälan</t>
        </is>
      </c>
      <c r="C1834" t="inlineStr">
        <is>
          <t>Föryngringsavverkning</t>
        </is>
      </c>
      <c r="D1834" s="1" t="n">
        <v>45012</v>
      </c>
      <c r="E1834" s="1" t="n">
        <v>46309</v>
      </c>
      <c r="F1834" t="inlineStr">
        <is>
          <t>UPPSALA LÄN</t>
        </is>
      </c>
      <c r="G1834" t="inlineStr">
        <is>
          <t>ÖSTHAMMAR</t>
        </is>
      </c>
      <c r="H1834" t="inlineStr">
        <is>
          <t>Bergvik skog öst AB</t>
        </is>
      </c>
      <c r="I1834" t="n">
        <v>1.1</v>
      </c>
      <c r="J1834" t="n">
        <v>0</v>
      </c>
      <c r="K1834" t="n">
        <v>0</v>
      </c>
      <c r="L1834" t="n">
        <v>0</v>
      </c>
      <c r="M1834" t="n">
        <v>0</v>
      </c>
      <c r="N1834" t="n">
        <v>0</v>
      </c>
      <c r="O1834" t="n">
        <v>0</v>
      </c>
      <c r="P1834" t="n">
        <v>0</v>
      </c>
      <c r="Q1834" t="n">
        <v>0</v>
      </c>
      <c r="R1834" t="n">
        <v>0</v>
      </c>
      <c r="S1834" t="n">
        <v>0</v>
      </c>
      <c r="T1834" t="n">
        <v>0</v>
      </c>
      <c r="U1834" t="n">
        <v>0</v>
      </c>
      <c r="V1834" s="2" t="inlineStr"/>
    </row>
    <row r="1835" ht="15" customHeight="1">
      <c r="A1835" t="inlineStr">
        <is>
          <t>A 60577-2021</t>
        </is>
      </c>
      <c r="B1835" t="inlineStr">
        <is>
          <t>avverkningsanmälan</t>
        </is>
      </c>
      <c r="C1835" t="inlineStr">
        <is>
          <t>Föryngringsavverkning</t>
        </is>
      </c>
      <c r="D1835" s="1" t="n">
        <v>44496</v>
      </c>
      <c r="E1835" s="1" t="n">
        <v>46309</v>
      </c>
      <c r="F1835" t="inlineStr">
        <is>
          <t>UPPSALA LÄN</t>
        </is>
      </c>
      <c r="G1835" t="inlineStr">
        <is>
          <t>ÖSTHAMMAR</t>
        </is>
      </c>
      <c r="I1835" t="n">
        <v>0.5</v>
      </c>
      <c r="J1835" t="n">
        <v>0</v>
      </c>
      <c r="K1835" t="n">
        <v>0</v>
      </c>
      <c r="L1835" t="n">
        <v>0</v>
      </c>
      <c r="M1835" t="n">
        <v>0</v>
      </c>
      <c r="N1835" t="n">
        <v>0</v>
      </c>
      <c r="O1835" t="n">
        <v>0</v>
      </c>
      <c r="P1835" t="n">
        <v>0</v>
      </c>
      <c r="Q1835" t="n">
        <v>0</v>
      </c>
      <c r="R1835" t="n">
        <v>0</v>
      </c>
      <c r="S1835" t="n">
        <v>0</v>
      </c>
      <c r="T1835" t="n">
        <v>0</v>
      </c>
      <c r="U1835" t="n">
        <v>0</v>
      </c>
      <c r="V1835" s="2" t="inlineStr"/>
    </row>
    <row r="1836" ht="15" customHeight="1">
      <c r="A1836" t="inlineStr">
        <is>
          <t>A 6660-2026</t>
        </is>
      </c>
      <c r="B1836" t="inlineStr">
        <is>
          <t>avverkningsanmälan</t>
        </is>
      </c>
      <c r="C1836" t="inlineStr">
        <is>
          <t>Föryngringsavverkning</t>
        </is>
      </c>
      <c r="D1836" s="1" t="n">
        <v>46056</v>
      </c>
      <c r="E1836" s="1" t="n">
        <v>46309</v>
      </c>
      <c r="F1836" t="inlineStr">
        <is>
          <t>UPPSALA LÄN</t>
        </is>
      </c>
      <c r="G1836" t="inlineStr">
        <is>
          <t>HEBY</t>
        </is>
      </c>
      <c r="I1836" t="n">
        <v>1.6</v>
      </c>
      <c r="J1836" t="n">
        <v>0</v>
      </c>
      <c r="K1836" t="n">
        <v>0</v>
      </c>
      <c r="L1836" t="n">
        <v>0</v>
      </c>
      <c r="M1836" t="n">
        <v>0</v>
      </c>
      <c r="N1836" t="n">
        <v>0</v>
      </c>
      <c r="O1836" t="n">
        <v>0</v>
      </c>
      <c r="P1836" t="n">
        <v>0</v>
      </c>
      <c r="Q1836" t="n">
        <v>0</v>
      </c>
      <c r="R1836" t="n">
        <v>0</v>
      </c>
      <c r="S1836" t="n">
        <v>0</v>
      </c>
      <c r="T1836" t="n">
        <v>0</v>
      </c>
      <c r="U1836" t="n">
        <v>0</v>
      </c>
      <c r="V1836" s="2" t="inlineStr"/>
    </row>
    <row r="1837" ht="15" customHeight="1">
      <c r="A1837" t="inlineStr">
        <is>
          <t>A 60934-2025</t>
        </is>
      </c>
      <c r="B1837" t="inlineStr">
        <is>
          <t>avverkningsanmälan</t>
        </is>
      </c>
      <c r="C1837" t="inlineStr">
        <is>
          <t>Föryngringsavverkning</t>
        </is>
      </c>
      <c r="D1837" s="1" t="n">
        <v>45999</v>
      </c>
      <c r="E1837" s="1" t="n">
        <v>46309</v>
      </c>
      <c r="F1837" t="inlineStr">
        <is>
          <t>UPPSALA LÄN</t>
        </is>
      </c>
      <c r="G1837" t="inlineStr">
        <is>
          <t>ENKÖPING</t>
        </is>
      </c>
      <c r="I1837" t="n">
        <v>2.5</v>
      </c>
      <c r="J1837" t="n">
        <v>0</v>
      </c>
      <c r="K1837" t="n">
        <v>0</v>
      </c>
      <c r="L1837" t="n">
        <v>0</v>
      </c>
      <c r="M1837" t="n">
        <v>0</v>
      </c>
      <c r="N1837" t="n">
        <v>0</v>
      </c>
      <c r="O1837" t="n">
        <v>0</v>
      </c>
      <c r="P1837" t="n">
        <v>0</v>
      </c>
      <c r="Q1837" t="n">
        <v>0</v>
      </c>
      <c r="R1837" t="n">
        <v>0</v>
      </c>
      <c r="S1837" t="n">
        <v>0</v>
      </c>
      <c r="T1837" t="n">
        <v>0</v>
      </c>
      <c r="U1837" t="n">
        <v>0</v>
      </c>
      <c r="V1837" s="2" t="inlineStr"/>
    </row>
    <row r="1838" ht="15" customHeight="1">
      <c r="A1838" t="inlineStr">
        <is>
          <t>A 58965-2025</t>
        </is>
      </c>
      <c r="B1838" t="inlineStr">
        <is>
          <t>avverkningsanmälan</t>
        </is>
      </c>
      <c r="C1838" t="inlineStr">
        <is>
          <t>Avverkning för annat ändamål</t>
        </is>
      </c>
      <c r="D1838" s="1" t="n">
        <v>45987</v>
      </c>
      <c r="E1838" s="1" t="n">
        <v>46309</v>
      </c>
      <c r="F1838" t="inlineStr">
        <is>
          <t>UPPSALA LÄN</t>
        </is>
      </c>
      <c r="G1838" t="inlineStr">
        <is>
          <t>UPPSALA</t>
        </is>
      </c>
      <c r="I1838" t="n">
        <v>7.7</v>
      </c>
      <c r="J1838" t="n">
        <v>0</v>
      </c>
      <c r="K1838" t="n">
        <v>0</v>
      </c>
      <c r="L1838" t="n">
        <v>0</v>
      </c>
      <c r="M1838" t="n">
        <v>0</v>
      </c>
      <c r="N1838" t="n">
        <v>0</v>
      </c>
      <c r="O1838" t="n">
        <v>0</v>
      </c>
      <c r="P1838" t="n">
        <v>0</v>
      </c>
      <c r="Q1838" t="n">
        <v>0</v>
      </c>
      <c r="R1838" t="n">
        <v>0</v>
      </c>
      <c r="S1838" t="n">
        <v>0</v>
      </c>
      <c r="T1838" t="n">
        <v>0</v>
      </c>
      <c r="U1838" t="n">
        <v>0</v>
      </c>
      <c r="V1838" s="2" t="inlineStr"/>
    </row>
    <row r="1839" ht="15" customHeight="1">
      <c r="A1839" t="inlineStr">
        <is>
          <t>A 19840-2022</t>
        </is>
      </c>
      <c r="B1839" t="inlineStr">
        <is>
          <t>avverkningsanmälan</t>
        </is>
      </c>
      <c r="C1839" t="inlineStr">
        <is>
          <t>Föryngringsavverkning</t>
        </is>
      </c>
      <c r="D1839" s="1" t="n">
        <v>44696</v>
      </c>
      <c r="E1839" s="1" t="n">
        <v>46309</v>
      </c>
      <c r="F1839" t="inlineStr">
        <is>
          <t>UPPSALA LÄN</t>
        </is>
      </c>
      <c r="G1839" t="inlineStr">
        <is>
          <t>TIERP</t>
        </is>
      </c>
      <c r="I1839" t="n">
        <v>3</v>
      </c>
      <c r="J1839" t="n">
        <v>0</v>
      </c>
      <c r="K1839" t="n">
        <v>0</v>
      </c>
      <c r="L1839" t="n">
        <v>0</v>
      </c>
      <c r="M1839" t="n">
        <v>0</v>
      </c>
      <c r="N1839" t="n">
        <v>0</v>
      </c>
      <c r="O1839" t="n">
        <v>0</v>
      </c>
      <c r="P1839" t="n">
        <v>0</v>
      </c>
      <c r="Q1839" t="n">
        <v>0</v>
      </c>
      <c r="R1839" t="n">
        <v>0</v>
      </c>
      <c r="S1839" t="n">
        <v>0</v>
      </c>
      <c r="T1839" t="n">
        <v>0</v>
      </c>
      <c r="U1839" t="n">
        <v>0</v>
      </c>
      <c r="V1839" s="2" t="inlineStr"/>
    </row>
    <row r="1840" ht="15" customHeight="1">
      <c r="A1840" t="inlineStr">
        <is>
          <t>A 9664-2026</t>
        </is>
      </c>
      <c r="B1840" t="inlineStr">
        <is>
          <t>avverkningsanmälan</t>
        </is>
      </c>
      <c r="C1840" t="inlineStr">
        <is>
          <t>Föryngringsavverkning</t>
        </is>
      </c>
      <c r="D1840" s="1" t="n">
        <v>46072</v>
      </c>
      <c r="E1840" s="1" t="n">
        <v>46309</v>
      </c>
      <c r="F1840" t="inlineStr">
        <is>
          <t>UPPSALA LÄN</t>
        </is>
      </c>
      <c r="G1840" t="inlineStr">
        <is>
          <t>ÖSTHAMMAR</t>
        </is>
      </c>
      <c r="H1840" t="inlineStr">
        <is>
          <t>Bergvik skog öst AB</t>
        </is>
      </c>
      <c r="I1840" t="n">
        <v>0.3</v>
      </c>
      <c r="J1840" t="n">
        <v>0</v>
      </c>
      <c r="K1840" t="n">
        <v>0</v>
      </c>
      <c r="L1840" t="n">
        <v>0</v>
      </c>
      <c r="M1840" t="n">
        <v>0</v>
      </c>
      <c r="N1840" t="n">
        <v>0</v>
      </c>
      <c r="O1840" t="n">
        <v>0</v>
      </c>
      <c r="P1840" t="n">
        <v>0</v>
      </c>
      <c r="Q1840" t="n">
        <v>0</v>
      </c>
      <c r="R1840" t="n">
        <v>0</v>
      </c>
      <c r="S1840" t="n">
        <v>0</v>
      </c>
      <c r="T1840" t="n">
        <v>0</v>
      </c>
      <c r="U1840" t="n">
        <v>0</v>
      </c>
      <c r="V1840" s="2" t="inlineStr"/>
    </row>
    <row r="1841" ht="15" customHeight="1">
      <c r="A1841" t="inlineStr">
        <is>
          <t>A 9744-2026</t>
        </is>
      </c>
      <c r="B1841" t="inlineStr">
        <is>
          <t>avverkningsanmälan</t>
        </is>
      </c>
      <c r="C1841" t="inlineStr">
        <is>
          <t>Föryngringsavverkning</t>
        </is>
      </c>
      <c r="D1841" s="1" t="n">
        <v>46072</v>
      </c>
      <c r="E1841" s="1" t="n">
        <v>46309</v>
      </c>
      <c r="F1841" t="inlineStr">
        <is>
          <t>UPPSALA LÄN</t>
        </is>
      </c>
      <c r="G1841" t="inlineStr">
        <is>
          <t>KNIVSTA</t>
        </is>
      </c>
      <c r="I1841" t="n">
        <v>2.4</v>
      </c>
      <c r="J1841" t="n">
        <v>0</v>
      </c>
      <c r="K1841" t="n">
        <v>0</v>
      </c>
      <c r="L1841" t="n">
        <v>0</v>
      </c>
      <c r="M1841" t="n">
        <v>0</v>
      </c>
      <c r="N1841" t="n">
        <v>0</v>
      </c>
      <c r="O1841" t="n">
        <v>0</v>
      </c>
      <c r="P1841" t="n">
        <v>0</v>
      </c>
      <c r="Q1841" t="n">
        <v>0</v>
      </c>
      <c r="R1841" t="n">
        <v>0</v>
      </c>
      <c r="S1841" t="n">
        <v>0</v>
      </c>
      <c r="T1841" t="n">
        <v>0</v>
      </c>
      <c r="U1841" t="n">
        <v>0</v>
      </c>
      <c r="V1841" s="2" t="inlineStr"/>
    </row>
    <row r="1842" ht="15" customHeight="1">
      <c r="A1842" t="inlineStr">
        <is>
          <t>A 9469-2026</t>
        </is>
      </c>
      <c r="B1842" t="inlineStr">
        <is>
          <t>avverkningsanmälan</t>
        </is>
      </c>
      <c r="C1842" t="inlineStr">
        <is>
          <t>Föryngringsavverkning</t>
        </is>
      </c>
      <c r="D1842" s="1" t="n">
        <v>46071</v>
      </c>
      <c r="E1842" s="1" t="n">
        <v>46309</v>
      </c>
      <c r="F1842" t="inlineStr">
        <is>
          <t>UPPSALA LÄN</t>
        </is>
      </c>
      <c r="G1842" t="inlineStr">
        <is>
          <t>ENKÖPING</t>
        </is>
      </c>
      <c r="I1842" t="n">
        <v>3</v>
      </c>
      <c r="J1842" t="n">
        <v>0</v>
      </c>
      <c r="K1842" t="n">
        <v>0</v>
      </c>
      <c r="L1842" t="n">
        <v>0</v>
      </c>
      <c r="M1842" t="n">
        <v>0</v>
      </c>
      <c r="N1842" t="n">
        <v>0</v>
      </c>
      <c r="O1842" t="n">
        <v>0</v>
      </c>
      <c r="P1842" t="n">
        <v>0</v>
      </c>
      <c r="Q1842" t="n">
        <v>0</v>
      </c>
      <c r="R1842" t="n">
        <v>0</v>
      </c>
      <c r="S1842" t="n">
        <v>0</v>
      </c>
      <c r="T1842" t="n">
        <v>0</v>
      </c>
      <c r="U1842" t="n">
        <v>0</v>
      </c>
      <c r="V1842" s="2" t="inlineStr"/>
    </row>
    <row r="1843" ht="15" customHeight="1">
      <c r="A1843" t="inlineStr">
        <is>
          <t>A 61599-2025</t>
        </is>
      </c>
      <c r="B1843" t="inlineStr">
        <is>
          <t>avverkningsanmälan</t>
        </is>
      </c>
      <c r="C1843" t="inlineStr">
        <is>
          <t>Föryngringsavverkning</t>
        </is>
      </c>
      <c r="D1843" s="1" t="n">
        <v>46002</v>
      </c>
      <c r="E1843" s="1" t="n">
        <v>46309</v>
      </c>
      <c r="F1843" t="inlineStr">
        <is>
          <t>UPPSALA LÄN</t>
        </is>
      </c>
      <c r="G1843" t="inlineStr">
        <is>
          <t>TIERP</t>
        </is>
      </c>
      <c r="H1843" t="inlineStr">
        <is>
          <t>Övriga Aktiebolag</t>
        </is>
      </c>
      <c r="I1843" t="n">
        <v>13</v>
      </c>
      <c r="J1843" t="n">
        <v>0</v>
      </c>
      <c r="K1843" t="n">
        <v>0</v>
      </c>
      <c r="L1843" t="n">
        <v>0</v>
      </c>
      <c r="M1843" t="n">
        <v>0</v>
      </c>
      <c r="N1843" t="n">
        <v>0</v>
      </c>
      <c r="O1843" t="n">
        <v>0</v>
      </c>
      <c r="P1843" t="n">
        <v>0</v>
      </c>
      <c r="Q1843" t="n">
        <v>0</v>
      </c>
      <c r="R1843" t="n">
        <v>0</v>
      </c>
      <c r="S1843" t="n">
        <v>0</v>
      </c>
      <c r="T1843" t="n">
        <v>0</v>
      </c>
      <c r="U1843" t="n">
        <v>0</v>
      </c>
      <c r="V1843" s="2" t="inlineStr"/>
    </row>
    <row r="1844" ht="15" customHeight="1">
      <c r="A1844" t="inlineStr">
        <is>
          <t>A 33307-2023</t>
        </is>
      </c>
      <c r="B1844" t="inlineStr">
        <is>
          <t>avverkningsanmälan</t>
        </is>
      </c>
      <c r="C1844" t="inlineStr">
        <is>
          <t>Föryngringsavverkning</t>
        </is>
      </c>
      <c r="D1844" s="1" t="n">
        <v>45127</v>
      </c>
      <c r="E1844" s="1" t="n">
        <v>46309</v>
      </c>
      <c r="F1844" t="inlineStr">
        <is>
          <t>UPPSALA LÄN</t>
        </is>
      </c>
      <c r="G1844" t="inlineStr">
        <is>
          <t>TIERP</t>
        </is>
      </c>
      <c r="I1844" t="n">
        <v>1.1</v>
      </c>
      <c r="J1844" t="n">
        <v>0</v>
      </c>
      <c r="K1844" t="n">
        <v>0</v>
      </c>
      <c r="L1844" t="n">
        <v>0</v>
      </c>
      <c r="M1844" t="n">
        <v>0</v>
      </c>
      <c r="N1844" t="n">
        <v>0</v>
      </c>
      <c r="O1844" t="n">
        <v>0</v>
      </c>
      <c r="P1844" t="n">
        <v>0</v>
      </c>
      <c r="Q1844" t="n">
        <v>0</v>
      </c>
      <c r="R1844" t="n">
        <v>0</v>
      </c>
      <c r="S1844" t="n">
        <v>0</v>
      </c>
      <c r="T1844" t="n">
        <v>0</v>
      </c>
      <c r="U1844" t="n">
        <v>0</v>
      </c>
      <c r="V1844" s="2" t="inlineStr"/>
    </row>
    <row r="1845" ht="15" customHeight="1">
      <c r="A1845" t="inlineStr">
        <is>
          <t>A 10207-2026</t>
        </is>
      </c>
      <c r="B1845" t="inlineStr">
        <is>
          <t>avverkningsanmälan</t>
        </is>
      </c>
      <c r="C1845" t="inlineStr">
        <is>
          <t>Föryngringsavverkning</t>
        </is>
      </c>
      <c r="D1845" s="1" t="n">
        <v>46076</v>
      </c>
      <c r="E1845" s="1" t="n">
        <v>46309</v>
      </c>
      <c r="F1845" t="inlineStr">
        <is>
          <t>UPPSALA LÄN</t>
        </is>
      </c>
      <c r="G1845" t="inlineStr">
        <is>
          <t>TIERP</t>
        </is>
      </c>
      <c r="I1845" t="n">
        <v>4.2</v>
      </c>
      <c r="J1845" t="n">
        <v>0</v>
      </c>
      <c r="K1845" t="n">
        <v>0</v>
      </c>
      <c r="L1845" t="n">
        <v>0</v>
      </c>
      <c r="M1845" t="n">
        <v>0</v>
      </c>
      <c r="N1845" t="n">
        <v>0</v>
      </c>
      <c r="O1845" t="n">
        <v>0</v>
      </c>
      <c r="P1845" t="n">
        <v>0</v>
      </c>
      <c r="Q1845" t="n">
        <v>0</v>
      </c>
      <c r="R1845" t="n">
        <v>0</v>
      </c>
      <c r="S1845" t="n">
        <v>0</v>
      </c>
      <c r="T1845" t="n">
        <v>0</v>
      </c>
      <c r="U1845" t="n">
        <v>0</v>
      </c>
      <c r="V1845" s="2" t="inlineStr"/>
    </row>
    <row r="1846" ht="15" customHeight="1">
      <c r="A1846" t="inlineStr">
        <is>
          <t>A 61437-2025</t>
        </is>
      </c>
      <c r="B1846" t="inlineStr">
        <is>
          <t>avverkningsanmälan</t>
        </is>
      </c>
      <c r="C1846" t="inlineStr">
        <is>
          <t>Föryngringsavverkning</t>
        </is>
      </c>
      <c r="D1846" s="1" t="n">
        <v>46001</v>
      </c>
      <c r="E1846" s="1" t="n">
        <v>46309</v>
      </c>
      <c r="F1846" t="inlineStr">
        <is>
          <t>UPPSALA LÄN</t>
        </is>
      </c>
      <c r="G1846" t="inlineStr">
        <is>
          <t>ENKÖPING</t>
        </is>
      </c>
      <c r="I1846" t="n">
        <v>1</v>
      </c>
      <c r="J1846" t="n">
        <v>0</v>
      </c>
      <c r="K1846" t="n">
        <v>0</v>
      </c>
      <c r="L1846" t="n">
        <v>0</v>
      </c>
      <c r="M1846" t="n">
        <v>0</v>
      </c>
      <c r="N1846" t="n">
        <v>0</v>
      </c>
      <c r="O1846" t="n">
        <v>0</v>
      </c>
      <c r="P1846" t="n">
        <v>0</v>
      </c>
      <c r="Q1846" t="n">
        <v>0</v>
      </c>
      <c r="R1846" t="n">
        <v>0</v>
      </c>
      <c r="S1846" t="n">
        <v>0</v>
      </c>
      <c r="T1846" t="n">
        <v>0</v>
      </c>
      <c r="U1846" t="n">
        <v>0</v>
      </c>
      <c r="V1846" s="2" t="inlineStr"/>
    </row>
    <row r="1847" ht="15" customHeight="1">
      <c r="A1847" t="inlineStr">
        <is>
          <t>A 32023-2023</t>
        </is>
      </c>
      <c r="B1847" t="inlineStr">
        <is>
          <t>avverkningsanmälan</t>
        </is>
      </c>
      <c r="C1847" t="inlineStr">
        <is>
          <t>Föryngringsavverkning</t>
        </is>
      </c>
      <c r="D1847" s="1" t="n">
        <v>45119</v>
      </c>
      <c r="E1847" s="1" t="n">
        <v>46309</v>
      </c>
      <c r="F1847" t="inlineStr">
        <is>
          <t>UPPSALA LÄN</t>
        </is>
      </c>
      <c r="G1847" t="inlineStr">
        <is>
          <t>HÅBO</t>
        </is>
      </c>
      <c r="I1847" t="n">
        <v>3.1</v>
      </c>
      <c r="J1847" t="n">
        <v>0</v>
      </c>
      <c r="K1847" t="n">
        <v>0</v>
      </c>
      <c r="L1847" t="n">
        <v>0</v>
      </c>
      <c r="M1847" t="n">
        <v>0</v>
      </c>
      <c r="N1847" t="n">
        <v>0</v>
      </c>
      <c r="O1847" t="n">
        <v>0</v>
      </c>
      <c r="P1847" t="n">
        <v>0</v>
      </c>
      <c r="Q1847" t="n">
        <v>0</v>
      </c>
      <c r="R1847" t="n">
        <v>0</v>
      </c>
      <c r="S1847" t="n">
        <v>0</v>
      </c>
      <c r="T1847" t="n">
        <v>0</v>
      </c>
      <c r="U1847" t="n">
        <v>0</v>
      </c>
      <c r="V1847" s="2" t="inlineStr"/>
    </row>
    <row r="1848" ht="15" customHeight="1">
      <c r="A1848" t="inlineStr">
        <is>
          <t>A 62695-2023</t>
        </is>
      </c>
      <c r="B1848" t="inlineStr">
        <is>
          <t>avverkningsanmälan</t>
        </is>
      </c>
      <c r="C1848" t="inlineStr">
        <is>
          <t>Föryngringsavverkning</t>
        </is>
      </c>
      <c r="D1848" s="1" t="n">
        <v>45271</v>
      </c>
      <c r="E1848" s="1" t="n">
        <v>46309</v>
      </c>
      <c r="F1848" t="inlineStr">
        <is>
          <t>UPPSALA LÄN</t>
        </is>
      </c>
      <c r="G1848" t="inlineStr">
        <is>
          <t>ÖSTHAMMAR</t>
        </is>
      </c>
      <c r="I1848" t="n">
        <v>5.3</v>
      </c>
      <c r="J1848" t="n">
        <v>0</v>
      </c>
      <c r="K1848" t="n">
        <v>0</v>
      </c>
      <c r="L1848" t="n">
        <v>0</v>
      </c>
      <c r="M1848" t="n">
        <v>0</v>
      </c>
      <c r="N1848" t="n">
        <v>0</v>
      </c>
      <c r="O1848" t="n">
        <v>0</v>
      </c>
      <c r="P1848" t="n">
        <v>0</v>
      </c>
      <c r="Q1848" t="n">
        <v>0</v>
      </c>
      <c r="R1848" t="n">
        <v>0</v>
      </c>
      <c r="S1848" t="n">
        <v>0</v>
      </c>
      <c r="T1848" t="n">
        <v>0</v>
      </c>
      <c r="U1848" t="n">
        <v>0</v>
      </c>
      <c r="V1848" s="2" t="inlineStr"/>
    </row>
    <row r="1849" ht="15" customHeight="1">
      <c r="A1849" t="inlineStr">
        <is>
          <t>A 191-2024</t>
        </is>
      </c>
      <c r="B1849" t="inlineStr">
        <is>
          <t>avverkningsanmälan</t>
        </is>
      </c>
      <c r="C1849" t="inlineStr">
        <is>
          <t>Föryngringsavverkning</t>
        </is>
      </c>
      <c r="D1849" s="1" t="n">
        <v>45294</v>
      </c>
      <c r="E1849" s="1" t="n">
        <v>46309</v>
      </c>
      <c r="F1849" t="inlineStr">
        <is>
          <t>UPPSALA LÄN</t>
        </is>
      </c>
      <c r="G1849" t="inlineStr">
        <is>
          <t>HEBY</t>
        </is>
      </c>
      <c r="H1849" t="inlineStr">
        <is>
          <t>Kommuner</t>
        </is>
      </c>
      <c r="I1849" t="n">
        <v>4.9</v>
      </c>
      <c r="J1849" t="n">
        <v>0</v>
      </c>
      <c r="K1849" t="n">
        <v>0</v>
      </c>
      <c r="L1849" t="n">
        <v>0</v>
      </c>
      <c r="M1849" t="n">
        <v>0</v>
      </c>
      <c r="N1849" t="n">
        <v>0</v>
      </c>
      <c r="O1849" t="n">
        <v>0</v>
      </c>
      <c r="P1849" t="n">
        <v>0</v>
      </c>
      <c r="Q1849" t="n">
        <v>0</v>
      </c>
      <c r="R1849" t="n">
        <v>0</v>
      </c>
      <c r="S1849" t="n">
        <v>0</v>
      </c>
      <c r="T1849" t="n">
        <v>0</v>
      </c>
      <c r="U1849" t="n">
        <v>0</v>
      </c>
      <c r="V1849" s="2" t="inlineStr"/>
    </row>
    <row r="1850" ht="15" customHeight="1">
      <c r="A1850" t="inlineStr">
        <is>
          <t>A 9895-2026</t>
        </is>
      </c>
      <c r="B1850" t="inlineStr">
        <is>
          <t>avverkningsanmälan</t>
        </is>
      </c>
      <c r="C1850" t="inlineStr">
        <is>
          <t>Föryngringsavverkning</t>
        </is>
      </c>
      <c r="D1850" s="1" t="n">
        <v>46073</v>
      </c>
      <c r="E1850" s="1" t="n">
        <v>46309</v>
      </c>
      <c r="F1850" t="inlineStr">
        <is>
          <t>UPPSALA LÄN</t>
        </is>
      </c>
      <c r="G1850" t="inlineStr">
        <is>
          <t>HEBY</t>
        </is>
      </c>
      <c r="I1850" t="n">
        <v>2.4</v>
      </c>
      <c r="J1850" t="n">
        <v>0</v>
      </c>
      <c r="K1850" t="n">
        <v>0</v>
      </c>
      <c r="L1850" t="n">
        <v>0</v>
      </c>
      <c r="M1850" t="n">
        <v>0</v>
      </c>
      <c r="N1850" t="n">
        <v>0</v>
      </c>
      <c r="O1850" t="n">
        <v>0</v>
      </c>
      <c r="P1850" t="n">
        <v>0</v>
      </c>
      <c r="Q1850" t="n">
        <v>0</v>
      </c>
      <c r="R1850" t="n">
        <v>0</v>
      </c>
      <c r="S1850" t="n">
        <v>0</v>
      </c>
      <c r="T1850" t="n">
        <v>0</v>
      </c>
      <c r="U1850" t="n">
        <v>0</v>
      </c>
      <c r="V1850" s="2" t="inlineStr"/>
    </row>
    <row r="1851" ht="15" customHeight="1">
      <c r="A1851" t="inlineStr">
        <is>
          <t>A 10223-2026</t>
        </is>
      </c>
      <c r="B1851" t="inlineStr">
        <is>
          <t>avverkningsanmälan</t>
        </is>
      </c>
      <c r="C1851" t="inlineStr">
        <is>
          <t>Föryngringsavverkning</t>
        </is>
      </c>
      <c r="D1851" s="1" t="n">
        <v>46076</v>
      </c>
      <c r="E1851" s="1" t="n">
        <v>46309</v>
      </c>
      <c r="F1851" t="inlineStr">
        <is>
          <t>UPPSALA LÄN</t>
        </is>
      </c>
      <c r="G1851" t="inlineStr">
        <is>
          <t>UPPSALA</t>
        </is>
      </c>
      <c r="H1851" t="inlineStr">
        <is>
          <t>Holmen skog AB</t>
        </is>
      </c>
      <c r="I1851" t="n">
        <v>3.5</v>
      </c>
      <c r="J1851" t="n">
        <v>0</v>
      </c>
      <c r="K1851" t="n">
        <v>0</v>
      </c>
      <c r="L1851" t="n">
        <v>0</v>
      </c>
      <c r="M1851" t="n">
        <v>0</v>
      </c>
      <c r="N1851" t="n">
        <v>0</v>
      </c>
      <c r="O1851" t="n">
        <v>0</v>
      </c>
      <c r="P1851" t="n">
        <v>0</v>
      </c>
      <c r="Q1851" t="n">
        <v>0</v>
      </c>
      <c r="R1851" t="n">
        <v>0</v>
      </c>
      <c r="S1851" t="n">
        <v>0</v>
      </c>
      <c r="T1851" t="n">
        <v>0</v>
      </c>
      <c r="U1851" t="n">
        <v>0</v>
      </c>
      <c r="V1851" s="2" t="inlineStr"/>
    </row>
    <row r="1852" ht="15" customHeight="1">
      <c r="A1852" t="inlineStr">
        <is>
          <t>A 61694-2025</t>
        </is>
      </c>
      <c r="B1852" t="inlineStr">
        <is>
          <t>avverkningsanmälan</t>
        </is>
      </c>
      <c r="C1852" t="inlineStr">
        <is>
          <t>Föryngringsavverkning</t>
        </is>
      </c>
      <c r="D1852" s="1" t="n">
        <v>46002</v>
      </c>
      <c r="E1852" s="1" t="n">
        <v>46309</v>
      </c>
      <c r="F1852" t="inlineStr">
        <is>
          <t>UPPSALA LÄN</t>
        </is>
      </c>
      <c r="G1852" t="inlineStr">
        <is>
          <t>ÄLVKARLEBY</t>
        </is>
      </c>
      <c r="H1852" t="inlineStr">
        <is>
          <t>Bergvik skog öst AB</t>
        </is>
      </c>
      <c r="I1852" t="n">
        <v>1.5</v>
      </c>
      <c r="J1852" t="n">
        <v>0</v>
      </c>
      <c r="K1852" t="n">
        <v>0</v>
      </c>
      <c r="L1852" t="n">
        <v>0</v>
      </c>
      <c r="M1852" t="n">
        <v>0</v>
      </c>
      <c r="N1852" t="n">
        <v>0</v>
      </c>
      <c r="O1852" t="n">
        <v>0</v>
      </c>
      <c r="P1852" t="n">
        <v>0</v>
      </c>
      <c r="Q1852" t="n">
        <v>0</v>
      </c>
      <c r="R1852" t="n">
        <v>0</v>
      </c>
      <c r="S1852" t="n">
        <v>0</v>
      </c>
      <c r="T1852" t="n">
        <v>0</v>
      </c>
      <c r="U1852" t="n">
        <v>0</v>
      </c>
      <c r="V1852" s="2" t="inlineStr"/>
    </row>
    <row r="1853" ht="15" customHeight="1">
      <c r="A1853" t="inlineStr">
        <is>
          <t>A 61691-2025</t>
        </is>
      </c>
      <c r="B1853" t="inlineStr">
        <is>
          <t>avverkningsanmälan</t>
        </is>
      </c>
      <c r="C1853" t="inlineStr">
        <is>
          <t>Föryngringsavverkning</t>
        </is>
      </c>
      <c r="D1853" s="1" t="n">
        <v>46002</v>
      </c>
      <c r="E1853" s="1" t="n">
        <v>46309</v>
      </c>
      <c r="F1853" t="inlineStr">
        <is>
          <t>UPPSALA LÄN</t>
        </is>
      </c>
      <c r="G1853" t="inlineStr">
        <is>
          <t>ÄLVKARLEBY</t>
        </is>
      </c>
      <c r="H1853" t="inlineStr">
        <is>
          <t>Bergvik skog öst AB</t>
        </is>
      </c>
      <c r="I1853" t="n">
        <v>0.7</v>
      </c>
      <c r="J1853" t="n">
        <v>0</v>
      </c>
      <c r="K1853" t="n">
        <v>0</v>
      </c>
      <c r="L1853" t="n">
        <v>0</v>
      </c>
      <c r="M1853" t="n">
        <v>0</v>
      </c>
      <c r="N1853" t="n">
        <v>0</v>
      </c>
      <c r="O1853" t="n">
        <v>0</v>
      </c>
      <c r="P1853" t="n">
        <v>0</v>
      </c>
      <c r="Q1853" t="n">
        <v>0</v>
      </c>
      <c r="R1853" t="n">
        <v>0</v>
      </c>
      <c r="S1853" t="n">
        <v>0</v>
      </c>
      <c r="T1853" t="n">
        <v>0</v>
      </c>
      <c r="U1853" t="n">
        <v>0</v>
      </c>
      <c r="V1853" s="2" t="inlineStr"/>
    </row>
    <row r="1854" ht="15" customHeight="1">
      <c r="A1854" t="inlineStr">
        <is>
          <t>A 5963-2023</t>
        </is>
      </c>
      <c r="B1854" t="inlineStr">
        <is>
          <t>avverkningsanmälan</t>
        </is>
      </c>
      <c r="C1854" t="inlineStr">
        <is>
          <t>Föryngringsavverkning</t>
        </is>
      </c>
      <c r="D1854" s="1" t="n">
        <v>44964</v>
      </c>
      <c r="E1854" s="1" t="n">
        <v>46309</v>
      </c>
      <c r="F1854" t="inlineStr">
        <is>
          <t>UPPSALA LÄN</t>
        </is>
      </c>
      <c r="G1854" t="inlineStr">
        <is>
          <t>TIERP</t>
        </is>
      </c>
      <c r="H1854" t="inlineStr">
        <is>
          <t>Bergvik skog öst AB</t>
        </is>
      </c>
      <c r="I1854" t="n">
        <v>4.1</v>
      </c>
      <c r="J1854" t="n">
        <v>0</v>
      </c>
      <c r="K1854" t="n">
        <v>0</v>
      </c>
      <c r="L1854" t="n">
        <v>0</v>
      </c>
      <c r="M1854" t="n">
        <v>0</v>
      </c>
      <c r="N1854" t="n">
        <v>0</v>
      </c>
      <c r="O1854" t="n">
        <v>0</v>
      </c>
      <c r="P1854" t="n">
        <v>0</v>
      </c>
      <c r="Q1854" t="n">
        <v>0</v>
      </c>
      <c r="R1854" t="n">
        <v>0</v>
      </c>
      <c r="S1854" t="n">
        <v>0</v>
      </c>
      <c r="T1854" t="n">
        <v>0</v>
      </c>
      <c r="U1854" t="n">
        <v>0</v>
      </c>
      <c r="V1854" s="2" t="inlineStr"/>
    </row>
    <row r="1855" ht="15" customHeight="1">
      <c r="A1855" t="inlineStr">
        <is>
          <t>A 53991-2025</t>
        </is>
      </c>
      <c r="B1855" t="inlineStr">
        <is>
          <t>avverkningsanmälan</t>
        </is>
      </c>
      <c r="C1855" t="inlineStr">
        <is>
          <t>Föryngringsavverkning</t>
        </is>
      </c>
      <c r="D1855" s="1" t="n">
        <v>45961</v>
      </c>
      <c r="E1855" s="1" t="n">
        <v>46309</v>
      </c>
      <c r="F1855" t="inlineStr">
        <is>
          <t>UPPSALA LÄN</t>
        </is>
      </c>
      <c r="G1855" t="inlineStr">
        <is>
          <t>TIERP</t>
        </is>
      </c>
      <c r="H1855" t="inlineStr">
        <is>
          <t>Bergvik skog öst AB</t>
        </is>
      </c>
      <c r="I1855" t="n">
        <v>2.1</v>
      </c>
      <c r="J1855" t="n">
        <v>0</v>
      </c>
      <c r="K1855" t="n">
        <v>0</v>
      </c>
      <c r="L1855" t="n">
        <v>0</v>
      </c>
      <c r="M1855" t="n">
        <v>0</v>
      </c>
      <c r="N1855" t="n">
        <v>0</v>
      </c>
      <c r="O1855" t="n">
        <v>0</v>
      </c>
      <c r="P1855" t="n">
        <v>0</v>
      </c>
      <c r="Q1855" t="n">
        <v>0</v>
      </c>
      <c r="R1855" t="n">
        <v>0</v>
      </c>
      <c r="S1855" t="n">
        <v>0</v>
      </c>
      <c r="T1855" t="n">
        <v>0</v>
      </c>
      <c r="U1855" t="n">
        <v>0</v>
      </c>
      <c r="V1855" s="2" t="inlineStr"/>
    </row>
    <row r="1856" ht="15" customHeight="1">
      <c r="A1856" t="inlineStr">
        <is>
          <t>A 54006-2025</t>
        </is>
      </c>
      <c r="B1856" t="inlineStr">
        <is>
          <t>avverkningsanmälan</t>
        </is>
      </c>
      <c r="C1856" t="inlineStr">
        <is>
          <t>Föryngringsavverkning</t>
        </is>
      </c>
      <c r="D1856" s="1" t="n">
        <v>45961</v>
      </c>
      <c r="E1856" s="1" t="n">
        <v>46309</v>
      </c>
      <c r="F1856" t="inlineStr">
        <is>
          <t>UPPSALA LÄN</t>
        </is>
      </c>
      <c r="G1856" t="inlineStr">
        <is>
          <t>TIERP</t>
        </is>
      </c>
      <c r="H1856" t="inlineStr">
        <is>
          <t>Bergvik skog öst AB</t>
        </is>
      </c>
      <c r="I1856" t="n">
        <v>3.5</v>
      </c>
      <c r="J1856" t="n">
        <v>0</v>
      </c>
      <c r="K1856" t="n">
        <v>0</v>
      </c>
      <c r="L1856" t="n">
        <v>0</v>
      </c>
      <c r="M1856" t="n">
        <v>0</v>
      </c>
      <c r="N1856" t="n">
        <v>0</v>
      </c>
      <c r="O1856" t="n">
        <v>0</v>
      </c>
      <c r="P1856" t="n">
        <v>0</v>
      </c>
      <c r="Q1856" t="n">
        <v>0</v>
      </c>
      <c r="R1856" t="n">
        <v>0</v>
      </c>
      <c r="S1856" t="n">
        <v>0</v>
      </c>
      <c r="T1856" t="n">
        <v>0</v>
      </c>
      <c r="U1856" t="n">
        <v>0</v>
      </c>
      <c r="V1856" s="2" t="inlineStr"/>
    </row>
    <row r="1857" ht="15" customHeight="1">
      <c r="A1857" t="inlineStr">
        <is>
          <t>A 61674-2025</t>
        </is>
      </c>
      <c r="B1857" t="inlineStr">
        <is>
          <t>avverkningsanmälan</t>
        </is>
      </c>
      <c r="C1857" t="inlineStr">
        <is>
          <t>Föryngringsavverkning</t>
        </is>
      </c>
      <c r="D1857" s="1" t="n">
        <v>46002</v>
      </c>
      <c r="E1857" s="1" t="n">
        <v>46309</v>
      </c>
      <c r="F1857" t="inlineStr">
        <is>
          <t>UPPSALA LÄN</t>
        </is>
      </c>
      <c r="G1857" t="inlineStr">
        <is>
          <t>TIERP</t>
        </is>
      </c>
      <c r="H1857" t="inlineStr">
        <is>
          <t>Bergvik skog öst AB</t>
        </is>
      </c>
      <c r="I1857" t="n">
        <v>2.9</v>
      </c>
      <c r="J1857" t="n">
        <v>0</v>
      </c>
      <c r="K1857" t="n">
        <v>0</v>
      </c>
      <c r="L1857" t="n">
        <v>0</v>
      </c>
      <c r="M1857" t="n">
        <v>0</v>
      </c>
      <c r="N1857" t="n">
        <v>0</v>
      </c>
      <c r="O1857" t="n">
        <v>0</v>
      </c>
      <c r="P1857" t="n">
        <v>0</v>
      </c>
      <c r="Q1857" t="n">
        <v>0</v>
      </c>
      <c r="R1857" t="n">
        <v>0</v>
      </c>
      <c r="S1857" t="n">
        <v>0</v>
      </c>
      <c r="T1857" t="n">
        <v>0</v>
      </c>
      <c r="U1857" t="n">
        <v>0</v>
      </c>
      <c r="V1857" s="2" t="inlineStr"/>
    </row>
    <row r="1858" ht="15" customHeight="1">
      <c r="A1858" t="inlineStr">
        <is>
          <t>A 9877-2026</t>
        </is>
      </c>
      <c r="B1858" t="inlineStr">
        <is>
          <t>avverkningsanmälan</t>
        </is>
      </c>
      <c r="C1858" t="inlineStr">
        <is>
          <t>Föryngringsavverkning</t>
        </is>
      </c>
      <c r="D1858" s="1" t="n">
        <v>46073</v>
      </c>
      <c r="E1858" s="1" t="n">
        <v>46309</v>
      </c>
      <c r="F1858" t="inlineStr">
        <is>
          <t>UPPSALA LÄN</t>
        </is>
      </c>
      <c r="G1858" t="inlineStr">
        <is>
          <t>HEBY</t>
        </is>
      </c>
      <c r="I1858" t="n">
        <v>1.1</v>
      </c>
      <c r="J1858" t="n">
        <v>0</v>
      </c>
      <c r="K1858" t="n">
        <v>0</v>
      </c>
      <c r="L1858" t="n">
        <v>0</v>
      </c>
      <c r="M1858" t="n">
        <v>0</v>
      </c>
      <c r="N1858" t="n">
        <v>0</v>
      </c>
      <c r="O1858" t="n">
        <v>0</v>
      </c>
      <c r="P1858" t="n">
        <v>0</v>
      </c>
      <c r="Q1858" t="n">
        <v>0</v>
      </c>
      <c r="R1858" t="n">
        <v>0</v>
      </c>
      <c r="S1858" t="n">
        <v>0</v>
      </c>
      <c r="T1858" t="n">
        <v>0</v>
      </c>
      <c r="U1858" t="n">
        <v>0</v>
      </c>
      <c r="V1858" s="2" t="inlineStr"/>
    </row>
    <row r="1859" ht="15" customHeight="1">
      <c r="A1859" t="inlineStr">
        <is>
          <t>A 10131-2026</t>
        </is>
      </c>
      <c r="B1859" t="inlineStr">
        <is>
          <t>avverkningsanmälan</t>
        </is>
      </c>
      <c r="C1859" t="inlineStr">
        <is>
          <t>Föryngringsavverkning</t>
        </is>
      </c>
      <c r="D1859" s="1" t="n">
        <v>46076</v>
      </c>
      <c r="E1859" s="1" t="n">
        <v>46309</v>
      </c>
      <c r="F1859" t="inlineStr">
        <is>
          <t>UPPSALA LÄN</t>
        </is>
      </c>
      <c r="G1859" t="inlineStr">
        <is>
          <t>HEBY</t>
        </is>
      </c>
      <c r="I1859" t="n">
        <v>4.3</v>
      </c>
      <c r="J1859" t="n">
        <v>0</v>
      </c>
      <c r="K1859" t="n">
        <v>0</v>
      </c>
      <c r="L1859" t="n">
        <v>0</v>
      </c>
      <c r="M1859" t="n">
        <v>0</v>
      </c>
      <c r="N1859" t="n">
        <v>0</v>
      </c>
      <c r="O1859" t="n">
        <v>0</v>
      </c>
      <c r="P1859" t="n">
        <v>0</v>
      </c>
      <c r="Q1859" t="n">
        <v>0</v>
      </c>
      <c r="R1859" t="n">
        <v>0</v>
      </c>
      <c r="S1859" t="n">
        <v>0</v>
      </c>
      <c r="T1859" t="n">
        <v>0</v>
      </c>
      <c r="U1859" t="n">
        <v>0</v>
      </c>
      <c r="V1859" s="2" t="inlineStr"/>
    </row>
    <row r="1860" ht="15" customHeight="1">
      <c r="A1860" t="inlineStr">
        <is>
          <t>A 10211-2026</t>
        </is>
      </c>
      <c r="B1860" t="inlineStr">
        <is>
          <t>avverkningsanmälan</t>
        </is>
      </c>
      <c r="C1860" t="inlineStr">
        <is>
          <t>Föryngringsavverkning</t>
        </is>
      </c>
      <c r="D1860" s="1" t="n">
        <v>46076</v>
      </c>
      <c r="E1860" s="1" t="n">
        <v>46309</v>
      </c>
      <c r="F1860" t="inlineStr">
        <is>
          <t>UPPSALA LÄN</t>
        </is>
      </c>
      <c r="G1860" t="inlineStr">
        <is>
          <t>TIERP</t>
        </is>
      </c>
      <c r="I1860" t="n">
        <v>2.4</v>
      </c>
      <c r="J1860" t="n">
        <v>0</v>
      </c>
      <c r="K1860" t="n">
        <v>0</v>
      </c>
      <c r="L1860" t="n">
        <v>0</v>
      </c>
      <c r="M1860" t="n">
        <v>0</v>
      </c>
      <c r="N1860" t="n">
        <v>0</v>
      </c>
      <c r="O1860" t="n">
        <v>0</v>
      </c>
      <c r="P1860" t="n">
        <v>0</v>
      </c>
      <c r="Q1860" t="n">
        <v>0</v>
      </c>
      <c r="R1860" t="n">
        <v>0</v>
      </c>
      <c r="S1860" t="n">
        <v>0</v>
      </c>
      <c r="T1860" t="n">
        <v>0</v>
      </c>
      <c r="U1860" t="n">
        <v>0</v>
      </c>
      <c r="V1860" s="2" t="inlineStr"/>
    </row>
    <row r="1861" ht="15" customHeight="1">
      <c r="A1861" t="inlineStr">
        <is>
          <t>A 16631-2023</t>
        </is>
      </c>
      <c r="B1861" t="inlineStr">
        <is>
          <t>avverkningsanmälan</t>
        </is>
      </c>
      <c r="C1861" t="inlineStr">
        <is>
          <t>Avverkning för annat ändamål</t>
        </is>
      </c>
      <c r="D1861" s="1" t="n">
        <v>45030</v>
      </c>
      <c r="E1861" s="1" t="n">
        <v>46309</v>
      </c>
      <c r="F1861" t="inlineStr">
        <is>
          <t>UPPSALA LÄN</t>
        </is>
      </c>
      <c r="G1861" t="inlineStr">
        <is>
          <t>TIERP</t>
        </is>
      </c>
      <c r="H1861" t="inlineStr">
        <is>
          <t>Bergvik skog väst AB</t>
        </is>
      </c>
      <c r="I1861" t="n">
        <v>0.3</v>
      </c>
      <c r="J1861" t="n">
        <v>0</v>
      </c>
      <c r="K1861" t="n">
        <v>0</v>
      </c>
      <c r="L1861" t="n">
        <v>0</v>
      </c>
      <c r="M1861" t="n">
        <v>0</v>
      </c>
      <c r="N1861" t="n">
        <v>0</v>
      </c>
      <c r="O1861" t="n">
        <v>0</v>
      </c>
      <c r="P1861" t="n">
        <v>0</v>
      </c>
      <c r="Q1861" t="n">
        <v>0</v>
      </c>
      <c r="R1861" t="n">
        <v>0</v>
      </c>
      <c r="S1861" t="n">
        <v>0</v>
      </c>
      <c r="T1861" t="n">
        <v>0</v>
      </c>
      <c r="U1861" t="n">
        <v>0</v>
      </c>
      <c r="V1861" s="2" t="inlineStr"/>
    </row>
    <row r="1862" ht="15" customHeight="1">
      <c r="A1862" t="inlineStr">
        <is>
          <t>A 61884-2025</t>
        </is>
      </c>
      <c r="B1862" t="inlineStr">
        <is>
          <t>avverkningsanmälan</t>
        </is>
      </c>
      <c r="C1862" t="inlineStr">
        <is>
          <t>Föryngringsavverkning</t>
        </is>
      </c>
      <c r="D1862" s="1" t="n">
        <v>46003</v>
      </c>
      <c r="E1862" s="1" t="n">
        <v>46309</v>
      </c>
      <c r="F1862" t="inlineStr">
        <is>
          <t>UPPSALA LÄN</t>
        </is>
      </c>
      <c r="G1862" t="inlineStr">
        <is>
          <t>HEBY</t>
        </is>
      </c>
      <c r="I1862" t="n">
        <v>1.2</v>
      </c>
      <c r="J1862" t="n">
        <v>0</v>
      </c>
      <c r="K1862" t="n">
        <v>0</v>
      </c>
      <c r="L1862" t="n">
        <v>0</v>
      </c>
      <c r="M1862" t="n">
        <v>0</v>
      </c>
      <c r="N1862" t="n">
        <v>0</v>
      </c>
      <c r="O1862" t="n">
        <v>0</v>
      </c>
      <c r="P1862" t="n">
        <v>0</v>
      </c>
      <c r="Q1862" t="n">
        <v>0</v>
      </c>
      <c r="R1862" t="n">
        <v>0</v>
      </c>
      <c r="S1862" t="n">
        <v>0</v>
      </c>
      <c r="T1862" t="n">
        <v>0</v>
      </c>
      <c r="U1862" t="n">
        <v>0</v>
      </c>
      <c r="V1862" s="2" t="inlineStr"/>
    </row>
    <row r="1863" ht="15" customHeight="1">
      <c r="A1863" t="inlineStr">
        <is>
          <t>A 61886-2025</t>
        </is>
      </c>
      <c r="B1863" t="inlineStr">
        <is>
          <t>avverkningsanmälan</t>
        </is>
      </c>
      <c r="C1863" t="inlineStr">
        <is>
          <t>Föryngringsavverkning</t>
        </is>
      </c>
      <c r="D1863" s="1" t="n">
        <v>46003</v>
      </c>
      <c r="E1863" s="1" t="n">
        <v>46309</v>
      </c>
      <c r="F1863" t="inlineStr">
        <is>
          <t>UPPSALA LÄN</t>
        </is>
      </c>
      <c r="G1863" t="inlineStr">
        <is>
          <t>HEBY</t>
        </is>
      </c>
      <c r="I1863" t="n">
        <v>0.5</v>
      </c>
      <c r="J1863" t="n">
        <v>0</v>
      </c>
      <c r="K1863" t="n">
        <v>0</v>
      </c>
      <c r="L1863" t="n">
        <v>0</v>
      </c>
      <c r="M1863" t="n">
        <v>0</v>
      </c>
      <c r="N1863" t="n">
        <v>0</v>
      </c>
      <c r="O1863" t="n">
        <v>0</v>
      </c>
      <c r="P1863" t="n">
        <v>0</v>
      </c>
      <c r="Q1863" t="n">
        <v>0</v>
      </c>
      <c r="R1863" t="n">
        <v>0</v>
      </c>
      <c r="S1863" t="n">
        <v>0</v>
      </c>
      <c r="T1863" t="n">
        <v>0</v>
      </c>
      <c r="U1863" t="n">
        <v>0</v>
      </c>
      <c r="V1863" s="2" t="inlineStr"/>
    </row>
    <row r="1864" ht="15" customHeight="1">
      <c r="A1864" t="inlineStr">
        <is>
          <t>A 54437-2024</t>
        </is>
      </c>
      <c r="B1864" t="inlineStr">
        <is>
          <t>avverkningsanmälan</t>
        </is>
      </c>
      <c r="C1864" t="inlineStr">
        <is>
          <t>Föryngringsavverkning</t>
        </is>
      </c>
      <c r="D1864" s="1" t="n">
        <v>45617</v>
      </c>
      <c r="E1864" s="1" t="n">
        <v>46309</v>
      </c>
      <c r="F1864" t="inlineStr">
        <is>
          <t>UPPSALA LÄN</t>
        </is>
      </c>
      <c r="G1864" t="inlineStr">
        <is>
          <t>ÖSTHAMMAR</t>
        </is>
      </c>
      <c r="I1864" t="n">
        <v>2.1</v>
      </c>
      <c r="J1864" t="n">
        <v>0</v>
      </c>
      <c r="K1864" t="n">
        <v>0</v>
      </c>
      <c r="L1864" t="n">
        <v>0</v>
      </c>
      <c r="M1864" t="n">
        <v>0</v>
      </c>
      <c r="N1864" t="n">
        <v>0</v>
      </c>
      <c r="O1864" t="n">
        <v>0</v>
      </c>
      <c r="P1864" t="n">
        <v>0</v>
      </c>
      <c r="Q1864" t="n">
        <v>0</v>
      </c>
      <c r="R1864" t="n">
        <v>0</v>
      </c>
      <c r="S1864" t="n">
        <v>0</v>
      </c>
      <c r="T1864" t="n">
        <v>0</v>
      </c>
      <c r="U1864" t="n">
        <v>0</v>
      </c>
      <c r="V1864" s="2" t="inlineStr"/>
    </row>
    <row r="1865" ht="15" customHeight="1">
      <c r="A1865" t="inlineStr">
        <is>
          <t>A 62042-2025</t>
        </is>
      </c>
      <c r="B1865" t="inlineStr">
        <is>
          <t>avverkningsanmälan</t>
        </is>
      </c>
      <c r="C1865" t="inlineStr">
        <is>
          <t>Avverkning för annat ändamål</t>
        </is>
      </c>
      <c r="D1865" s="1" t="n">
        <v>46005</v>
      </c>
      <c r="E1865" s="1" t="n">
        <v>46309</v>
      </c>
      <c r="F1865" t="inlineStr">
        <is>
          <t>UPPSALA LÄN</t>
        </is>
      </c>
      <c r="G1865" t="inlineStr">
        <is>
          <t>HEBY</t>
        </is>
      </c>
      <c r="I1865" t="n">
        <v>0.7</v>
      </c>
      <c r="J1865" t="n">
        <v>0</v>
      </c>
      <c r="K1865" t="n">
        <v>0</v>
      </c>
      <c r="L1865" t="n">
        <v>0</v>
      </c>
      <c r="M1865" t="n">
        <v>0</v>
      </c>
      <c r="N1865" t="n">
        <v>0</v>
      </c>
      <c r="O1865" t="n">
        <v>0</v>
      </c>
      <c r="P1865" t="n">
        <v>0</v>
      </c>
      <c r="Q1865" t="n">
        <v>0</v>
      </c>
      <c r="R1865" t="n">
        <v>0</v>
      </c>
      <c r="S1865" t="n">
        <v>0</v>
      </c>
      <c r="T1865" t="n">
        <v>0</v>
      </c>
      <c r="U1865" t="n">
        <v>0</v>
      </c>
      <c r="V1865" s="2" t="inlineStr"/>
    </row>
    <row r="1866" ht="15" customHeight="1">
      <c r="A1866" t="inlineStr">
        <is>
          <t>A 61838-2025</t>
        </is>
      </c>
      <c r="B1866" t="inlineStr">
        <is>
          <t>avverkningsanmälan</t>
        </is>
      </c>
      <c r="C1866" t="inlineStr">
        <is>
          <t>Föryngringsavverkning</t>
        </is>
      </c>
      <c r="D1866" s="1" t="n">
        <v>46003</v>
      </c>
      <c r="E1866" s="1" t="n">
        <v>46309</v>
      </c>
      <c r="F1866" t="inlineStr">
        <is>
          <t>UPPSALA LÄN</t>
        </is>
      </c>
      <c r="G1866" t="inlineStr">
        <is>
          <t>ÖSTHAMMAR</t>
        </is>
      </c>
      <c r="I1866" t="n">
        <v>1.2</v>
      </c>
      <c r="J1866" t="n">
        <v>0</v>
      </c>
      <c r="K1866" t="n">
        <v>0</v>
      </c>
      <c r="L1866" t="n">
        <v>0</v>
      </c>
      <c r="M1866" t="n">
        <v>0</v>
      </c>
      <c r="N1866" t="n">
        <v>0</v>
      </c>
      <c r="O1866" t="n">
        <v>0</v>
      </c>
      <c r="P1866" t="n">
        <v>0</v>
      </c>
      <c r="Q1866" t="n">
        <v>0</v>
      </c>
      <c r="R1866" t="n">
        <v>0</v>
      </c>
      <c r="S1866" t="n">
        <v>0</v>
      </c>
      <c r="T1866" t="n">
        <v>0</v>
      </c>
      <c r="U1866" t="n">
        <v>0</v>
      </c>
      <c r="V1866" s="2" t="inlineStr"/>
    </row>
    <row r="1867" ht="15" customHeight="1">
      <c r="A1867" t="inlineStr">
        <is>
          <t>A 26380-2023</t>
        </is>
      </c>
      <c r="B1867" t="inlineStr">
        <is>
          <t>avverkningsanmälan</t>
        </is>
      </c>
      <c r="C1867" t="inlineStr">
        <is>
          <t>Avverkning för att bevara och utveckla /försöksver</t>
        </is>
      </c>
      <c r="D1867" s="1" t="n">
        <v>45092</v>
      </c>
      <c r="E1867" s="1" t="n">
        <v>46309</v>
      </c>
      <c r="F1867" t="inlineStr">
        <is>
          <t>UPPSALA LÄN</t>
        </is>
      </c>
      <c r="G1867" t="inlineStr">
        <is>
          <t>TIERP</t>
        </is>
      </c>
      <c r="I1867" t="n">
        <v>2.2</v>
      </c>
      <c r="J1867" t="n">
        <v>0</v>
      </c>
      <c r="K1867" t="n">
        <v>0</v>
      </c>
      <c r="L1867" t="n">
        <v>0</v>
      </c>
      <c r="M1867" t="n">
        <v>0</v>
      </c>
      <c r="N1867" t="n">
        <v>0</v>
      </c>
      <c r="O1867" t="n">
        <v>0</v>
      </c>
      <c r="P1867" t="n">
        <v>0</v>
      </c>
      <c r="Q1867" t="n">
        <v>0</v>
      </c>
      <c r="R1867" t="n">
        <v>0</v>
      </c>
      <c r="S1867" t="n">
        <v>0</v>
      </c>
      <c r="T1867" t="n">
        <v>0</v>
      </c>
      <c r="U1867" t="n">
        <v>0</v>
      </c>
      <c r="V1867" s="2" t="inlineStr"/>
    </row>
    <row r="1868" ht="15" customHeight="1">
      <c r="A1868" t="inlineStr">
        <is>
          <t>A 61883-2025</t>
        </is>
      </c>
      <c r="B1868" t="inlineStr">
        <is>
          <t>avverkningsanmälan</t>
        </is>
      </c>
      <c r="C1868" t="inlineStr">
        <is>
          <t>Föryngringsavverkning</t>
        </is>
      </c>
      <c r="D1868" s="1" t="n">
        <v>46003</v>
      </c>
      <c r="E1868" s="1" t="n">
        <v>46309</v>
      </c>
      <c r="F1868" t="inlineStr">
        <is>
          <t>UPPSALA LÄN</t>
        </is>
      </c>
      <c r="G1868" t="inlineStr">
        <is>
          <t>HEBY</t>
        </is>
      </c>
      <c r="I1868" t="n">
        <v>1.6</v>
      </c>
      <c r="J1868" t="n">
        <v>0</v>
      </c>
      <c r="K1868" t="n">
        <v>0</v>
      </c>
      <c r="L1868" t="n">
        <v>0</v>
      </c>
      <c r="M1868" t="n">
        <v>0</v>
      </c>
      <c r="N1868" t="n">
        <v>0</v>
      </c>
      <c r="O1868" t="n">
        <v>0</v>
      </c>
      <c r="P1868" t="n">
        <v>0</v>
      </c>
      <c r="Q1868" t="n">
        <v>0</v>
      </c>
      <c r="R1868" t="n">
        <v>0</v>
      </c>
      <c r="S1868" t="n">
        <v>0</v>
      </c>
      <c r="T1868" t="n">
        <v>0</v>
      </c>
      <c r="U1868" t="n">
        <v>0</v>
      </c>
      <c r="V1868" s="2" t="inlineStr"/>
    </row>
    <row r="1869" ht="15" customHeight="1">
      <c r="A1869" t="inlineStr">
        <is>
          <t>A 10945-2026</t>
        </is>
      </c>
      <c r="B1869" t="inlineStr">
        <is>
          <t>avverkningsanmälan</t>
        </is>
      </c>
      <c r="C1869" t="inlineStr">
        <is>
          <t>Föryngringsavverkning</t>
        </is>
      </c>
      <c r="D1869" s="1" t="n">
        <v>46079</v>
      </c>
      <c r="E1869" s="1" t="n">
        <v>46309</v>
      </c>
      <c r="F1869" t="inlineStr">
        <is>
          <t>UPPSALA LÄN</t>
        </is>
      </c>
      <c r="G1869" t="inlineStr">
        <is>
          <t>TIERP</t>
        </is>
      </c>
      <c r="I1869" t="n">
        <v>1.7</v>
      </c>
      <c r="J1869" t="n">
        <v>0</v>
      </c>
      <c r="K1869" t="n">
        <v>0</v>
      </c>
      <c r="L1869" t="n">
        <v>0</v>
      </c>
      <c r="M1869" t="n">
        <v>0</v>
      </c>
      <c r="N1869" t="n">
        <v>0</v>
      </c>
      <c r="O1869" t="n">
        <v>0</v>
      </c>
      <c r="P1869" t="n">
        <v>0</v>
      </c>
      <c r="Q1869" t="n">
        <v>0</v>
      </c>
      <c r="R1869" t="n">
        <v>0</v>
      </c>
      <c r="S1869" t="n">
        <v>0</v>
      </c>
      <c r="T1869" t="n">
        <v>0</v>
      </c>
      <c r="U1869" t="n">
        <v>0</v>
      </c>
      <c r="V1869" s="2" t="inlineStr"/>
    </row>
    <row r="1870" ht="15" customHeight="1">
      <c r="A1870" t="inlineStr">
        <is>
          <t>A 61889-2025</t>
        </is>
      </c>
      <c r="B1870" t="inlineStr">
        <is>
          <t>avverkningsanmälan</t>
        </is>
      </c>
      <c r="C1870" t="inlineStr">
        <is>
          <t>Föryngringsavverkning</t>
        </is>
      </c>
      <c r="D1870" s="1" t="n">
        <v>46003</v>
      </c>
      <c r="E1870" s="1" t="n">
        <v>46309</v>
      </c>
      <c r="F1870" t="inlineStr">
        <is>
          <t>UPPSALA LÄN</t>
        </is>
      </c>
      <c r="G1870" t="inlineStr">
        <is>
          <t>ENKÖPING</t>
        </is>
      </c>
      <c r="I1870" t="n">
        <v>2.3</v>
      </c>
      <c r="J1870" t="n">
        <v>0</v>
      </c>
      <c r="K1870" t="n">
        <v>0</v>
      </c>
      <c r="L1870" t="n">
        <v>0</v>
      </c>
      <c r="M1870" t="n">
        <v>0</v>
      </c>
      <c r="N1870" t="n">
        <v>0</v>
      </c>
      <c r="O1870" t="n">
        <v>0</v>
      </c>
      <c r="P1870" t="n">
        <v>0</v>
      </c>
      <c r="Q1870" t="n">
        <v>0</v>
      </c>
      <c r="R1870" t="n">
        <v>0</v>
      </c>
      <c r="S1870" t="n">
        <v>0</v>
      </c>
      <c r="T1870" t="n">
        <v>0</v>
      </c>
      <c r="U1870" t="n">
        <v>0</v>
      </c>
      <c r="V1870" s="2" t="inlineStr"/>
    </row>
    <row r="1871" ht="15" customHeight="1">
      <c r="A1871" t="inlineStr">
        <is>
          <t>A 23742-2024</t>
        </is>
      </c>
      <c r="B1871" t="inlineStr">
        <is>
          <t>avverkningsanmälan</t>
        </is>
      </c>
      <c r="C1871" t="inlineStr">
        <is>
          <t>Föryngringsavverkning</t>
        </is>
      </c>
      <c r="D1871" s="1" t="n">
        <v>45455</v>
      </c>
      <c r="E1871" s="1" t="n">
        <v>46309</v>
      </c>
      <c r="F1871" t="inlineStr">
        <is>
          <t>UPPSALA LÄN</t>
        </is>
      </c>
      <c r="G1871" t="inlineStr">
        <is>
          <t>ÖSTHAMMAR</t>
        </is>
      </c>
      <c r="H1871" t="inlineStr">
        <is>
          <t>Bergvik skog öst AB</t>
        </is>
      </c>
      <c r="I1871" t="n">
        <v>2.2</v>
      </c>
      <c r="J1871" t="n">
        <v>0</v>
      </c>
      <c r="K1871" t="n">
        <v>0</v>
      </c>
      <c r="L1871" t="n">
        <v>0</v>
      </c>
      <c r="M1871" t="n">
        <v>0</v>
      </c>
      <c r="N1871" t="n">
        <v>0</v>
      </c>
      <c r="O1871" t="n">
        <v>0</v>
      </c>
      <c r="P1871" t="n">
        <v>0</v>
      </c>
      <c r="Q1871" t="n">
        <v>0</v>
      </c>
      <c r="R1871" t="n">
        <v>0</v>
      </c>
      <c r="S1871" t="n">
        <v>0</v>
      </c>
      <c r="T1871" t="n">
        <v>0</v>
      </c>
      <c r="U1871" t="n">
        <v>0</v>
      </c>
      <c r="V1871" s="2" t="inlineStr"/>
    </row>
    <row r="1872" ht="15" customHeight="1">
      <c r="A1872" t="inlineStr">
        <is>
          <t>A 61928-2025</t>
        </is>
      </c>
      <c r="B1872" t="inlineStr">
        <is>
          <t>avverkningsanmälan</t>
        </is>
      </c>
      <c r="C1872" t="inlineStr">
        <is>
          <t>Föryngringsavverkning</t>
        </is>
      </c>
      <c r="D1872" s="1" t="n">
        <v>46003</v>
      </c>
      <c r="E1872" s="1" t="n">
        <v>46309</v>
      </c>
      <c r="F1872" t="inlineStr">
        <is>
          <t>UPPSALA LÄN</t>
        </is>
      </c>
      <c r="G1872" t="inlineStr">
        <is>
          <t>TIERP</t>
        </is>
      </c>
      <c r="H1872" t="inlineStr">
        <is>
          <t>Övriga Aktiebolag</t>
        </is>
      </c>
      <c r="I1872" t="n">
        <v>9.1</v>
      </c>
      <c r="J1872" t="n">
        <v>0</v>
      </c>
      <c r="K1872" t="n">
        <v>0</v>
      </c>
      <c r="L1872" t="n">
        <v>0</v>
      </c>
      <c r="M1872" t="n">
        <v>0</v>
      </c>
      <c r="N1872" t="n">
        <v>0</v>
      </c>
      <c r="O1872" t="n">
        <v>0</v>
      </c>
      <c r="P1872" t="n">
        <v>0</v>
      </c>
      <c r="Q1872" t="n">
        <v>0</v>
      </c>
      <c r="R1872" t="n">
        <v>0</v>
      </c>
      <c r="S1872" t="n">
        <v>0</v>
      </c>
      <c r="T1872" t="n">
        <v>0</v>
      </c>
      <c r="U1872" t="n">
        <v>0</v>
      </c>
      <c r="V1872" s="2" t="inlineStr"/>
    </row>
    <row r="1873" ht="15" customHeight="1">
      <c r="A1873" t="inlineStr">
        <is>
          <t>A 7128-2026</t>
        </is>
      </c>
      <c r="B1873" t="inlineStr">
        <is>
          <t>avverkningsanmälan</t>
        </is>
      </c>
      <c r="C1873" t="inlineStr">
        <is>
          <t>Föryngringsavverkning</t>
        </is>
      </c>
      <c r="D1873" s="1" t="n">
        <v>46058</v>
      </c>
      <c r="E1873" s="1" t="n">
        <v>46309</v>
      </c>
      <c r="F1873" t="inlineStr">
        <is>
          <t>UPPSALA LÄN</t>
        </is>
      </c>
      <c r="G1873" t="inlineStr">
        <is>
          <t>HEBY</t>
        </is>
      </c>
      <c r="I1873" t="n">
        <v>11.5</v>
      </c>
      <c r="J1873" t="n">
        <v>0</v>
      </c>
      <c r="K1873" t="n">
        <v>0</v>
      </c>
      <c r="L1873" t="n">
        <v>0</v>
      </c>
      <c r="M1873" t="n">
        <v>0</v>
      </c>
      <c r="N1873" t="n">
        <v>0</v>
      </c>
      <c r="O1873" t="n">
        <v>0</v>
      </c>
      <c r="P1873" t="n">
        <v>0</v>
      </c>
      <c r="Q1873" t="n">
        <v>0</v>
      </c>
      <c r="R1873" t="n">
        <v>0</v>
      </c>
      <c r="S1873" t="n">
        <v>0</v>
      </c>
      <c r="T1873" t="n">
        <v>0</v>
      </c>
      <c r="U1873" t="n">
        <v>0</v>
      </c>
      <c r="V1873" s="2" t="inlineStr"/>
    </row>
    <row r="1874" ht="15" customHeight="1">
      <c r="A1874" t="inlineStr">
        <is>
          <t>A 11056-2026</t>
        </is>
      </c>
      <c r="B1874" t="inlineStr">
        <is>
          <t>avverkningsanmälan</t>
        </is>
      </c>
      <c r="C1874" t="inlineStr">
        <is>
          <t>Föryngringsavverkning</t>
        </is>
      </c>
      <c r="D1874" s="1" t="n">
        <v>46079</v>
      </c>
      <c r="E1874" s="1" t="n">
        <v>46309</v>
      </c>
      <c r="F1874" t="inlineStr">
        <is>
          <t>UPPSALA LÄN</t>
        </is>
      </c>
      <c r="G1874" t="inlineStr">
        <is>
          <t>HEBY</t>
        </is>
      </c>
      <c r="I1874" t="n">
        <v>8.699999999999999</v>
      </c>
      <c r="J1874" t="n">
        <v>0</v>
      </c>
      <c r="K1874" t="n">
        <v>0</v>
      </c>
      <c r="L1874" t="n">
        <v>0</v>
      </c>
      <c r="M1874" t="n">
        <v>0</v>
      </c>
      <c r="N1874" t="n">
        <v>0</v>
      </c>
      <c r="O1874" t="n">
        <v>0</v>
      </c>
      <c r="P1874" t="n">
        <v>0</v>
      </c>
      <c r="Q1874" t="n">
        <v>0</v>
      </c>
      <c r="R1874" t="n">
        <v>0</v>
      </c>
      <c r="S1874" t="n">
        <v>0</v>
      </c>
      <c r="T1874" t="n">
        <v>0</v>
      </c>
      <c r="U1874" t="n">
        <v>0</v>
      </c>
      <c r="V1874" s="2" t="inlineStr"/>
    </row>
    <row r="1875" ht="15" customHeight="1">
      <c r="A1875" t="inlineStr">
        <is>
          <t>A 57770-2025</t>
        </is>
      </c>
      <c r="B1875" t="inlineStr">
        <is>
          <t>avverkningsanmälan</t>
        </is>
      </c>
      <c r="C1875" t="inlineStr">
        <is>
          <t>Föryngringsavverkning</t>
        </is>
      </c>
      <c r="D1875" s="1" t="n">
        <v>45981</v>
      </c>
      <c r="E1875" s="1" t="n">
        <v>46309</v>
      </c>
      <c r="F1875" t="inlineStr">
        <is>
          <t>UPPSALA LÄN</t>
        </is>
      </c>
      <c r="G1875" t="inlineStr">
        <is>
          <t>UPPSALA</t>
        </is>
      </c>
      <c r="I1875" t="n">
        <v>1.1</v>
      </c>
      <c r="J1875" t="n">
        <v>0</v>
      </c>
      <c r="K1875" t="n">
        <v>0</v>
      </c>
      <c r="L1875" t="n">
        <v>0</v>
      </c>
      <c r="M1875" t="n">
        <v>0</v>
      </c>
      <c r="N1875" t="n">
        <v>0</v>
      </c>
      <c r="O1875" t="n">
        <v>0</v>
      </c>
      <c r="P1875" t="n">
        <v>0</v>
      </c>
      <c r="Q1875" t="n">
        <v>0</v>
      </c>
      <c r="R1875" t="n">
        <v>0</v>
      </c>
      <c r="S1875" t="n">
        <v>0</v>
      </c>
      <c r="T1875" t="n">
        <v>0</v>
      </c>
      <c r="U1875" t="n">
        <v>0</v>
      </c>
      <c r="V1875" s="2" t="inlineStr"/>
    </row>
    <row r="1876" ht="15" customHeight="1">
      <c r="A1876" t="inlineStr">
        <is>
          <t>A 62484-2025</t>
        </is>
      </c>
      <c r="B1876" t="inlineStr">
        <is>
          <t>avverkningsanmälan</t>
        </is>
      </c>
      <c r="C1876" t="inlineStr">
        <is>
          <t>Föryngringsavverkning</t>
        </is>
      </c>
      <c r="D1876" s="1" t="n">
        <v>46007</v>
      </c>
      <c r="E1876" s="1" t="n">
        <v>46309</v>
      </c>
      <c r="F1876" t="inlineStr">
        <is>
          <t>UPPSALA LÄN</t>
        </is>
      </c>
      <c r="G1876" t="inlineStr">
        <is>
          <t>TIERP</t>
        </is>
      </c>
      <c r="I1876" t="n">
        <v>1.8</v>
      </c>
      <c r="J1876" t="n">
        <v>0</v>
      </c>
      <c r="K1876" t="n">
        <v>0</v>
      </c>
      <c r="L1876" t="n">
        <v>0</v>
      </c>
      <c r="M1876" t="n">
        <v>0</v>
      </c>
      <c r="N1876" t="n">
        <v>0</v>
      </c>
      <c r="O1876" t="n">
        <v>0</v>
      </c>
      <c r="P1876" t="n">
        <v>0</v>
      </c>
      <c r="Q1876" t="n">
        <v>0</v>
      </c>
      <c r="R1876" t="n">
        <v>0</v>
      </c>
      <c r="S1876" t="n">
        <v>0</v>
      </c>
      <c r="T1876" t="n">
        <v>0</v>
      </c>
      <c r="U1876" t="n">
        <v>0</v>
      </c>
      <c r="V1876" s="2" t="inlineStr"/>
    </row>
    <row r="1877" ht="15" customHeight="1">
      <c r="A1877" t="inlineStr">
        <is>
          <t>A 35868-2022</t>
        </is>
      </c>
      <c r="B1877" t="inlineStr">
        <is>
          <t>avverkningsanmälan</t>
        </is>
      </c>
      <c r="C1877" t="inlineStr">
        <is>
          <t>Föryngringsavverkning</t>
        </is>
      </c>
      <c r="D1877" s="1" t="n">
        <v>44802</v>
      </c>
      <c r="E1877" s="1" t="n">
        <v>46309</v>
      </c>
      <c r="F1877" t="inlineStr">
        <is>
          <t>UPPSALA LÄN</t>
        </is>
      </c>
      <c r="G1877" t="inlineStr">
        <is>
          <t>HEBY</t>
        </is>
      </c>
      <c r="I1877" t="n">
        <v>1.1</v>
      </c>
      <c r="J1877" t="n">
        <v>0</v>
      </c>
      <c r="K1877" t="n">
        <v>0</v>
      </c>
      <c r="L1877" t="n">
        <v>0</v>
      </c>
      <c r="M1877" t="n">
        <v>0</v>
      </c>
      <c r="N1877" t="n">
        <v>0</v>
      </c>
      <c r="O1877" t="n">
        <v>0</v>
      </c>
      <c r="P1877" t="n">
        <v>0</v>
      </c>
      <c r="Q1877" t="n">
        <v>0</v>
      </c>
      <c r="R1877" t="n">
        <v>0</v>
      </c>
      <c r="S1877" t="n">
        <v>0</v>
      </c>
      <c r="T1877" t="n">
        <v>0</v>
      </c>
      <c r="U1877" t="n">
        <v>0</v>
      </c>
      <c r="V1877" s="2" t="inlineStr"/>
    </row>
    <row r="1878" ht="15" customHeight="1">
      <c r="A1878" t="inlineStr">
        <is>
          <t>A 11467-2026</t>
        </is>
      </c>
      <c r="B1878" t="inlineStr">
        <is>
          <t>avverkningsanmälan</t>
        </is>
      </c>
      <c r="C1878" t="inlineStr">
        <is>
          <t>Föryngringsavverkning</t>
        </is>
      </c>
      <c r="D1878" s="1" t="n">
        <v>46083</v>
      </c>
      <c r="E1878" s="1" t="n">
        <v>46309</v>
      </c>
      <c r="F1878" t="inlineStr">
        <is>
          <t>UPPSALA LÄN</t>
        </is>
      </c>
      <c r="G1878" t="inlineStr">
        <is>
          <t>ÄLVKARLEBY</t>
        </is>
      </c>
      <c r="H1878" t="inlineStr">
        <is>
          <t>Bergvik skog väst AB</t>
        </is>
      </c>
      <c r="I1878" t="n">
        <v>1.6</v>
      </c>
      <c r="J1878" t="n">
        <v>0</v>
      </c>
      <c r="K1878" t="n">
        <v>0</v>
      </c>
      <c r="L1878" t="n">
        <v>0</v>
      </c>
      <c r="M1878" t="n">
        <v>0</v>
      </c>
      <c r="N1878" t="n">
        <v>0</v>
      </c>
      <c r="O1878" t="n">
        <v>0</v>
      </c>
      <c r="P1878" t="n">
        <v>0</v>
      </c>
      <c r="Q1878" t="n">
        <v>0</v>
      </c>
      <c r="R1878" t="n">
        <v>0</v>
      </c>
      <c r="S1878" t="n">
        <v>0</v>
      </c>
      <c r="T1878" t="n">
        <v>0</v>
      </c>
      <c r="U1878" t="n">
        <v>0</v>
      </c>
      <c r="V1878" s="2" t="inlineStr"/>
    </row>
    <row r="1879" ht="15" customHeight="1">
      <c r="A1879" t="inlineStr">
        <is>
          <t>A 62475-2025</t>
        </is>
      </c>
      <c r="B1879" t="inlineStr">
        <is>
          <t>avverkningsanmälan</t>
        </is>
      </c>
      <c r="C1879" t="inlineStr">
        <is>
          <t>Föryngringsavverkning</t>
        </is>
      </c>
      <c r="D1879" s="1" t="n">
        <v>46007</v>
      </c>
      <c r="E1879" s="1" t="n">
        <v>46309</v>
      </c>
      <c r="F1879" t="inlineStr">
        <is>
          <t>UPPSALA LÄN</t>
        </is>
      </c>
      <c r="G1879" t="inlineStr">
        <is>
          <t>HEBY</t>
        </is>
      </c>
      <c r="I1879" t="n">
        <v>1.1</v>
      </c>
      <c r="J1879" t="n">
        <v>0</v>
      </c>
      <c r="K1879" t="n">
        <v>0</v>
      </c>
      <c r="L1879" t="n">
        <v>0</v>
      </c>
      <c r="M1879" t="n">
        <v>0</v>
      </c>
      <c r="N1879" t="n">
        <v>0</v>
      </c>
      <c r="O1879" t="n">
        <v>0</v>
      </c>
      <c r="P1879" t="n">
        <v>0</v>
      </c>
      <c r="Q1879" t="n">
        <v>0</v>
      </c>
      <c r="R1879" t="n">
        <v>0</v>
      </c>
      <c r="S1879" t="n">
        <v>0</v>
      </c>
      <c r="T1879" t="n">
        <v>0</v>
      </c>
      <c r="U1879" t="n">
        <v>0</v>
      </c>
      <c r="V1879" s="2" t="inlineStr"/>
    </row>
    <row r="1880" ht="15" customHeight="1">
      <c r="A1880" t="inlineStr">
        <is>
          <t>A 62601-2025</t>
        </is>
      </c>
      <c r="B1880" t="inlineStr">
        <is>
          <t>avverkningsanmälan</t>
        </is>
      </c>
      <c r="C1880" t="inlineStr">
        <is>
          <t>Föryngringsavverkning</t>
        </is>
      </c>
      <c r="D1880" s="1" t="n">
        <v>46007</v>
      </c>
      <c r="E1880" s="1" t="n">
        <v>46309</v>
      </c>
      <c r="F1880" t="inlineStr">
        <is>
          <t>UPPSALA LÄN</t>
        </is>
      </c>
      <c r="G1880" t="inlineStr">
        <is>
          <t>ENKÖPING</t>
        </is>
      </c>
      <c r="I1880" t="n">
        <v>0.5</v>
      </c>
      <c r="J1880" t="n">
        <v>0</v>
      </c>
      <c r="K1880" t="n">
        <v>0</v>
      </c>
      <c r="L1880" t="n">
        <v>0</v>
      </c>
      <c r="M1880" t="n">
        <v>0</v>
      </c>
      <c r="N1880" t="n">
        <v>0</v>
      </c>
      <c r="O1880" t="n">
        <v>0</v>
      </c>
      <c r="P1880" t="n">
        <v>0</v>
      </c>
      <c r="Q1880" t="n">
        <v>0</v>
      </c>
      <c r="R1880" t="n">
        <v>0</v>
      </c>
      <c r="S1880" t="n">
        <v>0</v>
      </c>
      <c r="T1880" t="n">
        <v>0</v>
      </c>
      <c r="U1880" t="n">
        <v>0</v>
      </c>
      <c r="V1880" s="2" t="inlineStr"/>
    </row>
    <row r="1881" ht="15" customHeight="1">
      <c r="A1881" t="inlineStr">
        <is>
          <t>A 62602-2025</t>
        </is>
      </c>
      <c r="B1881" t="inlineStr">
        <is>
          <t>avverkningsanmälan</t>
        </is>
      </c>
      <c r="C1881" t="inlineStr">
        <is>
          <t>Föryngringsavverkning</t>
        </is>
      </c>
      <c r="D1881" s="1" t="n">
        <v>46007</v>
      </c>
      <c r="E1881" s="1" t="n">
        <v>46309</v>
      </c>
      <c r="F1881" t="inlineStr">
        <is>
          <t>UPPSALA LÄN</t>
        </is>
      </c>
      <c r="G1881" t="inlineStr">
        <is>
          <t>ENKÖPING</t>
        </is>
      </c>
      <c r="I1881" t="n">
        <v>0.6</v>
      </c>
      <c r="J1881" t="n">
        <v>0</v>
      </c>
      <c r="K1881" t="n">
        <v>0</v>
      </c>
      <c r="L1881" t="n">
        <v>0</v>
      </c>
      <c r="M1881" t="n">
        <v>0</v>
      </c>
      <c r="N1881" t="n">
        <v>0</v>
      </c>
      <c r="O1881" t="n">
        <v>0</v>
      </c>
      <c r="P1881" t="n">
        <v>0</v>
      </c>
      <c r="Q1881" t="n">
        <v>0</v>
      </c>
      <c r="R1881" t="n">
        <v>0</v>
      </c>
      <c r="S1881" t="n">
        <v>0</v>
      </c>
      <c r="T1881" t="n">
        <v>0</v>
      </c>
      <c r="U1881" t="n">
        <v>0</v>
      </c>
      <c r="V1881" s="2" t="inlineStr"/>
    </row>
    <row r="1882" ht="15" customHeight="1">
      <c r="A1882" t="inlineStr">
        <is>
          <t>A 62745-2025</t>
        </is>
      </c>
      <c r="B1882" t="inlineStr">
        <is>
          <t>avverkningsanmälan</t>
        </is>
      </c>
      <c r="C1882" t="inlineStr">
        <is>
          <t>Föryngringsavverkning</t>
        </is>
      </c>
      <c r="D1882" s="1" t="n">
        <v>46008</v>
      </c>
      <c r="E1882" s="1" t="n">
        <v>46309</v>
      </c>
      <c r="F1882" t="inlineStr">
        <is>
          <t>UPPSALA LÄN</t>
        </is>
      </c>
      <c r="G1882" t="inlineStr">
        <is>
          <t>ÖSTHAMMAR</t>
        </is>
      </c>
      <c r="I1882" t="n">
        <v>2</v>
      </c>
      <c r="J1882" t="n">
        <v>0</v>
      </c>
      <c r="K1882" t="n">
        <v>0</v>
      </c>
      <c r="L1882" t="n">
        <v>0</v>
      </c>
      <c r="M1882" t="n">
        <v>0</v>
      </c>
      <c r="N1882" t="n">
        <v>0</v>
      </c>
      <c r="O1882" t="n">
        <v>0</v>
      </c>
      <c r="P1882" t="n">
        <v>0</v>
      </c>
      <c r="Q1882" t="n">
        <v>0</v>
      </c>
      <c r="R1882" t="n">
        <v>0</v>
      </c>
      <c r="S1882" t="n">
        <v>0</v>
      </c>
      <c r="T1882" t="n">
        <v>0</v>
      </c>
      <c r="U1882" t="n">
        <v>0</v>
      </c>
      <c r="V1882" s="2" t="inlineStr"/>
    </row>
    <row r="1883" ht="15" customHeight="1">
      <c r="A1883" t="inlineStr">
        <is>
          <t>A 11276-2026</t>
        </is>
      </c>
      <c r="B1883" t="inlineStr">
        <is>
          <t>avverkningsanmälan</t>
        </is>
      </c>
      <c r="C1883" t="inlineStr">
        <is>
          <t>Föryngringsavverkning</t>
        </is>
      </c>
      <c r="D1883" s="1" t="n">
        <v>46080</v>
      </c>
      <c r="E1883" s="1" t="n">
        <v>46309</v>
      </c>
      <c r="F1883" t="inlineStr">
        <is>
          <t>UPPSALA LÄN</t>
        </is>
      </c>
      <c r="G1883" t="inlineStr">
        <is>
          <t>UPPSALA</t>
        </is>
      </c>
      <c r="I1883" t="n">
        <v>2.3</v>
      </c>
      <c r="J1883" t="n">
        <v>0</v>
      </c>
      <c r="K1883" t="n">
        <v>0</v>
      </c>
      <c r="L1883" t="n">
        <v>0</v>
      </c>
      <c r="M1883" t="n">
        <v>0</v>
      </c>
      <c r="N1883" t="n">
        <v>0</v>
      </c>
      <c r="O1883" t="n">
        <v>0</v>
      </c>
      <c r="P1883" t="n">
        <v>0</v>
      </c>
      <c r="Q1883" t="n">
        <v>0</v>
      </c>
      <c r="R1883" t="n">
        <v>0</v>
      </c>
      <c r="S1883" t="n">
        <v>0</v>
      </c>
      <c r="T1883" t="n">
        <v>0</v>
      </c>
      <c r="U1883" t="n">
        <v>0</v>
      </c>
      <c r="V1883" s="2" t="inlineStr"/>
    </row>
    <row r="1884" ht="15" customHeight="1">
      <c r="A1884" t="inlineStr">
        <is>
          <t>A 62855-2025</t>
        </is>
      </c>
      <c r="B1884" t="inlineStr">
        <is>
          <t>avverkningsanmälan</t>
        </is>
      </c>
      <c r="C1884" t="inlineStr">
        <is>
          <t>Föryngringsavverkning</t>
        </is>
      </c>
      <c r="D1884" s="1" t="n">
        <v>46008</v>
      </c>
      <c r="E1884" s="1" t="n">
        <v>46309</v>
      </c>
      <c r="F1884" t="inlineStr">
        <is>
          <t>UPPSALA LÄN</t>
        </is>
      </c>
      <c r="G1884" t="inlineStr">
        <is>
          <t>TIERP</t>
        </is>
      </c>
      <c r="I1884" t="n">
        <v>1.2</v>
      </c>
      <c r="J1884" t="n">
        <v>0</v>
      </c>
      <c r="K1884" t="n">
        <v>0</v>
      </c>
      <c r="L1884" t="n">
        <v>0</v>
      </c>
      <c r="M1884" t="n">
        <v>0</v>
      </c>
      <c r="N1884" t="n">
        <v>0</v>
      </c>
      <c r="O1884" t="n">
        <v>0</v>
      </c>
      <c r="P1884" t="n">
        <v>0</v>
      </c>
      <c r="Q1884" t="n">
        <v>0</v>
      </c>
      <c r="R1884" t="n">
        <v>0</v>
      </c>
      <c r="S1884" t="n">
        <v>0</v>
      </c>
      <c r="T1884" t="n">
        <v>0</v>
      </c>
      <c r="U1884" t="n">
        <v>0</v>
      </c>
      <c r="V1884" s="2" t="inlineStr"/>
    </row>
    <row r="1885" ht="15" customHeight="1">
      <c r="A1885" t="inlineStr">
        <is>
          <t>A 62600-2025</t>
        </is>
      </c>
      <c r="B1885" t="inlineStr">
        <is>
          <t>avverkningsanmälan</t>
        </is>
      </c>
      <c r="C1885" t="inlineStr">
        <is>
          <t>Föryngringsavverkning</t>
        </is>
      </c>
      <c r="D1885" s="1" t="n">
        <v>46007</v>
      </c>
      <c r="E1885" s="1" t="n">
        <v>46309</v>
      </c>
      <c r="F1885" t="inlineStr">
        <is>
          <t>UPPSALA LÄN</t>
        </is>
      </c>
      <c r="G1885" t="inlineStr">
        <is>
          <t>ENKÖPING</t>
        </is>
      </c>
      <c r="I1885" t="n">
        <v>2</v>
      </c>
      <c r="J1885" t="n">
        <v>0</v>
      </c>
      <c r="K1885" t="n">
        <v>0</v>
      </c>
      <c r="L1885" t="n">
        <v>0</v>
      </c>
      <c r="M1885" t="n">
        <v>0</v>
      </c>
      <c r="N1885" t="n">
        <v>0</v>
      </c>
      <c r="O1885" t="n">
        <v>0</v>
      </c>
      <c r="P1885" t="n">
        <v>0</v>
      </c>
      <c r="Q1885" t="n">
        <v>0</v>
      </c>
      <c r="R1885" t="n">
        <v>0</v>
      </c>
      <c r="S1885" t="n">
        <v>0</v>
      </c>
      <c r="T1885" t="n">
        <v>0</v>
      </c>
      <c r="U1885" t="n">
        <v>0</v>
      </c>
      <c r="V1885" s="2" t="inlineStr"/>
    </row>
    <row r="1886" ht="15" customHeight="1">
      <c r="A1886" t="inlineStr">
        <is>
          <t>A 63128-2025</t>
        </is>
      </c>
      <c r="B1886" t="inlineStr">
        <is>
          <t>avverkningsanmälan</t>
        </is>
      </c>
      <c r="C1886" t="inlineStr">
        <is>
          <t>Föryngringsavverkning</t>
        </is>
      </c>
      <c r="D1886" s="1" t="n">
        <v>46009</v>
      </c>
      <c r="E1886" s="1" t="n">
        <v>46309</v>
      </c>
      <c r="F1886" t="inlineStr">
        <is>
          <t>UPPSALA LÄN</t>
        </is>
      </c>
      <c r="G1886" t="inlineStr">
        <is>
          <t>ENKÖPING</t>
        </is>
      </c>
      <c r="I1886" t="n">
        <v>0.9</v>
      </c>
      <c r="J1886" t="n">
        <v>0</v>
      </c>
      <c r="K1886" t="n">
        <v>0</v>
      </c>
      <c r="L1886" t="n">
        <v>0</v>
      </c>
      <c r="M1886" t="n">
        <v>0</v>
      </c>
      <c r="N1886" t="n">
        <v>0</v>
      </c>
      <c r="O1886" t="n">
        <v>0</v>
      </c>
      <c r="P1886" t="n">
        <v>0</v>
      </c>
      <c r="Q1886" t="n">
        <v>0</v>
      </c>
      <c r="R1886" t="n">
        <v>0</v>
      </c>
      <c r="S1886" t="n">
        <v>0</v>
      </c>
      <c r="T1886" t="n">
        <v>0</v>
      </c>
      <c r="U1886" t="n">
        <v>0</v>
      </c>
      <c r="V1886" s="2" t="inlineStr"/>
    </row>
    <row r="1887" ht="15" customHeight="1">
      <c r="A1887" t="inlineStr">
        <is>
          <t>A 63263-2025</t>
        </is>
      </c>
      <c r="B1887" t="inlineStr">
        <is>
          <t>avverkningsanmälan</t>
        </is>
      </c>
      <c r="C1887" t="inlineStr">
        <is>
          <t>Föryngringsavverkning</t>
        </is>
      </c>
      <c r="D1887" s="1" t="n">
        <v>46010</v>
      </c>
      <c r="E1887" s="1" t="n">
        <v>46309</v>
      </c>
      <c r="F1887" t="inlineStr">
        <is>
          <t>UPPSALA LÄN</t>
        </is>
      </c>
      <c r="G1887" t="inlineStr">
        <is>
          <t>TIERP</t>
        </is>
      </c>
      <c r="H1887" t="inlineStr">
        <is>
          <t>Bergvik skog öst AB</t>
        </is>
      </c>
      <c r="I1887" t="n">
        <v>1.5</v>
      </c>
      <c r="J1887" t="n">
        <v>0</v>
      </c>
      <c r="K1887" t="n">
        <v>0</v>
      </c>
      <c r="L1887" t="n">
        <v>0</v>
      </c>
      <c r="M1887" t="n">
        <v>0</v>
      </c>
      <c r="N1887" t="n">
        <v>0</v>
      </c>
      <c r="O1887" t="n">
        <v>0</v>
      </c>
      <c r="P1887" t="n">
        <v>0</v>
      </c>
      <c r="Q1887" t="n">
        <v>0</v>
      </c>
      <c r="R1887" t="n">
        <v>0</v>
      </c>
      <c r="S1887" t="n">
        <v>0</v>
      </c>
      <c r="T1887" t="n">
        <v>0</v>
      </c>
      <c r="U1887" t="n">
        <v>0</v>
      </c>
      <c r="V1887" s="2" t="inlineStr"/>
    </row>
    <row r="1888" ht="15" customHeight="1">
      <c r="A1888" t="inlineStr">
        <is>
          <t>A 4343-2025</t>
        </is>
      </c>
      <c r="B1888" t="inlineStr">
        <is>
          <t>avverkningsanmälan</t>
        </is>
      </c>
      <c r="C1888" t="inlineStr">
        <is>
          <t>Föryngringsavverkning</t>
        </is>
      </c>
      <c r="D1888" s="1" t="n">
        <v>45685</v>
      </c>
      <c r="E1888" s="1" t="n">
        <v>46309</v>
      </c>
      <c r="F1888" t="inlineStr">
        <is>
          <t>UPPSALA LÄN</t>
        </is>
      </c>
      <c r="G1888" t="inlineStr">
        <is>
          <t>TIERP</t>
        </is>
      </c>
      <c r="I1888" t="n">
        <v>1.5</v>
      </c>
      <c r="J1888" t="n">
        <v>0</v>
      </c>
      <c r="K1888" t="n">
        <v>0</v>
      </c>
      <c r="L1888" t="n">
        <v>0</v>
      </c>
      <c r="M1888" t="n">
        <v>0</v>
      </c>
      <c r="N1888" t="n">
        <v>0</v>
      </c>
      <c r="O1888" t="n">
        <v>0</v>
      </c>
      <c r="P1888" t="n">
        <v>0</v>
      </c>
      <c r="Q1888" t="n">
        <v>0</v>
      </c>
      <c r="R1888" t="n">
        <v>0</v>
      </c>
      <c r="S1888" t="n">
        <v>0</v>
      </c>
      <c r="T1888" t="n">
        <v>0</v>
      </c>
      <c r="U1888" t="n">
        <v>0</v>
      </c>
      <c r="V1888" s="2" t="inlineStr"/>
    </row>
    <row r="1889" ht="15" customHeight="1">
      <c r="A1889" t="inlineStr">
        <is>
          <t>A 59027-2024</t>
        </is>
      </c>
      <c r="B1889" t="inlineStr">
        <is>
          <t>avverkningsanmälan</t>
        </is>
      </c>
      <c r="C1889" t="inlineStr">
        <is>
          <t>Föryngringsavverkning</t>
        </is>
      </c>
      <c r="D1889" s="1" t="n">
        <v>45636</v>
      </c>
      <c r="E1889" s="1" t="n">
        <v>46309</v>
      </c>
      <c r="F1889" t="inlineStr">
        <is>
          <t>UPPSALA LÄN</t>
        </is>
      </c>
      <c r="G1889" t="inlineStr">
        <is>
          <t>ENKÖPING</t>
        </is>
      </c>
      <c r="I1889" t="n">
        <v>1.1</v>
      </c>
      <c r="J1889" t="n">
        <v>0</v>
      </c>
      <c r="K1889" t="n">
        <v>0</v>
      </c>
      <c r="L1889" t="n">
        <v>0</v>
      </c>
      <c r="M1889" t="n">
        <v>0</v>
      </c>
      <c r="N1889" t="n">
        <v>0</v>
      </c>
      <c r="O1889" t="n">
        <v>0</v>
      </c>
      <c r="P1889" t="n">
        <v>0</v>
      </c>
      <c r="Q1889" t="n">
        <v>0</v>
      </c>
      <c r="R1889" t="n">
        <v>0</v>
      </c>
      <c r="S1889" t="n">
        <v>0</v>
      </c>
      <c r="T1889" t="n">
        <v>0</v>
      </c>
      <c r="U1889" t="n">
        <v>0</v>
      </c>
      <c r="V1889" s="2" t="inlineStr"/>
    </row>
    <row r="1890" ht="15" customHeight="1">
      <c r="A1890" t="inlineStr">
        <is>
          <t>A 63258-2025</t>
        </is>
      </c>
      <c r="B1890" t="inlineStr">
        <is>
          <t>avverkningsanmälan</t>
        </is>
      </c>
      <c r="C1890" t="inlineStr">
        <is>
          <t>Föryngringsavverkning</t>
        </is>
      </c>
      <c r="D1890" s="1" t="n">
        <v>46010</v>
      </c>
      <c r="E1890" s="1" t="n">
        <v>46309</v>
      </c>
      <c r="F1890" t="inlineStr">
        <is>
          <t>UPPSALA LÄN</t>
        </is>
      </c>
      <c r="G1890" t="inlineStr">
        <is>
          <t>TIERP</t>
        </is>
      </c>
      <c r="H1890" t="inlineStr">
        <is>
          <t>Bergvik skog öst AB</t>
        </is>
      </c>
      <c r="I1890" t="n">
        <v>2.7</v>
      </c>
      <c r="J1890" t="n">
        <v>0</v>
      </c>
      <c r="K1890" t="n">
        <v>0</v>
      </c>
      <c r="L1890" t="n">
        <v>0</v>
      </c>
      <c r="M1890" t="n">
        <v>0</v>
      </c>
      <c r="N1890" t="n">
        <v>0</v>
      </c>
      <c r="O1890" t="n">
        <v>0</v>
      </c>
      <c r="P1890" t="n">
        <v>0</v>
      </c>
      <c r="Q1890" t="n">
        <v>0</v>
      </c>
      <c r="R1890" t="n">
        <v>0</v>
      </c>
      <c r="S1890" t="n">
        <v>0</v>
      </c>
      <c r="T1890" t="n">
        <v>0</v>
      </c>
      <c r="U1890" t="n">
        <v>0</v>
      </c>
      <c r="V1890" s="2" t="inlineStr"/>
    </row>
    <row r="1891" ht="15" customHeight="1">
      <c r="A1891" t="inlineStr">
        <is>
          <t>A 31157-2023</t>
        </is>
      </c>
      <c r="B1891" t="inlineStr">
        <is>
          <t>avverkningsanmälan</t>
        </is>
      </c>
      <c r="C1891" t="inlineStr">
        <is>
          <t>Föryngringsavverkning</t>
        </is>
      </c>
      <c r="D1891" s="1" t="n">
        <v>45113</v>
      </c>
      <c r="E1891" s="1" t="n">
        <v>46309</v>
      </c>
      <c r="F1891" t="inlineStr">
        <is>
          <t>UPPSALA LÄN</t>
        </is>
      </c>
      <c r="G1891" t="inlineStr">
        <is>
          <t>UPPSALA</t>
        </is>
      </c>
      <c r="I1891" t="n">
        <v>1.6</v>
      </c>
      <c r="J1891" t="n">
        <v>0</v>
      </c>
      <c r="K1891" t="n">
        <v>0</v>
      </c>
      <c r="L1891" t="n">
        <v>0</v>
      </c>
      <c r="M1891" t="n">
        <v>0</v>
      </c>
      <c r="N1891" t="n">
        <v>0</v>
      </c>
      <c r="O1891" t="n">
        <v>0</v>
      </c>
      <c r="P1891" t="n">
        <v>0</v>
      </c>
      <c r="Q1891" t="n">
        <v>0</v>
      </c>
      <c r="R1891" t="n">
        <v>0</v>
      </c>
      <c r="S1891" t="n">
        <v>0</v>
      </c>
      <c r="T1891" t="n">
        <v>0</v>
      </c>
      <c r="U1891" t="n">
        <v>0</v>
      </c>
      <c r="V1891" s="2" t="inlineStr"/>
    </row>
    <row r="1892" ht="15" customHeight="1">
      <c r="A1892" t="inlineStr">
        <is>
          <t>A 31161-2023</t>
        </is>
      </c>
      <c r="B1892" t="inlineStr">
        <is>
          <t>avverkningsanmälan</t>
        </is>
      </c>
      <c r="C1892" t="inlineStr">
        <is>
          <t>Föryngringsavverkning</t>
        </is>
      </c>
      <c r="D1892" s="1" t="n">
        <v>45113</v>
      </c>
      <c r="E1892" s="1" t="n">
        <v>46309</v>
      </c>
      <c r="F1892" t="inlineStr">
        <is>
          <t>UPPSALA LÄN</t>
        </is>
      </c>
      <c r="G1892" t="inlineStr">
        <is>
          <t>UPPSALA</t>
        </is>
      </c>
      <c r="I1892" t="n">
        <v>0.6</v>
      </c>
      <c r="J1892" t="n">
        <v>0</v>
      </c>
      <c r="K1892" t="n">
        <v>0</v>
      </c>
      <c r="L1892" t="n">
        <v>0</v>
      </c>
      <c r="M1892" t="n">
        <v>0</v>
      </c>
      <c r="N1892" t="n">
        <v>0</v>
      </c>
      <c r="O1892" t="n">
        <v>0</v>
      </c>
      <c r="P1892" t="n">
        <v>0</v>
      </c>
      <c r="Q1892" t="n">
        <v>0</v>
      </c>
      <c r="R1892" t="n">
        <v>0</v>
      </c>
      <c r="S1892" t="n">
        <v>0</v>
      </c>
      <c r="T1892" t="n">
        <v>0</v>
      </c>
      <c r="U1892" t="n">
        <v>0</v>
      </c>
      <c r="V1892" s="2" t="inlineStr"/>
    </row>
    <row r="1893" ht="15" customHeight="1">
      <c r="A1893" t="inlineStr">
        <is>
          <t>A 63259-2025</t>
        </is>
      </c>
      <c r="B1893" t="inlineStr">
        <is>
          <t>avverkningsanmälan</t>
        </is>
      </c>
      <c r="C1893" t="inlineStr">
        <is>
          <t>Föryngringsavverkning</t>
        </is>
      </c>
      <c r="D1893" s="1" t="n">
        <v>46010</v>
      </c>
      <c r="E1893" s="1" t="n">
        <v>46309</v>
      </c>
      <c r="F1893" t="inlineStr">
        <is>
          <t>UPPSALA LÄN</t>
        </is>
      </c>
      <c r="G1893" t="inlineStr">
        <is>
          <t>TIERP</t>
        </is>
      </c>
      <c r="H1893" t="inlineStr">
        <is>
          <t>Bergvik skog öst AB</t>
        </is>
      </c>
      <c r="I1893" t="n">
        <v>1.3</v>
      </c>
      <c r="J1893" t="n">
        <v>0</v>
      </c>
      <c r="K1893" t="n">
        <v>0</v>
      </c>
      <c r="L1893" t="n">
        <v>0</v>
      </c>
      <c r="M1893" t="n">
        <v>0</v>
      </c>
      <c r="N1893" t="n">
        <v>0</v>
      </c>
      <c r="O1893" t="n">
        <v>0</v>
      </c>
      <c r="P1893" t="n">
        <v>0</v>
      </c>
      <c r="Q1893" t="n">
        <v>0</v>
      </c>
      <c r="R1893" t="n">
        <v>0</v>
      </c>
      <c r="S1893" t="n">
        <v>0</v>
      </c>
      <c r="T1893" t="n">
        <v>0</v>
      </c>
      <c r="U1893" t="n">
        <v>0</v>
      </c>
      <c r="V1893" s="2" t="inlineStr"/>
    </row>
    <row r="1894" ht="15" customHeight="1">
      <c r="A1894" t="inlineStr">
        <is>
          <t>A 63262-2025</t>
        </is>
      </c>
      <c r="B1894" t="inlineStr">
        <is>
          <t>avverkningsanmälan</t>
        </is>
      </c>
      <c r="C1894" t="inlineStr">
        <is>
          <t>Föryngringsavverkning</t>
        </is>
      </c>
      <c r="D1894" s="1" t="n">
        <v>46010</v>
      </c>
      <c r="E1894" s="1" t="n">
        <v>46309</v>
      </c>
      <c r="F1894" t="inlineStr">
        <is>
          <t>UPPSALA LÄN</t>
        </is>
      </c>
      <c r="G1894" t="inlineStr">
        <is>
          <t>TIERP</t>
        </is>
      </c>
      <c r="H1894" t="inlineStr">
        <is>
          <t>Bergvik skog öst AB</t>
        </is>
      </c>
      <c r="I1894" t="n">
        <v>1</v>
      </c>
      <c r="J1894" t="n">
        <v>0</v>
      </c>
      <c r="K1894" t="n">
        <v>0</v>
      </c>
      <c r="L1894" t="n">
        <v>0</v>
      </c>
      <c r="M1894" t="n">
        <v>0</v>
      </c>
      <c r="N1894" t="n">
        <v>0</v>
      </c>
      <c r="O1894" t="n">
        <v>0</v>
      </c>
      <c r="P1894" t="n">
        <v>0</v>
      </c>
      <c r="Q1894" t="n">
        <v>0</v>
      </c>
      <c r="R1894" t="n">
        <v>0</v>
      </c>
      <c r="S1894" t="n">
        <v>0</v>
      </c>
      <c r="T1894" t="n">
        <v>0</v>
      </c>
      <c r="U1894" t="n">
        <v>0</v>
      </c>
      <c r="V1894" s="2" t="inlineStr"/>
    </row>
    <row r="1895" ht="15" customHeight="1">
      <c r="A1895" t="inlineStr">
        <is>
          <t>A 63066-2025</t>
        </is>
      </c>
      <c r="B1895" t="inlineStr">
        <is>
          <t>avverkningsanmälan</t>
        </is>
      </c>
      <c r="C1895" t="inlineStr">
        <is>
          <t>Föryngringsavverkning</t>
        </is>
      </c>
      <c r="D1895" s="1" t="n">
        <v>46009</v>
      </c>
      <c r="E1895" s="1" t="n">
        <v>46309</v>
      </c>
      <c r="F1895" t="inlineStr">
        <is>
          <t>UPPSALA LÄN</t>
        </is>
      </c>
      <c r="G1895" t="inlineStr">
        <is>
          <t>TIERP</t>
        </is>
      </c>
      <c r="I1895" t="n">
        <v>3</v>
      </c>
      <c r="J1895" t="n">
        <v>0</v>
      </c>
      <c r="K1895" t="n">
        <v>0</v>
      </c>
      <c r="L1895" t="n">
        <v>0</v>
      </c>
      <c r="M1895" t="n">
        <v>0</v>
      </c>
      <c r="N1895" t="n">
        <v>0</v>
      </c>
      <c r="O1895" t="n">
        <v>0</v>
      </c>
      <c r="P1895" t="n">
        <v>0</v>
      </c>
      <c r="Q1895" t="n">
        <v>0</v>
      </c>
      <c r="R1895" t="n">
        <v>0</v>
      </c>
      <c r="S1895" t="n">
        <v>0</v>
      </c>
      <c r="T1895" t="n">
        <v>0</v>
      </c>
      <c r="U1895" t="n">
        <v>0</v>
      </c>
      <c r="V1895" s="2" t="inlineStr"/>
    </row>
    <row r="1896" ht="15" customHeight="1">
      <c r="A1896" t="inlineStr">
        <is>
          <t>A 55086-2024</t>
        </is>
      </c>
      <c r="B1896" t="inlineStr">
        <is>
          <t>avverkningsanmälan</t>
        </is>
      </c>
      <c r="C1896" t="inlineStr">
        <is>
          <t>Föryngringsavverkning</t>
        </is>
      </c>
      <c r="D1896" s="1" t="n">
        <v>45621</v>
      </c>
      <c r="E1896" s="1" t="n">
        <v>46309</v>
      </c>
      <c r="F1896" t="inlineStr">
        <is>
          <t>UPPSALA LÄN</t>
        </is>
      </c>
      <c r="G1896" t="inlineStr">
        <is>
          <t>ÖSTHAMMAR</t>
        </is>
      </c>
      <c r="H1896" t="inlineStr">
        <is>
          <t>Sveaskog</t>
        </is>
      </c>
      <c r="I1896" t="n">
        <v>1</v>
      </c>
      <c r="J1896" t="n">
        <v>0</v>
      </c>
      <c r="K1896" t="n">
        <v>0</v>
      </c>
      <c r="L1896" t="n">
        <v>0</v>
      </c>
      <c r="M1896" t="n">
        <v>0</v>
      </c>
      <c r="N1896" t="n">
        <v>0</v>
      </c>
      <c r="O1896" t="n">
        <v>0</v>
      </c>
      <c r="P1896" t="n">
        <v>0</v>
      </c>
      <c r="Q1896" t="n">
        <v>0</v>
      </c>
      <c r="R1896" t="n">
        <v>0</v>
      </c>
      <c r="S1896" t="n">
        <v>0</v>
      </c>
      <c r="T1896" t="n">
        <v>0</v>
      </c>
      <c r="U1896" t="n">
        <v>0</v>
      </c>
      <c r="V1896" s="2" t="inlineStr"/>
    </row>
    <row r="1897" ht="15" customHeight="1">
      <c r="A1897" t="inlineStr">
        <is>
          <t>A 55090-2024</t>
        </is>
      </c>
      <c r="B1897" t="inlineStr">
        <is>
          <t>avverkningsanmälan</t>
        </is>
      </c>
      <c r="C1897" t="inlineStr">
        <is>
          <t>Föryngringsavverkning</t>
        </is>
      </c>
      <c r="D1897" s="1" t="n">
        <v>45621</v>
      </c>
      <c r="E1897" s="1" t="n">
        <v>46309</v>
      </c>
      <c r="F1897" t="inlineStr">
        <is>
          <t>UPPSALA LÄN</t>
        </is>
      </c>
      <c r="G1897" t="inlineStr">
        <is>
          <t>ÖSTHAMMAR</t>
        </is>
      </c>
      <c r="H1897" t="inlineStr">
        <is>
          <t>Sveaskog</t>
        </is>
      </c>
      <c r="I1897" t="n">
        <v>4.4</v>
      </c>
      <c r="J1897" t="n">
        <v>0</v>
      </c>
      <c r="K1897" t="n">
        <v>0</v>
      </c>
      <c r="L1897" t="n">
        <v>0</v>
      </c>
      <c r="M1897" t="n">
        <v>0</v>
      </c>
      <c r="N1897" t="n">
        <v>0</v>
      </c>
      <c r="O1897" t="n">
        <v>0</v>
      </c>
      <c r="P1897" t="n">
        <v>0</v>
      </c>
      <c r="Q1897" t="n">
        <v>0</v>
      </c>
      <c r="R1897" t="n">
        <v>0</v>
      </c>
      <c r="S1897" t="n">
        <v>0</v>
      </c>
      <c r="T1897" t="n">
        <v>0</v>
      </c>
      <c r="U1897" t="n">
        <v>0</v>
      </c>
      <c r="V1897" s="2" t="inlineStr"/>
    </row>
    <row r="1898" ht="15" customHeight="1">
      <c r="A1898" t="inlineStr">
        <is>
          <t>A 55093-2024</t>
        </is>
      </c>
      <c r="B1898" t="inlineStr">
        <is>
          <t>avverkningsanmälan</t>
        </is>
      </c>
      <c r="C1898" t="inlineStr">
        <is>
          <t>Föryngringsavverkning</t>
        </is>
      </c>
      <c r="D1898" s="1" t="n">
        <v>45621</v>
      </c>
      <c r="E1898" s="1" t="n">
        <v>46309</v>
      </c>
      <c r="F1898" t="inlineStr">
        <is>
          <t>UPPSALA LÄN</t>
        </is>
      </c>
      <c r="G1898" t="inlineStr">
        <is>
          <t>ÖSTHAMMAR</t>
        </is>
      </c>
      <c r="H1898" t="inlineStr">
        <is>
          <t>Sveaskog</t>
        </is>
      </c>
      <c r="I1898" t="n">
        <v>1.2</v>
      </c>
      <c r="J1898" t="n">
        <v>0</v>
      </c>
      <c r="K1898" t="n">
        <v>0</v>
      </c>
      <c r="L1898" t="n">
        <v>0</v>
      </c>
      <c r="M1898" t="n">
        <v>0</v>
      </c>
      <c r="N1898" t="n">
        <v>0</v>
      </c>
      <c r="O1898" t="n">
        <v>0</v>
      </c>
      <c r="P1898" t="n">
        <v>0</v>
      </c>
      <c r="Q1898" t="n">
        <v>0</v>
      </c>
      <c r="R1898" t="n">
        <v>0</v>
      </c>
      <c r="S1898" t="n">
        <v>0</v>
      </c>
      <c r="T1898" t="n">
        <v>0</v>
      </c>
      <c r="U1898" t="n">
        <v>0</v>
      </c>
      <c r="V1898" s="2" t="inlineStr"/>
    </row>
    <row r="1899" ht="15" customHeight="1">
      <c r="A1899" t="inlineStr">
        <is>
          <t>A 62872-2025</t>
        </is>
      </c>
      <c r="B1899" t="inlineStr">
        <is>
          <t>avverkningsanmälan</t>
        </is>
      </c>
      <c r="C1899" t="inlineStr">
        <is>
          <t>Föryngringsavverkning</t>
        </is>
      </c>
      <c r="D1899" s="1" t="n">
        <v>46008</v>
      </c>
      <c r="E1899" s="1" t="n">
        <v>46309</v>
      </c>
      <c r="F1899" t="inlineStr">
        <is>
          <t>UPPSALA LÄN</t>
        </is>
      </c>
      <c r="G1899" t="inlineStr">
        <is>
          <t>TIERP</t>
        </is>
      </c>
      <c r="I1899" t="n">
        <v>2.7</v>
      </c>
      <c r="J1899" t="n">
        <v>0</v>
      </c>
      <c r="K1899" t="n">
        <v>0</v>
      </c>
      <c r="L1899" t="n">
        <v>0</v>
      </c>
      <c r="M1899" t="n">
        <v>0</v>
      </c>
      <c r="N1899" t="n">
        <v>0</v>
      </c>
      <c r="O1899" t="n">
        <v>0</v>
      </c>
      <c r="P1899" t="n">
        <v>0</v>
      </c>
      <c r="Q1899" t="n">
        <v>0</v>
      </c>
      <c r="R1899" t="n">
        <v>0</v>
      </c>
      <c r="S1899" t="n">
        <v>0</v>
      </c>
      <c r="T1899" t="n">
        <v>0</v>
      </c>
      <c r="U1899" t="n">
        <v>0</v>
      </c>
      <c r="V1899" s="2" t="inlineStr"/>
    </row>
    <row r="1900" ht="15" customHeight="1">
      <c r="A1900" t="inlineStr">
        <is>
          <t>A 63331-2025</t>
        </is>
      </c>
      <c r="B1900" t="inlineStr">
        <is>
          <t>avverkningsanmälan</t>
        </is>
      </c>
      <c r="C1900" t="inlineStr">
        <is>
          <t>Föryngringsavverkning</t>
        </is>
      </c>
      <c r="D1900" s="1" t="n">
        <v>46010</v>
      </c>
      <c r="E1900" s="1" t="n">
        <v>46309</v>
      </c>
      <c r="F1900" t="inlineStr">
        <is>
          <t>UPPSALA LÄN</t>
        </is>
      </c>
      <c r="G1900" t="inlineStr">
        <is>
          <t>TIERP</t>
        </is>
      </c>
      <c r="H1900" t="inlineStr">
        <is>
          <t>Bergvik skog öst AB</t>
        </is>
      </c>
      <c r="I1900" t="n">
        <v>1.2</v>
      </c>
      <c r="J1900" t="n">
        <v>0</v>
      </c>
      <c r="K1900" t="n">
        <v>0</v>
      </c>
      <c r="L1900" t="n">
        <v>0</v>
      </c>
      <c r="M1900" t="n">
        <v>0</v>
      </c>
      <c r="N1900" t="n">
        <v>0</v>
      </c>
      <c r="O1900" t="n">
        <v>0</v>
      </c>
      <c r="P1900" t="n">
        <v>0</v>
      </c>
      <c r="Q1900" t="n">
        <v>0</v>
      </c>
      <c r="R1900" t="n">
        <v>0</v>
      </c>
      <c r="S1900" t="n">
        <v>0</v>
      </c>
      <c r="T1900" t="n">
        <v>0</v>
      </c>
      <c r="U1900" t="n">
        <v>0</v>
      </c>
      <c r="V1900" s="2" t="inlineStr"/>
    </row>
    <row r="1901" ht="15" customHeight="1">
      <c r="A1901" t="inlineStr">
        <is>
          <t>A 16083-2025</t>
        </is>
      </c>
      <c r="B1901" t="inlineStr">
        <is>
          <t>avverkningsanmälan</t>
        </is>
      </c>
      <c r="C1901" t="inlineStr">
        <is>
          <t>Föryngringsavverkning</t>
        </is>
      </c>
      <c r="D1901" s="1" t="n">
        <v>45749</v>
      </c>
      <c r="E1901" s="1" t="n">
        <v>46309</v>
      </c>
      <c r="F1901" t="inlineStr">
        <is>
          <t>UPPSALA LÄN</t>
        </is>
      </c>
      <c r="G1901" t="inlineStr">
        <is>
          <t>HEBY</t>
        </is>
      </c>
      <c r="I1901" t="n">
        <v>1.4</v>
      </c>
      <c r="J1901" t="n">
        <v>0</v>
      </c>
      <c r="K1901" t="n">
        <v>0</v>
      </c>
      <c r="L1901" t="n">
        <v>0</v>
      </c>
      <c r="M1901" t="n">
        <v>0</v>
      </c>
      <c r="N1901" t="n">
        <v>0</v>
      </c>
      <c r="O1901" t="n">
        <v>0</v>
      </c>
      <c r="P1901" t="n">
        <v>0</v>
      </c>
      <c r="Q1901" t="n">
        <v>0</v>
      </c>
      <c r="R1901" t="n">
        <v>0</v>
      </c>
      <c r="S1901" t="n">
        <v>0</v>
      </c>
      <c r="T1901" t="n">
        <v>0</v>
      </c>
      <c r="U1901" t="n">
        <v>0</v>
      </c>
      <c r="V1901" s="2" t="inlineStr"/>
    </row>
    <row r="1902" ht="15" customHeight="1">
      <c r="A1902" t="inlineStr">
        <is>
          <t>A 17593-2025</t>
        </is>
      </c>
      <c r="B1902" t="inlineStr">
        <is>
          <t>avverkningsanmälan</t>
        </is>
      </c>
      <c r="C1902" t="inlineStr">
        <is>
          <t>Föryngringsavverkning</t>
        </is>
      </c>
      <c r="D1902" s="1" t="n">
        <v>45757</v>
      </c>
      <c r="E1902" s="1" t="n">
        <v>46309</v>
      </c>
      <c r="F1902" t="inlineStr">
        <is>
          <t>UPPSALA LÄN</t>
        </is>
      </c>
      <c r="G1902" t="inlineStr">
        <is>
          <t>UPPSALA</t>
        </is>
      </c>
      <c r="I1902" t="n">
        <v>3.6</v>
      </c>
      <c r="J1902" t="n">
        <v>0</v>
      </c>
      <c r="K1902" t="n">
        <v>0</v>
      </c>
      <c r="L1902" t="n">
        <v>0</v>
      </c>
      <c r="M1902" t="n">
        <v>0</v>
      </c>
      <c r="N1902" t="n">
        <v>0</v>
      </c>
      <c r="O1902" t="n">
        <v>0</v>
      </c>
      <c r="P1902" t="n">
        <v>0</v>
      </c>
      <c r="Q1902" t="n">
        <v>0</v>
      </c>
      <c r="R1902" t="n">
        <v>0</v>
      </c>
      <c r="S1902" t="n">
        <v>0</v>
      </c>
      <c r="T1902" t="n">
        <v>0</v>
      </c>
      <c r="U1902" t="n">
        <v>0</v>
      </c>
      <c r="V1902" s="2" t="inlineStr"/>
    </row>
    <row r="1903" ht="15" customHeight="1">
      <c r="A1903" t="inlineStr">
        <is>
          <t>A 62874-2025</t>
        </is>
      </c>
      <c r="B1903" t="inlineStr">
        <is>
          <t>avverkningsanmälan</t>
        </is>
      </c>
      <c r="C1903" t="inlineStr">
        <is>
          <t>Föryngringsavverkning</t>
        </is>
      </c>
      <c r="D1903" s="1" t="n">
        <v>46008</v>
      </c>
      <c r="E1903" s="1" t="n">
        <v>46309</v>
      </c>
      <c r="F1903" t="inlineStr">
        <is>
          <t>UPPSALA LÄN</t>
        </is>
      </c>
      <c r="G1903" t="inlineStr">
        <is>
          <t>TIERP</t>
        </is>
      </c>
      <c r="I1903" t="n">
        <v>1.2</v>
      </c>
      <c r="J1903" t="n">
        <v>0</v>
      </c>
      <c r="K1903" t="n">
        <v>0</v>
      </c>
      <c r="L1903" t="n">
        <v>0</v>
      </c>
      <c r="M1903" t="n">
        <v>0</v>
      </c>
      <c r="N1903" t="n">
        <v>0</v>
      </c>
      <c r="O1903" t="n">
        <v>0</v>
      </c>
      <c r="P1903" t="n">
        <v>0</v>
      </c>
      <c r="Q1903" t="n">
        <v>0</v>
      </c>
      <c r="R1903" t="n">
        <v>0</v>
      </c>
      <c r="S1903" t="n">
        <v>0</v>
      </c>
      <c r="T1903" t="n">
        <v>0</v>
      </c>
      <c r="U1903" t="n">
        <v>0</v>
      </c>
      <c r="V1903" s="2" t="inlineStr"/>
    </row>
    <row r="1904" ht="15" customHeight="1">
      <c r="A1904" t="inlineStr">
        <is>
          <t>A 63365-2025</t>
        </is>
      </c>
      <c r="B1904" t="inlineStr">
        <is>
          <t>avverkningsanmälan</t>
        </is>
      </c>
      <c r="C1904" t="inlineStr">
        <is>
          <t>Föryngringsavverkning</t>
        </is>
      </c>
      <c r="D1904" s="1" t="n">
        <v>46010</v>
      </c>
      <c r="E1904" s="1" t="n">
        <v>46309</v>
      </c>
      <c r="F1904" t="inlineStr">
        <is>
          <t>UPPSALA LÄN</t>
        </is>
      </c>
      <c r="G1904" t="inlineStr">
        <is>
          <t>ÄLVKARLEBY</t>
        </is>
      </c>
      <c r="H1904" t="inlineStr">
        <is>
          <t>Bergvik skog väst AB</t>
        </is>
      </c>
      <c r="I1904" t="n">
        <v>1.5</v>
      </c>
      <c r="J1904" t="n">
        <v>0</v>
      </c>
      <c r="K1904" t="n">
        <v>0</v>
      </c>
      <c r="L1904" t="n">
        <v>0</v>
      </c>
      <c r="M1904" t="n">
        <v>0</v>
      </c>
      <c r="N1904" t="n">
        <v>0</v>
      </c>
      <c r="O1904" t="n">
        <v>0</v>
      </c>
      <c r="P1904" t="n">
        <v>0</v>
      </c>
      <c r="Q1904" t="n">
        <v>0</v>
      </c>
      <c r="R1904" t="n">
        <v>0</v>
      </c>
      <c r="S1904" t="n">
        <v>0</v>
      </c>
      <c r="T1904" t="n">
        <v>0</v>
      </c>
      <c r="U1904" t="n">
        <v>0</v>
      </c>
      <c r="V1904" s="2" t="inlineStr"/>
    </row>
    <row r="1905" ht="15" customHeight="1">
      <c r="A1905" t="inlineStr">
        <is>
          <t>A 3235-2025</t>
        </is>
      </c>
      <c r="B1905" t="inlineStr">
        <is>
          <t>avverkningsanmälan</t>
        </is>
      </c>
      <c r="C1905" t="inlineStr">
        <is>
          <t>Avverkning för annat ändamål</t>
        </is>
      </c>
      <c r="D1905" s="1" t="n">
        <v>45679</v>
      </c>
      <c r="E1905" s="1" t="n">
        <v>46309</v>
      </c>
      <c r="F1905" t="inlineStr">
        <is>
          <t>UPPSALA LÄN</t>
        </is>
      </c>
      <c r="G1905" t="inlineStr">
        <is>
          <t>ENKÖPING</t>
        </is>
      </c>
      <c r="I1905" t="n">
        <v>0.6</v>
      </c>
      <c r="J1905" t="n">
        <v>0</v>
      </c>
      <c r="K1905" t="n">
        <v>0</v>
      </c>
      <c r="L1905" t="n">
        <v>0</v>
      </c>
      <c r="M1905" t="n">
        <v>0</v>
      </c>
      <c r="N1905" t="n">
        <v>0</v>
      </c>
      <c r="O1905" t="n">
        <v>0</v>
      </c>
      <c r="P1905" t="n">
        <v>0</v>
      </c>
      <c r="Q1905" t="n">
        <v>0</v>
      </c>
      <c r="R1905" t="n">
        <v>0</v>
      </c>
      <c r="S1905" t="n">
        <v>0</v>
      </c>
      <c r="T1905" t="n">
        <v>0</v>
      </c>
      <c r="U1905" t="n">
        <v>0</v>
      </c>
      <c r="V1905" s="2" t="inlineStr"/>
    </row>
    <row r="1906" ht="15" customHeight="1">
      <c r="A1906" t="inlineStr">
        <is>
          <t>A 28432-2023</t>
        </is>
      </c>
      <c r="B1906" t="inlineStr">
        <is>
          <t>avverkningsanmälan</t>
        </is>
      </c>
      <c r="C1906" t="inlineStr">
        <is>
          <t>Föryngringsavverkning</t>
        </is>
      </c>
      <c r="D1906" s="1" t="n">
        <v>45102</v>
      </c>
      <c r="E1906" s="1" t="n">
        <v>46309</v>
      </c>
      <c r="F1906" t="inlineStr">
        <is>
          <t>UPPSALA LÄN</t>
        </is>
      </c>
      <c r="G1906" t="inlineStr">
        <is>
          <t>ÖSTHAMMAR</t>
        </is>
      </c>
      <c r="H1906" t="inlineStr">
        <is>
          <t>Bergvik skog öst AB</t>
        </is>
      </c>
      <c r="I1906" t="n">
        <v>3.9</v>
      </c>
      <c r="J1906" t="n">
        <v>0</v>
      </c>
      <c r="K1906" t="n">
        <v>0</v>
      </c>
      <c r="L1906" t="n">
        <v>0</v>
      </c>
      <c r="M1906" t="n">
        <v>0</v>
      </c>
      <c r="N1906" t="n">
        <v>0</v>
      </c>
      <c r="O1906" t="n">
        <v>0</v>
      </c>
      <c r="P1906" t="n">
        <v>0</v>
      </c>
      <c r="Q1906" t="n">
        <v>0</v>
      </c>
      <c r="R1906" t="n">
        <v>0</v>
      </c>
      <c r="S1906" t="n">
        <v>0</v>
      </c>
      <c r="T1906" t="n">
        <v>0</v>
      </c>
      <c r="U1906" t="n">
        <v>0</v>
      </c>
      <c r="V1906" s="2" t="inlineStr"/>
    </row>
    <row r="1907" ht="15" customHeight="1">
      <c r="A1907" t="inlineStr">
        <is>
          <t>A 43915-2023</t>
        </is>
      </c>
      <c r="B1907" t="inlineStr">
        <is>
          <t>avverkningsanmälan</t>
        </is>
      </c>
      <c r="C1907" t="inlineStr">
        <is>
          <t>Föryngringsavverkning</t>
        </is>
      </c>
      <c r="D1907" s="1" t="n">
        <v>45187</v>
      </c>
      <c r="E1907" s="1" t="n">
        <v>46309</v>
      </c>
      <c r="F1907" t="inlineStr">
        <is>
          <t>UPPSALA LÄN</t>
        </is>
      </c>
      <c r="G1907" t="inlineStr">
        <is>
          <t>ÖSTHAMMAR</t>
        </is>
      </c>
      <c r="H1907" t="inlineStr">
        <is>
          <t>Bergvik skog öst AB</t>
        </is>
      </c>
      <c r="I1907" t="n">
        <v>1.3</v>
      </c>
      <c r="J1907" t="n">
        <v>0</v>
      </c>
      <c r="K1907" t="n">
        <v>0</v>
      </c>
      <c r="L1907" t="n">
        <v>0</v>
      </c>
      <c r="M1907" t="n">
        <v>0</v>
      </c>
      <c r="N1907" t="n">
        <v>0</v>
      </c>
      <c r="O1907" t="n">
        <v>0</v>
      </c>
      <c r="P1907" t="n">
        <v>0</v>
      </c>
      <c r="Q1907" t="n">
        <v>0</v>
      </c>
      <c r="R1907" t="n">
        <v>0</v>
      </c>
      <c r="S1907" t="n">
        <v>0</v>
      </c>
      <c r="T1907" t="n">
        <v>0</v>
      </c>
      <c r="U1907" t="n">
        <v>0</v>
      </c>
      <c r="V1907" s="2" t="inlineStr"/>
    </row>
    <row r="1908" ht="15" customHeight="1">
      <c r="A1908" t="inlineStr">
        <is>
          <t>A 11915-2026</t>
        </is>
      </c>
      <c r="B1908" t="inlineStr">
        <is>
          <t>avverkningsanmälan</t>
        </is>
      </c>
      <c r="C1908" t="inlineStr">
        <is>
          <t>Föryngringsavverkning</t>
        </is>
      </c>
      <c r="D1908" s="1" t="n">
        <v>46085</v>
      </c>
      <c r="E1908" s="1" t="n">
        <v>46309</v>
      </c>
      <c r="F1908" t="inlineStr">
        <is>
          <t>UPPSALA LÄN</t>
        </is>
      </c>
      <c r="G1908" t="inlineStr">
        <is>
          <t>UPPSALA</t>
        </is>
      </c>
      <c r="I1908" t="n">
        <v>7.3</v>
      </c>
      <c r="J1908" t="n">
        <v>0</v>
      </c>
      <c r="K1908" t="n">
        <v>0</v>
      </c>
      <c r="L1908" t="n">
        <v>0</v>
      </c>
      <c r="M1908" t="n">
        <v>0</v>
      </c>
      <c r="N1908" t="n">
        <v>0</v>
      </c>
      <c r="O1908" t="n">
        <v>0</v>
      </c>
      <c r="P1908" t="n">
        <v>0</v>
      </c>
      <c r="Q1908" t="n">
        <v>0</v>
      </c>
      <c r="R1908" t="n">
        <v>0</v>
      </c>
      <c r="S1908" t="n">
        <v>0</v>
      </c>
      <c r="T1908" t="n">
        <v>0</v>
      </c>
      <c r="U1908" t="n">
        <v>0</v>
      </c>
      <c r="V1908" s="2" t="inlineStr"/>
    </row>
    <row r="1909" ht="15" customHeight="1">
      <c r="A1909" t="inlineStr">
        <is>
          <t>A 21302-2023</t>
        </is>
      </c>
      <c r="B1909" t="inlineStr">
        <is>
          <t>avverkningsanmälan</t>
        </is>
      </c>
      <c r="C1909" t="inlineStr">
        <is>
          <t>Föryngringsavverkning</t>
        </is>
      </c>
      <c r="D1909" s="1" t="n">
        <v>45058</v>
      </c>
      <c r="E1909" s="1" t="n">
        <v>46309</v>
      </c>
      <c r="F1909" t="inlineStr">
        <is>
          <t>UPPSALA LÄN</t>
        </is>
      </c>
      <c r="G1909" t="inlineStr">
        <is>
          <t>HEBY</t>
        </is>
      </c>
      <c r="H1909" t="inlineStr">
        <is>
          <t>Bergvik skog väst AB</t>
        </is>
      </c>
      <c r="I1909" t="n">
        <v>6.2</v>
      </c>
      <c r="J1909" t="n">
        <v>0</v>
      </c>
      <c r="K1909" t="n">
        <v>0</v>
      </c>
      <c r="L1909" t="n">
        <v>0</v>
      </c>
      <c r="M1909" t="n">
        <v>0</v>
      </c>
      <c r="N1909" t="n">
        <v>0</v>
      </c>
      <c r="O1909" t="n">
        <v>0</v>
      </c>
      <c r="P1909" t="n">
        <v>0</v>
      </c>
      <c r="Q1909" t="n">
        <v>0</v>
      </c>
      <c r="R1909" t="n">
        <v>0</v>
      </c>
      <c r="S1909" t="n">
        <v>0</v>
      </c>
      <c r="T1909" t="n">
        <v>0</v>
      </c>
      <c r="U1909" t="n">
        <v>0</v>
      </c>
      <c r="V1909" s="2" t="inlineStr"/>
    </row>
    <row r="1910" ht="15" customHeight="1">
      <c r="A1910" t="inlineStr">
        <is>
          <t>A 13352-2023</t>
        </is>
      </c>
      <c r="B1910" t="inlineStr">
        <is>
          <t>avverkningsanmälan</t>
        </is>
      </c>
      <c r="C1910" t="inlineStr">
        <is>
          <t>Föryngringsavverkning</t>
        </is>
      </c>
      <c r="D1910" s="1" t="n">
        <v>45005</v>
      </c>
      <c r="E1910" s="1" t="n">
        <v>46309</v>
      </c>
      <c r="F1910" t="inlineStr">
        <is>
          <t>UPPSALA LÄN</t>
        </is>
      </c>
      <c r="G1910" t="inlineStr">
        <is>
          <t>ÖSTHAMMAR</t>
        </is>
      </c>
      <c r="I1910" t="n">
        <v>1.8</v>
      </c>
      <c r="J1910" t="n">
        <v>0</v>
      </c>
      <c r="K1910" t="n">
        <v>0</v>
      </c>
      <c r="L1910" t="n">
        <v>0</v>
      </c>
      <c r="M1910" t="n">
        <v>0</v>
      </c>
      <c r="N1910" t="n">
        <v>0</v>
      </c>
      <c r="O1910" t="n">
        <v>0</v>
      </c>
      <c r="P1910" t="n">
        <v>0</v>
      </c>
      <c r="Q1910" t="n">
        <v>0</v>
      </c>
      <c r="R1910" t="n">
        <v>0</v>
      </c>
      <c r="S1910" t="n">
        <v>0</v>
      </c>
      <c r="T1910" t="n">
        <v>0</v>
      </c>
      <c r="U1910" t="n">
        <v>0</v>
      </c>
      <c r="V1910" s="2" t="inlineStr"/>
    </row>
    <row r="1911" ht="15" customHeight="1">
      <c r="A1911" t="inlineStr">
        <is>
          <t>A 4139-2026</t>
        </is>
      </c>
      <c r="B1911" t="inlineStr">
        <is>
          <t>avverkningsanmälan</t>
        </is>
      </c>
      <c r="C1911" t="inlineStr">
        <is>
          <t>Föryngringsavverkning</t>
        </is>
      </c>
      <c r="D1911" s="1" t="n">
        <v>46044</v>
      </c>
      <c r="E1911" s="1" t="n">
        <v>46309</v>
      </c>
      <c r="F1911" t="inlineStr">
        <is>
          <t>UPPSALA LÄN</t>
        </is>
      </c>
      <c r="G1911" t="inlineStr">
        <is>
          <t>TIERP</t>
        </is>
      </c>
      <c r="I1911" t="n">
        <v>1.1</v>
      </c>
      <c r="J1911" t="n">
        <v>0</v>
      </c>
      <c r="K1911" t="n">
        <v>0</v>
      </c>
      <c r="L1911" t="n">
        <v>0</v>
      </c>
      <c r="M1911" t="n">
        <v>0</v>
      </c>
      <c r="N1911" t="n">
        <v>0</v>
      </c>
      <c r="O1911" t="n">
        <v>0</v>
      </c>
      <c r="P1911" t="n">
        <v>0</v>
      </c>
      <c r="Q1911" t="n">
        <v>0</v>
      </c>
      <c r="R1911" t="n">
        <v>0</v>
      </c>
      <c r="S1911" t="n">
        <v>0</v>
      </c>
      <c r="T1911" t="n">
        <v>0</v>
      </c>
      <c r="U1911" t="n">
        <v>0</v>
      </c>
      <c r="V1911" s="2" t="inlineStr"/>
    </row>
    <row r="1912" ht="15" customHeight="1">
      <c r="A1912" t="inlineStr">
        <is>
          <t>A 11774-2026</t>
        </is>
      </c>
      <c r="B1912" t="inlineStr">
        <is>
          <t>avverkningsanmälan</t>
        </is>
      </c>
      <c r="C1912" t="inlineStr">
        <is>
          <t>Föryngringsavverkning</t>
        </is>
      </c>
      <c r="D1912" s="1" t="n">
        <v>46084</v>
      </c>
      <c r="E1912" s="1" t="n">
        <v>46309</v>
      </c>
      <c r="F1912" t="inlineStr">
        <is>
          <t>UPPSALA LÄN</t>
        </is>
      </c>
      <c r="G1912" t="inlineStr">
        <is>
          <t>TIERP</t>
        </is>
      </c>
      <c r="I1912" t="n">
        <v>4.6</v>
      </c>
      <c r="J1912" t="n">
        <v>0</v>
      </c>
      <c r="K1912" t="n">
        <v>0</v>
      </c>
      <c r="L1912" t="n">
        <v>0</v>
      </c>
      <c r="M1912" t="n">
        <v>0</v>
      </c>
      <c r="N1912" t="n">
        <v>0</v>
      </c>
      <c r="O1912" t="n">
        <v>0</v>
      </c>
      <c r="P1912" t="n">
        <v>0</v>
      </c>
      <c r="Q1912" t="n">
        <v>0</v>
      </c>
      <c r="R1912" t="n">
        <v>0</v>
      </c>
      <c r="S1912" t="n">
        <v>0</v>
      </c>
      <c r="T1912" t="n">
        <v>0</v>
      </c>
      <c r="U1912" t="n">
        <v>0</v>
      </c>
      <c r="V1912" s="2" t="inlineStr"/>
    </row>
    <row r="1913" ht="15" customHeight="1">
      <c r="A1913" t="inlineStr">
        <is>
          <t>A 11997-2026</t>
        </is>
      </c>
      <c r="B1913" t="inlineStr">
        <is>
          <t>avverkningsanmälan</t>
        </is>
      </c>
      <c r="C1913" t="inlineStr">
        <is>
          <t>Föryngringsavverkning</t>
        </is>
      </c>
      <c r="D1913" s="1" t="n">
        <v>46085</v>
      </c>
      <c r="E1913" s="1" t="n">
        <v>46309</v>
      </c>
      <c r="F1913" t="inlineStr">
        <is>
          <t>UPPSALA LÄN</t>
        </is>
      </c>
      <c r="G1913" t="inlineStr">
        <is>
          <t>HÅBO</t>
        </is>
      </c>
      <c r="H1913" t="inlineStr">
        <is>
          <t>Övriga statliga verk och myndigheter</t>
        </is>
      </c>
      <c r="I1913" t="n">
        <v>1.8</v>
      </c>
      <c r="J1913" t="n">
        <v>0</v>
      </c>
      <c r="K1913" t="n">
        <v>0</v>
      </c>
      <c r="L1913" t="n">
        <v>0</v>
      </c>
      <c r="M1913" t="n">
        <v>0</v>
      </c>
      <c r="N1913" t="n">
        <v>0</v>
      </c>
      <c r="O1913" t="n">
        <v>0</v>
      </c>
      <c r="P1913" t="n">
        <v>0</v>
      </c>
      <c r="Q1913" t="n">
        <v>0</v>
      </c>
      <c r="R1913" t="n">
        <v>0</v>
      </c>
      <c r="S1913" t="n">
        <v>0</v>
      </c>
      <c r="T1913" t="n">
        <v>0</v>
      </c>
      <c r="U1913" t="n">
        <v>0</v>
      </c>
      <c r="V1913" s="2" t="inlineStr"/>
    </row>
    <row r="1914" ht="15" customHeight="1">
      <c r="A1914" t="inlineStr">
        <is>
          <t>A 9195-2026</t>
        </is>
      </c>
      <c r="B1914" t="inlineStr">
        <is>
          <t>avverkningsanmälan</t>
        </is>
      </c>
      <c r="C1914" t="inlineStr">
        <is>
          <t>Föryngringsavverkning</t>
        </is>
      </c>
      <c r="D1914" s="1" t="n">
        <v>46070</v>
      </c>
      <c r="E1914" s="1" t="n">
        <v>46309</v>
      </c>
      <c r="F1914" t="inlineStr">
        <is>
          <t>UPPSALA LÄN</t>
        </is>
      </c>
      <c r="G1914" t="inlineStr">
        <is>
          <t>TIERP</t>
        </is>
      </c>
      <c r="I1914" t="n">
        <v>0.7</v>
      </c>
      <c r="J1914" t="n">
        <v>0</v>
      </c>
      <c r="K1914" t="n">
        <v>0</v>
      </c>
      <c r="L1914" t="n">
        <v>0</v>
      </c>
      <c r="M1914" t="n">
        <v>0</v>
      </c>
      <c r="N1914" t="n">
        <v>0</v>
      </c>
      <c r="O1914" t="n">
        <v>0</v>
      </c>
      <c r="P1914" t="n">
        <v>0</v>
      </c>
      <c r="Q1914" t="n">
        <v>0</v>
      </c>
      <c r="R1914" t="n">
        <v>0</v>
      </c>
      <c r="S1914" t="n">
        <v>0</v>
      </c>
      <c r="T1914" t="n">
        <v>0</v>
      </c>
      <c r="U1914" t="n">
        <v>0</v>
      </c>
      <c r="V1914" s="2" t="inlineStr"/>
    </row>
    <row r="1915" ht="15" customHeight="1">
      <c r="A1915" t="inlineStr">
        <is>
          <t>A 11848-2026</t>
        </is>
      </c>
      <c r="B1915" t="inlineStr">
        <is>
          <t>avverkningsanmälan</t>
        </is>
      </c>
      <c r="C1915" t="inlineStr">
        <is>
          <t>Föryngringsavverkning</t>
        </is>
      </c>
      <c r="D1915" s="1" t="n">
        <v>46085</v>
      </c>
      <c r="E1915" s="1" t="n">
        <v>46309</v>
      </c>
      <c r="F1915" t="inlineStr">
        <is>
          <t>UPPSALA LÄN</t>
        </is>
      </c>
      <c r="G1915" t="inlineStr">
        <is>
          <t>ÄLVKARLEBY</t>
        </is>
      </c>
      <c r="H1915" t="inlineStr">
        <is>
          <t>Bergvik skog väst AB</t>
        </is>
      </c>
      <c r="I1915" t="n">
        <v>1.6</v>
      </c>
      <c r="J1915" t="n">
        <v>0</v>
      </c>
      <c r="K1915" t="n">
        <v>0</v>
      </c>
      <c r="L1915" t="n">
        <v>0</v>
      </c>
      <c r="M1915" t="n">
        <v>0</v>
      </c>
      <c r="N1915" t="n">
        <v>0</v>
      </c>
      <c r="O1915" t="n">
        <v>0</v>
      </c>
      <c r="P1915" t="n">
        <v>0</v>
      </c>
      <c r="Q1915" t="n">
        <v>0</v>
      </c>
      <c r="R1915" t="n">
        <v>0</v>
      </c>
      <c r="S1915" t="n">
        <v>0</v>
      </c>
      <c r="T1915" t="n">
        <v>0</v>
      </c>
      <c r="U1915" t="n">
        <v>0</v>
      </c>
      <c r="V1915" s="2" t="inlineStr"/>
    </row>
    <row r="1916" ht="15" customHeight="1">
      <c r="A1916" t="inlineStr">
        <is>
          <t>A 13128-2022</t>
        </is>
      </c>
      <c r="B1916" t="inlineStr">
        <is>
          <t>avverkningsanmälan</t>
        </is>
      </c>
      <c r="C1916" t="inlineStr">
        <is>
          <t>Föryngringsavverkning</t>
        </is>
      </c>
      <c r="D1916" s="1" t="n">
        <v>44644</v>
      </c>
      <c r="E1916" s="1" t="n">
        <v>46309</v>
      </c>
      <c r="F1916" t="inlineStr">
        <is>
          <t>UPPSALA LÄN</t>
        </is>
      </c>
      <c r="G1916" t="inlineStr">
        <is>
          <t>UPPSALA</t>
        </is>
      </c>
      <c r="H1916" t="inlineStr">
        <is>
          <t>Övriga Aktiebolag</t>
        </is>
      </c>
      <c r="I1916" t="n">
        <v>3.7</v>
      </c>
      <c r="J1916" t="n">
        <v>0</v>
      </c>
      <c r="K1916" t="n">
        <v>0</v>
      </c>
      <c r="L1916" t="n">
        <v>0</v>
      </c>
      <c r="M1916" t="n">
        <v>0</v>
      </c>
      <c r="N1916" t="n">
        <v>0</v>
      </c>
      <c r="O1916" t="n">
        <v>0</v>
      </c>
      <c r="P1916" t="n">
        <v>0</v>
      </c>
      <c r="Q1916" t="n">
        <v>0</v>
      </c>
      <c r="R1916" t="n">
        <v>0</v>
      </c>
      <c r="S1916" t="n">
        <v>0</v>
      </c>
      <c r="T1916" t="n">
        <v>0</v>
      </c>
      <c r="U1916" t="n">
        <v>0</v>
      </c>
      <c r="V1916" s="2" t="inlineStr"/>
    </row>
    <row r="1917" ht="15" customHeight="1">
      <c r="A1917" t="inlineStr">
        <is>
          <t>A 8498-2026</t>
        </is>
      </c>
      <c r="B1917" t="inlineStr">
        <is>
          <t>avverkningsanmälan</t>
        </is>
      </c>
      <c r="C1917" t="inlineStr">
        <is>
          <t>Föryngringsavverkning</t>
        </is>
      </c>
      <c r="D1917" s="1" t="n">
        <v>46065</v>
      </c>
      <c r="E1917" s="1" t="n">
        <v>46309</v>
      </c>
      <c r="F1917" t="inlineStr">
        <is>
          <t>UPPSALA LÄN</t>
        </is>
      </c>
      <c r="G1917" t="inlineStr">
        <is>
          <t>UPPSALA</t>
        </is>
      </c>
      <c r="I1917" t="n">
        <v>1.9</v>
      </c>
      <c r="J1917" t="n">
        <v>0</v>
      </c>
      <c r="K1917" t="n">
        <v>0</v>
      </c>
      <c r="L1917" t="n">
        <v>0</v>
      </c>
      <c r="M1917" t="n">
        <v>0</v>
      </c>
      <c r="N1917" t="n">
        <v>0</v>
      </c>
      <c r="O1917" t="n">
        <v>0</v>
      </c>
      <c r="P1917" t="n">
        <v>0</v>
      </c>
      <c r="Q1917" t="n">
        <v>0</v>
      </c>
      <c r="R1917" t="n">
        <v>0</v>
      </c>
      <c r="S1917" t="n">
        <v>0</v>
      </c>
      <c r="T1917" t="n">
        <v>0</v>
      </c>
      <c r="U1917" t="n">
        <v>0</v>
      </c>
      <c r="V1917" s="2" t="inlineStr"/>
    </row>
    <row r="1918" ht="15" customHeight="1">
      <c r="A1918" t="inlineStr">
        <is>
          <t>A 6959-2025</t>
        </is>
      </c>
      <c r="B1918" t="inlineStr">
        <is>
          <t>avverkningsanmälan</t>
        </is>
      </c>
      <c r="C1918" t="inlineStr">
        <is>
          <t>Föryngringsavverkning</t>
        </is>
      </c>
      <c r="D1918" s="1" t="n">
        <v>45701</v>
      </c>
      <c r="E1918" s="1" t="n">
        <v>46309</v>
      </c>
      <c r="F1918" t="inlineStr">
        <is>
          <t>UPPSALA LÄN</t>
        </is>
      </c>
      <c r="G1918" t="inlineStr">
        <is>
          <t>ENKÖPING</t>
        </is>
      </c>
      <c r="I1918" t="n">
        <v>1.8</v>
      </c>
      <c r="J1918" t="n">
        <v>0</v>
      </c>
      <c r="K1918" t="n">
        <v>0</v>
      </c>
      <c r="L1918" t="n">
        <v>0</v>
      </c>
      <c r="M1918" t="n">
        <v>0</v>
      </c>
      <c r="N1918" t="n">
        <v>0</v>
      </c>
      <c r="O1918" t="n">
        <v>0</v>
      </c>
      <c r="P1918" t="n">
        <v>0</v>
      </c>
      <c r="Q1918" t="n">
        <v>0</v>
      </c>
      <c r="R1918" t="n">
        <v>0</v>
      </c>
      <c r="S1918" t="n">
        <v>0</v>
      </c>
      <c r="T1918" t="n">
        <v>0</v>
      </c>
      <c r="U1918" t="n">
        <v>0</v>
      </c>
      <c r="V1918" s="2" t="inlineStr"/>
    </row>
    <row r="1919" ht="15" customHeight="1">
      <c r="A1919" t="inlineStr">
        <is>
          <t>A 36343-2022</t>
        </is>
      </c>
      <c r="B1919" t="inlineStr">
        <is>
          <t>avverkningsanmälan</t>
        </is>
      </c>
      <c r="C1919" t="inlineStr">
        <is>
          <t>Föryngringsavverkning</t>
        </is>
      </c>
      <c r="D1919" s="1" t="n">
        <v>44803</v>
      </c>
      <c r="E1919" s="1" t="n">
        <v>46309</v>
      </c>
      <c r="F1919" t="inlineStr">
        <is>
          <t>UPPSALA LÄN</t>
        </is>
      </c>
      <c r="G1919" t="inlineStr">
        <is>
          <t>ÖSTHAMMAR</t>
        </is>
      </c>
      <c r="H1919" t="inlineStr">
        <is>
          <t>Bergvik skog öst AB</t>
        </is>
      </c>
      <c r="I1919" t="n">
        <v>1.3</v>
      </c>
      <c r="J1919" t="n">
        <v>0</v>
      </c>
      <c r="K1919" t="n">
        <v>0</v>
      </c>
      <c r="L1919" t="n">
        <v>0</v>
      </c>
      <c r="M1919" t="n">
        <v>0</v>
      </c>
      <c r="N1919" t="n">
        <v>0</v>
      </c>
      <c r="O1919" t="n">
        <v>0</v>
      </c>
      <c r="P1919" t="n">
        <v>0</v>
      </c>
      <c r="Q1919" t="n">
        <v>0</v>
      </c>
      <c r="R1919" t="n">
        <v>0</v>
      </c>
      <c r="S1919" t="n">
        <v>0</v>
      </c>
      <c r="T1919" t="n">
        <v>0</v>
      </c>
      <c r="U1919" t="n">
        <v>0</v>
      </c>
      <c r="V1919" s="2" t="inlineStr"/>
    </row>
    <row r="1920" ht="15" customHeight="1">
      <c r="A1920" t="inlineStr">
        <is>
          <t>A 11775-2026</t>
        </is>
      </c>
      <c r="B1920" t="inlineStr">
        <is>
          <t>avverkningsanmälan</t>
        </is>
      </c>
      <c r="C1920" t="inlineStr">
        <is>
          <t>Föryngringsavverkning</t>
        </is>
      </c>
      <c r="D1920" s="1" t="n">
        <v>46084</v>
      </c>
      <c r="E1920" s="1" t="n">
        <v>46309</v>
      </c>
      <c r="F1920" t="inlineStr">
        <is>
          <t>UPPSALA LÄN</t>
        </is>
      </c>
      <c r="G1920" t="inlineStr">
        <is>
          <t>TIERP</t>
        </is>
      </c>
      <c r="I1920" t="n">
        <v>1.5</v>
      </c>
      <c r="J1920" t="n">
        <v>0</v>
      </c>
      <c r="K1920" t="n">
        <v>0</v>
      </c>
      <c r="L1920" t="n">
        <v>0</v>
      </c>
      <c r="M1920" t="n">
        <v>0</v>
      </c>
      <c r="N1920" t="n">
        <v>0</v>
      </c>
      <c r="O1920" t="n">
        <v>0</v>
      </c>
      <c r="P1920" t="n">
        <v>0</v>
      </c>
      <c r="Q1920" t="n">
        <v>0</v>
      </c>
      <c r="R1920" t="n">
        <v>0</v>
      </c>
      <c r="S1920" t="n">
        <v>0</v>
      </c>
      <c r="T1920" t="n">
        <v>0</v>
      </c>
      <c r="U1920" t="n">
        <v>0</v>
      </c>
      <c r="V1920" s="2" t="inlineStr"/>
    </row>
    <row r="1921" ht="15" customHeight="1">
      <c r="A1921" t="inlineStr">
        <is>
          <t>A 6417-2026</t>
        </is>
      </c>
      <c r="B1921" t="inlineStr">
        <is>
          <t>avverkningsanmälan</t>
        </is>
      </c>
      <c r="C1921" t="inlineStr">
        <is>
          <t>Föryngringsavverkning</t>
        </is>
      </c>
      <c r="D1921" s="1" t="n">
        <v>46055</v>
      </c>
      <c r="E1921" s="1" t="n">
        <v>46309</v>
      </c>
      <c r="F1921" t="inlineStr">
        <is>
          <t>UPPSALA LÄN</t>
        </is>
      </c>
      <c r="G1921" t="inlineStr">
        <is>
          <t>TIERP</t>
        </is>
      </c>
      <c r="I1921" t="n">
        <v>0.6</v>
      </c>
      <c r="J1921" t="n">
        <v>0</v>
      </c>
      <c r="K1921" t="n">
        <v>0</v>
      </c>
      <c r="L1921" t="n">
        <v>0</v>
      </c>
      <c r="M1921" t="n">
        <v>0</v>
      </c>
      <c r="N1921" t="n">
        <v>0</v>
      </c>
      <c r="O1921" t="n">
        <v>0</v>
      </c>
      <c r="P1921" t="n">
        <v>0</v>
      </c>
      <c r="Q1921" t="n">
        <v>0</v>
      </c>
      <c r="R1921" t="n">
        <v>0</v>
      </c>
      <c r="S1921" t="n">
        <v>0</v>
      </c>
      <c r="T1921" t="n">
        <v>0</v>
      </c>
      <c r="U1921" t="n">
        <v>0</v>
      </c>
      <c r="V1921" s="2" t="inlineStr"/>
    </row>
    <row r="1922" ht="15" customHeight="1">
      <c r="A1922" t="inlineStr">
        <is>
          <t>A 62006-2024</t>
        </is>
      </c>
      <c r="B1922" t="inlineStr">
        <is>
          <t>avverkningsanmälan</t>
        </is>
      </c>
      <c r="C1922" t="inlineStr">
        <is>
          <t>Föryngringsavverkning</t>
        </is>
      </c>
      <c r="D1922" s="1" t="n">
        <v>45655</v>
      </c>
      <c r="E1922" s="1" t="n">
        <v>46309</v>
      </c>
      <c r="F1922" t="inlineStr">
        <is>
          <t>UPPSALA LÄN</t>
        </is>
      </c>
      <c r="G1922" t="inlineStr">
        <is>
          <t>TIERP</t>
        </is>
      </c>
      <c r="I1922" t="n">
        <v>4.2</v>
      </c>
      <c r="J1922" t="n">
        <v>0</v>
      </c>
      <c r="K1922" t="n">
        <v>0</v>
      </c>
      <c r="L1922" t="n">
        <v>0</v>
      </c>
      <c r="M1922" t="n">
        <v>0</v>
      </c>
      <c r="N1922" t="n">
        <v>0</v>
      </c>
      <c r="O1922" t="n">
        <v>0</v>
      </c>
      <c r="P1922" t="n">
        <v>0</v>
      </c>
      <c r="Q1922" t="n">
        <v>0</v>
      </c>
      <c r="R1922" t="n">
        <v>0</v>
      </c>
      <c r="S1922" t="n">
        <v>0</v>
      </c>
      <c r="T1922" t="n">
        <v>0</v>
      </c>
      <c r="U1922" t="n">
        <v>0</v>
      </c>
      <c r="V1922" s="2" t="inlineStr"/>
    </row>
    <row r="1923" ht="15" customHeight="1">
      <c r="A1923" t="inlineStr">
        <is>
          <t>A 12263-2026</t>
        </is>
      </c>
      <c r="B1923" t="inlineStr">
        <is>
          <t>avverkningsanmälan</t>
        </is>
      </c>
      <c r="C1923" t="inlineStr">
        <is>
          <t>Föryngringsavverkning</t>
        </is>
      </c>
      <c r="D1923" s="1" t="n">
        <v>46087</v>
      </c>
      <c r="E1923" s="1" t="n">
        <v>46309</v>
      </c>
      <c r="F1923" t="inlineStr">
        <is>
          <t>UPPSALA LÄN</t>
        </is>
      </c>
      <c r="G1923" t="inlineStr">
        <is>
          <t>ÖSTHAMMAR</t>
        </is>
      </c>
      <c r="H1923" t="inlineStr">
        <is>
          <t>Övriga Aktiebolag</t>
        </is>
      </c>
      <c r="I1923" t="n">
        <v>2.8</v>
      </c>
      <c r="J1923" t="n">
        <v>0</v>
      </c>
      <c r="K1923" t="n">
        <v>0</v>
      </c>
      <c r="L1923" t="n">
        <v>0</v>
      </c>
      <c r="M1923" t="n">
        <v>0</v>
      </c>
      <c r="N1923" t="n">
        <v>0</v>
      </c>
      <c r="O1923" t="n">
        <v>0</v>
      </c>
      <c r="P1923" t="n">
        <v>0</v>
      </c>
      <c r="Q1923" t="n">
        <v>0</v>
      </c>
      <c r="R1923" t="n">
        <v>0</v>
      </c>
      <c r="S1923" t="n">
        <v>0</v>
      </c>
      <c r="T1923" t="n">
        <v>0</v>
      </c>
      <c r="U1923" t="n">
        <v>0</v>
      </c>
      <c r="V1923" s="2" t="inlineStr"/>
    </row>
    <row r="1924" ht="15" customHeight="1">
      <c r="A1924" t="inlineStr">
        <is>
          <t>A 12027-2026</t>
        </is>
      </c>
      <c r="B1924" t="inlineStr">
        <is>
          <t>avverkningsanmälan</t>
        </is>
      </c>
      <c r="C1924" t="inlineStr">
        <is>
          <t>Avverkning för annat ändamål</t>
        </is>
      </c>
      <c r="D1924" s="1" t="n">
        <v>46085</v>
      </c>
      <c r="E1924" s="1" t="n">
        <v>46309</v>
      </c>
      <c r="F1924" t="inlineStr">
        <is>
          <t>UPPSALA LÄN</t>
        </is>
      </c>
      <c r="G1924" t="inlineStr">
        <is>
          <t>KNIVSTA</t>
        </is>
      </c>
      <c r="I1924" t="n">
        <v>0.6</v>
      </c>
      <c r="J1924" t="n">
        <v>0</v>
      </c>
      <c r="K1924" t="n">
        <v>0</v>
      </c>
      <c r="L1924" t="n">
        <v>0</v>
      </c>
      <c r="M1924" t="n">
        <v>0</v>
      </c>
      <c r="N1924" t="n">
        <v>0</v>
      </c>
      <c r="O1924" t="n">
        <v>0</v>
      </c>
      <c r="P1924" t="n">
        <v>0</v>
      </c>
      <c r="Q1924" t="n">
        <v>0</v>
      </c>
      <c r="R1924" t="n">
        <v>0</v>
      </c>
      <c r="S1924" t="n">
        <v>0</v>
      </c>
      <c r="T1924" t="n">
        <v>0</v>
      </c>
      <c r="U1924" t="n">
        <v>0</v>
      </c>
      <c r="V1924" s="2" t="inlineStr"/>
    </row>
    <row r="1925" ht="15" customHeight="1">
      <c r="A1925" t="inlineStr">
        <is>
          <t>A 18731-2022</t>
        </is>
      </c>
      <c r="B1925" t="inlineStr">
        <is>
          <t>avverkningsanmälan</t>
        </is>
      </c>
      <c r="C1925" t="inlineStr">
        <is>
          <t>Föryngringsavverkning</t>
        </is>
      </c>
      <c r="D1925" s="1" t="n">
        <v>44687</v>
      </c>
      <c r="E1925" s="1" t="n">
        <v>46309</v>
      </c>
      <c r="F1925" t="inlineStr">
        <is>
          <t>UPPSALA LÄN</t>
        </is>
      </c>
      <c r="G1925" t="inlineStr">
        <is>
          <t>ÖSTHAMMAR</t>
        </is>
      </c>
      <c r="I1925" t="n">
        <v>4.9</v>
      </c>
      <c r="J1925" t="n">
        <v>0</v>
      </c>
      <c r="K1925" t="n">
        <v>0</v>
      </c>
      <c r="L1925" t="n">
        <v>0</v>
      </c>
      <c r="M1925" t="n">
        <v>0</v>
      </c>
      <c r="N1925" t="n">
        <v>0</v>
      </c>
      <c r="O1925" t="n">
        <v>0</v>
      </c>
      <c r="P1925" t="n">
        <v>0</v>
      </c>
      <c r="Q1925" t="n">
        <v>0</v>
      </c>
      <c r="R1925" t="n">
        <v>0</v>
      </c>
      <c r="S1925" t="n">
        <v>0</v>
      </c>
      <c r="T1925" t="n">
        <v>0</v>
      </c>
      <c r="U1925" t="n">
        <v>0</v>
      </c>
      <c r="V1925" s="2" t="inlineStr"/>
    </row>
    <row r="1926" ht="15" customHeight="1">
      <c r="A1926" t="inlineStr">
        <is>
          <t>A 23495-2023</t>
        </is>
      </c>
      <c r="B1926" t="inlineStr">
        <is>
          <t>avverkningsanmälan</t>
        </is>
      </c>
      <c r="C1926" t="inlineStr">
        <is>
          <t>Föryngringsavverkning</t>
        </is>
      </c>
      <c r="D1926" s="1" t="n">
        <v>45076</v>
      </c>
      <c r="E1926" s="1" t="n">
        <v>46309</v>
      </c>
      <c r="F1926" t="inlineStr">
        <is>
          <t>UPPSALA LÄN</t>
        </is>
      </c>
      <c r="G1926" t="inlineStr">
        <is>
          <t>ÖSTHAMMAR</t>
        </is>
      </c>
      <c r="H1926" t="inlineStr">
        <is>
          <t>Sveaskog</t>
        </is>
      </c>
      <c r="I1926" t="n">
        <v>2.3</v>
      </c>
      <c r="J1926" t="n">
        <v>0</v>
      </c>
      <c r="K1926" t="n">
        <v>0</v>
      </c>
      <c r="L1926" t="n">
        <v>0</v>
      </c>
      <c r="M1926" t="n">
        <v>0</v>
      </c>
      <c r="N1926" t="n">
        <v>0</v>
      </c>
      <c r="O1926" t="n">
        <v>0</v>
      </c>
      <c r="P1926" t="n">
        <v>0</v>
      </c>
      <c r="Q1926" t="n">
        <v>0</v>
      </c>
      <c r="R1926" t="n">
        <v>0</v>
      </c>
      <c r="S1926" t="n">
        <v>0</v>
      </c>
      <c r="T1926" t="n">
        <v>0</v>
      </c>
      <c r="U1926" t="n">
        <v>0</v>
      </c>
      <c r="V1926" s="2" t="inlineStr"/>
    </row>
    <row r="1927" ht="15" customHeight="1">
      <c r="A1927" t="inlineStr">
        <is>
          <t>A 16660-2023</t>
        </is>
      </c>
      <c r="B1927" t="inlineStr">
        <is>
          <t>avverkningsanmälan</t>
        </is>
      </c>
      <c r="C1927" t="inlineStr">
        <is>
          <t>Föryngringsavverkning</t>
        </is>
      </c>
      <c r="D1927" s="1" t="n">
        <v>45030</v>
      </c>
      <c r="E1927" s="1" t="n">
        <v>46309</v>
      </c>
      <c r="F1927" t="inlineStr">
        <is>
          <t>UPPSALA LÄN</t>
        </is>
      </c>
      <c r="G1927" t="inlineStr">
        <is>
          <t>HEBY</t>
        </is>
      </c>
      <c r="I1927" t="n">
        <v>1.2</v>
      </c>
      <c r="J1927" t="n">
        <v>0</v>
      </c>
      <c r="K1927" t="n">
        <v>0</v>
      </c>
      <c r="L1927" t="n">
        <v>0</v>
      </c>
      <c r="M1927" t="n">
        <v>0</v>
      </c>
      <c r="N1927" t="n">
        <v>0</v>
      </c>
      <c r="O1927" t="n">
        <v>0</v>
      </c>
      <c r="P1927" t="n">
        <v>0</v>
      </c>
      <c r="Q1927" t="n">
        <v>0</v>
      </c>
      <c r="R1927" t="n">
        <v>0</v>
      </c>
      <c r="S1927" t="n">
        <v>0</v>
      </c>
      <c r="T1927" t="n">
        <v>0</v>
      </c>
      <c r="U1927" t="n">
        <v>0</v>
      </c>
      <c r="V1927" s="2" t="inlineStr"/>
    </row>
    <row r="1928" ht="15" customHeight="1">
      <c r="A1928" t="inlineStr">
        <is>
          <t>A 12261-2026</t>
        </is>
      </c>
      <c r="B1928" t="inlineStr">
        <is>
          <t>avverkningsanmälan</t>
        </is>
      </c>
      <c r="C1928" t="inlineStr">
        <is>
          <t>Föryngringsavverkning</t>
        </is>
      </c>
      <c r="D1928" s="1" t="n">
        <v>46087</v>
      </c>
      <c r="E1928" s="1" t="n">
        <v>46309</v>
      </c>
      <c r="F1928" t="inlineStr">
        <is>
          <t>UPPSALA LÄN</t>
        </is>
      </c>
      <c r="G1928" t="inlineStr">
        <is>
          <t>ÖSTHAMMAR</t>
        </is>
      </c>
      <c r="H1928" t="inlineStr">
        <is>
          <t>Övriga Aktiebolag</t>
        </is>
      </c>
      <c r="I1928" t="n">
        <v>1.6</v>
      </c>
      <c r="J1928" t="n">
        <v>0</v>
      </c>
      <c r="K1928" t="n">
        <v>0</v>
      </c>
      <c r="L1928" t="n">
        <v>0</v>
      </c>
      <c r="M1928" t="n">
        <v>0</v>
      </c>
      <c r="N1928" t="n">
        <v>0</v>
      </c>
      <c r="O1928" t="n">
        <v>0</v>
      </c>
      <c r="P1928" t="n">
        <v>0</v>
      </c>
      <c r="Q1928" t="n">
        <v>0</v>
      </c>
      <c r="R1928" t="n">
        <v>0</v>
      </c>
      <c r="S1928" t="n">
        <v>0</v>
      </c>
      <c r="T1928" t="n">
        <v>0</v>
      </c>
      <c r="U1928" t="n">
        <v>0</v>
      </c>
      <c r="V1928" s="2" t="inlineStr"/>
    </row>
    <row r="1929" ht="15" customHeight="1">
      <c r="A1929" t="inlineStr">
        <is>
          <t>A 12262-2026</t>
        </is>
      </c>
      <c r="B1929" t="inlineStr">
        <is>
          <t>avverkningsanmälan</t>
        </is>
      </c>
      <c r="C1929" t="inlineStr">
        <is>
          <t>Föryngringsavverkning</t>
        </is>
      </c>
      <c r="D1929" s="1" t="n">
        <v>46087</v>
      </c>
      <c r="E1929" s="1" t="n">
        <v>46309</v>
      </c>
      <c r="F1929" t="inlineStr">
        <is>
          <t>UPPSALA LÄN</t>
        </is>
      </c>
      <c r="G1929" t="inlineStr">
        <is>
          <t>ÖSTHAMMAR</t>
        </is>
      </c>
      <c r="H1929" t="inlineStr">
        <is>
          <t>Övriga Aktiebolag</t>
        </is>
      </c>
      <c r="I1929" t="n">
        <v>1.7</v>
      </c>
      <c r="J1929" t="n">
        <v>0</v>
      </c>
      <c r="K1929" t="n">
        <v>0</v>
      </c>
      <c r="L1929" t="n">
        <v>0</v>
      </c>
      <c r="M1929" t="n">
        <v>0</v>
      </c>
      <c r="N1929" t="n">
        <v>0</v>
      </c>
      <c r="O1929" t="n">
        <v>0</v>
      </c>
      <c r="P1929" t="n">
        <v>0</v>
      </c>
      <c r="Q1929" t="n">
        <v>0</v>
      </c>
      <c r="R1929" t="n">
        <v>0</v>
      </c>
      <c r="S1929" t="n">
        <v>0</v>
      </c>
      <c r="T1929" t="n">
        <v>0</v>
      </c>
      <c r="U1929" t="n">
        <v>0</v>
      </c>
      <c r="V1929" s="2" t="inlineStr"/>
    </row>
    <row r="1930" ht="15" customHeight="1">
      <c r="A1930" t="inlineStr">
        <is>
          <t>A 37782-2022</t>
        </is>
      </c>
      <c r="B1930" t="inlineStr">
        <is>
          <t>avverkningsanmälan</t>
        </is>
      </c>
      <c r="C1930" t="inlineStr">
        <is>
          <t>Föryngringsavverkning</t>
        </is>
      </c>
      <c r="D1930" s="1" t="n">
        <v>44810</v>
      </c>
      <c r="E1930" s="1" t="n">
        <v>46309</v>
      </c>
      <c r="F1930" t="inlineStr">
        <is>
          <t>UPPSALA LÄN</t>
        </is>
      </c>
      <c r="G1930" t="inlineStr">
        <is>
          <t>HEBY</t>
        </is>
      </c>
      <c r="H1930" t="inlineStr">
        <is>
          <t>Bergvik skog väst AB</t>
        </is>
      </c>
      <c r="I1930" t="n">
        <v>2.6</v>
      </c>
      <c r="J1930" t="n">
        <v>0</v>
      </c>
      <c r="K1930" t="n">
        <v>0</v>
      </c>
      <c r="L1930" t="n">
        <v>0</v>
      </c>
      <c r="M1930" t="n">
        <v>0</v>
      </c>
      <c r="N1930" t="n">
        <v>0</v>
      </c>
      <c r="O1930" t="n">
        <v>0</v>
      </c>
      <c r="P1930" t="n">
        <v>0</v>
      </c>
      <c r="Q1930" t="n">
        <v>0</v>
      </c>
      <c r="R1930" t="n">
        <v>0</v>
      </c>
      <c r="S1930" t="n">
        <v>0</v>
      </c>
      <c r="T1930" t="n">
        <v>0</v>
      </c>
      <c r="U1930" t="n">
        <v>0</v>
      </c>
      <c r="V1930" s="2" t="inlineStr"/>
    </row>
    <row r="1931" ht="15" customHeight="1">
      <c r="A1931" t="inlineStr">
        <is>
          <t>A 12416-2026</t>
        </is>
      </c>
      <c r="B1931" t="inlineStr">
        <is>
          <t>avverkningsanmälan</t>
        </is>
      </c>
      <c r="C1931" t="inlineStr">
        <is>
          <t>Föryngringsavverkning</t>
        </is>
      </c>
      <c r="D1931" s="1" t="n">
        <v>46090</v>
      </c>
      <c r="E1931" s="1" t="n">
        <v>46309</v>
      </c>
      <c r="F1931" t="inlineStr">
        <is>
          <t>UPPSALA LÄN</t>
        </is>
      </c>
      <c r="G1931" t="inlineStr">
        <is>
          <t>UPPSALA</t>
        </is>
      </c>
      <c r="I1931" t="n">
        <v>0.5</v>
      </c>
      <c r="J1931" t="n">
        <v>0</v>
      </c>
      <c r="K1931" t="n">
        <v>0</v>
      </c>
      <c r="L1931" t="n">
        <v>0</v>
      </c>
      <c r="M1931" t="n">
        <v>0</v>
      </c>
      <c r="N1931" t="n">
        <v>0</v>
      </c>
      <c r="O1931" t="n">
        <v>0</v>
      </c>
      <c r="P1931" t="n">
        <v>0</v>
      </c>
      <c r="Q1931" t="n">
        <v>0</v>
      </c>
      <c r="R1931" t="n">
        <v>0</v>
      </c>
      <c r="S1931" t="n">
        <v>0</v>
      </c>
      <c r="T1931" t="n">
        <v>0</v>
      </c>
      <c r="U1931" t="n">
        <v>0</v>
      </c>
      <c r="V1931" s="2" t="inlineStr"/>
    </row>
    <row r="1932" ht="15" customHeight="1">
      <c r="A1932" t="inlineStr">
        <is>
          <t>A 12770-2026</t>
        </is>
      </c>
      <c r="B1932" t="inlineStr">
        <is>
          <t>avverkningsanmälan</t>
        </is>
      </c>
      <c r="C1932" t="inlineStr">
        <is>
          <t>Föryngringsavverkning</t>
        </is>
      </c>
      <c r="D1932" s="1" t="n">
        <v>46091</v>
      </c>
      <c r="E1932" s="1" t="n">
        <v>46309</v>
      </c>
      <c r="F1932" t="inlineStr">
        <is>
          <t>UPPSALA LÄN</t>
        </is>
      </c>
      <c r="G1932" t="inlineStr">
        <is>
          <t>UPPSALA</t>
        </is>
      </c>
      <c r="I1932" t="n">
        <v>0.8</v>
      </c>
      <c r="J1932" t="n">
        <v>0</v>
      </c>
      <c r="K1932" t="n">
        <v>0</v>
      </c>
      <c r="L1932" t="n">
        <v>0</v>
      </c>
      <c r="M1932" t="n">
        <v>0</v>
      </c>
      <c r="N1932" t="n">
        <v>0</v>
      </c>
      <c r="O1932" t="n">
        <v>0</v>
      </c>
      <c r="P1932" t="n">
        <v>0</v>
      </c>
      <c r="Q1932" t="n">
        <v>0</v>
      </c>
      <c r="R1932" t="n">
        <v>0</v>
      </c>
      <c r="S1932" t="n">
        <v>0</v>
      </c>
      <c r="T1932" t="n">
        <v>0</v>
      </c>
      <c r="U1932" t="n">
        <v>0</v>
      </c>
      <c r="V1932" s="2" t="inlineStr"/>
    </row>
    <row r="1933" ht="15" customHeight="1">
      <c r="A1933" t="inlineStr">
        <is>
          <t>A 12772-2026</t>
        </is>
      </c>
      <c r="B1933" t="inlineStr">
        <is>
          <t>avverkningsanmälan</t>
        </is>
      </c>
      <c r="C1933" t="inlineStr">
        <is>
          <t>Föryngringsavverkning</t>
        </is>
      </c>
      <c r="D1933" s="1" t="n">
        <v>46091</v>
      </c>
      <c r="E1933" s="1" t="n">
        <v>46309</v>
      </c>
      <c r="F1933" t="inlineStr">
        <is>
          <t>UPPSALA LÄN</t>
        </is>
      </c>
      <c r="G1933" t="inlineStr">
        <is>
          <t>UPPSALA</t>
        </is>
      </c>
      <c r="I1933" t="n">
        <v>1.3</v>
      </c>
      <c r="J1933" t="n">
        <v>0</v>
      </c>
      <c r="K1933" t="n">
        <v>0</v>
      </c>
      <c r="L1933" t="n">
        <v>0</v>
      </c>
      <c r="M1933" t="n">
        <v>0</v>
      </c>
      <c r="N1933" t="n">
        <v>0</v>
      </c>
      <c r="O1933" t="n">
        <v>0</v>
      </c>
      <c r="P1933" t="n">
        <v>0</v>
      </c>
      <c r="Q1933" t="n">
        <v>0</v>
      </c>
      <c r="R1933" t="n">
        <v>0</v>
      </c>
      <c r="S1933" t="n">
        <v>0</v>
      </c>
      <c r="T1933" t="n">
        <v>0</v>
      </c>
      <c r="U1933" t="n">
        <v>0</v>
      </c>
      <c r="V1933" s="2" t="inlineStr"/>
    </row>
    <row r="1934" ht="15" customHeight="1">
      <c r="A1934" t="inlineStr">
        <is>
          <t>A 9766-2023</t>
        </is>
      </c>
      <c r="B1934" t="inlineStr">
        <is>
          <t>avverkningsanmälan</t>
        </is>
      </c>
      <c r="C1934" t="inlineStr">
        <is>
          <t>Föryngringsavverkning</t>
        </is>
      </c>
      <c r="D1934" s="1" t="n">
        <v>44984</v>
      </c>
      <c r="E1934" s="1" t="n">
        <v>46309</v>
      </c>
      <c r="F1934" t="inlineStr">
        <is>
          <t>UPPSALA LÄN</t>
        </is>
      </c>
      <c r="G1934" t="inlineStr">
        <is>
          <t>HEBY</t>
        </is>
      </c>
      <c r="I1934" t="n">
        <v>0.9</v>
      </c>
      <c r="J1934" t="n">
        <v>0</v>
      </c>
      <c r="K1934" t="n">
        <v>0</v>
      </c>
      <c r="L1934" t="n">
        <v>0</v>
      </c>
      <c r="M1934" t="n">
        <v>0</v>
      </c>
      <c r="N1934" t="n">
        <v>0</v>
      </c>
      <c r="O1934" t="n">
        <v>0</v>
      </c>
      <c r="P1934" t="n">
        <v>0</v>
      </c>
      <c r="Q1934" t="n">
        <v>0</v>
      </c>
      <c r="R1934" t="n">
        <v>0</v>
      </c>
      <c r="S1934" t="n">
        <v>0</v>
      </c>
      <c r="T1934" t="n">
        <v>0</v>
      </c>
      <c r="U1934" t="n">
        <v>0</v>
      </c>
      <c r="V1934" s="2" t="inlineStr"/>
    </row>
    <row r="1935" ht="15" customHeight="1">
      <c r="A1935" t="inlineStr">
        <is>
          <t>A 12409-2026</t>
        </is>
      </c>
      <c r="B1935" t="inlineStr">
        <is>
          <t>avverkningsanmälan</t>
        </is>
      </c>
      <c r="C1935" t="inlineStr">
        <is>
          <t>Föryngringsavverkning</t>
        </is>
      </c>
      <c r="D1935" s="1" t="n">
        <v>46090</v>
      </c>
      <c r="E1935" s="1" t="n">
        <v>46309</v>
      </c>
      <c r="F1935" t="inlineStr">
        <is>
          <t>UPPSALA LÄN</t>
        </is>
      </c>
      <c r="G1935" t="inlineStr">
        <is>
          <t>UPPSALA</t>
        </is>
      </c>
      <c r="I1935" t="n">
        <v>1.5</v>
      </c>
      <c r="J1935" t="n">
        <v>0</v>
      </c>
      <c r="K1935" t="n">
        <v>0</v>
      </c>
      <c r="L1935" t="n">
        <v>0</v>
      </c>
      <c r="M1935" t="n">
        <v>0</v>
      </c>
      <c r="N1935" t="n">
        <v>0</v>
      </c>
      <c r="O1935" t="n">
        <v>0</v>
      </c>
      <c r="P1935" t="n">
        <v>0</v>
      </c>
      <c r="Q1935" t="n">
        <v>0</v>
      </c>
      <c r="R1935" t="n">
        <v>0</v>
      </c>
      <c r="S1935" t="n">
        <v>0</v>
      </c>
      <c r="T1935" t="n">
        <v>0</v>
      </c>
      <c r="U1935" t="n">
        <v>0</v>
      </c>
      <c r="V1935" s="2" t="inlineStr"/>
    </row>
    <row r="1936" ht="15" customHeight="1">
      <c r="A1936" t="inlineStr">
        <is>
          <t>A 31407-2023</t>
        </is>
      </c>
      <c r="B1936" t="inlineStr">
        <is>
          <t>avverkningsanmälan</t>
        </is>
      </c>
      <c r="C1936" t="inlineStr">
        <is>
          <t>Föryngringsavverkning</t>
        </is>
      </c>
      <c r="D1936" s="1" t="n">
        <v>45114</v>
      </c>
      <c r="E1936" s="1" t="n">
        <v>46309</v>
      </c>
      <c r="F1936" t="inlineStr">
        <is>
          <t>UPPSALA LÄN</t>
        </is>
      </c>
      <c r="G1936" t="inlineStr">
        <is>
          <t>HEBY</t>
        </is>
      </c>
      <c r="I1936" t="n">
        <v>1.4</v>
      </c>
      <c r="J1936" t="n">
        <v>0</v>
      </c>
      <c r="K1936" t="n">
        <v>0</v>
      </c>
      <c r="L1936" t="n">
        <v>0</v>
      </c>
      <c r="M1936" t="n">
        <v>0</v>
      </c>
      <c r="N1936" t="n">
        <v>0</v>
      </c>
      <c r="O1936" t="n">
        <v>0</v>
      </c>
      <c r="P1936" t="n">
        <v>0</v>
      </c>
      <c r="Q1936" t="n">
        <v>0</v>
      </c>
      <c r="R1936" t="n">
        <v>0</v>
      </c>
      <c r="S1936" t="n">
        <v>0</v>
      </c>
      <c r="T1936" t="n">
        <v>0</v>
      </c>
      <c r="U1936" t="n">
        <v>0</v>
      </c>
      <c r="V1936" s="2" t="inlineStr"/>
    </row>
    <row r="1937" ht="15" customHeight="1">
      <c r="A1937" t="inlineStr">
        <is>
          <t>A 12774-2026</t>
        </is>
      </c>
      <c r="B1937" t="inlineStr">
        <is>
          <t>avverkningsanmälan</t>
        </is>
      </c>
      <c r="C1937" t="inlineStr">
        <is>
          <t>Föryngringsavverkning</t>
        </is>
      </c>
      <c r="D1937" s="1" t="n">
        <v>46091</v>
      </c>
      <c r="E1937" s="1" t="n">
        <v>46309</v>
      </c>
      <c r="F1937" t="inlineStr">
        <is>
          <t>UPPSALA LÄN</t>
        </is>
      </c>
      <c r="G1937" t="inlineStr">
        <is>
          <t>KNIVSTA</t>
        </is>
      </c>
      <c r="H1937" t="inlineStr">
        <is>
          <t>Holmen skog AB</t>
        </is>
      </c>
      <c r="I1937" t="n">
        <v>3.3</v>
      </c>
      <c r="J1937" t="n">
        <v>0</v>
      </c>
      <c r="K1937" t="n">
        <v>0</v>
      </c>
      <c r="L1937" t="n">
        <v>0</v>
      </c>
      <c r="M1937" t="n">
        <v>0</v>
      </c>
      <c r="N1937" t="n">
        <v>0</v>
      </c>
      <c r="O1937" t="n">
        <v>0</v>
      </c>
      <c r="P1937" t="n">
        <v>0</v>
      </c>
      <c r="Q1937" t="n">
        <v>0</v>
      </c>
      <c r="R1937" t="n">
        <v>0</v>
      </c>
      <c r="S1937" t="n">
        <v>0</v>
      </c>
      <c r="T1937" t="n">
        <v>0</v>
      </c>
      <c r="U1937" t="n">
        <v>0</v>
      </c>
      <c r="V1937" s="2" t="inlineStr"/>
    </row>
    <row r="1938" ht="15" customHeight="1">
      <c r="A1938" t="inlineStr">
        <is>
          <t>A 29570-2022</t>
        </is>
      </c>
      <c r="B1938" t="inlineStr">
        <is>
          <t>avverkningsanmälan</t>
        </is>
      </c>
      <c r="C1938" t="inlineStr">
        <is>
          <t>Föryngringsavverkning</t>
        </is>
      </c>
      <c r="D1938" s="1" t="n">
        <v>44754</v>
      </c>
      <c r="E1938" s="1" t="n">
        <v>46309</v>
      </c>
      <c r="F1938" t="inlineStr">
        <is>
          <t>UPPSALA LÄN</t>
        </is>
      </c>
      <c r="G1938" t="inlineStr">
        <is>
          <t>HEBY</t>
        </is>
      </c>
      <c r="H1938" t="inlineStr">
        <is>
          <t>Bergvik skog öst AB</t>
        </is>
      </c>
      <c r="I1938" t="n">
        <v>1.3</v>
      </c>
      <c r="J1938" t="n">
        <v>0</v>
      </c>
      <c r="K1938" t="n">
        <v>0</v>
      </c>
      <c r="L1938" t="n">
        <v>0</v>
      </c>
      <c r="M1938" t="n">
        <v>0</v>
      </c>
      <c r="N1938" t="n">
        <v>0</v>
      </c>
      <c r="O1938" t="n">
        <v>0</v>
      </c>
      <c r="P1938" t="n">
        <v>0</v>
      </c>
      <c r="Q1938" t="n">
        <v>0</v>
      </c>
      <c r="R1938" t="n">
        <v>0</v>
      </c>
      <c r="S1938" t="n">
        <v>0</v>
      </c>
      <c r="T1938" t="n">
        <v>0</v>
      </c>
      <c r="U1938" t="n">
        <v>0</v>
      </c>
      <c r="V1938" s="2" t="inlineStr"/>
    </row>
    <row r="1939" ht="15" customHeight="1">
      <c r="A1939" t="inlineStr">
        <is>
          <t>A 12702-2026</t>
        </is>
      </c>
      <c r="B1939" t="inlineStr">
        <is>
          <t>avverkningsanmälan</t>
        </is>
      </c>
      <c r="C1939" t="inlineStr">
        <is>
          <t>Föryngringsavverkning</t>
        </is>
      </c>
      <c r="D1939" s="1" t="n">
        <v>46091</v>
      </c>
      <c r="E1939" s="1" t="n">
        <v>46309</v>
      </c>
      <c r="F1939" t="inlineStr">
        <is>
          <t>UPPSALA LÄN</t>
        </is>
      </c>
      <c r="G1939" t="inlineStr">
        <is>
          <t>UPPSALA</t>
        </is>
      </c>
      <c r="I1939" t="n">
        <v>0.5</v>
      </c>
      <c r="J1939" t="n">
        <v>0</v>
      </c>
      <c r="K1939" t="n">
        <v>0</v>
      </c>
      <c r="L1939" t="n">
        <v>0</v>
      </c>
      <c r="M1939" t="n">
        <v>0</v>
      </c>
      <c r="N1939" t="n">
        <v>0</v>
      </c>
      <c r="O1939" t="n">
        <v>0</v>
      </c>
      <c r="P1939" t="n">
        <v>0</v>
      </c>
      <c r="Q1939" t="n">
        <v>0</v>
      </c>
      <c r="R1939" t="n">
        <v>0</v>
      </c>
      <c r="S1939" t="n">
        <v>0</v>
      </c>
      <c r="T1939" t="n">
        <v>0</v>
      </c>
      <c r="U1939" t="n">
        <v>0</v>
      </c>
      <c r="V1939" s="2" t="inlineStr"/>
    </row>
    <row r="1940" ht="15" customHeight="1">
      <c r="A1940" t="inlineStr">
        <is>
          <t>A 12612-2026</t>
        </is>
      </c>
      <c r="B1940" t="inlineStr">
        <is>
          <t>avverkningsanmälan</t>
        </is>
      </c>
      <c r="C1940" t="inlineStr">
        <is>
          <t>Föryngringsavverkning</t>
        </is>
      </c>
      <c r="D1940" s="1" t="n">
        <v>46091</v>
      </c>
      <c r="E1940" s="1" t="n">
        <v>46309</v>
      </c>
      <c r="F1940" t="inlineStr">
        <is>
          <t>UPPSALA LÄN</t>
        </is>
      </c>
      <c r="G1940" t="inlineStr">
        <is>
          <t>TIERP</t>
        </is>
      </c>
      <c r="I1940" t="n">
        <v>1.8</v>
      </c>
      <c r="J1940" t="n">
        <v>0</v>
      </c>
      <c r="K1940" t="n">
        <v>0</v>
      </c>
      <c r="L1940" t="n">
        <v>0</v>
      </c>
      <c r="M1940" t="n">
        <v>0</v>
      </c>
      <c r="N1940" t="n">
        <v>0</v>
      </c>
      <c r="O1940" t="n">
        <v>0</v>
      </c>
      <c r="P1940" t="n">
        <v>0</v>
      </c>
      <c r="Q1940" t="n">
        <v>0</v>
      </c>
      <c r="R1940" t="n">
        <v>0</v>
      </c>
      <c r="S1940" t="n">
        <v>0</v>
      </c>
      <c r="T1940" t="n">
        <v>0</v>
      </c>
      <c r="U1940" t="n">
        <v>0</v>
      </c>
      <c r="V1940" s="2" t="inlineStr"/>
    </row>
    <row r="1941" ht="15" customHeight="1">
      <c r="A1941" t="inlineStr">
        <is>
          <t>A 63307-2021</t>
        </is>
      </c>
      <c r="B1941" t="inlineStr">
        <is>
          <t>avverkningsanmälan</t>
        </is>
      </c>
      <c r="C1941" t="inlineStr">
        <is>
          <t>Föryngringsavverkning</t>
        </is>
      </c>
      <c r="D1941" s="1" t="n">
        <v>44508</v>
      </c>
      <c r="E1941" s="1" t="n">
        <v>46309</v>
      </c>
      <c r="F1941" t="inlineStr">
        <is>
          <t>UPPSALA LÄN</t>
        </is>
      </c>
      <c r="G1941" t="inlineStr">
        <is>
          <t>UPPSALA</t>
        </is>
      </c>
      <c r="H1941" t="inlineStr">
        <is>
          <t>Bergvik skog öst AB</t>
        </is>
      </c>
      <c r="I1941" t="n">
        <v>2.8</v>
      </c>
      <c r="J1941" t="n">
        <v>0</v>
      </c>
      <c r="K1941" t="n">
        <v>0</v>
      </c>
      <c r="L1941" t="n">
        <v>0</v>
      </c>
      <c r="M1941" t="n">
        <v>0</v>
      </c>
      <c r="N1941" t="n">
        <v>0</v>
      </c>
      <c r="O1941" t="n">
        <v>0</v>
      </c>
      <c r="P1941" t="n">
        <v>0</v>
      </c>
      <c r="Q1941" t="n">
        <v>0</v>
      </c>
      <c r="R1941" t="n">
        <v>0</v>
      </c>
      <c r="S1941" t="n">
        <v>0</v>
      </c>
      <c r="T1941" t="n">
        <v>0</v>
      </c>
      <c r="U1941" t="n">
        <v>0</v>
      </c>
      <c r="V1941" s="2" t="inlineStr"/>
    </row>
    <row r="1942" ht="15" customHeight="1">
      <c r="A1942" t="inlineStr">
        <is>
          <t>A 12411-2026</t>
        </is>
      </c>
      <c r="B1942" t="inlineStr">
        <is>
          <t>avverkningsanmälan</t>
        </is>
      </c>
      <c r="C1942" t="inlineStr">
        <is>
          <t>Avverkning för att bevara och utveckla /försöksver</t>
        </is>
      </c>
      <c r="D1942" s="1" t="n">
        <v>46090</v>
      </c>
      <c r="E1942" s="1" t="n">
        <v>46309</v>
      </c>
      <c r="F1942" t="inlineStr">
        <is>
          <t>UPPSALA LÄN</t>
        </is>
      </c>
      <c r="G1942" t="inlineStr">
        <is>
          <t>ENKÖPING</t>
        </is>
      </c>
      <c r="I1942" t="n">
        <v>1.4</v>
      </c>
      <c r="J1942" t="n">
        <v>0</v>
      </c>
      <c r="K1942" t="n">
        <v>0</v>
      </c>
      <c r="L1942" t="n">
        <v>0</v>
      </c>
      <c r="M1942" t="n">
        <v>0</v>
      </c>
      <c r="N1942" t="n">
        <v>0</v>
      </c>
      <c r="O1942" t="n">
        <v>0</v>
      </c>
      <c r="P1942" t="n">
        <v>0</v>
      </c>
      <c r="Q1942" t="n">
        <v>0</v>
      </c>
      <c r="R1942" t="n">
        <v>0</v>
      </c>
      <c r="S1942" t="n">
        <v>0</v>
      </c>
      <c r="T1942" t="n">
        <v>0</v>
      </c>
      <c r="U1942" t="n">
        <v>0</v>
      </c>
      <c r="V1942" s="2" t="inlineStr"/>
    </row>
    <row r="1943" ht="15" customHeight="1">
      <c r="A1943" t="inlineStr">
        <is>
          <t>A 17085-2025</t>
        </is>
      </c>
      <c r="B1943" t="inlineStr">
        <is>
          <t>avverkningsanmälan</t>
        </is>
      </c>
      <c r="C1943" t="inlineStr">
        <is>
          <t>Föryngringsavverkning</t>
        </is>
      </c>
      <c r="D1943" s="1" t="n">
        <v>45755</v>
      </c>
      <c r="E1943" s="1" t="n">
        <v>46309</v>
      </c>
      <c r="F1943" t="inlineStr">
        <is>
          <t>UPPSALA LÄN</t>
        </is>
      </c>
      <c r="G1943" t="inlineStr">
        <is>
          <t>ÖSTHAMMAR</t>
        </is>
      </c>
      <c r="H1943" t="inlineStr">
        <is>
          <t>Bergvik skog öst AB</t>
        </is>
      </c>
      <c r="I1943" t="n">
        <v>0.6</v>
      </c>
      <c r="J1943" t="n">
        <v>0</v>
      </c>
      <c r="K1943" t="n">
        <v>0</v>
      </c>
      <c r="L1943" t="n">
        <v>0</v>
      </c>
      <c r="M1943" t="n">
        <v>0</v>
      </c>
      <c r="N1943" t="n">
        <v>0</v>
      </c>
      <c r="O1943" t="n">
        <v>0</v>
      </c>
      <c r="P1943" t="n">
        <v>0</v>
      </c>
      <c r="Q1943" t="n">
        <v>0</v>
      </c>
      <c r="R1943" t="n">
        <v>0</v>
      </c>
      <c r="S1943" t="n">
        <v>0</v>
      </c>
      <c r="T1943" t="n">
        <v>0</v>
      </c>
      <c r="U1943" t="n">
        <v>0</v>
      </c>
      <c r="V1943" s="2" t="inlineStr"/>
    </row>
    <row r="1944" ht="15" customHeight="1">
      <c r="A1944" t="inlineStr">
        <is>
          <t>A 33705-2023</t>
        </is>
      </c>
      <c r="B1944" t="inlineStr">
        <is>
          <t>avverkningsanmälan</t>
        </is>
      </c>
      <c r="C1944" t="inlineStr">
        <is>
          <t>Föryngringsavverkning</t>
        </is>
      </c>
      <c r="D1944" s="1" t="n">
        <v>45132</v>
      </c>
      <c r="E1944" s="1" t="n">
        <v>46309</v>
      </c>
      <c r="F1944" t="inlineStr">
        <is>
          <t>UPPSALA LÄN</t>
        </is>
      </c>
      <c r="G1944" t="inlineStr">
        <is>
          <t>HEBY</t>
        </is>
      </c>
      <c r="I1944" t="n">
        <v>0.7</v>
      </c>
      <c r="J1944" t="n">
        <v>0</v>
      </c>
      <c r="K1944" t="n">
        <v>0</v>
      </c>
      <c r="L1944" t="n">
        <v>0</v>
      </c>
      <c r="M1944" t="n">
        <v>0</v>
      </c>
      <c r="N1944" t="n">
        <v>0</v>
      </c>
      <c r="O1944" t="n">
        <v>0</v>
      </c>
      <c r="P1944" t="n">
        <v>0</v>
      </c>
      <c r="Q1944" t="n">
        <v>0</v>
      </c>
      <c r="R1944" t="n">
        <v>0</v>
      </c>
      <c r="S1944" t="n">
        <v>0</v>
      </c>
      <c r="T1944" t="n">
        <v>0</v>
      </c>
      <c r="U1944" t="n">
        <v>0</v>
      </c>
      <c r="V1944" s="2" t="inlineStr"/>
    </row>
    <row r="1945" ht="15" customHeight="1">
      <c r="A1945" t="inlineStr">
        <is>
          <t>A 33706-2023</t>
        </is>
      </c>
      <c r="B1945" t="inlineStr">
        <is>
          <t>avverkningsanmälan</t>
        </is>
      </c>
      <c r="C1945" t="inlineStr">
        <is>
          <t>Föryngringsavverkning</t>
        </is>
      </c>
      <c r="D1945" s="1" t="n">
        <v>45132</v>
      </c>
      <c r="E1945" s="1" t="n">
        <v>46309</v>
      </c>
      <c r="F1945" t="inlineStr">
        <is>
          <t>UPPSALA LÄN</t>
        </is>
      </c>
      <c r="G1945" t="inlineStr">
        <is>
          <t>HEBY</t>
        </is>
      </c>
      <c r="I1945" t="n">
        <v>0.6</v>
      </c>
      <c r="J1945" t="n">
        <v>0</v>
      </c>
      <c r="K1945" t="n">
        <v>0</v>
      </c>
      <c r="L1945" t="n">
        <v>0</v>
      </c>
      <c r="M1945" t="n">
        <v>0</v>
      </c>
      <c r="N1945" t="n">
        <v>0</v>
      </c>
      <c r="O1945" t="n">
        <v>0</v>
      </c>
      <c r="P1945" t="n">
        <v>0</v>
      </c>
      <c r="Q1945" t="n">
        <v>0</v>
      </c>
      <c r="R1945" t="n">
        <v>0</v>
      </c>
      <c r="S1945" t="n">
        <v>0</v>
      </c>
      <c r="T1945" t="n">
        <v>0</v>
      </c>
      <c r="U1945" t="n">
        <v>0</v>
      </c>
      <c r="V1945" s="2" t="inlineStr"/>
    </row>
    <row r="1946" ht="15" customHeight="1">
      <c r="A1946" t="inlineStr">
        <is>
          <t>A 52299-2023</t>
        </is>
      </c>
      <c r="B1946" t="inlineStr">
        <is>
          <t>avverkningsanmälan</t>
        </is>
      </c>
      <c r="C1946" t="inlineStr">
        <is>
          <t>Föryngringsavverkning</t>
        </is>
      </c>
      <c r="D1946" s="1" t="n">
        <v>45224</v>
      </c>
      <c r="E1946" s="1" t="n">
        <v>46309</v>
      </c>
      <c r="F1946" t="inlineStr">
        <is>
          <t>UPPSALA LÄN</t>
        </is>
      </c>
      <c r="G1946" t="inlineStr">
        <is>
          <t>ENKÖPING</t>
        </is>
      </c>
      <c r="I1946" t="n">
        <v>2.2</v>
      </c>
      <c r="J1946" t="n">
        <v>0</v>
      </c>
      <c r="K1946" t="n">
        <v>0</v>
      </c>
      <c r="L1946" t="n">
        <v>0</v>
      </c>
      <c r="M1946" t="n">
        <v>0</v>
      </c>
      <c r="N1946" t="n">
        <v>0</v>
      </c>
      <c r="O1946" t="n">
        <v>0</v>
      </c>
      <c r="P1946" t="n">
        <v>0</v>
      </c>
      <c r="Q1946" t="n">
        <v>0</v>
      </c>
      <c r="R1946" t="n">
        <v>0</v>
      </c>
      <c r="S1946" t="n">
        <v>0</v>
      </c>
      <c r="T1946" t="n">
        <v>0</v>
      </c>
      <c r="U1946" t="n">
        <v>0</v>
      </c>
      <c r="V1946" s="2" t="inlineStr"/>
    </row>
    <row r="1947" ht="15" customHeight="1">
      <c r="A1947" t="inlineStr">
        <is>
          <t>A 19683-2022</t>
        </is>
      </c>
      <c r="B1947" t="inlineStr">
        <is>
          <t>avverkningsanmälan</t>
        </is>
      </c>
      <c r="C1947" t="inlineStr">
        <is>
          <t>Föryngringsavverkning</t>
        </is>
      </c>
      <c r="D1947" s="1" t="n">
        <v>44694</v>
      </c>
      <c r="E1947" s="1" t="n">
        <v>46309</v>
      </c>
      <c r="F1947" t="inlineStr">
        <is>
          <t>UPPSALA LÄN</t>
        </is>
      </c>
      <c r="G1947" t="inlineStr">
        <is>
          <t>HEBY</t>
        </is>
      </c>
      <c r="I1947" t="n">
        <v>22</v>
      </c>
      <c r="J1947" t="n">
        <v>0</v>
      </c>
      <c r="K1947" t="n">
        <v>0</v>
      </c>
      <c r="L1947" t="n">
        <v>0</v>
      </c>
      <c r="M1947" t="n">
        <v>0</v>
      </c>
      <c r="N1947" t="n">
        <v>0</v>
      </c>
      <c r="O1947" t="n">
        <v>0</v>
      </c>
      <c r="P1947" t="n">
        <v>0</v>
      </c>
      <c r="Q1947" t="n">
        <v>0</v>
      </c>
      <c r="R1947" t="n">
        <v>0</v>
      </c>
      <c r="S1947" t="n">
        <v>0</v>
      </c>
      <c r="T1947" t="n">
        <v>0</v>
      </c>
      <c r="U1947" t="n">
        <v>0</v>
      </c>
      <c r="V1947" s="2" t="inlineStr"/>
    </row>
    <row r="1948" ht="15" customHeight="1">
      <c r="A1948" t="inlineStr">
        <is>
          <t>A 12769-2026</t>
        </is>
      </c>
      <c r="B1948" t="inlineStr">
        <is>
          <t>avverkningsanmälan</t>
        </is>
      </c>
      <c r="C1948" t="inlineStr">
        <is>
          <t>Föryngringsavverkning</t>
        </is>
      </c>
      <c r="D1948" s="1" t="n">
        <v>46091</v>
      </c>
      <c r="E1948" s="1" t="n">
        <v>46309</v>
      </c>
      <c r="F1948" t="inlineStr">
        <is>
          <t>UPPSALA LÄN</t>
        </is>
      </c>
      <c r="G1948" t="inlineStr">
        <is>
          <t>UPPSALA</t>
        </is>
      </c>
      <c r="I1948" t="n">
        <v>1.9</v>
      </c>
      <c r="J1948" t="n">
        <v>0</v>
      </c>
      <c r="K1948" t="n">
        <v>0</v>
      </c>
      <c r="L1948" t="n">
        <v>0</v>
      </c>
      <c r="M1948" t="n">
        <v>0</v>
      </c>
      <c r="N1948" t="n">
        <v>0</v>
      </c>
      <c r="O1948" t="n">
        <v>0</v>
      </c>
      <c r="P1948" t="n">
        <v>0</v>
      </c>
      <c r="Q1948" t="n">
        <v>0</v>
      </c>
      <c r="R1948" t="n">
        <v>0</v>
      </c>
      <c r="S1948" t="n">
        <v>0</v>
      </c>
      <c r="T1948" t="n">
        <v>0</v>
      </c>
      <c r="U1948" t="n">
        <v>0</v>
      </c>
      <c r="V1948" s="2" t="inlineStr"/>
    </row>
    <row r="1949" ht="15" customHeight="1">
      <c r="A1949" t="inlineStr">
        <is>
          <t>A 12771-2026</t>
        </is>
      </c>
      <c r="B1949" t="inlineStr">
        <is>
          <t>avverkningsanmälan</t>
        </is>
      </c>
      <c r="C1949" t="inlineStr">
        <is>
          <t>Föryngringsavverkning</t>
        </is>
      </c>
      <c r="D1949" s="1" t="n">
        <v>46091</v>
      </c>
      <c r="E1949" s="1" t="n">
        <v>46309</v>
      </c>
      <c r="F1949" t="inlineStr">
        <is>
          <t>UPPSALA LÄN</t>
        </is>
      </c>
      <c r="G1949" t="inlineStr">
        <is>
          <t>UPPSALA</t>
        </is>
      </c>
      <c r="I1949" t="n">
        <v>2.3</v>
      </c>
      <c r="J1949" t="n">
        <v>0</v>
      </c>
      <c r="K1949" t="n">
        <v>0</v>
      </c>
      <c r="L1949" t="n">
        <v>0</v>
      </c>
      <c r="M1949" t="n">
        <v>0</v>
      </c>
      <c r="N1949" t="n">
        <v>0</v>
      </c>
      <c r="O1949" t="n">
        <v>0</v>
      </c>
      <c r="P1949" t="n">
        <v>0</v>
      </c>
      <c r="Q1949" t="n">
        <v>0</v>
      </c>
      <c r="R1949" t="n">
        <v>0</v>
      </c>
      <c r="S1949" t="n">
        <v>0</v>
      </c>
      <c r="T1949" t="n">
        <v>0</v>
      </c>
      <c r="U1949" t="n">
        <v>0</v>
      </c>
      <c r="V1949" s="2" t="inlineStr"/>
    </row>
    <row r="1950" ht="15" customHeight="1">
      <c r="A1950" t="inlineStr">
        <is>
          <t>A 12697-2026</t>
        </is>
      </c>
      <c r="B1950" t="inlineStr">
        <is>
          <t>avverkningsanmälan</t>
        </is>
      </c>
      <c r="C1950" t="inlineStr">
        <is>
          <t>Föryngringsavverkning</t>
        </is>
      </c>
      <c r="D1950" s="1" t="n">
        <v>46091</v>
      </c>
      <c r="E1950" s="1" t="n">
        <v>46309</v>
      </c>
      <c r="F1950" t="inlineStr">
        <is>
          <t>UPPSALA LÄN</t>
        </is>
      </c>
      <c r="G1950" t="inlineStr">
        <is>
          <t>UPPSALA</t>
        </is>
      </c>
      <c r="I1950" t="n">
        <v>1.1</v>
      </c>
      <c r="J1950" t="n">
        <v>0</v>
      </c>
      <c r="K1950" t="n">
        <v>0</v>
      </c>
      <c r="L1950" t="n">
        <v>0</v>
      </c>
      <c r="M1950" t="n">
        <v>0</v>
      </c>
      <c r="N1950" t="n">
        <v>0</v>
      </c>
      <c r="O1950" t="n">
        <v>0</v>
      </c>
      <c r="P1950" t="n">
        <v>0</v>
      </c>
      <c r="Q1950" t="n">
        <v>0</v>
      </c>
      <c r="R1950" t="n">
        <v>0</v>
      </c>
      <c r="S1950" t="n">
        <v>0</v>
      </c>
      <c r="T1950" t="n">
        <v>0</v>
      </c>
      <c r="U1950" t="n">
        <v>0</v>
      </c>
      <c r="V1950" s="2" t="inlineStr"/>
    </row>
    <row r="1951" ht="15" customHeight="1">
      <c r="A1951" t="inlineStr">
        <is>
          <t>A 66690-2021</t>
        </is>
      </c>
      <c r="B1951" t="inlineStr">
        <is>
          <t>avverkningsanmälan</t>
        </is>
      </c>
      <c r="C1951" t="inlineStr">
        <is>
          <t>Föryngringsavverkning</t>
        </is>
      </c>
      <c r="D1951" s="1" t="n">
        <v>44519</v>
      </c>
      <c r="E1951" s="1" t="n">
        <v>46309</v>
      </c>
      <c r="F1951" t="inlineStr">
        <is>
          <t>UPPSALA LÄN</t>
        </is>
      </c>
      <c r="G1951" t="inlineStr">
        <is>
          <t>UPPSALA</t>
        </is>
      </c>
      <c r="I1951" t="n">
        <v>2.2</v>
      </c>
      <c r="J1951" t="n">
        <v>0</v>
      </c>
      <c r="K1951" t="n">
        <v>0</v>
      </c>
      <c r="L1951" t="n">
        <v>0</v>
      </c>
      <c r="M1951" t="n">
        <v>0</v>
      </c>
      <c r="N1951" t="n">
        <v>0</v>
      </c>
      <c r="O1951" t="n">
        <v>0</v>
      </c>
      <c r="P1951" t="n">
        <v>0</v>
      </c>
      <c r="Q1951" t="n">
        <v>0</v>
      </c>
      <c r="R1951" t="n">
        <v>0</v>
      </c>
      <c r="S1951" t="n">
        <v>0</v>
      </c>
      <c r="T1951" t="n">
        <v>0</v>
      </c>
      <c r="U1951" t="n">
        <v>0</v>
      </c>
      <c r="V1951" s="2" t="inlineStr"/>
    </row>
    <row r="1952" ht="15" customHeight="1">
      <c r="A1952" t="inlineStr">
        <is>
          <t>A 13013-2026</t>
        </is>
      </c>
      <c r="B1952" t="inlineStr">
        <is>
          <t>avverkningsanmälan</t>
        </is>
      </c>
      <c r="C1952" t="inlineStr">
        <is>
          <t>Föryngringsavverkning</t>
        </is>
      </c>
      <c r="D1952" s="1" t="n">
        <v>46092</v>
      </c>
      <c r="E1952" s="1" t="n">
        <v>46309</v>
      </c>
      <c r="F1952" t="inlineStr">
        <is>
          <t>UPPSALA LÄN</t>
        </is>
      </c>
      <c r="G1952" t="inlineStr">
        <is>
          <t>KNIVSTA</t>
        </is>
      </c>
      <c r="H1952" t="inlineStr">
        <is>
          <t>Holmen skog AB</t>
        </is>
      </c>
      <c r="I1952" t="n">
        <v>4.6</v>
      </c>
      <c r="J1952" t="n">
        <v>0</v>
      </c>
      <c r="K1952" t="n">
        <v>0</v>
      </c>
      <c r="L1952" t="n">
        <v>0</v>
      </c>
      <c r="M1952" t="n">
        <v>0</v>
      </c>
      <c r="N1952" t="n">
        <v>0</v>
      </c>
      <c r="O1952" t="n">
        <v>0</v>
      </c>
      <c r="P1952" t="n">
        <v>0</v>
      </c>
      <c r="Q1952" t="n">
        <v>0</v>
      </c>
      <c r="R1952" t="n">
        <v>0</v>
      </c>
      <c r="S1952" t="n">
        <v>0</v>
      </c>
      <c r="T1952" t="n">
        <v>0</v>
      </c>
      <c r="U1952" t="n">
        <v>0</v>
      </c>
      <c r="V1952" s="2" t="inlineStr"/>
    </row>
    <row r="1953" ht="15" customHeight="1">
      <c r="A1953" t="inlineStr">
        <is>
          <t>A 32081-2024</t>
        </is>
      </c>
      <c r="B1953" t="inlineStr">
        <is>
          <t>avverkningsanmälan</t>
        </is>
      </c>
      <c r="C1953" t="inlineStr">
        <is>
          <t>Föryngringsavverkning</t>
        </is>
      </c>
      <c r="D1953" s="1" t="n">
        <v>45511</v>
      </c>
      <c r="E1953" s="1" t="n">
        <v>46309</v>
      </c>
      <c r="F1953" t="inlineStr">
        <is>
          <t>UPPSALA LÄN</t>
        </is>
      </c>
      <c r="G1953" t="inlineStr">
        <is>
          <t>ENKÖPING</t>
        </is>
      </c>
      <c r="I1953" t="n">
        <v>5.4</v>
      </c>
      <c r="J1953" t="n">
        <v>0</v>
      </c>
      <c r="K1953" t="n">
        <v>0</v>
      </c>
      <c r="L1953" t="n">
        <v>0</v>
      </c>
      <c r="M1953" t="n">
        <v>0</v>
      </c>
      <c r="N1953" t="n">
        <v>0</v>
      </c>
      <c r="O1953" t="n">
        <v>0</v>
      </c>
      <c r="P1953" t="n">
        <v>0</v>
      </c>
      <c r="Q1953" t="n">
        <v>0</v>
      </c>
      <c r="R1953" t="n">
        <v>0</v>
      </c>
      <c r="S1953" t="n">
        <v>0</v>
      </c>
      <c r="T1953" t="n">
        <v>0</v>
      </c>
      <c r="U1953" t="n">
        <v>0</v>
      </c>
      <c r="V1953" s="2" t="inlineStr"/>
    </row>
    <row r="1954" ht="15" customHeight="1">
      <c r="A1954" t="inlineStr">
        <is>
          <t>A 33707-2023</t>
        </is>
      </c>
      <c r="B1954" t="inlineStr">
        <is>
          <t>avverkningsanmälan</t>
        </is>
      </c>
      <c r="C1954" t="inlineStr">
        <is>
          <t>Föryngringsavverkning</t>
        </is>
      </c>
      <c r="D1954" s="1" t="n">
        <v>45132</v>
      </c>
      <c r="E1954" s="1" t="n">
        <v>46309</v>
      </c>
      <c r="F1954" t="inlineStr">
        <is>
          <t>UPPSALA LÄN</t>
        </is>
      </c>
      <c r="G1954" t="inlineStr">
        <is>
          <t>HEBY</t>
        </is>
      </c>
      <c r="I1954" t="n">
        <v>0.9</v>
      </c>
      <c r="J1954" t="n">
        <v>0</v>
      </c>
      <c r="K1954" t="n">
        <v>0</v>
      </c>
      <c r="L1954" t="n">
        <v>0</v>
      </c>
      <c r="M1954" t="n">
        <v>0</v>
      </c>
      <c r="N1954" t="n">
        <v>0</v>
      </c>
      <c r="O1954" t="n">
        <v>0</v>
      </c>
      <c r="P1954" t="n">
        <v>0</v>
      </c>
      <c r="Q1954" t="n">
        <v>0</v>
      </c>
      <c r="R1954" t="n">
        <v>0</v>
      </c>
      <c r="S1954" t="n">
        <v>0</v>
      </c>
      <c r="T1954" t="n">
        <v>0</v>
      </c>
      <c r="U1954" t="n">
        <v>0</v>
      </c>
      <c r="V1954" s="2" t="inlineStr"/>
    </row>
    <row r="1955" ht="15" customHeight="1">
      <c r="A1955" t="inlineStr">
        <is>
          <t>A 13011-2026</t>
        </is>
      </c>
      <c r="B1955" t="inlineStr">
        <is>
          <t>avverkningsanmälan</t>
        </is>
      </c>
      <c r="C1955" t="inlineStr">
        <is>
          <t>Föryngringsavverkning</t>
        </is>
      </c>
      <c r="D1955" s="1" t="n">
        <v>46092</v>
      </c>
      <c r="E1955" s="1" t="n">
        <v>46309</v>
      </c>
      <c r="F1955" t="inlineStr">
        <is>
          <t>UPPSALA LÄN</t>
        </is>
      </c>
      <c r="G1955" t="inlineStr">
        <is>
          <t>KNIVSTA</t>
        </is>
      </c>
      <c r="H1955" t="inlineStr">
        <is>
          <t>Holmen skog AB</t>
        </is>
      </c>
      <c r="I1955" t="n">
        <v>1.9</v>
      </c>
      <c r="J1955" t="n">
        <v>0</v>
      </c>
      <c r="K1955" t="n">
        <v>0</v>
      </c>
      <c r="L1955" t="n">
        <v>0</v>
      </c>
      <c r="M1955" t="n">
        <v>0</v>
      </c>
      <c r="N1955" t="n">
        <v>0</v>
      </c>
      <c r="O1955" t="n">
        <v>0</v>
      </c>
      <c r="P1955" t="n">
        <v>0</v>
      </c>
      <c r="Q1955" t="n">
        <v>0</v>
      </c>
      <c r="R1955" t="n">
        <v>0</v>
      </c>
      <c r="S1955" t="n">
        <v>0</v>
      </c>
      <c r="T1955" t="n">
        <v>0</v>
      </c>
      <c r="U1955" t="n">
        <v>0</v>
      </c>
      <c r="V1955" s="2" t="inlineStr"/>
      <c r="Z1955">
        <f>HYPERLINK("https://klasma.github.io/Logging_0330/knärot/A 13011-2026 karta knärot.png", "A 13011-2026")</f>
        <v/>
      </c>
      <c r="AA1955">
        <f>HYPERLINK("https://klasma.github.io/Logging_0330/klagomål/A 13011-2026 FSC-klagomål.docx", "A 13011-2026")</f>
        <v/>
      </c>
      <c r="AB1955">
        <f>HYPERLINK("https://klasma.github.io/Logging_0330/klagomålsmail/A 13011-2026 FSC-klagomål mail.docx", "A 13011-2026")</f>
        <v/>
      </c>
      <c r="AC1955">
        <f>HYPERLINK("https://klasma.github.io/Logging_0330/tillsyn/A 13011-2026 tillsynsbegäran.docx", "A 13011-2026")</f>
        <v/>
      </c>
      <c r="AD1955">
        <f>HYPERLINK("https://klasma.github.io/Logging_0330/tillsynsmail/A 13011-2026 tillsynsbegäran mail.docx", "A 13011-2026")</f>
        <v/>
      </c>
    </row>
    <row r="1956" ht="15" customHeight="1">
      <c r="A1956" t="inlineStr">
        <is>
          <t>A 26815-2022</t>
        </is>
      </c>
      <c r="B1956" t="inlineStr">
        <is>
          <t>avverkningsanmälan</t>
        </is>
      </c>
      <c r="C1956" t="inlineStr">
        <is>
          <t>Föryngringsavverkning</t>
        </is>
      </c>
      <c r="D1956" s="1" t="n">
        <v>44740</v>
      </c>
      <c r="E1956" s="1" t="n">
        <v>46309</v>
      </c>
      <c r="F1956" t="inlineStr">
        <is>
          <t>UPPSALA LÄN</t>
        </is>
      </c>
      <c r="G1956" t="inlineStr">
        <is>
          <t>ÄLVKARLEBY</t>
        </is>
      </c>
      <c r="I1956" t="n">
        <v>5.8</v>
      </c>
      <c r="J1956" t="n">
        <v>0</v>
      </c>
      <c r="K1956" t="n">
        <v>0</v>
      </c>
      <c r="L1956" t="n">
        <v>0</v>
      </c>
      <c r="M1956" t="n">
        <v>0</v>
      </c>
      <c r="N1956" t="n">
        <v>0</v>
      </c>
      <c r="O1956" t="n">
        <v>0</v>
      </c>
      <c r="P1956" t="n">
        <v>0</v>
      </c>
      <c r="Q1956" t="n">
        <v>0</v>
      </c>
      <c r="R1956" t="n">
        <v>0</v>
      </c>
      <c r="S1956" t="n">
        <v>0</v>
      </c>
      <c r="T1956" t="n">
        <v>0</v>
      </c>
      <c r="U1956" t="n">
        <v>0</v>
      </c>
      <c r="V1956" s="2" t="inlineStr"/>
    </row>
    <row r="1957" ht="15" customHeight="1">
      <c r="A1957" t="inlineStr">
        <is>
          <t>A 13075-2026</t>
        </is>
      </c>
      <c r="B1957" t="inlineStr">
        <is>
          <t>avverkningsanmälan</t>
        </is>
      </c>
      <c r="C1957" t="inlineStr">
        <is>
          <t>Föryngringsavverkning</t>
        </is>
      </c>
      <c r="D1957" s="1" t="n">
        <v>46093</v>
      </c>
      <c r="E1957" s="1" t="n">
        <v>46309</v>
      </c>
      <c r="F1957" t="inlineStr">
        <is>
          <t>UPPSALA LÄN</t>
        </is>
      </c>
      <c r="G1957" t="inlineStr">
        <is>
          <t>UPPSALA</t>
        </is>
      </c>
      <c r="I1957" t="n">
        <v>2.7</v>
      </c>
      <c r="J1957" t="n">
        <v>0</v>
      </c>
      <c r="K1957" t="n">
        <v>0</v>
      </c>
      <c r="L1957" t="n">
        <v>0</v>
      </c>
      <c r="M1957" t="n">
        <v>0</v>
      </c>
      <c r="N1957" t="n">
        <v>0</v>
      </c>
      <c r="O1957" t="n">
        <v>0</v>
      </c>
      <c r="P1957" t="n">
        <v>0</v>
      </c>
      <c r="Q1957" t="n">
        <v>0</v>
      </c>
      <c r="R1957" t="n">
        <v>0</v>
      </c>
      <c r="S1957" t="n">
        <v>0</v>
      </c>
      <c r="T1957" t="n">
        <v>0</v>
      </c>
      <c r="U1957" t="n">
        <v>0</v>
      </c>
      <c r="V1957" s="2" t="inlineStr"/>
    </row>
    <row r="1958" ht="15" customHeight="1">
      <c r="A1958" t="inlineStr">
        <is>
          <t>A 13016-2026</t>
        </is>
      </c>
      <c r="B1958" t="inlineStr">
        <is>
          <t>avverkningsanmälan</t>
        </is>
      </c>
      <c r="C1958" t="inlineStr">
        <is>
          <t>Föryngringsavverkning</t>
        </is>
      </c>
      <c r="D1958" s="1" t="n">
        <v>46092</v>
      </c>
      <c r="E1958" s="1" t="n">
        <v>46309</v>
      </c>
      <c r="F1958" t="inlineStr">
        <is>
          <t>UPPSALA LÄN</t>
        </is>
      </c>
      <c r="G1958" t="inlineStr">
        <is>
          <t>KNIVSTA</t>
        </is>
      </c>
      <c r="H1958" t="inlineStr">
        <is>
          <t>Holmen skog AB</t>
        </is>
      </c>
      <c r="I1958" t="n">
        <v>1.5</v>
      </c>
      <c r="J1958" t="n">
        <v>0</v>
      </c>
      <c r="K1958" t="n">
        <v>0</v>
      </c>
      <c r="L1958" t="n">
        <v>0</v>
      </c>
      <c r="M1958" t="n">
        <v>0</v>
      </c>
      <c r="N1958" t="n">
        <v>0</v>
      </c>
      <c r="O1958" t="n">
        <v>0</v>
      </c>
      <c r="P1958" t="n">
        <v>0</v>
      </c>
      <c r="Q1958" t="n">
        <v>0</v>
      </c>
      <c r="R1958" t="n">
        <v>0</v>
      </c>
      <c r="S1958" t="n">
        <v>0</v>
      </c>
      <c r="T1958" t="n">
        <v>0</v>
      </c>
      <c r="U1958" t="n">
        <v>0</v>
      </c>
      <c r="V1958" s="2" t="inlineStr"/>
    </row>
    <row r="1959" ht="15" customHeight="1">
      <c r="A1959" t="inlineStr">
        <is>
          <t>A 13097-2026</t>
        </is>
      </c>
      <c r="B1959" t="inlineStr">
        <is>
          <t>avverkningsanmälan</t>
        </is>
      </c>
      <c r="C1959" t="inlineStr">
        <is>
          <t>Föryngringsavverkning</t>
        </is>
      </c>
      <c r="D1959" s="1" t="n">
        <v>46093</v>
      </c>
      <c r="E1959" s="1" t="n">
        <v>46309</v>
      </c>
      <c r="F1959" t="inlineStr">
        <is>
          <t>UPPSALA LÄN</t>
        </is>
      </c>
      <c r="G1959" t="inlineStr">
        <is>
          <t>HEBY</t>
        </is>
      </c>
      <c r="I1959" t="n">
        <v>2</v>
      </c>
      <c r="J1959" t="n">
        <v>0</v>
      </c>
      <c r="K1959" t="n">
        <v>0</v>
      </c>
      <c r="L1959" t="n">
        <v>0</v>
      </c>
      <c r="M1959" t="n">
        <v>0</v>
      </c>
      <c r="N1959" t="n">
        <v>0</v>
      </c>
      <c r="O1959" t="n">
        <v>0</v>
      </c>
      <c r="P1959" t="n">
        <v>0</v>
      </c>
      <c r="Q1959" t="n">
        <v>0</v>
      </c>
      <c r="R1959" t="n">
        <v>0</v>
      </c>
      <c r="S1959" t="n">
        <v>0</v>
      </c>
      <c r="T1959" t="n">
        <v>0</v>
      </c>
      <c r="U1959" t="n">
        <v>0</v>
      </c>
      <c r="V1959" s="2" t="inlineStr"/>
    </row>
    <row r="1960" ht="15" customHeight="1">
      <c r="A1960" t="inlineStr">
        <is>
          <t>A 437-2023</t>
        </is>
      </c>
      <c r="B1960" t="inlineStr">
        <is>
          <t>avverkningsanmälan</t>
        </is>
      </c>
      <c r="C1960" t="inlineStr">
        <is>
          <t>Föryngringsavverkning</t>
        </is>
      </c>
      <c r="D1960" s="1" t="n">
        <v>44924</v>
      </c>
      <c r="E1960" s="1" t="n">
        <v>46309</v>
      </c>
      <c r="F1960" t="inlineStr">
        <is>
          <t>UPPSALA LÄN</t>
        </is>
      </c>
      <c r="G1960" t="inlineStr">
        <is>
          <t>TIERP</t>
        </is>
      </c>
      <c r="I1960" t="n">
        <v>3.3</v>
      </c>
      <c r="J1960" t="n">
        <v>0</v>
      </c>
      <c r="K1960" t="n">
        <v>0</v>
      </c>
      <c r="L1960" t="n">
        <v>0</v>
      </c>
      <c r="M1960" t="n">
        <v>0</v>
      </c>
      <c r="N1960" t="n">
        <v>0</v>
      </c>
      <c r="O1960" t="n">
        <v>0</v>
      </c>
      <c r="P1960" t="n">
        <v>0</v>
      </c>
      <c r="Q1960" t="n">
        <v>0</v>
      </c>
      <c r="R1960" t="n">
        <v>0</v>
      </c>
      <c r="S1960" t="n">
        <v>0</v>
      </c>
      <c r="T1960" t="n">
        <v>0</v>
      </c>
      <c r="U1960" t="n">
        <v>0</v>
      </c>
      <c r="V1960" s="2" t="inlineStr"/>
    </row>
    <row r="1961" ht="15" customHeight="1">
      <c r="A1961" t="inlineStr">
        <is>
          <t>A 13089-2026</t>
        </is>
      </c>
      <c r="B1961" t="inlineStr">
        <is>
          <t>avverkningsanmälan</t>
        </is>
      </c>
      <c r="C1961" t="inlineStr">
        <is>
          <t>Föryngringsavverkning</t>
        </is>
      </c>
      <c r="D1961" s="1" t="n">
        <v>46093</v>
      </c>
      <c r="E1961" s="1" t="n">
        <v>46309</v>
      </c>
      <c r="F1961" t="inlineStr">
        <is>
          <t>UPPSALA LÄN</t>
        </is>
      </c>
      <c r="G1961" t="inlineStr">
        <is>
          <t>HEBY</t>
        </is>
      </c>
      <c r="I1961" t="n">
        <v>2</v>
      </c>
      <c r="J1961" t="n">
        <v>0</v>
      </c>
      <c r="K1961" t="n">
        <v>0</v>
      </c>
      <c r="L1961" t="n">
        <v>0</v>
      </c>
      <c r="M1961" t="n">
        <v>0</v>
      </c>
      <c r="N1961" t="n">
        <v>0</v>
      </c>
      <c r="O1961" t="n">
        <v>0</v>
      </c>
      <c r="P1961" t="n">
        <v>0</v>
      </c>
      <c r="Q1961" t="n">
        <v>0</v>
      </c>
      <c r="R1961" t="n">
        <v>0</v>
      </c>
      <c r="S1961" t="n">
        <v>0</v>
      </c>
      <c r="T1961" t="n">
        <v>0</v>
      </c>
      <c r="U1961" t="n">
        <v>0</v>
      </c>
      <c r="V1961" s="2" t="inlineStr"/>
    </row>
    <row r="1962" ht="15" customHeight="1">
      <c r="A1962" t="inlineStr">
        <is>
          <t>A 13099-2026</t>
        </is>
      </c>
      <c r="B1962" t="inlineStr">
        <is>
          <t>avverkningsanmälan</t>
        </is>
      </c>
      <c r="C1962" t="inlineStr">
        <is>
          <t>Föryngringsavverkning</t>
        </is>
      </c>
      <c r="D1962" s="1" t="n">
        <v>46093</v>
      </c>
      <c r="E1962" s="1" t="n">
        <v>46309</v>
      </c>
      <c r="F1962" t="inlineStr">
        <is>
          <t>UPPSALA LÄN</t>
        </is>
      </c>
      <c r="G1962" t="inlineStr">
        <is>
          <t>HEBY</t>
        </is>
      </c>
      <c r="I1962" t="n">
        <v>2.2</v>
      </c>
      <c r="J1962" t="n">
        <v>0</v>
      </c>
      <c r="K1962" t="n">
        <v>0</v>
      </c>
      <c r="L1962" t="n">
        <v>0</v>
      </c>
      <c r="M1962" t="n">
        <v>0</v>
      </c>
      <c r="N1962" t="n">
        <v>0</v>
      </c>
      <c r="O1962" t="n">
        <v>0</v>
      </c>
      <c r="P1962" t="n">
        <v>0</v>
      </c>
      <c r="Q1962" t="n">
        <v>0</v>
      </c>
      <c r="R1962" t="n">
        <v>0</v>
      </c>
      <c r="S1962" t="n">
        <v>0</v>
      </c>
      <c r="T1962" t="n">
        <v>0</v>
      </c>
      <c r="U1962" t="n">
        <v>0</v>
      </c>
      <c r="V1962" s="2" t="inlineStr"/>
    </row>
    <row r="1963" ht="15" customHeight="1">
      <c r="A1963" t="inlineStr">
        <is>
          <t>A 27912-2023</t>
        </is>
      </c>
      <c r="B1963" t="inlineStr">
        <is>
          <t>avverkningsanmälan</t>
        </is>
      </c>
      <c r="C1963" t="inlineStr">
        <is>
          <t>Föryngringsavverkning</t>
        </is>
      </c>
      <c r="D1963" s="1" t="n">
        <v>45098</v>
      </c>
      <c r="E1963" s="1" t="n">
        <v>46309</v>
      </c>
      <c r="F1963" t="inlineStr">
        <is>
          <t>UPPSALA LÄN</t>
        </is>
      </c>
      <c r="G1963" t="inlineStr">
        <is>
          <t>UPPSALA</t>
        </is>
      </c>
      <c r="I1963" t="n">
        <v>1.3</v>
      </c>
      <c r="J1963" t="n">
        <v>0</v>
      </c>
      <c r="K1963" t="n">
        <v>0</v>
      </c>
      <c r="L1963" t="n">
        <v>0</v>
      </c>
      <c r="M1963" t="n">
        <v>0</v>
      </c>
      <c r="N1963" t="n">
        <v>0</v>
      </c>
      <c r="O1963" t="n">
        <v>0</v>
      </c>
      <c r="P1963" t="n">
        <v>0</v>
      </c>
      <c r="Q1963" t="n">
        <v>0</v>
      </c>
      <c r="R1963" t="n">
        <v>0</v>
      </c>
      <c r="S1963" t="n">
        <v>0</v>
      </c>
      <c r="T1963" t="n">
        <v>0</v>
      </c>
      <c r="U1963" t="n">
        <v>0</v>
      </c>
      <c r="V1963" s="2" t="inlineStr"/>
    </row>
    <row r="1964" ht="15" customHeight="1">
      <c r="A1964" t="inlineStr">
        <is>
          <t>A 13001-2026</t>
        </is>
      </c>
      <c r="B1964" t="inlineStr">
        <is>
          <t>avverkningsanmälan</t>
        </is>
      </c>
      <c r="C1964" t="inlineStr">
        <is>
          <t>Föryngringsavverkning</t>
        </is>
      </c>
      <c r="D1964" s="1" t="n">
        <v>46092</v>
      </c>
      <c r="E1964" s="1" t="n">
        <v>46309</v>
      </c>
      <c r="F1964" t="inlineStr">
        <is>
          <t>UPPSALA LÄN</t>
        </is>
      </c>
      <c r="G1964" t="inlineStr">
        <is>
          <t>KNIVSTA</t>
        </is>
      </c>
      <c r="H1964" t="inlineStr">
        <is>
          <t>Holmen skog AB</t>
        </is>
      </c>
      <c r="I1964" t="n">
        <v>2.9</v>
      </c>
      <c r="J1964" t="n">
        <v>0</v>
      </c>
      <c r="K1964" t="n">
        <v>0</v>
      </c>
      <c r="L1964" t="n">
        <v>0</v>
      </c>
      <c r="M1964" t="n">
        <v>0</v>
      </c>
      <c r="N1964" t="n">
        <v>0</v>
      </c>
      <c r="O1964" t="n">
        <v>0</v>
      </c>
      <c r="P1964" t="n">
        <v>0</v>
      </c>
      <c r="Q1964" t="n">
        <v>0</v>
      </c>
      <c r="R1964" t="n">
        <v>0</v>
      </c>
      <c r="S1964" t="n">
        <v>0</v>
      </c>
      <c r="T1964" t="n">
        <v>0</v>
      </c>
      <c r="U1964" t="n">
        <v>0</v>
      </c>
      <c r="V1964" s="2" t="inlineStr"/>
    </row>
    <row r="1965" ht="15" customHeight="1">
      <c r="A1965" t="inlineStr">
        <is>
          <t>A 13005-2026</t>
        </is>
      </c>
      <c r="B1965" t="inlineStr">
        <is>
          <t>avverkningsanmälan</t>
        </is>
      </c>
      <c r="C1965" t="inlineStr">
        <is>
          <t>Föryngringsavverkning</t>
        </is>
      </c>
      <c r="D1965" s="1" t="n">
        <v>46092</v>
      </c>
      <c r="E1965" s="1" t="n">
        <v>46309</v>
      </c>
      <c r="F1965" t="inlineStr">
        <is>
          <t>UPPSALA LÄN</t>
        </is>
      </c>
      <c r="G1965" t="inlineStr">
        <is>
          <t>KNIVSTA</t>
        </is>
      </c>
      <c r="H1965" t="inlineStr">
        <is>
          <t>Holmen skog AB</t>
        </is>
      </c>
      <c r="I1965" t="n">
        <v>3</v>
      </c>
      <c r="J1965" t="n">
        <v>0</v>
      </c>
      <c r="K1965" t="n">
        <v>0</v>
      </c>
      <c r="L1965" t="n">
        <v>0</v>
      </c>
      <c r="M1965" t="n">
        <v>0</v>
      </c>
      <c r="N1965" t="n">
        <v>0</v>
      </c>
      <c r="O1965" t="n">
        <v>0</v>
      </c>
      <c r="P1965" t="n">
        <v>0</v>
      </c>
      <c r="Q1965" t="n">
        <v>0</v>
      </c>
      <c r="R1965" t="n">
        <v>0</v>
      </c>
      <c r="S1965" t="n">
        <v>0</v>
      </c>
      <c r="T1965" t="n">
        <v>0</v>
      </c>
      <c r="U1965" t="n">
        <v>0</v>
      </c>
      <c r="V1965" s="2" t="inlineStr"/>
    </row>
    <row r="1966" ht="15" customHeight="1">
      <c r="A1966" t="inlineStr">
        <is>
          <t>A 5953-2026</t>
        </is>
      </c>
      <c r="B1966" t="inlineStr">
        <is>
          <t>avverkningsanmälan</t>
        </is>
      </c>
      <c r="C1966" t="inlineStr">
        <is>
          <t>Föryngringsavverkning</t>
        </is>
      </c>
      <c r="D1966" s="1" t="n">
        <v>46052</v>
      </c>
      <c r="E1966" s="1" t="n">
        <v>46309</v>
      </c>
      <c r="F1966" t="inlineStr">
        <is>
          <t>UPPSALA LÄN</t>
        </is>
      </c>
      <c r="G1966" t="inlineStr">
        <is>
          <t>ENKÖPING</t>
        </is>
      </c>
      <c r="I1966" t="n">
        <v>1.2</v>
      </c>
      <c r="J1966" t="n">
        <v>0</v>
      </c>
      <c r="K1966" t="n">
        <v>0</v>
      </c>
      <c r="L1966" t="n">
        <v>0</v>
      </c>
      <c r="M1966" t="n">
        <v>0</v>
      </c>
      <c r="N1966" t="n">
        <v>0</v>
      </c>
      <c r="O1966" t="n">
        <v>0</v>
      </c>
      <c r="P1966" t="n">
        <v>0</v>
      </c>
      <c r="Q1966" t="n">
        <v>0</v>
      </c>
      <c r="R1966" t="n">
        <v>0</v>
      </c>
      <c r="S1966" t="n">
        <v>0</v>
      </c>
      <c r="T1966" t="n">
        <v>0</v>
      </c>
      <c r="U1966" t="n">
        <v>0</v>
      </c>
      <c r="V1966" s="2" t="inlineStr"/>
    </row>
    <row r="1967" ht="15" customHeight="1">
      <c r="A1967" t="inlineStr">
        <is>
          <t>A 20184-2023</t>
        </is>
      </c>
      <c r="B1967" t="inlineStr">
        <is>
          <t>avverkningsanmälan</t>
        </is>
      </c>
      <c r="C1967" t="inlineStr">
        <is>
          <t>Föryngringsavverkning</t>
        </is>
      </c>
      <c r="D1967" s="1" t="n">
        <v>45055</v>
      </c>
      <c r="E1967" s="1" t="n">
        <v>46309</v>
      </c>
      <c r="F1967" t="inlineStr">
        <is>
          <t>UPPSALA LÄN</t>
        </is>
      </c>
      <c r="G1967" t="inlineStr">
        <is>
          <t>ENKÖPING</t>
        </is>
      </c>
      <c r="I1967" t="n">
        <v>3.2</v>
      </c>
      <c r="J1967" t="n">
        <v>0</v>
      </c>
      <c r="K1967" t="n">
        <v>0</v>
      </c>
      <c r="L1967" t="n">
        <v>0</v>
      </c>
      <c r="M1967" t="n">
        <v>0</v>
      </c>
      <c r="N1967" t="n">
        <v>0</v>
      </c>
      <c r="O1967" t="n">
        <v>0</v>
      </c>
      <c r="P1967" t="n">
        <v>0</v>
      </c>
      <c r="Q1967" t="n">
        <v>0</v>
      </c>
      <c r="R1967" t="n">
        <v>0</v>
      </c>
      <c r="S1967" t="n">
        <v>0</v>
      </c>
      <c r="T1967" t="n">
        <v>0</v>
      </c>
      <c r="U1967" t="n">
        <v>0</v>
      </c>
      <c r="V1967" s="2" t="inlineStr"/>
    </row>
    <row r="1968" ht="15" customHeight="1">
      <c r="A1968" t="inlineStr">
        <is>
          <t>A 12996-2026</t>
        </is>
      </c>
      <c r="B1968" t="inlineStr">
        <is>
          <t>avverkningsanmälan</t>
        </is>
      </c>
      <c r="C1968" t="inlineStr">
        <is>
          <t>Föryngringsavverkning</t>
        </is>
      </c>
      <c r="D1968" s="1" t="n">
        <v>46092</v>
      </c>
      <c r="E1968" s="1" t="n">
        <v>46309</v>
      </c>
      <c r="F1968" t="inlineStr">
        <is>
          <t>UPPSALA LÄN</t>
        </is>
      </c>
      <c r="G1968" t="inlineStr">
        <is>
          <t>ENKÖPING</t>
        </is>
      </c>
      <c r="I1968" t="n">
        <v>2</v>
      </c>
      <c r="J1968" t="n">
        <v>0</v>
      </c>
      <c r="K1968" t="n">
        <v>0</v>
      </c>
      <c r="L1968" t="n">
        <v>0</v>
      </c>
      <c r="M1968" t="n">
        <v>0</v>
      </c>
      <c r="N1968" t="n">
        <v>0</v>
      </c>
      <c r="O1968" t="n">
        <v>0</v>
      </c>
      <c r="P1968" t="n">
        <v>0</v>
      </c>
      <c r="Q1968" t="n">
        <v>0</v>
      </c>
      <c r="R1968" t="n">
        <v>0</v>
      </c>
      <c r="S1968" t="n">
        <v>0</v>
      </c>
      <c r="T1968" t="n">
        <v>0</v>
      </c>
      <c r="U1968" t="n">
        <v>0</v>
      </c>
      <c r="V1968" s="2" t="inlineStr"/>
    </row>
    <row r="1969" ht="15" customHeight="1">
      <c r="A1969" t="inlineStr">
        <is>
          <t>A 13404-2026</t>
        </is>
      </c>
      <c r="B1969" t="inlineStr">
        <is>
          <t>avverkningsanmälan</t>
        </is>
      </c>
      <c r="C1969" t="inlineStr">
        <is>
          <t>Föryngringsavverkning</t>
        </is>
      </c>
      <c r="D1969" s="1" t="n">
        <v>46094</v>
      </c>
      <c r="E1969" s="1" t="n">
        <v>46309</v>
      </c>
      <c r="F1969" t="inlineStr">
        <is>
          <t>UPPSALA LÄN</t>
        </is>
      </c>
      <c r="G1969" t="inlineStr">
        <is>
          <t>UPPSALA</t>
        </is>
      </c>
      <c r="I1969" t="n">
        <v>5.3</v>
      </c>
      <c r="J1969" t="n">
        <v>0</v>
      </c>
      <c r="K1969" t="n">
        <v>0</v>
      </c>
      <c r="L1969" t="n">
        <v>0</v>
      </c>
      <c r="M1969" t="n">
        <v>0</v>
      </c>
      <c r="N1969" t="n">
        <v>0</v>
      </c>
      <c r="O1969" t="n">
        <v>0</v>
      </c>
      <c r="P1969" t="n">
        <v>0</v>
      </c>
      <c r="Q1969" t="n">
        <v>0</v>
      </c>
      <c r="R1969" t="n">
        <v>0</v>
      </c>
      <c r="S1969" t="n">
        <v>0</v>
      </c>
      <c r="T1969" t="n">
        <v>0</v>
      </c>
      <c r="U1969" t="n">
        <v>0</v>
      </c>
      <c r="V1969" s="2" t="inlineStr"/>
    </row>
    <row r="1970" ht="15" customHeight="1">
      <c r="A1970" t="inlineStr">
        <is>
          <t>A 13485-2026</t>
        </is>
      </c>
      <c r="B1970" t="inlineStr">
        <is>
          <t>avverkningsanmälan</t>
        </is>
      </c>
      <c r="C1970" t="inlineStr">
        <is>
          <t>Föryngringsavverkning</t>
        </is>
      </c>
      <c r="D1970" s="1" t="n">
        <v>46094</v>
      </c>
      <c r="E1970" s="1" t="n">
        <v>46309</v>
      </c>
      <c r="F1970" t="inlineStr">
        <is>
          <t>UPPSALA LÄN</t>
        </is>
      </c>
      <c r="G1970" t="inlineStr">
        <is>
          <t>UPPSALA</t>
        </is>
      </c>
      <c r="I1970" t="n">
        <v>0.7</v>
      </c>
      <c r="J1970" t="n">
        <v>0</v>
      </c>
      <c r="K1970" t="n">
        <v>0</v>
      </c>
      <c r="L1970" t="n">
        <v>0</v>
      </c>
      <c r="M1970" t="n">
        <v>0</v>
      </c>
      <c r="N1970" t="n">
        <v>0</v>
      </c>
      <c r="O1970" t="n">
        <v>0</v>
      </c>
      <c r="P1970" t="n">
        <v>0</v>
      </c>
      <c r="Q1970" t="n">
        <v>0</v>
      </c>
      <c r="R1970" t="n">
        <v>0</v>
      </c>
      <c r="S1970" t="n">
        <v>0</v>
      </c>
      <c r="T1970" t="n">
        <v>0</v>
      </c>
      <c r="U1970" t="n">
        <v>0</v>
      </c>
      <c r="V1970" s="2" t="inlineStr"/>
    </row>
    <row r="1971" ht="15" customHeight="1">
      <c r="A1971" t="inlineStr">
        <is>
          <t>A 13337-2026</t>
        </is>
      </c>
      <c r="B1971" t="inlineStr">
        <is>
          <t>avverkningsanmälan</t>
        </is>
      </c>
      <c r="C1971" t="inlineStr">
        <is>
          <t>Föryngringsavverkning</t>
        </is>
      </c>
      <c r="D1971" s="1" t="n">
        <v>46094</v>
      </c>
      <c r="E1971" s="1" t="n">
        <v>46309</v>
      </c>
      <c r="F1971" t="inlineStr">
        <is>
          <t>UPPSALA LÄN</t>
        </is>
      </c>
      <c r="G1971" t="inlineStr">
        <is>
          <t>UPPSALA</t>
        </is>
      </c>
      <c r="I1971" t="n">
        <v>1.1</v>
      </c>
      <c r="J1971" t="n">
        <v>0</v>
      </c>
      <c r="K1971" t="n">
        <v>0</v>
      </c>
      <c r="L1971" t="n">
        <v>0</v>
      </c>
      <c r="M1971" t="n">
        <v>0</v>
      </c>
      <c r="N1971" t="n">
        <v>0</v>
      </c>
      <c r="O1971" t="n">
        <v>0</v>
      </c>
      <c r="P1971" t="n">
        <v>0</v>
      </c>
      <c r="Q1971" t="n">
        <v>0</v>
      </c>
      <c r="R1971" t="n">
        <v>0</v>
      </c>
      <c r="S1971" t="n">
        <v>0</v>
      </c>
      <c r="T1971" t="n">
        <v>0</v>
      </c>
      <c r="U1971" t="n">
        <v>0</v>
      </c>
      <c r="V1971" s="2" t="inlineStr"/>
    </row>
    <row r="1972" ht="15" customHeight="1">
      <c r="A1972" t="inlineStr">
        <is>
          <t>A 13433-2026</t>
        </is>
      </c>
      <c r="B1972" t="inlineStr">
        <is>
          <t>avverkningsanmälan</t>
        </is>
      </c>
      <c r="C1972" t="inlineStr">
        <is>
          <t>Föryngringsavverkning</t>
        </is>
      </c>
      <c r="D1972" s="1" t="n">
        <v>46094</v>
      </c>
      <c r="E1972" s="1" t="n">
        <v>46309</v>
      </c>
      <c r="F1972" t="inlineStr">
        <is>
          <t>UPPSALA LÄN</t>
        </is>
      </c>
      <c r="G1972" t="inlineStr">
        <is>
          <t>UPPSALA</t>
        </is>
      </c>
      <c r="I1972" t="n">
        <v>1.1</v>
      </c>
      <c r="J1972" t="n">
        <v>0</v>
      </c>
      <c r="K1972" t="n">
        <v>0</v>
      </c>
      <c r="L1972" t="n">
        <v>0</v>
      </c>
      <c r="M1972" t="n">
        <v>0</v>
      </c>
      <c r="N1972" t="n">
        <v>0</v>
      </c>
      <c r="O1972" t="n">
        <v>0</v>
      </c>
      <c r="P1972" t="n">
        <v>0</v>
      </c>
      <c r="Q1972" t="n">
        <v>0</v>
      </c>
      <c r="R1972" t="n">
        <v>0</v>
      </c>
      <c r="S1972" t="n">
        <v>0</v>
      </c>
      <c r="T1972" t="n">
        <v>0</v>
      </c>
      <c r="U1972" t="n">
        <v>0</v>
      </c>
      <c r="V1972" s="2" t="inlineStr"/>
    </row>
    <row r="1973" ht="15" customHeight="1">
      <c r="A1973" t="inlineStr">
        <is>
          <t>A 5764-2025</t>
        </is>
      </c>
      <c r="B1973" t="inlineStr">
        <is>
          <t>avverkningsanmälan</t>
        </is>
      </c>
      <c r="C1973" t="inlineStr">
        <is>
          <t>Avverkning för att bevara och utveckla /försöksver</t>
        </is>
      </c>
      <c r="D1973" s="1" t="n">
        <v>45694</v>
      </c>
      <c r="E1973" s="1" t="n">
        <v>46309</v>
      </c>
      <c r="F1973" t="inlineStr">
        <is>
          <t>UPPSALA LÄN</t>
        </is>
      </c>
      <c r="G1973" t="inlineStr">
        <is>
          <t>UPPSALA</t>
        </is>
      </c>
      <c r="I1973" t="n">
        <v>0.9</v>
      </c>
      <c r="J1973" t="n">
        <v>0</v>
      </c>
      <c r="K1973" t="n">
        <v>0</v>
      </c>
      <c r="L1973" t="n">
        <v>0</v>
      </c>
      <c r="M1973" t="n">
        <v>0</v>
      </c>
      <c r="N1973" t="n">
        <v>0</v>
      </c>
      <c r="O1973" t="n">
        <v>0</v>
      </c>
      <c r="P1973" t="n">
        <v>0</v>
      </c>
      <c r="Q1973" t="n">
        <v>0</v>
      </c>
      <c r="R1973" t="n">
        <v>0</v>
      </c>
      <c r="S1973" t="n">
        <v>0</v>
      </c>
      <c r="T1973" t="n">
        <v>0</v>
      </c>
      <c r="U1973" t="n">
        <v>0</v>
      </c>
      <c r="V1973" s="2" t="inlineStr"/>
    </row>
    <row r="1974" ht="15" customHeight="1">
      <c r="A1974" t="inlineStr">
        <is>
          <t>A 8182-2022</t>
        </is>
      </c>
      <c r="B1974" t="inlineStr">
        <is>
          <t>avverkningsanmälan</t>
        </is>
      </c>
      <c r="C1974" t="inlineStr">
        <is>
          <t>Föryngringsavverkning</t>
        </is>
      </c>
      <c r="D1974" s="1" t="n">
        <v>44609</v>
      </c>
      <c r="E1974" s="1" t="n">
        <v>46309</v>
      </c>
      <c r="F1974" t="inlineStr">
        <is>
          <t>UPPSALA LÄN</t>
        </is>
      </c>
      <c r="G1974" t="inlineStr">
        <is>
          <t>HEBY</t>
        </is>
      </c>
      <c r="I1974" t="n">
        <v>0.8</v>
      </c>
      <c r="J1974" t="n">
        <v>0</v>
      </c>
      <c r="K1974" t="n">
        <v>0</v>
      </c>
      <c r="L1974" t="n">
        <v>0</v>
      </c>
      <c r="M1974" t="n">
        <v>0</v>
      </c>
      <c r="N1974" t="n">
        <v>0</v>
      </c>
      <c r="O1974" t="n">
        <v>0</v>
      </c>
      <c r="P1974" t="n">
        <v>0</v>
      </c>
      <c r="Q1974" t="n">
        <v>0</v>
      </c>
      <c r="R1974" t="n">
        <v>0</v>
      </c>
      <c r="S1974" t="n">
        <v>0</v>
      </c>
      <c r="T1974" t="n">
        <v>0</v>
      </c>
      <c r="U1974" t="n">
        <v>0</v>
      </c>
      <c r="V1974" s="2" t="inlineStr"/>
    </row>
    <row r="1975" ht="15" customHeight="1">
      <c r="A1975" t="inlineStr">
        <is>
          <t>A 27840-2023</t>
        </is>
      </c>
      <c r="B1975" t="inlineStr">
        <is>
          <t>avverkningsanmälan</t>
        </is>
      </c>
      <c r="C1975" t="inlineStr">
        <is>
          <t>Föryngringsavverkning</t>
        </is>
      </c>
      <c r="D1975" s="1" t="n">
        <v>45098</v>
      </c>
      <c r="E1975" s="1" t="n">
        <v>46309</v>
      </c>
      <c r="F1975" t="inlineStr">
        <is>
          <t>UPPSALA LÄN</t>
        </is>
      </c>
      <c r="G1975" t="inlineStr">
        <is>
          <t>HEBY</t>
        </is>
      </c>
      <c r="I1975" t="n">
        <v>2.8</v>
      </c>
      <c r="J1975" t="n">
        <v>0</v>
      </c>
      <c r="K1975" t="n">
        <v>0</v>
      </c>
      <c r="L1975" t="n">
        <v>0</v>
      </c>
      <c r="M1975" t="n">
        <v>0</v>
      </c>
      <c r="N1975" t="n">
        <v>0</v>
      </c>
      <c r="O1975" t="n">
        <v>0</v>
      </c>
      <c r="P1975" t="n">
        <v>0</v>
      </c>
      <c r="Q1975" t="n">
        <v>0</v>
      </c>
      <c r="R1975" t="n">
        <v>0</v>
      </c>
      <c r="S1975" t="n">
        <v>0</v>
      </c>
      <c r="T1975" t="n">
        <v>0</v>
      </c>
      <c r="U1975" t="n">
        <v>0</v>
      </c>
      <c r="V1975" s="2" t="inlineStr"/>
    </row>
    <row r="1976" ht="15" customHeight="1">
      <c r="A1976" t="inlineStr">
        <is>
          <t>A 13590-2026</t>
        </is>
      </c>
      <c r="B1976" t="inlineStr">
        <is>
          <t>avverkningsanmälan</t>
        </is>
      </c>
      <c r="C1976" t="inlineStr">
        <is>
          <t>Avverkning för annat ändamål</t>
        </is>
      </c>
      <c r="D1976" s="1" t="n">
        <v>46096</v>
      </c>
      <c r="E1976" s="1" t="n">
        <v>46309</v>
      </c>
      <c r="F1976" t="inlineStr">
        <is>
          <t>UPPSALA LÄN</t>
        </is>
      </c>
      <c r="G1976" t="inlineStr">
        <is>
          <t>ENKÖPING</t>
        </is>
      </c>
      <c r="I1976" t="n">
        <v>2.3</v>
      </c>
      <c r="J1976" t="n">
        <v>0</v>
      </c>
      <c r="K1976" t="n">
        <v>0</v>
      </c>
      <c r="L1976" t="n">
        <v>0</v>
      </c>
      <c r="M1976" t="n">
        <v>0</v>
      </c>
      <c r="N1976" t="n">
        <v>0</v>
      </c>
      <c r="O1976" t="n">
        <v>0</v>
      </c>
      <c r="P1976" t="n">
        <v>0</v>
      </c>
      <c r="Q1976" t="n">
        <v>0</v>
      </c>
      <c r="R1976" t="n">
        <v>0</v>
      </c>
      <c r="S1976" t="n">
        <v>0</v>
      </c>
      <c r="T1976" t="n">
        <v>0</v>
      </c>
      <c r="U1976" t="n">
        <v>0</v>
      </c>
      <c r="V1976" s="2" t="inlineStr"/>
    </row>
    <row r="1977" ht="15" customHeight="1">
      <c r="A1977" t="inlineStr">
        <is>
          <t>A 13607-2026</t>
        </is>
      </c>
      <c r="B1977" t="inlineStr">
        <is>
          <t>avverkningsanmälan</t>
        </is>
      </c>
      <c r="C1977" t="inlineStr">
        <is>
          <t>Föryngringsavverkning</t>
        </is>
      </c>
      <c r="D1977" s="1" t="n">
        <v>46097</v>
      </c>
      <c r="E1977" s="1" t="n">
        <v>46309</v>
      </c>
      <c r="F1977" t="inlineStr">
        <is>
          <t>UPPSALA LÄN</t>
        </is>
      </c>
      <c r="G1977" t="inlineStr">
        <is>
          <t>UPPSALA</t>
        </is>
      </c>
      <c r="I1977" t="n">
        <v>3.3</v>
      </c>
      <c r="J1977" t="n">
        <v>0</v>
      </c>
      <c r="K1977" t="n">
        <v>0</v>
      </c>
      <c r="L1977" t="n">
        <v>0</v>
      </c>
      <c r="M1977" t="n">
        <v>0</v>
      </c>
      <c r="N1977" t="n">
        <v>0</v>
      </c>
      <c r="O1977" t="n">
        <v>0</v>
      </c>
      <c r="P1977" t="n">
        <v>0</v>
      </c>
      <c r="Q1977" t="n">
        <v>0</v>
      </c>
      <c r="R1977" t="n">
        <v>0</v>
      </c>
      <c r="S1977" t="n">
        <v>0</v>
      </c>
      <c r="T1977" t="n">
        <v>0</v>
      </c>
      <c r="U1977" t="n">
        <v>0</v>
      </c>
      <c r="V1977" s="2" t="inlineStr"/>
    </row>
    <row r="1978" ht="15" customHeight="1">
      <c r="A1978" t="inlineStr">
        <is>
          <t>A 61952-2021</t>
        </is>
      </c>
      <c r="B1978" t="inlineStr">
        <is>
          <t>avverkningsanmälan</t>
        </is>
      </c>
      <c r="C1978" t="inlineStr">
        <is>
          <t>Föryngringsavverkning</t>
        </is>
      </c>
      <c r="D1978" s="1" t="n">
        <v>44502</v>
      </c>
      <c r="E1978" s="1" t="n">
        <v>46309</v>
      </c>
      <c r="F1978" t="inlineStr">
        <is>
          <t>UPPSALA LÄN</t>
        </is>
      </c>
      <c r="G1978" t="inlineStr">
        <is>
          <t>ENKÖPING</t>
        </is>
      </c>
      <c r="I1978" t="n">
        <v>2.3</v>
      </c>
      <c r="J1978" t="n">
        <v>0</v>
      </c>
      <c r="K1978" t="n">
        <v>0</v>
      </c>
      <c r="L1978" t="n">
        <v>0</v>
      </c>
      <c r="M1978" t="n">
        <v>0</v>
      </c>
      <c r="N1978" t="n">
        <v>0</v>
      </c>
      <c r="O1978" t="n">
        <v>0</v>
      </c>
      <c r="P1978" t="n">
        <v>0</v>
      </c>
      <c r="Q1978" t="n">
        <v>0</v>
      </c>
      <c r="R1978" t="n">
        <v>0</v>
      </c>
      <c r="S1978" t="n">
        <v>0</v>
      </c>
      <c r="T1978" t="n">
        <v>0</v>
      </c>
      <c r="U1978" t="n">
        <v>0</v>
      </c>
      <c r="V1978" s="2" t="inlineStr"/>
    </row>
    <row r="1979" ht="15" customHeight="1">
      <c r="A1979" t="inlineStr">
        <is>
          <t>A 13434-2026</t>
        </is>
      </c>
      <c r="B1979" t="inlineStr">
        <is>
          <t>avverkningsanmälan</t>
        </is>
      </c>
      <c r="C1979" t="inlineStr">
        <is>
          <t>Föryngringsavverkning</t>
        </is>
      </c>
      <c r="D1979" s="1" t="n">
        <v>46094</v>
      </c>
      <c r="E1979" s="1" t="n">
        <v>46309</v>
      </c>
      <c r="F1979" t="inlineStr">
        <is>
          <t>UPPSALA LÄN</t>
        </is>
      </c>
      <c r="G1979" t="inlineStr">
        <is>
          <t>UPPSALA</t>
        </is>
      </c>
      <c r="I1979" t="n">
        <v>0.3</v>
      </c>
      <c r="J1979" t="n">
        <v>0</v>
      </c>
      <c r="K1979" t="n">
        <v>0</v>
      </c>
      <c r="L1979" t="n">
        <v>0</v>
      </c>
      <c r="M1979" t="n">
        <v>0</v>
      </c>
      <c r="N1979" t="n">
        <v>0</v>
      </c>
      <c r="O1979" t="n">
        <v>0</v>
      </c>
      <c r="P1979" t="n">
        <v>0</v>
      </c>
      <c r="Q1979" t="n">
        <v>0</v>
      </c>
      <c r="R1979" t="n">
        <v>0</v>
      </c>
      <c r="S1979" t="n">
        <v>0</v>
      </c>
      <c r="T1979" t="n">
        <v>0</v>
      </c>
      <c r="U1979" t="n">
        <v>0</v>
      </c>
      <c r="V1979" s="2" t="inlineStr"/>
    </row>
    <row r="1980" ht="15" customHeight="1">
      <c r="A1980" t="inlineStr">
        <is>
          <t>A 40100-2022</t>
        </is>
      </c>
      <c r="B1980" t="inlineStr">
        <is>
          <t>avverkningsanmälan</t>
        </is>
      </c>
      <c r="C1980" t="inlineStr">
        <is>
          <t>Föryngringsavverkning</t>
        </is>
      </c>
      <c r="D1980" s="1" t="n">
        <v>44820</v>
      </c>
      <c r="E1980" s="1" t="n">
        <v>46309</v>
      </c>
      <c r="F1980" t="inlineStr">
        <is>
          <t>UPPSALA LÄN</t>
        </is>
      </c>
      <c r="G1980" t="inlineStr">
        <is>
          <t>UPPSALA</t>
        </is>
      </c>
      <c r="H1980" t="inlineStr">
        <is>
          <t>Övriga Aktiebolag</t>
        </is>
      </c>
      <c r="I1980" t="n">
        <v>1.1</v>
      </c>
      <c r="J1980" t="n">
        <v>0</v>
      </c>
      <c r="K1980" t="n">
        <v>0</v>
      </c>
      <c r="L1980" t="n">
        <v>0</v>
      </c>
      <c r="M1980" t="n">
        <v>0</v>
      </c>
      <c r="N1980" t="n">
        <v>0</v>
      </c>
      <c r="O1980" t="n">
        <v>0</v>
      </c>
      <c r="P1980" t="n">
        <v>0</v>
      </c>
      <c r="Q1980" t="n">
        <v>0</v>
      </c>
      <c r="R1980" t="n">
        <v>0</v>
      </c>
      <c r="S1980" t="n">
        <v>0</v>
      </c>
      <c r="T1980" t="n">
        <v>0</v>
      </c>
      <c r="U1980" t="n">
        <v>0</v>
      </c>
      <c r="V1980" s="2" t="inlineStr"/>
    </row>
    <row r="1981" ht="15" customHeight="1">
      <c r="A1981" t="inlineStr">
        <is>
          <t>A 13536-2026</t>
        </is>
      </c>
      <c r="B1981" t="inlineStr">
        <is>
          <t>avverkningsanmälan</t>
        </is>
      </c>
      <c r="C1981" t="inlineStr">
        <is>
          <t>Föryngringsavverkning</t>
        </is>
      </c>
      <c r="D1981" s="1" t="n">
        <v>46094</v>
      </c>
      <c r="E1981" s="1" t="n">
        <v>46309</v>
      </c>
      <c r="F1981" t="inlineStr">
        <is>
          <t>UPPSALA LÄN</t>
        </is>
      </c>
      <c r="G1981" t="inlineStr">
        <is>
          <t>UPPSALA</t>
        </is>
      </c>
      <c r="I1981" t="n">
        <v>1.2</v>
      </c>
      <c r="J1981" t="n">
        <v>0</v>
      </c>
      <c r="K1981" t="n">
        <v>0</v>
      </c>
      <c r="L1981" t="n">
        <v>0</v>
      </c>
      <c r="M1981" t="n">
        <v>0</v>
      </c>
      <c r="N1981" t="n">
        <v>0</v>
      </c>
      <c r="O1981" t="n">
        <v>0</v>
      </c>
      <c r="P1981" t="n">
        <v>0</v>
      </c>
      <c r="Q1981" t="n">
        <v>0</v>
      </c>
      <c r="R1981" t="n">
        <v>0</v>
      </c>
      <c r="S1981" t="n">
        <v>0</v>
      </c>
      <c r="T1981" t="n">
        <v>0</v>
      </c>
      <c r="U1981" t="n">
        <v>0</v>
      </c>
      <c r="V1981" s="2" t="inlineStr"/>
    </row>
    <row r="1982" ht="15" customHeight="1">
      <c r="A1982" t="inlineStr">
        <is>
          <t>A 13302-2026</t>
        </is>
      </c>
      <c r="B1982" t="inlineStr">
        <is>
          <t>avverkningsanmälan</t>
        </is>
      </c>
      <c r="C1982" t="inlineStr">
        <is>
          <t>Föryngringsavverkning</t>
        </is>
      </c>
      <c r="D1982" s="1" t="n">
        <v>46094</v>
      </c>
      <c r="E1982" s="1" t="n">
        <v>46309</v>
      </c>
      <c r="F1982" t="inlineStr">
        <is>
          <t>UPPSALA LÄN</t>
        </is>
      </c>
      <c r="G1982" t="inlineStr">
        <is>
          <t>HEBY</t>
        </is>
      </c>
      <c r="I1982" t="n">
        <v>0.9</v>
      </c>
      <c r="J1982" t="n">
        <v>0</v>
      </c>
      <c r="K1982" t="n">
        <v>0</v>
      </c>
      <c r="L1982" t="n">
        <v>0</v>
      </c>
      <c r="M1982" t="n">
        <v>0</v>
      </c>
      <c r="N1982" t="n">
        <v>0</v>
      </c>
      <c r="O1982" t="n">
        <v>0</v>
      </c>
      <c r="P1982" t="n">
        <v>0</v>
      </c>
      <c r="Q1982" t="n">
        <v>0</v>
      </c>
      <c r="R1982" t="n">
        <v>0</v>
      </c>
      <c r="S1982" t="n">
        <v>0</v>
      </c>
      <c r="T1982" t="n">
        <v>0</v>
      </c>
      <c r="U1982" t="n">
        <v>0</v>
      </c>
      <c r="V1982" s="2" t="inlineStr"/>
    </row>
    <row r="1983" ht="15" customHeight="1">
      <c r="A1983" t="inlineStr">
        <is>
          <t>A 14178-2026</t>
        </is>
      </c>
      <c r="B1983" t="inlineStr">
        <is>
          <t>avverkningsanmälan</t>
        </is>
      </c>
      <c r="C1983" t="inlineStr">
        <is>
          <t>Föryngringsavverkning</t>
        </is>
      </c>
      <c r="D1983" s="1" t="n">
        <v>46099</v>
      </c>
      <c r="E1983" s="1" t="n">
        <v>46309</v>
      </c>
      <c r="F1983" t="inlineStr">
        <is>
          <t>UPPSALA LÄN</t>
        </is>
      </c>
      <c r="G1983" t="inlineStr">
        <is>
          <t>ENKÖPING</t>
        </is>
      </c>
      <c r="I1983" t="n">
        <v>0.8</v>
      </c>
      <c r="J1983" t="n">
        <v>0</v>
      </c>
      <c r="K1983" t="n">
        <v>0</v>
      </c>
      <c r="L1983" t="n">
        <v>0</v>
      </c>
      <c r="M1983" t="n">
        <v>0</v>
      </c>
      <c r="N1983" t="n">
        <v>0</v>
      </c>
      <c r="O1983" t="n">
        <v>0</v>
      </c>
      <c r="P1983" t="n">
        <v>0</v>
      </c>
      <c r="Q1983" t="n">
        <v>0</v>
      </c>
      <c r="R1983" t="n">
        <v>0</v>
      </c>
      <c r="S1983" t="n">
        <v>0</v>
      </c>
      <c r="T1983" t="n">
        <v>0</v>
      </c>
      <c r="U1983" t="n">
        <v>0</v>
      </c>
      <c r="V1983" s="2" t="inlineStr"/>
    </row>
    <row r="1984" ht="15" customHeight="1">
      <c r="A1984" t="inlineStr">
        <is>
          <t>A 13984-2026</t>
        </is>
      </c>
      <c r="B1984" t="inlineStr">
        <is>
          <t>avverkningsanmälan</t>
        </is>
      </c>
      <c r="C1984" t="inlineStr">
        <is>
          <t>Föryngringsavverkning</t>
        </is>
      </c>
      <c r="D1984" s="1" t="n">
        <v>46098</v>
      </c>
      <c r="E1984" s="1" t="n">
        <v>46309</v>
      </c>
      <c r="F1984" t="inlineStr">
        <is>
          <t>UPPSALA LÄN</t>
        </is>
      </c>
      <c r="G1984" t="inlineStr">
        <is>
          <t>TIERP</t>
        </is>
      </c>
      <c r="I1984" t="n">
        <v>5.4</v>
      </c>
      <c r="J1984" t="n">
        <v>0</v>
      </c>
      <c r="K1984" t="n">
        <v>0</v>
      </c>
      <c r="L1984" t="n">
        <v>0</v>
      </c>
      <c r="M1984" t="n">
        <v>0</v>
      </c>
      <c r="N1984" t="n">
        <v>0</v>
      </c>
      <c r="O1984" t="n">
        <v>0</v>
      </c>
      <c r="P1984" t="n">
        <v>0</v>
      </c>
      <c r="Q1984" t="n">
        <v>0</v>
      </c>
      <c r="R1984" t="n">
        <v>0</v>
      </c>
      <c r="S1984" t="n">
        <v>0</v>
      </c>
      <c r="T1984" t="n">
        <v>0</v>
      </c>
      <c r="U1984" t="n">
        <v>0</v>
      </c>
      <c r="V1984" s="2" t="inlineStr"/>
    </row>
    <row r="1985" ht="15" customHeight="1">
      <c r="A1985" t="inlineStr">
        <is>
          <t>A 14007-2026</t>
        </is>
      </c>
      <c r="B1985" t="inlineStr">
        <is>
          <t>avverkningsanmälan</t>
        </is>
      </c>
      <c r="C1985" t="inlineStr">
        <is>
          <t>Föryngringsavverkning</t>
        </is>
      </c>
      <c r="D1985" s="1" t="n">
        <v>46098</v>
      </c>
      <c r="E1985" s="1" t="n">
        <v>46309</v>
      </c>
      <c r="F1985" t="inlineStr">
        <is>
          <t>UPPSALA LÄN</t>
        </is>
      </c>
      <c r="G1985" t="inlineStr">
        <is>
          <t>ÖSTHAMMAR</t>
        </is>
      </c>
      <c r="I1985" t="n">
        <v>0.6</v>
      </c>
      <c r="J1985" t="n">
        <v>0</v>
      </c>
      <c r="K1985" t="n">
        <v>0</v>
      </c>
      <c r="L1985" t="n">
        <v>0</v>
      </c>
      <c r="M1985" t="n">
        <v>0</v>
      </c>
      <c r="N1985" t="n">
        <v>0</v>
      </c>
      <c r="O1985" t="n">
        <v>0</v>
      </c>
      <c r="P1985" t="n">
        <v>0</v>
      </c>
      <c r="Q1985" t="n">
        <v>0</v>
      </c>
      <c r="R1985" t="n">
        <v>0</v>
      </c>
      <c r="S1985" t="n">
        <v>0</v>
      </c>
      <c r="T1985" t="n">
        <v>0</v>
      </c>
      <c r="U1985" t="n">
        <v>0</v>
      </c>
      <c r="V1985" s="2" t="inlineStr"/>
    </row>
    <row r="1986" ht="15" customHeight="1">
      <c r="A1986" t="inlineStr">
        <is>
          <t>A 9238-2023</t>
        </is>
      </c>
      <c r="B1986" t="inlineStr">
        <is>
          <t>avverkningsanmälan</t>
        </is>
      </c>
      <c r="C1986" t="inlineStr">
        <is>
          <t>Föryngringsavverkning</t>
        </is>
      </c>
      <c r="D1986" s="1" t="n">
        <v>44980</v>
      </c>
      <c r="E1986" s="1" t="n">
        <v>46309</v>
      </c>
      <c r="F1986" t="inlineStr">
        <is>
          <t>UPPSALA LÄN</t>
        </is>
      </c>
      <c r="G1986" t="inlineStr">
        <is>
          <t>TIERP</t>
        </is>
      </c>
      <c r="I1986" t="n">
        <v>4.8</v>
      </c>
      <c r="J1986" t="n">
        <v>0</v>
      </c>
      <c r="K1986" t="n">
        <v>0</v>
      </c>
      <c r="L1986" t="n">
        <v>0</v>
      </c>
      <c r="M1986" t="n">
        <v>0</v>
      </c>
      <c r="N1986" t="n">
        <v>0</v>
      </c>
      <c r="O1986" t="n">
        <v>0</v>
      </c>
      <c r="P1986" t="n">
        <v>0</v>
      </c>
      <c r="Q1986" t="n">
        <v>0</v>
      </c>
      <c r="R1986" t="n">
        <v>0</v>
      </c>
      <c r="S1986" t="n">
        <v>0</v>
      </c>
      <c r="T1986" t="n">
        <v>0</v>
      </c>
      <c r="U1986" t="n">
        <v>0</v>
      </c>
      <c r="V1986" s="2" t="inlineStr"/>
    </row>
    <row r="1987" ht="15" customHeight="1">
      <c r="A1987" t="inlineStr">
        <is>
          <t>A 14260-2026</t>
        </is>
      </c>
      <c r="B1987" t="inlineStr">
        <is>
          <t>avverkningsanmälan</t>
        </is>
      </c>
      <c r="C1987" t="inlineStr">
        <is>
          <t>Föryngringsavverkning</t>
        </is>
      </c>
      <c r="D1987" s="1" t="n">
        <v>46099</v>
      </c>
      <c r="E1987" s="1" t="n">
        <v>46309</v>
      </c>
      <c r="F1987" t="inlineStr">
        <is>
          <t>UPPSALA LÄN</t>
        </is>
      </c>
      <c r="G1987" t="inlineStr">
        <is>
          <t>ENKÖPING</t>
        </is>
      </c>
      <c r="I1987" t="n">
        <v>1.3</v>
      </c>
      <c r="J1987" t="n">
        <v>0</v>
      </c>
      <c r="K1987" t="n">
        <v>0</v>
      </c>
      <c r="L1987" t="n">
        <v>0</v>
      </c>
      <c r="M1987" t="n">
        <v>0</v>
      </c>
      <c r="N1987" t="n">
        <v>0</v>
      </c>
      <c r="O1987" t="n">
        <v>0</v>
      </c>
      <c r="P1987" t="n">
        <v>0</v>
      </c>
      <c r="Q1987" t="n">
        <v>0</v>
      </c>
      <c r="R1987" t="n">
        <v>0</v>
      </c>
      <c r="S1987" t="n">
        <v>0</v>
      </c>
      <c r="T1987" t="n">
        <v>0</v>
      </c>
      <c r="U1987" t="n">
        <v>0</v>
      </c>
      <c r="V1987" s="2" t="inlineStr"/>
    </row>
    <row r="1988" ht="15" customHeight="1">
      <c r="A1988" t="inlineStr">
        <is>
          <t>A 14298-2026</t>
        </is>
      </c>
      <c r="B1988" t="inlineStr">
        <is>
          <t>avverkningsanmälan</t>
        </is>
      </c>
      <c r="C1988" t="inlineStr">
        <is>
          <t>Föryngringsavverkning</t>
        </is>
      </c>
      <c r="D1988" s="1" t="n">
        <v>46099</v>
      </c>
      <c r="E1988" s="1" t="n">
        <v>46309</v>
      </c>
      <c r="F1988" t="inlineStr">
        <is>
          <t>UPPSALA LÄN</t>
        </is>
      </c>
      <c r="G1988" t="inlineStr">
        <is>
          <t>ENKÖPING</t>
        </is>
      </c>
      <c r="I1988" t="n">
        <v>1.1</v>
      </c>
      <c r="J1988" t="n">
        <v>0</v>
      </c>
      <c r="K1988" t="n">
        <v>0</v>
      </c>
      <c r="L1988" t="n">
        <v>0</v>
      </c>
      <c r="M1988" t="n">
        <v>0</v>
      </c>
      <c r="N1988" t="n">
        <v>0</v>
      </c>
      <c r="O1988" t="n">
        <v>0</v>
      </c>
      <c r="P1988" t="n">
        <v>0</v>
      </c>
      <c r="Q1988" t="n">
        <v>0</v>
      </c>
      <c r="R1988" t="n">
        <v>0</v>
      </c>
      <c r="S1988" t="n">
        <v>0</v>
      </c>
      <c r="T1988" t="n">
        <v>0</v>
      </c>
      <c r="U1988" t="n">
        <v>0</v>
      </c>
      <c r="V1988" s="2" t="inlineStr"/>
    </row>
    <row r="1989" ht="15" customHeight="1">
      <c r="A1989" t="inlineStr">
        <is>
          <t>A 14091-2026</t>
        </is>
      </c>
      <c r="B1989" t="inlineStr">
        <is>
          <t>avverkningsanmälan</t>
        </is>
      </c>
      <c r="C1989" t="inlineStr">
        <is>
          <t>Föryngringsavverkning</t>
        </is>
      </c>
      <c r="D1989" s="1" t="n">
        <v>46099</v>
      </c>
      <c r="E1989" s="1" t="n">
        <v>46309</v>
      </c>
      <c r="F1989" t="inlineStr">
        <is>
          <t>UPPSALA LÄN</t>
        </is>
      </c>
      <c r="G1989" t="inlineStr">
        <is>
          <t>ÄLVKARLEBY</t>
        </is>
      </c>
      <c r="I1989" t="n">
        <v>0.7</v>
      </c>
      <c r="J1989" t="n">
        <v>0</v>
      </c>
      <c r="K1989" t="n">
        <v>0</v>
      </c>
      <c r="L1989" t="n">
        <v>0</v>
      </c>
      <c r="M1989" t="n">
        <v>0</v>
      </c>
      <c r="N1989" t="n">
        <v>0</v>
      </c>
      <c r="O1989" t="n">
        <v>0</v>
      </c>
      <c r="P1989" t="n">
        <v>0</v>
      </c>
      <c r="Q1989" t="n">
        <v>0</v>
      </c>
      <c r="R1989" t="n">
        <v>0</v>
      </c>
      <c r="S1989" t="n">
        <v>0</v>
      </c>
      <c r="T1989" t="n">
        <v>0</v>
      </c>
      <c r="U1989" t="n">
        <v>0</v>
      </c>
      <c r="V1989" s="2" t="inlineStr"/>
    </row>
    <row r="1990" ht="15" customHeight="1">
      <c r="A1990" t="inlineStr">
        <is>
          <t>A 14182-2026</t>
        </is>
      </c>
      <c r="B1990" t="inlineStr">
        <is>
          <t>avverkningsanmälan</t>
        </is>
      </c>
      <c r="C1990" t="inlineStr">
        <is>
          <t>Föryngringsavverkning</t>
        </is>
      </c>
      <c r="D1990" s="1" t="n">
        <v>46099</v>
      </c>
      <c r="E1990" s="1" t="n">
        <v>46309</v>
      </c>
      <c r="F1990" t="inlineStr">
        <is>
          <t>UPPSALA LÄN</t>
        </is>
      </c>
      <c r="G1990" t="inlineStr">
        <is>
          <t>ENKÖPING</t>
        </is>
      </c>
      <c r="I1990" t="n">
        <v>1.6</v>
      </c>
      <c r="J1990" t="n">
        <v>0</v>
      </c>
      <c r="K1990" t="n">
        <v>0</v>
      </c>
      <c r="L1990" t="n">
        <v>0</v>
      </c>
      <c r="M1990" t="n">
        <v>0</v>
      </c>
      <c r="N1990" t="n">
        <v>0</v>
      </c>
      <c r="O1990" t="n">
        <v>0</v>
      </c>
      <c r="P1990" t="n">
        <v>0</v>
      </c>
      <c r="Q1990" t="n">
        <v>0</v>
      </c>
      <c r="R1990" t="n">
        <v>0</v>
      </c>
      <c r="S1990" t="n">
        <v>0</v>
      </c>
      <c r="T1990" t="n">
        <v>0</v>
      </c>
      <c r="U1990" t="n">
        <v>0</v>
      </c>
      <c r="V1990" s="2" t="inlineStr"/>
    </row>
    <row r="1991" ht="15" customHeight="1">
      <c r="A1991" t="inlineStr">
        <is>
          <t>A 13934-2026</t>
        </is>
      </c>
      <c r="B1991" t="inlineStr">
        <is>
          <t>avverkningsanmälan</t>
        </is>
      </c>
      <c r="C1991" t="inlineStr">
        <is>
          <t>Föryngringsavverkning</t>
        </is>
      </c>
      <c r="D1991" s="1" t="n">
        <v>46098</v>
      </c>
      <c r="E1991" s="1" t="n">
        <v>46309</v>
      </c>
      <c r="F1991" t="inlineStr">
        <is>
          <t>UPPSALA LÄN</t>
        </is>
      </c>
      <c r="G1991" t="inlineStr">
        <is>
          <t>UPPSALA</t>
        </is>
      </c>
      <c r="I1991" t="n">
        <v>1</v>
      </c>
      <c r="J1991" t="n">
        <v>0</v>
      </c>
      <c r="K1991" t="n">
        <v>0</v>
      </c>
      <c r="L1991" t="n">
        <v>0</v>
      </c>
      <c r="M1991" t="n">
        <v>0</v>
      </c>
      <c r="N1991" t="n">
        <v>0</v>
      </c>
      <c r="O1991" t="n">
        <v>0</v>
      </c>
      <c r="P1991" t="n">
        <v>0</v>
      </c>
      <c r="Q1991" t="n">
        <v>0</v>
      </c>
      <c r="R1991" t="n">
        <v>0</v>
      </c>
      <c r="S1991" t="n">
        <v>0</v>
      </c>
      <c r="T1991" t="n">
        <v>0</v>
      </c>
      <c r="U1991" t="n">
        <v>0</v>
      </c>
      <c r="V1991" s="2" t="inlineStr"/>
    </row>
    <row r="1992" ht="15" customHeight="1">
      <c r="A1992" t="inlineStr">
        <is>
          <t>A 21727-2023</t>
        </is>
      </c>
      <c r="B1992" t="inlineStr">
        <is>
          <t>avverkningsanmälan</t>
        </is>
      </c>
      <c r="C1992" t="inlineStr">
        <is>
          <t>Föryngringsavverkning</t>
        </is>
      </c>
      <c r="D1992" s="1" t="n">
        <v>45065</v>
      </c>
      <c r="E1992" s="1" t="n">
        <v>46309</v>
      </c>
      <c r="F1992" t="inlineStr">
        <is>
          <t>UPPSALA LÄN</t>
        </is>
      </c>
      <c r="G1992" t="inlineStr">
        <is>
          <t>UPPSALA</t>
        </is>
      </c>
      <c r="I1992" t="n">
        <v>1.5</v>
      </c>
      <c r="J1992" t="n">
        <v>0</v>
      </c>
      <c r="K1992" t="n">
        <v>0</v>
      </c>
      <c r="L1992" t="n">
        <v>0</v>
      </c>
      <c r="M1992" t="n">
        <v>0</v>
      </c>
      <c r="N1992" t="n">
        <v>0</v>
      </c>
      <c r="O1992" t="n">
        <v>0</v>
      </c>
      <c r="P1992" t="n">
        <v>0</v>
      </c>
      <c r="Q1992" t="n">
        <v>0</v>
      </c>
      <c r="R1992" t="n">
        <v>0</v>
      </c>
      <c r="S1992" t="n">
        <v>0</v>
      </c>
      <c r="T1992" t="n">
        <v>0</v>
      </c>
      <c r="U1992" t="n">
        <v>0</v>
      </c>
      <c r="V1992" s="2" t="inlineStr"/>
    </row>
    <row r="1993" ht="15" customHeight="1">
      <c r="A1993" t="inlineStr">
        <is>
          <t>A 14296-2026</t>
        </is>
      </c>
      <c r="B1993" t="inlineStr">
        <is>
          <t>avverkningsanmälan</t>
        </is>
      </c>
      <c r="C1993" t="inlineStr">
        <is>
          <t>Föryngringsavverkning</t>
        </is>
      </c>
      <c r="D1993" s="1" t="n">
        <v>46099</v>
      </c>
      <c r="E1993" s="1" t="n">
        <v>46309</v>
      </c>
      <c r="F1993" t="inlineStr">
        <is>
          <t>UPPSALA LÄN</t>
        </is>
      </c>
      <c r="G1993" t="inlineStr">
        <is>
          <t>ENKÖPING</t>
        </is>
      </c>
      <c r="I1993" t="n">
        <v>1.1</v>
      </c>
      <c r="J1993" t="n">
        <v>0</v>
      </c>
      <c r="K1993" t="n">
        <v>0</v>
      </c>
      <c r="L1993" t="n">
        <v>0</v>
      </c>
      <c r="M1993" t="n">
        <v>0</v>
      </c>
      <c r="N1993" t="n">
        <v>0</v>
      </c>
      <c r="O1993" t="n">
        <v>0</v>
      </c>
      <c r="P1993" t="n">
        <v>0</v>
      </c>
      <c r="Q1993" t="n">
        <v>0</v>
      </c>
      <c r="R1993" t="n">
        <v>0</v>
      </c>
      <c r="S1993" t="n">
        <v>0</v>
      </c>
      <c r="T1993" t="n">
        <v>0</v>
      </c>
      <c r="U1993" t="n">
        <v>0</v>
      </c>
      <c r="V1993" s="2" t="inlineStr"/>
    </row>
    <row r="1994" ht="15" customHeight="1">
      <c r="A1994" t="inlineStr">
        <is>
          <t>A 8592-2022</t>
        </is>
      </c>
      <c r="B1994" t="inlineStr">
        <is>
          <t>avverkningsanmälan</t>
        </is>
      </c>
      <c r="C1994" t="inlineStr">
        <is>
          <t>Föryngringsavverkning</t>
        </is>
      </c>
      <c r="D1994" s="1" t="n">
        <v>44613</v>
      </c>
      <c r="E1994" s="1" t="n">
        <v>46309</v>
      </c>
      <c r="F1994" t="inlineStr">
        <is>
          <t>UPPSALA LÄN</t>
        </is>
      </c>
      <c r="G1994" t="inlineStr">
        <is>
          <t>ÖSTHAMMAR</t>
        </is>
      </c>
      <c r="I1994" t="n">
        <v>1.4</v>
      </c>
      <c r="J1994" t="n">
        <v>0</v>
      </c>
      <c r="K1994" t="n">
        <v>0</v>
      </c>
      <c r="L1994" t="n">
        <v>0</v>
      </c>
      <c r="M1994" t="n">
        <v>0</v>
      </c>
      <c r="N1994" t="n">
        <v>0</v>
      </c>
      <c r="O1994" t="n">
        <v>0</v>
      </c>
      <c r="P1994" t="n">
        <v>0</v>
      </c>
      <c r="Q1994" t="n">
        <v>0</v>
      </c>
      <c r="R1994" t="n">
        <v>0</v>
      </c>
      <c r="S1994" t="n">
        <v>0</v>
      </c>
      <c r="T1994" t="n">
        <v>0</v>
      </c>
      <c r="U1994" t="n">
        <v>0</v>
      </c>
      <c r="V1994" s="2" t="inlineStr"/>
    </row>
    <row r="1995" ht="15" customHeight="1">
      <c r="A1995" t="inlineStr">
        <is>
          <t>A 69698-2021</t>
        </is>
      </c>
      <c r="B1995" t="inlineStr">
        <is>
          <t>avverkningsanmälan</t>
        </is>
      </c>
      <c r="C1995" t="inlineStr">
        <is>
          <t>Föryngringsavverkning</t>
        </is>
      </c>
      <c r="D1995" s="1" t="n">
        <v>44532</v>
      </c>
      <c r="E1995" s="1" t="n">
        <v>46309</v>
      </c>
      <c r="F1995" t="inlineStr">
        <is>
          <t>UPPSALA LÄN</t>
        </is>
      </c>
      <c r="G1995" t="inlineStr">
        <is>
          <t>UPPSALA</t>
        </is>
      </c>
      <c r="I1995" t="n">
        <v>0.7</v>
      </c>
      <c r="J1995" t="n">
        <v>0</v>
      </c>
      <c r="K1995" t="n">
        <v>0</v>
      </c>
      <c r="L1995" t="n">
        <v>0</v>
      </c>
      <c r="M1995" t="n">
        <v>0</v>
      </c>
      <c r="N1995" t="n">
        <v>0</v>
      </c>
      <c r="O1995" t="n">
        <v>0</v>
      </c>
      <c r="P1995" t="n">
        <v>0</v>
      </c>
      <c r="Q1995" t="n">
        <v>0</v>
      </c>
      <c r="R1995" t="n">
        <v>0</v>
      </c>
      <c r="S1995" t="n">
        <v>0</v>
      </c>
      <c r="T1995" t="n">
        <v>0</v>
      </c>
      <c r="U1995" t="n">
        <v>0</v>
      </c>
      <c r="V1995" s="2" t="inlineStr"/>
    </row>
    <row r="1996" ht="15" customHeight="1">
      <c r="A1996" t="inlineStr">
        <is>
          <t>A 13986-2026</t>
        </is>
      </c>
      <c r="B1996" t="inlineStr">
        <is>
          <t>avverkningsanmälan</t>
        </is>
      </c>
      <c r="C1996" t="inlineStr">
        <is>
          <t>Föryngringsavverkning</t>
        </is>
      </c>
      <c r="D1996" s="1" t="n">
        <v>46098</v>
      </c>
      <c r="E1996" s="1" t="n">
        <v>46309</v>
      </c>
      <c r="F1996" t="inlineStr">
        <is>
          <t>UPPSALA LÄN</t>
        </is>
      </c>
      <c r="G1996" t="inlineStr">
        <is>
          <t>TIERP</t>
        </is>
      </c>
      <c r="I1996" t="n">
        <v>0.4</v>
      </c>
      <c r="J1996" t="n">
        <v>0</v>
      </c>
      <c r="K1996" t="n">
        <v>0</v>
      </c>
      <c r="L1996" t="n">
        <v>0</v>
      </c>
      <c r="M1996" t="n">
        <v>0</v>
      </c>
      <c r="N1996" t="n">
        <v>0</v>
      </c>
      <c r="O1996" t="n">
        <v>0</v>
      </c>
      <c r="P1996" t="n">
        <v>0</v>
      </c>
      <c r="Q1996" t="n">
        <v>0</v>
      </c>
      <c r="R1996" t="n">
        <v>0</v>
      </c>
      <c r="S1996" t="n">
        <v>0</v>
      </c>
      <c r="T1996" t="n">
        <v>0</v>
      </c>
      <c r="U1996" t="n">
        <v>0</v>
      </c>
      <c r="V1996" s="2" t="inlineStr"/>
    </row>
    <row r="1997" ht="15" customHeight="1">
      <c r="A1997" t="inlineStr">
        <is>
          <t>A 14542-2026</t>
        </is>
      </c>
      <c r="B1997" t="inlineStr">
        <is>
          <t>avverkningsanmälan</t>
        </is>
      </c>
      <c r="C1997" t="inlineStr">
        <is>
          <t>Föryngringsavverkning</t>
        </is>
      </c>
      <c r="D1997" s="1" t="n">
        <v>46100</v>
      </c>
      <c r="E1997" s="1" t="n">
        <v>46309</v>
      </c>
      <c r="F1997" t="inlineStr">
        <is>
          <t>UPPSALA LÄN</t>
        </is>
      </c>
      <c r="G1997" t="inlineStr">
        <is>
          <t>TIERP</t>
        </is>
      </c>
      <c r="I1997" t="n">
        <v>5.1</v>
      </c>
      <c r="J1997" t="n">
        <v>0</v>
      </c>
      <c r="K1997" t="n">
        <v>0</v>
      </c>
      <c r="L1997" t="n">
        <v>0</v>
      </c>
      <c r="M1997" t="n">
        <v>0</v>
      </c>
      <c r="N1997" t="n">
        <v>0</v>
      </c>
      <c r="O1997" t="n">
        <v>0</v>
      </c>
      <c r="P1997" t="n">
        <v>0</v>
      </c>
      <c r="Q1997" t="n">
        <v>0</v>
      </c>
      <c r="R1997" t="n">
        <v>0</v>
      </c>
      <c r="S1997" t="n">
        <v>0</v>
      </c>
      <c r="T1997" t="n">
        <v>0</v>
      </c>
      <c r="U1997" t="n">
        <v>0</v>
      </c>
      <c r="V1997" s="2" t="inlineStr"/>
    </row>
    <row r="1998" ht="15" customHeight="1">
      <c r="A1998" t="inlineStr">
        <is>
          <t>A 59589-2022</t>
        </is>
      </c>
      <c r="B1998" t="inlineStr">
        <is>
          <t>avverkningsanmälan</t>
        </is>
      </c>
      <c r="C1998" t="inlineStr">
        <is>
          <t>Föryngringsavverkning</t>
        </is>
      </c>
      <c r="D1998" s="1" t="n">
        <v>44907</v>
      </c>
      <c r="E1998" s="1" t="n">
        <v>46309</v>
      </c>
      <c r="F1998" t="inlineStr">
        <is>
          <t>UPPSALA LÄN</t>
        </is>
      </c>
      <c r="G1998" t="inlineStr">
        <is>
          <t>TIERP</t>
        </is>
      </c>
      <c r="I1998" t="n">
        <v>0.6</v>
      </c>
      <c r="J1998" t="n">
        <v>0</v>
      </c>
      <c r="K1998" t="n">
        <v>0</v>
      </c>
      <c r="L1998" t="n">
        <v>0</v>
      </c>
      <c r="M1998" t="n">
        <v>0</v>
      </c>
      <c r="N1998" t="n">
        <v>0</v>
      </c>
      <c r="O1998" t="n">
        <v>0</v>
      </c>
      <c r="P1998" t="n">
        <v>0</v>
      </c>
      <c r="Q1998" t="n">
        <v>0</v>
      </c>
      <c r="R1998" t="n">
        <v>0</v>
      </c>
      <c r="S1998" t="n">
        <v>0</v>
      </c>
      <c r="T1998" t="n">
        <v>0</v>
      </c>
      <c r="U1998" t="n">
        <v>0</v>
      </c>
      <c r="V1998" s="2" t="inlineStr"/>
    </row>
    <row r="1999" ht="15" customHeight="1">
      <c r="A1999" t="inlineStr">
        <is>
          <t>A 59602-2022</t>
        </is>
      </c>
      <c r="B1999" t="inlineStr">
        <is>
          <t>avverkningsanmälan</t>
        </is>
      </c>
      <c r="C1999" t="inlineStr">
        <is>
          <t>Föryngringsavverkning</t>
        </is>
      </c>
      <c r="D1999" s="1" t="n">
        <v>44907</v>
      </c>
      <c r="E1999" s="1" t="n">
        <v>46309</v>
      </c>
      <c r="F1999" t="inlineStr">
        <is>
          <t>UPPSALA LÄN</t>
        </is>
      </c>
      <c r="G1999" t="inlineStr">
        <is>
          <t>ENKÖPING</t>
        </is>
      </c>
      <c r="I1999" t="n">
        <v>14.2</v>
      </c>
      <c r="J1999" t="n">
        <v>0</v>
      </c>
      <c r="K1999" t="n">
        <v>0</v>
      </c>
      <c r="L1999" t="n">
        <v>0</v>
      </c>
      <c r="M1999" t="n">
        <v>0</v>
      </c>
      <c r="N1999" t="n">
        <v>0</v>
      </c>
      <c r="O1999" t="n">
        <v>0</v>
      </c>
      <c r="P1999" t="n">
        <v>0</v>
      </c>
      <c r="Q1999" t="n">
        <v>0</v>
      </c>
      <c r="R1999" t="n">
        <v>0</v>
      </c>
      <c r="S1999" t="n">
        <v>0</v>
      </c>
      <c r="T1999" t="n">
        <v>0</v>
      </c>
      <c r="U1999" t="n">
        <v>0</v>
      </c>
      <c r="V1999" s="2" t="inlineStr"/>
    </row>
    <row r="2000" ht="15" customHeight="1">
      <c r="A2000" t="inlineStr">
        <is>
          <t>A 14544-2026</t>
        </is>
      </c>
      <c r="B2000" t="inlineStr">
        <is>
          <t>avverkningsanmälan</t>
        </is>
      </c>
      <c r="C2000" t="inlineStr">
        <is>
          <t>Föryngringsavverkning</t>
        </is>
      </c>
      <c r="D2000" s="1" t="n">
        <v>46100</v>
      </c>
      <c r="E2000" s="1" t="n">
        <v>46309</v>
      </c>
      <c r="F2000" t="inlineStr">
        <is>
          <t>UPPSALA LÄN</t>
        </is>
      </c>
      <c r="G2000" t="inlineStr">
        <is>
          <t>TIERP</t>
        </is>
      </c>
      <c r="I2000" t="n">
        <v>3.7</v>
      </c>
      <c r="J2000" t="n">
        <v>0</v>
      </c>
      <c r="K2000" t="n">
        <v>0</v>
      </c>
      <c r="L2000" t="n">
        <v>0</v>
      </c>
      <c r="M2000" t="n">
        <v>0</v>
      </c>
      <c r="N2000" t="n">
        <v>0</v>
      </c>
      <c r="O2000" t="n">
        <v>0</v>
      </c>
      <c r="P2000" t="n">
        <v>0</v>
      </c>
      <c r="Q2000" t="n">
        <v>0</v>
      </c>
      <c r="R2000" t="n">
        <v>0</v>
      </c>
      <c r="S2000" t="n">
        <v>0</v>
      </c>
      <c r="T2000" t="n">
        <v>0</v>
      </c>
      <c r="U2000" t="n">
        <v>0</v>
      </c>
      <c r="V2000" s="2" t="inlineStr"/>
    </row>
    <row r="2001" ht="15" customHeight="1">
      <c r="A2001" t="inlineStr">
        <is>
          <t>A 42589-2022</t>
        </is>
      </c>
      <c r="B2001" t="inlineStr">
        <is>
          <t>avverkningsanmälan</t>
        </is>
      </c>
      <c r="C2001" t="inlineStr">
        <is>
          <t>Föryngringsavverkning</t>
        </is>
      </c>
      <c r="D2001" s="1" t="n">
        <v>44831</v>
      </c>
      <c r="E2001" s="1" t="n">
        <v>46309</v>
      </c>
      <c r="F2001" t="inlineStr">
        <is>
          <t>UPPSALA LÄN</t>
        </is>
      </c>
      <c r="G2001" t="inlineStr">
        <is>
          <t>ENKÖPING</t>
        </is>
      </c>
      <c r="I2001" t="n">
        <v>20</v>
      </c>
      <c r="J2001" t="n">
        <v>0</v>
      </c>
      <c r="K2001" t="n">
        <v>0</v>
      </c>
      <c r="L2001" t="n">
        <v>0</v>
      </c>
      <c r="M2001" t="n">
        <v>0</v>
      </c>
      <c r="N2001" t="n">
        <v>0</v>
      </c>
      <c r="O2001" t="n">
        <v>0</v>
      </c>
      <c r="P2001" t="n">
        <v>0</v>
      </c>
      <c r="Q2001" t="n">
        <v>0</v>
      </c>
      <c r="R2001" t="n">
        <v>0</v>
      </c>
      <c r="S2001" t="n">
        <v>0</v>
      </c>
      <c r="T2001" t="n">
        <v>0</v>
      </c>
      <c r="U2001" t="n">
        <v>0</v>
      </c>
      <c r="V2001" s="2" t="inlineStr"/>
    </row>
    <row r="2002" ht="15" customHeight="1">
      <c r="A2002" t="inlineStr">
        <is>
          <t>A 14916-2025</t>
        </is>
      </c>
      <c r="B2002" t="inlineStr">
        <is>
          <t>avverkningsanmälan</t>
        </is>
      </c>
      <c r="C2002" t="inlineStr">
        <is>
          <t>Föryngringsavverkning</t>
        </is>
      </c>
      <c r="D2002" s="1" t="n">
        <v>45743</v>
      </c>
      <c r="E2002" s="1" t="n">
        <v>46309</v>
      </c>
      <c r="F2002" t="inlineStr">
        <is>
          <t>UPPSALA LÄN</t>
        </is>
      </c>
      <c r="G2002" t="inlineStr">
        <is>
          <t>HEBY</t>
        </is>
      </c>
      <c r="I2002" t="n">
        <v>2.4</v>
      </c>
      <c r="J2002" t="n">
        <v>0</v>
      </c>
      <c r="K2002" t="n">
        <v>0</v>
      </c>
      <c r="L2002" t="n">
        <v>0</v>
      </c>
      <c r="M2002" t="n">
        <v>0</v>
      </c>
      <c r="N2002" t="n">
        <v>0</v>
      </c>
      <c r="O2002" t="n">
        <v>0</v>
      </c>
      <c r="P2002" t="n">
        <v>0</v>
      </c>
      <c r="Q2002" t="n">
        <v>0</v>
      </c>
      <c r="R2002" t="n">
        <v>0</v>
      </c>
      <c r="S2002" t="n">
        <v>0</v>
      </c>
      <c r="T2002" t="n">
        <v>0</v>
      </c>
      <c r="U2002" t="n">
        <v>0</v>
      </c>
      <c r="V2002" s="2" t="inlineStr"/>
    </row>
    <row r="2003" ht="15" customHeight="1">
      <c r="A2003" t="inlineStr">
        <is>
          <t>A 14765-2026</t>
        </is>
      </c>
      <c r="B2003" t="inlineStr">
        <is>
          <t>avverkningsanmälan</t>
        </is>
      </c>
      <c r="C2003" t="inlineStr">
        <is>
          <t>Föryngringsavverkning</t>
        </is>
      </c>
      <c r="D2003" s="1" t="n">
        <v>46101</v>
      </c>
      <c r="E2003" s="1" t="n">
        <v>46309</v>
      </c>
      <c r="F2003" t="inlineStr">
        <is>
          <t>UPPSALA LÄN</t>
        </is>
      </c>
      <c r="G2003" t="inlineStr">
        <is>
          <t>HEBY</t>
        </is>
      </c>
      <c r="I2003" t="n">
        <v>3.4</v>
      </c>
      <c r="J2003" t="n">
        <v>0</v>
      </c>
      <c r="K2003" t="n">
        <v>0</v>
      </c>
      <c r="L2003" t="n">
        <v>0</v>
      </c>
      <c r="M2003" t="n">
        <v>0</v>
      </c>
      <c r="N2003" t="n">
        <v>0</v>
      </c>
      <c r="O2003" t="n">
        <v>0</v>
      </c>
      <c r="P2003" t="n">
        <v>0</v>
      </c>
      <c r="Q2003" t="n">
        <v>0</v>
      </c>
      <c r="R2003" t="n">
        <v>0</v>
      </c>
      <c r="S2003" t="n">
        <v>0</v>
      </c>
      <c r="T2003" t="n">
        <v>0</v>
      </c>
      <c r="U2003" t="n">
        <v>0</v>
      </c>
      <c r="V2003" s="2" t="inlineStr"/>
    </row>
    <row r="2004" ht="15" customHeight="1">
      <c r="A2004" t="inlineStr">
        <is>
          <t>A 18423-2025</t>
        </is>
      </c>
      <c r="B2004" t="inlineStr">
        <is>
          <t>avverkningsanmälan</t>
        </is>
      </c>
      <c r="C2004" t="inlineStr">
        <is>
          <t>Föryngringsavverkning</t>
        </is>
      </c>
      <c r="D2004" s="1" t="n">
        <v>45762</v>
      </c>
      <c r="E2004" s="1" t="n">
        <v>46309</v>
      </c>
      <c r="F2004" t="inlineStr">
        <is>
          <t>UPPSALA LÄN</t>
        </is>
      </c>
      <c r="G2004" t="inlineStr">
        <is>
          <t>TIERP</t>
        </is>
      </c>
      <c r="H2004" t="inlineStr">
        <is>
          <t>Bergvik skog öst AB</t>
        </is>
      </c>
      <c r="I2004" t="n">
        <v>1.8</v>
      </c>
      <c r="J2004" t="n">
        <v>0</v>
      </c>
      <c r="K2004" t="n">
        <v>0</v>
      </c>
      <c r="L2004" t="n">
        <v>0</v>
      </c>
      <c r="M2004" t="n">
        <v>0</v>
      </c>
      <c r="N2004" t="n">
        <v>0</v>
      </c>
      <c r="O2004" t="n">
        <v>0</v>
      </c>
      <c r="P2004" t="n">
        <v>0</v>
      </c>
      <c r="Q2004" t="n">
        <v>0</v>
      </c>
      <c r="R2004" t="n">
        <v>0</v>
      </c>
      <c r="S2004" t="n">
        <v>0</v>
      </c>
      <c r="T2004" t="n">
        <v>0</v>
      </c>
      <c r="U2004" t="n">
        <v>0</v>
      </c>
      <c r="V2004" s="2" t="inlineStr"/>
    </row>
    <row r="2005" ht="15" customHeight="1">
      <c r="A2005" t="inlineStr">
        <is>
          <t>A 20102-2023</t>
        </is>
      </c>
      <c r="B2005" t="inlineStr">
        <is>
          <t>avverkningsanmälan</t>
        </is>
      </c>
      <c r="C2005" t="inlineStr">
        <is>
          <t>Föryngringsavverkning</t>
        </is>
      </c>
      <c r="D2005" s="1" t="n">
        <v>45054</v>
      </c>
      <c r="E2005" s="1" t="n">
        <v>46309</v>
      </c>
      <c r="F2005" t="inlineStr">
        <is>
          <t>UPPSALA LÄN</t>
        </is>
      </c>
      <c r="G2005" t="inlineStr">
        <is>
          <t>UPPSALA</t>
        </is>
      </c>
      <c r="I2005" t="n">
        <v>0.5</v>
      </c>
      <c r="J2005" t="n">
        <v>0</v>
      </c>
      <c r="K2005" t="n">
        <v>0</v>
      </c>
      <c r="L2005" t="n">
        <v>0</v>
      </c>
      <c r="M2005" t="n">
        <v>0</v>
      </c>
      <c r="N2005" t="n">
        <v>0</v>
      </c>
      <c r="O2005" t="n">
        <v>0</v>
      </c>
      <c r="P2005" t="n">
        <v>0</v>
      </c>
      <c r="Q2005" t="n">
        <v>0</v>
      </c>
      <c r="R2005" t="n">
        <v>0</v>
      </c>
      <c r="S2005" t="n">
        <v>0</v>
      </c>
      <c r="T2005" t="n">
        <v>0</v>
      </c>
      <c r="U2005" t="n">
        <v>0</v>
      </c>
      <c r="V2005" s="2" t="inlineStr"/>
    </row>
    <row r="2006" ht="15" customHeight="1">
      <c r="A2006" t="inlineStr">
        <is>
          <t>A 15006-2026</t>
        </is>
      </c>
      <c r="B2006" t="inlineStr">
        <is>
          <t>avverkningsanmälan</t>
        </is>
      </c>
      <c r="C2006" t="inlineStr">
        <is>
          <t>Föryngringsavverkning</t>
        </is>
      </c>
      <c r="D2006" s="1" t="n">
        <v>46104</v>
      </c>
      <c r="E2006" s="1" t="n">
        <v>46309</v>
      </c>
      <c r="F2006" t="inlineStr">
        <is>
          <t>UPPSALA LÄN</t>
        </is>
      </c>
      <c r="G2006" t="inlineStr">
        <is>
          <t>ÖSTHAMMAR</t>
        </is>
      </c>
      <c r="I2006" t="n">
        <v>2.1</v>
      </c>
      <c r="J2006" t="n">
        <v>0</v>
      </c>
      <c r="K2006" t="n">
        <v>0</v>
      </c>
      <c r="L2006" t="n">
        <v>0</v>
      </c>
      <c r="M2006" t="n">
        <v>0</v>
      </c>
      <c r="N2006" t="n">
        <v>0</v>
      </c>
      <c r="O2006" t="n">
        <v>0</v>
      </c>
      <c r="P2006" t="n">
        <v>0</v>
      </c>
      <c r="Q2006" t="n">
        <v>0</v>
      </c>
      <c r="R2006" t="n">
        <v>0</v>
      </c>
      <c r="S2006" t="n">
        <v>0</v>
      </c>
      <c r="T2006" t="n">
        <v>0</v>
      </c>
      <c r="U2006" t="n">
        <v>0</v>
      </c>
      <c r="V2006" s="2" t="inlineStr"/>
    </row>
    <row r="2007" ht="15" customHeight="1">
      <c r="A2007" t="inlineStr">
        <is>
          <t>A 9487-2025</t>
        </is>
      </c>
      <c r="B2007" t="inlineStr">
        <is>
          <t>avverkningsanmälan</t>
        </is>
      </c>
      <c r="C2007" t="inlineStr">
        <is>
          <t>Föryngringsavverkning</t>
        </is>
      </c>
      <c r="D2007" s="1" t="n">
        <v>45715</v>
      </c>
      <c r="E2007" s="1" t="n">
        <v>46309</v>
      </c>
      <c r="F2007" t="inlineStr">
        <is>
          <t>UPPSALA LÄN</t>
        </is>
      </c>
      <c r="G2007" t="inlineStr">
        <is>
          <t>ENKÖPING</t>
        </is>
      </c>
      <c r="I2007" t="n">
        <v>0.8</v>
      </c>
      <c r="J2007" t="n">
        <v>0</v>
      </c>
      <c r="K2007" t="n">
        <v>0</v>
      </c>
      <c r="L2007" t="n">
        <v>0</v>
      </c>
      <c r="M2007" t="n">
        <v>0</v>
      </c>
      <c r="N2007" t="n">
        <v>0</v>
      </c>
      <c r="O2007" t="n">
        <v>0</v>
      </c>
      <c r="P2007" t="n">
        <v>0</v>
      </c>
      <c r="Q2007" t="n">
        <v>0</v>
      </c>
      <c r="R2007" t="n">
        <v>0</v>
      </c>
      <c r="S2007" t="n">
        <v>0</v>
      </c>
      <c r="T2007" t="n">
        <v>0</v>
      </c>
      <c r="U2007" t="n">
        <v>0</v>
      </c>
      <c r="V2007" s="2" t="inlineStr"/>
    </row>
    <row r="2008" ht="15" customHeight="1">
      <c r="A2008" t="inlineStr">
        <is>
          <t>A 40864-2023</t>
        </is>
      </c>
      <c r="B2008" t="inlineStr">
        <is>
          <t>avverkningsanmälan</t>
        </is>
      </c>
      <c r="C2008" t="inlineStr">
        <is>
          <t>Föryngringsavverkning</t>
        </is>
      </c>
      <c r="D2008" s="1" t="n">
        <v>45173</v>
      </c>
      <c r="E2008" s="1" t="n">
        <v>46309</v>
      </c>
      <c r="F2008" t="inlineStr">
        <is>
          <t>UPPSALA LÄN</t>
        </is>
      </c>
      <c r="G2008" t="inlineStr">
        <is>
          <t>TIERP</t>
        </is>
      </c>
      <c r="H2008" t="inlineStr">
        <is>
          <t>Bergvik skog väst AB</t>
        </is>
      </c>
      <c r="I2008" t="n">
        <v>2.1</v>
      </c>
      <c r="J2008" t="n">
        <v>0</v>
      </c>
      <c r="K2008" t="n">
        <v>0</v>
      </c>
      <c r="L2008" t="n">
        <v>0</v>
      </c>
      <c r="M2008" t="n">
        <v>0</v>
      </c>
      <c r="N2008" t="n">
        <v>0</v>
      </c>
      <c r="O2008" t="n">
        <v>0</v>
      </c>
      <c r="P2008" t="n">
        <v>0</v>
      </c>
      <c r="Q2008" t="n">
        <v>0</v>
      </c>
      <c r="R2008" t="n">
        <v>0</v>
      </c>
      <c r="S2008" t="n">
        <v>0</v>
      </c>
      <c r="T2008" t="n">
        <v>0</v>
      </c>
      <c r="U2008" t="n">
        <v>0</v>
      </c>
      <c r="V2008" s="2" t="inlineStr"/>
    </row>
    <row r="2009" ht="15" customHeight="1">
      <c r="A2009" t="inlineStr">
        <is>
          <t>A 25363-2022</t>
        </is>
      </c>
      <c r="B2009" t="inlineStr">
        <is>
          <t>avverkningsanmälan</t>
        </is>
      </c>
      <c r="C2009" t="inlineStr">
        <is>
          <t>Föryngringsavverkning</t>
        </is>
      </c>
      <c r="D2009" s="1" t="n">
        <v>44732</v>
      </c>
      <c r="E2009" s="1" t="n">
        <v>46309</v>
      </c>
      <c r="F2009" t="inlineStr">
        <is>
          <t>UPPSALA LÄN</t>
        </is>
      </c>
      <c r="G2009" t="inlineStr">
        <is>
          <t>TIERP</t>
        </is>
      </c>
      <c r="I2009" t="n">
        <v>1.1</v>
      </c>
      <c r="J2009" t="n">
        <v>0</v>
      </c>
      <c r="K2009" t="n">
        <v>0</v>
      </c>
      <c r="L2009" t="n">
        <v>0</v>
      </c>
      <c r="M2009" t="n">
        <v>0</v>
      </c>
      <c r="N2009" t="n">
        <v>0</v>
      </c>
      <c r="O2009" t="n">
        <v>0</v>
      </c>
      <c r="P2009" t="n">
        <v>0</v>
      </c>
      <c r="Q2009" t="n">
        <v>0</v>
      </c>
      <c r="R2009" t="n">
        <v>0</v>
      </c>
      <c r="S2009" t="n">
        <v>0</v>
      </c>
      <c r="T2009" t="n">
        <v>0</v>
      </c>
      <c r="U2009" t="n">
        <v>0</v>
      </c>
      <c r="V2009" s="2" t="inlineStr"/>
    </row>
    <row r="2010" ht="15" customHeight="1">
      <c r="A2010" t="inlineStr">
        <is>
          <t>A 19017-2023</t>
        </is>
      </c>
      <c r="B2010" t="inlineStr">
        <is>
          <t>avverkningsanmälan</t>
        </is>
      </c>
      <c r="C2010" t="inlineStr">
        <is>
          <t>Föryngringsavverkning</t>
        </is>
      </c>
      <c r="D2010" s="1" t="n">
        <v>45047</v>
      </c>
      <c r="E2010" s="1" t="n">
        <v>46309</v>
      </c>
      <c r="F2010" t="inlineStr">
        <is>
          <t>UPPSALA LÄN</t>
        </is>
      </c>
      <c r="G2010" t="inlineStr">
        <is>
          <t>UPPSALA</t>
        </is>
      </c>
      <c r="I2010" t="n">
        <v>0.6</v>
      </c>
      <c r="J2010" t="n">
        <v>0</v>
      </c>
      <c r="K2010" t="n">
        <v>0</v>
      </c>
      <c r="L2010" t="n">
        <v>0</v>
      </c>
      <c r="M2010" t="n">
        <v>0</v>
      </c>
      <c r="N2010" t="n">
        <v>0</v>
      </c>
      <c r="O2010" t="n">
        <v>0</v>
      </c>
      <c r="P2010" t="n">
        <v>0</v>
      </c>
      <c r="Q2010" t="n">
        <v>0</v>
      </c>
      <c r="R2010" t="n">
        <v>0</v>
      </c>
      <c r="S2010" t="n">
        <v>0</v>
      </c>
      <c r="T2010" t="n">
        <v>0</v>
      </c>
      <c r="U2010" t="n">
        <v>0</v>
      </c>
      <c r="V2010" s="2" t="inlineStr"/>
    </row>
    <row r="2011" ht="15" customHeight="1">
      <c r="A2011" t="inlineStr">
        <is>
          <t>A 8056-2024</t>
        </is>
      </c>
      <c r="B2011" t="inlineStr">
        <is>
          <t>avverkningsanmälan</t>
        </is>
      </c>
      <c r="C2011" t="inlineStr">
        <is>
          <t>Föryngringsavverkning</t>
        </is>
      </c>
      <c r="D2011" s="1" t="n">
        <v>45351</v>
      </c>
      <c r="E2011" s="1" t="n">
        <v>46309</v>
      </c>
      <c r="F2011" t="inlineStr">
        <is>
          <t>UPPSALA LÄN</t>
        </is>
      </c>
      <c r="G2011" t="inlineStr">
        <is>
          <t>HEBY</t>
        </is>
      </c>
      <c r="I2011" t="n">
        <v>0.6</v>
      </c>
      <c r="J2011" t="n">
        <v>0</v>
      </c>
      <c r="K2011" t="n">
        <v>0</v>
      </c>
      <c r="L2011" t="n">
        <v>0</v>
      </c>
      <c r="M2011" t="n">
        <v>0</v>
      </c>
      <c r="N2011" t="n">
        <v>0</v>
      </c>
      <c r="O2011" t="n">
        <v>0</v>
      </c>
      <c r="P2011" t="n">
        <v>0</v>
      </c>
      <c r="Q2011" t="n">
        <v>0</v>
      </c>
      <c r="R2011" t="n">
        <v>0</v>
      </c>
      <c r="S2011" t="n">
        <v>0</v>
      </c>
      <c r="T2011" t="n">
        <v>0</v>
      </c>
      <c r="U2011" t="n">
        <v>0</v>
      </c>
      <c r="V2011" s="2" t="inlineStr"/>
    </row>
    <row r="2012" ht="15" customHeight="1">
      <c r="A2012" t="inlineStr">
        <is>
          <t>A 55862-2022</t>
        </is>
      </c>
      <c r="B2012" t="inlineStr">
        <is>
          <t>avverkningsanmälan</t>
        </is>
      </c>
      <c r="C2012" t="inlineStr">
        <is>
          <t>Föryngringsavverkning</t>
        </is>
      </c>
      <c r="D2012" s="1" t="n">
        <v>44888</v>
      </c>
      <c r="E2012" s="1" t="n">
        <v>46309</v>
      </c>
      <c r="F2012" t="inlineStr">
        <is>
          <t>UPPSALA LÄN</t>
        </is>
      </c>
      <c r="G2012" t="inlineStr">
        <is>
          <t>UPPSALA</t>
        </is>
      </c>
      <c r="H2012" t="inlineStr">
        <is>
          <t>Bergvik skog öst AB</t>
        </is>
      </c>
      <c r="I2012" t="n">
        <v>1.6</v>
      </c>
      <c r="J2012" t="n">
        <v>0</v>
      </c>
      <c r="K2012" t="n">
        <v>0</v>
      </c>
      <c r="L2012" t="n">
        <v>0</v>
      </c>
      <c r="M2012" t="n">
        <v>0</v>
      </c>
      <c r="N2012" t="n">
        <v>0</v>
      </c>
      <c r="O2012" t="n">
        <v>0</v>
      </c>
      <c r="P2012" t="n">
        <v>0</v>
      </c>
      <c r="Q2012" t="n">
        <v>0</v>
      </c>
      <c r="R2012" t="n">
        <v>0</v>
      </c>
      <c r="S2012" t="n">
        <v>0</v>
      </c>
      <c r="T2012" t="n">
        <v>0</v>
      </c>
      <c r="U2012" t="n">
        <v>0</v>
      </c>
      <c r="V2012" s="2" t="inlineStr"/>
    </row>
    <row r="2013" ht="15" customHeight="1">
      <c r="A2013" t="inlineStr">
        <is>
          <t>A 37035-2023</t>
        </is>
      </c>
      <c r="B2013" t="inlineStr">
        <is>
          <t>avverkningsanmälan</t>
        </is>
      </c>
      <c r="C2013" t="inlineStr">
        <is>
          <t>Föryngringsavverkning</t>
        </is>
      </c>
      <c r="D2013" s="1" t="n">
        <v>45155</v>
      </c>
      <c r="E2013" s="1" t="n">
        <v>46309</v>
      </c>
      <c r="F2013" t="inlineStr">
        <is>
          <t>UPPSALA LÄN</t>
        </is>
      </c>
      <c r="G2013" t="inlineStr">
        <is>
          <t>ENKÖPING</t>
        </is>
      </c>
      <c r="I2013" t="n">
        <v>1.2</v>
      </c>
      <c r="J2013" t="n">
        <v>0</v>
      </c>
      <c r="K2013" t="n">
        <v>0</v>
      </c>
      <c r="L2013" t="n">
        <v>0</v>
      </c>
      <c r="M2013" t="n">
        <v>0</v>
      </c>
      <c r="N2013" t="n">
        <v>0</v>
      </c>
      <c r="O2013" t="n">
        <v>0</v>
      </c>
      <c r="P2013" t="n">
        <v>0</v>
      </c>
      <c r="Q2013" t="n">
        <v>0</v>
      </c>
      <c r="R2013" t="n">
        <v>0</v>
      </c>
      <c r="S2013" t="n">
        <v>0</v>
      </c>
      <c r="T2013" t="n">
        <v>0</v>
      </c>
      <c r="U2013" t="n">
        <v>0</v>
      </c>
      <c r="V2013" s="2" t="inlineStr"/>
    </row>
    <row r="2014" ht="15" customHeight="1">
      <c r="A2014" t="inlineStr">
        <is>
          <t>A 60047-2021</t>
        </is>
      </c>
      <c r="B2014" t="inlineStr">
        <is>
          <t>avverkningsanmälan</t>
        </is>
      </c>
      <c r="C2014" t="inlineStr">
        <is>
          <t>Föryngringsavverkning</t>
        </is>
      </c>
      <c r="D2014" s="1" t="n">
        <v>44495</v>
      </c>
      <c r="E2014" s="1" t="n">
        <v>46309</v>
      </c>
      <c r="F2014" t="inlineStr">
        <is>
          <t>UPPSALA LÄN</t>
        </is>
      </c>
      <c r="G2014" t="inlineStr">
        <is>
          <t>ÖSTHAMMAR</t>
        </is>
      </c>
      <c r="H2014" t="inlineStr">
        <is>
          <t>Övriga Aktiebolag</t>
        </is>
      </c>
      <c r="I2014" t="n">
        <v>1.8</v>
      </c>
      <c r="J2014" t="n">
        <v>0</v>
      </c>
      <c r="K2014" t="n">
        <v>0</v>
      </c>
      <c r="L2014" t="n">
        <v>0</v>
      </c>
      <c r="M2014" t="n">
        <v>0</v>
      </c>
      <c r="N2014" t="n">
        <v>0</v>
      </c>
      <c r="O2014" t="n">
        <v>0</v>
      </c>
      <c r="P2014" t="n">
        <v>0</v>
      </c>
      <c r="Q2014" t="n">
        <v>0</v>
      </c>
      <c r="R2014" t="n">
        <v>0</v>
      </c>
      <c r="S2014" t="n">
        <v>0</v>
      </c>
      <c r="T2014" t="n">
        <v>0</v>
      </c>
      <c r="U2014" t="n">
        <v>0</v>
      </c>
      <c r="V2014" s="2" t="inlineStr"/>
    </row>
    <row r="2015" ht="15" customHeight="1">
      <c r="A2015" t="inlineStr">
        <is>
          <t>A 14943-2026</t>
        </is>
      </c>
      <c r="B2015" t="inlineStr">
        <is>
          <t>avverkningsanmälan</t>
        </is>
      </c>
      <c r="C2015" t="inlineStr">
        <is>
          <t>Föryngringsavverkning</t>
        </is>
      </c>
      <c r="D2015" s="1" t="n">
        <v>46104</v>
      </c>
      <c r="E2015" s="1" t="n">
        <v>46309</v>
      </c>
      <c r="F2015" t="inlineStr">
        <is>
          <t>UPPSALA LÄN</t>
        </is>
      </c>
      <c r="G2015" t="inlineStr">
        <is>
          <t>TIERP</t>
        </is>
      </c>
      <c r="H2015" t="inlineStr">
        <is>
          <t>Bergvik skog öst AB</t>
        </is>
      </c>
      <c r="I2015" t="n">
        <v>6.1</v>
      </c>
      <c r="J2015" t="n">
        <v>0</v>
      </c>
      <c r="K2015" t="n">
        <v>0</v>
      </c>
      <c r="L2015" t="n">
        <v>0</v>
      </c>
      <c r="M2015" t="n">
        <v>0</v>
      </c>
      <c r="N2015" t="n">
        <v>0</v>
      </c>
      <c r="O2015" t="n">
        <v>0</v>
      </c>
      <c r="P2015" t="n">
        <v>0</v>
      </c>
      <c r="Q2015" t="n">
        <v>0</v>
      </c>
      <c r="R2015" t="n">
        <v>0</v>
      </c>
      <c r="S2015" t="n">
        <v>0</v>
      </c>
      <c r="T2015" t="n">
        <v>0</v>
      </c>
      <c r="U2015" t="n">
        <v>0</v>
      </c>
      <c r="V2015" s="2" t="inlineStr"/>
    </row>
    <row r="2016" ht="15" customHeight="1">
      <c r="A2016" t="inlineStr">
        <is>
          <t>A 33191-2023</t>
        </is>
      </c>
      <c r="B2016" t="inlineStr">
        <is>
          <t>avverkningsanmälan</t>
        </is>
      </c>
      <c r="C2016" t="inlineStr">
        <is>
          <t>Föryngringsavverkning</t>
        </is>
      </c>
      <c r="D2016" s="1" t="n">
        <v>45127</v>
      </c>
      <c r="E2016" s="1" t="n">
        <v>46309</v>
      </c>
      <c r="F2016" t="inlineStr">
        <is>
          <t>UPPSALA LÄN</t>
        </is>
      </c>
      <c r="G2016" t="inlineStr">
        <is>
          <t>UPPSALA</t>
        </is>
      </c>
      <c r="I2016" t="n">
        <v>1.3</v>
      </c>
      <c r="J2016" t="n">
        <v>0</v>
      </c>
      <c r="K2016" t="n">
        <v>0</v>
      </c>
      <c r="L2016" t="n">
        <v>0</v>
      </c>
      <c r="M2016" t="n">
        <v>0</v>
      </c>
      <c r="N2016" t="n">
        <v>0</v>
      </c>
      <c r="O2016" t="n">
        <v>0</v>
      </c>
      <c r="P2016" t="n">
        <v>0</v>
      </c>
      <c r="Q2016" t="n">
        <v>0</v>
      </c>
      <c r="R2016" t="n">
        <v>0</v>
      </c>
      <c r="S2016" t="n">
        <v>0</v>
      </c>
      <c r="T2016" t="n">
        <v>0</v>
      </c>
      <c r="U2016" t="n">
        <v>0</v>
      </c>
      <c r="V2016" s="2" t="inlineStr"/>
    </row>
    <row r="2017" ht="15" customHeight="1">
      <c r="A2017" t="inlineStr">
        <is>
          <t>A 30086-2023</t>
        </is>
      </c>
      <c r="B2017" t="inlineStr">
        <is>
          <t>avverkningsanmälan</t>
        </is>
      </c>
      <c r="C2017" t="inlineStr">
        <is>
          <t>Föryngringsavverkning</t>
        </is>
      </c>
      <c r="D2017" s="1" t="n">
        <v>45110</v>
      </c>
      <c r="E2017" s="1" t="n">
        <v>46309</v>
      </c>
      <c r="F2017" t="inlineStr">
        <is>
          <t>UPPSALA LÄN</t>
        </is>
      </c>
      <c r="G2017" t="inlineStr">
        <is>
          <t>ÖSTHAMMAR</t>
        </is>
      </c>
      <c r="I2017" t="n">
        <v>3.5</v>
      </c>
      <c r="J2017" t="n">
        <v>0</v>
      </c>
      <c r="K2017" t="n">
        <v>0</v>
      </c>
      <c r="L2017" t="n">
        <v>0</v>
      </c>
      <c r="M2017" t="n">
        <v>0</v>
      </c>
      <c r="N2017" t="n">
        <v>0</v>
      </c>
      <c r="O2017" t="n">
        <v>0</v>
      </c>
      <c r="P2017" t="n">
        <v>0</v>
      </c>
      <c r="Q2017" t="n">
        <v>0</v>
      </c>
      <c r="R2017" t="n">
        <v>0</v>
      </c>
      <c r="S2017" t="n">
        <v>0</v>
      </c>
      <c r="T2017" t="n">
        <v>0</v>
      </c>
      <c r="U2017" t="n">
        <v>0</v>
      </c>
      <c r="V2017" s="2" t="inlineStr"/>
    </row>
    <row r="2018" ht="15" customHeight="1">
      <c r="A2018" t="inlineStr">
        <is>
          <t>A 46186-2023</t>
        </is>
      </c>
      <c r="B2018" t="inlineStr">
        <is>
          <t>avverkningsanmälan</t>
        </is>
      </c>
      <c r="C2018" t="inlineStr">
        <is>
          <t>Föryngringsavverkning</t>
        </is>
      </c>
      <c r="D2018" s="1" t="n">
        <v>45196</v>
      </c>
      <c r="E2018" s="1" t="n">
        <v>46309</v>
      </c>
      <c r="F2018" t="inlineStr">
        <is>
          <t>UPPSALA LÄN</t>
        </is>
      </c>
      <c r="G2018" t="inlineStr">
        <is>
          <t>ENKÖPING</t>
        </is>
      </c>
      <c r="I2018" t="n">
        <v>0.8</v>
      </c>
      <c r="J2018" t="n">
        <v>0</v>
      </c>
      <c r="K2018" t="n">
        <v>0</v>
      </c>
      <c r="L2018" t="n">
        <v>0</v>
      </c>
      <c r="M2018" t="n">
        <v>0</v>
      </c>
      <c r="N2018" t="n">
        <v>0</v>
      </c>
      <c r="O2018" t="n">
        <v>0</v>
      </c>
      <c r="P2018" t="n">
        <v>0</v>
      </c>
      <c r="Q2018" t="n">
        <v>0</v>
      </c>
      <c r="R2018" t="n">
        <v>0</v>
      </c>
      <c r="S2018" t="n">
        <v>0</v>
      </c>
      <c r="T2018" t="n">
        <v>0</v>
      </c>
      <c r="U2018" t="n">
        <v>0</v>
      </c>
      <c r="V2018" s="2" t="inlineStr"/>
    </row>
    <row r="2019" ht="15" customHeight="1">
      <c r="A2019" t="inlineStr">
        <is>
          <t>A 15162-2025</t>
        </is>
      </c>
      <c r="B2019" t="inlineStr">
        <is>
          <t>avverkningsanmälan</t>
        </is>
      </c>
      <c r="C2019" t="inlineStr">
        <is>
          <t>Föryngringsavverkning</t>
        </is>
      </c>
      <c r="D2019" s="1" t="n">
        <v>45744</v>
      </c>
      <c r="E2019" s="1" t="n">
        <v>46309</v>
      </c>
      <c r="F2019" t="inlineStr">
        <is>
          <t>UPPSALA LÄN</t>
        </is>
      </c>
      <c r="G2019" t="inlineStr">
        <is>
          <t>ENKÖPING</t>
        </is>
      </c>
      <c r="I2019" t="n">
        <v>4.2</v>
      </c>
      <c r="J2019" t="n">
        <v>0</v>
      </c>
      <c r="K2019" t="n">
        <v>0</v>
      </c>
      <c r="L2019" t="n">
        <v>0</v>
      </c>
      <c r="M2019" t="n">
        <v>0</v>
      </c>
      <c r="N2019" t="n">
        <v>0</v>
      </c>
      <c r="O2019" t="n">
        <v>0</v>
      </c>
      <c r="P2019" t="n">
        <v>0</v>
      </c>
      <c r="Q2019" t="n">
        <v>0</v>
      </c>
      <c r="R2019" t="n">
        <v>0</v>
      </c>
      <c r="S2019" t="n">
        <v>0</v>
      </c>
      <c r="T2019" t="n">
        <v>0</v>
      </c>
      <c r="U2019" t="n">
        <v>0</v>
      </c>
      <c r="V2019" s="2" t="inlineStr"/>
    </row>
    <row r="2020" ht="15" customHeight="1">
      <c r="A2020" t="inlineStr">
        <is>
          <t>A 51082-2023</t>
        </is>
      </c>
      <c r="B2020" t="inlineStr">
        <is>
          <t>avverkningsanmälan</t>
        </is>
      </c>
      <c r="C2020" t="inlineStr">
        <is>
          <t>Föryngringsavverkning</t>
        </is>
      </c>
      <c r="D2020" s="1" t="n">
        <v>45218</v>
      </c>
      <c r="E2020" s="1" t="n">
        <v>46309</v>
      </c>
      <c r="F2020" t="inlineStr">
        <is>
          <t>UPPSALA LÄN</t>
        </is>
      </c>
      <c r="G2020" t="inlineStr">
        <is>
          <t>HEBY</t>
        </is>
      </c>
      <c r="I2020" t="n">
        <v>1.7</v>
      </c>
      <c r="J2020" t="n">
        <v>0</v>
      </c>
      <c r="K2020" t="n">
        <v>0</v>
      </c>
      <c r="L2020" t="n">
        <v>0</v>
      </c>
      <c r="M2020" t="n">
        <v>0</v>
      </c>
      <c r="N2020" t="n">
        <v>0</v>
      </c>
      <c r="O2020" t="n">
        <v>0</v>
      </c>
      <c r="P2020" t="n">
        <v>0</v>
      </c>
      <c r="Q2020" t="n">
        <v>0</v>
      </c>
      <c r="R2020" t="n">
        <v>0</v>
      </c>
      <c r="S2020" t="n">
        <v>0</v>
      </c>
      <c r="T2020" t="n">
        <v>0</v>
      </c>
      <c r="U2020" t="n">
        <v>0</v>
      </c>
      <c r="V2020" s="2" t="inlineStr"/>
    </row>
    <row r="2021" ht="15" customHeight="1">
      <c r="A2021" t="inlineStr">
        <is>
          <t>A 51091-2023</t>
        </is>
      </c>
      <c r="B2021" t="inlineStr">
        <is>
          <t>avverkningsanmälan</t>
        </is>
      </c>
      <c r="C2021" t="inlineStr">
        <is>
          <t>Avverkning för annat ändamål</t>
        </is>
      </c>
      <c r="D2021" s="1" t="n">
        <v>45218</v>
      </c>
      <c r="E2021" s="1" t="n">
        <v>46309</v>
      </c>
      <c r="F2021" t="inlineStr">
        <is>
          <t>UPPSALA LÄN</t>
        </is>
      </c>
      <c r="G2021" t="inlineStr">
        <is>
          <t>HEBY</t>
        </is>
      </c>
      <c r="I2021" t="n">
        <v>0.9</v>
      </c>
      <c r="J2021" t="n">
        <v>0</v>
      </c>
      <c r="K2021" t="n">
        <v>0</v>
      </c>
      <c r="L2021" t="n">
        <v>0</v>
      </c>
      <c r="M2021" t="n">
        <v>0</v>
      </c>
      <c r="N2021" t="n">
        <v>0</v>
      </c>
      <c r="O2021" t="n">
        <v>0</v>
      </c>
      <c r="P2021" t="n">
        <v>0</v>
      </c>
      <c r="Q2021" t="n">
        <v>0</v>
      </c>
      <c r="R2021" t="n">
        <v>0</v>
      </c>
      <c r="S2021" t="n">
        <v>0</v>
      </c>
      <c r="T2021" t="n">
        <v>0</v>
      </c>
      <c r="U2021" t="n">
        <v>0</v>
      </c>
      <c r="V2021" s="2" t="inlineStr"/>
    </row>
    <row r="2022" ht="15" customHeight="1">
      <c r="A2022" t="inlineStr">
        <is>
          <t>A 66293-2021</t>
        </is>
      </c>
      <c r="B2022" t="inlineStr">
        <is>
          <t>avverkningsanmälan</t>
        </is>
      </c>
      <c r="C2022" t="inlineStr">
        <is>
          <t>Föryngringsavverkning</t>
        </is>
      </c>
      <c r="D2022" s="1" t="n">
        <v>44518</v>
      </c>
      <c r="E2022" s="1" t="n">
        <v>46309</v>
      </c>
      <c r="F2022" t="inlineStr">
        <is>
          <t>UPPSALA LÄN</t>
        </is>
      </c>
      <c r="G2022" t="inlineStr">
        <is>
          <t>KNIVSTA</t>
        </is>
      </c>
      <c r="I2022" t="n">
        <v>2.6</v>
      </c>
      <c r="J2022" t="n">
        <v>0</v>
      </c>
      <c r="K2022" t="n">
        <v>0</v>
      </c>
      <c r="L2022" t="n">
        <v>0</v>
      </c>
      <c r="M2022" t="n">
        <v>0</v>
      </c>
      <c r="N2022" t="n">
        <v>0</v>
      </c>
      <c r="O2022" t="n">
        <v>0</v>
      </c>
      <c r="P2022" t="n">
        <v>0</v>
      </c>
      <c r="Q2022" t="n">
        <v>0</v>
      </c>
      <c r="R2022" t="n">
        <v>0</v>
      </c>
      <c r="S2022" t="n">
        <v>0</v>
      </c>
      <c r="T2022" t="n">
        <v>0</v>
      </c>
      <c r="U2022" t="n">
        <v>0</v>
      </c>
      <c r="V2022" s="2" t="inlineStr"/>
    </row>
    <row r="2023" ht="15" customHeight="1">
      <c r="A2023" t="inlineStr">
        <is>
          <t>A 19139-2023</t>
        </is>
      </c>
      <c r="B2023" t="inlineStr">
        <is>
          <t>avverkningsanmälan</t>
        </is>
      </c>
      <c r="C2023" t="inlineStr">
        <is>
          <t>Föryngringsavverkning</t>
        </is>
      </c>
      <c r="D2023" s="1" t="n">
        <v>45048</v>
      </c>
      <c r="E2023" s="1" t="n">
        <v>46309</v>
      </c>
      <c r="F2023" t="inlineStr">
        <is>
          <t>UPPSALA LÄN</t>
        </is>
      </c>
      <c r="G2023" t="inlineStr">
        <is>
          <t>UPPSALA</t>
        </is>
      </c>
      <c r="I2023" t="n">
        <v>3</v>
      </c>
      <c r="J2023" t="n">
        <v>0</v>
      </c>
      <c r="K2023" t="n">
        <v>0</v>
      </c>
      <c r="L2023" t="n">
        <v>0</v>
      </c>
      <c r="M2023" t="n">
        <v>0</v>
      </c>
      <c r="N2023" t="n">
        <v>0</v>
      </c>
      <c r="O2023" t="n">
        <v>0</v>
      </c>
      <c r="P2023" t="n">
        <v>0</v>
      </c>
      <c r="Q2023" t="n">
        <v>0</v>
      </c>
      <c r="R2023" t="n">
        <v>0</v>
      </c>
      <c r="S2023" t="n">
        <v>0</v>
      </c>
      <c r="T2023" t="n">
        <v>0</v>
      </c>
      <c r="U2023" t="n">
        <v>0</v>
      </c>
      <c r="V2023" s="2" t="inlineStr"/>
    </row>
    <row r="2024" ht="15" customHeight="1">
      <c r="A2024" t="inlineStr">
        <is>
          <t>A 18299-2025</t>
        </is>
      </c>
      <c r="B2024" t="inlineStr">
        <is>
          <t>avverkningsanmälan</t>
        </is>
      </c>
      <c r="C2024" t="inlineStr">
        <is>
          <t>Föryngringsavverkning</t>
        </is>
      </c>
      <c r="D2024" s="1" t="n">
        <v>45762</v>
      </c>
      <c r="E2024" s="1" t="n">
        <v>46309</v>
      </c>
      <c r="F2024" t="inlineStr">
        <is>
          <t>UPPSALA LÄN</t>
        </is>
      </c>
      <c r="G2024" t="inlineStr">
        <is>
          <t>ENKÖPING</t>
        </is>
      </c>
      <c r="I2024" t="n">
        <v>0.6</v>
      </c>
      <c r="J2024" t="n">
        <v>0</v>
      </c>
      <c r="K2024" t="n">
        <v>0</v>
      </c>
      <c r="L2024" t="n">
        <v>0</v>
      </c>
      <c r="M2024" t="n">
        <v>0</v>
      </c>
      <c r="N2024" t="n">
        <v>0</v>
      </c>
      <c r="O2024" t="n">
        <v>0</v>
      </c>
      <c r="P2024" t="n">
        <v>0</v>
      </c>
      <c r="Q2024" t="n">
        <v>0</v>
      </c>
      <c r="R2024" t="n">
        <v>0</v>
      </c>
      <c r="S2024" t="n">
        <v>0</v>
      </c>
      <c r="T2024" t="n">
        <v>0</v>
      </c>
      <c r="U2024" t="n">
        <v>0</v>
      </c>
      <c r="V2024" s="2" t="inlineStr"/>
    </row>
    <row r="2025" ht="15" customHeight="1">
      <c r="A2025" t="inlineStr">
        <is>
          <t>A 15935-2026</t>
        </is>
      </c>
      <c r="B2025" t="inlineStr">
        <is>
          <t>avverkningsanmälan</t>
        </is>
      </c>
      <c r="C2025" t="inlineStr">
        <is>
          <t>Föryngringsavverkning</t>
        </is>
      </c>
      <c r="D2025" s="1" t="n">
        <v>46107</v>
      </c>
      <c r="E2025" s="1" t="n">
        <v>46309</v>
      </c>
      <c r="F2025" t="inlineStr">
        <is>
          <t>UPPSALA LÄN</t>
        </is>
      </c>
      <c r="G2025" t="inlineStr">
        <is>
          <t>UPPSALA</t>
        </is>
      </c>
      <c r="I2025" t="n">
        <v>1.7</v>
      </c>
      <c r="J2025" t="n">
        <v>0</v>
      </c>
      <c r="K2025" t="n">
        <v>0</v>
      </c>
      <c r="L2025" t="n">
        <v>0</v>
      </c>
      <c r="M2025" t="n">
        <v>0</v>
      </c>
      <c r="N2025" t="n">
        <v>0</v>
      </c>
      <c r="O2025" t="n">
        <v>0</v>
      </c>
      <c r="P2025" t="n">
        <v>0</v>
      </c>
      <c r="Q2025" t="n">
        <v>0</v>
      </c>
      <c r="R2025" t="n">
        <v>0</v>
      </c>
      <c r="S2025" t="n">
        <v>0</v>
      </c>
      <c r="T2025" t="n">
        <v>0</v>
      </c>
      <c r="U2025" t="n">
        <v>0</v>
      </c>
      <c r="V2025" s="2" t="inlineStr"/>
    </row>
    <row r="2026" ht="15" customHeight="1">
      <c r="A2026" t="inlineStr">
        <is>
          <t>A 19172-2023</t>
        </is>
      </c>
      <c r="B2026" t="inlineStr">
        <is>
          <t>avverkningsanmälan</t>
        </is>
      </c>
      <c r="C2026" t="inlineStr">
        <is>
          <t>Avverkning för annat ändamål</t>
        </is>
      </c>
      <c r="D2026" s="1" t="n">
        <v>45046</v>
      </c>
      <c r="E2026" s="1" t="n">
        <v>46309</v>
      </c>
      <c r="F2026" t="inlineStr">
        <is>
          <t>UPPSALA LÄN</t>
        </is>
      </c>
      <c r="G2026" t="inlineStr">
        <is>
          <t>TIERP</t>
        </is>
      </c>
      <c r="I2026" t="n">
        <v>1</v>
      </c>
      <c r="J2026" t="n">
        <v>0</v>
      </c>
      <c r="K2026" t="n">
        <v>0</v>
      </c>
      <c r="L2026" t="n">
        <v>0</v>
      </c>
      <c r="M2026" t="n">
        <v>0</v>
      </c>
      <c r="N2026" t="n">
        <v>0</v>
      </c>
      <c r="O2026" t="n">
        <v>0</v>
      </c>
      <c r="P2026" t="n">
        <v>0</v>
      </c>
      <c r="Q2026" t="n">
        <v>0</v>
      </c>
      <c r="R2026" t="n">
        <v>0</v>
      </c>
      <c r="S2026" t="n">
        <v>0</v>
      </c>
      <c r="T2026" t="n">
        <v>0</v>
      </c>
      <c r="U2026" t="n">
        <v>0</v>
      </c>
      <c r="V2026" s="2" t="inlineStr"/>
    </row>
    <row r="2027" ht="15" customHeight="1">
      <c r="A2027" t="inlineStr">
        <is>
          <t>A 15940-2026</t>
        </is>
      </c>
      <c r="B2027" t="inlineStr">
        <is>
          <t>avverkningsanmälan</t>
        </is>
      </c>
      <c r="C2027" t="inlineStr">
        <is>
          <t>Föryngringsavverkning</t>
        </is>
      </c>
      <c r="D2027" s="1" t="n">
        <v>46107</v>
      </c>
      <c r="E2027" s="1" t="n">
        <v>46309</v>
      </c>
      <c r="F2027" t="inlineStr">
        <is>
          <t>UPPSALA LÄN</t>
        </is>
      </c>
      <c r="G2027" t="inlineStr">
        <is>
          <t>UPPSALA</t>
        </is>
      </c>
      <c r="I2027" t="n">
        <v>19.9</v>
      </c>
      <c r="J2027" t="n">
        <v>0</v>
      </c>
      <c r="K2027" t="n">
        <v>0</v>
      </c>
      <c r="L2027" t="n">
        <v>0</v>
      </c>
      <c r="M2027" t="n">
        <v>0</v>
      </c>
      <c r="N2027" t="n">
        <v>0</v>
      </c>
      <c r="O2027" t="n">
        <v>0</v>
      </c>
      <c r="P2027" t="n">
        <v>0</v>
      </c>
      <c r="Q2027" t="n">
        <v>0</v>
      </c>
      <c r="R2027" t="n">
        <v>0</v>
      </c>
      <c r="S2027" t="n">
        <v>0</v>
      </c>
      <c r="T2027" t="n">
        <v>0</v>
      </c>
      <c r="U2027" t="n">
        <v>0</v>
      </c>
      <c r="V2027" s="2" t="inlineStr"/>
    </row>
    <row r="2028" ht="15" customHeight="1">
      <c r="A2028" t="inlineStr">
        <is>
          <t>A 11008-2023</t>
        </is>
      </c>
      <c r="B2028" t="inlineStr">
        <is>
          <t>avverkningsanmälan</t>
        </is>
      </c>
      <c r="C2028" t="inlineStr">
        <is>
          <t>Föryngringsavverkning</t>
        </is>
      </c>
      <c r="D2028" s="1" t="n">
        <v>44991</v>
      </c>
      <c r="E2028" s="1" t="n">
        <v>46309</v>
      </c>
      <c r="F2028" t="inlineStr">
        <is>
          <t>UPPSALA LÄN</t>
        </is>
      </c>
      <c r="G2028" t="inlineStr">
        <is>
          <t>ÖSTHAMMAR</t>
        </is>
      </c>
      <c r="H2028" t="inlineStr">
        <is>
          <t>Bergvik skog öst AB</t>
        </is>
      </c>
      <c r="I2028" t="n">
        <v>0.6</v>
      </c>
      <c r="J2028" t="n">
        <v>0</v>
      </c>
      <c r="K2028" t="n">
        <v>0</v>
      </c>
      <c r="L2028" t="n">
        <v>0</v>
      </c>
      <c r="M2028" t="n">
        <v>0</v>
      </c>
      <c r="N2028" t="n">
        <v>0</v>
      </c>
      <c r="O2028" t="n">
        <v>0</v>
      </c>
      <c r="P2028" t="n">
        <v>0</v>
      </c>
      <c r="Q2028" t="n">
        <v>0</v>
      </c>
      <c r="R2028" t="n">
        <v>0</v>
      </c>
      <c r="S2028" t="n">
        <v>0</v>
      </c>
      <c r="T2028" t="n">
        <v>0</v>
      </c>
      <c r="U2028" t="n">
        <v>0</v>
      </c>
      <c r="V2028" s="2" t="inlineStr"/>
    </row>
    <row r="2029" ht="15" customHeight="1">
      <c r="A2029" t="inlineStr">
        <is>
          <t>A 15753-2026</t>
        </is>
      </c>
      <c r="B2029" t="inlineStr">
        <is>
          <t>avverkningsanmälan</t>
        </is>
      </c>
      <c r="C2029" t="inlineStr">
        <is>
          <t>Föryngringsavverkning</t>
        </is>
      </c>
      <c r="D2029" s="1" t="n">
        <v>46107</v>
      </c>
      <c r="E2029" s="1" t="n">
        <v>46309</v>
      </c>
      <c r="F2029" t="inlineStr">
        <is>
          <t>UPPSALA LÄN</t>
        </is>
      </c>
      <c r="G2029" t="inlineStr">
        <is>
          <t>UPPSALA</t>
        </is>
      </c>
      <c r="H2029" t="inlineStr">
        <is>
          <t>Allmännings- och besparingsskogar</t>
        </is>
      </c>
      <c r="I2029" t="n">
        <v>2.7</v>
      </c>
      <c r="J2029" t="n">
        <v>0</v>
      </c>
      <c r="K2029" t="n">
        <v>0</v>
      </c>
      <c r="L2029" t="n">
        <v>0</v>
      </c>
      <c r="M2029" t="n">
        <v>0</v>
      </c>
      <c r="N2029" t="n">
        <v>0</v>
      </c>
      <c r="O2029" t="n">
        <v>0</v>
      </c>
      <c r="P2029" t="n">
        <v>0</v>
      </c>
      <c r="Q2029" t="n">
        <v>0</v>
      </c>
      <c r="R2029" t="n">
        <v>0</v>
      </c>
      <c r="S2029" t="n">
        <v>0</v>
      </c>
      <c r="T2029" t="n">
        <v>0</v>
      </c>
      <c r="U2029" t="n">
        <v>0</v>
      </c>
      <c r="V2029" s="2" t="inlineStr"/>
      <c r="Z2029">
        <f>HYPERLINK("https://klasma.github.io/Logging_0380/knärot/A 15753-2026 karta knärot.png", "A 15753-2026")</f>
        <v/>
      </c>
      <c r="AA2029">
        <f>HYPERLINK("https://klasma.github.io/Logging_0380/klagomål/A 15753-2026 FSC-klagomål.docx", "A 15753-2026")</f>
        <v/>
      </c>
      <c r="AB2029">
        <f>HYPERLINK("https://klasma.github.io/Logging_0380/klagomålsmail/A 15753-2026 FSC-klagomål mail.docx", "A 15753-2026")</f>
        <v/>
      </c>
      <c r="AC2029">
        <f>HYPERLINK("https://klasma.github.io/Logging_0380/tillsyn/A 15753-2026 tillsynsbegäran.docx", "A 15753-2026")</f>
        <v/>
      </c>
      <c r="AD2029">
        <f>HYPERLINK("https://klasma.github.io/Logging_0380/tillsynsmail/A 15753-2026 tillsynsbegäran mail.docx", "A 15753-2026")</f>
        <v/>
      </c>
    </row>
    <row r="2030" ht="15" customHeight="1">
      <c r="A2030" t="inlineStr">
        <is>
          <t>A 15547-2026</t>
        </is>
      </c>
      <c r="B2030" t="inlineStr">
        <is>
          <t>avverkningsanmälan</t>
        </is>
      </c>
      <c r="C2030" t="inlineStr">
        <is>
          <t>Föryngringsavverkning</t>
        </is>
      </c>
      <c r="D2030" s="1" t="n">
        <v>46106</v>
      </c>
      <c r="E2030" s="1" t="n">
        <v>46309</v>
      </c>
      <c r="F2030" t="inlineStr">
        <is>
          <t>UPPSALA LÄN</t>
        </is>
      </c>
      <c r="G2030" t="inlineStr">
        <is>
          <t>ENKÖPING</t>
        </is>
      </c>
      <c r="I2030" t="n">
        <v>0.7</v>
      </c>
      <c r="J2030" t="n">
        <v>0</v>
      </c>
      <c r="K2030" t="n">
        <v>0</v>
      </c>
      <c r="L2030" t="n">
        <v>0</v>
      </c>
      <c r="M2030" t="n">
        <v>0</v>
      </c>
      <c r="N2030" t="n">
        <v>0</v>
      </c>
      <c r="O2030" t="n">
        <v>0</v>
      </c>
      <c r="P2030" t="n">
        <v>0</v>
      </c>
      <c r="Q2030" t="n">
        <v>0</v>
      </c>
      <c r="R2030" t="n">
        <v>0</v>
      </c>
      <c r="S2030" t="n">
        <v>0</v>
      </c>
      <c r="T2030" t="n">
        <v>0</v>
      </c>
      <c r="U2030" t="n">
        <v>0</v>
      </c>
      <c r="V2030" s="2" t="inlineStr"/>
    </row>
    <row r="2031" ht="15" customHeight="1">
      <c r="A2031" t="inlineStr">
        <is>
          <t>A 15478-2026</t>
        </is>
      </c>
      <c r="B2031" t="inlineStr">
        <is>
          <t>avverkningsanmälan</t>
        </is>
      </c>
      <c r="C2031" t="inlineStr">
        <is>
          <t>Föryngringsavverkning</t>
        </is>
      </c>
      <c r="D2031" s="1" t="n">
        <v>46106</v>
      </c>
      <c r="E2031" s="1" t="n">
        <v>46309</v>
      </c>
      <c r="F2031" t="inlineStr">
        <is>
          <t>UPPSALA LÄN</t>
        </is>
      </c>
      <c r="G2031" t="inlineStr">
        <is>
          <t>ÖSTHAMMAR</t>
        </is>
      </c>
      <c r="I2031" t="n">
        <v>0.4</v>
      </c>
      <c r="J2031" t="n">
        <v>0</v>
      </c>
      <c r="K2031" t="n">
        <v>0</v>
      </c>
      <c r="L2031" t="n">
        <v>0</v>
      </c>
      <c r="M2031" t="n">
        <v>0</v>
      </c>
      <c r="N2031" t="n">
        <v>0</v>
      </c>
      <c r="O2031" t="n">
        <v>0</v>
      </c>
      <c r="P2031" t="n">
        <v>0</v>
      </c>
      <c r="Q2031" t="n">
        <v>0</v>
      </c>
      <c r="R2031" t="n">
        <v>0</v>
      </c>
      <c r="S2031" t="n">
        <v>0</v>
      </c>
      <c r="T2031" t="n">
        <v>0</v>
      </c>
      <c r="U2031" t="n">
        <v>0</v>
      </c>
      <c r="V2031" s="2" t="inlineStr"/>
    </row>
    <row r="2032" ht="15" customHeight="1">
      <c r="A2032" t="inlineStr">
        <is>
          <t>A 15607-2026</t>
        </is>
      </c>
      <c r="B2032" t="inlineStr">
        <is>
          <t>avverkningsanmälan</t>
        </is>
      </c>
      <c r="C2032" t="inlineStr">
        <is>
          <t>Föryngringsavverkning</t>
        </is>
      </c>
      <c r="D2032" s="1" t="n">
        <v>46106</v>
      </c>
      <c r="E2032" s="1" t="n">
        <v>46309</v>
      </c>
      <c r="F2032" t="inlineStr">
        <is>
          <t>UPPSALA LÄN</t>
        </is>
      </c>
      <c r="G2032" t="inlineStr">
        <is>
          <t>HÅBO</t>
        </is>
      </c>
      <c r="H2032" t="inlineStr">
        <is>
          <t>Övriga statliga verk och myndigheter</t>
        </is>
      </c>
      <c r="I2032" t="n">
        <v>1.5</v>
      </c>
      <c r="J2032" t="n">
        <v>0</v>
      </c>
      <c r="K2032" t="n">
        <v>0</v>
      </c>
      <c r="L2032" t="n">
        <v>0</v>
      </c>
      <c r="M2032" t="n">
        <v>0</v>
      </c>
      <c r="N2032" t="n">
        <v>0</v>
      </c>
      <c r="O2032" t="n">
        <v>0</v>
      </c>
      <c r="P2032" t="n">
        <v>0</v>
      </c>
      <c r="Q2032" t="n">
        <v>0</v>
      </c>
      <c r="R2032" t="n">
        <v>0</v>
      </c>
      <c r="S2032" t="n">
        <v>0</v>
      </c>
      <c r="T2032" t="n">
        <v>0</v>
      </c>
      <c r="U2032" t="n">
        <v>0</v>
      </c>
      <c r="V2032" s="2" t="inlineStr"/>
    </row>
    <row r="2033" ht="15" customHeight="1">
      <c r="A2033" t="inlineStr">
        <is>
          <t>A 16359-2026</t>
        </is>
      </c>
      <c r="B2033" t="inlineStr">
        <is>
          <t>avverkningsanmälan</t>
        </is>
      </c>
      <c r="C2033" t="inlineStr">
        <is>
          <t>Föryngringsavverkning</t>
        </is>
      </c>
      <c r="D2033" s="1" t="n">
        <v>46111</v>
      </c>
      <c r="E2033" s="1" t="n">
        <v>46309</v>
      </c>
      <c r="F2033" t="inlineStr">
        <is>
          <t>UPPSALA LÄN</t>
        </is>
      </c>
      <c r="G2033" t="inlineStr">
        <is>
          <t>ÖSTHAMMAR</t>
        </is>
      </c>
      <c r="I2033" t="n">
        <v>2.6</v>
      </c>
      <c r="J2033" t="n">
        <v>0</v>
      </c>
      <c r="K2033" t="n">
        <v>0</v>
      </c>
      <c r="L2033" t="n">
        <v>0</v>
      </c>
      <c r="M2033" t="n">
        <v>0</v>
      </c>
      <c r="N2033" t="n">
        <v>0</v>
      </c>
      <c r="O2033" t="n">
        <v>0</v>
      </c>
      <c r="P2033" t="n">
        <v>0</v>
      </c>
      <c r="Q2033" t="n">
        <v>0</v>
      </c>
      <c r="R2033" t="n">
        <v>0</v>
      </c>
      <c r="S2033" t="n">
        <v>0</v>
      </c>
      <c r="T2033" t="n">
        <v>0</v>
      </c>
      <c r="U2033" t="n">
        <v>0</v>
      </c>
      <c r="V2033" s="2" t="inlineStr"/>
    </row>
    <row r="2034" ht="15" customHeight="1">
      <c r="A2034" t="inlineStr">
        <is>
          <t>A 54737-2023</t>
        </is>
      </c>
      <c r="B2034" t="inlineStr">
        <is>
          <t>avverkningsanmälan</t>
        </is>
      </c>
      <c r="C2034" t="inlineStr">
        <is>
          <t>Föryngringsavverkning</t>
        </is>
      </c>
      <c r="D2034" s="1" t="n">
        <v>45229</v>
      </c>
      <c r="E2034" s="1" t="n">
        <v>46309</v>
      </c>
      <c r="F2034" t="inlineStr">
        <is>
          <t>UPPSALA LÄN</t>
        </is>
      </c>
      <c r="G2034" t="inlineStr">
        <is>
          <t>TIERP</t>
        </is>
      </c>
      <c r="H2034" t="inlineStr">
        <is>
          <t>Bergvik skog väst AB</t>
        </is>
      </c>
      <c r="I2034" t="n">
        <v>2</v>
      </c>
      <c r="J2034" t="n">
        <v>0</v>
      </c>
      <c r="K2034" t="n">
        <v>0</v>
      </c>
      <c r="L2034" t="n">
        <v>0</v>
      </c>
      <c r="M2034" t="n">
        <v>0</v>
      </c>
      <c r="N2034" t="n">
        <v>0</v>
      </c>
      <c r="O2034" t="n">
        <v>0</v>
      </c>
      <c r="P2034" t="n">
        <v>0</v>
      </c>
      <c r="Q2034" t="n">
        <v>0</v>
      </c>
      <c r="R2034" t="n">
        <v>0</v>
      </c>
      <c r="S2034" t="n">
        <v>0</v>
      </c>
      <c r="T2034" t="n">
        <v>0</v>
      </c>
      <c r="U2034" t="n">
        <v>0</v>
      </c>
      <c r="V2034" s="2" t="inlineStr"/>
    </row>
    <row r="2035" ht="15" customHeight="1">
      <c r="A2035" t="inlineStr">
        <is>
          <t>A 16020-2026</t>
        </is>
      </c>
      <c r="B2035" t="inlineStr">
        <is>
          <t>avverkningsanmälan</t>
        </is>
      </c>
      <c r="C2035" t="inlineStr">
        <is>
          <t>Föryngringsavverkning</t>
        </is>
      </c>
      <c r="D2035" s="1" t="n">
        <v>46108</v>
      </c>
      <c r="E2035" s="1" t="n">
        <v>46309</v>
      </c>
      <c r="F2035" t="inlineStr">
        <is>
          <t>UPPSALA LÄN</t>
        </is>
      </c>
      <c r="G2035" t="inlineStr">
        <is>
          <t>TIERP</t>
        </is>
      </c>
      <c r="H2035" t="inlineStr">
        <is>
          <t>Bergvik skog öst AB</t>
        </is>
      </c>
      <c r="I2035" t="n">
        <v>4.3</v>
      </c>
      <c r="J2035" t="n">
        <v>0</v>
      </c>
      <c r="K2035" t="n">
        <v>0</v>
      </c>
      <c r="L2035" t="n">
        <v>0</v>
      </c>
      <c r="M2035" t="n">
        <v>0</v>
      </c>
      <c r="N2035" t="n">
        <v>0</v>
      </c>
      <c r="O2035" t="n">
        <v>0</v>
      </c>
      <c r="P2035" t="n">
        <v>0</v>
      </c>
      <c r="Q2035" t="n">
        <v>0</v>
      </c>
      <c r="R2035" t="n">
        <v>0</v>
      </c>
      <c r="S2035" t="n">
        <v>0</v>
      </c>
      <c r="T2035" t="n">
        <v>0</v>
      </c>
      <c r="U2035" t="n">
        <v>0</v>
      </c>
      <c r="V2035" s="2" t="inlineStr"/>
    </row>
    <row r="2036" ht="15" customHeight="1">
      <c r="A2036" t="inlineStr">
        <is>
          <t>A 15966-2026</t>
        </is>
      </c>
      <c r="B2036" t="inlineStr">
        <is>
          <t>avverkningsanmälan</t>
        </is>
      </c>
      <c r="C2036" t="inlineStr">
        <is>
          <t>Föryngringsavverkning</t>
        </is>
      </c>
      <c r="D2036" s="1" t="n">
        <v>46108</v>
      </c>
      <c r="E2036" s="1" t="n">
        <v>46309</v>
      </c>
      <c r="F2036" t="inlineStr">
        <is>
          <t>UPPSALA LÄN</t>
        </is>
      </c>
      <c r="G2036" t="inlineStr">
        <is>
          <t>TIERP</t>
        </is>
      </c>
      <c r="H2036" t="inlineStr">
        <is>
          <t>Bergvik skog öst AB</t>
        </is>
      </c>
      <c r="I2036" t="n">
        <v>2.4</v>
      </c>
      <c r="J2036" t="n">
        <v>0</v>
      </c>
      <c r="K2036" t="n">
        <v>0</v>
      </c>
      <c r="L2036" t="n">
        <v>0</v>
      </c>
      <c r="M2036" t="n">
        <v>0</v>
      </c>
      <c r="N2036" t="n">
        <v>0</v>
      </c>
      <c r="O2036" t="n">
        <v>0</v>
      </c>
      <c r="P2036" t="n">
        <v>0</v>
      </c>
      <c r="Q2036" t="n">
        <v>0</v>
      </c>
      <c r="R2036" t="n">
        <v>0</v>
      </c>
      <c r="S2036" t="n">
        <v>0</v>
      </c>
      <c r="T2036" t="n">
        <v>0</v>
      </c>
      <c r="U2036" t="n">
        <v>0</v>
      </c>
      <c r="V2036" s="2" t="inlineStr"/>
    </row>
    <row r="2037" ht="15" customHeight="1">
      <c r="A2037" t="inlineStr">
        <is>
          <t>A 16042-2026</t>
        </is>
      </c>
      <c r="B2037" t="inlineStr">
        <is>
          <t>avverkningsanmälan</t>
        </is>
      </c>
      <c r="C2037" t="inlineStr">
        <is>
          <t>Föryngringsavverkning</t>
        </is>
      </c>
      <c r="D2037" s="1" t="n">
        <v>46108</v>
      </c>
      <c r="E2037" s="1" t="n">
        <v>46309</v>
      </c>
      <c r="F2037" t="inlineStr">
        <is>
          <t>UPPSALA LÄN</t>
        </is>
      </c>
      <c r="G2037" t="inlineStr">
        <is>
          <t>ÖSTHAMMAR</t>
        </is>
      </c>
      <c r="I2037" t="n">
        <v>0.8</v>
      </c>
      <c r="J2037" t="n">
        <v>0</v>
      </c>
      <c r="K2037" t="n">
        <v>0</v>
      </c>
      <c r="L2037" t="n">
        <v>0</v>
      </c>
      <c r="M2037" t="n">
        <v>0</v>
      </c>
      <c r="N2037" t="n">
        <v>0</v>
      </c>
      <c r="O2037" t="n">
        <v>0</v>
      </c>
      <c r="P2037" t="n">
        <v>0</v>
      </c>
      <c r="Q2037" t="n">
        <v>0</v>
      </c>
      <c r="R2037" t="n">
        <v>0</v>
      </c>
      <c r="S2037" t="n">
        <v>0</v>
      </c>
      <c r="T2037" t="n">
        <v>0</v>
      </c>
      <c r="U2037" t="n">
        <v>0</v>
      </c>
      <c r="V2037" s="2" t="inlineStr"/>
    </row>
    <row r="2038" ht="15" customHeight="1">
      <c r="A2038" t="inlineStr">
        <is>
          <t>A 6144-2024</t>
        </is>
      </c>
      <c r="B2038" t="inlineStr">
        <is>
          <t>avverkningsanmälan</t>
        </is>
      </c>
      <c r="C2038" t="inlineStr">
        <is>
          <t>Föryngringsavverkning</t>
        </is>
      </c>
      <c r="D2038" s="1" t="n">
        <v>45337</v>
      </c>
      <c r="E2038" s="1" t="n">
        <v>46309</v>
      </c>
      <c r="F2038" t="inlineStr">
        <is>
          <t>UPPSALA LÄN</t>
        </is>
      </c>
      <c r="G2038" t="inlineStr">
        <is>
          <t>ENKÖPING</t>
        </is>
      </c>
      <c r="I2038" t="n">
        <v>13.8</v>
      </c>
      <c r="J2038" t="n">
        <v>0</v>
      </c>
      <c r="K2038" t="n">
        <v>0</v>
      </c>
      <c r="L2038" t="n">
        <v>0</v>
      </c>
      <c r="M2038" t="n">
        <v>0</v>
      </c>
      <c r="N2038" t="n">
        <v>0</v>
      </c>
      <c r="O2038" t="n">
        <v>0</v>
      </c>
      <c r="P2038" t="n">
        <v>0</v>
      </c>
      <c r="Q2038" t="n">
        <v>0</v>
      </c>
      <c r="R2038" t="n">
        <v>0</v>
      </c>
      <c r="S2038" t="n">
        <v>0</v>
      </c>
      <c r="T2038" t="n">
        <v>0</v>
      </c>
      <c r="U2038" t="n">
        <v>0</v>
      </c>
      <c r="V2038" s="2" t="inlineStr"/>
    </row>
    <row r="2039" ht="15" customHeight="1">
      <c r="A2039" t="inlineStr">
        <is>
          <t>A 50281-2023</t>
        </is>
      </c>
      <c r="B2039" t="inlineStr">
        <is>
          <t>avverkningsanmälan</t>
        </is>
      </c>
      <c r="C2039" t="inlineStr">
        <is>
          <t>Föryngringsavverkning</t>
        </is>
      </c>
      <c r="D2039" s="1" t="n">
        <v>45216</v>
      </c>
      <c r="E2039" s="1" t="n">
        <v>46309</v>
      </c>
      <c r="F2039" t="inlineStr">
        <is>
          <t>UPPSALA LÄN</t>
        </is>
      </c>
      <c r="G2039" t="inlineStr">
        <is>
          <t>HEBY</t>
        </is>
      </c>
      <c r="I2039" t="n">
        <v>10.9</v>
      </c>
      <c r="J2039" t="n">
        <v>0</v>
      </c>
      <c r="K2039" t="n">
        <v>0</v>
      </c>
      <c r="L2039" t="n">
        <v>0</v>
      </c>
      <c r="M2039" t="n">
        <v>0</v>
      </c>
      <c r="N2039" t="n">
        <v>0</v>
      </c>
      <c r="O2039" t="n">
        <v>0</v>
      </c>
      <c r="P2039" t="n">
        <v>0</v>
      </c>
      <c r="Q2039" t="n">
        <v>0</v>
      </c>
      <c r="R2039" t="n">
        <v>0</v>
      </c>
      <c r="S2039" t="n">
        <v>0</v>
      </c>
      <c r="T2039" t="n">
        <v>0</v>
      </c>
      <c r="U2039" t="n">
        <v>0</v>
      </c>
      <c r="V2039" s="2" t="inlineStr"/>
    </row>
    <row r="2040" ht="15" customHeight="1">
      <c r="A2040" t="inlineStr">
        <is>
          <t>A 16164-2026</t>
        </is>
      </c>
      <c r="B2040" t="inlineStr">
        <is>
          <t>avverkningsanmälan</t>
        </is>
      </c>
      <c r="C2040" t="inlineStr">
        <is>
          <t>Föryngringsavverkning</t>
        </is>
      </c>
      <c r="D2040" s="1" t="n">
        <v>46110</v>
      </c>
      <c r="E2040" s="1" t="n">
        <v>46309</v>
      </c>
      <c r="F2040" t="inlineStr">
        <is>
          <t>UPPSALA LÄN</t>
        </is>
      </c>
      <c r="G2040" t="inlineStr">
        <is>
          <t>HEBY</t>
        </is>
      </c>
      <c r="I2040" t="n">
        <v>2.2</v>
      </c>
      <c r="J2040" t="n">
        <v>0</v>
      </c>
      <c r="K2040" t="n">
        <v>0</v>
      </c>
      <c r="L2040" t="n">
        <v>0</v>
      </c>
      <c r="M2040" t="n">
        <v>0</v>
      </c>
      <c r="N2040" t="n">
        <v>0</v>
      </c>
      <c r="O2040" t="n">
        <v>0</v>
      </c>
      <c r="P2040" t="n">
        <v>0</v>
      </c>
      <c r="Q2040" t="n">
        <v>0</v>
      </c>
      <c r="R2040" t="n">
        <v>0</v>
      </c>
      <c r="S2040" t="n">
        <v>0</v>
      </c>
      <c r="T2040" t="n">
        <v>0</v>
      </c>
      <c r="U2040" t="n">
        <v>0</v>
      </c>
      <c r="V2040" s="2" t="inlineStr"/>
    </row>
    <row r="2041" ht="15" customHeight="1">
      <c r="A2041" t="inlineStr">
        <is>
          <t>A 46807-2022</t>
        </is>
      </c>
      <c r="B2041" t="inlineStr">
        <is>
          <t>avverkningsanmälan</t>
        </is>
      </c>
      <c r="C2041" t="inlineStr">
        <is>
          <t>Föryngringsavverkning</t>
        </is>
      </c>
      <c r="D2041" s="1" t="n">
        <v>44848</v>
      </c>
      <c r="E2041" s="1" t="n">
        <v>46309</v>
      </c>
      <c r="F2041" t="inlineStr">
        <is>
          <t>UPPSALA LÄN</t>
        </is>
      </c>
      <c r="G2041" t="inlineStr">
        <is>
          <t>UPPSALA</t>
        </is>
      </c>
      <c r="I2041" t="n">
        <v>2</v>
      </c>
      <c r="J2041" t="n">
        <v>0</v>
      </c>
      <c r="K2041" t="n">
        <v>0</v>
      </c>
      <c r="L2041" t="n">
        <v>0</v>
      </c>
      <c r="M2041" t="n">
        <v>0</v>
      </c>
      <c r="N2041" t="n">
        <v>0</v>
      </c>
      <c r="O2041" t="n">
        <v>0</v>
      </c>
      <c r="P2041" t="n">
        <v>0</v>
      </c>
      <c r="Q2041" t="n">
        <v>0</v>
      </c>
      <c r="R2041" t="n">
        <v>0</v>
      </c>
      <c r="S2041" t="n">
        <v>0</v>
      </c>
      <c r="T2041" t="n">
        <v>0</v>
      </c>
      <c r="U2041" t="n">
        <v>0</v>
      </c>
      <c r="V2041" s="2" t="inlineStr"/>
    </row>
    <row r="2042" ht="15" customHeight="1">
      <c r="A2042" t="inlineStr">
        <is>
          <t>A 67984-2021</t>
        </is>
      </c>
      <c r="B2042" t="inlineStr">
        <is>
          <t>avverkningsanmälan</t>
        </is>
      </c>
      <c r="C2042" t="inlineStr">
        <is>
          <t>Föryngringsavverkning</t>
        </is>
      </c>
      <c r="D2042" s="1" t="n">
        <v>44525</v>
      </c>
      <c r="E2042" s="1" t="n">
        <v>46309</v>
      </c>
      <c r="F2042" t="inlineStr">
        <is>
          <t>UPPSALA LÄN</t>
        </is>
      </c>
      <c r="G2042" t="inlineStr">
        <is>
          <t>ENKÖPING</t>
        </is>
      </c>
      <c r="I2042" t="n">
        <v>1.4</v>
      </c>
      <c r="J2042" t="n">
        <v>0</v>
      </c>
      <c r="K2042" t="n">
        <v>0</v>
      </c>
      <c r="L2042" t="n">
        <v>0</v>
      </c>
      <c r="M2042" t="n">
        <v>0</v>
      </c>
      <c r="N2042" t="n">
        <v>0</v>
      </c>
      <c r="O2042" t="n">
        <v>0</v>
      </c>
      <c r="P2042" t="n">
        <v>0</v>
      </c>
      <c r="Q2042" t="n">
        <v>0</v>
      </c>
      <c r="R2042" t="n">
        <v>0</v>
      </c>
      <c r="S2042" t="n">
        <v>0</v>
      </c>
      <c r="T2042" t="n">
        <v>0</v>
      </c>
      <c r="U2042" t="n">
        <v>0</v>
      </c>
      <c r="V2042" s="2" t="inlineStr"/>
    </row>
    <row r="2043" ht="15" customHeight="1">
      <c r="A2043" t="inlineStr">
        <is>
          <t>A 60814-2023</t>
        </is>
      </c>
      <c r="B2043" t="inlineStr">
        <is>
          <t>avverkningsanmälan</t>
        </is>
      </c>
      <c r="C2043" t="inlineStr">
        <is>
          <t>Föryngringsavverkning</t>
        </is>
      </c>
      <c r="D2043" s="1" t="n">
        <v>45259</v>
      </c>
      <c r="E2043" s="1" t="n">
        <v>46309</v>
      </c>
      <c r="F2043" t="inlineStr">
        <is>
          <t>UPPSALA LÄN</t>
        </is>
      </c>
      <c r="G2043" t="inlineStr">
        <is>
          <t>UPPSALA</t>
        </is>
      </c>
      <c r="I2043" t="n">
        <v>5.9</v>
      </c>
      <c r="J2043" t="n">
        <v>0</v>
      </c>
      <c r="K2043" t="n">
        <v>0</v>
      </c>
      <c r="L2043" t="n">
        <v>0</v>
      </c>
      <c r="M2043" t="n">
        <v>0</v>
      </c>
      <c r="N2043" t="n">
        <v>0</v>
      </c>
      <c r="O2043" t="n">
        <v>0</v>
      </c>
      <c r="P2043" t="n">
        <v>0</v>
      </c>
      <c r="Q2043" t="n">
        <v>0</v>
      </c>
      <c r="R2043" t="n">
        <v>0</v>
      </c>
      <c r="S2043" t="n">
        <v>0</v>
      </c>
      <c r="T2043" t="n">
        <v>0</v>
      </c>
      <c r="U2043" t="n">
        <v>0</v>
      </c>
      <c r="V2043" s="2" t="inlineStr"/>
    </row>
    <row r="2044" ht="15" customHeight="1">
      <c r="A2044" t="inlineStr">
        <is>
          <t>A 16396-2026</t>
        </is>
      </c>
      <c r="B2044" t="inlineStr">
        <is>
          <t>avverkningsanmälan</t>
        </is>
      </c>
      <c r="C2044" t="inlineStr">
        <is>
          <t>Föryngringsavverkning</t>
        </is>
      </c>
      <c r="D2044" s="1" t="n">
        <v>46111</v>
      </c>
      <c r="E2044" s="1" t="n">
        <v>46309</v>
      </c>
      <c r="F2044" t="inlineStr">
        <is>
          <t>UPPSALA LÄN</t>
        </is>
      </c>
      <c r="G2044" t="inlineStr">
        <is>
          <t>UPPSALA</t>
        </is>
      </c>
      <c r="I2044" t="n">
        <v>2</v>
      </c>
      <c r="J2044" t="n">
        <v>0</v>
      </c>
      <c r="K2044" t="n">
        <v>0</v>
      </c>
      <c r="L2044" t="n">
        <v>0</v>
      </c>
      <c r="M2044" t="n">
        <v>0</v>
      </c>
      <c r="N2044" t="n">
        <v>0</v>
      </c>
      <c r="O2044" t="n">
        <v>0</v>
      </c>
      <c r="P2044" t="n">
        <v>0</v>
      </c>
      <c r="Q2044" t="n">
        <v>0</v>
      </c>
      <c r="R2044" t="n">
        <v>0</v>
      </c>
      <c r="S2044" t="n">
        <v>0</v>
      </c>
      <c r="T2044" t="n">
        <v>0</v>
      </c>
      <c r="U2044" t="n">
        <v>0</v>
      </c>
      <c r="V2044" s="2" t="inlineStr"/>
    </row>
    <row r="2045" ht="15" customHeight="1">
      <c r="A2045" t="inlineStr">
        <is>
          <t>A 16403-2026</t>
        </is>
      </c>
      <c r="B2045" t="inlineStr">
        <is>
          <t>avverkningsanmälan</t>
        </is>
      </c>
      <c r="C2045" t="inlineStr">
        <is>
          <t>Föryngringsavverkning</t>
        </is>
      </c>
      <c r="D2045" s="1" t="n">
        <v>46111</v>
      </c>
      <c r="E2045" s="1" t="n">
        <v>46309</v>
      </c>
      <c r="F2045" t="inlineStr">
        <is>
          <t>UPPSALA LÄN</t>
        </is>
      </c>
      <c r="G2045" t="inlineStr">
        <is>
          <t>UPPSALA</t>
        </is>
      </c>
      <c r="I2045" t="n">
        <v>4.5</v>
      </c>
      <c r="J2045" t="n">
        <v>0</v>
      </c>
      <c r="K2045" t="n">
        <v>0</v>
      </c>
      <c r="L2045" t="n">
        <v>0</v>
      </c>
      <c r="M2045" t="n">
        <v>0</v>
      </c>
      <c r="N2045" t="n">
        <v>0</v>
      </c>
      <c r="O2045" t="n">
        <v>0</v>
      </c>
      <c r="P2045" t="n">
        <v>0</v>
      </c>
      <c r="Q2045" t="n">
        <v>0</v>
      </c>
      <c r="R2045" t="n">
        <v>0</v>
      </c>
      <c r="S2045" t="n">
        <v>0</v>
      </c>
      <c r="T2045" t="n">
        <v>0</v>
      </c>
      <c r="U2045" t="n">
        <v>0</v>
      </c>
      <c r="V2045" s="2" t="inlineStr"/>
    </row>
    <row r="2046" ht="15" customHeight="1">
      <c r="A2046" t="inlineStr">
        <is>
          <t>A 16404-2026</t>
        </is>
      </c>
      <c r="B2046" t="inlineStr">
        <is>
          <t>avverkningsanmälan</t>
        </is>
      </c>
      <c r="C2046" t="inlineStr">
        <is>
          <t>Föryngringsavverkning</t>
        </is>
      </c>
      <c r="D2046" s="1" t="n">
        <v>46111</v>
      </c>
      <c r="E2046" s="1" t="n">
        <v>46309</v>
      </c>
      <c r="F2046" t="inlineStr">
        <is>
          <t>UPPSALA LÄN</t>
        </is>
      </c>
      <c r="G2046" t="inlineStr">
        <is>
          <t>HÅBO</t>
        </is>
      </c>
      <c r="I2046" t="n">
        <v>3.6</v>
      </c>
      <c r="J2046" t="n">
        <v>0</v>
      </c>
      <c r="K2046" t="n">
        <v>0</v>
      </c>
      <c r="L2046" t="n">
        <v>0</v>
      </c>
      <c r="M2046" t="n">
        <v>0</v>
      </c>
      <c r="N2046" t="n">
        <v>0</v>
      </c>
      <c r="O2046" t="n">
        <v>0</v>
      </c>
      <c r="P2046" t="n">
        <v>0</v>
      </c>
      <c r="Q2046" t="n">
        <v>0</v>
      </c>
      <c r="R2046" t="n">
        <v>0</v>
      </c>
      <c r="S2046" t="n">
        <v>0</v>
      </c>
      <c r="T2046" t="n">
        <v>0</v>
      </c>
      <c r="U2046" t="n">
        <v>0</v>
      </c>
      <c r="V2046" s="2" t="inlineStr"/>
    </row>
    <row r="2047" ht="15" customHeight="1">
      <c r="A2047" t="inlineStr">
        <is>
          <t>A 16038-2026</t>
        </is>
      </c>
      <c r="B2047" t="inlineStr">
        <is>
          <t>avverkningsanmälan</t>
        </is>
      </c>
      <c r="C2047" t="inlineStr">
        <is>
          <t>Föryngringsavverkning</t>
        </is>
      </c>
      <c r="D2047" s="1" t="n">
        <v>46108</v>
      </c>
      <c r="E2047" s="1" t="n">
        <v>46309</v>
      </c>
      <c r="F2047" t="inlineStr">
        <is>
          <t>UPPSALA LÄN</t>
        </is>
      </c>
      <c r="G2047" t="inlineStr">
        <is>
          <t>ÖSTHAMMAR</t>
        </is>
      </c>
      <c r="I2047" t="n">
        <v>2.2</v>
      </c>
      <c r="J2047" t="n">
        <v>0</v>
      </c>
      <c r="K2047" t="n">
        <v>0</v>
      </c>
      <c r="L2047" t="n">
        <v>0</v>
      </c>
      <c r="M2047" t="n">
        <v>0</v>
      </c>
      <c r="N2047" t="n">
        <v>0</v>
      </c>
      <c r="O2047" t="n">
        <v>0</v>
      </c>
      <c r="P2047" t="n">
        <v>0</v>
      </c>
      <c r="Q2047" t="n">
        <v>0</v>
      </c>
      <c r="R2047" t="n">
        <v>0</v>
      </c>
      <c r="S2047" t="n">
        <v>0</v>
      </c>
      <c r="T2047" t="n">
        <v>0</v>
      </c>
      <c r="U2047" t="n">
        <v>0</v>
      </c>
      <c r="V2047" s="2" t="inlineStr"/>
    </row>
    <row r="2048" ht="15" customHeight="1">
      <c r="A2048" t="inlineStr">
        <is>
          <t>A 60151-2022</t>
        </is>
      </c>
      <c r="B2048" t="inlineStr">
        <is>
          <t>avverkningsanmälan</t>
        </is>
      </c>
      <c r="C2048" t="inlineStr">
        <is>
          <t>Föryngringsavverkning</t>
        </is>
      </c>
      <c r="D2048" s="1" t="n">
        <v>44909</v>
      </c>
      <c r="E2048" s="1" t="n">
        <v>46309</v>
      </c>
      <c r="F2048" t="inlineStr">
        <is>
          <t>UPPSALA LÄN</t>
        </is>
      </c>
      <c r="G2048" t="inlineStr">
        <is>
          <t>TIERP</t>
        </is>
      </c>
      <c r="I2048" t="n">
        <v>4.1</v>
      </c>
      <c r="J2048" t="n">
        <v>0</v>
      </c>
      <c r="K2048" t="n">
        <v>0</v>
      </c>
      <c r="L2048" t="n">
        <v>0</v>
      </c>
      <c r="M2048" t="n">
        <v>0</v>
      </c>
      <c r="N2048" t="n">
        <v>0</v>
      </c>
      <c r="O2048" t="n">
        <v>0</v>
      </c>
      <c r="P2048" t="n">
        <v>0</v>
      </c>
      <c r="Q2048" t="n">
        <v>0</v>
      </c>
      <c r="R2048" t="n">
        <v>0</v>
      </c>
      <c r="S2048" t="n">
        <v>0</v>
      </c>
      <c r="T2048" t="n">
        <v>0</v>
      </c>
      <c r="U2048" t="n">
        <v>0</v>
      </c>
      <c r="V2048" s="2" t="inlineStr"/>
    </row>
    <row r="2049" ht="15" customHeight="1">
      <c r="A2049" t="inlineStr">
        <is>
          <t>A 15959-2026</t>
        </is>
      </c>
      <c r="B2049" t="inlineStr">
        <is>
          <t>avverkningsanmälan</t>
        </is>
      </c>
      <c r="C2049" t="inlineStr">
        <is>
          <t>Föryngringsavverkning</t>
        </is>
      </c>
      <c r="D2049" s="1" t="n">
        <v>46108</v>
      </c>
      <c r="E2049" s="1" t="n">
        <v>46309</v>
      </c>
      <c r="F2049" t="inlineStr">
        <is>
          <t>UPPSALA LÄN</t>
        </is>
      </c>
      <c r="G2049" t="inlineStr">
        <is>
          <t>TIERP</t>
        </is>
      </c>
      <c r="H2049" t="inlineStr">
        <is>
          <t>Bergvik skog öst AB</t>
        </is>
      </c>
      <c r="I2049" t="n">
        <v>2.4</v>
      </c>
      <c r="J2049" t="n">
        <v>0</v>
      </c>
      <c r="K2049" t="n">
        <v>0</v>
      </c>
      <c r="L2049" t="n">
        <v>0</v>
      </c>
      <c r="M2049" t="n">
        <v>0</v>
      </c>
      <c r="N2049" t="n">
        <v>0</v>
      </c>
      <c r="O2049" t="n">
        <v>0</v>
      </c>
      <c r="P2049" t="n">
        <v>0</v>
      </c>
      <c r="Q2049" t="n">
        <v>0</v>
      </c>
      <c r="R2049" t="n">
        <v>0</v>
      </c>
      <c r="S2049" t="n">
        <v>0</v>
      </c>
      <c r="T2049" t="n">
        <v>0</v>
      </c>
      <c r="U2049" t="n">
        <v>0</v>
      </c>
      <c r="V2049" s="2" t="inlineStr"/>
    </row>
    <row r="2050" ht="15" customHeight="1">
      <c r="A2050" t="inlineStr">
        <is>
          <t>A 16325-2026</t>
        </is>
      </c>
      <c r="B2050" t="inlineStr">
        <is>
          <t>avverkningsanmälan</t>
        </is>
      </c>
      <c r="C2050" t="inlineStr">
        <is>
          <t>Föryngringsavverkning</t>
        </is>
      </c>
      <c r="D2050" s="1" t="n">
        <v>46111</v>
      </c>
      <c r="E2050" s="1" t="n">
        <v>46309</v>
      </c>
      <c r="F2050" t="inlineStr">
        <is>
          <t>UPPSALA LÄN</t>
        </is>
      </c>
      <c r="G2050" t="inlineStr">
        <is>
          <t>HÅBO</t>
        </is>
      </c>
      <c r="I2050" t="n">
        <v>3.3</v>
      </c>
      <c r="J2050" t="n">
        <v>0</v>
      </c>
      <c r="K2050" t="n">
        <v>0</v>
      </c>
      <c r="L2050" t="n">
        <v>0</v>
      </c>
      <c r="M2050" t="n">
        <v>0</v>
      </c>
      <c r="N2050" t="n">
        <v>0</v>
      </c>
      <c r="O2050" t="n">
        <v>0</v>
      </c>
      <c r="P2050" t="n">
        <v>0</v>
      </c>
      <c r="Q2050" t="n">
        <v>0</v>
      </c>
      <c r="R2050" t="n">
        <v>0</v>
      </c>
      <c r="S2050" t="n">
        <v>0</v>
      </c>
      <c r="T2050" t="n">
        <v>0</v>
      </c>
      <c r="U2050" t="n">
        <v>0</v>
      </c>
      <c r="V2050" s="2" t="inlineStr"/>
    </row>
    <row r="2051" ht="15" customHeight="1">
      <c r="A2051" t="inlineStr">
        <is>
          <t>A 16390-2026</t>
        </is>
      </c>
      <c r="B2051" t="inlineStr">
        <is>
          <t>avverkningsanmälan</t>
        </is>
      </c>
      <c r="C2051" t="inlineStr">
        <is>
          <t>Föryngringsavverkning</t>
        </is>
      </c>
      <c r="D2051" s="1" t="n">
        <v>46111</v>
      </c>
      <c r="E2051" s="1" t="n">
        <v>46309</v>
      </c>
      <c r="F2051" t="inlineStr">
        <is>
          <t>UPPSALA LÄN</t>
        </is>
      </c>
      <c r="G2051" t="inlineStr">
        <is>
          <t>UPPSALA</t>
        </is>
      </c>
      <c r="I2051" t="n">
        <v>4.5</v>
      </c>
      <c r="J2051" t="n">
        <v>0</v>
      </c>
      <c r="K2051" t="n">
        <v>0</v>
      </c>
      <c r="L2051" t="n">
        <v>0</v>
      </c>
      <c r="M2051" t="n">
        <v>0</v>
      </c>
      <c r="N2051" t="n">
        <v>0</v>
      </c>
      <c r="O2051" t="n">
        <v>0</v>
      </c>
      <c r="P2051" t="n">
        <v>0</v>
      </c>
      <c r="Q2051" t="n">
        <v>0</v>
      </c>
      <c r="R2051" t="n">
        <v>0</v>
      </c>
      <c r="S2051" t="n">
        <v>0</v>
      </c>
      <c r="T2051" t="n">
        <v>0</v>
      </c>
      <c r="U2051" t="n">
        <v>0</v>
      </c>
      <c r="V2051" s="2" t="inlineStr"/>
    </row>
    <row r="2052" ht="15" customHeight="1">
      <c r="A2052" t="inlineStr">
        <is>
          <t>A 16217-2026</t>
        </is>
      </c>
      <c r="B2052" t="inlineStr">
        <is>
          <t>avverkningsanmälan</t>
        </is>
      </c>
      <c r="C2052" t="inlineStr">
        <is>
          <t>Föryngringsavverkning</t>
        </is>
      </c>
      <c r="D2052" s="1" t="n">
        <v>46111</v>
      </c>
      <c r="E2052" s="1" t="n">
        <v>46309</v>
      </c>
      <c r="F2052" t="inlineStr">
        <is>
          <t>UPPSALA LÄN</t>
        </is>
      </c>
      <c r="G2052" t="inlineStr">
        <is>
          <t>TIERP</t>
        </is>
      </c>
      <c r="I2052" t="n">
        <v>2.3</v>
      </c>
      <c r="J2052" t="n">
        <v>0</v>
      </c>
      <c r="K2052" t="n">
        <v>0</v>
      </c>
      <c r="L2052" t="n">
        <v>0</v>
      </c>
      <c r="M2052" t="n">
        <v>0</v>
      </c>
      <c r="N2052" t="n">
        <v>0</v>
      </c>
      <c r="O2052" t="n">
        <v>0</v>
      </c>
      <c r="P2052" t="n">
        <v>0</v>
      </c>
      <c r="Q2052" t="n">
        <v>0</v>
      </c>
      <c r="R2052" t="n">
        <v>0</v>
      </c>
      <c r="S2052" t="n">
        <v>0</v>
      </c>
      <c r="T2052" t="n">
        <v>0</v>
      </c>
      <c r="U2052" t="n">
        <v>0</v>
      </c>
      <c r="V2052" s="2" t="inlineStr"/>
    </row>
    <row r="2053" ht="15" customHeight="1">
      <c r="A2053" t="inlineStr">
        <is>
          <t>A 34082-2023</t>
        </is>
      </c>
      <c r="B2053" t="inlineStr">
        <is>
          <t>avverkningsanmälan</t>
        </is>
      </c>
      <c r="C2053" t="inlineStr">
        <is>
          <t>Föryngringsavverkning</t>
        </is>
      </c>
      <c r="D2053" s="1" t="n">
        <v>45135</v>
      </c>
      <c r="E2053" s="1" t="n">
        <v>46309</v>
      </c>
      <c r="F2053" t="inlineStr">
        <is>
          <t>UPPSALA LÄN</t>
        </is>
      </c>
      <c r="G2053" t="inlineStr">
        <is>
          <t>TIERP</t>
        </is>
      </c>
      <c r="H2053" t="inlineStr">
        <is>
          <t>Bergvik skog öst AB</t>
        </is>
      </c>
      <c r="I2053" t="n">
        <v>2.2</v>
      </c>
      <c r="J2053" t="n">
        <v>0</v>
      </c>
      <c r="K2053" t="n">
        <v>0</v>
      </c>
      <c r="L2053" t="n">
        <v>0</v>
      </c>
      <c r="M2053" t="n">
        <v>0</v>
      </c>
      <c r="N2053" t="n">
        <v>0</v>
      </c>
      <c r="O2053" t="n">
        <v>0</v>
      </c>
      <c r="P2053" t="n">
        <v>0</v>
      </c>
      <c r="Q2053" t="n">
        <v>0</v>
      </c>
      <c r="R2053" t="n">
        <v>0</v>
      </c>
      <c r="S2053" t="n">
        <v>0</v>
      </c>
      <c r="T2053" t="n">
        <v>0</v>
      </c>
      <c r="U2053" t="n">
        <v>0</v>
      </c>
      <c r="V2053" s="2" t="inlineStr"/>
    </row>
    <row r="2054" ht="15" customHeight="1">
      <c r="A2054" t="inlineStr">
        <is>
          <t>A 16788-2026</t>
        </is>
      </c>
      <c r="B2054" t="inlineStr">
        <is>
          <t>avverkningsanmälan</t>
        </is>
      </c>
      <c r="C2054" t="inlineStr">
        <is>
          <t>Föryngringsavverkning</t>
        </is>
      </c>
      <c r="D2054" s="1" t="n">
        <v>46113</v>
      </c>
      <c r="E2054" s="1" t="n">
        <v>46309</v>
      </c>
      <c r="F2054" t="inlineStr">
        <is>
          <t>UPPSALA LÄN</t>
        </is>
      </c>
      <c r="G2054" t="inlineStr">
        <is>
          <t>ÖSTHAMMAR</t>
        </is>
      </c>
      <c r="I2054" t="n">
        <v>0.8</v>
      </c>
      <c r="J2054" t="n">
        <v>0</v>
      </c>
      <c r="K2054" t="n">
        <v>0</v>
      </c>
      <c r="L2054" t="n">
        <v>0</v>
      </c>
      <c r="M2054" t="n">
        <v>0</v>
      </c>
      <c r="N2054" t="n">
        <v>0</v>
      </c>
      <c r="O2054" t="n">
        <v>0</v>
      </c>
      <c r="P2054" t="n">
        <v>0</v>
      </c>
      <c r="Q2054" t="n">
        <v>0</v>
      </c>
      <c r="R2054" t="n">
        <v>0</v>
      </c>
      <c r="S2054" t="n">
        <v>0</v>
      </c>
      <c r="T2054" t="n">
        <v>0</v>
      </c>
      <c r="U2054" t="n">
        <v>0</v>
      </c>
      <c r="V2054" s="2" t="inlineStr"/>
    </row>
    <row r="2055" ht="15" customHeight="1">
      <c r="A2055" t="inlineStr">
        <is>
          <t>A 16494-2026</t>
        </is>
      </c>
      <c r="B2055" t="inlineStr">
        <is>
          <t>avverkningsanmälan</t>
        </is>
      </c>
      <c r="C2055" t="inlineStr">
        <is>
          <t>Föryngringsavverkning</t>
        </is>
      </c>
      <c r="D2055" s="1" t="n">
        <v>46112</v>
      </c>
      <c r="E2055" s="1" t="n">
        <v>46309</v>
      </c>
      <c r="F2055" t="inlineStr">
        <is>
          <t>UPPSALA LÄN</t>
        </is>
      </c>
      <c r="G2055" t="inlineStr">
        <is>
          <t>ÖSTHAMMAR</t>
        </is>
      </c>
      <c r="I2055" t="n">
        <v>0.5</v>
      </c>
      <c r="J2055" t="n">
        <v>0</v>
      </c>
      <c r="K2055" t="n">
        <v>0</v>
      </c>
      <c r="L2055" t="n">
        <v>0</v>
      </c>
      <c r="M2055" t="n">
        <v>0</v>
      </c>
      <c r="N2055" t="n">
        <v>0</v>
      </c>
      <c r="O2055" t="n">
        <v>0</v>
      </c>
      <c r="P2055" t="n">
        <v>0</v>
      </c>
      <c r="Q2055" t="n">
        <v>0</v>
      </c>
      <c r="R2055" t="n">
        <v>0</v>
      </c>
      <c r="S2055" t="n">
        <v>0</v>
      </c>
      <c r="T2055" t="n">
        <v>0</v>
      </c>
      <c r="U2055" t="n">
        <v>0</v>
      </c>
      <c r="V2055" s="2" t="inlineStr"/>
    </row>
    <row r="2056" ht="15" customHeight="1">
      <c r="A2056" t="inlineStr">
        <is>
          <t>A 16796-2026</t>
        </is>
      </c>
      <c r="B2056" t="inlineStr">
        <is>
          <t>avverkningsanmälan</t>
        </is>
      </c>
      <c r="C2056" t="inlineStr">
        <is>
          <t>Föryngringsavverkning</t>
        </is>
      </c>
      <c r="D2056" s="1" t="n">
        <v>46113</v>
      </c>
      <c r="E2056" s="1" t="n">
        <v>46309</v>
      </c>
      <c r="F2056" t="inlineStr">
        <is>
          <t>UPPSALA LÄN</t>
        </is>
      </c>
      <c r="G2056" t="inlineStr">
        <is>
          <t>ÖSTHAMMAR</t>
        </is>
      </c>
      <c r="I2056" t="n">
        <v>1.8</v>
      </c>
      <c r="J2056" t="n">
        <v>0</v>
      </c>
      <c r="K2056" t="n">
        <v>0</v>
      </c>
      <c r="L2056" t="n">
        <v>0</v>
      </c>
      <c r="M2056" t="n">
        <v>0</v>
      </c>
      <c r="N2056" t="n">
        <v>0</v>
      </c>
      <c r="O2056" t="n">
        <v>0</v>
      </c>
      <c r="P2056" t="n">
        <v>0</v>
      </c>
      <c r="Q2056" t="n">
        <v>0</v>
      </c>
      <c r="R2056" t="n">
        <v>0</v>
      </c>
      <c r="S2056" t="n">
        <v>0</v>
      </c>
      <c r="T2056" t="n">
        <v>0</v>
      </c>
      <c r="U2056" t="n">
        <v>0</v>
      </c>
      <c r="V2056" s="2" t="inlineStr"/>
    </row>
    <row r="2057" ht="15" customHeight="1">
      <c r="A2057" t="inlineStr">
        <is>
          <t>A 18144-2022</t>
        </is>
      </c>
      <c r="B2057" t="inlineStr">
        <is>
          <t>avverkningsanmälan</t>
        </is>
      </c>
      <c r="C2057" t="inlineStr">
        <is>
          <t>Föryngringsavverkning</t>
        </is>
      </c>
      <c r="D2057" s="1" t="n">
        <v>44684</v>
      </c>
      <c r="E2057" s="1" t="n">
        <v>46309</v>
      </c>
      <c r="F2057" t="inlineStr">
        <is>
          <t>UPPSALA LÄN</t>
        </is>
      </c>
      <c r="G2057" t="inlineStr">
        <is>
          <t>HEBY</t>
        </is>
      </c>
      <c r="H2057" t="inlineStr">
        <is>
          <t>Bergvik skog väst AB</t>
        </is>
      </c>
      <c r="I2057" t="n">
        <v>1.5</v>
      </c>
      <c r="J2057" t="n">
        <v>0</v>
      </c>
      <c r="K2057" t="n">
        <v>0</v>
      </c>
      <c r="L2057" t="n">
        <v>0</v>
      </c>
      <c r="M2057" t="n">
        <v>0</v>
      </c>
      <c r="N2057" t="n">
        <v>0</v>
      </c>
      <c r="O2057" t="n">
        <v>0</v>
      </c>
      <c r="P2057" t="n">
        <v>0</v>
      </c>
      <c r="Q2057" t="n">
        <v>0</v>
      </c>
      <c r="R2057" t="n">
        <v>0</v>
      </c>
      <c r="S2057" t="n">
        <v>0</v>
      </c>
      <c r="T2057" t="n">
        <v>0</v>
      </c>
      <c r="U2057" t="n">
        <v>0</v>
      </c>
      <c r="V2057" s="2" t="inlineStr"/>
    </row>
    <row r="2058" ht="15" customHeight="1">
      <c r="A2058" t="inlineStr">
        <is>
          <t>A 26161-2022</t>
        </is>
      </c>
      <c r="B2058" t="inlineStr">
        <is>
          <t>avverkningsanmälan</t>
        </is>
      </c>
      <c r="C2058" t="inlineStr">
        <is>
          <t>Föryngringsavverkning</t>
        </is>
      </c>
      <c r="D2058" s="1" t="n">
        <v>44735</v>
      </c>
      <c r="E2058" s="1" t="n">
        <v>46309</v>
      </c>
      <c r="F2058" t="inlineStr">
        <is>
          <t>UPPSALA LÄN</t>
        </is>
      </c>
      <c r="G2058" t="inlineStr">
        <is>
          <t>TIERP</t>
        </is>
      </c>
      <c r="I2058" t="n">
        <v>5</v>
      </c>
      <c r="J2058" t="n">
        <v>0</v>
      </c>
      <c r="K2058" t="n">
        <v>0</v>
      </c>
      <c r="L2058" t="n">
        <v>0</v>
      </c>
      <c r="M2058" t="n">
        <v>0</v>
      </c>
      <c r="N2058" t="n">
        <v>0</v>
      </c>
      <c r="O2058" t="n">
        <v>0</v>
      </c>
      <c r="P2058" t="n">
        <v>0</v>
      </c>
      <c r="Q2058" t="n">
        <v>0</v>
      </c>
      <c r="R2058" t="n">
        <v>0</v>
      </c>
      <c r="S2058" t="n">
        <v>0</v>
      </c>
      <c r="T2058" t="n">
        <v>0</v>
      </c>
      <c r="U2058" t="n">
        <v>0</v>
      </c>
      <c r="V2058" s="2" t="inlineStr"/>
    </row>
    <row r="2059" ht="15" customHeight="1">
      <c r="A2059" t="inlineStr">
        <is>
          <t>A 58324-2023</t>
        </is>
      </c>
      <c r="B2059" t="inlineStr">
        <is>
          <t>avverkningsanmälan</t>
        </is>
      </c>
      <c r="C2059" t="inlineStr">
        <is>
          <t>Föryngringsavverkning</t>
        </is>
      </c>
      <c r="D2059" s="1" t="n">
        <v>45250</v>
      </c>
      <c r="E2059" s="1" t="n">
        <v>46309</v>
      </c>
      <c r="F2059" t="inlineStr">
        <is>
          <t>UPPSALA LÄN</t>
        </is>
      </c>
      <c r="G2059" t="inlineStr">
        <is>
          <t>ÖSTHAMMAR</t>
        </is>
      </c>
      <c r="I2059" t="n">
        <v>5.1</v>
      </c>
      <c r="J2059" t="n">
        <v>0</v>
      </c>
      <c r="K2059" t="n">
        <v>0</v>
      </c>
      <c r="L2059" t="n">
        <v>0</v>
      </c>
      <c r="M2059" t="n">
        <v>0</v>
      </c>
      <c r="N2059" t="n">
        <v>0</v>
      </c>
      <c r="O2059" t="n">
        <v>0</v>
      </c>
      <c r="P2059" t="n">
        <v>0</v>
      </c>
      <c r="Q2059" t="n">
        <v>0</v>
      </c>
      <c r="R2059" t="n">
        <v>0</v>
      </c>
      <c r="S2059" t="n">
        <v>0</v>
      </c>
      <c r="T2059" t="n">
        <v>0</v>
      </c>
      <c r="U2059" t="n">
        <v>0</v>
      </c>
      <c r="V2059" s="2" t="inlineStr"/>
    </row>
    <row r="2060" ht="15" customHeight="1">
      <c r="A2060" t="inlineStr">
        <is>
          <t>A 16506-2026</t>
        </is>
      </c>
      <c r="B2060" t="inlineStr">
        <is>
          <t>avverkningsanmälan</t>
        </is>
      </c>
      <c r="C2060" t="inlineStr">
        <is>
          <t>Avverkning för annat ändamål</t>
        </is>
      </c>
      <c r="D2060" s="1" t="n">
        <v>46112</v>
      </c>
      <c r="E2060" s="1" t="n">
        <v>46309</v>
      </c>
      <c r="F2060" t="inlineStr">
        <is>
          <t>UPPSALA LÄN</t>
        </is>
      </c>
      <c r="G2060" t="inlineStr">
        <is>
          <t>HEBY</t>
        </is>
      </c>
      <c r="I2060" t="n">
        <v>0.8</v>
      </c>
      <c r="J2060" t="n">
        <v>0</v>
      </c>
      <c r="K2060" t="n">
        <v>0</v>
      </c>
      <c r="L2060" t="n">
        <v>0</v>
      </c>
      <c r="M2060" t="n">
        <v>0</v>
      </c>
      <c r="N2060" t="n">
        <v>0</v>
      </c>
      <c r="O2060" t="n">
        <v>0</v>
      </c>
      <c r="P2060" t="n">
        <v>0</v>
      </c>
      <c r="Q2060" t="n">
        <v>0</v>
      </c>
      <c r="R2060" t="n">
        <v>0</v>
      </c>
      <c r="S2060" t="n">
        <v>0</v>
      </c>
      <c r="T2060" t="n">
        <v>0</v>
      </c>
      <c r="U2060" t="n">
        <v>0</v>
      </c>
      <c r="V2060" s="2" t="inlineStr"/>
    </row>
    <row r="2061" ht="15" customHeight="1">
      <c r="A2061" t="inlineStr">
        <is>
          <t>A 16511-2026</t>
        </is>
      </c>
      <c r="B2061" t="inlineStr">
        <is>
          <t>avverkningsanmälan</t>
        </is>
      </c>
      <c r="C2061" t="inlineStr">
        <is>
          <t>Föryngringsavverkning</t>
        </is>
      </c>
      <c r="D2061" s="1" t="n">
        <v>46112</v>
      </c>
      <c r="E2061" s="1" t="n">
        <v>46309</v>
      </c>
      <c r="F2061" t="inlineStr">
        <is>
          <t>UPPSALA LÄN</t>
        </is>
      </c>
      <c r="G2061" t="inlineStr">
        <is>
          <t>HEBY</t>
        </is>
      </c>
      <c r="I2061" t="n">
        <v>0.6</v>
      </c>
      <c r="J2061" t="n">
        <v>0</v>
      </c>
      <c r="K2061" t="n">
        <v>0</v>
      </c>
      <c r="L2061" t="n">
        <v>0</v>
      </c>
      <c r="M2061" t="n">
        <v>0</v>
      </c>
      <c r="N2061" t="n">
        <v>0</v>
      </c>
      <c r="O2061" t="n">
        <v>0</v>
      </c>
      <c r="P2061" t="n">
        <v>0</v>
      </c>
      <c r="Q2061" t="n">
        <v>0</v>
      </c>
      <c r="R2061" t="n">
        <v>0</v>
      </c>
      <c r="S2061" t="n">
        <v>0</v>
      </c>
      <c r="T2061" t="n">
        <v>0</v>
      </c>
      <c r="U2061" t="n">
        <v>0</v>
      </c>
      <c r="V2061" s="2" t="inlineStr"/>
    </row>
    <row r="2062" ht="15" customHeight="1">
      <c r="A2062" t="inlineStr">
        <is>
          <t>A 16515-2026</t>
        </is>
      </c>
      <c r="B2062" t="inlineStr">
        <is>
          <t>avverkningsanmälan</t>
        </is>
      </c>
      <c r="C2062" t="inlineStr">
        <is>
          <t>Föryngringsavverkning</t>
        </is>
      </c>
      <c r="D2062" s="1" t="n">
        <v>46112</v>
      </c>
      <c r="E2062" s="1" t="n">
        <v>46309</v>
      </c>
      <c r="F2062" t="inlineStr">
        <is>
          <t>UPPSALA LÄN</t>
        </is>
      </c>
      <c r="G2062" t="inlineStr">
        <is>
          <t>HEBY</t>
        </is>
      </c>
      <c r="I2062" t="n">
        <v>1.2</v>
      </c>
      <c r="J2062" t="n">
        <v>0</v>
      </c>
      <c r="K2062" t="n">
        <v>0</v>
      </c>
      <c r="L2062" t="n">
        <v>0</v>
      </c>
      <c r="M2062" t="n">
        <v>0</v>
      </c>
      <c r="N2062" t="n">
        <v>0</v>
      </c>
      <c r="O2062" t="n">
        <v>0</v>
      </c>
      <c r="P2062" t="n">
        <v>0</v>
      </c>
      <c r="Q2062" t="n">
        <v>0</v>
      </c>
      <c r="R2062" t="n">
        <v>0</v>
      </c>
      <c r="S2062" t="n">
        <v>0</v>
      </c>
      <c r="T2062" t="n">
        <v>0</v>
      </c>
      <c r="U2062" t="n">
        <v>0</v>
      </c>
      <c r="V2062" s="2" t="inlineStr"/>
    </row>
    <row r="2063" ht="15" customHeight="1">
      <c r="A2063" t="inlineStr">
        <is>
          <t>A 16498-2026</t>
        </is>
      </c>
      <c r="B2063" t="inlineStr">
        <is>
          <t>avverkningsanmälan</t>
        </is>
      </c>
      <c r="C2063" t="inlineStr">
        <is>
          <t>Föryngringsavverkning</t>
        </is>
      </c>
      <c r="D2063" s="1" t="n">
        <v>46112</v>
      </c>
      <c r="E2063" s="1" t="n">
        <v>46309</v>
      </c>
      <c r="F2063" t="inlineStr">
        <is>
          <t>UPPSALA LÄN</t>
        </is>
      </c>
      <c r="G2063" t="inlineStr">
        <is>
          <t>ÖSTHAMMAR</t>
        </is>
      </c>
      <c r="I2063" t="n">
        <v>0.4</v>
      </c>
      <c r="J2063" t="n">
        <v>0</v>
      </c>
      <c r="K2063" t="n">
        <v>0</v>
      </c>
      <c r="L2063" t="n">
        <v>0</v>
      </c>
      <c r="M2063" t="n">
        <v>0</v>
      </c>
      <c r="N2063" t="n">
        <v>0</v>
      </c>
      <c r="O2063" t="n">
        <v>0</v>
      </c>
      <c r="P2063" t="n">
        <v>0</v>
      </c>
      <c r="Q2063" t="n">
        <v>0</v>
      </c>
      <c r="R2063" t="n">
        <v>0</v>
      </c>
      <c r="S2063" t="n">
        <v>0</v>
      </c>
      <c r="T2063" t="n">
        <v>0</v>
      </c>
      <c r="U2063" t="n">
        <v>0</v>
      </c>
      <c r="V2063" s="2" t="inlineStr"/>
    </row>
    <row r="2064" ht="15" customHeight="1">
      <c r="A2064" t="inlineStr">
        <is>
          <t>A 16509-2026</t>
        </is>
      </c>
      <c r="B2064" t="inlineStr">
        <is>
          <t>avverkningsanmälan</t>
        </is>
      </c>
      <c r="C2064" t="inlineStr">
        <is>
          <t>Föryngringsavverkning</t>
        </is>
      </c>
      <c r="D2064" s="1" t="n">
        <v>46112</v>
      </c>
      <c r="E2064" s="1" t="n">
        <v>46309</v>
      </c>
      <c r="F2064" t="inlineStr">
        <is>
          <t>UPPSALA LÄN</t>
        </is>
      </c>
      <c r="G2064" t="inlineStr">
        <is>
          <t>HEBY</t>
        </is>
      </c>
      <c r="I2064" t="n">
        <v>1.6</v>
      </c>
      <c r="J2064" t="n">
        <v>0</v>
      </c>
      <c r="K2064" t="n">
        <v>0</v>
      </c>
      <c r="L2064" t="n">
        <v>0</v>
      </c>
      <c r="M2064" t="n">
        <v>0</v>
      </c>
      <c r="N2064" t="n">
        <v>0</v>
      </c>
      <c r="O2064" t="n">
        <v>0</v>
      </c>
      <c r="P2064" t="n">
        <v>0</v>
      </c>
      <c r="Q2064" t="n">
        <v>0</v>
      </c>
      <c r="R2064" t="n">
        <v>0</v>
      </c>
      <c r="S2064" t="n">
        <v>0</v>
      </c>
      <c r="T2064" t="n">
        <v>0</v>
      </c>
      <c r="U2064" t="n">
        <v>0</v>
      </c>
      <c r="V2064" s="2" t="inlineStr"/>
    </row>
    <row r="2065" ht="15" customHeight="1">
      <c r="A2065" t="inlineStr">
        <is>
          <t>A 16513-2026</t>
        </is>
      </c>
      <c r="B2065" t="inlineStr">
        <is>
          <t>avverkningsanmälan</t>
        </is>
      </c>
      <c r="C2065" t="inlineStr">
        <is>
          <t>Föryngringsavverkning</t>
        </is>
      </c>
      <c r="D2065" s="1" t="n">
        <v>46112</v>
      </c>
      <c r="E2065" s="1" t="n">
        <v>46309</v>
      </c>
      <c r="F2065" t="inlineStr">
        <is>
          <t>UPPSALA LÄN</t>
        </is>
      </c>
      <c r="G2065" t="inlineStr">
        <is>
          <t>HEBY</t>
        </is>
      </c>
      <c r="I2065" t="n">
        <v>0.9</v>
      </c>
      <c r="J2065" t="n">
        <v>0</v>
      </c>
      <c r="K2065" t="n">
        <v>0</v>
      </c>
      <c r="L2065" t="n">
        <v>0</v>
      </c>
      <c r="M2065" t="n">
        <v>0</v>
      </c>
      <c r="N2065" t="n">
        <v>0</v>
      </c>
      <c r="O2065" t="n">
        <v>0</v>
      </c>
      <c r="P2065" t="n">
        <v>0</v>
      </c>
      <c r="Q2065" t="n">
        <v>0</v>
      </c>
      <c r="R2065" t="n">
        <v>0</v>
      </c>
      <c r="S2065" t="n">
        <v>0</v>
      </c>
      <c r="T2065" t="n">
        <v>0</v>
      </c>
      <c r="U2065" t="n">
        <v>0</v>
      </c>
      <c r="V2065" s="2" t="inlineStr"/>
    </row>
    <row r="2066" ht="15" customHeight="1">
      <c r="A2066" t="inlineStr">
        <is>
          <t>A 16522-2026</t>
        </is>
      </c>
      <c r="B2066" t="inlineStr">
        <is>
          <t>avverkningsanmälan</t>
        </is>
      </c>
      <c r="C2066" t="inlineStr">
        <is>
          <t>Föryngringsavverkning</t>
        </is>
      </c>
      <c r="D2066" s="1" t="n">
        <v>46112</v>
      </c>
      <c r="E2066" s="1" t="n">
        <v>46309</v>
      </c>
      <c r="F2066" t="inlineStr">
        <is>
          <t>UPPSALA LÄN</t>
        </is>
      </c>
      <c r="G2066" t="inlineStr">
        <is>
          <t>ÖSTHAMMAR</t>
        </is>
      </c>
      <c r="I2066" t="n">
        <v>1.1</v>
      </c>
      <c r="J2066" t="n">
        <v>0</v>
      </c>
      <c r="K2066" t="n">
        <v>0</v>
      </c>
      <c r="L2066" t="n">
        <v>0</v>
      </c>
      <c r="M2066" t="n">
        <v>0</v>
      </c>
      <c r="N2066" t="n">
        <v>0</v>
      </c>
      <c r="O2066" t="n">
        <v>0</v>
      </c>
      <c r="P2066" t="n">
        <v>0</v>
      </c>
      <c r="Q2066" t="n">
        <v>0</v>
      </c>
      <c r="R2066" t="n">
        <v>0</v>
      </c>
      <c r="S2066" t="n">
        <v>0</v>
      </c>
      <c r="T2066" t="n">
        <v>0</v>
      </c>
      <c r="U2066" t="n">
        <v>0</v>
      </c>
      <c r="V2066" s="2" t="inlineStr"/>
    </row>
    <row r="2067" ht="15" customHeight="1">
      <c r="A2067" t="inlineStr">
        <is>
          <t>A 55818-2023</t>
        </is>
      </c>
      <c r="B2067" t="inlineStr">
        <is>
          <t>avverkningsanmälan</t>
        </is>
      </c>
      <c r="C2067" t="inlineStr">
        <is>
          <t>Föryngringsavverkning</t>
        </is>
      </c>
      <c r="D2067" s="1" t="n">
        <v>45239</v>
      </c>
      <c r="E2067" s="1" t="n">
        <v>46309</v>
      </c>
      <c r="F2067" t="inlineStr">
        <is>
          <t>UPPSALA LÄN</t>
        </is>
      </c>
      <c r="G2067" t="inlineStr">
        <is>
          <t>TIERP</t>
        </is>
      </c>
      <c r="I2067" t="n">
        <v>0.4</v>
      </c>
      <c r="J2067" t="n">
        <v>0</v>
      </c>
      <c r="K2067" t="n">
        <v>0</v>
      </c>
      <c r="L2067" t="n">
        <v>0</v>
      </c>
      <c r="M2067" t="n">
        <v>0</v>
      </c>
      <c r="N2067" t="n">
        <v>0</v>
      </c>
      <c r="O2067" t="n">
        <v>0</v>
      </c>
      <c r="P2067" t="n">
        <v>0</v>
      </c>
      <c r="Q2067" t="n">
        <v>0</v>
      </c>
      <c r="R2067" t="n">
        <v>0</v>
      </c>
      <c r="S2067" t="n">
        <v>0</v>
      </c>
      <c r="T2067" t="n">
        <v>0</v>
      </c>
      <c r="U2067" t="n">
        <v>0</v>
      </c>
      <c r="V2067" s="2" t="inlineStr"/>
    </row>
    <row r="2068" ht="15" customHeight="1">
      <c r="A2068" t="inlineStr">
        <is>
          <t>A 16640-2026</t>
        </is>
      </c>
      <c r="B2068" t="inlineStr">
        <is>
          <t>avverkningsanmälan</t>
        </is>
      </c>
      <c r="C2068" t="inlineStr">
        <is>
          <t>Föryngringsavverkning</t>
        </is>
      </c>
      <c r="D2068" s="1" t="n">
        <v>46112</v>
      </c>
      <c r="E2068" s="1" t="n">
        <v>46309</v>
      </c>
      <c r="F2068" t="inlineStr">
        <is>
          <t>UPPSALA LÄN</t>
        </is>
      </c>
      <c r="G2068" t="inlineStr">
        <is>
          <t>ÖSTHAMMAR</t>
        </is>
      </c>
      <c r="I2068" t="n">
        <v>1.2</v>
      </c>
      <c r="J2068" t="n">
        <v>0</v>
      </c>
      <c r="K2068" t="n">
        <v>0</v>
      </c>
      <c r="L2068" t="n">
        <v>0</v>
      </c>
      <c r="M2068" t="n">
        <v>0</v>
      </c>
      <c r="N2068" t="n">
        <v>0</v>
      </c>
      <c r="O2068" t="n">
        <v>0</v>
      </c>
      <c r="P2068" t="n">
        <v>0</v>
      </c>
      <c r="Q2068" t="n">
        <v>0</v>
      </c>
      <c r="R2068" t="n">
        <v>0</v>
      </c>
      <c r="S2068" t="n">
        <v>0</v>
      </c>
      <c r="T2068" t="n">
        <v>0</v>
      </c>
      <c r="U2068" t="n">
        <v>0</v>
      </c>
      <c r="V2068" s="2" t="inlineStr"/>
    </row>
    <row r="2069" ht="15" customHeight="1">
      <c r="A2069" t="inlineStr">
        <is>
          <t>A 11744-2023</t>
        </is>
      </c>
      <c r="B2069" t="inlineStr">
        <is>
          <t>avverkningsanmälan</t>
        </is>
      </c>
      <c r="C2069" t="inlineStr">
        <is>
          <t>Föryngringsavverkning</t>
        </is>
      </c>
      <c r="D2069" s="1" t="n">
        <v>44993</v>
      </c>
      <c r="E2069" s="1" t="n">
        <v>46309</v>
      </c>
      <c r="F2069" t="inlineStr">
        <is>
          <t>UPPSALA LÄN</t>
        </is>
      </c>
      <c r="G2069" t="inlineStr">
        <is>
          <t>UPPSALA</t>
        </is>
      </c>
      <c r="I2069" t="n">
        <v>1.4</v>
      </c>
      <c r="J2069" t="n">
        <v>0</v>
      </c>
      <c r="K2069" t="n">
        <v>0</v>
      </c>
      <c r="L2069" t="n">
        <v>0</v>
      </c>
      <c r="M2069" t="n">
        <v>0</v>
      </c>
      <c r="N2069" t="n">
        <v>0</v>
      </c>
      <c r="O2069" t="n">
        <v>0</v>
      </c>
      <c r="P2069" t="n">
        <v>0</v>
      </c>
      <c r="Q2069" t="n">
        <v>0</v>
      </c>
      <c r="R2069" t="n">
        <v>0</v>
      </c>
      <c r="S2069" t="n">
        <v>0</v>
      </c>
      <c r="T2069" t="n">
        <v>0</v>
      </c>
      <c r="U2069" t="n">
        <v>0</v>
      </c>
      <c r="V2069" s="2" t="inlineStr"/>
    </row>
    <row r="2070" ht="15" customHeight="1">
      <c r="A2070" t="inlineStr">
        <is>
          <t>A 17077-2026</t>
        </is>
      </c>
      <c r="B2070" t="inlineStr">
        <is>
          <t>avverkningsanmälan</t>
        </is>
      </c>
      <c r="C2070" t="inlineStr">
        <is>
          <t>Föryngringsavverkning</t>
        </is>
      </c>
      <c r="D2070" s="1" t="n">
        <v>46114</v>
      </c>
      <c r="E2070" s="1" t="n">
        <v>46309</v>
      </c>
      <c r="F2070" t="inlineStr">
        <is>
          <t>UPPSALA LÄN</t>
        </is>
      </c>
      <c r="G2070" t="inlineStr">
        <is>
          <t>HEBY</t>
        </is>
      </c>
      <c r="I2070" t="n">
        <v>2.7</v>
      </c>
      <c r="J2070" t="n">
        <v>0</v>
      </c>
      <c r="K2070" t="n">
        <v>0</v>
      </c>
      <c r="L2070" t="n">
        <v>0</v>
      </c>
      <c r="M2070" t="n">
        <v>0</v>
      </c>
      <c r="N2070" t="n">
        <v>0</v>
      </c>
      <c r="O2070" t="n">
        <v>0</v>
      </c>
      <c r="P2070" t="n">
        <v>0</v>
      </c>
      <c r="Q2070" t="n">
        <v>0</v>
      </c>
      <c r="R2070" t="n">
        <v>0</v>
      </c>
      <c r="S2070" t="n">
        <v>0</v>
      </c>
      <c r="T2070" t="n">
        <v>0</v>
      </c>
      <c r="U2070" t="n">
        <v>0</v>
      </c>
      <c r="V2070" s="2" t="inlineStr"/>
    </row>
    <row r="2071" ht="15" customHeight="1">
      <c r="A2071" t="inlineStr">
        <is>
          <t>A 17078-2026</t>
        </is>
      </c>
      <c r="B2071" t="inlineStr">
        <is>
          <t>avverkningsanmälan</t>
        </is>
      </c>
      <c r="C2071" t="inlineStr">
        <is>
          <t>Föryngringsavverkning</t>
        </is>
      </c>
      <c r="D2071" s="1" t="n">
        <v>46114</v>
      </c>
      <c r="E2071" s="1" t="n">
        <v>46309</v>
      </c>
      <c r="F2071" t="inlineStr">
        <is>
          <t>UPPSALA LÄN</t>
        </is>
      </c>
      <c r="G2071" t="inlineStr">
        <is>
          <t>HEBY</t>
        </is>
      </c>
      <c r="I2071" t="n">
        <v>5.9</v>
      </c>
      <c r="J2071" t="n">
        <v>0</v>
      </c>
      <c r="K2071" t="n">
        <v>0</v>
      </c>
      <c r="L2071" t="n">
        <v>0</v>
      </c>
      <c r="M2071" t="n">
        <v>0</v>
      </c>
      <c r="N2071" t="n">
        <v>0</v>
      </c>
      <c r="O2071" t="n">
        <v>0</v>
      </c>
      <c r="P2071" t="n">
        <v>0</v>
      </c>
      <c r="Q2071" t="n">
        <v>0</v>
      </c>
      <c r="R2071" t="n">
        <v>0</v>
      </c>
      <c r="S2071" t="n">
        <v>0</v>
      </c>
      <c r="T2071" t="n">
        <v>0</v>
      </c>
      <c r="U2071" t="n">
        <v>0</v>
      </c>
      <c r="V2071" s="2" t="inlineStr"/>
    </row>
    <row r="2072" ht="15" customHeight="1">
      <c r="A2072" t="inlineStr">
        <is>
          <t>A 17131-2026</t>
        </is>
      </c>
      <c r="B2072" t="inlineStr">
        <is>
          <t>avverkningsanmälan</t>
        </is>
      </c>
      <c r="C2072" t="inlineStr">
        <is>
          <t>Föryngringsavverkning</t>
        </is>
      </c>
      <c r="D2072" s="1" t="n">
        <v>46114</v>
      </c>
      <c r="E2072" s="1" t="n">
        <v>46309</v>
      </c>
      <c r="F2072" t="inlineStr">
        <is>
          <t>UPPSALA LÄN</t>
        </is>
      </c>
      <c r="G2072" t="inlineStr">
        <is>
          <t>UPPSALA</t>
        </is>
      </c>
      <c r="H2072" t="inlineStr">
        <is>
          <t>Bergvik skog öst AB</t>
        </is>
      </c>
      <c r="I2072" t="n">
        <v>0.6</v>
      </c>
      <c r="J2072" t="n">
        <v>0</v>
      </c>
      <c r="K2072" t="n">
        <v>0</v>
      </c>
      <c r="L2072" t="n">
        <v>0</v>
      </c>
      <c r="M2072" t="n">
        <v>0</v>
      </c>
      <c r="N2072" t="n">
        <v>0</v>
      </c>
      <c r="O2072" t="n">
        <v>0</v>
      </c>
      <c r="P2072" t="n">
        <v>0</v>
      </c>
      <c r="Q2072" t="n">
        <v>0</v>
      </c>
      <c r="R2072" t="n">
        <v>0</v>
      </c>
      <c r="S2072" t="n">
        <v>0</v>
      </c>
      <c r="T2072" t="n">
        <v>0</v>
      </c>
      <c r="U2072" t="n">
        <v>0</v>
      </c>
      <c r="V2072" s="2" t="inlineStr"/>
    </row>
    <row r="2073" ht="15" customHeight="1">
      <c r="A2073" t="inlineStr">
        <is>
          <t>A 2039-2023</t>
        </is>
      </c>
      <c r="B2073" t="inlineStr">
        <is>
          <t>avverkningsanmälan</t>
        </is>
      </c>
      <c r="C2073" t="inlineStr">
        <is>
          <t>Föryngringsavverkning</t>
        </is>
      </c>
      <c r="D2073" s="1" t="n">
        <v>44939</v>
      </c>
      <c r="E2073" s="1" t="n">
        <v>46309</v>
      </c>
      <c r="F2073" t="inlineStr">
        <is>
          <t>UPPSALA LÄN</t>
        </is>
      </c>
      <c r="G2073" t="inlineStr">
        <is>
          <t>HEBY</t>
        </is>
      </c>
      <c r="I2073" t="n">
        <v>0.9</v>
      </c>
      <c r="J2073" t="n">
        <v>0</v>
      </c>
      <c r="K2073" t="n">
        <v>0</v>
      </c>
      <c r="L2073" t="n">
        <v>0</v>
      </c>
      <c r="M2073" t="n">
        <v>0</v>
      </c>
      <c r="N2073" t="n">
        <v>0</v>
      </c>
      <c r="O2073" t="n">
        <v>0</v>
      </c>
      <c r="P2073" t="n">
        <v>0</v>
      </c>
      <c r="Q2073" t="n">
        <v>0</v>
      </c>
      <c r="R2073" t="n">
        <v>0</v>
      </c>
      <c r="S2073" t="n">
        <v>0</v>
      </c>
      <c r="T2073" t="n">
        <v>0</v>
      </c>
      <c r="U2073" t="n">
        <v>0</v>
      </c>
      <c r="V2073" s="2" t="inlineStr"/>
    </row>
    <row r="2074" ht="15" customHeight="1">
      <c r="A2074" t="inlineStr">
        <is>
          <t>A 17217-2026</t>
        </is>
      </c>
      <c r="B2074" t="inlineStr">
        <is>
          <t>avverkningsanmälan</t>
        </is>
      </c>
      <c r="C2074" t="inlineStr">
        <is>
          <t>Föryngringsavverkning</t>
        </is>
      </c>
      <c r="D2074" s="1" t="n">
        <v>46119</v>
      </c>
      <c r="E2074" s="1" t="n">
        <v>46309</v>
      </c>
      <c r="F2074" t="inlineStr">
        <is>
          <t>UPPSALA LÄN</t>
        </is>
      </c>
      <c r="G2074" t="inlineStr">
        <is>
          <t>UPPSALA</t>
        </is>
      </c>
      <c r="I2074" t="n">
        <v>2.5</v>
      </c>
      <c r="J2074" t="n">
        <v>0</v>
      </c>
      <c r="K2074" t="n">
        <v>0</v>
      </c>
      <c r="L2074" t="n">
        <v>0</v>
      </c>
      <c r="M2074" t="n">
        <v>0</v>
      </c>
      <c r="N2074" t="n">
        <v>0</v>
      </c>
      <c r="O2074" t="n">
        <v>0</v>
      </c>
      <c r="P2074" t="n">
        <v>0</v>
      </c>
      <c r="Q2074" t="n">
        <v>0</v>
      </c>
      <c r="R2074" t="n">
        <v>0</v>
      </c>
      <c r="S2074" t="n">
        <v>0</v>
      </c>
      <c r="T2074" t="n">
        <v>0</v>
      </c>
      <c r="U2074" t="n">
        <v>0</v>
      </c>
      <c r="V2074" s="2" t="inlineStr"/>
    </row>
    <row r="2075" ht="15" customHeight="1">
      <c r="A2075" t="inlineStr">
        <is>
          <t>A 17354-2026</t>
        </is>
      </c>
      <c r="B2075" t="inlineStr">
        <is>
          <t>avverkningsanmälan</t>
        </is>
      </c>
      <c r="C2075" t="inlineStr">
        <is>
          <t>Föryngringsavverkning</t>
        </is>
      </c>
      <c r="D2075" s="1" t="n">
        <v>46119</v>
      </c>
      <c r="E2075" s="1" t="n">
        <v>46309</v>
      </c>
      <c r="F2075" t="inlineStr">
        <is>
          <t>UPPSALA LÄN</t>
        </is>
      </c>
      <c r="G2075" t="inlineStr">
        <is>
          <t>TIERP</t>
        </is>
      </c>
      <c r="H2075" t="inlineStr">
        <is>
          <t>Bergvik skog öst AB</t>
        </is>
      </c>
      <c r="I2075" t="n">
        <v>14.7</v>
      </c>
      <c r="J2075" t="n">
        <v>0</v>
      </c>
      <c r="K2075" t="n">
        <v>0</v>
      </c>
      <c r="L2075" t="n">
        <v>0</v>
      </c>
      <c r="M2075" t="n">
        <v>0</v>
      </c>
      <c r="N2075" t="n">
        <v>0</v>
      </c>
      <c r="O2075" t="n">
        <v>0</v>
      </c>
      <c r="P2075" t="n">
        <v>0</v>
      </c>
      <c r="Q2075" t="n">
        <v>0</v>
      </c>
      <c r="R2075" t="n">
        <v>0</v>
      </c>
      <c r="S2075" t="n">
        <v>0</v>
      </c>
      <c r="T2075" t="n">
        <v>0</v>
      </c>
      <c r="U2075" t="n">
        <v>0</v>
      </c>
      <c r="V2075" s="2" t="inlineStr"/>
    </row>
    <row r="2076" ht="15" customHeight="1">
      <c r="A2076" t="inlineStr">
        <is>
          <t>A 69411-2021</t>
        </is>
      </c>
      <c r="B2076" t="inlineStr">
        <is>
          <t>avverkningsanmälan</t>
        </is>
      </c>
      <c r="C2076" t="inlineStr">
        <is>
          <t>Föryngringsavverkning</t>
        </is>
      </c>
      <c r="D2076" s="1" t="n">
        <v>44531</v>
      </c>
      <c r="E2076" s="1" t="n">
        <v>46309</v>
      </c>
      <c r="F2076" t="inlineStr">
        <is>
          <t>UPPSALA LÄN</t>
        </is>
      </c>
      <c r="G2076" t="inlineStr">
        <is>
          <t>ÖSTHAMMAR</t>
        </is>
      </c>
      <c r="H2076" t="inlineStr">
        <is>
          <t>Bergvik skog öst AB</t>
        </is>
      </c>
      <c r="I2076" t="n">
        <v>1.1</v>
      </c>
      <c r="J2076" t="n">
        <v>0</v>
      </c>
      <c r="K2076" t="n">
        <v>0</v>
      </c>
      <c r="L2076" t="n">
        <v>0</v>
      </c>
      <c r="M2076" t="n">
        <v>0</v>
      </c>
      <c r="N2076" t="n">
        <v>0</v>
      </c>
      <c r="O2076" t="n">
        <v>0</v>
      </c>
      <c r="P2076" t="n">
        <v>0</v>
      </c>
      <c r="Q2076" t="n">
        <v>0</v>
      </c>
      <c r="R2076" t="n">
        <v>0</v>
      </c>
      <c r="S2076" t="n">
        <v>0</v>
      </c>
      <c r="T2076" t="n">
        <v>0</v>
      </c>
      <c r="U2076" t="n">
        <v>0</v>
      </c>
      <c r="V2076" s="2" t="inlineStr"/>
    </row>
    <row r="2077" ht="15" customHeight="1">
      <c r="A2077" t="inlineStr">
        <is>
          <t>A 17218-2026</t>
        </is>
      </c>
      <c r="B2077" t="inlineStr">
        <is>
          <t>avverkningsanmälan</t>
        </is>
      </c>
      <c r="C2077" t="inlineStr">
        <is>
          <t>Föryngringsavverkning</t>
        </is>
      </c>
      <c r="D2077" s="1" t="n">
        <v>46119</v>
      </c>
      <c r="E2077" s="1" t="n">
        <v>46309</v>
      </c>
      <c r="F2077" t="inlineStr">
        <is>
          <t>UPPSALA LÄN</t>
        </is>
      </c>
      <c r="G2077" t="inlineStr">
        <is>
          <t>UPPSALA</t>
        </is>
      </c>
      <c r="I2077" t="n">
        <v>0.8</v>
      </c>
      <c r="J2077" t="n">
        <v>0</v>
      </c>
      <c r="K2077" t="n">
        <v>0</v>
      </c>
      <c r="L2077" t="n">
        <v>0</v>
      </c>
      <c r="M2077" t="n">
        <v>0</v>
      </c>
      <c r="N2077" t="n">
        <v>0</v>
      </c>
      <c r="O2077" t="n">
        <v>0</v>
      </c>
      <c r="P2077" t="n">
        <v>0</v>
      </c>
      <c r="Q2077" t="n">
        <v>0</v>
      </c>
      <c r="R2077" t="n">
        <v>0</v>
      </c>
      <c r="S2077" t="n">
        <v>0</v>
      </c>
      <c r="T2077" t="n">
        <v>0</v>
      </c>
      <c r="U2077" t="n">
        <v>0</v>
      </c>
      <c r="V2077" s="2" t="inlineStr"/>
    </row>
    <row r="2078" ht="15" customHeight="1">
      <c r="A2078" t="inlineStr">
        <is>
          <t>A 69432-2021</t>
        </is>
      </c>
      <c r="B2078" t="inlineStr">
        <is>
          <t>avverkningsanmälan</t>
        </is>
      </c>
      <c r="C2078" t="inlineStr">
        <is>
          <t>Föryngringsavverkning</t>
        </is>
      </c>
      <c r="D2078" s="1" t="n">
        <v>44531</v>
      </c>
      <c r="E2078" s="1" t="n">
        <v>46309</v>
      </c>
      <c r="F2078" t="inlineStr">
        <is>
          <t>UPPSALA LÄN</t>
        </is>
      </c>
      <c r="G2078" t="inlineStr">
        <is>
          <t>UPPSALA</t>
        </is>
      </c>
      <c r="I2078" t="n">
        <v>1.7</v>
      </c>
      <c r="J2078" t="n">
        <v>0</v>
      </c>
      <c r="K2078" t="n">
        <v>0</v>
      </c>
      <c r="L2078" t="n">
        <v>0</v>
      </c>
      <c r="M2078" t="n">
        <v>0</v>
      </c>
      <c r="N2078" t="n">
        <v>0</v>
      </c>
      <c r="O2078" t="n">
        <v>0</v>
      </c>
      <c r="P2078" t="n">
        <v>0</v>
      </c>
      <c r="Q2078" t="n">
        <v>0</v>
      </c>
      <c r="R2078" t="n">
        <v>0</v>
      </c>
      <c r="S2078" t="n">
        <v>0</v>
      </c>
      <c r="T2078" t="n">
        <v>0</v>
      </c>
      <c r="U2078" t="n">
        <v>0</v>
      </c>
      <c r="V2078" s="2" t="inlineStr"/>
    </row>
    <row r="2079" ht="15" customHeight="1">
      <c r="A2079" t="inlineStr">
        <is>
          <t>A 17418-2026</t>
        </is>
      </c>
      <c r="B2079" t="inlineStr">
        <is>
          <t>avverkningsanmälan</t>
        </is>
      </c>
      <c r="C2079" t="inlineStr">
        <is>
          <t>Föryngringsavverkning</t>
        </is>
      </c>
      <c r="D2079" s="1" t="n">
        <v>46120</v>
      </c>
      <c r="E2079" s="1" t="n">
        <v>46309</v>
      </c>
      <c r="F2079" t="inlineStr">
        <is>
          <t>UPPSALA LÄN</t>
        </is>
      </c>
      <c r="G2079" t="inlineStr">
        <is>
          <t>ENKÖPING</t>
        </is>
      </c>
      <c r="I2079" t="n">
        <v>0.6</v>
      </c>
      <c r="J2079" t="n">
        <v>0</v>
      </c>
      <c r="K2079" t="n">
        <v>0</v>
      </c>
      <c r="L2079" t="n">
        <v>0</v>
      </c>
      <c r="M2079" t="n">
        <v>0</v>
      </c>
      <c r="N2079" t="n">
        <v>0</v>
      </c>
      <c r="O2079" t="n">
        <v>0</v>
      </c>
      <c r="P2079" t="n">
        <v>0</v>
      </c>
      <c r="Q2079" t="n">
        <v>0</v>
      </c>
      <c r="R2079" t="n">
        <v>0</v>
      </c>
      <c r="S2079" t="n">
        <v>0</v>
      </c>
      <c r="T2079" t="n">
        <v>0</v>
      </c>
      <c r="U2079" t="n">
        <v>0</v>
      </c>
      <c r="V2079" s="2" t="inlineStr"/>
    </row>
    <row r="2080" ht="15" customHeight="1">
      <c r="A2080" t="inlineStr">
        <is>
          <t>A 43896-2022</t>
        </is>
      </c>
      <c r="B2080" t="inlineStr">
        <is>
          <t>avverkningsanmälan</t>
        </is>
      </c>
      <c r="C2080" t="inlineStr">
        <is>
          <t>Föryngringsavverkning</t>
        </is>
      </c>
      <c r="D2080" s="1" t="n">
        <v>44838</v>
      </c>
      <c r="E2080" s="1" t="n">
        <v>46309</v>
      </c>
      <c r="F2080" t="inlineStr">
        <is>
          <t>UPPSALA LÄN</t>
        </is>
      </c>
      <c r="G2080" t="inlineStr">
        <is>
          <t>ENKÖPING</t>
        </is>
      </c>
      <c r="I2080" t="n">
        <v>5.3</v>
      </c>
      <c r="J2080" t="n">
        <v>0</v>
      </c>
      <c r="K2080" t="n">
        <v>0</v>
      </c>
      <c r="L2080" t="n">
        <v>0</v>
      </c>
      <c r="M2080" t="n">
        <v>0</v>
      </c>
      <c r="N2080" t="n">
        <v>0</v>
      </c>
      <c r="O2080" t="n">
        <v>0</v>
      </c>
      <c r="P2080" t="n">
        <v>0</v>
      </c>
      <c r="Q2080" t="n">
        <v>0</v>
      </c>
      <c r="R2080" t="n">
        <v>0</v>
      </c>
      <c r="S2080" t="n">
        <v>0</v>
      </c>
      <c r="T2080" t="n">
        <v>0</v>
      </c>
      <c r="U2080" t="n">
        <v>0</v>
      </c>
      <c r="V2080" s="2" t="inlineStr"/>
    </row>
    <row r="2081" ht="15" customHeight="1">
      <c r="A2081" t="inlineStr">
        <is>
          <t>A 17419-2026</t>
        </is>
      </c>
      <c r="B2081" t="inlineStr">
        <is>
          <t>avverkningsanmälan</t>
        </is>
      </c>
      <c r="C2081" t="inlineStr">
        <is>
          <t>Föryngringsavverkning</t>
        </is>
      </c>
      <c r="D2081" s="1" t="n">
        <v>46120</v>
      </c>
      <c r="E2081" s="1" t="n">
        <v>46309</v>
      </c>
      <c r="F2081" t="inlineStr">
        <is>
          <t>UPPSALA LÄN</t>
        </is>
      </c>
      <c r="G2081" t="inlineStr">
        <is>
          <t>ENKÖPING</t>
        </is>
      </c>
      <c r="I2081" t="n">
        <v>0.6</v>
      </c>
      <c r="J2081" t="n">
        <v>0</v>
      </c>
      <c r="K2081" t="n">
        <v>0</v>
      </c>
      <c r="L2081" t="n">
        <v>0</v>
      </c>
      <c r="M2081" t="n">
        <v>0</v>
      </c>
      <c r="N2081" t="n">
        <v>0</v>
      </c>
      <c r="O2081" t="n">
        <v>0</v>
      </c>
      <c r="P2081" t="n">
        <v>0</v>
      </c>
      <c r="Q2081" t="n">
        <v>0</v>
      </c>
      <c r="R2081" t="n">
        <v>0</v>
      </c>
      <c r="S2081" t="n">
        <v>0</v>
      </c>
      <c r="T2081" t="n">
        <v>0</v>
      </c>
      <c r="U2081" t="n">
        <v>0</v>
      </c>
      <c r="V2081" s="2" t="inlineStr"/>
    </row>
    <row r="2082" ht="15" customHeight="1">
      <c r="A2082" t="inlineStr">
        <is>
          <t>A 69691-2021</t>
        </is>
      </c>
      <c r="B2082" t="inlineStr">
        <is>
          <t>avverkningsanmälan</t>
        </is>
      </c>
      <c r="C2082" t="inlineStr">
        <is>
          <t>Föryngringsavverkning</t>
        </is>
      </c>
      <c r="D2082" s="1" t="n">
        <v>44532</v>
      </c>
      <c r="E2082" s="1" t="n">
        <v>46309</v>
      </c>
      <c r="F2082" t="inlineStr">
        <is>
          <t>UPPSALA LÄN</t>
        </is>
      </c>
      <c r="G2082" t="inlineStr">
        <is>
          <t>UPPSALA</t>
        </is>
      </c>
      <c r="I2082" t="n">
        <v>2.3</v>
      </c>
      <c r="J2082" t="n">
        <v>0</v>
      </c>
      <c r="K2082" t="n">
        <v>0</v>
      </c>
      <c r="L2082" t="n">
        <v>0</v>
      </c>
      <c r="M2082" t="n">
        <v>0</v>
      </c>
      <c r="N2082" t="n">
        <v>0</v>
      </c>
      <c r="O2082" t="n">
        <v>0</v>
      </c>
      <c r="P2082" t="n">
        <v>0</v>
      </c>
      <c r="Q2082" t="n">
        <v>0</v>
      </c>
      <c r="R2082" t="n">
        <v>0</v>
      </c>
      <c r="S2082" t="n">
        <v>0</v>
      </c>
      <c r="T2082" t="n">
        <v>0</v>
      </c>
      <c r="U2082" t="n">
        <v>0</v>
      </c>
      <c r="V2082" s="2" t="inlineStr"/>
    </row>
    <row r="2083" ht="15" customHeight="1">
      <c r="A2083" t="inlineStr">
        <is>
          <t>A 9893-2022</t>
        </is>
      </c>
      <c r="B2083" t="inlineStr">
        <is>
          <t>avverkningsanmälan</t>
        </is>
      </c>
      <c r="C2083" t="inlineStr">
        <is>
          <t>Föryngringsavverkning</t>
        </is>
      </c>
      <c r="D2083" s="1" t="n">
        <v>44620</v>
      </c>
      <c r="E2083" s="1" t="n">
        <v>46309</v>
      </c>
      <c r="F2083" t="inlineStr">
        <is>
          <t>UPPSALA LÄN</t>
        </is>
      </c>
      <c r="G2083" t="inlineStr">
        <is>
          <t>TIERP</t>
        </is>
      </c>
      <c r="I2083" t="n">
        <v>3.1</v>
      </c>
      <c r="J2083" t="n">
        <v>0</v>
      </c>
      <c r="K2083" t="n">
        <v>0</v>
      </c>
      <c r="L2083" t="n">
        <v>0</v>
      </c>
      <c r="M2083" t="n">
        <v>0</v>
      </c>
      <c r="N2083" t="n">
        <v>0</v>
      </c>
      <c r="O2083" t="n">
        <v>0</v>
      </c>
      <c r="P2083" t="n">
        <v>0</v>
      </c>
      <c r="Q2083" t="n">
        <v>0</v>
      </c>
      <c r="R2083" t="n">
        <v>0</v>
      </c>
      <c r="S2083" t="n">
        <v>0</v>
      </c>
      <c r="T2083" t="n">
        <v>0</v>
      </c>
      <c r="U2083" t="n">
        <v>0</v>
      </c>
      <c r="V2083" s="2" t="inlineStr"/>
    </row>
    <row r="2084" ht="15" customHeight="1">
      <c r="A2084" t="inlineStr">
        <is>
          <t>A 49831-2023</t>
        </is>
      </c>
      <c r="B2084" t="inlineStr">
        <is>
          <t>avverkningsanmälan</t>
        </is>
      </c>
      <c r="C2084" t="inlineStr">
        <is>
          <t>Föryngringsavverkning</t>
        </is>
      </c>
      <c r="D2084" s="1" t="n">
        <v>45212</v>
      </c>
      <c r="E2084" s="1" t="n">
        <v>46309</v>
      </c>
      <c r="F2084" t="inlineStr">
        <is>
          <t>UPPSALA LÄN</t>
        </is>
      </c>
      <c r="G2084" t="inlineStr">
        <is>
          <t>ÖSTHAMMAR</t>
        </is>
      </c>
      <c r="H2084" t="inlineStr">
        <is>
          <t>Bergvik skog öst AB</t>
        </is>
      </c>
      <c r="I2084" t="n">
        <v>0.4</v>
      </c>
      <c r="J2084" t="n">
        <v>0</v>
      </c>
      <c r="K2084" t="n">
        <v>0</v>
      </c>
      <c r="L2084" t="n">
        <v>0</v>
      </c>
      <c r="M2084" t="n">
        <v>0</v>
      </c>
      <c r="N2084" t="n">
        <v>0</v>
      </c>
      <c r="O2084" t="n">
        <v>0</v>
      </c>
      <c r="P2084" t="n">
        <v>0</v>
      </c>
      <c r="Q2084" t="n">
        <v>0</v>
      </c>
      <c r="R2084" t="n">
        <v>0</v>
      </c>
      <c r="S2084" t="n">
        <v>0</v>
      </c>
      <c r="T2084" t="n">
        <v>0</v>
      </c>
      <c r="U2084" t="n">
        <v>0</v>
      </c>
      <c r="V2084" s="2" t="inlineStr"/>
    </row>
    <row r="2085" ht="15" customHeight="1">
      <c r="A2085" t="inlineStr">
        <is>
          <t>A 17899-2026</t>
        </is>
      </c>
      <c r="B2085" t="inlineStr">
        <is>
          <t>avverkningsanmälan</t>
        </is>
      </c>
      <c r="C2085" t="inlineStr">
        <is>
          <t>Föryngringsavverkning</t>
        </is>
      </c>
      <c r="D2085" s="1" t="n">
        <v>46122</v>
      </c>
      <c r="E2085" s="1" t="n">
        <v>46309</v>
      </c>
      <c r="F2085" t="inlineStr">
        <is>
          <t>UPPSALA LÄN</t>
        </is>
      </c>
      <c r="G2085" t="inlineStr">
        <is>
          <t>UPPSALA</t>
        </is>
      </c>
      <c r="I2085" t="n">
        <v>1.8</v>
      </c>
      <c r="J2085" t="n">
        <v>0</v>
      </c>
      <c r="K2085" t="n">
        <v>0</v>
      </c>
      <c r="L2085" t="n">
        <v>0</v>
      </c>
      <c r="M2085" t="n">
        <v>0</v>
      </c>
      <c r="N2085" t="n">
        <v>0</v>
      </c>
      <c r="O2085" t="n">
        <v>0</v>
      </c>
      <c r="P2085" t="n">
        <v>0</v>
      </c>
      <c r="Q2085" t="n">
        <v>0</v>
      </c>
      <c r="R2085" t="n">
        <v>0</v>
      </c>
      <c r="S2085" t="n">
        <v>0</v>
      </c>
      <c r="T2085" t="n">
        <v>0</v>
      </c>
      <c r="U2085" t="n">
        <v>0</v>
      </c>
      <c r="V2085" s="2" t="inlineStr"/>
    </row>
    <row r="2086" ht="15" customHeight="1">
      <c r="A2086" t="inlineStr">
        <is>
          <t>A 17851-2026</t>
        </is>
      </c>
      <c r="B2086" t="inlineStr">
        <is>
          <t>avverkningsanmälan</t>
        </is>
      </c>
      <c r="C2086" t="inlineStr">
        <is>
          <t>Föryngringsavverkning</t>
        </is>
      </c>
      <c r="D2086" s="1" t="n">
        <v>46122</v>
      </c>
      <c r="E2086" s="1" t="n">
        <v>46309</v>
      </c>
      <c r="F2086" t="inlineStr">
        <is>
          <t>UPPSALA LÄN</t>
        </is>
      </c>
      <c r="G2086" t="inlineStr">
        <is>
          <t>ÄLVKARLEBY</t>
        </is>
      </c>
      <c r="H2086" t="inlineStr">
        <is>
          <t>Bergvik skog öst AB</t>
        </is>
      </c>
      <c r="I2086" t="n">
        <v>3.6</v>
      </c>
      <c r="J2086" t="n">
        <v>0</v>
      </c>
      <c r="K2086" t="n">
        <v>0</v>
      </c>
      <c r="L2086" t="n">
        <v>0</v>
      </c>
      <c r="M2086" t="n">
        <v>0</v>
      </c>
      <c r="N2086" t="n">
        <v>0</v>
      </c>
      <c r="O2086" t="n">
        <v>0</v>
      </c>
      <c r="P2086" t="n">
        <v>0</v>
      </c>
      <c r="Q2086" t="n">
        <v>0</v>
      </c>
      <c r="R2086" t="n">
        <v>0</v>
      </c>
      <c r="S2086" t="n">
        <v>0</v>
      </c>
      <c r="T2086" t="n">
        <v>0</v>
      </c>
      <c r="U2086" t="n">
        <v>0</v>
      </c>
      <c r="V2086" s="2" t="inlineStr"/>
    </row>
    <row r="2087" ht="15" customHeight="1">
      <c r="A2087" t="inlineStr">
        <is>
          <t>A 41737-2022</t>
        </is>
      </c>
      <c r="B2087" t="inlineStr">
        <is>
          <t>avverkningsanmälan</t>
        </is>
      </c>
      <c r="C2087" t="inlineStr">
        <is>
          <t>Föryngringsavverkning</t>
        </is>
      </c>
      <c r="D2087" s="1" t="n">
        <v>44827</v>
      </c>
      <c r="E2087" s="1" t="n">
        <v>46309</v>
      </c>
      <c r="F2087" t="inlineStr">
        <is>
          <t>UPPSALA LÄN</t>
        </is>
      </c>
      <c r="G2087" t="inlineStr">
        <is>
          <t>ENKÖPING</t>
        </is>
      </c>
      <c r="I2087" t="n">
        <v>1.5</v>
      </c>
      <c r="J2087" t="n">
        <v>0</v>
      </c>
      <c r="K2087" t="n">
        <v>0</v>
      </c>
      <c r="L2087" t="n">
        <v>0</v>
      </c>
      <c r="M2087" t="n">
        <v>0</v>
      </c>
      <c r="N2087" t="n">
        <v>0</v>
      </c>
      <c r="O2087" t="n">
        <v>0</v>
      </c>
      <c r="P2087" t="n">
        <v>0</v>
      </c>
      <c r="Q2087" t="n">
        <v>0</v>
      </c>
      <c r="R2087" t="n">
        <v>0</v>
      </c>
      <c r="S2087" t="n">
        <v>0</v>
      </c>
      <c r="T2087" t="n">
        <v>0</v>
      </c>
      <c r="U2087" t="n">
        <v>0</v>
      </c>
      <c r="V2087" s="2" t="inlineStr"/>
    </row>
    <row r="2088" ht="15" customHeight="1">
      <c r="A2088" t="inlineStr">
        <is>
          <t>A 18559-2026</t>
        </is>
      </c>
      <c r="B2088" t="inlineStr">
        <is>
          <t>avverkningsanmälan</t>
        </is>
      </c>
      <c r="C2088" t="inlineStr">
        <is>
          <t>Föryngringsavverkning</t>
        </is>
      </c>
      <c r="D2088" s="1" t="n">
        <v>46127</v>
      </c>
      <c r="E2088" s="1" t="n">
        <v>46309</v>
      </c>
      <c r="F2088" t="inlineStr">
        <is>
          <t>UPPSALA LÄN</t>
        </is>
      </c>
      <c r="G2088" t="inlineStr">
        <is>
          <t>TIERP</t>
        </is>
      </c>
      <c r="H2088" t="inlineStr">
        <is>
          <t>Bergvik skog öst AB</t>
        </is>
      </c>
      <c r="I2088" t="n">
        <v>2.7</v>
      </c>
      <c r="J2088" t="n">
        <v>0</v>
      </c>
      <c r="K2088" t="n">
        <v>0</v>
      </c>
      <c r="L2088" t="n">
        <v>0</v>
      </c>
      <c r="M2088" t="n">
        <v>0</v>
      </c>
      <c r="N2088" t="n">
        <v>0</v>
      </c>
      <c r="O2088" t="n">
        <v>0</v>
      </c>
      <c r="P2088" t="n">
        <v>0</v>
      </c>
      <c r="Q2088" t="n">
        <v>0</v>
      </c>
      <c r="R2088" t="n">
        <v>0</v>
      </c>
      <c r="S2088" t="n">
        <v>0</v>
      </c>
      <c r="T2088" t="n">
        <v>0</v>
      </c>
      <c r="U2088" t="n">
        <v>0</v>
      </c>
      <c r="V2088" s="2" t="inlineStr"/>
    </row>
    <row r="2089" ht="15" customHeight="1">
      <c r="A2089" t="inlineStr">
        <is>
          <t>A 18565-2026</t>
        </is>
      </c>
      <c r="B2089" t="inlineStr">
        <is>
          <t>avverkningsanmälan</t>
        </is>
      </c>
      <c r="C2089" t="inlineStr">
        <is>
          <t>Föryngringsavverkning</t>
        </is>
      </c>
      <c r="D2089" s="1" t="n">
        <v>46127</v>
      </c>
      <c r="E2089" s="1" t="n">
        <v>46309</v>
      </c>
      <c r="F2089" t="inlineStr">
        <is>
          <t>UPPSALA LÄN</t>
        </is>
      </c>
      <c r="G2089" t="inlineStr">
        <is>
          <t>ENKÖPING</t>
        </is>
      </c>
      <c r="I2089" t="n">
        <v>0.6</v>
      </c>
      <c r="J2089" t="n">
        <v>0</v>
      </c>
      <c r="K2089" t="n">
        <v>0</v>
      </c>
      <c r="L2089" t="n">
        <v>0</v>
      </c>
      <c r="M2089" t="n">
        <v>0</v>
      </c>
      <c r="N2089" t="n">
        <v>0</v>
      </c>
      <c r="O2089" t="n">
        <v>0</v>
      </c>
      <c r="P2089" t="n">
        <v>0</v>
      </c>
      <c r="Q2089" t="n">
        <v>0</v>
      </c>
      <c r="R2089" t="n">
        <v>0</v>
      </c>
      <c r="S2089" t="n">
        <v>0</v>
      </c>
      <c r="T2089" t="n">
        <v>0</v>
      </c>
      <c r="U2089" t="n">
        <v>0</v>
      </c>
      <c r="V2089" s="2" t="inlineStr"/>
    </row>
    <row r="2090" ht="15" customHeight="1">
      <c r="A2090" t="inlineStr">
        <is>
          <t>A 18545-2026</t>
        </is>
      </c>
      <c r="B2090" t="inlineStr">
        <is>
          <t>avverkningsanmälan</t>
        </is>
      </c>
      <c r="C2090" t="inlineStr">
        <is>
          <t>Föryngringsavverkning</t>
        </is>
      </c>
      <c r="D2090" s="1" t="n">
        <v>46127</v>
      </c>
      <c r="E2090" s="1" t="n">
        <v>46309</v>
      </c>
      <c r="F2090" t="inlineStr">
        <is>
          <t>UPPSALA LÄN</t>
        </is>
      </c>
      <c r="G2090" t="inlineStr">
        <is>
          <t>HEBY</t>
        </is>
      </c>
      <c r="I2090" t="n">
        <v>1</v>
      </c>
      <c r="J2090" t="n">
        <v>0</v>
      </c>
      <c r="K2090" t="n">
        <v>0</v>
      </c>
      <c r="L2090" t="n">
        <v>0</v>
      </c>
      <c r="M2090" t="n">
        <v>0</v>
      </c>
      <c r="N2090" t="n">
        <v>0</v>
      </c>
      <c r="O2090" t="n">
        <v>0</v>
      </c>
      <c r="P2090" t="n">
        <v>0</v>
      </c>
      <c r="Q2090" t="n">
        <v>0</v>
      </c>
      <c r="R2090" t="n">
        <v>0</v>
      </c>
      <c r="S2090" t="n">
        <v>0</v>
      </c>
      <c r="T2090" t="n">
        <v>0</v>
      </c>
      <c r="U2090" t="n">
        <v>0</v>
      </c>
      <c r="V2090" s="2" t="inlineStr"/>
    </row>
    <row r="2091" ht="15" customHeight="1">
      <c r="A2091" t="inlineStr">
        <is>
          <t>A 16967-2022</t>
        </is>
      </c>
      <c r="B2091" t="inlineStr">
        <is>
          <t>avverkningsanmälan</t>
        </is>
      </c>
      <c r="C2091" t="inlineStr">
        <is>
          <t>Föryngringsavverkning</t>
        </is>
      </c>
      <c r="D2091" s="1" t="n">
        <v>44676</v>
      </c>
      <c r="E2091" s="1" t="n">
        <v>46309</v>
      </c>
      <c r="F2091" t="inlineStr">
        <is>
          <t>UPPSALA LÄN</t>
        </is>
      </c>
      <c r="G2091" t="inlineStr">
        <is>
          <t>ENKÖPING</t>
        </is>
      </c>
      <c r="I2091" t="n">
        <v>0.6</v>
      </c>
      <c r="J2091" t="n">
        <v>0</v>
      </c>
      <c r="K2091" t="n">
        <v>0</v>
      </c>
      <c r="L2091" t="n">
        <v>0</v>
      </c>
      <c r="M2091" t="n">
        <v>0</v>
      </c>
      <c r="N2091" t="n">
        <v>0</v>
      </c>
      <c r="O2091" t="n">
        <v>0</v>
      </c>
      <c r="P2091" t="n">
        <v>0</v>
      </c>
      <c r="Q2091" t="n">
        <v>0</v>
      </c>
      <c r="R2091" t="n">
        <v>0</v>
      </c>
      <c r="S2091" t="n">
        <v>0</v>
      </c>
      <c r="T2091" t="n">
        <v>0</v>
      </c>
      <c r="U2091" t="n">
        <v>0</v>
      </c>
      <c r="V2091" s="2" t="inlineStr"/>
    </row>
    <row r="2092" ht="15" customHeight="1">
      <c r="A2092" t="inlineStr">
        <is>
          <t>A 18386-2026</t>
        </is>
      </c>
      <c r="B2092" t="inlineStr">
        <is>
          <t>avverkningsanmälan</t>
        </is>
      </c>
      <c r="C2092" t="inlineStr">
        <is>
          <t>Föryngringsavverkning</t>
        </is>
      </c>
      <c r="D2092" s="1" t="n">
        <v>46126</v>
      </c>
      <c r="E2092" s="1" t="n">
        <v>46309</v>
      </c>
      <c r="F2092" t="inlineStr">
        <is>
          <t>UPPSALA LÄN</t>
        </is>
      </c>
      <c r="G2092" t="inlineStr">
        <is>
          <t>TIERP</t>
        </is>
      </c>
      <c r="I2092" t="n">
        <v>3.5</v>
      </c>
      <c r="J2092" t="n">
        <v>0</v>
      </c>
      <c r="K2092" t="n">
        <v>0</v>
      </c>
      <c r="L2092" t="n">
        <v>0</v>
      </c>
      <c r="M2092" t="n">
        <v>0</v>
      </c>
      <c r="N2092" t="n">
        <v>0</v>
      </c>
      <c r="O2092" t="n">
        <v>0</v>
      </c>
      <c r="P2092" t="n">
        <v>0</v>
      </c>
      <c r="Q2092" t="n">
        <v>0</v>
      </c>
      <c r="R2092" t="n">
        <v>0</v>
      </c>
      <c r="S2092" t="n">
        <v>0</v>
      </c>
      <c r="T2092" t="n">
        <v>0</v>
      </c>
      <c r="U2092" t="n">
        <v>0</v>
      </c>
      <c r="V2092" s="2" t="inlineStr"/>
    </row>
    <row r="2093" ht="15" customHeight="1">
      <c r="A2093" t="inlineStr">
        <is>
          <t>A 5855-2022</t>
        </is>
      </c>
      <c r="B2093" t="inlineStr">
        <is>
          <t>avverkningsanmälan</t>
        </is>
      </c>
      <c r="C2093" t="inlineStr">
        <is>
          <t>Föryngringsavverkning</t>
        </is>
      </c>
      <c r="D2093" s="1" t="n">
        <v>44596</v>
      </c>
      <c r="E2093" s="1" t="n">
        <v>46309</v>
      </c>
      <c r="F2093" t="inlineStr">
        <is>
          <t>UPPSALA LÄN</t>
        </is>
      </c>
      <c r="G2093" t="inlineStr">
        <is>
          <t>ÖSTHAMMAR</t>
        </is>
      </c>
      <c r="I2093" t="n">
        <v>0.9</v>
      </c>
      <c r="J2093" t="n">
        <v>0</v>
      </c>
      <c r="K2093" t="n">
        <v>0</v>
      </c>
      <c r="L2093" t="n">
        <v>0</v>
      </c>
      <c r="M2093" t="n">
        <v>0</v>
      </c>
      <c r="N2093" t="n">
        <v>0</v>
      </c>
      <c r="O2093" t="n">
        <v>0</v>
      </c>
      <c r="P2093" t="n">
        <v>0</v>
      </c>
      <c r="Q2093" t="n">
        <v>0</v>
      </c>
      <c r="R2093" t="n">
        <v>0</v>
      </c>
      <c r="S2093" t="n">
        <v>0</v>
      </c>
      <c r="T2093" t="n">
        <v>0</v>
      </c>
      <c r="U2093" t="n">
        <v>0</v>
      </c>
      <c r="V2093" s="2" t="inlineStr"/>
    </row>
    <row r="2094" ht="15" customHeight="1">
      <c r="A2094" t="inlineStr">
        <is>
          <t>A 40773-2022</t>
        </is>
      </c>
      <c r="B2094" t="inlineStr">
        <is>
          <t>avverkningsanmälan</t>
        </is>
      </c>
      <c r="C2094" t="inlineStr">
        <is>
          <t>Föryngringsavverkning</t>
        </is>
      </c>
      <c r="D2094" s="1" t="n">
        <v>44824</v>
      </c>
      <c r="E2094" s="1" t="n">
        <v>46309</v>
      </c>
      <c r="F2094" t="inlineStr">
        <is>
          <t>UPPSALA LÄN</t>
        </is>
      </c>
      <c r="G2094" t="inlineStr">
        <is>
          <t>ENKÖPING</t>
        </is>
      </c>
      <c r="I2094" t="n">
        <v>0.6</v>
      </c>
      <c r="J2094" t="n">
        <v>0</v>
      </c>
      <c r="K2094" t="n">
        <v>0</v>
      </c>
      <c r="L2094" t="n">
        <v>0</v>
      </c>
      <c r="M2094" t="n">
        <v>0</v>
      </c>
      <c r="N2094" t="n">
        <v>0</v>
      </c>
      <c r="O2094" t="n">
        <v>0</v>
      </c>
      <c r="P2094" t="n">
        <v>0</v>
      </c>
      <c r="Q2094" t="n">
        <v>0</v>
      </c>
      <c r="R2094" t="n">
        <v>0</v>
      </c>
      <c r="S2094" t="n">
        <v>0</v>
      </c>
      <c r="T2094" t="n">
        <v>0</v>
      </c>
      <c r="U2094" t="n">
        <v>0</v>
      </c>
      <c r="V2094" s="2" t="inlineStr"/>
    </row>
    <row r="2095" ht="15" customHeight="1">
      <c r="A2095" t="inlineStr">
        <is>
          <t>A 18562-2026</t>
        </is>
      </c>
      <c r="B2095" t="inlineStr">
        <is>
          <t>avverkningsanmälan</t>
        </is>
      </c>
      <c r="C2095" t="inlineStr">
        <is>
          <t>Föryngringsavverkning</t>
        </is>
      </c>
      <c r="D2095" s="1" t="n">
        <v>46127</v>
      </c>
      <c r="E2095" s="1" t="n">
        <v>46309</v>
      </c>
      <c r="F2095" t="inlineStr">
        <is>
          <t>UPPSALA LÄN</t>
        </is>
      </c>
      <c r="G2095" t="inlineStr">
        <is>
          <t>ENKÖPING</t>
        </is>
      </c>
      <c r="I2095" t="n">
        <v>4</v>
      </c>
      <c r="J2095" t="n">
        <v>0</v>
      </c>
      <c r="K2095" t="n">
        <v>0</v>
      </c>
      <c r="L2095" t="n">
        <v>0</v>
      </c>
      <c r="M2095" t="n">
        <v>0</v>
      </c>
      <c r="N2095" t="n">
        <v>0</v>
      </c>
      <c r="O2095" t="n">
        <v>0</v>
      </c>
      <c r="P2095" t="n">
        <v>0</v>
      </c>
      <c r="Q2095" t="n">
        <v>0</v>
      </c>
      <c r="R2095" t="n">
        <v>0</v>
      </c>
      <c r="S2095" t="n">
        <v>0</v>
      </c>
      <c r="T2095" t="n">
        <v>0</v>
      </c>
      <c r="U2095" t="n">
        <v>0</v>
      </c>
      <c r="V2095" s="2" t="inlineStr"/>
    </row>
    <row r="2096" ht="15" customHeight="1">
      <c r="A2096" t="inlineStr">
        <is>
          <t>A 70976-2021</t>
        </is>
      </c>
      <c r="B2096" t="inlineStr">
        <is>
          <t>avverkningsanmälan</t>
        </is>
      </c>
      <c r="C2096" t="inlineStr">
        <is>
          <t>Föryngringsavverkning</t>
        </is>
      </c>
      <c r="D2096" s="1" t="n">
        <v>44538</v>
      </c>
      <c r="E2096" s="1" t="n">
        <v>46309</v>
      </c>
      <c r="F2096" t="inlineStr">
        <is>
          <t>UPPSALA LÄN</t>
        </is>
      </c>
      <c r="G2096" t="inlineStr">
        <is>
          <t>HEBY</t>
        </is>
      </c>
      <c r="I2096" t="n">
        <v>1.3</v>
      </c>
      <c r="J2096" t="n">
        <v>0</v>
      </c>
      <c r="K2096" t="n">
        <v>0</v>
      </c>
      <c r="L2096" t="n">
        <v>0</v>
      </c>
      <c r="M2096" t="n">
        <v>0</v>
      </c>
      <c r="N2096" t="n">
        <v>0</v>
      </c>
      <c r="O2096" t="n">
        <v>0</v>
      </c>
      <c r="P2096" t="n">
        <v>0</v>
      </c>
      <c r="Q2096" t="n">
        <v>0</v>
      </c>
      <c r="R2096" t="n">
        <v>0</v>
      </c>
      <c r="S2096" t="n">
        <v>0</v>
      </c>
      <c r="T2096" t="n">
        <v>0</v>
      </c>
      <c r="U2096" t="n">
        <v>0</v>
      </c>
      <c r="V2096" s="2" t="inlineStr"/>
    </row>
    <row r="2097" ht="15" customHeight="1">
      <c r="A2097" t="inlineStr">
        <is>
          <t>A 22094-2023</t>
        </is>
      </c>
      <c r="B2097" t="inlineStr">
        <is>
          <t>avverkningsanmälan</t>
        </is>
      </c>
      <c r="C2097" t="inlineStr">
        <is>
          <t>Avverkning för annat ändamål</t>
        </is>
      </c>
      <c r="D2097" s="1" t="n">
        <v>45069</v>
      </c>
      <c r="E2097" s="1" t="n">
        <v>46309</v>
      </c>
      <c r="F2097" t="inlineStr">
        <is>
          <t>UPPSALA LÄN</t>
        </is>
      </c>
      <c r="G2097" t="inlineStr">
        <is>
          <t>ENKÖPING</t>
        </is>
      </c>
      <c r="I2097" t="n">
        <v>2.1</v>
      </c>
      <c r="J2097" t="n">
        <v>0</v>
      </c>
      <c r="K2097" t="n">
        <v>0</v>
      </c>
      <c r="L2097" t="n">
        <v>0</v>
      </c>
      <c r="M2097" t="n">
        <v>0</v>
      </c>
      <c r="N2097" t="n">
        <v>0</v>
      </c>
      <c r="O2097" t="n">
        <v>0</v>
      </c>
      <c r="P2097" t="n">
        <v>0</v>
      </c>
      <c r="Q2097" t="n">
        <v>0</v>
      </c>
      <c r="R2097" t="n">
        <v>0</v>
      </c>
      <c r="S2097" t="n">
        <v>0</v>
      </c>
      <c r="T2097" t="n">
        <v>0</v>
      </c>
      <c r="U2097" t="n">
        <v>0</v>
      </c>
      <c r="V2097" s="2" t="inlineStr"/>
    </row>
    <row r="2098" ht="15" customHeight="1">
      <c r="A2098" t="inlineStr">
        <is>
          <t>A 62599-2025</t>
        </is>
      </c>
      <c r="B2098" t="inlineStr">
        <is>
          <t>avverkningsanmälan</t>
        </is>
      </c>
      <c r="C2098" t="inlineStr">
        <is>
          <t>Föryngringsavverkning</t>
        </is>
      </c>
      <c r="D2098" s="1" t="n">
        <v>46007</v>
      </c>
      <c r="E2098" s="1" t="n">
        <v>46309</v>
      </c>
      <c r="F2098" t="inlineStr">
        <is>
          <t>UPPSALA LÄN</t>
        </is>
      </c>
      <c r="G2098" t="inlineStr">
        <is>
          <t>ENKÖPING</t>
        </is>
      </c>
      <c r="I2098" t="n">
        <v>1.6</v>
      </c>
      <c r="J2098" t="n">
        <v>0</v>
      </c>
      <c r="K2098" t="n">
        <v>0</v>
      </c>
      <c r="L2098" t="n">
        <v>0</v>
      </c>
      <c r="M2098" t="n">
        <v>0</v>
      </c>
      <c r="N2098" t="n">
        <v>0</v>
      </c>
      <c r="O2098" t="n">
        <v>0</v>
      </c>
      <c r="P2098" t="n">
        <v>0</v>
      </c>
      <c r="Q2098" t="n">
        <v>0</v>
      </c>
      <c r="R2098" t="n">
        <v>0</v>
      </c>
      <c r="S2098" t="n">
        <v>0</v>
      </c>
      <c r="T2098" t="n">
        <v>0</v>
      </c>
      <c r="U2098" t="n">
        <v>0</v>
      </c>
      <c r="V2098" s="2" t="inlineStr"/>
    </row>
    <row r="2099" ht="15" customHeight="1">
      <c r="A2099" t="inlineStr">
        <is>
          <t>A 18534-2026</t>
        </is>
      </c>
      <c r="B2099" t="inlineStr">
        <is>
          <t>avverkningsanmälan</t>
        </is>
      </c>
      <c r="C2099" t="inlineStr">
        <is>
          <t>Föryngringsavverkning</t>
        </is>
      </c>
      <c r="D2099" s="1" t="n">
        <v>46127</v>
      </c>
      <c r="E2099" s="1" t="n">
        <v>46309</v>
      </c>
      <c r="F2099" t="inlineStr">
        <is>
          <t>UPPSALA LÄN</t>
        </is>
      </c>
      <c r="G2099" t="inlineStr">
        <is>
          <t>TIERP</t>
        </is>
      </c>
      <c r="H2099" t="inlineStr">
        <is>
          <t>Bergvik skog öst AB</t>
        </is>
      </c>
      <c r="I2099" t="n">
        <v>1.7</v>
      </c>
      <c r="J2099" t="n">
        <v>0</v>
      </c>
      <c r="K2099" t="n">
        <v>0</v>
      </c>
      <c r="L2099" t="n">
        <v>0</v>
      </c>
      <c r="M2099" t="n">
        <v>0</v>
      </c>
      <c r="N2099" t="n">
        <v>0</v>
      </c>
      <c r="O2099" t="n">
        <v>0</v>
      </c>
      <c r="P2099" t="n">
        <v>0</v>
      </c>
      <c r="Q2099" t="n">
        <v>0</v>
      </c>
      <c r="R2099" t="n">
        <v>0</v>
      </c>
      <c r="S2099" t="n">
        <v>0</v>
      </c>
      <c r="T2099" t="n">
        <v>0</v>
      </c>
      <c r="U2099" t="n">
        <v>0</v>
      </c>
      <c r="V2099" s="2" t="inlineStr"/>
    </row>
    <row r="2100" ht="15" customHeight="1">
      <c r="A2100" t="inlineStr">
        <is>
          <t>A 18547-2026</t>
        </is>
      </c>
      <c r="B2100" t="inlineStr">
        <is>
          <t>avverkningsanmälan</t>
        </is>
      </c>
      <c r="C2100" t="inlineStr">
        <is>
          <t>Föryngringsavverkning</t>
        </is>
      </c>
      <c r="D2100" s="1" t="n">
        <v>46127</v>
      </c>
      <c r="E2100" s="1" t="n">
        <v>46309</v>
      </c>
      <c r="F2100" t="inlineStr">
        <is>
          <t>UPPSALA LÄN</t>
        </is>
      </c>
      <c r="G2100" t="inlineStr">
        <is>
          <t>TIERP</t>
        </is>
      </c>
      <c r="H2100" t="inlineStr">
        <is>
          <t>Bergvik skog öst AB</t>
        </is>
      </c>
      <c r="I2100" t="n">
        <v>5.5</v>
      </c>
      <c r="J2100" t="n">
        <v>0</v>
      </c>
      <c r="K2100" t="n">
        <v>0</v>
      </c>
      <c r="L2100" t="n">
        <v>0</v>
      </c>
      <c r="M2100" t="n">
        <v>0</v>
      </c>
      <c r="N2100" t="n">
        <v>0</v>
      </c>
      <c r="O2100" t="n">
        <v>0</v>
      </c>
      <c r="P2100" t="n">
        <v>0</v>
      </c>
      <c r="Q2100" t="n">
        <v>0</v>
      </c>
      <c r="R2100" t="n">
        <v>0</v>
      </c>
      <c r="S2100" t="n">
        <v>0</v>
      </c>
      <c r="T2100" t="n">
        <v>0</v>
      </c>
      <c r="U2100" t="n">
        <v>0</v>
      </c>
      <c r="V2100" s="2" t="inlineStr"/>
    </row>
    <row r="2101" ht="15" customHeight="1">
      <c r="A2101" t="inlineStr">
        <is>
          <t>A 18374-2026</t>
        </is>
      </c>
      <c r="B2101" t="inlineStr">
        <is>
          <t>avverkningsanmälan</t>
        </is>
      </c>
      <c r="C2101" t="inlineStr">
        <is>
          <t>Föryngringsavverkning</t>
        </is>
      </c>
      <c r="D2101" s="1" t="n">
        <v>46126</v>
      </c>
      <c r="E2101" s="1" t="n">
        <v>46309</v>
      </c>
      <c r="F2101" t="inlineStr">
        <is>
          <t>UPPSALA LÄN</t>
        </is>
      </c>
      <c r="G2101" t="inlineStr">
        <is>
          <t>HEBY</t>
        </is>
      </c>
      <c r="I2101" t="n">
        <v>1</v>
      </c>
      <c r="J2101" t="n">
        <v>0</v>
      </c>
      <c r="K2101" t="n">
        <v>0</v>
      </c>
      <c r="L2101" t="n">
        <v>0</v>
      </c>
      <c r="M2101" t="n">
        <v>0</v>
      </c>
      <c r="N2101" t="n">
        <v>0</v>
      </c>
      <c r="O2101" t="n">
        <v>0</v>
      </c>
      <c r="P2101" t="n">
        <v>0</v>
      </c>
      <c r="Q2101" t="n">
        <v>0</v>
      </c>
      <c r="R2101" t="n">
        <v>0</v>
      </c>
      <c r="S2101" t="n">
        <v>0</v>
      </c>
      <c r="T2101" t="n">
        <v>0</v>
      </c>
      <c r="U2101" t="n">
        <v>0</v>
      </c>
      <c r="V2101" s="2" t="inlineStr"/>
    </row>
    <row r="2102" ht="15" customHeight="1">
      <c r="A2102" t="inlineStr">
        <is>
          <t>A 54366-2023</t>
        </is>
      </c>
      <c r="B2102" t="inlineStr">
        <is>
          <t>avverkningsanmälan</t>
        </is>
      </c>
      <c r="C2102" t="inlineStr">
        <is>
          <t>Föryngringsavverkning</t>
        </is>
      </c>
      <c r="D2102" s="1" t="n">
        <v>45233</v>
      </c>
      <c r="E2102" s="1" t="n">
        <v>46309</v>
      </c>
      <c r="F2102" t="inlineStr">
        <is>
          <t>UPPSALA LÄN</t>
        </is>
      </c>
      <c r="G2102" t="inlineStr">
        <is>
          <t>ÖSTHAMMAR</t>
        </is>
      </c>
      <c r="H2102" t="inlineStr">
        <is>
          <t>Bergvik skog öst AB</t>
        </is>
      </c>
      <c r="I2102" t="n">
        <v>2.9</v>
      </c>
      <c r="J2102" t="n">
        <v>0</v>
      </c>
      <c r="K2102" t="n">
        <v>0</v>
      </c>
      <c r="L2102" t="n">
        <v>0</v>
      </c>
      <c r="M2102" t="n">
        <v>0</v>
      </c>
      <c r="N2102" t="n">
        <v>0</v>
      </c>
      <c r="O2102" t="n">
        <v>0</v>
      </c>
      <c r="P2102" t="n">
        <v>0</v>
      </c>
      <c r="Q2102" t="n">
        <v>0</v>
      </c>
      <c r="R2102" t="n">
        <v>0</v>
      </c>
      <c r="S2102" t="n">
        <v>0</v>
      </c>
      <c r="T2102" t="n">
        <v>0</v>
      </c>
      <c r="U2102" t="n">
        <v>0</v>
      </c>
      <c r="V2102" s="2" t="inlineStr"/>
    </row>
    <row r="2103" ht="15" customHeight="1">
      <c r="A2103" t="inlineStr">
        <is>
          <t>A 18498-2026</t>
        </is>
      </c>
      <c r="B2103" t="inlineStr">
        <is>
          <t>avverkningsanmälan</t>
        </is>
      </c>
      <c r="C2103" t="inlineStr">
        <is>
          <t>Föryngringsavverkning</t>
        </is>
      </c>
      <c r="D2103" s="1" t="n">
        <v>46127</v>
      </c>
      <c r="E2103" s="1" t="n">
        <v>46309</v>
      </c>
      <c r="F2103" t="inlineStr">
        <is>
          <t>UPPSALA LÄN</t>
        </is>
      </c>
      <c r="G2103" t="inlineStr">
        <is>
          <t>TIERP</t>
        </is>
      </c>
      <c r="H2103" t="inlineStr">
        <is>
          <t>Bergvik skog öst AB</t>
        </is>
      </c>
      <c r="I2103" t="n">
        <v>2</v>
      </c>
      <c r="J2103" t="n">
        <v>0</v>
      </c>
      <c r="K2103" t="n">
        <v>0</v>
      </c>
      <c r="L2103" t="n">
        <v>0</v>
      </c>
      <c r="M2103" t="n">
        <v>0</v>
      </c>
      <c r="N2103" t="n">
        <v>0</v>
      </c>
      <c r="O2103" t="n">
        <v>0</v>
      </c>
      <c r="P2103" t="n">
        <v>0</v>
      </c>
      <c r="Q2103" t="n">
        <v>0</v>
      </c>
      <c r="R2103" t="n">
        <v>0</v>
      </c>
      <c r="S2103" t="n">
        <v>0</v>
      </c>
      <c r="T2103" t="n">
        <v>0</v>
      </c>
      <c r="U2103" t="n">
        <v>0</v>
      </c>
      <c r="V2103" s="2" t="inlineStr"/>
    </row>
    <row r="2104" ht="15" customHeight="1">
      <c r="A2104" t="inlineStr">
        <is>
          <t>A 18380-2026</t>
        </is>
      </c>
      <c r="B2104" t="inlineStr">
        <is>
          <t>avverkningsanmälan</t>
        </is>
      </c>
      <c r="C2104" t="inlineStr">
        <is>
          <t>Föryngringsavverkning</t>
        </is>
      </c>
      <c r="D2104" s="1" t="n">
        <v>46126</v>
      </c>
      <c r="E2104" s="1" t="n">
        <v>46309</v>
      </c>
      <c r="F2104" t="inlineStr">
        <is>
          <t>UPPSALA LÄN</t>
        </is>
      </c>
      <c r="G2104" t="inlineStr">
        <is>
          <t>HEBY</t>
        </is>
      </c>
      <c r="I2104" t="n">
        <v>1.1</v>
      </c>
      <c r="J2104" t="n">
        <v>0</v>
      </c>
      <c r="K2104" t="n">
        <v>0</v>
      </c>
      <c r="L2104" t="n">
        <v>0</v>
      </c>
      <c r="M2104" t="n">
        <v>0</v>
      </c>
      <c r="N2104" t="n">
        <v>0</v>
      </c>
      <c r="O2104" t="n">
        <v>0</v>
      </c>
      <c r="P2104" t="n">
        <v>0</v>
      </c>
      <c r="Q2104" t="n">
        <v>0</v>
      </c>
      <c r="R2104" t="n">
        <v>0</v>
      </c>
      <c r="S2104" t="n">
        <v>0</v>
      </c>
      <c r="T2104" t="n">
        <v>0</v>
      </c>
      <c r="U2104" t="n">
        <v>0</v>
      </c>
      <c r="V2104" s="2" t="inlineStr"/>
    </row>
    <row r="2105" ht="15" customHeight="1">
      <c r="A2105" t="inlineStr">
        <is>
          <t>A 17587-2025</t>
        </is>
      </c>
      <c r="B2105" t="inlineStr">
        <is>
          <t>avverkningsanmälan</t>
        </is>
      </c>
      <c r="C2105" t="inlineStr">
        <is>
          <t>Föryngringsavverkning</t>
        </is>
      </c>
      <c r="D2105" s="1" t="n">
        <v>45757</v>
      </c>
      <c r="E2105" s="1" t="n">
        <v>46309</v>
      </c>
      <c r="F2105" t="inlineStr">
        <is>
          <t>UPPSALA LÄN</t>
        </is>
      </c>
      <c r="G2105" t="inlineStr">
        <is>
          <t>UPPSALA</t>
        </is>
      </c>
      <c r="I2105" t="n">
        <v>2.4</v>
      </c>
      <c r="J2105" t="n">
        <v>0</v>
      </c>
      <c r="K2105" t="n">
        <v>0</v>
      </c>
      <c r="L2105" t="n">
        <v>0</v>
      </c>
      <c r="M2105" t="n">
        <v>0</v>
      </c>
      <c r="N2105" t="n">
        <v>0</v>
      </c>
      <c r="O2105" t="n">
        <v>0</v>
      </c>
      <c r="P2105" t="n">
        <v>0</v>
      </c>
      <c r="Q2105" t="n">
        <v>0</v>
      </c>
      <c r="R2105" t="n">
        <v>0</v>
      </c>
      <c r="S2105" t="n">
        <v>0</v>
      </c>
      <c r="T2105" t="n">
        <v>0</v>
      </c>
      <c r="U2105" t="n">
        <v>0</v>
      </c>
      <c r="V2105" s="2" t="inlineStr"/>
    </row>
    <row r="2106" ht="15" customHeight="1">
      <c r="A2106" t="inlineStr">
        <is>
          <t>A 2676-2024</t>
        </is>
      </c>
      <c r="B2106" t="inlineStr">
        <is>
          <t>avverkningsanmälan</t>
        </is>
      </c>
      <c r="C2106" t="inlineStr">
        <is>
          <t>Föryngringsavverkning</t>
        </is>
      </c>
      <c r="D2106" s="1" t="n">
        <v>45314</v>
      </c>
      <c r="E2106" s="1" t="n">
        <v>46309</v>
      </c>
      <c r="F2106" t="inlineStr">
        <is>
          <t>UPPSALA LÄN</t>
        </is>
      </c>
      <c r="G2106" t="inlineStr">
        <is>
          <t>TIERP</t>
        </is>
      </c>
      <c r="I2106" t="n">
        <v>6.3</v>
      </c>
      <c r="J2106" t="n">
        <v>0</v>
      </c>
      <c r="K2106" t="n">
        <v>0</v>
      </c>
      <c r="L2106" t="n">
        <v>0</v>
      </c>
      <c r="M2106" t="n">
        <v>0</v>
      </c>
      <c r="N2106" t="n">
        <v>0</v>
      </c>
      <c r="O2106" t="n">
        <v>0</v>
      </c>
      <c r="P2106" t="n">
        <v>0</v>
      </c>
      <c r="Q2106" t="n">
        <v>0</v>
      </c>
      <c r="R2106" t="n">
        <v>0</v>
      </c>
      <c r="S2106" t="n">
        <v>0</v>
      </c>
      <c r="T2106" t="n">
        <v>0</v>
      </c>
      <c r="U2106" t="n">
        <v>0</v>
      </c>
      <c r="V2106" s="2" t="inlineStr"/>
    </row>
    <row r="2107" ht="15" customHeight="1">
      <c r="A2107" t="inlineStr">
        <is>
          <t>A 24012-2023</t>
        </is>
      </c>
      <c r="B2107" t="inlineStr">
        <is>
          <t>avverkningsanmälan</t>
        </is>
      </c>
      <c r="C2107" t="inlineStr">
        <is>
          <t>Föryngringsavverkning</t>
        </is>
      </c>
      <c r="D2107" s="1" t="n">
        <v>45078</v>
      </c>
      <c r="E2107" s="1" t="n">
        <v>46309</v>
      </c>
      <c r="F2107" t="inlineStr">
        <is>
          <t>UPPSALA LÄN</t>
        </is>
      </c>
      <c r="G2107" t="inlineStr">
        <is>
          <t>UPPSALA</t>
        </is>
      </c>
      <c r="H2107" t="inlineStr">
        <is>
          <t>Kyrkan</t>
        </is>
      </c>
      <c r="I2107" t="n">
        <v>1.6</v>
      </c>
      <c r="J2107" t="n">
        <v>0</v>
      </c>
      <c r="K2107" t="n">
        <v>0</v>
      </c>
      <c r="L2107" t="n">
        <v>0</v>
      </c>
      <c r="M2107" t="n">
        <v>0</v>
      </c>
      <c r="N2107" t="n">
        <v>0</v>
      </c>
      <c r="O2107" t="n">
        <v>0</v>
      </c>
      <c r="P2107" t="n">
        <v>0</v>
      </c>
      <c r="Q2107" t="n">
        <v>0</v>
      </c>
      <c r="R2107" t="n">
        <v>0</v>
      </c>
      <c r="S2107" t="n">
        <v>0</v>
      </c>
      <c r="T2107" t="n">
        <v>0</v>
      </c>
      <c r="U2107" t="n">
        <v>0</v>
      </c>
      <c r="V2107" s="2" t="inlineStr"/>
    </row>
    <row r="2108" ht="15" customHeight="1">
      <c r="A2108" t="inlineStr">
        <is>
          <t>A 18165-2026</t>
        </is>
      </c>
      <c r="B2108" t="inlineStr">
        <is>
          <t>avverkningsanmälan</t>
        </is>
      </c>
      <c r="C2108" t="inlineStr">
        <is>
          <t>Föryngringsavverkning</t>
        </is>
      </c>
      <c r="D2108" s="1" t="n">
        <v>46125</v>
      </c>
      <c r="E2108" s="1" t="n">
        <v>46309</v>
      </c>
      <c r="F2108" t="inlineStr">
        <is>
          <t>UPPSALA LÄN</t>
        </is>
      </c>
      <c r="G2108" t="inlineStr">
        <is>
          <t>TIERP</t>
        </is>
      </c>
      <c r="I2108" t="n">
        <v>1.1</v>
      </c>
      <c r="J2108" t="n">
        <v>0</v>
      </c>
      <c r="K2108" t="n">
        <v>0</v>
      </c>
      <c r="L2108" t="n">
        <v>0</v>
      </c>
      <c r="M2108" t="n">
        <v>0</v>
      </c>
      <c r="N2108" t="n">
        <v>0</v>
      </c>
      <c r="O2108" t="n">
        <v>0</v>
      </c>
      <c r="P2108" t="n">
        <v>0</v>
      </c>
      <c r="Q2108" t="n">
        <v>0</v>
      </c>
      <c r="R2108" t="n">
        <v>0</v>
      </c>
      <c r="S2108" t="n">
        <v>0</v>
      </c>
      <c r="T2108" t="n">
        <v>0</v>
      </c>
      <c r="U2108" t="n">
        <v>0</v>
      </c>
      <c r="V2108" s="2" t="inlineStr"/>
    </row>
    <row r="2109" ht="15" customHeight="1">
      <c r="A2109" t="inlineStr">
        <is>
          <t>A 28226-2023</t>
        </is>
      </c>
      <c r="B2109" t="inlineStr">
        <is>
          <t>avverkningsanmälan</t>
        </is>
      </c>
      <c r="C2109" t="inlineStr">
        <is>
          <t>Föryngringsavverkning</t>
        </is>
      </c>
      <c r="D2109" s="1" t="n">
        <v>45099</v>
      </c>
      <c r="E2109" s="1" t="n">
        <v>46309</v>
      </c>
      <c r="F2109" t="inlineStr">
        <is>
          <t>UPPSALA LÄN</t>
        </is>
      </c>
      <c r="G2109" t="inlineStr">
        <is>
          <t>HEBY</t>
        </is>
      </c>
      <c r="I2109" t="n">
        <v>2.9</v>
      </c>
      <c r="J2109" t="n">
        <v>0</v>
      </c>
      <c r="K2109" t="n">
        <v>0</v>
      </c>
      <c r="L2109" t="n">
        <v>0</v>
      </c>
      <c r="M2109" t="n">
        <v>0</v>
      </c>
      <c r="N2109" t="n">
        <v>0</v>
      </c>
      <c r="O2109" t="n">
        <v>0</v>
      </c>
      <c r="P2109" t="n">
        <v>0</v>
      </c>
      <c r="Q2109" t="n">
        <v>0</v>
      </c>
      <c r="R2109" t="n">
        <v>0</v>
      </c>
      <c r="S2109" t="n">
        <v>0</v>
      </c>
      <c r="T2109" t="n">
        <v>0</v>
      </c>
      <c r="U2109" t="n">
        <v>0</v>
      </c>
      <c r="V2109" s="2" t="inlineStr"/>
    </row>
    <row r="2110" ht="15" customHeight="1">
      <c r="A2110" t="inlineStr">
        <is>
          <t>A 18643-2026</t>
        </is>
      </c>
      <c r="B2110" t="inlineStr">
        <is>
          <t>avverkningsanmälan</t>
        </is>
      </c>
      <c r="C2110" t="inlineStr">
        <is>
          <t>Föryngringsavverkning</t>
        </is>
      </c>
      <c r="D2110" s="1" t="n">
        <v>46128</v>
      </c>
      <c r="E2110" s="1" t="n">
        <v>46309</v>
      </c>
      <c r="F2110" t="inlineStr">
        <is>
          <t>UPPSALA LÄN</t>
        </is>
      </c>
      <c r="G2110" t="inlineStr">
        <is>
          <t>ENKÖPING</t>
        </is>
      </c>
      <c r="I2110" t="n">
        <v>0.8</v>
      </c>
      <c r="J2110" t="n">
        <v>0</v>
      </c>
      <c r="K2110" t="n">
        <v>0</v>
      </c>
      <c r="L2110" t="n">
        <v>0</v>
      </c>
      <c r="M2110" t="n">
        <v>0</v>
      </c>
      <c r="N2110" t="n">
        <v>0</v>
      </c>
      <c r="O2110" t="n">
        <v>0</v>
      </c>
      <c r="P2110" t="n">
        <v>0</v>
      </c>
      <c r="Q2110" t="n">
        <v>0</v>
      </c>
      <c r="R2110" t="n">
        <v>0</v>
      </c>
      <c r="S2110" t="n">
        <v>0</v>
      </c>
      <c r="T2110" t="n">
        <v>0</v>
      </c>
      <c r="U2110" t="n">
        <v>0</v>
      </c>
      <c r="V2110" s="2" t="inlineStr"/>
    </row>
    <row r="2111" ht="15" customHeight="1">
      <c r="A2111" t="inlineStr">
        <is>
          <t>A 1471-2025</t>
        </is>
      </c>
      <c r="B2111" t="inlineStr">
        <is>
          <t>avverkningsanmälan</t>
        </is>
      </c>
      <c r="C2111" t="inlineStr">
        <is>
          <t>Föryngringsavverkning</t>
        </is>
      </c>
      <c r="D2111" s="1" t="n">
        <v>45670</v>
      </c>
      <c r="E2111" s="1" t="n">
        <v>46309</v>
      </c>
      <c r="F2111" t="inlineStr">
        <is>
          <t>UPPSALA LÄN</t>
        </is>
      </c>
      <c r="G2111" t="inlineStr">
        <is>
          <t>HEBY</t>
        </is>
      </c>
      <c r="I2111" t="n">
        <v>4.3</v>
      </c>
      <c r="J2111" t="n">
        <v>0</v>
      </c>
      <c r="K2111" t="n">
        <v>0</v>
      </c>
      <c r="L2111" t="n">
        <v>0</v>
      </c>
      <c r="M2111" t="n">
        <v>0</v>
      </c>
      <c r="N2111" t="n">
        <v>0</v>
      </c>
      <c r="O2111" t="n">
        <v>0</v>
      </c>
      <c r="P2111" t="n">
        <v>0</v>
      </c>
      <c r="Q2111" t="n">
        <v>0</v>
      </c>
      <c r="R2111" t="n">
        <v>0</v>
      </c>
      <c r="S2111" t="n">
        <v>0</v>
      </c>
      <c r="T2111" t="n">
        <v>0</v>
      </c>
      <c r="U2111" t="n">
        <v>0</v>
      </c>
      <c r="V2111" s="2" t="inlineStr"/>
    </row>
    <row r="2112" ht="15" customHeight="1">
      <c r="A2112" t="inlineStr">
        <is>
          <t>A 57142-2023</t>
        </is>
      </c>
      <c r="B2112" t="inlineStr">
        <is>
          <t>avverkningsanmälan</t>
        </is>
      </c>
      <c r="C2112" t="inlineStr">
        <is>
          <t>Föryngringsavverkning</t>
        </is>
      </c>
      <c r="D2112" s="1" t="n">
        <v>45245</v>
      </c>
      <c r="E2112" s="1" t="n">
        <v>46309</v>
      </c>
      <c r="F2112" t="inlineStr">
        <is>
          <t>UPPSALA LÄN</t>
        </is>
      </c>
      <c r="G2112" t="inlineStr">
        <is>
          <t>TIERP</t>
        </is>
      </c>
      <c r="I2112" t="n">
        <v>3.2</v>
      </c>
      <c r="J2112" t="n">
        <v>0</v>
      </c>
      <c r="K2112" t="n">
        <v>0</v>
      </c>
      <c r="L2112" t="n">
        <v>0</v>
      </c>
      <c r="M2112" t="n">
        <v>0</v>
      </c>
      <c r="N2112" t="n">
        <v>0</v>
      </c>
      <c r="O2112" t="n">
        <v>0</v>
      </c>
      <c r="P2112" t="n">
        <v>0</v>
      </c>
      <c r="Q2112" t="n">
        <v>0</v>
      </c>
      <c r="R2112" t="n">
        <v>0</v>
      </c>
      <c r="S2112" t="n">
        <v>0</v>
      </c>
      <c r="T2112" t="n">
        <v>0</v>
      </c>
      <c r="U2112" t="n">
        <v>0</v>
      </c>
      <c r="V2112" s="2" t="inlineStr"/>
    </row>
    <row r="2113" ht="15" customHeight="1">
      <c r="A2113" t="inlineStr">
        <is>
          <t>A 24962-2023</t>
        </is>
      </c>
      <c r="B2113" t="inlineStr">
        <is>
          <t>avverkningsanmälan</t>
        </is>
      </c>
      <c r="C2113" t="inlineStr">
        <is>
          <t>Föryngringsavverkning</t>
        </is>
      </c>
      <c r="D2113" s="1" t="n">
        <v>45085</v>
      </c>
      <c r="E2113" s="1" t="n">
        <v>46309</v>
      </c>
      <c r="F2113" t="inlineStr">
        <is>
          <t>UPPSALA LÄN</t>
        </is>
      </c>
      <c r="G2113" t="inlineStr">
        <is>
          <t>ENKÖPING</t>
        </is>
      </c>
      <c r="I2113" t="n">
        <v>2.8</v>
      </c>
      <c r="J2113" t="n">
        <v>0</v>
      </c>
      <c r="K2113" t="n">
        <v>0</v>
      </c>
      <c r="L2113" t="n">
        <v>0</v>
      </c>
      <c r="M2113" t="n">
        <v>0</v>
      </c>
      <c r="N2113" t="n">
        <v>0</v>
      </c>
      <c r="O2113" t="n">
        <v>0</v>
      </c>
      <c r="P2113" t="n">
        <v>0</v>
      </c>
      <c r="Q2113" t="n">
        <v>0</v>
      </c>
      <c r="R2113" t="n">
        <v>0</v>
      </c>
      <c r="S2113" t="n">
        <v>0</v>
      </c>
      <c r="T2113" t="n">
        <v>0</v>
      </c>
      <c r="U2113" t="n">
        <v>0</v>
      </c>
      <c r="V2113" s="2" t="inlineStr"/>
    </row>
    <row r="2114" ht="15" customHeight="1">
      <c r="A2114" t="inlineStr">
        <is>
          <t>A 18644-2026</t>
        </is>
      </c>
      <c r="B2114" t="inlineStr">
        <is>
          <t>avverkningsanmälan</t>
        </is>
      </c>
      <c r="C2114" t="inlineStr">
        <is>
          <t>Föryngringsavverkning</t>
        </is>
      </c>
      <c r="D2114" s="1" t="n">
        <v>46128</v>
      </c>
      <c r="E2114" s="1" t="n">
        <v>46309</v>
      </c>
      <c r="F2114" t="inlineStr">
        <is>
          <t>UPPSALA LÄN</t>
        </is>
      </c>
      <c r="G2114" t="inlineStr">
        <is>
          <t>ENKÖPING</t>
        </is>
      </c>
      <c r="I2114" t="n">
        <v>0.7</v>
      </c>
      <c r="J2114" t="n">
        <v>0</v>
      </c>
      <c r="K2114" t="n">
        <v>0</v>
      </c>
      <c r="L2114" t="n">
        <v>0</v>
      </c>
      <c r="M2114" t="n">
        <v>0</v>
      </c>
      <c r="N2114" t="n">
        <v>0</v>
      </c>
      <c r="O2114" t="n">
        <v>0</v>
      </c>
      <c r="P2114" t="n">
        <v>0</v>
      </c>
      <c r="Q2114" t="n">
        <v>0</v>
      </c>
      <c r="R2114" t="n">
        <v>0</v>
      </c>
      <c r="S2114" t="n">
        <v>0</v>
      </c>
      <c r="T2114" t="n">
        <v>0</v>
      </c>
      <c r="U2114" t="n">
        <v>0</v>
      </c>
      <c r="V2114" s="2" t="inlineStr"/>
    </row>
    <row r="2115" ht="15" customHeight="1">
      <c r="A2115" t="inlineStr">
        <is>
          <t>A 37476-2024</t>
        </is>
      </c>
      <c r="B2115" t="inlineStr">
        <is>
          <t>avverkningsanmälan</t>
        </is>
      </c>
      <c r="C2115" t="inlineStr">
        <is>
          <t>Föryngringsavverkning</t>
        </is>
      </c>
      <c r="D2115" s="1" t="n">
        <v>45541</v>
      </c>
      <c r="E2115" s="1" t="n">
        <v>46309</v>
      </c>
      <c r="F2115" t="inlineStr">
        <is>
          <t>UPPSALA LÄN</t>
        </is>
      </c>
      <c r="G2115" t="inlineStr">
        <is>
          <t>TIERP</t>
        </is>
      </c>
      <c r="I2115" t="n">
        <v>0.4</v>
      </c>
      <c r="J2115" t="n">
        <v>0</v>
      </c>
      <c r="K2115" t="n">
        <v>0</v>
      </c>
      <c r="L2115" t="n">
        <v>0</v>
      </c>
      <c r="M2115" t="n">
        <v>0</v>
      </c>
      <c r="N2115" t="n">
        <v>0</v>
      </c>
      <c r="O2115" t="n">
        <v>0</v>
      </c>
      <c r="P2115" t="n">
        <v>0</v>
      </c>
      <c r="Q2115" t="n">
        <v>0</v>
      </c>
      <c r="R2115" t="n">
        <v>0</v>
      </c>
      <c r="S2115" t="n">
        <v>0</v>
      </c>
      <c r="T2115" t="n">
        <v>0</v>
      </c>
      <c r="U2115" t="n">
        <v>0</v>
      </c>
      <c r="V2115" s="2" t="inlineStr"/>
    </row>
    <row r="2116" ht="15" customHeight="1">
      <c r="A2116" t="inlineStr">
        <is>
          <t>A 44131-2023</t>
        </is>
      </c>
      <c r="B2116" t="inlineStr">
        <is>
          <t>avverkningsanmälan</t>
        </is>
      </c>
      <c r="C2116" t="inlineStr">
        <is>
          <t>Föryngringsavverkning</t>
        </is>
      </c>
      <c r="D2116" s="1" t="n">
        <v>45188</v>
      </c>
      <c r="E2116" s="1" t="n">
        <v>46309</v>
      </c>
      <c r="F2116" t="inlineStr">
        <is>
          <t>UPPSALA LÄN</t>
        </is>
      </c>
      <c r="G2116" t="inlineStr">
        <is>
          <t>ENKÖPING</t>
        </is>
      </c>
      <c r="I2116" t="n">
        <v>0.3</v>
      </c>
      <c r="J2116" t="n">
        <v>0</v>
      </c>
      <c r="K2116" t="n">
        <v>0</v>
      </c>
      <c r="L2116" t="n">
        <v>0</v>
      </c>
      <c r="M2116" t="n">
        <v>0</v>
      </c>
      <c r="N2116" t="n">
        <v>0</v>
      </c>
      <c r="O2116" t="n">
        <v>0</v>
      </c>
      <c r="P2116" t="n">
        <v>0</v>
      </c>
      <c r="Q2116" t="n">
        <v>0</v>
      </c>
      <c r="R2116" t="n">
        <v>0</v>
      </c>
      <c r="S2116" t="n">
        <v>0</v>
      </c>
      <c r="T2116" t="n">
        <v>0</v>
      </c>
      <c r="U2116" t="n">
        <v>0</v>
      </c>
      <c r="V2116" s="2" t="inlineStr"/>
    </row>
    <row r="2117" ht="15" customHeight="1">
      <c r="A2117" t="inlineStr">
        <is>
          <t>A 29482-2022</t>
        </is>
      </c>
      <c r="B2117" t="inlineStr">
        <is>
          <t>avverkningsanmälan</t>
        </is>
      </c>
      <c r="C2117" t="inlineStr">
        <is>
          <t>Föryngringsavverkning</t>
        </is>
      </c>
      <c r="D2117" s="1" t="n">
        <v>44753</v>
      </c>
      <c r="E2117" s="1" t="n">
        <v>46309</v>
      </c>
      <c r="F2117" t="inlineStr">
        <is>
          <t>UPPSALA LÄN</t>
        </is>
      </c>
      <c r="G2117" t="inlineStr">
        <is>
          <t>ENKÖPING</t>
        </is>
      </c>
      <c r="I2117" t="n">
        <v>1</v>
      </c>
      <c r="J2117" t="n">
        <v>0</v>
      </c>
      <c r="K2117" t="n">
        <v>0</v>
      </c>
      <c r="L2117" t="n">
        <v>0</v>
      </c>
      <c r="M2117" t="n">
        <v>0</v>
      </c>
      <c r="N2117" t="n">
        <v>0</v>
      </c>
      <c r="O2117" t="n">
        <v>0</v>
      </c>
      <c r="P2117" t="n">
        <v>0</v>
      </c>
      <c r="Q2117" t="n">
        <v>0</v>
      </c>
      <c r="R2117" t="n">
        <v>0</v>
      </c>
      <c r="S2117" t="n">
        <v>0</v>
      </c>
      <c r="T2117" t="n">
        <v>0</v>
      </c>
      <c r="U2117" t="n">
        <v>0</v>
      </c>
      <c r="V2117" s="2" t="inlineStr"/>
    </row>
    <row r="2118" ht="15" customHeight="1">
      <c r="A2118" t="inlineStr">
        <is>
          <t>A 29483-2022</t>
        </is>
      </c>
      <c r="B2118" t="inlineStr">
        <is>
          <t>avverkningsanmälan</t>
        </is>
      </c>
      <c r="C2118" t="inlineStr">
        <is>
          <t>Föryngringsavverkning</t>
        </is>
      </c>
      <c r="D2118" s="1" t="n">
        <v>44753</v>
      </c>
      <c r="E2118" s="1" t="n">
        <v>46309</v>
      </c>
      <c r="F2118" t="inlineStr">
        <is>
          <t>UPPSALA LÄN</t>
        </is>
      </c>
      <c r="G2118" t="inlineStr">
        <is>
          <t>ENKÖPING</t>
        </is>
      </c>
      <c r="I2118" t="n">
        <v>3.6</v>
      </c>
      <c r="J2118" t="n">
        <v>0</v>
      </c>
      <c r="K2118" t="n">
        <v>0</v>
      </c>
      <c r="L2118" t="n">
        <v>0</v>
      </c>
      <c r="M2118" t="n">
        <v>0</v>
      </c>
      <c r="N2118" t="n">
        <v>0</v>
      </c>
      <c r="O2118" t="n">
        <v>0</v>
      </c>
      <c r="P2118" t="n">
        <v>0</v>
      </c>
      <c r="Q2118" t="n">
        <v>0</v>
      </c>
      <c r="R2118" t="n">
        <v>0</v>
      </c>
      <c r="S2118" t="n">
        <v>0</v>
      </c>
      <c r="T2118" t="n">
        <v>0</v>
      </c>
      <c r="U2118" t="n">
        <v>0</v>
      </c>
      <c r="V2118" s="2" t="inlineStr"/>
    </row>
    <row r="2119" ht="15" customHeight="1">
      <c r="A2119" t="inlineStr">
        <is>
          <t>A 2611-2023</t>
        </is>
      </c>
      <c r="B2119" t="inlineStr">
        <is>
          <t>avverkningsanmälan</t>
        </is>
      </c>
      <c r="C2119" t="inlineStr">
        <is>
          <t>Föryngringsavverkning</t>
        </is>
      </c>
      <c r="D2119" s="1" t="n">
        <v>44944</v>
      </c>
      <c r="E2119" s="1" t="n">
        <v>46309</v>
      </c>
      <c r="F2119" t="inlineStr">
        <is>
          <t>UPPSALA LÄN</t>
        </is>
      </c>
      <c r="G2119" t="inlineStr">
        <is>
          <t>HEBY</t>
        </is>
      </c>
      <c r="I2119" t="n">
        <v>0.7</v>
      </c>
      <c r="J2119" t="n">
        <v>0</v>
      </c>
      <c r="K2119" t="n">
        <v>0</v>
      </c>
      <c r="L2119" t="n">
        <v>0</v>
      </c>
      <c r="M2119" t="n">
        <v>0</v>
      </c>
      <c r="N2119" t="n">
        <v>0</v>
      </c>
      <c r="O2119" t="n">
        <v>0</v>
      </c>
      <c r="P2119" t="n">
        <v>0</v>
      </c>
      <c r="Q2119" t="n">
        <v>0</v>
      </c>
      <c r="R2119" t="n">
        <v>0</v>
      </c>
      <c r="S2119" t="n">
        <v>0</v>
      </c>
      <c r="T2119" t="n">
        <v>0</v>
      </c>
      <c r="U2119" t="n">
        <v>0</v>
      </c>
      <c r="V2119" s="2" t="inlineStr"/>
    </row>
    <row r="2120" ht="15" customHeight="1">
      <c r="A2120" t="inlineStr">
        <is>
          <t>A 38298-2023</t>
        </is>
      </c>
      <c r="B2120" t="inlineStr">
        <is>
          <t>avverkningsanmälan</t>
        </is>
      </c>
      <c r="C2120" t="inlineStr">
        <is>
          <t>Föryngringsavverkning</t>
        </is>
      </c>
      <c r="D2120" s="1" t="n">
        <v>45161</v>
      </c>
      <c r="E2120" s="1" t="n">
        <v>46309</v>
      </c>
      <c r="F2120" t="inlineStr">
        <is>
          <t>UPPSALA LÄN</t>
        </is>
      </c>
      <c r="G2120" t="inlineStr">
        <is>
          <t>TIERP</t>
        </is>
      </c>
      <c r="I2120" t="n">
        <v>0.5</v>
      </c>
      <c r="J2120" t="n">
        <v>0</v>
      </c>
      <c r="K2120" t="n">
        <v>0</v>
      </c>
      <c r="L2120" t="n">
        <v>0</v>
      </c>
      <c r="M2120" t="n">
        <v>0</v>
      </c>
      <c r="N2120" t="n">
        <v>0</v>
      </c>
      <c r="O2120" t="n">
        <v>0</v>
      </c>
      <c r="P2120" t="n">
        <v>0</v>
      </c>
      <c r="Q2120" t="n">
        <v>0</v>
      </c>
      <c r="R2120" t="n">
        <v>0</v>
      </c>
      <c r="S2120" t="n">
        <v>0</v>
      </c>
      <c r="T2120" t="n">
        <v>0</v>
      </c>
      <c r="U2120" t="n">
        <v>0</v>
      </c>
      <c r="V2120" s="2" t="inlineStr"/>
    </row>
    <row r="2121" ht="15" customHeight="1">
      <c r="A2121" t="inlineStr">
        <is>
          <t>A 61807-2022</t>
        </is>
      </c>
      <c r="B2121" t="inlineStr">
        <is>
          <t>avverkningsanmälan</t>
        </is>
      </c>
      <c r="C2121" t="inlineStr">
        <is>
          <t>Föryngringsavverkning</t>
        </is>
      </c>
      <c r="D2121" s="1" t="n">
        <v>44917</v>
      </c>
      <c r="E2121" s="1" t="n">
        <v>46309</v>
      </c>
      <c r="F2121" t="inlineStr">
        <is>
          <t>UPPSALA LÄN</t>
        </is>
      </c>
      <c r="G2121" t="inlineStr">
        <is>
          <t>HEBY</t>
        </is>
      </c>
      <c r="I2121" t="n">
        <v>3.7</v>
      </c>
      <c r="J2121" t="n">
        <v>0</v>
      </c>
      <c r="K2121" t="n">
        <v>0</v>
      </c>
      <c r="L2121" t="n">
        <v>0</v>
      </c>
      <c r="M2121" t="n">
        <v>0</v>
      </c>
      <c r="N2121" t="n">
        <v>0</v>
      </c>
      <c r="O2121" t="n">
        <v>0</v>
      </c>
      <c r="P2121" t="n">
        <v>0</v>
      </c>
      <c r="Q2121" t="n">
        <v>0</v>
      </c>
      <c r="R2121" t="n">
        <v>0</v>
      </c>
      <c r="S2121" t="n">
        <v>0</v>
      </c>
      <c r="T2121" t="n">
        <v>0</v>
      </c>
      <c r="U2121" t="n">
        <v>0</v>
      </c>
      <c r="V2121" s="2" t="inlineStr"/>
    </row>
    <row r="2122" ht="15" customHeight="1">
      <c r="A2122" t="inlineStr">
        <is>
          <t>A 9257-2026</t>
        </is>
      </c>
      <c r="B2122" t="inlineStr">
        <is>
          <t>avverkningsanmälan</t>
        </is>
      </c>
      <c r="C2122" t="inlineStr">
        <is>
          <t>Föryngringsavverkning</t>
        </is>
      </c>
      <c r="D2122" s="1" t="n">
        <v>46070</v>
      </c>
      <c r="E2122" s="1" t="n">
        <v>46309</v>
      </c>
      <c r="F2122" t="inlineStr">
        <is>
          <t>UPPSALA LÄN</t>
        </is>
      </c>
      <c r="G2122" t="inlineStr">
        <is>
          <t>ENKÖPING</t>
        </is>
      </c>
      <c r="I2122" t="n">
        <v>2.6</v>
      </c>
      <c r="J2122" t="n">
        <v>0</v>
      </c>
      <c r="K2122" t="n">
        <v>0</v>
      </c>
      <c r="L2122" t="n">
        <v>0</v>
      </c>
      <c r="M2122" t="n">
        <v>0</v>
      </c>
      <c r="N2122" t="n">
        <v>0</v>
      </c>
      <c r="O2122" t="n">
        <v>0</v>
      </c>
      <c r="P2122" t="n">
        <v>0</v>
      </c>
      <c r="Q2122" t="n">
        <v>0</v>
      </c>
      <c r="R2122" t="n">
        <v>0</v>
      </c>
      <c r="S2122" t="n">
        <v>0</v>
      </c>
      <c r="T2122" t="n">
        <v>0</v>
      </c>
      <c r="U2122" t="n">
        <v>0</v>
      </c>
      <c r="V2122" s="2" t="inlineStr"/>
    </row>
    <row r="2123" ht="15" customHeight="1">
      <c r="A2123" t="inlineStr">
        <is>
          <t>A 61062-2023</t>
        </is>
      </c>
      <c r="B2123" t="inlineStr">
        <is>
          <t>avverkningsanmälan</t>
        </is>
      </c>
      <c r="C2123" t="inlineStr">
        <is>
          <t>Föryngringsavverkning</t>
        </is>
      </c>
      <c r="D2123" s="1" t="n">
        <v>45259</v>
      </c>
      <c r="E2123" s="1" t="n">
        <v>46309</v>
      </c>
      <c r="F2123" t="inlineStr">
        <is>
          <t>UPPSALA LÄN</t>
        </is>
      </c>
      <c r="G2123" t="inlineStr">
        <is>
          <t>ÖSTHAMMAR</t>
        </is>
      </c>
      <c r="I2123" t="n">
        <v>5.3</v>
      </c>
      <c r="J2123" t="n">
        <v>0</v>
      </c>
      <c r="K2123" t="n">
        <v>0</v>
      </c>
      <c r="L2123" t="n">
        <v>0</v>
      </c>
      <c r="M2123" t="n">
        <v>0</v>
      </c>
      <c r="N2123" t="n">
        <v>0</v>
      </c>
      <c r="O2123" t="n">
        <v>0</v>
      </c>
      <c r="P2123" t="n">
        <v>0</v>
      </c>
      <c r="Q2123" t="n">
        <v>0</v>
      </c>
      <c r="R2123" t="n">
        <v>0</v>
      </c>
      <c r="S2123" t="n">
        <v>0</v>
      </c>
      <c r="T2123" t="n">
        <v>0</v>
      </c>
      <c r="U2123" t="n">
        <v>0</v>
      </c>
      <c r="V2123" s="2" t="inlineStr"/>
    </row>
    <row r="2124" ht="15" customHeight="1">
      <c r="A2124" t="inlineStr">
        <is>
          <t>A 19257-2026</t>
        </is>
      </c>
      <c r="B2124" t="inlineStr">
        <is>
          <t>avverkningsanmälan</t>
        </is>
      </c>
      <c r="C2124" t="inlineStr">
        <is>
          <t>Föryngringsavverkning</t>
        </is>
      </c>
      <c r="D2124" s="1" t="n">
        <v>46132</v>
      </c>
      <c r="E2124" s="1" t="n">
        <v>46309</v>
      </c>
      <c r="F2124" t="inlineStr">
        <is>
          <t>UPPSALA LÄN</t>
        </is>
      </c>
      <c r="G2124" t="inlineStr">
        <is>
          <t>UPPSALA</t>
        </is>
      </c>
      <c r="H2124" t="inlineStr">
        <is>
          <t>Bergvik skog öst AB</t>
        </is>
      </c>
      <c r="I2124" t="n">
        <v>0.9</v>
      </c>
      <c r="J2124" t="n">
        <v>0</v>
      </c>
      <c r="K2124" t="n">
        <v>0</v>
      </c>
      <c r="L2124" t="n">
        <v>0</v>
      </c>
      <c r="M2124" t="n">
        <v>0</v>
      </c>
      <c r="N2124" t="n">
        <v>0</v>
      </c>
      <c r="O2124" t="n">
        <v>0</v>
      </c>
      <c r="P2124" t="n">
        <v>0</v>
      </c>
      <c r="Q2124" t="n">
        <v>0</v>
      </c>
      <c r="R2124" t="n">
        <v>0</v>
      </c>
      <c r="S2124" t="n">
        <v>0</v>
      </c>
      <c r="T2124" t="n">
        <v>0</v>
      </c>
      <c r="U2124" t="n">
        <v>0</v>
      </c>
      <c r="V2124" s="2" t="inlineStr"/>
    </row>
    <row r="2125" ht="15" customHeight="1">
      <c r="A2125" t="inlineStr">
        <is>
          <t>A 52388-2022</t>
        </is>
      </c>
      <c r="B2125" t="inlineStr">
        <is>
          <t>avverkningsanmälan</t>
        </is>
      </c>
      <c r="C2125" t="inlineStr">
        <is>
          <t>Föryngringsavverkning</t>
        </is>
      </c>
      <c r="D2125" s="1" t="n">
        <v>44874</v>
      </c>
      <c r="E2125" s="1" t="n">
        <v>46309</v>
      </c>
      <c r="F2125" t="inlineStr">
        <is>
          <t>UPPSALA LÄN</t>
        </is>
      </c>
      <c r="G2125" t="inlineStr">
        <is>
          <t>TIERP</t>
        </is>
      </c>
      <c r="I2125" t="n">
        <v>1</v>
      </c>
      <c r="J2125" t="n">
        <v>0</v>
      </c>
      <c r="K2125" t="n">
        <v>0</v>
      </c>
      <c r="L2125" t="n">
        <v>0</v>
      </c>
      <c r="M2125" t="n">
        <v>0</v>
      </c>
      <c r="N2125" t="n">
        <v>0</v>
      </c>
      <c r="O2125" t="n">
        <v>0</v>
      </c>
      <c r="P2125" t="n">
        <v>0</v>
      </c>
      <c r="Q2125" t="n">
        <v>0</v>
      </c>
      <c r="R2125" t="n">
        <v>0</v>
      </c>
      <c r="S2125" t="n">
        <v>0</v>
      </c>
      <c r="T2125" t="n">
        <v>0</v>
      </c>
      <c r="U2125" t="n">
        <v>0</v>
      </c>
      <c r="V2125" s="2" t="inlineStr"/>
    </row>
    <row r="2126" ht="15" customHeight="1">
      <c r="A2126" t="inlineStr">
        <is>
          <t>A 19229-2026</t>
        </is>
      </c>
      <c r="B2126" t="inlineStr">
        <is>
          <t>avverkningsanmälan</t>
        </is>
      </c>
      <c r="C2126" t="inlineStr">
        <is>
          <t>Föryngringsavverkning</t>
        </is>
      </c>
      <c r="D2126" s="1" t="n">
        <v>46132</v>
      </c>
      <c r="E2126" s="1" t="n">
        <v>46309</v>
      </c>
      <c r="F2126" t="inlineStr">
        <is>
          <t>UPPSALA LÄN</t>
        </is>
      </c>
      <c r="G2126" t="inlineStr">
        <is>
          <t>UPPSALA</t>
        </is>
      </c>
      <c r="I2126" t="n">
        <v>2.4</v>
      </c>
      <c r="J2126" t="n">
        <v>0</v>
      </c>
      <c r="K2126" t="n">
        <v>0</v>
      </c>
      <c r="L2126" t="n">
        <v>0</v>
      </c>
      <c r="M2126" t="n">
        <v>0</v>
      </c>
      <c r="N2126" t="n">
        <v>0</v>
      </c>
      <c r="O2126" t="n">
        <v>0</v>
      </c>
      <c r="P2126" t="n">
        <v>0</v>
      </c>
      <c r="Q2126" t="n">
        <v>0</v>
      </c>
      <c r="R2126" t="n">
        <v>0</v>
      </c>
      <c r="S2126" t="n">
        <v>0</v>
      </c>
      <c r="T2126" t="n">
        <v>0</v>
      </c>
      <c r="U2126" t="n">
        <v>0</v>
      </c>
      <c r="V2126" s="2" t="inlineStr"/>
    </row>
    <row r="2127" ht="15" customHeight="1">
      <c r="A2127" t="inlineStr">
        <is>
          <t>A 50859-2022</t>
        </is>
      </c>
      <c r="B2127" t="inlineStr">
        <is>
          <t>avverkningsanmälan</t>
        </is>
      </c>
      <c r="C2127" t="inlineStr">
        <is>
          <t>Avverkning för att bevara och utveckla /försöksver</t>
        </is>
      </c>
      <c r="D2127" s="1" t="n">
        <v>44862</v>
      </c>
      <c r="E2127" s="1" t="n">
        <v>46309</v>
      </c>
      <c r="F2127" t="inlineStr">
        <is>
          <t>UPPSALA LÄN</t>
        </is>
      </c>
      <c r="G2127" t="inlineStr">
        <is>
          <t>HEBY</t>
        </is>
      </c>
      <c r="I2127" t="n">
        <v>6.7</v>
      </c>
      <c r="J2127" t="n">
        <v>0</v>
      </c>
      <c r="K2127" t="n">
        <v>0</v>
      </c>
      <c r="L2127" t="n">
        <v>0</v>
      </c>
      <c r="M2127" t="n">
        <v>0</v>
      </c>
      <c r="N2127" t="n">
        <v>0</v>
      </c>
      <c r="O2127" t="n">
        <v>0</v>
      </c>
      <c r="P2127" t="n">
        <v>0</v>
      </c>
      <c r="Q2127" t="n">
        <v>0</v>
      </c>
      <c r="R2127" t="n">
        <v>0</v>
      </c>
      <c r="S2127" t="n">
        <v>0</v>
      </c>
      <c r="T2127" t="n">
        <v>0</v>
      </c>
      <c r="U2127" t="n">
        <v>0</v>
      </c>
      <c r="V2127" s="2" t="inlineStr"/>
    </row>
    <row r="2128" ht="15" customHeight="1">
      <c r="A2128" t="inlineStr">
        <is>
          <t>A 47221-2023</t>
        </is>
      </c>
      <c r="B2128" t="inlineStr">
        <is>
          <t>avverkningsanmälan</t>
        </is>
      </c>
      <c r="C2128" t="inlineStr">
        <is>
          <t>Föryngringsavverkning</t>
        </is>
      </c>
      <c r="D2128" s="1" t="n">
        <v>45202</v>
      </c>
      <c r="E2128" s="1" t="n">
        <v>46309</v>
      </c>
      <c r="F2128" t="inlineStr">
        <is>
          <t>UPPSALA LÄN</t>
        </is>
      </c>
      <c r="G2128" t="inlineStr">
        <is>
          <t>UPPSALA</t>
        </is>
      </c>
      <c r="I2128" t="n">
        <v>8.6</v>
      </c>
      <c r="J2128" t="n">
        <v>0</v>
      </c>
      <c r="K2128" t="n">
        <v>0</v>
      </c>
      <c r="L2128" t="n">
        <v>0</v>
      </c>
      <c r="M2128" t="n">
        <v>0</v>
      </c>
      <c r="N2128" t="n">
        <v>0</v>
      </c>
      <c r="O2128" t="n">
        <v>0</v>
      </c>
      <c r="P2128" t="n">
        <v>0</v>
      </c>
      <c r="Q2128" t="n">
        <v>0</v>
      </c>
      <c r="R2128" t="n">
        <v>0</v>
      </c>
      <c r="S2128" t="n">
        <v>0</v>
      </c>
      <c r="T2128" t="n">
        <v>0</v>
      </c>
      <c r="U2128" t="n">
        <v>0</v>
      </c>
      <c r="V2128" s="2" t="inlineStr"/>
    </row>
    <row r="2129" ht="15" customHeight="1">
      <c r="A2129" t="inlineStr">
        <is>
          <t>A 61443-2024</t>
        </is>
      </c>
      <c r="B2129" t="inlineStr">
        <is>
          <t>avverkningsanmälan</t>
        </is>
      </c>
      <c r="C2129" t="inlineStr">
        <is>
          <t>Föryngringsavverkning</t>
        </is>
      </c>
      <c r="D2129" s="1" t="n">
        <v>45646</v>
      </c>
      <c r="E2129" s="1" t="n">
        <v>46309</v>
      </c>
      <c r="F2129" t="inlineStr">
        <is>
          <t>UPPSALA LÄN</t>
        </is>
      </c>
      <c r="G2129" t="inlineStr">
        <is>
          <t>ÖSTHAMMAR</t>
        </is>
      </c>
      <c r="I2129" t="n">
        <v>0.4</v>
      </c>
      <c r="J2129" t="n">
        <v>0</v>
      </c>
      <c r="K2129" t="n">
        <v>0</v>
      </c>
      <c r="L2129" t="n">
        <v>0</v>
      </c>
      <c r="M2129" t="n">
        <v>0</v>
      </c>
      <c r="N2129" t="n">
        <v>0</v>
      </c>
      <c r="O2129" t="n">
        <v>0</v>
      </c>
      <c r="P2129" t="n">
        <v>0</v>
      </c>
      <c r="Q2129" t="n">
        <v>0</v>
      </c>
      <c r="R2129" t="n">
        <v>0</v>
      </c>
      <c r="S2129" t="n">
        <v>0</v>
      </c>
      <c r="T2129" t="n">
        <v>0</v>
      </c>
      <c r="U2129" t="n">
        <v>0</v>
      </c>
      <c r="V2129" s="2" t="inlineStr"/>
    </row>
    <row r="2130" ht="15" customHeight="1">
      <c r="A2130" t="inlineStr">
        <is>
          <t>A 738-2022</t>
        </is>
      </c>
      <c r="B2130" t="inlineStr">
        <is>
          <t>avverkningsanmälan</t>
        </is>
      </c>
      <c r="C2130" t="inlineStr">
        <is>
          <t>Föryngringsavverkning</t>
        </is>
      </c>
      <c r="D2130" s="1" t="n">
        <v>44568</v>
      </c>
      <c r="E2130" s="1" t="n">
        <v>46309</v>
      </c>
      <c r="F2130" t="inlineStr">
        <is>
          <t>UPPSALA LÄN</t>
        </is>
      </c>
      <c r="G2130" t="inlineStr">
        <is>
          <t>HEBY</t>
        </is>
      </c>
      <c r="I2130" t="n">
        <v>10.6</v>
      </c>
      <c r="J2130" t="n">
        <v>0</v>
      </c>
      <c r="K2130" t="n">
        <v>0</v>
      </c>
      <c r="L2130" t="n">
        <v>0</v>
      </c>
      <c r="M2130" t="n">
        <v>0</v>
      </c>
      <c r="N2130" t="n">
        <v>0</v>
      </c>
      <c r="O2130" t="n">
        <v>0</v>
      </c>
      <c r="P2130" t="n">
        <v>0</v>
      </c>
      <c r="Q2130" t="n">
        <v>0</v>
      </c>
      <c r="R2130" t="n">
        <v>0</v>
      </c>
      <c r="S2130" t="n">
        <v>0</v>
      </c>
      <c r="T2130" t="n">
        <v>0</v>
      </c>
      <c r="U2130" t="n">
        <v>0</v>
      </c>
      <c r="V2130" s="2" t="inlineStr"/>
    </row>
    <row r="2131" ht="15" customHeight="1">
      <c r="A2131" t="inlineStr">
        <is>
          <t>A 19337-2026</t>
        </is>
      </c>
      <c r="B2131" t="inlineStr">
        <is>
          <t>avverkningsanmälan</t>
        </is>
      </c>
      <c r="C2131" t="inlineStr">
        <is>
          <t>Föryngringsavverkning</t>
        </is>
      </c>
      <c r="D2131" s="1" t="n">
        <v>46133</v>
      </c>
      <c r="E2131" s="1" t="n">
        <v>46309</v>
      </c>
      <c r="F2131" t="inlineStr">
        <is>
          <t>UPPSALA LÄN</t>
        </is>
      </c>
      <c r="G2131" t="inlineStr">
        <is>
          <t>HEBY</t>
        </is>
      </c>
      <c r="H2131" t="inlineStr">
        <is>
          <t>Kyrkan</t>
        </is>
      </c>
      <c r="I2131" t="n">
        <v>0.9</v>
      </c>
      <c r="J2131" t="n">
        <v>0</v>
      </c>
      <c r="K2131" t="n">
        <v>0</v>
      </c>
      <c r="L2131" t="n">
        <v>0</v>
      </c>
      <c r="M2131" t="n">
        <v>0</v>
      </c>
      <c r="N2131" t="n">
        <v>0</v>
      </c>
      <c r="O2131" t="n">
        <v>0</v>
      </c>
      <c r="P2131" t="n">
        <v>0</v>
      </c>
      <c r="Q2131" t="n">
        <v>0</v>
      </c>
      <c r="R2131" t="n">
        <v>0</v>
      </c>
      <c r="S2131" t="n">
        <v>0</v>
      </c>
      <c r="T2131" t="n">
        <v>0</v>
      </c>
      <c r="U2131" t="n">
        <v>0</v>
      </c>
      <c r="V2131" s="2" t="inlineStr"/>
    </row>
    <row r="2132" ht="15" customHeight="1">
      <c r="A2132" t="inlineStr">
        <is>
          <t>A 19342-2026</t>
        </is>
      </c>
      <c r="B2132" t="inlineStr">
        <is>
          <t>avverkningsanmälan</t>
        </is>
      </c>
      <c r="C2132" t="inlineStr">
        <is>
          <t>Föryngringsavverkning</t>
        </is>
      </c>
      <c r="D2132" s="1" t="n">
        <v>46133</v>
      </c>
      <c r="E2132" s="1" t="n">
        <v>46309</v>
      </c>
      <c r="F2132" t="inlineStr">
        <is>
          <t>UPPSALA LÄN</t>
        </is>
      </c>
      <c r="G2132" t="inlineStr">
        <is>
          <t>UPPSALA</t>
        </is>
      </c>
      <c r="I2132" t="n">
        <v>6</v>
      </c>
      <c r="J2132" t="n">
        <v>0</v>
      </c>
      <c r="K2132" t="n">
        <v>0</v>
      </c>
      <c r="L2132" t="n">
        <v>0</v>
      </c>
      <c r="M2132" t="n">
        <v>0</v>
      </c>
      <c r="N2132" t="n">
        <v>0</v>
      </c>
      <c r="O2132" t="n">
        <v>0</v>
      </c>
      <c r="P2132" t="n">
        <v>0</v>
      </c>
      <c r="Q2132" t="n">
        <v>0</v>
      </c>
      <c r="R2132" t="n">
        <v>0</v>
      </c>
      <c r="S2132" t="n">
        <v>0</v>
      </c>
      <c r="T2132" t="n">
        <v>0</v>
      </c>
      <c r="U2132" t="n">
        <v>0</v>
      </c>
      <c r="V2132" s="2" t="inlineStr"/>
    </row>
    <row r="2133" ht="15" customHeight="1">
      <c r="A2133" t="inlineStr">
        <is>
          <t>A 19264-2026</t>
        </is>
      </c>
      <c r="B2133" t="inlineStr">
        <is>
          <t>avverkningsanmälan</t>
        </is>
      </c>
      <c r="C2133" t="inlineStr">
        <is>
          <t>Föryngringsavverkning</t>
        </is>
      </c>
      <c r="D2133" s="1" t="n">
        <v>46132</v>
      </c>
      <c r="E2133" s="1" t="n">
        <v>46309</v>
      </c>
      <c r="F2133" t="inlineStr">
        <is>
          <t>UPPSALA LÄN</t>
        </is>
      </c>
      <c r="G2133" t="inlineStr">
        <is>
          <t>UPPSALA</t>
        </is>
      </c>
      <c r="H2133" t="inlineStr">
        <is>
          <t>Bergvik skog öst AB</t>
        </is>
      </c>
      <c r="I2133" t="n">
        <v>0.3</v>
      </c>
      <c r="J2133" t="n">
        <v>0</v>
      </c>
      <c r="K2133" t="n">
        <v>0</v>
      </c>
      <c r="L2133" t="n">
        <v>0</v>
      </c>
      <c r="M2133" t="n">
        <v>0</v>
      </c>
      <c r="N2133" t="n">
        <v>0</v>
      </c>
      <c r="O2133" t="n">
        <v>0</v>
      </c>
      <c r="P2133" t="n">
        <v>0</v>
      </c>
      <c r="Q2133" t="n">
        <v>0</v>
      </c>
      <c r="R2133" t="n">
        <v>0</v>
      </c>
      <c r="S2133" t="n">
        <v>0</v>
      </c>
      <c r="T2133" t="n">
        <v>0</v>
      </c>
      <c r="U2133" t="n">
        <v>0</v>
      </c>
      <c r="V2133" s="2" t="inlineStr"/>
    </row>
    <row r="2134" ht="15" customHeight="1">
      <c r="A2134" t="inlineStr">
        <is>
          <t>A 19665-2026</t>
        </is>
      </c>
      <c r="B2134" t="inlineStr">
        <is>
          <t>avverkningsanmälan</t>
        </is>
      </c>
      <c r="C2134" t="inlineStr">
        <is>
          <t>Föryngringsavverkning</t>
        </is>
      </c>
      <c r="D2134" s="1" t="n">
        <v>46134</v>
      </c>
      <c r="E2134" s="1" t="n">
        <v>46309</v>
      </c>
      <c r="F2134" t="inlineStr">
        <is>
          <t>UPPSALA LÄN</t>
        </is>
      </c>
      <c r="G2134" t="inlineStr">
        <is>
          <t>TIERP</t>
        </is>
      </c>
      <c r="H2134" t="inlineStr">
        <is>
          <t>Bergvik skog öst AB</t>
        </is>
      </c>
      <c r="I2134" t="n">
        <v>1.4</v>
      </c>
      <c r="J2134" t="n">
        <v>0</v>
      </c>
      <c r="K2134" t="n">
        <v>0</v>
      </c>
      <c r="L2134" t="n">
        <v>0</v>
      </c>
      <c r="M2134" t="n">
        <v>0</v>
      </c>
      <c r="N2134" t="n">
        <v>0</v>
      </c>
      <c r="O2134" t="n">
        <v>0</v>
      </c>
      <c r="P2134" t="n">
        <v>0</v>
      </c>
      <c r="Q2134" t="n">
        <v>0</v>
      </c>
      <c r="R2134" t="n">
        <v>0</v>
      </c>
      <c r="S2134" t="n">
        <v>0</v>
      </c>
      <c r="T2134" t="n">
        <v>0</v>
      </c>
      <c r="U2134" t="n">
        <v>0</v>
      </c>
      <c r="V2134" s="2" t="inlineStr"/>
    </row>
    <row r="2135" ht="15" customHeight="1">
      <c r="A2135" t="inlineStr">
        <is>
          <t>A 19696-2026</t>
        </is>
      </c>
      <c r="B2135" t="inlineStr">
        <is>
          <t>avverkningsanmälan</t>
        </is>
      </c>
      <c r="C2135" t="inlineStr">
        <is>
          <t>Föryngringsavverkning</t>
        </is>
      </c>
      <c r="D2135" s="1" t="n">
        <v>46134</v>
      </c>
      <c r="E2135" s="1" t="n">
        <v>46309</v>
      </c>
      <c r="F2135" t="inlineStr">
        <is>
          <t>UPPSALA LÄN</t>
        </is>
      </c>
      <c r="G2135" t="inlineStr">
        <is>
          <t>TIERP</t>
        </is>
      </c>
      <c r="I2135" t="n">
        <v>0.2</v>
      </c>
      <c r="J2135" t="n">
        <v>0</v>
      </c>
      <c r="K2135" t="n">
        <v>0</v>
      </c>
      <c r="L2135" t="n">
        <v>0</v>
      </c>
      <c r="M2135" t="n">
        <v>0</v>
      </c>
      <c r="N2135" t="n">
        <v>0</v>
      </c>
      <c r="O2135" t="n">
        <v>0</v>
      </c>
      <c r="P2135" t="n">
        <v>0</v>
      </c>
      <c r="Q2135" t="n">
        <v>0</v>
      </c>
      <c r="R2135" t="n">
        <v>0</v>
      </c>
      <c r="S2135" t="n">
        <v>0</v>
      </c>
      <c r="T2135" t="n">
        <v>0</v>
      </c>
      <c r="U2135" t="n">
        <v>0</v>
      </c>
      <c r="V2135" s="2" t="inlineStr"/>
    </row>
    <row r="2136" ht="15" customHeight="1">
      <c r="A2136" t="inlineStr">
        <is>
          <t>A 53496-2022</t>
        </is>
      </c>
      <c r="B2136" t="inlineStr">
        <is>
          <t>avverkningsanmälan</t>
        </is>
      </c>
      <c r="C2136" t="inlineStr">
        <is>
          <t>Föryngringsavverkning</t>
        </is>
      </c>
      <c r="D2136" s="1" t="n">
        <v>44879</v>
      </c>
      <c r="E2136" s="1" t="n">
        <v>46309</v>
      </c>
      <c r="F2136" t="inlineStr">
        <is>
          <t>UPPSALA LÄN</t>
        </is>
      </c>
      <c r="G2136" t="inlineStr">
        <is>
          <t>ENKÖPING</t>
        </is>
      </c>
      <c r="I2136" t="n">
        <v>0.6</v>
      </c>
      <c r="J2136" t="n">
        <v>0</v>
      </c>
      <c r="K2136" t="n">
        <v>0</v>
      </c>
      <c r="L2136" t="n">
        <v>0</v>
      </c>
      <c r="M2136" t="n">
        <v>0</v>
      </c>
      <c r="N2136" t="n">
        <v>0</v>
      </c>
      <c r="O2136" t="n">
        <v>0</v>
      </c>
      <c r="P2136" t="n">
        <v>0</v>
      </c>
      <c r="Q2136" t="n">
        <v>0</v>
      </c>
      <c r="R2136" t="n">
        <v>0</v>
      </c>
      <c r="S2136" t="n">
        <v>0</v>
      </c>
      <c r="T2136" t="n">
        <v>0</v>
      </c>
      <c r="U2136" t="n">
        <v>0</v>
      </c>
      <c r="V2136" s="2" t="inlineStr"/>
    </row>
    <row r="2137" ht="15" customHeight="1">
      <c r="A2137" t="inlineStr">
        <is>
          <t>A 19485-2026</t>
        </is>
      </c>
      <c r="B2137" t="inlineStr">
        <is>
          <t>avverkningsanmälan</t>
        </is>
      </c>
      <c r="C2137" t="inlineStr">
        <is>
          <t>Föryngringsavverkning</t>
        </is>
      </c>
      <c r="D2137" s="1" t="n">
        <v>46134</v>
      </c>
      <c r="E2137" s="1" t="n">
        <v>46309</v>
      </c>
      <c r="F2137" t="inlineStr">
        <is>
          <t>UPPSALA LÄN</t>
        </is>
      </c>
      <c r="G2137" t="inlineStr">
        <is>
          <t>ÖSTHAMMAR</t>
        </is>
      </c>
      <c r="H2137" t="inlineStr">
        <is>
          <t>Övriga Aktiebolag</t>
        </is>
      </c>
      <c r="I2137" t="n">
        <v>12.1</v>
      </c>
      <c r="J2137" t="n">
        <v>0</v>
      </c>
      <c r="K2137" t="n">
        <v>0</v>
      </c>
      <c r="L2137" t="n">
        <v>0</v>
      </c>
      <c r="M2137" t="n">
        <v>0</v>
      </c>
      <c r="N2137" t="n">
        <v>0</v>
      </c>
      <c r="O2137" t="n">
        <v>0</v>
      </c>
      <c r="P2137" t="n">
        <v>0</v>
      </c>
      <c r="Q2137" t="n">
        <v>0</v>
      </c>
      <c r="R2137" t="n">
        <v>0</v>
      </c>
      <c r="S2137" t="n">
        <v>0</v>
      </c>
      <c r="T2137" t="n">
        <v>0</v>
      </c>
      <c r="U2137" t="n">
        <v>0</v>
      </c>
      <c r="V2137" s="2" t="inlineStr"/>
    </row>
    <row r="2138" ht="15" customHeight="1">
      <c r="A2138" t="inlineStr">
        <is>
          <t>A 19263-2026</t>
        </is>
      </c>
      <c r="B2138" t="inlineStr">
        <is>
          <t>avverkningsanmälan</t>
        </is>
      </c>
      <c r="C2138" t="inlineStr">
        <is>
          <t>Föryngringsavverkning</t>
        </is>
      </c>
      <c r="D2138" s="1" t="n">
        <v>46132</v>
      </c>
      <c r="E2138" s="1" t="n">
        <v>46309</v>
      </c>
      <c r="F2138" t="inlineStr">
        <is>
          <t>UPPSALA LÄN</t>
        </is>
      </c>
      <c r="G2138" t="inlineStr">
        <is>
          <t>UPPSALA</t>
        </is>
      </c>
      <c r="H2138" t="inlineStr">
        <is>
          <t>Bergvik skog öst AB</t>
        </is>
      </c>
      <c r="I2138" t="n">
        <v>2.4</v>
      </c>
      <c r="J2138" t="n">
        <v>0</v>
      </c>
      <c r="K2138" t="n">
        <v>0</v>
      </c>
      <c r="L2138" t="n">
        <v>0</v>
      </c>
      <c r="M2138" t="n">
        <v>0</v>
      </c>
      <c r="N2138" t="n">
        <v>0</v>
      </c>
      <c r="O2138" t="n">
        <v>0</v>
      </c>
      <c r="P2138" t="n">
        <v>0</v>
      </c>
      <c r="Q2138" t="n">
        <v>0</v>
      </c>
      <c r="R2138" t="n">
        <v>0</v>
      </c>
      <c r="S2138" t="n">
        <v>0</v>
      </c>
      <c r="T2138" t="n">
        <v>0</v>
      </c>
      <c r="U2138" t="n">
        <v>0</v>
      </c>
      <c r="V2138" s="2" t="inlineStr"/>
    </row>
    <row r="2139" ht="15" customHeight="1">
      <c r="A2139" t="inlineStr">
        <is>
          <t>A 58023-2022</t>
        </is>
      </c>
      <c r="B2139" t="inlineStr">
        <is>
          <t>avverkningsanmälan</t>
        </is>
      </c>
      <c r="C2139" t="inlineStr">
        <is>
          <t>Föryngringsavverkning</t>
        </is>
      </c>
      <c r="D2139" s="1" t="n">
        <v>44900</v>
      </c>
      <c r="E2139" s="1" t="n">
        <v>46309</v>
      </c>
      <c r="F2139" t="inlineStr">
        <is>
          <t>UPPSALA LÄN</t>
        </is>
      </c>
      <c r="G2139" t="inlineStr">
        <is>
          <t>UPPSALA</t>
        </is>
      </c>
      <c r="I2139" t="n">
        <v>0.7</v>
      </c>
      <c r="J2139" t="n">
        <v>0</v>
      </c>
      <c r="K2139" t="n">
        <v>0</v>
      </c>
      <c r="L2139" t="n">
        <v>0</v>
      </c>
      <c r="M2139" t="n">
        <v>0</v>
      </c>
      <c r="N2139" t="n">
        <v>0</v>
      </c>
      <c r="O2139" t="n">
        <v>0</v>
      </c>
      <c r="P2139" t="n">
        <v>0</v>
      </c>
      <c r="Q2139" t="n">
        <v>0</v>
      </c>
      <c r="R2139" t="n">
        <v>0</v>
      </c>
      <c r="S2139" t="n">
        <v>0</v>
      </c>
      <c r="T2139" t="n">
        <v>0</v>
      </c>
      <c r="U2139" t="n">
        <v>0</v>
      </c>
      <c r="V2139" s="2" t="inlineStr"/>
    </row>
    <row r="2140" ht="15" customHeight="1">
      <c r="A2140" t="inlineStr">
        <is>
          <t>A 19697-2026</t>
        </is>
      </c>
      <c r="B2140" t="inlineStr">
        <is>
          <t>avverkningsanmälan</t>
        </is>
      </c>
      <c r="C2140" t="inlineStr">
        <is>
          <t>Föryngringsavverkning</t>
        </is>
      </c>
      <c r="D2140" s="1" t="n">
        <v>46134</v>
      </c>
      <c r="E2140" s="1" t="n">
        <v>46309</v>
      </c>
      <c r="F2140" t="inlineStr">
        <is>
          <t>UPPSALA LÄN</t>
        </is>
      </c>
      <c r="G2140" t="inlineStr">
        <is>
          <t>TIERP</t>
        </is>
      </c>
      <c r="I2140" t="n">
        <v>2.2</v>
      </c>
      <c r="J2140" t="n">
        <v>0</v>
      </c>
      <c r="K2140" t="n">
        <v>0</v>
      </c>
      <c r="L2140" t="n">
        <v>0</v>
      </c>
      <c r="M2140" t="n">
        <v>0</v>
      </c>
      <c r="N2140" t="n">
        <v>0</v>
      </c>
      <c r="O2140" t="n">
        <v>0</v>
      </c>
      <c r="P2140" t="n">
        <v>0</v>
      </c>
      <c r="Q2140" t="n">
        <v>0</v>
      </c>
      <c r="R2140" t="n">
        <v>0</v>
      </c>
      <c r="S2140" t="n">
        <v>0</v>
      </c>
      <c r="T2140" t="n">
        <v>0</v>
      </c>
      <c r="U2140" t="n">
        <v>0</v>
      </c>
      <c r="V2140" s="2" t="inlineStr"/>
    </row>
    <row r="2141" ht="15" customHeight="1">
      <c r="A2141" t="inlineStr">
        <is>
          <t>A 19698-2026</t>
        </is>
      </c>
      <c r="B2141" t="inlineStr">
        <is>
          <t>avverkningsanmälan</t>
        </is>
      </c>
      <c r="C2141" t="inlineStr">
        <is>
          <t>Föryngringsavverkning</t>
        </is>
      </c>
      <c r="D2141" s="1" t="n">
        <v>46134</v>
      </c>
      <c r="E2141" s="1" t="n">
        <v>46309</v>
      </c>
      <c r="F2141" t="inlineStr">
        <is>
          <t>UPPSALA LÄN</t>
        </is>
      </c>
      <c r="G2141" t="inlineStr">
        <is>
          <t>TIERP</t>
        </is>
      </c>
      <c r="I2141" t="n">
        <v>2.3</v>
      </c>
      <c r="J2141" t="n">
        <v>0</v>
      </c>
      <c r="K2141" t="n">
        <v>0</v>
      </c>
      <c r="L2141" t="n">
        <v>0</v>
      </c>
      <c r="M2141" t="n">
        <v>0</v>
      </c>
      <c r="N2141" t="n">
        <v>0</v>
      </c>
      <c r="O2141" t="n">
        <v>0</v>
      </c>
      <c r="P2141" t="n">
        <v>0</v>
      </c>
      <c r="Q2141" t="n">
        <v>0</v>
      </c>
      <c r="R2141" t="n">
        <v>0</v>
      </c>
      <c r="S2141" t="n">
        <v>0</v>
      </c>
      <c r="T2141" t="n">
        <v>0</v>
      </c>
      <c r="U2141" t="n">
        <v>0</v>
      </c>
      <c r="V2141" s="2" t="inlineStr"/>
    </row>
    <row r="2142" ht="15" customHeight="1">
      <c r="A2142" t="inlineStr">
        <is>
          <t>A 45878-2024</t>
        </is>
      </c>
      <c r="B2142" t="inlineStr">
        <is>
          <t>avverkningsanmälan</t>
        </is>
      </c>
      <c r="C2142" t="inlineStr">
        <is>
          <t>Föryngringsavverkning</t>
        </is>
      </c>
      <c r="D2142" s="1" t="n">
        <v>45580</v>
      </c>
      <c r="E2142" s="1" t="n">
        <v>46309</v>
      </c>
      <c r="F2142" t="inlineStr">
        <is>
          <t>UPPSALA LÄN</t>
        </is>
      </c>
      <c r="G2142" t="inlineStr">
        <is>
          <t>UPPSALA</t>
        </is>
      </c>
      <c r="I2142" t="n">
        <v>2.8</v>
      </c>
      <c r="J2142" t="n">
        <v>0</v>
      </c>
      <c r="K2142" t="n">
        <v>0</v>
      </c>
      <c r="L2142" t="n">
        <v>0</v>
      </c>
      <c r="M2142" t="n">
        <v>0</v>
      </c>
      <c r="N2142" t="n">
        <v>0</v>
      </c>
      <c r="O2142" t="n">
        <v>0</v>
      </c>
      <c r="P2142" t="n">
        <v>0</v>
      </c>
      <c r="Q2142" t="n">
        <v>0</v>
      </c>
      <c r="R2142" t="n">
        <v>0</v>
      </c>
      <c r="S2142" t="n">
        <v>0</v>
      </c>
      <c r="T2142" t="n">
        <v>0</v>
      </c>
      <c r="U2142" t="n">
        <v>0</v>
      </c>
      <c r="V2142" s="2" t="inlineStr"/>
    </row>
    <row r="2143" ht="15" customHeight="1">
      <c r="A2143" t="inlineStr">
        <is>
          <t>A 19678-2026</t>
        </is>
      </c>
      <c r="B2143" t="inlineStr">
        <is>
          <t>avverkningsanmälan</t>
        </is>
      </c>
      <c r="C2143" t="inlineStr">
        <is>
          <t>Föryngringsavverkning</t>
        </is>
      </c>
      <c r="D2143" s="1" t="n">
        <v>46134</v>
      </c>
      <c r="E2143" s="1" t="n">
        <v>46309</v>
      </c>
      <c r="F2143" t="inlineStr">
        <is>
          <t>UPPSALA LÄN</t>
        </is>
      </c>
      <c r="G2143" t="inlineStr">
        <is>
          <t>TIERP</t>
        </is>
      </c>
      <c r="H2143" t="inlineStr">
        <is>
          <t>Bergvik skog öst AB</t>
        </is>
      </c>
      <c r="I2143" t="n">
        <v>7.6</v>
      </c>
      <c r="J2143" t="n">
        <v>0</v>
      </c>
      <c r="K2143" t="n">
        <v>0</v>
      </c>
      <c r="L2143" t="n">
        <v>0</v>
      </c>
      <c r="M2143" t="n">
        <v>0</v>
      </c>
      <c r="N2143" t="n">
        <v>0</v>
      </c>
      <c r="O2143" t="n">
        <v>0</v>
      </c>
      <c r="P2143" t="n">
        <v>0</v>
      </c>
      <c r="Q2143" t="n">
        <v>0</v>
      </c>
      <c r="R2143" t="n">
        <v>0</v>
      </c>
      <c r="S2143" t="n">
        <v>0</v>
      </c>
      <c r="T2143" t="n">
        <v>0</v>
      </c>
      <c r="U2143" t="n">
        <v>0</v>
      </c>
      <c r="V2143" s="2" t="inlineStr"/>
    </row>
    <row r="2144" ht="15" customHeight="1">
      <c r="A2144" t="inlineStr">
        <is>
          <t>A 19699-2026</t>
        </is>
      </c>
      <c r="B2144" t="inlineStr">
        <is>
          <t>avverkningsanmälan</t>
        </is>
      </c>
      <c r="C2144" t="inlineStr">
        <is>
          <t>Föryngringsavverkning</t>
        </is>
      </c>
      <c r="D2144" s="1" t="n">
        <v>46134</v>
      </c>
      <c r="E2144" s="1" t="n">
        <v>46309</v>
      </c>
      <c r="F2144" t="inlineStr">
        <is>
          <t>UPPSALA LÄN</t>
        </is>
      </c>
      <c r="G2144" t="inlineStr">
        <is>
          <t>TIERP</t>
        </is>
      </c>
      <c r="I2144" t="n">
        <v>0.9</v>
      </c>
      <c r="J2144" t="n">
        <v>0</v>
      </c>
      <c r="K2144" t="n">
        <v>0</v>
      </c>
      <c r="L2144" t="n">
        <v>0</v>
      </c>
      <c r="M2144" t="n">
        <v>0</v>
      </c>
      <c r="N2144" t="n">
        <v>0</v>
      </c>
      <c r="O2144" t="n">
        <v>0</v>
      </c>
      <c r="P2144" t="n">
        <v>0</v>
      </c>
      <c r="Q2144" t="n">
        <v>0</v>
      </c>
      <c r="R2144" t="n">
        <v>0</v>
      </c>
      <c r="S2144" t="n">
        <v>0</v>
      </c>
      <c r="T2144" t="n">
        <v>0</v>
      </c>
      <c r="U2144" t="n">
        <v>0</v>
      </c>
      <c r="V2144" s="2" t="inlineStr"/>
    </row>
    <row r="2145" ht="15" customHeight="1">
      <c r="A2145" t="inlineStr">
        <is>
          <t>A 19631-2026</t>
        </is>
      </c>
      <c r="B2145" t="inlineStr">
        <is>
          <t>avverkningsanmälan</t>
        </is>
      </c>
      <c r="C2145" t="inlineStr">
        <is>
          <t>Föryngringsavverkning</t>
        </is>
      </c>
      <c r="D2145" s="1" t="n">
        <v>46134</v>
      </c>
      <c r="E2145" s="1" t="n">
        <v>46309</v>
      </c>
      <c r="F2145" t="inlineStr">
        <is>
          <t>UPPSALA LÄN</t>
        </is>
      </c>
      <c r="G2145" t="inlineStr">
        <is>
          <t>ÖSTHAMMAR</t>
        </is>
      </c>
      <c r="H2145" t="inlineStr">
        <is>
          <t>Övriga Aktiebolag</t>
        </is>
      </c>
      <c r="I2145" t="n">
        <v>4.2</v>
      </c>
      <c r="J2145" t="n">
        <v>0</v>
      </c>
      <c r="K2145" t="n">
        <v>0</v>
      </c>
      <c r="L2145" t="n">
        <v>0</v>
      </c>
      <c r="M2145" t="n">
        <v>0</v>
      </c>
      <c r="N2145" t="n">
        <v>0</v>
      </c>
      <c r="O2145" t="n">
        <v>0</v>
      </c>
      <c r="P2145" t="n">
        <v>0</v>
      </c>
      <c r="Q2145" t="n">
        <v>0</v>
      </c>
      <c r="R2145" t="n">
        <v>0</v>
      </c>
      <c r="S2145" t="n">
        <v>0</v>
      </c>
      <c r="T2145" t="n">
        <v>0</v>
      </c>
      <c r="U2145" t="n">
        <v>0</v>
      </c>
      <c r="V2145" s="2" t="inlineStr"/>
    </row>
    <row r="2146" ht="15" customHeight="1">
      <c r="A2146" t="inlineStr">
        <is>
          <t>A 26612-2023</t>
        </is>
      </c>
      <c r="B2146" t="inlineStr">
        <is>
          <t>avverkningsanmälan</t>
        </is>
      </c>
      <c r="C2146" t="inlineStr">
        <is>
          <t>Föryngringsavverkning</t>
        </is>
      </c>
      <c r="D2146" s="1" t="n">
        <v>45089</v>
      </c>
      <c r="E2146" s="1" t="n">
        <v>46309</v>
      </c>
      <c r="F2146" t="inlineStr">
        <is>
          <t>UPPSALA LÄN</t>
        </is>
      </c>
      <c r="G2146" t="inlineStr">
        <is>
          <t>ÖSTHAMMAR</t>
        </is>
      </c>
      <c r="I2146" t="n">
        <v>2.1</v>
      </c>
      <c r="J2146" t="n">
        <v>0</v>
      </c>
      <c r="K2146" t="n">
        <v>0</v>
      </c>
      <c r="L2146" t="n">
        <v>0</v>
      </c>
      <c r="M2146" t="n">
        <v>0</v>
      </c>
      <c r="N2146" t="n">
        <v>0</v>
      </c>
      <c r="O2146" t="n">
        <v>0</v>
      </c>
      <c r="P2146" t="n">
        <v>0</v>
      </c>
      <c r="Q2146" t="n">
        <v>0</v>
      </c>
      <c r="R2146" t="n">
        <v>0</v>
      </c>
      <c r="S2146" t="n">
        <v>0</v>
      </c>
      <c r="T2146" t="n">
        <v>0</v>
      </c>
      <c r="U2146" t="n">
        <v>0</v>
      </c>
      <c r="V2146" s="2" t="inlineStr"/>
    </row>
    <row r="2147" ht="15" customHeight="1">
      <c r="A2147" t="inlineStr">
        <is>
          <t>A 5374-2023</t>
        </is>
      </c>
      <c r="B2147" t="inlineStr">
        <is>
          <t>avverkningsanmälan</t>
        </is>
      </c>
      <c r="C2147" t="inlineStr">
        <is>
          <t>Avverkning för annat ändamål</t>
        </is>
      </c>
      <c r="D2147" s="1" t="n">
        <v>44944</v>
      </c>
      <c r="E2147" s="1" t="n">
        <v>46309</v>
      </c>
      <c r="F2147" t="inlineStr">
        <is>
          <t>UPPSALA LÄN</t>
        </is>
      </c>
      <c r="G2147" t="inlineStr">
        <is>
          <t>UPPSALA</t>
        </is>
      </c>
      <c r="I2147" t="n">
        <v>3.5</v>
      </c>
      <c r="J2147" t="n">
        <v>0</v>
      </c>
      <c r="K2147" t="n">
        <v>0</v>
      </c>
      <c r="L2147" t="n">
        <v>0</v>
      </c>
      <c r="M2147" t="n">
        <v>0</v>
      </c>
      <c r="N2147" t="n">
        <v>0</v>
      </c>
      <c r="O2147" t="n">
        <v>0</v>
      </c>
      <c r="P2147" t="n">
        <v>0</v>
      </c>
      <c r="Q2147" t="n">
        <v>0</v>
      </c>
      <c r="R2147" t="n">
        <v>0</v>
      </c>
      <c r="S2147" t="n">
        <v>0</v>
      </c>
      <c r="T2147" t="n">
        <v>0</v>
      </c>
      <c r="U2147" t="n">
        <v>0</v>
      </c>
      <c r="V2147" s="2" t="inlineStr"/>
    </row>
    <row r="2148" ht="15" customHeight="1">
      <c r="A2148" t="inlineStr">
        <is>
          <t>A 19265-2026</t>
        </is>
      </c>
      <c r="B2148" t="inlineStr">
        <is>
          <t>avverkningsanmälan</t>
        </is>
      </c>
      <c r="C2148" t="inlineStr">
        <is>
          <t>Föryngringsavverkning</t>
        </is>
      </c>
      <c r="D2148" s="1" t="n">
        <v>46132</v>
      </c>
      <c r="E2148" s="1" t="n">
        <v>46309</v>
      </c>
      <c r="F2148" t="inlineStr">
        <is>
          <t>UPPSALA LÄN</t>
        </is>
      </c>
      <c r="G2148" t="inlineStr">
        <is>
          <t>UPPSALA</t>
        </is>
      </c>
      <c r="H2148" t="inlineStr">
        <is>
          <t>Bergvik skog öst AB</t>
        </is>
      </c>
      <c r="I2148" t="n">
        <v>1.5</v>
      </c>
      <c r="J2148" t="n">
        <v>0</v>
      </c>
      <c r="K2148" t="n">
        <v>0</v>
      </c>
      <c r="L2148" t="n">
        <v>0</v>
      </c>
      <c r="M2148" t="n">
        <v>0</v>
      </c>
      <c r="N2148" t="n">
        <v>0</v>
      </c>
      <c r="O2148" t="n">
        <v>0</v>
      </c>
      <c r="P2148" t="n">
        <v>0</v>
      </c>
      <c r="Q2148" t="n">
        <v>0</v>
      </c>
      <c r="R2148" t="n">
        <v>0</v>
      </c>
      <c r="S2148" t="n">
        <v>0</v>
      </c>
      <c r="T2148" t="n">
        <v>0</v>
      </c>
      <c r="U2148" t="n">
        <v>0</v>
      </c>
      <c r="V2148" s="2" t="inlineStr"/>
    </row>
    <row r="2149" ht="15" customHeight="1">
      <c r="A2149" t="inlineStr">
        <is>
          <t>A 7870-2024</t>
        </is>
      </c>
      <c r="B2149" t="inlineStr">
        <is>
          <t>avverkningsanmälan</t>
        </is>
      </c>
      <c r="C2149" t="inlineStr">
        <is>
          <t>Föryngringsavverkning</t>
        </is>
      </c>
      <c r="D2149" s="1" t="n">
        <v>45350</v>
      </c>
      <c r="E2149" s="1" t="n">
        <v>46309</v>
      </c>
      <c r="F2149" t="inlineStr">
        <is>
          <t>UPPSALA LÄN</t>
        </is>
      </c>
      <c r="G2149" t="inlineStr">
        <is>
          <t>ENKÖPING</t>
        </is>
      </c>
      <c r="I2149" t="n">
        <v>0.6</v>
      </c>
      <c r="J2149" t="n">
        <v>0</v>
      </c>
      <c r="K2149" t="n">
        <v>0</v>
      </c>
      <c r="L2149" t="n">
        <v>0</v>
      </c>
      <c r="M2149" t="n">
        <v>0</v>
      </c>
      <c r="N2149" t="n">
        <v>0</v>
      </c>
      <c r="O2149" t="n">
        <v>0</v>
      </c>
      <c r="P2149" t="n">
        <v>0</v>
      </c>
      <c r="Q2149" t="n">
        <v>0</v>
      </c>
      <c r="R2149" t="n">
        <v>0</v>
      </c>
      <c r="S2149" t="n">
        <v>0</v>
      </c>
      <c r="T2149" t="n">
        <v>0</v>
      </c>
      <c r="U2149" t="n">
        <v>0</v>
      </c>
      <c r="V2149" s="2" t="inlineStr"/>
    </row>
    <row r="2150" ht="15" customHeight="1">
      <c r="A2150" t="inlineStr">
        <is>
          <t>A 28243-2023</t>
        </is>
      </c>
      <c r="B2150" t="inlineStr">
        <is>
          <t>avverkningsanmälan</t>
        </is>
      </c>
      <c r="C2150" t="inlineStr">
        <is>
          <t>Föryngringsavverkning</t>
        </is>
      </c>
      <c r="D2150" s="1" t="n">
        <v>45099</v>
      </c>
      <c r="E2150" s="1" t="n">
        <v>46309</v>
      </c>
      <c r="F2150" t="inlineStr">
        <is>
          <t>UPPSALA LÄN</t>
        </is>
      </c>
      <c r="G2150" t="inlineStr">
        <is>
          <t>ENKÖPING</t>
        </is>
      </c>
      <c r="I2150" t="n">
        <v>1.9</v>
      </c>
      <c r="J2150" t="n">
        <v>0</v>
      </c>
      <c r="K2150" t="n">
        <v>0</v>
      </c>
      <c r="L2150" t="n">
        <v>0</v>
      </c>
      <c r="M2150" t="n">
        <v>0</v>
      </c>
      <c r="N2150" t="n">
        <v>0</v>
      </c>
      <c r="O2150" t="n">
        <v>0</v>
      </c>
      <c r="P2150" t="n">
        <v>0</v>
      </c>
      <c r="Q2150" t="n">
        <v>0</v>
      </c>
      <c r="R2150" t="n">
        <v>0</v>
      </c>
      <c r="S2150" t="n">
        <v>0</v>
      </c>
      <c r="T2150" t="n">
        <v>0</v>
      </c>
      <c r="U2150" t="n">
        <v>0</v>
      </c>
      <c r="V2150" s="2" t="inlineStr"/>
    </row>
    <row r="2151" ht="15" customHeight="1">
      <c r="A2151" t="inlineStr">
        <is>
          <t>A 35300-2025</t>
        </is>
      </c>
      <c r="B2151" t="inlineStr">
        <is>
          <t>avverkningsanmälan</t>
        </is>
      </c>
      <c r="C2151" t="inlineStr">
        <is>
          <t>Föryngringsavverkning</t>
        </is>
      </c>
      <c r="D2151" s="1" t="n">
        <v>45854</v>
      </c>
      <c r="E2151" s="1" t="n">
        <v>46309</v>
      </c>
      <c r="F2151" t="inlineStr">
        <is>
          <t>UPPSALA LÄN</t>
        </is>
      </c>
      <c r="G2151" t="inlineStr">
        <is>
          <t>HÅBO</t>
        </is>
      </c>
      <c r="I2151" t="n">
        <v>2.2</v>
      </c>
      <c r="J2151" t="n">
        <v>0</v>
      </c>
      <c r="K2151" t="n">
        <v>0</v>
      </c>
      <c r="L2151" t="n">
        <v>0</v>
      </c>
      <c r="M2151" t="n">
        <v>0</v>
      </c>
      <c r="N2151" t="n">
        <v>0</v>
      </c>
      <c r="O2151" t="n">
        <v>0</v>
      </c>
      <c r="P2151" t="n">
        <v>0</v>
      </c>
      <c r="Q2151" t="n">
        <v>0</v>
      </c>
      <c r="R2151" t="n">
        <v>0</v>
      </c>
      <c r="S2151" t="n">
        <v>0</v>
      </c>
      <c r="T2151" t="n">
        <v>0</v>
      </c>
      <c r="U2151" t="n">
        <v>0</v>
      </c>
      <c r="V2151" s="2" t="inlineStr"/>
    </row>
    <row r="2152" ht="15" customHeight="1">
      <c r="A2152" t="inlineStr">
        <is>
          <t>A 341-2024</t>
        </is>
      </c>
      <c r="B2152" t="inlineStr">
        <is>
          <t>avverkningsanmälan</t>
        </is>
      </c>
      <c r="C2152" t="inlineStr">
        <is>
          <t>Föryngringsavverkning</t>
        </is>
      </c>
      <c r="D2152" s="1" t="n">
        <v>45295</v>
      </c>
      <c r="E2152" s="1" t="n">
        <v>46309</v>
      </c>
      <c r="F2152" t="inlineStr">
        <is>
          <t>UPPSALA LÄN</t>
        </is>
      </c>
      <c r="G2152" t="inlineStr">
        <is>
          <t>UPPSALA</t>
        </is>
      </c>
      <c r="H2152" t="inlineStr">
        <is>
          <t>Allmännings- och besparingsskogar</t>
        </is>
      </c>
      <c r="I2152" t="n">
        <v>1.8</v>
      </c>
      <c r="J2152" t="n">
        <v>0</v>
      </c>
      <c r="K2152" t="n">
        <v>0</v>
      </c>
      <c r="L2152" t="n">
        <v>0</v>
      </c>
      <c r="M2152" t="n">
        <v>0</v>
      </c>
      <c r="N2152" t="n">
        <v>0</v>
      </c>
      <c r="O2152" t="n">
        <v>0</v>
      </c>
      <c r="P2152" t="n">
        <v>0</v>
      </c>
      <c r="Q2152" t="n">
        <v>0</v>
      </c>
      <c r="R2152" t="n">
        <v>0</v>
      </c>
      <c r="S2152" t="n">
        <v>0</v>
      </c>
      <c r="T2152" t="n">
        <v>0</v>
      </c>
      <c r="U2152" t="n">
        <v>0</v>
      </c>
      <c r="V2152" s="2" t="inlineStr"/>
    </row>
    <row r="2153" ht="15" customHeight="1">
      <c r="A2153" t="inlineStr">
        <is>
          <t>A 64191-2023</t>
        </is>
      </c>
      <c r="B2153" t="inlineStr">
        <is>
          <t>avverkningsanmälan</t>
        </is>
      </c>
      <c r="C2153" t="inlineStr">
        <is>
          <t>Föryngringsavverkning</t>
        </is>
      </c>
      <c r="D2153" s="1" t="n">
        <v>45279</v>
      </c>
      <c r="E2153" s="1" t="n">
        <v>46309</v>
      </c>
      <c r="F2153" t="inlineStr">
        <is>
          <t>UPPSALA LÄN</t>
        </is>
      </c>
      <c r="G2153" t="inlineStr">
        <is>
          <t>HEBY</t>
        </is>
      </c>
      <c r="I2153" t="n">
        <v>0.5</v>
      </c>
      <c r="J2153" t="n">
        <v>0</v>
      </c>
      <c r="K2153" t="n">
        <v>0</v>
      </c>
      <c r="L2153" t="n">
        <v>0</v>
      </c>
      <c r="M2153" t="n">
        <v>0</v>
      </c>
      <c r="N2153" t="n">
        <v>0</v>
      </c>
      <c r="O2153" t="n">
        <v>0</v>
      </c>
      <c r="P2153" t="n">
        <v>0</v>
      </c>
      <c r="Q2153" t="n">
        <v>0</v>
      </c>
      <c r="R2153" t="n">
        <v>0</v>
      </c>
      <c r="S2153" t="n">
        <v>0</v>
      </c>
      <c r="T2153" t="n">
        <v>0</v>
      </c>
      <c r="U2153" t="n">
        <v>0</v>
      </c>
      <c r="V2153" s="2" t="inlineStr"/>
    </row>
    <row r="2154" ht="15" customHeight="1">
      <c r="A2154" t="inlineStr">
        <is>
          <t>A 10829-2024</t>
        </is>
      </c>
      <c r="B2154" t="inlineStr">
        <is>
          <t>avverkningsanmälan</t>
        </is>
      </c>
      <c r="C2154" t="inlineStr">
        <is>
          <t>Föryngringsavverkning</t>
        </is>
      </c>
      <c r="D2154" s="1" t="n">
        <v>45369</v>
      </c>
      <c r="E2154" s="1" t="n">
        <v>46309</v>
      </c>
      <c r="F2154" t="inlineStr">
        <is>
          <t>UPPSALA LÄN</t>
        </is>
      </c>
      <c r="G2154" t="inlineStr">
        <is>
          <t>ENKÖPING</t>
        </is>
      </c>
      <c r="I2154" t="n">
        <v>2.1</v>
      </c>
      <c r="J2154" t="n">
        <v>0</v>
      </c>
      <c r="K2154" t="n">
        <v>0</v>
      </c>
      <c r="L2154" t="n">
        <v>0</v>
      </c>
      <c r="M2154" t="n">
        <v>0</v>
      </c>
      <c r="N2154" t="n">
        <v>0</v>
      </c>
      <c r="O2154" t="n">
        <v>0</v>
      </c>
      <c r="P2154" t="n">
        <v>0</v>
      </c>
      <c r="Q2154" t="n">
        <v>0</v>
      </c>
      <c r="R2154" t="n">
        <v>0</v>
      </c>
      <c r="S2154" t="n">
        <v>0</v>
      </c>
      <c r="T2154" t="n">
        <v>0</v>
      </c>
      <c r="U2154" t="n">
        <v>0</v>
      </c>
      <c r="V2154" s="2" t="inlineStr"/>
    </row>
    <row r="2155" ht="15" customHeight="1">
      <c r="A2155" t="inlineStr">
        <is>
          <t>A 19744-2026</t>
        </is>
      </c>
      <c r="B2155" t="inlineStr">
        <is>
          <t>avverkningsanmälan</t>
        </is>
      </c>
      <c r="C2155" t="inlineStr">
        <is>
          <t>Föryngringsavverkning</t>
        </is>
      </c>
      <c r="D2155" s="1" t="n">
        <v>46135</v>
      </c>
      <c r="E2155" s="1" t="n">
        <v>46309</v>
      </c>
      <c r="F2155" t="inlineStr">
        <is>
          <t>UPPSALA LÄN</t>
        </is>
      </c>
      <c r="G2155" t="inlineStr">
        <is>
          <t>HEBY</t>
        </is>
      </c>
      <c r="H2155" t="inlineStr">
        <is>
          <t>Kyrkan</t>
        </is>
      </c>
      <c r="I2155" t="n">
        <v>1.6</v>
      </c>
      <c r="J2155" t="n">
        <v>0</v>
      </c>
      <c r="K2155" t="n">
        <v>0</v>
      </c>
      <c r="L2155" t="n">
        <v>0</v>
      </c>
      <c r="M2155" t="n">
        <v>0</v>
      </c>
      <c r="N2155" t="n">
        <v>0</v>
      </c>
      <c r="O2155" t="n">
        <v>0</v>
      </c>
      <c r="P2155" t="n">
        <v>0</v>
      </c>
      <c r="Q2155" t="n">
        <v>0</v>
      </c>
      <c r="R2155" t="n">
        <v>0</v>
      </c>
      <c r="S2155" t="n">
        <v>0</v>
      </c>
      <c r="T2155" t="n">
        <v>0</v>
      </c>
      <c r="U2155" t="n">
        <v>0</v>
      </c>
      <c r="V2155" s="2" t="inlineStr"/>
    </row>
    <row r="2156" ht="15" customHeight="1">
      <c r="A2156" t="inlineStr">
        <is>
          <t>A 14516-2025</t>
        </is>
      </c>
      <c r="B2156" t="inlineStr">
        <is>
          <t>avverkningsanmälan</t>
        </is>
      </c>
      <c r="C2156" t="inlineStr">
        <is>
          <t>Föryngringsavverkning</t>
        </is>
      </c>
      <c r="D2156" s="1" t="n">
        <v>45741</v>
      </c>
      <c r="E2156" s="1" t="n">
        <v>46309</v>
      </c>
      <c r="F2156" t="inlineStr">
        <is>
          <t>UPPSALA LÄN</t>
        </is>
      </c>
      <c r="G2156" t="inlineStr">
        <is>
          <t>TIERP</t>
        </is>
      </c>
      <c r="H2156" t="inlineStr">
        <is>
          <t>Bergvik skog väst AB</t>
        </is>
      </c>
      <c r="I2156" t="n">
        <v>2.2</v>
      </c>
      <c r="J2156" t="n">
        <v>0</v>
      </c>
      <c r="K2156" t="n">
        <v>0</v>
      </c>
      <c r="L2156" t="n">
        <v>0</v>
      </c>
      <c r="M2156" t="n">
        <v>0</v>
      </c>
      <c r="N2156" t="n">
        <v>0</v>
      </c>
      <c r="O2156" t="n">
        <v>0</v>
      </c>
      <c r="P2156" t="n">
        <v>0</v>
      </c>
      <c r="Q2156" t="n">
        <v>0</v>
      </c>
      <c r="R2156" t="n">
        <v>0</v>
      </c>
      <c r="S2156" t="n">
        <v>0</v>
      </c>
      <c r="T2156" t="n">
        <v>0</v>
      </c>
      <c r="U2156" t="n">
        <v>0</v>
      </c>
      <c r="V2156" s="2" t="inlineStr"/>
    </row>
    <row r="2157" ht="15" customHeight="1">
      <c r="A2157" t="inlineStr">
        <is>
          <t>A 2161-2023</t>
        </is>
      </c>
      <c r="B2157" t="inlineStr">
        <is>
          <t>avverkningsanmälan</t>
        </is>
      </c>
      <c r="C2157" t="inlineStr">
        <is>
          <t>Föryngringsavverkning</t>
        </is>
      </c>
      <c r="D2157" s="1" t="n">
        <v>44941</v>
      </c>
      <c r="E2157" s="1" t="n">
        <v>46309</v>
      </c>
      <c r="F2157" t="inlineStr">
        <is>
          <t>UPPSALA LÄN</t>
        </is>
      </c>
      <c r="G2157" t="inlineStr">
        <is>
          <t>ENKÖPING</t>
        </is>
      </c>
      <c r="I2157" t="n">
        <v>0.9</v>
      </c>
      <c r="J2157" t="n">
        <v>0</v>
      </c>
      <c r="K2157" t="n">
        <v>0</v>
      </c>
      <c r="L2157" t="n">
        <v>0</v>
      </c>
      <c r="M2157" t="n">
        <v>0</v>
      </c>
      <c r="N2157" t="n">
        <v>0</v>
      </c>
      <c r="O2157" t="n">
        <v>0</v>
      </c>
      <c r="P2157" t="n">
        <v>0</v>
      </c>
      <c r="Q2157" t="n">
        <v>0</v>
      </c>
      <c r="R2157" t="n">
        <v>0</v>
      </c>
      <c r="S2157" t="n">
        <v>0</v>
      </c>
      <c r="T2157" t="n">
        <v>0</v>
      </c>
      <c r="U2157" t="n">
        <v>0</v>
      </c>
      <c r="V2157" s="2" t="inlineStr"/>
    </row>
    <row r="2158" ht="15" customHeight="1">
      <c r="A2158" t="inlineStr">
        <is>
          <t>A 2165-2023</t>
        </is>
      </c>
      <c r="B2158" t="inlineStr">
        <is>
          <t>avverkningsanmälan</t>
        </is>
      </c>
      <c r="C2158" t="inlineStr">
        <is>
          <t>Föryngringsavverkning</t>
        </is>
      </c>
      <c r="D2158" s="1" t="n">
        <v>44941</v>
      </c>
      <c r="E2158" s="1" t="n">
        <v>46309</v>
      </c>
      <c r="F2158" t="inlineStr">
        <is>
          <t>UPPSALA LÄN</t>
        </is>
      </c>
      <c r="G2158" t="inlineStr">
        <is>
          <t>ENKÖPING</t>
        </is>
      </c>
      <c r="I2158" t="n">
        <v>0.6</v>
      </c>
      <c r="J2158" t="n">
        <v>0</v>
      </c>
      <c r="K2158" t="n">
        <v>0</v>
      </c>
      <c r="L2158" t="n">
        <v>0</v>
      </c>
      <c r="M2158" t="n">
        <v>0</v>
      </c>
      <c r="N2158" t="n">
        <v>0</v>
      </c>
      <c r="O2158" t="n">
        <v>0</v>
      </c>
      <c r="P2158" t="n">
        <v>0</v>
      </c>
      <c r="Q2158" t="n">
        <v>0</v>
      </c>
      <c r="R2158" t="n">
        <v>0</v>
      </c>
      <c r="S2158" t="n">
        <v>0</v>
      </c>
      <c r="T2158" t="n">
        <v>0</v>
      </c>
      <c r="U2158" t="n">
        <v>0</v>
      </c>
      <c r="V2158" s="2" t="inlineStr"/>
    </row>
    <row r="2159" ht="15" customHeight="1">
      <c r="A2159" t="inlineStr">
        <is>
          <t>A 20058-2026</t>
        </is>
      </c>
      <c r="B2159" t="inlineStr">
        <is>
          <t>avverkningsanmälan</t>
        </is>
      </c>
      <c r="C2159" t="inlineStr">
        <is>
          <t>Föryngringsavverkning</t>
        </is>
      </c>
      <c r="D2159" s="1" t="n">
        <v>46136</v>
      </c>
      <c r="E2159" s="1" t="n">
        <v>46309</v>
      </c>
      <c r="F2159" t="inlineStr">
        <is>
          <t>UPPSALA LÄN</t>
        </is>
      </c>
      <c r="G2159" t="inlineStr">
        <is>
          <t>ÖSTHAMMAR</t>
        </is>
      </c>
      <c r="I2159" t="n">
        <v>3.4</v>
      </c>
      <c r="J2159" t="n">
        <v>0</v>
      </c>
      <c r="K2159" t="n">
        <v>0</v>
      </c>
      <c r="L2159" t="n">
        <v>0</v>
      </c>
      <c r="M2159" t="n">
        <v>0</v>
      </c>
      <c r="N2159" t="n">
        <v>0</v>
      </c>
      <c r="O2159" t="n">
        <v>0</v>
      </c>
      <c r="P2159" t="n">
        <v>0</v>
      </c>
      <c r="Q2159" t="n">
        <v>0</v>
      </c>
      <c r="R2159" t="n">
        <v>0</v>
      </c>
      <c r="S2159" t="n">
        <v>0</v>
      </c>
      <c r="T2159" t="n">
        <v>0</v>
      </c>
      <c r="U2159" t="n">
        <v>0</v>
      </c>
      <c r="V2159" s="2" t="inlineStr"/>
    </row>
    <row r="2160" ht="15" customHeight="1">
      <c r="A2160" t="inlineStr">
        <is>
          <t>A 20066-2026</t>
        </is>
      </c>
      <c r="B2160" t="inlineStr">
        <is>
          <t>avverkningsanmälan</t>
        </is>
      </c>
      <c r="C2160" t="inlineStr">
        <is>
          <t>Föryngringsavverkning</t>
        </is>
      </c>
      <c r="D2160" s="1" t="n">
        <v>46135</v>
      </c>
      <c r="E2160" s="1" t="n">
        <v>46309</v>
      </c>
      <c r="F2160" t="inlineStr">
        <is>
          <t>UPPSALA LÄN</t>
        </is>
      </c>
      <c r="G2160" t="inlineStr">
        <is>
          <t>HEBY</t>
        </is>
      </c>
      <c r="H2160" t="inlineStr">
        <is>
          <t>Bergvik skog väst AB</t>
        </is>
      </c>
      <c r="I2160" t="n">
        <v>8</v>
      </c>
      <c r="J2160" t="n">
        <v>0</v>
      </c>
      <c r="K2160" t="n">
        <v>0</v>
      </c>
      <c r="L2160" t="n">
        <v>0</v>
      </c>
      <c r="M2160" t="n">
        <v>0</v>
      </c>
      <c r="N2160" t="n">
        <v>0</v>
      </c>
      <c r="O2160" t="n">
        <v>0</v>
      </c>
      <c r="P2160" t="n">
        <v>0</v>
      </c>
      <c r="Q2160" t="n">
        <v>0</v>
      </c>
      <c r="R2160" t="n">
        <v>0</v>
      </c>
      <c r="S2160" t="n">
        <v>0</v>
      </c>
      <c r="T2160" t="n">
        <v>0</v>
      </c>
      <c r="U2160" t="n">
        <v>0</v>
      </c>
      <c r="V2160" s="2" t="inlineStr"/>
    </row>
    <row r="2161" ht="15" customHeight="1">
      <c r="A2161" t="inlineStr">
        <is>
          <t>A 3771-2024</t>
        </is>
      </c>
      <c r="B2161" t="inlineStr">
        <is>
          <t>avverkningsanmälan</t>
        </is>
      </c>
      <c r="C2161" t="inlineStr">
        <is>
          <t>Föryngringsavverkning</t>
        </is>
      </c>
      <c r="D2161" s="1" t="n">
        <v>45321</v>
      </c>
      <c r="E2161" s="1" t="n">
        <v>46309</v>
      </c>
      <c r="F2161" t="inlineStr">
        <is>
          <t>UPPSALA LÄN</t>
        </is>
      </c>
      <c r="G2161" t="inlineStr">
        <is>
          <t>HEBY</t>
        </is>
      </c>
      <c r="I2161" t="n">
        <v>4.7</v>
      </c>
      <c r="J2161" t="n">
        <v>0</v>
      </c>
      <c r="K2161" t="n">
        <v>0</v>
      </c>
      <c r="L2161" t="n">
        <v>0</v>
      </c>
      <c r="M2161" t="n">
        <v>0</v>
      </c>
      <c r="N2161" t="n">
        <v>0</v>
      </c>
      <c r="O2161" t="n">
        <v>0</v>
      </c>
      <c r="P2161" t="n">
        <v>0</v>
      </c>
      <c r="Q2161" t="n">
        <v>0</v>
      </c>
      <c r="R2161" t="n">
        <v>0</v>
      </c>
      <c r="S2161" t="n">
        <v>0</v>
      </c>
      <c r="T2161" t="n">
        <v>0</v>
      </c>
      <c r="U2161" t="n">
        <v>0</v>
      </c>
      <c r="V2161" s="2" t="inlineStr"/>
    </row>
    <row r="2162" ht="15" customHeight="1">
      <c r="A2162" t="inlineStr">
        <is>
          <t>A 49463-2025</t>
        </is>
      </c>
      <c r="B2162" t="inlineStr">
        <is>
          <t>avverkningsanmälan</t>
        </is>
      </c>
      <c r="C2162" t="inlineStr">
        <is>
          <t>Föryngringsavverkning</t>
        </is>
      </c>
      <c r="D2162" s="1" t="n">
        <v>45939</v>
      </c>
      <c r="E2162" s="1" t="n">
        <v>46309</v>
      </c>
      <c r="F2162" t="inlineStr">
        <is>
          <t>UPPSALA LÄN</t>
        </is>
      </c>
      <c r="G2162" t="inlineStr">
        <is>
          <t>UPPSALA</t>
        </is>
      </c>
      <c r="I2162" t="n">
        <v>3.4</v>
      </c>
      <c r="J2162" t="n">
        <v>0</v>
      </c>
      <c r="K2162" t="n">
        <v>0</v>
      </c>
      <c r="L2162" t="n">
        <v>0</v>
      </c>
      <c r="M2162" t="n">
        <v>0</v>
      </c>
      <c r="N2162" t="n">
        <v>0</v>
      </c>
      <c r="O2162" t="n">
        <v>0</v>
      </c>
      <c r="P2162" t="n">
        <v>0</v>
      </c>
      <c r="Q2162" t="n">
        <v>0</v>
      </c>
      <c r="R2162" t="n">
        <v>0</v>
      </c>
      <c r="S2162" t="n">
        <v>0</v>
      </c>
      <c r="T2162" t="n">
        <v>0</v>
      </c>
      <c r="U2162" t="n">
        <v>0</v>
      </c>
      <c r="V2162" s="2" t="inlineStr"/>
    </row>
    <row r="2163" ht="15" customHeight="1">
      <c r="A2163" t="inlineStr">
        <is>
          <t>A 33271-2025</t>
        </is>
      </c>
      <c r="B2163" t="inlineStr">
        <is>
          <t>avverkningsanmälan</t>
        </is>
      </c>
      <c r="C2163" t="inlineStr">
        <is>
          <t>Föryngringsavverkning</t>
        </is>
      </c>
      <c r="D2163" s="1" t="n">
        <v>45840</v>
      </c>
      <c r="E2163" s="1" t="n">
        <v>46309</v>
      </c>
      <c r="F2163" t="inlineStr">
        <is>
          <t>UPPSALA LÄN</t>
        </is>
      </c>
      <c r="G2163" t="inlineStr">
        <is>
          <t>ÖSTHAMMAR</t>
        </is>
      </c>
      <c r="I2163" t="n">
        <v>1.3</v>
      </c>
      <c r="J2163" t="n">
        <v>0</v>
      </c>
      <c r="K2163" t="n">
        <v>0</v>
      </c>
      <c r="L2163" t="n">
        <v>0</v>
      </c>
      <c r="M2163" t="n">
        <v>0</v>
      </c>
      <c r="N2163" t="n">
        <v>0</v>
      </c>
      <c r="O2163" t="n">
        <v>0</v>
      </c>
      <c r="P2163" t="n">
        <v>0</v>
      </c>
      <c r="Q2163" t="n">
        <v>0</v>
      </c>
      <c r="R2163" t="n">
        <v>0</v>
      </c>
      <c r="S2163" t="n">
        <v>0</v>
      </c>
      <c r="T2163" t="n">
        <v>0</v>
      </c>
      <c r="U2163" t="n">
        <v>0</v>
      </c>
      <c r="V2163" s="2" t="inlineStr"/>
    </row>
    <row r="2164" ht="15" customHeight="1">
      <c r="A2164" t="inlineStr">
        <is>
          <t>A 40111-2024</t>
        </is>
      </c>
      <c r="B2164" t="inlineStr">
        <is>
          <t>avverkningsanmälan</t>
        </is>
      </c>
      <c r="C2164" t="inlineStr">
        <is>
          <t>Föryngringsavverkning</t>
        </is>
      </c>
      <c r="D2164" s="1" t="n">
        <v>45554</v>
      </c>
      <c r="E2164" s="1" t="n">
        <v>46309</v>
      </c>
      <c r="F2164" t="inlineStr">
        <is>
          <t>UPPSALA LÄN</t>
        </is>
      </c>
      <c r="G2164" t="inlineStr">
        <is>
          <t>UPPSALA</t>
        </is>
      </c>
      <c r="I2164" t="n">
        <v>3.7</v>
      </c>
      <c r="J2164" t="n">
        <v>0</v>
      </c>
      <c r="K2164" t="n">
        <v>0</v>
      </c>
      <c r="L2164" t="n">
        <v>0</v>
      </c>
      <c r="M2164" t="n">
        <v>0</v>
      </c>
      <c r="N2164" t="n">
        <v>0</v>
      </c>
      <c r="O2164" t="n">
        <v>0</v>
      </c>
      <c r="P2164" t="n">
        <v>0</v>
      </c>
      <c r="Q2164" t="n">
        <v>0</v>
      </c>
      <c r="R2164" t="n">
        <v>0</v>
      </c>
      <c r="S2164" t="n">
        <v>0</v>
      </c>
      <c r="T2164" t="n">
        <v>0</v>
      </c>
      <c r="U2164" t="n">
        <v>0</v>
      </c>
      <c r="V2164" s="2" t="inlineStr"/>
    </row>
    <row r="2165" ht="15" customHeight="1">
      <c r="A2165" t="inlineStr">
        <is>
          <t>A 25897-2023</t>
        </is>
      </c>
      <c r="B2165" t="inlineStr">
        <is>
          <t>avverkningsanmälan</t>
        </is>
      </c>
      <c r="C2165" t="inlineStr">
        <is>
          <t>Föryngringsavverkning</t>
        </is>
      </c>
      <c r="D2165" s="1" t="n">
        <v>45090</v>
      </c>
      <c r="E2165" s="1" t="n">
        <v>46309</v>
      </c>
      <c r="F2165" t="inlineStr">
        <is>
          <t>UPPSALA LÄN</t>
        </is>
      </c>
      <c r="G2165" t="inlineStr">
        <is>
          <t>ÖSTHAMMAR</t>
        </is>
      </c>
      <c r="H2165" t="inlineStr">
        <is>
          <t>Bergvik skog öst AB</t>
        </is>
      </c>
      <c r="I2165" t="n">
        <v>1.6</v>
      </c>
      <c r="J2165" t="n">
        <v>0</v>
      </c>
      <c r="K2165" t="n">
        <v>0</v>
      </c>
      <c r="L2165" t="n">
        <v>0</v>
      </c>
      <c r="M2165" t="n">
        <v>0</v>
      </c>
      <c r="N2165" t="n">
        <v>0</v>
      </c>
      <c r="O2165" t="n">
        <v>0</v>
      </c>
      <c r="P2165" t="n">
        <v>0</v>
      </c>
      <c r="Q2165" t="n">
        <v>0</v>
      </c>
      <c r="R2165" t="n">
        <v>0</v>
      </c>
      <c r="S2165" t="n">
        <v>0</v>
      </c>
      <c r="T2165" t="n">
        <v>0</v>
      </c>
      <c r="U2165" t="n">
        <v>0</v>
      </c>
      <c r="V2165" s="2" t="inlineStr"/>
    </row>
    <row r="2166" ht="15" customHeight="1">
      <c r="A2166" t="inlineStr">
        <is>
          <t>A 29282-2025</t>
        </is>
      </c>
      <c r="B2166" t="inlineStr">
        <is>
          <t>avverkningsanmälan</t>
        </is>
      </c>
      <c r="C2166" t="inlineStr">
        <is>
          <t>Föryngringsavverkning</t>
        </is>
      </c>
      <c r="D2166" s="1" t="n">
        <v>45824</v>
      </c>
      <c r="E2166" s="1" t="n">
        <v>46309</v>
      </c>
      <c r="F2166" t="inlineStr">
        <is>
          <t>UPPSALA LÄN</t>
        </is>
      </c>
      <c r="G2166" t="inlineStr">
        <is>
          <t>TIERP</t>
        </is>
      </c>
      <c r="H2166" t="inlineStr">
        <is>
          <t>Bergvik skog väst AB</t>
        </is>
      </c>
      <c r="I2166" t="n">
        <v>3.3</v>
      </c>
      <c r="J2166" t="n">
        <v>0</v>
      </c>
      <c r="K2166" t="n">
        <v>0</v>
      </c>
      <c r="L2166" t="n">
        <v>0</v>
      </c>
      <c r="M2166" t="n">
        <v>0</v>
      </c>
      <c r="N2166" t="n">
        <v>0</v>
      </c>
      <c r="O2166" t="n">
        <v>0</v>
      </c>
      <c r="P2166" t="n">
        <v>0</v>
      </c>
      <c r="Q2166" t="n">
        <v>0</v>
      </c>
      <c r="R2166" t="n">
        <v>0</v>
      </c>
      <c r="S2166" t="n">
        <v>0</v>
      </c>
      <c r="T2166" t="n">
        <v>0</v>
      </c>
      <c r="U2166" t="n">
        <v>0</v>
      </c>
      <c r="V2166" s="2" t="inlineStr"/>
    </row>
    <row r="2167" ht="15" customHeight="1">
      <c r="A2167" t="inlineStr">
        <is>
          <t>A 38034-2025</t>
        </is>
      </c>
      <c r="B2167" t="inlineStr">
        <is>
          <t>avverkningsanmälan</t>
        </is>
      </c>
      <c r="C2167" t="inlineStr">
        <is>
          <t>Föryngringsavverkning</t>
        </is>
      </c>
      <c r="D2167" s="1" t="n">
        <v>45882</v>
      </c>
      <c r="E2167" s="1" t="n">
        <v>46309</v>
      </c>
      <c r="F2167" t="inlineStr">
        <is>
          <t>UPPSALA LÄN</t>
        </is>
      </c>
      <c r="G2167" t="inlineStr">
        <is>
          <t>UPPSALA</t>
        </is>
      </c>
      <c r="I2167" t="n">
        <v>1.1</v>
      </c>
      <c r="J2167" t="n">
        <v>0</v>
      </c>
      <c r="K2167" t="n">
        <v>0</v>
      </c>
      <c r="L2167" t="n">
        <v>0</v>
      </c>
      <c r="M2167" t="n">
        <v>0</v>
      </c>
      <c r="N2167" t="n">
        <v>0</v>
      </c>
      <c r="O2167" t="n">
        <v>0</v>
      </c>
      <c r="P2167" t="n">
        <v>0</v>
      </c>
      <c r="Q2167" t="n">
        <v>0</v>
      </c>
      <c r="R2167" t="n">
        <v>0</v>
      </c>
      <c r="S2167" t="n">
        <v>0</v>
      </c>
      <c r="T2167" t="n">
        <v>0</v>
      </c>
      <c r="U2167" t="n">
        <v>0</v>
      </c>
      <c r="V2167" s="2" t="inlineStr"/>
    </row>
    <row r="2168" ht="15" customHeight="1">
      <c r="A2168" t="inlineStr">
        <is>
          <t>A 19901-2026</t>
        </is>
      </c>
      <c r="B2168" t="inlineStr">
        <is>
          <t>avverkningsanmälan</t>
        </is>
      </c>
      <c r="C2168" t="inlineStr">
        <is>
          <t>Föryngringsavverkning</t>
        </is>
      </c>
      <c r="D2168" s="1" t="n">
        <v>46136</v>
      </c>
      <c r="E2168" s="1" t="n">
        <v>46309</v>
      </c>
      <c r="F2168" t="inlineStr">
        <is>
          <t>UPPSALA LÄN</t>
        </is>
      </c>
      <c r="G2168" t="inlineStr">
        <is>
          <t>ÖSTHAMMAR</t>
        </is>
      </c>
      <c r="H2168" t="inlineStr">
        <is>
          <t>Övriga Aktiebolag</t>
        </is>
      </c>
      <c r="I2168" t="n">
        <v>8.800000000000001</v>
      </c>
      <c r="J2168" t="n">
        <v>0</v>
      </c>
      <c r="K2168" t="n">
        <v>0</v>
      </c>
      <c r="L2168" t="n">
        <v>0</v>
      </c>
      <c r="M2168" t="n">
        <v>0</v>
      </c>
      <c r="N2168" t="n">
        <v>0</v>
      </c>
      <c r="O2168" t="n">
        <v>0</v>
      </c>
      <c r="P2168" t="n">
        <v>0</v>
      </c>
      <c r="Q2168" t="n">
        <v>0</v>
      </c>
      <c r="R2168" t="n">
        <v>0</v>
      </c>
      <c r="S2168" t="n">
        <v>0</v>
      </c>
      <c r="T2168" t="n">
        <v>0</v>
      </c>
      <c r="U2168" t="n">
        <v>0</v>
      </c>
      <c r="V2168" s="2" t="inlineStr"/>
    </row>
    <row r="2169" ht="15" customHeight="1">
      <c r="A2169" t="inlineStr">
        <is>
          <t>A 20046-2023</t>
        </is>
      </c>
      <c r="B2169" t="inlineStr">
        <is>
          <t>avverkningsanmälan</t>
        </is>
      </c>
      <c r="C2169" t="inlineStr">
        <is>
          <t>Avverkning för annat ändamål</t>
        </is>
      </c>
      <c r="D2169" s="1" t="n">
        <v>45054</v>
      </c>
      <c r="E2169" s="1" t="n">
        <v>46309</v>
      </c>
      <c r="F2169" t="inlineStr">
        <is>
          <t>UPPSALA LÄN</t>
        </is>
      </c>
      <c r="G2169" t="inlineStr">
        <is>
          <t>ÖSTHAMMAR</t>
        </is>
      </c>
      <c r="I2169" t="n">
        <v>0.4</v>
      </c>
      <c r="J2169" t="n">
        <v>0</v>
      </c>
      <c r="K2169" t="n">
        <v>0</v>
      </c>
      <c r="L2169" t="n">
        <v>0</v>
      </c>
      <c r="M2169" t="n">
        <v>0</v>
      </c>
      <c r="N2169" t="n">
        <v>0</v>
      </c>
      <c r="O2169" t="n">
        <v>0</v>
      </c>
      <c r="P2169" t="n">
        <v>0</v>
      </c>
      <c r="Q2169" t="n">
        <v>0</v>
      </c>
      <c r="R2169" t="n">
        <v>0</v>
      </c>
      <c r="S2169" t="n">
        <v>0</v>
      </c>
      <c r="T2169" t="n">
        <v>0</v>
      </c>
      <c r="U2169" t="n">
        <v>0</v>
      </c>
      <c r="V2169" s="2" t="inlineStr"/>
    </row>
    <row r="2170" ht="15" customHeight="1">
      <c r="A2170" t="inlineStr">
        <is>
          <t>A 41478-2024</t>
        </is>
      </c>
      <c r="B2170" t="inlineStr">
        <is>
          <t>avverkningsanmälan</t>
        </is>
      </c>
      <c r="C2170" t="inlineStr">
        <is>
          <t>Föryngringsavverkning</t>
        </is>
      </c>
      <c r="D2170" s="1" t="n">
        <v>45560</v>
      </c>
      <c r="E2170" s="1" t="n">
        <v>46309</v>
      </c>
      <c r="F2170" t="inlineStr">
        <is>
          <t>UPPSALA LÄN</t>
        </is>
      </c>
      <c r="G2170" t="inlineStr">
        <is>
          <t>ÖSTHAMMAR</t>
        </is>
      </c>
      <c r="I2170" t="n">
        <v>1</v>
      </c>
      <c r="J2170" t="n">
        <v>0</v>
      </c>
      <c r="K2170" t="n">
        <v>0</v>
      </c>
      <c r="L2170" t="n">
        <v>0</v>
      </c>
      <c r="M2170" t="n">
        <v>0</v>
      </c>
      <c r="N2170" t="n">
        <v>0</v>
      </c>
      <c r="O2170" t="n">
        <v>0</v>
      </c>
      <c r="P2170" t="n">
        <v>0</v>
      </c>
      <c r="Q2170" t="n">
        <v>0</v>
      </c>
      <c r="R2170" t="n">
        <v>0</v>
      </c>
      <c r="S2170" t="n">
        <v>0</v>
      </c>
      <c r="T2170" t="n">
        <v>0</v>
      </c>
      <c r="U2170" t="n">
        <v>0</v>
      </c>
      <c r="V2170" s="2" t="inlineStr"/>
    </row>
    <row r="2171" ht="15" customHeight="1">
      <c r="A2171" t="inlineStr">
        <is>
          <t>A 19774-2026</t>
        </is>
      </c>
      <c r="B2171" t="inlineStr">
        <is>
          <t>avverkningsanmälan</t>
        </is>
      </c>
      <c r="C2171" t="inlineStr">
        <is>
          <t>Föryngringsavverkning</t>
        </is>
      </c>
      <c r="D2171" s="1" t="n">
        <v>46135</v>
      </c>
      <c r="E2171" s="1" t="n">
        <v>46309</v>
      </c>
      <c r="F2171" t="inlineStr">
        <is>
          <t>UPPSALA LÄN</t>
        </is>
      </c>
      <c r="G2171" t="inlineStr">
        <is>
          <t>KNIVSTA</t>
        </is>
      </c>
      <c r="I2171" t="n">
        <v>4.2</v>
      </c>
      <c r="J2171" t="n">
        <v>0</v>
      </c>
      <c r="K2171" t="n">
        <v>0</v>
      </c>
      <c r="L2171" t="n">
        <v>0</v>
      </c>
      <c r="M2171" t="n">
        <v>0</v>
      </c>
      <c r="N2171" t="n">
        <v>0</v>
      </c>
      <c r="O2171" t="n">
        <v>0</v>
      </c>
      <c r="P2171" t="n">
        <v>0</v>
      </c>
      <c r="Q2171" t="n">
        <v>0</v>
      </c>
      <c r="R2171" t="n">
        <v>0</v>
      </c>
      <c r="S2171" t="n">
        <v>0</v>
      </c>
      <c r="T2171" t="n">
        <v>0</v>
      </c>
      <c r="U2171" t="n">
        <v>0</v>
      </c>
      <c r="V2171" s="2" t="inlineStr"/>
    </row>
    <row r="2172" ht="15" customHeight="1">
      <c r="A2172" t="inlineStr">
        <is>
          <t>A 38865-2022</t>
        </is>
      </c>
      <c r="B2172" t="inlineStr">
        <is>
          <t>avverkningsanmälan</t>
        </is>
      </c>
      <c r="C2172" t="inlineStr">
        <is>
          <t>Föryngringsavverkning</t>
        </is>
      </c>
      <c r="D2172" s="1" t="n">
        <v>44816</v>
      </c>
      <c r="E2172" s="1" t="n">
        <v>46309</v>
      </c>
      <c r="F2172" t="inlineStr">
        <is>
          <t>UPPSALA LÄN</t>
        </is>
      </c>
      <c r="G2172" t="inlineStr">
        <is>
          <t>UPPSALA</t>
        </is>
      </c>
      <c r="I2172" t="n">
        <v>14.6</v>
      </c>
      <c r="J2172" t="n">
        <v>0</v>
      </c>
      <c r="K2172" t="n">
        <v>0</v>
      </c>
      <c r="L2172" t="n">
        <v>0</v>
      </c>
      <c r="M2172" t="n">
        <v>0</v>
      </c>
      <c r="N2172" t="n">
        <v>0</v>
      </c>
      <c r="O2172" t="n">
        <v>0</v>
      </c>
      <c r="P2172" t="n">
        <v>0</v>
      </c>
      <c r="Q2172" t="n">
        <v>0</v>
      </c>
      <c r="R2172" t="n">
        <v>0</v>
      </c>
      <c r="S2172" t="n">
        <v>0</v>
      </c>
      <c r="T2172" t="n">
        <v>0</v>
      </c>
      <c r="U2172" t="n">
        <v>0</v>
      </c>
      <c r="V2172" s="2" t="inlineStr"/>
    </row>
    <row r="2173" ht="15" customHeight="1">
      <c r="A2173" t="inlineStr">
        <is>
          <t>A 25971-2023</t>
        </is>
      </c>
      <c r="B2173" t="inlineStr">
        <is>
          <t>avverkningsanmälan</t>
        </is>
      </c>
      <c r="C2173" t="inlineStr">
        <is>
          <t>Föryngringsavverkning</t>
        </is>
      </c>
      <c r="D2173" s="1" t="n">
        <v>45090</v>
      </c>
      <c r="E2173" s="1" t="n">
        <v>46309</v>
      </c>
      <c r="F2173" t="inlineStr">
        <is>
          <t>UPPSALA LÄN</t>
        </is>
      </c>
      <c r="G2173" t="inlineStr">
        <is>
          <t>HEBY</t>
        </is>
      </c>
      <c r="H2173" t="inlineStr">
        <is>
          <t>Övriga Aktiebolag</t>
        </is>
      </c>
      <c r="I2173" t="n">
        <v>0.6</v>
      </c>
      <c r="J2173" t="n">
        <v>0</v>
      </c>
      <c r="K2173" t="n">
        <v>0</v>
      </c>
      <c r="L2173" t="n">
        <v>0</v>
      </c>
      <c r="M2173" t="n">
        <v>0</v>
      </c>
      <c r="N2173" t="n">
        <v>0</v>
      </c>
      <c r="O2173" t="n">
        <v>0</v>
      </c>
      <c r="P2173" t="n">
        <v>0</v>
      </c>
      <c r="Q2173" t="n">
        <v>0</v>
      </c>
      <c r="R2173" t="n">
        <v>0</v>
      </c>
      <c r="S2173" t="n">
        <v>0</v>
      </c>
      <c r="T2173" t="n">
        <v>0</v>
      </c>
      <c r="U2173" t="n">
        <v>0</v>
      </c>
      <c r="V2173" s="2" t="inlineStr"/>
    </row>
    <row r="2174" ht="15" customHeight="1">
      <c r="A2174" t="inlineStr">
        <is>
          <t>A 18717-2025</t>
        </is>
      </c>
      <c r="B2174" t="inlineStr">
        <is>
          <t>avverkningsanmälan</t>
        </is>
      </c>
      <c r="C2174" t="inlineStr">
        <is>
          <t>Föryngringsavverkning</t>
        </is>
      </c>
      <c r="D2174" s="1" t="n">
        <v>45763</v>
      </c>
      <c r="E2174" s="1" t="n">
        <v>46309</v>
      </c>
      <c r="F2174" t="inlineStr">
        <is>
          <t>UPPSALA LÄN</t>
        </is>
      </c>
      <c r="G2174" t="inlineStr">
        <is>
          <t>UPPSALA</t>
        </is>
      </c>
      <c r="I2174" t="n">
        <v>1</v>
      </c>
      <c r="J2174" t="n">
        <v>0</v>
      </c>
      <c r="K2174" t="n">
        <v>0</v>
      </c>
      <c r="L2174" t="n">
        <v>0</v>
      </c>
      <c r="M2174" t="n">
        <v>0</v>
      </c>
      <c r="N2174" t="n">
        <v>0</v>
      </c>
      <c r="O2174" t="n">
        <v>0</v>
      </c>
      <c r="P2174" t="n">
        <v>0</v>
      </c>
      <c r="Q2174" t="n">
        <v>0</v>
      </c>
      <c r="R2174" t="n">
        <v>0</v>
      </c>
      <c r="S2174" t="n">
        <v>0</v>
      </c>
      <c r="T2174" t="n">
        <v>0</v>
      </c>
      <c r="U2174" t="n">
        <v>0</v>
      </c>
      <c r="V2174" s="2" t="inlineStr"/>
    </row>
    <row r="2175" ht="15" customHeight="1">
      <c r="A2175" t="inlineStr">
        <is>
          <t>A 18110-2025</t>
        </is>
      </c>
      <c r="B2175" t="inlineStr">
        <is>
          <t>avverkningsanmälan</t>
        </is>
      </c>
      <c r="C2175" t="inlineStr">
        <is>
          <t>Föryngringsavverkning</t>
        </is>
      </c>
      <c r="D2175" s="1" t="n">
        <v>45761</v>
      </c>
      <c r="E2175" s="1" t="n">
        <v>46309</v>
      </c>
      <c r="F2175" t="inlineStr">
        <is>
          <t>UPPSALA LÄN</t>
        </is>
      </c>
      <c r="G2175" t="inlineStr">
        <is>
          <t>TIERP</t>
        </is>
      </c>
      <c r="H2175" t="inlineStr">
        <is>
          <t>Bergvik skog väst AB</t>
        </is>
      </c>
      <c r="I2175" t="n">
        <v>4</v>
      </c>
      <c r="J2175" t="n">
        <v>0</v>
      </c>
      <c r="K2175" t="n">
        <v>0</v>
      </c>
      <c r="L2175" t="n">
        <v>0</v>
      </c>
      <c r="M2175" t="n">
        <v>0</v>
      </c>
      <c r="N2175" t="n">
        <v>0</v>
      </c>
      <c r="O2175" t="n">
        <v>0</v>
      </c>
      <c r="P2175" t="n">
        <v>0</v>
      </c>
      <c r="Q2175" t="n">
        <v>0</v>
      </c>
      <c r="R2175" t="n">
        <v>0</v>
      </c>
      <c r="S2175" t="n">
        <v>0</v>
      </c>
      <c r="T2175" t="n">
        <v>0</v>
      </c>
      <c r="U2175" t="n">
        <v>0</v>
      </c>
      <c r="V2175" s="2" t="inlineStr"/>
    </row>
    <row r="2176" ht="15" customHeight="1">
      <c r="A2176" t="inlineStr">
        <is>
          <t>A 3638-2022</t>
        </is>
      </c>
      <c r="B2176" t="inlineStr">
        <is>
          <t>avverkningsanmälan</t>
        </is>
      </c>
      <c r="C2176" t="inlineStr">
        <is>
          <t>Föryngringsavverkning</t>
        </is>
      </c>
      <c r="D2176" s="1" t="n">
        <v>44578</v>
      </c>
      <c r="E2176" s="1" t="n">
        <v>46309</v>
      </c>
      <c r="F2176" t="inlineStr">
        <is>
          <t>UPPSALA LÄN</t>
        </is>
      </c>
      <c r="G2176" t="inlineStr">
        <is>
          <t>ÖSTHAMMAR</t>
        </is>
      </c>
      <c r="I2176" t="n">
        <v>1.7</v>
      </c>
      <c r="J2176" t="n">
        <v>0</v>
      </c>
      <c r="K2176" t="n">
        <v>0</v>
      </c>
      <c r="L2176" t="n">
        <v>0</v>
      </c>
      <c r="M2176" t="n">
        <v>0</v>
      </c>
      <c r="N2176" t="n">
        <v>0</v>
      </c>
      <c r="O2176" t="n">
        <v>0</v>
      </c>
      <c r="P2176" t="n">
        <v>0</v>
      </c>
      <c r="Q2176" t="n">
        <v>0</v>
      </c>
      <c r="R2176" t="n">
        <v>0</v>
      </c>
      <c r="S2176" t="n">
        <v>0</v>
      </c>
      <c r="T2176" t="n">
        <v>0</v>
      </c>
      <c r="U2176" t="n">
        <v>0</v>
      </c>
      <c r="V2176" s="2" t="inlineStr"/>
    </row>
    <row r="2177" ht="15" customHeight="1">
      <c r="A2177" t="inlineStr">
        <is>
          <t>A 3261-2024</t>
        </is>
      </c>
      <c r="B2177" t="inlineStr">
        <is>
          <t>avverkningsanmälan</t>
        </is>
      </c>
      <c r="C2177" t="inlineStr">
        <is>
          <t>Föryngringsavverkning</t>
        </is>
      </c>
      <c r="D2177" s="1" t="n">
        <v>45317</v>
      </c>
      <c r="E2177" s="1" t="n">
        <v>46309</v>
      </c>
      <c r="F2177" t="inlineStr">
        <is>
          <t>UPPSALA LÄN</t>
        </is>
      </c>
      <c r="G2177" t="inlineStr">
        <is>
          <t>UPPSALA</t>
        </is>
      </c>
      <c r="I2177" t="n">
        <v>2.8</v>
      </c>
      <c r="J2177" t="n">
        <v>0</v>
      </c>
      <c r="K2177" t="n">
        <v>0</v>
      </c>
      <c r="L2177" t="n">
        <v>0</v>
      </c>
      <c r="M2177" t="n">
        <v>0</v>
      </c>
      <c r="N2177" t="n">
        <v>0</v>
      </c>
      <c r="O2177" t="n">
        <v>0</v>
      </c>
      <c r="P2177" t="n">
        <v>0</v>
      </c>
      <c r="Q2177" t="n">
        <v>0</v>
      </c>
      <c r="R2177" t="n">
        <v>0</v>
      </c>
      <c r="S2177" t="n">
        <v>0</v>
      </c>
      <c r="T2177" t="n">
        <v>0</v>
      </c>
      <c r="U2177" t="n">
        <v>0</v>
      </c>
      <c r="V2177" s="2" t="inlineStr"/>
    </row>
    <row r="2178" ht="15" customHeight="1">
      <c r="A2178" t="inlineStr">
        <is>
          <t>A 17596-2025</t>
        </is>
      </c>
      <c r="B2178" t="inlineStr">
        <is>
          <t>avverkningsanmälan</t>
        </is>
      </c>
      <c r="C2178" t="inlineStr">
        <is>
          <t>Föryngringsavverkning</t>
        </is>
      </c>
      <c r="D2178" s="1" t="n">
        <v>45757</v>
      </c>
      <c r="E2178" s="1" t="n">
        <v>46309</v>
      </c>
      <c r="F2178" t="inlineStr">
        <is>
          <t>UPPSALA LÄN</t>
        </is>
      </c>
      <c r="G2178" t="inlineStr">
        <is>
          <t>UPPSALA</t>
        </is>
      </c>
      <c r="I2178" t="n">
        <v>4.8</v>
      </c>
      <c r="J2178" t="n">
        <v>0</v>
      </c>
      <c r="K2178" t="n">
        <v>0</v>
      </c>
      <c r="L2178" t="n">
        <v>0</v>
      </c>
      <c r="M2178" t="n">
        <v>0</v>
      </c>
      <c r="N2178" t="n">
        <v>0</v>
      </c>
      <c r="O2178" t="n">
        <v>0</v>
      </c>
      <c r="P2178" t="n">
        <v>0</v>
      </c>
      <c r="Q2178" t="n">
        <v>0</v>
      </c>
      <c r="R2178" t="n">
        <v>0</v>
      </c>
      <c r="S2178" t="n">
        <v>0</v>
      </c>
      <c r="T2178" t="n">
        <v>0</v>
      </c>
      <c r="U2178" t="n">
        <v>0</v>
      </c>
      <c r="V2178" s="2" t="inlineStr"/>
    </row>
    <row r="2179" ht="15" customHeight="1">
      <c r="A2179" t="inlineStr">
        <is>
          <t>A 7370-2023</t>
        </is>
      </c>
      <c r="B2179" t="inlineStr">
        <is>
          <t>avverkningsanmälan</t>
        </is>
      </c>
      <c r="C2179" t="inlineStr">
        <is>
          <t>Föryngringsavverkning</t>
        </is>
      </c>
      <c r="D2179" s="1" t="n">
        <v>44971</v>
      </c>
      <c r="E2179" s="1" t="n">
        <v>46309</v>
      </c>
      <c r="F2179" t="inlineStr">
        <is>
          <t>UPPSALA LÄN</t>
        </is>
      </c>
      <c r="G2179" t="inlineStr">
        <is>
          <t>TIERP</t>
        </is>
      </c>
      <c r="I2179" t="n">
        <v>2</v>
      </c>
      <c r="J2179" t="n">
        <v>0</v>
      </c>
      <c r="K2179" t="n">
        <v>0</v>
      </c>
      <c r="L2179" t="n">
        <v>0</v>
      </c>
      <c r="M2179" t="n">
        <v>0</v>
      </c>
      <c r="N2179" t="n">
        <v>0</v>
      </c>
      <c r="O2179" t="n">
        <v>0</v>
      </c>
      <c r="P2179" t="n">
        <v>0</v>
      </c>
      <c r="Q2179" t="n">
        <v>0</v>
      </c>
      <c r="R2179" t="n">
        <v>0</v>
      </c>
      <c r="S2179" t="n">
        <v>0</v>
      </c>
      <c r="T2179" t="n">
        <v>0</v>
      </c>
      <c r="U2179" t="n">
        <v>0</v>
      </c>
      <c r="V2179" s="2" t="inlineStr"/>
    </row>
    <row r="2180" ht="15" customHeight="1">
      <c r="A2180" t="inlineStr">
        <is>
          <t>A 19885-2026</t>
        </is>
      </c>
      <c r="B2180" t="inlineStr">
        <is>
          <t>avverkningsanmälan</t>
        </is>
      </c>
      <c r="C2180" t="inlineStr">
        <is>
          <t>Avverkning för annat ändamål</t>
        </is>
      </c>
      <c r="D2180" s="1" t="n">
        <v>46135</v>
      </c>
      <c r="E2180" s="1" t="n">
        <v>46309</v>
      </c>
      <c r="F2180" t="inlineStr">
        <is>
          <t>UPPSALA LÄN</t>
        </is>
      </c>
      <c r="G2180" t="inlineStr">
        <is>
          <t>UPPSALA</t>
        </is>
      </c>
      <c r="I2180" t="n">
        <v>1.4</v>
      </c>
      <c r="J2180" t="n">
        <v>0</v>
      </c>
      <c r="K2180" t="n">
        <v>0</v>
      </c>
      <c r="L2180" t="n">
        <v>0</v>
      </c>
      <c r="M2180" t="n">
        <v>0</v>
      </c>
      <c r="N2180" t="n">
        <v>0</v>
      </c>
      <c r="O2180" t="n">
        <v>0</v>
      </c>
      <c r="P2180" t="n">
        <v>0</v>
      </c>
      <c r="Q2180" t="n">
        <v>0</v>
      </c>
      <c r="R2180" t="n">
        <v>0</v>
      </c>
      <c r="S2180" t="n">
        <v>0</v>
      </c>
      <c r="T2180" t="n">
        <v>0</v>
      </c>
      <c r="U2180" t="n">
        <v>0</v>
      </c>
      <c r="V2180" s="2" t="inlineStr"/>
    </row>
    <row r="2181" ht="15" customHeight="1">
      <c r="A2181" t="inlineStr">
        <is>
          <t>A 66055-2021</t>
        </is>
      </c>
      <c r="B2181" t="inlineStr">
        <is>
          <t>avverkningsanmälan</t>
        </is>
      </c>
      <c r="C2181" t="inlineStr">
        <is>
          <t>Föryngringsavverkning</t>
        </is>
      </c>
      <c r="D2181" s="1" t="n">
        <v>44517</v>
      </c>
      <c r="E2181" s="1" t="n">
        <v>46309</v>
      </c>
      <c r="F2181" t="inlineStr">
        <is>
          <t>UPPSALA LÄN</t>
        </is>
      </c>
      <c r="G2181" t="inlineStr">
        <is>
          <t>HEBY</t>
        </is>
      </c>
      <c r="H2181" t="inlineStr">
        <is>
          <t>Bergvik skog öst AB</t>
        </is>
      </c>
      <c r="I2181" t="n">
        <v>0.8</v>
      </c>
      <c r="J2181" t="n">
        <v>0</v>
      </c>
      <c r="K2181" t="n">
        <v>0</v>
      </c>
      <c r="L2181" t="n">
        <v>0</v>
      </c>
      <c r="M2181" t="n">
        <v>0</v>
      </c>
      <c r="N2181" t="n">
        <v>0</v>
      </c>
      <c r="O2181" t="n">
        <v>0</v>
      </c>
      <c r="P2181" t="n">
        <v>0</v>
      </c>
      <c r="Q2181" t="n">
        <v>0</v>
      </c>
      <c r="R2181" t="n">
        <v>0</v>
      </c>
      <c r="S2181" t="n">
        <v>0</v>
      </c>
      <c r="T2181" t="n">
        <v>0</v>
      </c>
      <c r="U2181" t="n">
        <v>0</v>
      </c>
      <c r="V2181" s="2" t="inlineStr"/>
    </row>
    <row r="2182" ht="15" customHeight="1">
      <c r="A2182" t="inlineStr">
        <is>
          <t>A 24174-2025</t>
        </is>
      </c>
      <c r="B2182" t="inlineStr">
        <is>
          <t>avverkningsanmälan</t>
        </is>
      </c>
      <c r="C2182" t="inlineStr">
        <is>
          <t>Föryngringsavverkning</t>
        </is>
      </c>
      <c r="D2182" s="1" t="n">
        <v>45796</v>
      </c>
      <c r="E2182" s="1" t="n">
        <v>46309</v>
      </c>
      <c r="F2182" t="inlineStr">
        <is>
          <t>UPPSALA LÄN</t>
        </is>
      </c>
      <c r="G2182" t="inlineStr">
        <is>
          <t>ÖSTHAMMAR</t>
        </is>
      </c>
      <c r="I2182" t="n">
        <v>4.9</v>
      </c>
      <c r="J2182" t="n">
        <v>0</v>
      </c>
      <c r="K2182" t="n">
        <v>0</v>
      </c>
      <c r="L2182" t="n">
        <v>0</v>
      </c>
      <c r="M2182" t="n">
        <v>0</v>
      </c>
      <c r="N2182" t="n">
        <v>0</v>
      </c>
      <c r="O2182" t="n">
        <v>0</v>
      </c>
      <c r="P2182" t="n">
        <v>0</v>
      </c>
      <c r="Q2182" t="n">
        <v>0</v>
      </c>
      <c r="R2182" t="n">
        <v>0</v>
      </c>
      <c r="S2182" t="n">
        <v>0</v>
      </c>
      <c r="T2182" t="n">
        <v>0</v>
      </c>
      <c r="U2182" t="n">
        <v>0</v>
      </c>
      <c r="V2182" s="2" t="inlineStr"/>
    </row>
    <row r="2183" ht="15" customHeight="1">
      <c r="A2183" t="inlineStr">
        <is>
          <t>A 1838-2024</t>
        </is>
      </c>
      <c r="B2183" t="inlineStr">
        <is>
          <t>avverkningsanmälan</t>
        </is>
      </c>
      <c r="C2183" t="inlineStr">
        <is>
          <t>Föryngringsavverkning</t>
        </is>
      </c>
      <c r="D2183" s="1" t="n">
        <v>45307</v>
      </c>
      <c r="E2183" s="1" t="n">
        <v>46309</v>
      </c>
      <c r="F2183" t="inlineStr">
        <is>
          <t>UPPSALA LÄN</t>
        </is>
      </c>
      <c r="G2183" t="inlineStr">
        <is>
          <t>UPPSALA</t>
        </is>
      </c>
      <c r="I2183" t="n">
        <v>1.8</v>
      </c>
      <c r="J2183" t="n">
        <v>0</v>
      </c>
      <c r="K2183" t="n">
        <v>0</v>
      </c>
      <c r="L2183" t="n">
        <v>0</v>
      </c>
      <c r="M2183" t="n">
        <v>0</v>
      </c>
      <c r="N2183" t="n">
        <v>0</v>
      </c>
      <c r="O2183" t="n">
        <v>0</v>
      </c>
      <c r="P2183" t="n">
        <v>0</v>
      </c>
      <c r="Q2183" t="n">
        <v>0</v>
      </c>
      <c r="R2183" t="n">
        <v>0</v>
      </c>
      <c r="S2183" t="n">
        <v>0</v>
      </c>
      <c r="T2183" t="n">
        <v>0</v>
      </c>
      <c r="U2183" t="n">
        <v>0</v>
      </c>
      <c r="V2183" s="2" t="inlineStr"/>
    </row>
    <row r="2184" ht="15" customHeight="1">
      <c r="A2184" t="inlineStr">
        <is>
          <t>A 64885-2021</t>
        </is>
      </c>
      <c r="B2184" t="inlineStr">
        <is>
          <t>avverkningsanmälan</t>
        </is>
      </c>
      <c r="C2184" t="inlineStr">
        <is>
          <t>Föryngringsavverkning</t>
        </is>
      </c>
      <c r="D2184" s="1" t="n">
        <v>44512</v>
      </c>
      <c r="E2184" s="1" t="n">
        <v>46309</v>
      </c>
      <c r="F2184" t="inlineStr">
        <is>
          <t>UPPSALA LÄN</t>
        </is>
      </c>
      <c r="G2184" t="inlineStr">
        <is>
          <t>ÖSTHAMMAR</t>
        </is>
      </c>
      <c r="I2184" t="n">
        <v>2.1</v>
      </c>
      <c r="J2184" t="n">
        <v>0</v>
      </c>
      <c r="K2184" t="n">
        <v>0</v>
      </c>
      <c r="L2184" t="n">
        <v>0</v>
      </c>
      <c r="M2184" t="n">
        <v>0</v>
      </c>
      <c r="N2184" t="n">
        <v>0</v>
      </c>
      <c r="O2184" t="n">
        <v>0</v>
      </c>
      <c r="P2184" t="n">
        <v>0</v>
      </c>
      <c r="Q2184" t="n">
        <v>0</v>
      </c>
      <c r="R2184" t="n">
        <v>0</v>
      </c>
      <c r="S2184" t="n">
        <v>0</v>
      </c>
      <c r="T2184" t="n">
        <v>0</v>
      </c>
      <c r="U2184" t="n">
        <v>0</v>
      </c>
      <c r="V2184" s="2" t="inlineStr"/>
    </row>
    <row r="2185" ht="15" customHeight="1">
      <c r="A2185" t="inlineStr">
        <is>
          <t>A 29019-2023</t>
        </is>
      </c>
      <c r="B2185" t="inlineStr">
        <is>
          <t>avverkningsanmälan</t>
        </is>
      </c>
      <c r="C2185" t="inlineStr">
        <is>
          <t>Föryngringsavverkning</t>
        </is>
      </c>
      <c r="D2185" s="1" t="n">
        <v>45104</v>
      </c>
      <c r="E2185" s="1" t="n">
        <v>46309</v>
      </c>
      <c r="F2185" t="inlineStr">
        <is>
          <t>UPPSALA LÄN</t>
        </is>
      </c>
      <c r="G2185" t="inlineStr">
        <is>
          <t>UPPSALA</t>
        </is>
      </c>
      <c r="I2185" t="n">
        <v>1.2</v>
      </c>
      <c r="J2185" t="n">
        <v>0</v>
      </c>
      <c r="K2185" t="n">
        <v>0</v>
      </c>
      <c r="L2185" t="n">
        <v>0</v>
      </c>
      <c r="M2185" t="n">
        <v>0</v>
      </c>
      <c r="N2185" t="n">
        <v>0</v>
      </c>
      <c r="O2185" t="n">
        <v>0</v>
      </c>
      <c r="P2185" t="n">
        <v>0</v>
      </c>
      <c r="Q2185" t="n">
        <v>0</v>
      </c>
      <c r="R2185" t="n">
        <v>0</v>
      </c>
      <c r="S2185" t="n">
        <v>0</v>
      </c>
      <c r="T2185" t="n">
        <v>0</v>
      </c>
      <c r="U2185" t="n">
        <v>0</v>
      </c>
      <c r="V2185" s="2" t="inlineStr"/>
    </row>
    <row r="2186" ht="15" customHeight="1">
      <c r="A2186" t="inlineStr">
        <is>
          <t>A 31143-2023</t>
        </is>
      </c>
      <c r="B2186" t="inlineStr">
        <is>
          <t>avverkningsanmälan</t>
        </is>
      </c>
      <c r="C2186" t="inlineStr">
        <is>
          <t>Föryngringsavverkning</t>
        </is>
      </c>
      <c r="D2186" s="1" t="n">
        <v>45103</v>
      </c>
      <c r="E2186" s="1" t="n">
        <v>46309</v>
      </c>
      <c r="F2186" t="inlineStr">
        <is>
          <t>UPPSALA LÄN</t>
        </is>
      </c>
      <c r="G2186" t="inlineStr">
        <is>
          <t>HEBY</t>
        </is>
      </c>
      <c r="H2186" t="inlineStr">
        <is>
          <t>Bergvik skog väst AB</t>
        </is>
      </c>
      <c r="I2186" t="n">
        <v>0.6</v>
      </c>
      <c r="J2186" t="n">
        <v>0</v>
      </c>
      <c r="K2186" t="n">
        <v>0</v>
      </c>
      <c r="L2186" t="n">
        <v>0</v>
      </c>
      <c r="M2186" t="n">
        <v>0</v>
      </c>
      <c r="N2186" t="n">
        <v>0</v>
      </c>
      <c r="O2186" t="n">
        <v>0</v>
      </c>
      <c r="P2186" t="n">
        <v>0</v>
      </c>
      <c r="Q2186" t="n">
        <v>0</v>
      </c>
      <c r="R2186" t="n">
        <v>0</v>
      </c>
      <c r="S2186" t="n">
        <v>0</v>
      </c>
      <c r="T2186" t="n">
        <v>0</v>
      </c>
      <c r="U2186" t="n">
        <v>0</v>
      </c>
      <c r="V2186" s="2" t="inlineStr"/>
    </row>
    <row r="2187" ht="15" customHeight="1">
      <c r="A2187" t="inlineStr">
        <is>
          <t>A 18056-2025</t>
        </is>
      </c>
      <c r="B2187" t="inlineStr">
        <is>
          <t>avverkningsanmälan</t>
        </is>
      </c>
      <c r="C2187" t="inlineStr">
        <is>
          <t>Föryngringsavverkning</t>
        </is>
      </c>
      <c r="D2187" s="1" t="n">
        <v>45761</v>
      </c>
      <c r="E2187" s="1" t="n">
        <v>46309</v>
      </c>
      <c r="F2187" t="inlineStr">
        <is>
          <t>UPPSALA LÄN</t>
        </is>
      </c>
      <c r="G2187" t="inlineStr">
        <is>
          <t>HEBY</t>
        </is>
      </c>
      <c r="I2187" t="n">
        <v>0.8</v>
      </c>
      <c r="J2187" t="n">
        <v>0</v>
      </c>
      <c r="K2187" t="n">
        <v>0</v>
      </c>
      <c r="L2187" t="n">
        <v>0</v>
      </c>
      <c r="M2187" t="n">
        <v>0</v>
      </c>
      <c r="N2187" t="n">
        <v>0</v>
      </c>
      <c r="O2187" t="n">
        <v>0</v>
      </c>
      <c r="P2187" t="n">
        <v>0</v>
      </c>
      <c r="Q2187" t="n">
        <v>0</v>
      </c>
      <c r="R2187" t="n">
        <v>0</v>
      </c>
      <c r="S2187" t="n">
        <v>0</v>
      </c>
      <c r="T2187" t="n">
        <v>0</v>
      </c>
      <c r="U2187" t="n">
        <v>0</v>
      </c>
      <c r="V2187" s="2" t="inlineStr"/>
    </row>
    <row r="2188" ht="15" customHeight="1">
      <c r="A2188" t="inlineStr">
        <is>
          <t>A 13853-2023</t>
        </is>
      </c>
      <c r="B2188" t="inlineStr">
        <is>
          <t>avverkningsanmälan</t>
        </is>
      </c>
      <c r="C2188" t="inlineStr">
        <is>
          <t>Föryngringsavverkning</t>
        </is>
      </c>
      <c r="D2188" s="1" t="n">
        <v>45007</v>
      </c>
      <c r="E2188" s="1" t="n">
        <v>46309</v>
      </c>
      <c r="F2188" t="inlineStr">
        <is>
          <t>UPPSALA LÄN</t>
        </is>
      </c>
      <c r="G2188" t="inlineStr">
        <is>
          <t>ENKÖPING</t>
        </is>
      </c>
      <c r="I2188" t="n">
        <v>0.6</v>
      </c>
      <c r="J2188" t="n">
        <v>0</v>
      </c>
      <c r="K2188" t="n">
        <v>0</v>
      </c>
      <c r="L2188" t="n">
        <v>0</v>
      </c>
      <c r="M2188" t="n">
        <v>0</v>
      </c>
      <c r="N2188" t="n">
        <v>0</v>
      </c>
      <c r="O2188" t="n">
        <v>0</v>
      </c>
      <c r="P2188" t="n">
        <v>0</v>
      </c>
      <c r="Q2188" t="n">
        <v>0</v>
      </c>
      <c r="R2188" t="n">
        <v>0</v>
      </c>
      <c r="S2188" t="n">
        <v>0</v>
      </c>
      <c r="T2188" t="n">
        <v>0</v>
      </c>
      <c r="U2188" t="n">
        <v>0</v>
      </c>
      <c r="V2188" s="2" t="inlineStr"/>
    </row>
    <row r="2189" ht="15" customHeight="1">
      <c r="A2189" t="inlineStr">
        <is>
          <t>A 17969-2023</t>
        </is>
      </c>
      <c r="B2189" t="inlineStr">
        <is>
          <t>avverkningsanmälan</t>
        </is>
      </c>
      <c r="C2189" t="inlineStr">
        <is>
          <t>Föryngringsavverkning</t>
        </is>
      </c>
      <c r="D2189" s="1" t="n">
        <v>45040</v>
      </c>
      <c r="E2189" s="1" t="n">
        <v>46309</v>
      </c>
      <c r="F2189" t="inlineStr">
        <is>
          <t>UPPSALA LÄN</t>
        </is>
      </c>
      <c r="G2189" t="inlineStr">
        <is>
          <t>ÖSTHAMMAR</t>
        </is>
      </c>
      <c r="I2189" t="n">
        <v>5.4</v>
      </c>
      <c r="J2189" t="n">
        <v>0</v>
      </c>
      <c r="K2189" t="n">
        <v>0</v>
      </c>
      <c r="L2189" t="n">
        <v>0</v>
      </c>
      <c r="M2189" t="n">
        <v>0</v>
      </c>
      <c r="N2189" t="n">
        <v>0</v>
      </c>
      <c r="O2189" t="n">
        <v>0</v>
      </c>
      <c r="P2189" t="n">
        <v>0</v>
      </c>
      <c r="Q2189" t="n">
        <v>0</v>
      </c>
      <c r="R2189" t="n">
        <v>0</v>
      </c>
      <c r="S2189" t="n">
        <v>0</v>
      </c>
      <c r="T2189" t="n">
        <v>0</v>
      </c>
      <c r="U2189" t="n">
        <v>0</v>
      </c>
      <c r="V2189" s="2" t="inlineStr"/>
    </row>
    <row r="2190" ht="15" customHeight="1">
      <c r="A2190" t="inlineStr">
        <is>
          <t>A 34455-2025</t>
        </is>
      </c>
      <c r="B2190" t="inlineStr">
        <is>
          <t>avverkningsanmälan</t>
        </is>
      </c>
      <c r="C2190" t="inlineStr">
        <is>
          <t>Föryngringsavverkning</t>
        </is>
      </c>
      <c r="D2190" s="1" t="n">
        <v>45847</v>
      </c>
      <c r="E2190" s="1" t="n">
        <v>46309</v>
      </c>
      <c r="F2190" t="inlineStr">
        <is>
          <t>UPPSALA LÄN</t>
        </is>
      </c>
      <c r="G2190" t="inlineStr">
        <is>
          <t>TIERP</t>
        </is>
      </c>
      <c r="I2190" t="n">
        <v>1.3</v>
      </c>
      <c r="J2190" t="n">
        <v>0</v>
      </c>
      <c r="K2190" t="n">
        <v>0</v>
      </c>
      <c r="L2190" t="n">
        <v>0</v>
      </c>
      <c r="M2190" t="n">
        <v>0</v>
      </c>
      <c r="N2190" t="n">
        <v>0</v>
      </c>
      <c r="O2190" t="n">
        <v>0</v>
      </c>
      <c r="P2190" t="n">
        <v>0</v>
      </c>
      <c r="Q2190" t="n">
        <v>0</v>
      </c>
      <c r="R2190" t="n">
        <v>0</v>
      </c>
      <c r="S2190" t="n">
        <v>0</v>
      </c>
      <c r="T2190" t="n">
        <v>0</v>
      </c>
      <c r="U2190" t="n">
        <v>0</v>
      </c>
      <c r="V2190" s="2" t="inlineStr"/>
    </row>
    <row r="2191" ht="15" customHeight="1">
      <c r="A2191" t="inlineStr">
        <is>
          <t>A 33689-2023</t>
        </is>
      </c>
      <c r="B2191" t="inlineStr">
        <is>
          <t>avverkningsanmälan</t>
        </is>
      </c>
      <c r="C2191" t="inlineStr">
        <is>
          <t>Avverkning för annat ändamål</t>
        </is>
      </c>
      <c r="D2191" s="1" t="n">
        <v>45119</v>
      </c>
      <c r="E2191" s="1" t="n">
        <v>46309</v>
      </c>
      <c r="F2191" t="inlineStr">
        <is>
          <t>UPPSALA LÄN</t>
        </is>
      </c>
      <c r="G2191" t="inlineStr">
        <is>
          <t>UPPSALA</t>
        </is>
      </c>
      <c r="I2191" t="n">
        <v>2.2</v>
      </c>
      <c r="J2191" t="n">
        <v>0</v>
      </c>
      <c r="K2191" t="n">
        <v>0</v>
      </c>
      <c r="L2191" t="n">
        <v>0</v>
      </c>
      <c r="M2191" t="n">
        <v>0</v>
      </c>
      <c r="N2191" t="n">
        <v>0</v>
      </c>
      <c r="O2191" t="n">
        <v>0</v>
      </c>
      <c r="P2191" t="n">
        <v>0</v>
      </c>
      <c r="Q2191" t="n">
        <v>0</v>
      </c>
      <c r="R2191" t="n">
        <v>0</v>
      </c>
      <c r="S2191" t="n">
        <v>0</v>
      </c>
      <c r="T2191" t="n">
        <v>0</v>
      </c>
      <c r="U2191" t="n">
        <v>0</v>
      </c>
      <c r="V2191" s="2" t="inlineStr"/>
    </row>
    <row r="2192" ht="15" customHeight="1">
      <c r="A2192" t="inlineStr">
        <is>
          <t>A 72180-2021</t>
        </is>
      </c>
      <c r="B2192" t="inlineStr">
        <is>
          <t>avverkningsanmälan</t>
        </is>
      </c>
      <c r="C2192" t="inlineStr">
        <is>
          <t>Föryngringsavverkning</t>
        </is>
      </c>
      <c r="D2192" s="1" t="n">
        <v>44543</v>
      </c>
      <c r="E2192" s="1" t="n">
        <v>46309</v>
      </c>
      <c r="F2192" t="inlineStr">
        <is>
          <t>UPPSALA LÄN</t>
        </is>
      </c>
      <c r="G2192" t="inlineStr">
        <is>
          <t>HEBY</t>
        </is>
      </c>
      <c r="I2192" t="n">
        <v>3.9</v>
      </c>
      <c r="J2192" t="n">
        <v>0</v>
      </c>
      <c r="K2192" t="n">
        <v>0</v>
      </c>
      <c r="L2192" t="n">
        <v>0</v>
      </c>
      <c r="M2192" t="n">
        <v>0</v>
      </c>
      <c r="N2192" t="n">
        <v>0</v>
      </c>
      <c r="O2192" t="n">
        <v>0</v>
      </c>
      <c r="P2192" t="n">
        <v>0</v>
      </c>
      <c r="Q2192" t="n">
        <v>0</v>
      </c>
      <c r="R2192" t="n">
        <v>0</v>
      </c>
      <c r="S2192" t="n">
        <v>0</v>
      </c>
      <c r="T2192" t="n">
        <v>0</v>
      </c>
      <c r="U2192" t="n">
        <v>0</v>
      </c>
      <c r="V2192" s="2" t="inlineStr"/>
    </row>
    <row r="2193" ht="15" customHeight="1">
      <c r="A2193" t="inlineStr">
        <is>
          <t>A 39529-2025</t>
        </is>
      </c>
      <c r="B2193" t="inlineStr">
        <is>
          <t>avverkningsanmälan</t>
        </is>
      </c>
      <c r="C2193" t="inlineStr">
        <is>
          <t>Föryngringsavverkning</t>
        </is>
      </c>
      <c r="D2193" s="1" t="n">
        <v>45890</v>
      </c>
      <c r="E2193" s="1" t="n">
        <v>46309</v>
      </c>
      <c r="F2193" t="inlineStr">
        <is>
          <t>UPPSALA LÄN</t>
        </is>
      </c>
      <c r="G2193" t="inlineStr">
        <is>
          <t>UPPSALA</t>
        </is>
      </c>
      <c r="H2193" t="inlineStr">
        <is>
          <t>Allmännings- och besparingsskogar</t>
        </is>
      </c>
      <c r="I2193" t="n">
        <v>3.9</v>
      </c>
      <c r="J2193" t="n">
        <v>0</v>
      </c>
      <c r="K2193" t="n">
        <v>0</v>
      </c>
      <c r="L2193" t="n">
        <v>0</v>
      </c>
      <c r="M2193" t="n">
        <v>0</v>
      </c>
      <c r="N2193" t="n">
        <v>0</v>
      </c>
      <c r="O2193" t="n">
        <v>0</v>
      </c>
      <c r="P2193" t="n">
        <v>0</v>
      </c>
      <c r="Q2193" t="n">
        <v>0</v>
      </c>
      <c r="R2193" t="n">
        <v>0</v>
      </c>
      <c r="S2193" t="n">
        <v>0</v>
      </c>
      <c r="T2193" t="n">
        <v>0</v>
      </c>
      <c r="U2193" t="n">
        <v>0</v>
      </c>
      <c r="V2193" s="2" t="inlineStr"/>
    </row>
    <row r="2194" ht="15" customHeight="1">
      <c r="A2194" t="inlineStr">
        <is>
          <t>A 5814-2026</t>
        </is>
      </c>
      <c r="B2194" t="inlineStr">
        <is>
          <t>avverkningsanmälan</t>
        </is>
      </c>
      <c r="C2194" t="inlineStr">
        <is>
          <t>Föryngringsavverkning</t>
        </is>
      </c>
      <c r="D2194" s="1" t="n">
        <v>46051</v>
      </c>
      <c r="E2194" s="1" t="n">
        <v>46309</v>
      </c>
      <c r="F2194" t="inlineStr">
        <is>
          <t>UPPSALA LÄN</t>
        </is>
      </c>
      <c r="G2194" t="inlineStr">
        <is>
          <t>UPPSALA</t>
        </is>
      </c>
      <c r="H2194" t="inlineStr">
        <is>
          <t>Kommuner</t>
        </is>
      </c>
      <c r="I2194" t="n">
        <v>3.4</v>
      </c>
      <c r="J2194" t="n">
        <v>0</v>
      </c>
      <c r="K2194" t="n">
        <v>0</v>
      </c>
      <c r="L2194" t="n">
        <v>0</v>
      </c>
      <c r="M2194" t="n">
        <v>0</v>
      </c>
      <c r="N2194" t="n">
        <v>0</v>
      </c>
      <c r="O2194" t="n">
        <v>0</v>
      </c>
      <c r="P2194" t="n">
        <v>0</v>
      </c>
      <c r="Q2194" t="n">
        <v>0</v>
      </c>
      <c r="R2194" t="n">
        <v>0</v>
      </c>
      <c r="S2194" t="n">
        <v>0</v>
      </c>
      <c r="T2194" t="n">
        <v>0</v>
      </c>
      <c r="U2194" t="n">
        <v>0</v>
      </c>
      <c r="V2194" s="2" t="inlineStr"/>
    </row>
    <row r="2195" ht="15" customHeight="1">
      <c r="A2195" t="inlineStr">
        <is>
          <t>A 62145-2022</t>
        </is>
      </c>
      <c r="B2195" t="inlineStr">
        <is>
          <t>avverkningsanmälan</t>
        </is>
      </c>
      <c r="C2195" t="inlineStr">
        <is>
          <t>Föryngringsavverkning</t>
        </is>
      </c>
      <c r="D2195" s="1" t="n">
        <v>44914</v>
      </c>
      <c r="E2195" s="1" t="n">
        <v>46309</v>
      </c>
      <c r="F2195" t="inlineStr">
        <is>
          <t>UPPSALA LÄN</t>
        </is>
      </c>
      <c r="G2195" t="inlineStr">
        <is>
          <t>HEBY</t>
        </is>
      </c>
      <c r="I2195" t="n">
        <v>5.4</v>
      </c>
      <c r="J2195" t="n">
        <v>0</v>
      </c>
      <c r="K2195" t="n">
        <v>0</v>
      </c>
      <c r="L2195" t="n">
        <v>0</v>
      </c>
      <c r="M2195" t="n">
        <v>0</v>
      </c>
      <c r="N2195" t="n">
        <v>0</v>
      </c>
      <c r="O2195" t="n">
        <v>0</v>
      </c>
      <c r="P2195" t="n">
        <v>0</v>
      </c>
      <c r="Q2195" t="n">
        <v>0</v>
      </c>
      <c r="R2195" t="n">
        <v>0</v>
      </c>
      <c r="S2195" t="n">
        <v>0</v>
      </c>
      <c r="T2195" t="n">
        <v>0</v>
      </c>
      <c r="U2195" t="n">
        <v>0</v>
      </c>
      <c r="V2195" s="2" t="inlineStr"/>
    </row>
    <row r="2196" ht="15" customHeight="1">
      <c r="A2196" t="inlineStr">
        <is>
          <t>A 15655-2025</t>
        </is>
      </c>
      <c r="B2196" t="inlineStr">
        <is>
          <t>avverkningsanmälan</t>
        </is>
      </c>
      <c r="C2196" t="inlineStr">
        <is>
          <t>Föryngringsavverkning</t>
        </is>
      </c>
      <c r="D2196" s="1" t="n">
        <v>45748</v>
      </c>
      <c r="E2196" s="1" t="n">
        <v>46309</v>
      </c>
      <c r="F2196" t="inlineStr">
        <is>
          <t>UPPSALA LÄN</t>
        </is>
      </c>
      <c r="G2196" t="inlineStr">
        <is>
          <t>TIERP</t>
        </is>
      </c>
      <c r="H2196" t="inlineStr">
        <is>
          <t>Kyrkan</t>
        </is>
      </c>
      <c r="I2196" t="n">
        <v>4.5</v>
      </c>
      <c r="J2196" t="n">
        <v>0</v>
      </c>
      <c r="K2196" t="n">
        <v>0</v>
      </c>
      <c r="L2196" t="n">
        <v>0</v>
      </c>
      <c r="M2196" t="n">
        <v>0</v>
      </c>
      <c r="N2196" t="n">
        <v>0</v>
      </c>
      <c r="O2196" t="n">
        <v>0</v>
      </c>
      <c r="P2196" t="n">
        <v>0</v>
      </c>
      <c r="Q2196" t="n">
        <v>0</v>
      </c>
      <c r="R2196" t="n">
        <v>0</v>
      </c>
      <c r="S2196" t="n">
        <v>0</v>
      </c>
      <c r="T2196" t="n">
        <v>0</v>
      </c>
      <c r="U2196" t="n">
        <v>0</v>
      </c>
      <c r="V2196" s="2" t="inlineStr"/>
    </row>
    <row r="2197" ht="15" customHeight="1">
      <c r="A2197" t="inlineStr">
        <is>
          <t>A 63310-2021</t>
        </is>
      </c>
      <c r="B2197" t="inlineStr">
        <is>
          <t>avverkningsanmälan</t>
        </is>
      </c>
      <c r="C2197" t="inlineStr">
        <is>
          <t>Avverkning för annat ändamål</t>
        </is>
      </c>
      <c r="D2197" s="1" t="n">
        <v>44508</v>
      </c>
      <c r="E2197" s="1" t="n">
        <v>46309</v>
      </c>
      <c r="F2197" t="inlineStr">
        <is>
          <t>UPPSALA LÄN</t>
        </is>
      </c>
      <c r="G2197" t="inlineStr">
        <is>
          <t>ENKÖPING</t>
        </is>
      </c>
      <c r="I2197" t="n">
        <v>3.5</v>
      </c>
      <c r="J2197" t="n">
        <v>0</v>
      </c>
      <c r="K2197" t="n">
        <v>0</v>
      </c>
      <c r="L2197" t="n">
        <v>0</v>
      </c>
      <c r="M2197" t="n">
        <v>0</v>
      </c>
      <c r="N2197" t="n">
        <v>0</v>
      </c>
      <c r="O2197" t="n">
        <v>0</v>
      </c>
      <c r="P2197" t="n">
        <v>0</v>
      </c>
      <c r="Q2197" t="n">
        <v>0</v>
      </c>
      <c r="R2197" t="n">
        <v>0</v>
      </c>
      <c r="S2197" t="n">
        <v>0</v>
      </c>
      <c r="T2197" t="n">
        <v>0</v>
      </c>
      <c r="U2197" t="n">
        <v>0</v>
      </c>
      <c r="V2197" s="2" t="inlineStr"/>
    </row>
    <row r="2198" ht="15" customHeight="1">
      <c r="A2198" t="inlineStr">
        <is>
          <t>A 40455-2025</t>
        </is>
      </c>
      <c r="B2198" t="inlineStr">
        <is>
          <t>avverkningsanmälan</t>
        </is>
      </c>
      <c r="C2198" t="inlineStr">
        <is>
          <t>Föryngringsavverkning</t>
        </is>
      </c>
      <c r="D2198" s="1" t="n">
        <v>45895</v>
      </c>
      <c r="E2198" s="1" t="n">
        <v>46309</v>
      </c>
      <c r="F2198" t="inlineStr">
        <is>
          <t>UPPSALA LÄN</t>
        </is>
      </c>
      <c r="G2198" t="inlineStr">
        <is>
          <t>HEBY</t>
        </is>
      </c>
      <c r="H2198" t="inlineStr">
        <is>
          <t>Bergvik skog öst AB</t>
        </is>
      </c>
      <c r="I2198" t="n">
        <v>0.6</v>
      </c>
      <c r="J2198" t="n">
        <v>0</v>
      </c>
      <c r="K2198" t="n">
        <v>0</v>
      </c>
      <c r="L2198" t="n">
        <v>0</v>
      </c>
      <c r="M2198" t="n">
        <v>0</v>
      </c>
      <c r="N2198" t="n">
        <v>0</v>
      </c>
      <c r="O2198" t="n">
        <v>0</v>
      </c>
      <c r="P2198" t="n">
        <v>0</v>
      </c>
      <c r="Q2198" t="n">
        <v>0</v>
      </c>
      <c r="R2198" t="n">
        <v>0</v>
      </c>
      <c r="S2198" t="n">
        <v>0</v>
      </c>
      <c r="T2198" t="n">
        <v>0</v>
      </c>
      <c r="U2198" t="n">
        <v>0</v>
      </c>
      <c r="V2198" s="2" t="inlineStr"/>
    </row>
    <row r="2199" ht="15" customHeight="1">
      <c r="A2199" t="inlineStr">
        <is>
          <t>A 25408-2023</t>
        </is>
      </c>
      <c r="B2199" t="inlineStr">
        <is>
          <t>avverkningsanmälan</t>
        </is>
      </c>
      <c r="C2199" t="inlineStr">
        <is>
          <t>Föryngringsavverkning</t>
        </is>
      </c>
      <c r="D2199" s="1" t="n">
        <v>45080</v>
      </c>
      <c r="E2199" s="1" t="n">
        <v>46309</v>
      </c>
      <c r="F2199" t="inlineStr">
        <is>
          <t>UPPSALA LÄN</t>
        </is>
      </c>
      <c r="G2199" t="inlineStr">
        <is>
          <t>TIERP</t>
        </is>
      </c>
      <c r="I2199" t="n">
        <v>0.9</v>
      </c>
      <c r="J2199" t="n">
        <v>0</v>
      </c>
      <c r="K2199" t="n">
        <v>0</v>
      </c>
      <c r="L2199" t="n">
        <v>0</v>
      </c>
      <c r="M2199" t="n">
        <v>0</v>
      </c>
      <c r="N2199" t="n">
        <v>0</v>
      </c>
      <c r="O2199" t="n">
        <v>0</v>
      </c>
      <c r="P2199" t="n">
        <v>0</v>
      </c>
      <c r="Q2199" t="n">
        <v>0</v>
      </c>
      <c r="R2199" t="n">
        <v>0</v>
      </c>
      <c r="S2199" t="n">
        <v>0</v>
      </c>
      <c r="T2199" t="n">
        <v>0</v>
      </c>
      <c r="U2199" t="n">
        <v>0</v>
      </c>
      <c r="V2199" s="2" t="inlineStr"/>
    </row>
    <row r="2200" ht="15" customHeight="1">
      <c r="A2200" t="inlineStr">
        <is>
          <t>A 35978-2025</t>
        </is>
      </c>
      <c r="B2200" t="inlineStr">
        <is>
          <t>avverkningsanmälan</t>
        </is>
      </c>
      <c r="C2200" t="inlineStr">
        <is>
          <t>Föryngringsavverkning</t>
        </is>
      </c>
      <c r="D2200" s="1" t="n">
        <v>45863</v>
      </c>
      <c r="E2200" s="1" t="n">
        <v>46309</v>
      </c>
      <c r="F2200" t="inlineStr">
        <is>
          <t>UPPSALA LÄN</t>
        </is>
      </c>
      <c r="G2200" t="inlineStr">
        <is>
          <t>UPPSALA</t>
        </is>
      </c>
      <c r="I2200" t="n">
        <v>1.6</v>
      </c>
      <c r="J2200" t="n">
        <v>0</v>
      </c>
      <c r="K2200" t="n">
        <v>0</v>
      </c>
      <c r="L2200" t="n">
        <v>0</v>
      </c>
      <c r="M2200" t="n">
        <v>0</v>
      </c>
      <c r="N2200" t="n">
        <v>0</v>
      </c>
      <c r="O2200" t="n">
        <v>0</v>
      </c>
      <c r="P2200" t="n">
        <v>0</v>
      </c>
      <c r="Q2200" t="n">
        <v>0</v>
      </c>
      <c r="R2200" t="n">
        <v>0</v>
      </c>
      <c r="S2200" t="n">
        <v>0</v>
      </c>
      <c r="T2200" t="n">
        <v>0</v>
      </c>
      <c r="U2200" t="n">
        <v>0</v>
      </c>
      <c r="V2200" s="2" t="inlineStr"/>
    </row>
    <row r="2201" ht="15" customHeight="1">
      <c r="A2201" t="inlineStr">
        <is>
          <t>A 12528-2024</t>
        </is>
      </c>
      <c r="B2201" t="inlineStr">
        <is>
          <t>avverkningsanmälan</t>
        </is>
      </c>
      <c r="C2201" t="inlineStr">
        <is>
          <t>Föryngringsavverkning</t>
        </is>
      </c>
      <c r="D2201" s="1" t="n">
        <v>45379</v>
      </c>
      <c r="E2201" s="1" t="n">
        <v>46309</v>
      </c>
      <c r="F2201" t="inlineStr">
        <is>
          <t>UPPSALA LÄN</t>
        </is>
      </c>
      <c r="G2201" t="inlineStr">
        <is>
          <t>ÖSTHAMMAR</t>
        </is>
      </c>
      <c r="H2201" t="inlineStr">
        <is>
          <t>Bergvik skog öst AB</t>
        </is>
      </c>
      <c r="I2201" t="n">
        <v>0.4</v>
      </c>
      <c r="J2201" t="n">
        <v>0</v>
      </c>
      <c r="K2201" t="n">
        <v>0</v>
      </c>
      <c r="L2201" t="n">
        <v>0</v>
      </c>
      <c r="M2201" t="n">
        <v>0</v>
      </c>
      <c r="N2201" t="n">
        <v>0</v>
      </c>
      <c r="O2201" t="n">
        <v>0</v>
      </c>
      <c r="P2201" t="n">
        <v>0</v>
      </c>
      <c r="Q2201" t="n">
        <v>0</v>
      </c>
      <c r="R2201" t="n">
        <v>0</v>
      </c>
      <c r="S2201" t="n">
        <v>0</v>
      </c>
      <c r="T2201" t="n">
        <v>0</v>
      </c>
      <c r="U2201" t="n">
        <v>0</v>
      </c>
      <c r="V2201" s="2" t="inlineStr"/>
    </row>
    <row r="2202" ht="15" customHeight="1">
      <c r="A2202" t="inlineStr">
        <is>
          <t>A 28442-2025</t>
        </is>
      </c>
      <c r="B2202" t="inlineStr">
        <is>
          <t>avverkningsanmälan</t>
        </is>
      </c>
      <c r="C2202" t="inlineStr">
        <is>
          <t>Föryngringsavverkning</t>
        </is>
      </c>
      <c r="D2202" s="1" t="n">
        <v>45819</v>
      </c>
      <c r="E2202" s="1" t="n">
        <v>46309</v>
      </c>
      <c r="F2202" t="inlineStr">
        <is>
          <t>UPPSALA LÄN</t>
        </is>
      </c>
      <c r="G2202" t="inlineStr">
        <is>
          <t>ÖSTHAMMAR</t>
        </is>
      </c>
      <c r="H2202" t="inlineStr">
        <is>
          <t>Övriga Aktiebolag</t>
        </is>
      </c>
      <c r="I2202" t="n">
        <v>1.8</v>
      </c>
      <c r="J2202" t="n">
        <v>0</v>
      </c>
      <c r="K2202" t="n">
        <v>0</v>
      </c>
      <c r="L2202" t="n">
        <v>0</v>
      </c>
      <c r="M2202" t="n">
        <v>0</v>
      </c>
      <c r="N2202" t="n">
        <v>0</v>
      </c>
      <c r="O2202" t="n">
        <v>0</v>
      </c>
      <c r="P2202" t="n">
        <v>0</v>
      </c>
      <c r="Q2202" t="n">
        <v>0</v>
      </c>
      <c r="R2202" t="n">
        <v>0</v>
      </c>
      <c r="S2202" t="n">
        <v>0</v>
      </c>
      <c r="T2202" t="n">
        <v>0</v>
      </c>
      <c r="U2202" t="n">
        <v>0</v>
      </c>
      <c r="V2202" s="2" t="inlineStr"/>
    </row>
    <row r="2203" ht="15" customHeight="1">
      <c r="A2203" t="inlineStr">
        <is>
          <t>A 66284-2021</t>
        </is>
      </c>
      <c r="B2203" t="inlineStr">
        <is>
          <t>avverkningsanmälan</t>
        </is>
      </c>
      <c r="C2203" t="inlineStr">
        <is>
          <t>Föryngringsavverkning</t>
        </is>
      </c>
      <c r="D2203" s="1" t="n">
        <v>44518</v>
      </c>
      <c r="E2203" s="1" t="n">
        <v>46309</v>
      </c>
      <c r="F2203" t="inlineStr">
        <is>
          <t>UPPSALA LÄN</t>
        </is>
      </c>
      <c r="G2203" t="inlineStr">
        <is>
          <t>KNIVSTA</t>
        </is>
      </c>
      <c r="I2203" t="n">
        <v>6.9</v>
      </c>
      <c r="J2203" t="n">
        <v>0</v>
      </c>
      <c r="K2203" t="n">
        <v>0</v>
      </c>
      <c r="L2203" t="n">
        <v>0</v>
      </c>
      <c r="M2203" t="n">
        <v>0</v>
      </c>
      <c r="N2203" t="n">
        <v>0</v>
      </c>
      <c r="O2203" t="n">
        <v>0</v>
      </c>
      <c r="P2203" t="n">
        <v>0</v>
      </c>
      <c r="Q2203" t="n">
        <v>0</v>
      </c>
      <c r="R2203" t="n">
        <v>0</v>
      </c>
      <c r="S2203" t="n">
        <v>0</v>
      </c>
      <c r="T2203" t="n">
        <v>0</v>
      </c>
      <c r="U2203" t="n">
        <v>0</v>
      </c>
      <c r="V2203" s="2" t="inlineStr"/>
    </row>
    <row r="2204" ht="15" customHeight="1">
      <c r="A2204" t="inlineStr">
        <is>
          <t>A 21133-2025</t>
        </is>
      </c>
      <c r="B2204" t="inlineStr">
        <is>
          <t>avverkningsanmälan</t>
        </is>
      </c>
      <c r="C2204" t="inlineStr">
        <is>
          <t>Föryngringsavverkning</t>
        </is>
      </c>
      <c r="D2204" s="1" t="n">
        <v>45778</v>
      </c>
      <c r="E2204" s="1" t="n">
        <v>46309</v>
      </c>
      <c r="F2204" t="inlineStr">
        <is>
          <t>UPPSALA LÄN</t>
        </is>
      </c>
      <c r="G2204" t="inlineStr">
        <is>
          <t>ÖSTHAMMAR</t>
        </is>
      </c>
      <c r="I2204" t="n">
        <v>1.5</v>
      </c>
      <c r="J2204" t="n">
        <v>0</v>
      </c>
      <c r="K2204" t="n">
        <v>0</v>
      </c>
      <c r="L2204" t="n">
        <v>0</v>
      </c>
      <c r="M2204" t="n">
        <v>0</v>
      </c>
      <c r="N2204" t="n">
        <v>0</v>
      </c>
      <c r="O2204" t="n">
        <v>0</v>
      </c>
      <c r="P2204" t="n">
        <v>0</v>
      </c>
      <c r="Q2204" t="n">
        <v>0</v>
      </c>
      <c r="R2204" t="n">
        <v>0</v>
      </c>
      <c r="S2204" t="n">
        <v>0</v>
      </c>
      <c r="T2204" t="n">
        <v>0</v>
      </c>
      <c r="U2204" t="n">
        <v>0</v>
      </c>
      <c r="V2204" s="2" t="inlineStr"/>
    </row>
    <row r="2205" ht="15" customHeight="1">
      <c r="A2205" t="inlineStr">
        <is>
          <t>A 37352-2025</t>
        </is>
      </c>
      <c r="B2205" t="inlineStr">
        <is>
          <t>avverkningsanmälan</t>
        </is>
      </c>
      <c r="C2205" t="inlineStr">
        <is>
          <t>Föryngringsavverkning</t>
        </is>
      </c>
      <c r="D2205" s="1" t="n">
        <v>45876</v>
      </c>
      <c r="E2205" s="1" t="n">
        <v>46309</v>
      </c>
      <c r="F2205" t="inlineStr">
        <is>
          <t>UPPSALA LÄN</t>
        </is>
      </c>
      <c r="G2205" t="inlineStr">
        <is>
          <t>UPPSALA</t>
        </is>
      </c>
      <c r="I2205" t="n">
        <v>2.6</v>
      </c>
      <c r="J2205" t="n">
        <v>0</v>
      </c>
      <c r="K2205" t="n">
        <v>0</v>
      </c>
      <c r="L2205" t="n">
        <v>0</v>
      </c>
      <c r="M2205" t="n">
        <v>0</v>
      </c>
      <c r="N2205" t="n">
        <v>0</v>
      </c>
      <c r="O2205" t="n">
        <v>0</v>
      </c>
      <c r="P2205" t="n">
        <v>0</v>
      </c>
      <c r="Q2205" t="n">
        <v>0</v>
      </c>
      <c r="R2205" t="n">
        <v>0</v>
      </c>
      <c r="S2205" t="n">
        <v>0</v>
      </c>
      <c r="T2205" t="n">
        <v>0</v>
      </c>
      <c r="U2205" t="n">
        <v>0</v>
      </c>
      <c r="V2205" s="2" t="inlineStr"/>
    </row>
    <row r="2206" ht="15" customHeight="1">
      <c r="A2206" t="inlineStr">
        <is>
          <t>A 6541-2025</t>
        </is>
      </c>
      <c r="B2206" t="inlineStr">
        <is>
          <t>avverkningsanmälan</t>
        </is>
      </c>
      <c r="C2206" t="inlineStr">
        <is>
          <t>Föryngringsavverkning</t>
        </is>
      </c>
      <c r="D2206" s="1" t="n">
        <v>45699</v>
      </c>
      <c r="E2206" s="1" t="n">
        <v>46309</v>
      </c>
      <c r="F2206" t="inlineStr">
        <is>
          <t>UPPSALA LÄN</t>
        </is>
      </c>
      <c r="G2206" t="inlineStr">
        <is>
          <t>UPPSALA</t>
        </is>
      </c>
      <c r="I2206" t="n">
        <v>1.5</v>
      </c>
      <c r="J2206" t="n">
        <v>0</v>
      </c>
      <c r="K2206" t="n">
        <v>0</v>
      </c>
      <c r="L2206" t="n">
        <v>0</v>
      </c>
      <c r="M2206" t="n">
        <v>0</v>
      </c>
      <c r="N2206" t="n">
        <v>0</v>
      </c>
      <c r="O2206" t="n">
        <v>0</v>
      </c>
      <c r="P2206" t="n">
        <v>0</v>
      </c>
      <c r="Q2206" t="n">
        <v>0</v>
      </c>
      <c r="R2206" t="n">
        <v>0</v>
      </c>
      <c r="S2206" t="n">
        <v>0</v>
      </c>
      <c r="T2206" t="n">
        <v>0</v>
      </c>
      <c r="U2206" t="n">
        <v>0</v>
      </c>
      <c r="V2206" s="2" t="inlineStr"/>
    </row>
    <row r="2207" ht="15" customHeight="1">
      <c r="A2207" t="inlineStr">
        <is>
          <t>A 61805-2021</t>
        </is>
      </c>
      <c r="B2207" t="inlineStr">
        <is>
          <t>avverkningsanmälan</t>
        </is>
      </c>
      <c r="C2207" t="inlineStr">
        <is>
          <t>Föryngringsavverkning</t>
        </is>
      </c>
      <c r="D2207" s="1" t="n">
        <v>44501</v>
      </c>
      <c r="E2207" s="1" t="n">
        <v>46309</v>
      </c>
      <c r="F2207" t="inlineStr">
        <is>
          <t>UPPSALA LÄN</t>
        </is>
      </c>
      <c r="G2207" t="inlineStr">
        <is>
          <t>UPPSALA</t>
        </is>
      </c>
      <c r="H2207" t="inlineStr">
        <is>
          <t>Bergvik skog öst AB</t>
        </is>
      </c>
      <c r="I2207" t="n">
        <v>3.8</v>
      </c>
      <c r="J2207" t="n">
        <v>0</v>
      </c>
      <c r="K2207" t="n">
        <v>0</v>
      </c>
      <c r="L2207" t="n">
        <v>0</v>
      </c>
      <c r="M2207" t="n">
        <v>0</v>
      </c>
      <c r="N2207" t="n">
        <v>0</v>
      </c>
      <c r="O2207" t="n">
        <v>0</v>
      </c>
      <c r="P2207" t="n">
        <v>0</v>
      </c>
      <c r="Q2207" t="n">
        <v>0</v>
      </c>
      <c r="R2207" t="n">
        <v>0</v>
      </c>
      <c r="S2207" t="n">
        <v>0</v>
      </c>
      <c r="T2207" t="n">
        <v>0</v>
      </c>
      <c r="U2207" t="n">
        <v>0</v>
      </c>
      <c r="V2207" s="2" t="inlineStr"/>
    </row>
    <row r="2208" ht="15" customHeight="1">
      <c r="A2208" t="inlineStr">
        <is>
          <t>A 17211-2025</t>
        </is>
      </c>
      <c r="B2208" t="inlineStr">
        <is>
          <t>avverkningsanmälan</t>
        </is>
      </c>
      <c r="C2208" t="inlineStr">
        <is>
          <t>Föryngringsavverkning</t>
        </is>
      </c>
      <c r="D2208" s="1" t="n">
        <v>45756</v>
      </c>
      <c r="E2208" s="1" t="n">
        <v>46309</v>
      </c>
      <c r="F2208" t="inlineStr">
        <is>
          <t>UPPSALA LÄN</t>
        </is>
      </c>
      <c r="G2208" t="inlineStr">
        <is>
          <t>UPPSALA</t>
        </is>
      </c>
      <c r="I2208" t="n">
        <v>1.2</v>
      </c>
      <c r="J2208" t="n">
        <v>0</v>
      </c>
      <c r="K2208" t="n">
        <v>0</v>
      </c>
      <c r="L2208" t="n">
        <v>0</v>
      </c>
      <c r="M2208" t="n">
        <v>0</v>
      </c>
      <c r="N2208" t="n">
        <v>0</v>
      </c>
      <c r="O2208" t="n">
        <v>0</v>
      </c>
      <c r="P2208" t="n">
        <v>0</v>
      </c>
      <c r="Q2208" t="n">
        <v>0</v>
      </c>
      <c r="R2208" t="n">
        <v>0</v>
      </c>
      <c r="S2208" t="n">
        <v>0</v>
      </c>
      <c r="T2208" t="n">
        <v>0</v>
      </c>
      <c r="U2208" t="n">
        <v>0</v>
      </c>
      <c r="V2208" s="2" t="inlineStr"/>
    </row>
    <row r="2209" ht="15" customHeight="1">
      <c r="A2209" t="inlineStr">
        <is>
          <t>A 26319-2025</t>
        </is>
      </c>
      <c r="B2209" t="inlineStr">
        <is>
          <t>avverkningsanmälan</t>
        </is>
      </c>
      <c r="C2209" t="inlineStr">
        <is>
          <t>Föryngringsavverkning</t>
        </is>
      </c>
      <c r="D2209" s="1" t="n">
        <v>45805</v>
      </c>
      <c r="E2209" s="1" t="n">
        <v>46309</v>
      </c>
      <c r="F2209" t="inlineStr">
        <is>
          <t>UPPSALA LÄN</t>
        </is>
      </c>
      <c r="G2209" t="inlineStr">
        <is>
          <t>ÖSTHAMMAR</t>
        </is>
      </c>
      <c r="I2209" t="n">
        <v>1</v>
      </c>
      <c r="J2209" t="n">
        <v>0</v>
      </c>
      <c r="K2209" t="n">
        <v>0</v>
      </c>
      <c r="L2209" t="n">
        <v>0</v>
      </c>
      <c r="M2209" t="n">
        <v>0</v>
      </c>
      <c r="N2209" t="n">
        <v>0</v>
      </c>
      <c r="O2209" t="n">
        <v>0</v>
      </c>
      <c r="P2209" t="n">
        <v>0</v>
      </c>
      <c r="Q2209" t="n">
        <v>0</v>
      </c>
      <c r="R2209" t="n">
        <v>0</v>
      </c>
      <c r="S2209" t="n">
        <v>0</v>
      </c>
      <c r="T2209" t="n">
        <v>0</v>
      </c>
      <c r="U2209" t="n">
        <v>0</v>
      </c>
      <c r="V2209" s="2" t="inlineStr"/>
    </row>
    <row r="2210" ht="15" customHeight="1">
      <c r="A2210" t="inlineStr">
        <is>
          <t>A 61106-2022</t>
        </is>
      </c>
      <c r="B2210" t="inlineStr">
        <is>
          <t>avverkningsanmälan</t>
        </is>
      </c>
      <c r="C2210" t="inlineStr">
        <is>
          <t>Föryngringsavverkning</t>
        </is>
      </c>
      <c r="D2210" s="1" t="n">
        <v>44915</v>
      </c>
      <c r="E2210" s="1" t="n">
        <v>46309</v>
      </c>
      <c r="F2210" t="inlineStr">
        <is>
          <t>UPPSALA LÄN</t>
        </is>
      </c>
      <c r="G2210" t="inlineStr">
        <is>
          <t>ENKÖPING</t>
        </is>
      </c>
      <c r="I2210" t="n">
        <v>0.8</v>
      </c>
      <c r="J2210" t="n">
        <v>0</v>
      </c>
      <c r="K2210" t="n">
        <v>0</v>
      </c>
      <c r="L2210" t="n">
        <v>0</v>
      </c>
      <c r="M2210" t="n">
        <v>0</v>
      </c>
      <c r="N2210" t="n">
        <v>0</v>
      </c>
      <c r="O2210" t="n">
        <v>0</v>
      </c>
      <c r="P2210" t="n">
        <v>0</v>
      </c>
      <c r="Q2210" t="n">
        <v>0</v>
      </c>
      <c r="R2210" t="n">
        <v>0</v>
      </c>
      <c r="S2210" t="n">
        <v>0</v>
      </c>
      <c r="T2210" t="n">
        <v>0</v>
      </c>
      <c r="U2210" t="n">
        <v>0</v>
      </c>
      <c r="V2210" s="2" t="inlineStr"/>
    </row>
    <row r="2211" ht="15" customHeight="1">
      <c r="A2211" t="inlineStr">
        <is>
          <t>A 6364-2023</t>
        </is>
      </c>
      <c r="B2211" t="inlineStr">
        <is>
          <t>avverkningsanmälan</t>
        </is>
      </c>
      <c r="C2211" t="inlineStr">
        <is>
          <t>Föryngringsavverkning</t>
        </is>
      </c>
      <c r="D2211" s="1" t="n">
        <v>44965</v>
      </c>
      <c r="E2211" s="1" t="n">
        <v>46309</v>
      </c>
      <c r="F2211" t="inlineStr">
        <is>
          <t>UPPSALA LÄN</t>
        </is>
      </c>
      <c r="G2211" t="inlineStr">
        <is>
          <t>TIERP</t>
        </is>
      </c>
      <c r="I2211" t="n">
        <v>2.2</v>
      </c>
      <c r="J2211" t="n">
        <v>0</v>
      </c>
      <c r="K2211" t="n">
        <v>0</v>
      </c>
      <c r="L2211" t="n">
        <v>0</v>
      </c>
      <c r="M2211" t="n">
        <v>0</v>
      </c>
      <c r="N2211" t="n">
        <v>0</v>
      </c>
      <c r="O2211" t="n">
        <v>0</v>
      </c>
      <c r="P2211" t="n">
        <v>0</v>
      </c>
      <c r="Q2211" t="n">
        <v>0</v>
      </c>
      <c r="R2211" t="n">
        <v>0</v>
      </c>
      <c r="S2211" t="n">
        <v>0</v>
      </c>
      <c r="T2211" t="n">
        <v>0</v>
      </c>
      <c r="U2211" t="n">
        <v>0</v>
      </c>
      <c r="V2211" s="2" t="inlineStr"/>
    </row>
    <row r="2212" ht="15" customHeight="1">
      <c r="A2212" t="inlineStr">
        <is>
          <t>A 49937-2025</t>
        </is>
      </c>
      <c r="B2212" t="inlineStr">
        <is>
          <t>avverkningsanmälan</t>
        </is>
      </c>
      <c r="C2212" t="inlineStr">
        <is>
          <t>Föryngringsavverkning</t>
        </is>
      </c>
      <c r="D2212" s="1" t="n">
        <v>45940</v>
      </c>
      <c r="E2212" s="1" t="n">
        <v>46309</v>
      </c>
      <c r="F2212" t="inlineStr">
        <is>
          <t>UPPSALA LÄN</t>
        </is>
      </c>
      <c r="G2212" t="inlineStr">
        <is>
          <t>UPPSALA</t>
        </is>
      </c>
      <c r="I2212" t="n">
        <v>2</v>
      </c>
      <c r="J2212" t="n">
        <v>0</v>
      </c>
      <c r="K2212" t="n">
        <v>0</v>
      </c>
      <c r="L2212" t="n">
        <v>0</v>
      </c>
      <c r="M2212" t="n">
        <v>0</v>
      </c>
      <c r="N2212" t="n">
        <v>0</v>
      </c>
      <c r="O2212" t="n">
        <v>0</v>
      </c>
      <c r="P2212" t="n">
        <v>0</v>
      </c>
      <c r="Q2212" t="n">
        <v>0</v>
      </c>
      <c r="R2212" t="n">
        <v>0</v>
      </c>
      <c r="S2212" t="n">
        <v>0</v>
      </c>
      <c r="T2212" t="n">
        <v>0</v>
      </c>
      <c r="U2212" t="n">
        <v>0</v>
      </c>
      <c r="V2212" s="2" t="inlineStr"/>
    </row>
    <row r="2213" ht="15" customHeight="1">
      <c r="A2213" t="inlineStr">
        <is>
          <t>A 6012-2025</t>
        </is>
      </c>
      <c r="B2213" t="inlineStr">
        <is>
          <t>avverkningsanmälan</t>
        </is>
      </c>
      <c r="C2213" t="inlineStr">
        <is>
          <t>Föryngringsavverkning</t>
        </is>
      </c>
      <c r="D2213" s="1" t="n">
        <v>45695</v>
      </c>
      <c r="E2213" s="1" t="n">
        <v>46309</v>
      </c>
      <c r="F2213" t="inlineStr">
        <is>
          <t>UPPSALA LÄN</t>
        </is>
      </c>
      <c r="G2213" t="inlineStr">
        <is>
          <t>UPPSALA</t>
        </is>
      </c>
      <c r="H2213" t="inlineStr">
        <is>
          <t>Övriga Aktiebolag</t>
        </is>
      </c>
      <c r="I2213" t="n">
        <v>14.3</v>
      </c>
      <c r="J2213" t="n">
        <v>0</v>
      </c>
      <c r="K2213" t="n">
        <v>0</v>
      </c>
      <c r="L2213" t="n">
        <v>0</v>
      </c>
      <c r="M2213" t="n">
        <v>0</v>
      </c>
      <c r="N2213" t="n">
        <v>0</v>
      </c>
      <c r="O2213" t="n">
        <v>0</v>
      </c>
      <c r="P2213" t="n">
        <v>0</v>
      </c>
      <c r="Q2213" t="n">
        <v>0</v>
      </c>
      <c r="R2213" t="n">
        <v>0</v>
      </c>
      <c r="S2213" t="n">
        <v>0</v>
      </c>
      <c r="T2213" t="n">
        <v>0</v>
      </c>
      <c r="U2213" t="n">
        <v>0</v>
      </c>
      <c r="V2213" s="2" t="inlineStr"/>
    </row>
    <row r="2214" ht="15" customHeight="1">
      <c r="A2214" t="inlineStr">
        <is>
          <t>A 31566-2023</t>
        </is>
      </c>
      <c r="B2214" t="inlineStr">
        <is>
          <t>avverkningsanmälan</t>
        </is>
      </c>
      <c r="C2214" t="inlineStr">
        <is>
          <t>Föryngringsavverkning</t>
        </is>
      </c>
      <c r="D2214" s="1" t="n">
        <v>45117</v>
      </c>
      <c r="E2214" s="1" t="n">
        <v>46309</v>
      </c>
      <c r="F2214" t="inlineStr">
        <is>
          <t>UPPSALA LÄN</t>
        </is>
      </c>
      <c r="G2214" t="inlineStr">
        <is>
          <t>HEBY</t>
        </is>
      </c>
      <c r="I2214" t="n">
        <v>1.4</v>
      </c>
      <c r="J2214" t="n">
        <v>0</v>
      </c>
      <c r="K2214" t="n">
        <v>0</v>
      </c>
      <c r="L2214" t="n">
        <v>0</v>
      </c>
      <c r="M2214" t="n">
        <v>0</v>
      </c>
      <c r="N2214" t="n">
        <v>0</v>
      </c>
      <c r="O2214" t="n">
        <v>0</v>
      </c>
      <c r="P2214" t="n">
        <v>0</v>
      </c>
      <c r="Q2214" t="n">
        <v>0</v>
      </c>
      <c r="R2214" t="n">
        <v>0</v>
      </c>
      <c r="S2214" t="n">
        <v>0</v>
      </c>
      <c r="T2214" t="n">
        <v>0</v>
      </c>
      <c r="U2214" t="n">
        <v>0</v>
      </c>
      <c r="V2214" s="2" t="inlineStr"/>
    </row>
    <row r="2215" ht="15" customHeight="1">
      <c r="A2215" t="inlineStr">
        <is>
          <t>A 31567-2023</t>
        </is>
      </c>
      <c r="B2215" t="inlineStr">
        <is>
          <t>avverkningsanmälan</t>
        </is>
      </c>
      <c r="C2215" t="inlineStr">
        <is>
          <t>Föryngringsavverkning</t>
        </is>
      </c>
      <c r="D2215" s="1" t="n">
        <v>45117</v>
      </c>
      <c r="E2215" s="1" t="n">
        <v>46309</v>
      </c>
      <c r="F2215" t="inlineStr">
        <is>
          <t>UPPSALA LÄN</t>
        </is>
      </c>
      <c r="G2215" t="inlineStr">
        <is>
          <t>HEBY</t>
        </is>
      </c>
      <c r="I2215" t="n">
        <v>2.1</v>
      </c>
      <c r="J2215" t="n">
        <v>0</v>
      </c>
      <c r="K2215" t="n">
        <v>0</v>
      </c>
      <c r="L2215" t="n">
        <v>0</v>
      </c>
      <c r="M2215" t="n">
        <v>0</v>
      </c>
      <c r="N2215" t="n">
        <v>0</v>
      </c>
      <c r="O2215" t="n">
        <v>0</v>
      </c>
      <c r="P2215" t="n">
        <v>0</v>
      </c>
      <c r="Q2215" t="n">
        <v>0</v>
      </c>
      <c r="R2215" t="n">
        <v>0</v>
      </c>
      <c r="S2215" t="n">
        <v>0</v>
      </c>
      <c r="T2215" t="n">
        <v>0</v>
      </c>
      <c r="U2215" t="n">
        <v>0</v>
      </c>
      <c r="V2215" s="2" t="inlineStr"/>
    </row>
    <row r="2216" ht="15" customHeight="1">
      <c r="A2216" t="inlineStr">
        <is>
          <t>A 31586-2023</t>
        </is>
      </c>
      <c r="B2216" t="inlineStr">
        <is>
          <t>avverkningsanmälan</t>
        </is>
      </c>
      <c r="C2216" t="inlineStr">
        <is>
          <t>Föryngringsavverkning</t>
        </is>
      </c>
      <c r="D2216" s="1" t="n">
        <v>45117</v>
      </c>
      <c r="E2216" s="1" t="n">
        <v>46309</v>
      </c>
      <c r="F2216" t="inlineStr">
        <is>
          <t>UPPSALA LÄN</t>
        </is>
      </c>
      <c r="G2216" t="inlineStr">
        <is>
          <t>HEBY</t>
        </is>
      </c>
      <c r="I2216" t="n">
        <v>2.6</v>
      </c>
      <c r="J2216" t="n">
        <v>0</v>
      </c>
      <c r="K2216" t="n">
        <v>0</v>
      </c>
      <c r="L2216" t="n">
        <v>0</v>
      </c>
      <c r="M2216" t="n">
        <v>0</v>
      </c>
      <c r="N2216" t="n">
        <v>0</v>
      </c>
      <c r="O2216" t="n">
        <v>0</v>
      </c>
      <c r="P2216" t="n">
        <v>0</v>
      </c>
      <c r="Q2216" t="n">
        <v>0</v>
      </c>
      <c r="R2216" t="n">
        <v>0</v>
      </c>
      <c r="S2216" t="n">
        <v>0</v>
      </c>
      <c r="T2216" t="n">
        <v>0</v>
      </c>
      <c r="U2216" t="n">
        <v>0</v>
      </c>
      <c r="V2216" s="2" t="inlineStr"/>
    </row>
    <row r="2217" ht="15" customHeight="1">
      <c r="A2217" t="inlineStr">
        <is>
          <t>A 4228-2023</t>
        </is>
      </c>
      <c r="B2217" t="inlineStr">
        <is>
          <t>avverkningsanmälan</t>
        </is>
      </c>
      <c r="C2217" t="inlineStr">
        <is>
          <t>Föryngringsavverkning</t>
        </is>
      </c>
      <c r="D2217" s="1" t="n">
        <v>44953</v>
      </c>
      <c r="E2217" s="1" t="n">
        <v>46309</v>
      </c>
      <c r="F2217" t="inlineStr">
        <is>
          <t>UPPSALA LÄN</t>
        </is>
      </c>
      <c r="G2217" t="inlineStr">
        <is>
          <t>ÖSTHAMMAR</t>
        </is>
      </c>
      <c r="I2217" t="n">
        <v>1</v>
      </c>
      <c r="J2217" t="n">
        <v>0</v>
      </c>
      <c r="K2217" t="n">
        <v>0</v>
      </c>
      <c r="L2217" t="n">
        <v>0</v>
      </c>
      <c r="M2217" t="n">
        <v>0</v>
      </c>
      <c r="N2217" t="n">
        <v>0</v>
      </c>
      <c r="O2217" t="n">
        <v>0</v>
      </c>
      <c r="P2217" t="n">
        <v>0</v>
      </c>
      <c r="Q2217" t="n">
        <v>0</v>
      </c>
      <c r="R2217" t="n">
        <v>0</v>
      </c>
      <c r="S2217" t="n">
        <v>0</v>
      </c>
      <c r="T2217" t="n">
        <v>0</v>
      </c>
      <c r="U2217" t="n">
        <v>0</v>
      </c>
      <c r="V2217" s="2" t="inlineStr"/>
    </row>
    <row r="2218" ht="15" customHeight="1">
      <c r="A2218" t="inlineStr">
        <is>
          <t>A 27382-2025</t>
        </is>
      </c>
      <c r="B2218" t="inlineStr">
        <is>
          <t>avverkningsanmälan</t>
        </is>
      </c>
      <c r="C2218" t="inlineStr">
        <is>
          <t>Föryngringsavverkning</t>
        </is>
      </c>
      <c r="D2218" s="1" t="n">
        <v>45812</v>
      </c>
      <c r="E2218" s="1" t="n">
        <v>46309</v>
      </c>
      <c r="F2218" t="inlineStr">
        <is>
          <t>UPPSALA LÄN</t>
        </is>
      </c>
      <c r="G2218" t="inlineStr">
        <is>
          <t>TIERP</t>
        </is>
      </c>
      <c r="H2218" t="inlineStr">
        <is>
          <t>Bergvik skog väst AB</t>
        </is>
      </c>
      <c r="I2218" t="n">
        <v>3.5</v>
      </c>
      <c r="J2218" t="n">
        <v>0</v>
      </c>
      <c r="K2218" t="n">
        <v>0</v>
      </c>
      <c r="L2218" t="n">
        <v>0</v>
      </c>
      <c r="M2218" t="n">
        <v>0</v>
      </c>
      <c r="N2218" t="n">
        <v>0</v>
      </c>
      <c r="O2218" t="n">
        <v>0</v>
      </c>
      <c r="P2218" t="n">
        <v>0</v>
      </c>
      <c r="Q2218" t="n">
        <v>0</v>
      </c>
      <c r="R2218" t="n">
        <v>0</v>
      </c>
      <c r="S2218" t="n">
        <v>0</v>
      </c>
      <c r="T2218" t="n">
        <v>0</v>
      </c>
      <c r="U2218" t="n">
        <v>0</v>
      </c>
      <c r="V2218" s="2" t="inlineStr"/>
    </row>
    <row r="2219" ht="15" customHeight="1">
      <c r="A2219" t="inlineStr">
        <is>
          <t>A 9171-2024</t>
        </is>
      </c>
      <c r="B2219" t="inlineStr">
        <is>
          <t>avverkningsanmälan</t>
        </is>
      </c>
      <c r="C2219" t="inlineStr">
        <is>
          <t>Föryngringsavverkning</t>
        </is>
      </c>
      <c r="D2219" s="1" t="n">
        <v>45358</v>
      </c>
      <c r="E2219" s="1" t="n">
        <v>46309</v>
      </c>
      <c r="F2219" t="inlineStr">
        <is>
          <t>UPPSALA LÄN</t>
        </is>
      </c>
      <c r="G2219" t="inlineStr">
        <is>
          <t>ENKÖPING</t>
        </is>
      </c>
      <c r="I2219" t="n">
        <v>1.8</v>
      </c>
      <c r="J2219" t="n">
        <v>0</v>
      </c>
      <c r="K2219" t="n">
        <v>0</v>
      </c>
      <c r="L2219" t="n">
        <v>0</v>
      </c>
      <c r="M2219" t="n">
        <v>0</v>
      </c>
      <c r="N2219" t="n">
        <v>0</v>
      </c>
      <c r="O2219" t="n">
        <v>0</v>
      </c>
      <c r="P2219" t="n">
        <v>0</v>
      </c>
      <c r="Q2219" t="n">
        <v>0</v>
      </c>
      <c r="R2219" t="n">
        <v>0</v>
      </c>
      <c r="S2219" t="n">
        <v>0</v>
      </c>
      <c r="T2219" t="n">
        <v>0</v>
      </c>
      <c r="U2219" t="n">
        <v>0</v>
      </c>
      <c r="V2219" s="2" t="inlineStr"/>
    </row>
    <row r="2220" ht="15" customHeight="1">
      <c r="A2220" t="inlineStr">
        <is>
          <t>A 19345-2025</t>
        </is>
      </c>
      <c r="B2220" t="inlineStr">
        <is>
          <t>avverkningsanmälan</t>
        </is>
      </c>
      <c r="C2220" t="inlineStr">
        <is>
          <t>Föryngringsavverkning</t>
        </is>
      </c>
      <c r="D2220" s="1" t="n">
        <v>45769</v>
      </c>
      <c r="E2220" s="1" t="n">
        <v>46309</v>
      </c>
      <c r="F2220" t="inlineStr">
        <is>
          <t>UPPSALA LÄN</t>
        </is>
      </c>
      <c r="G2220" t="inlineStr">
        <is>
          <t>UPPSALA</t>
        </is>
      </c>
      <c r="I2220" t="n">
        <v>1.8</v>
      </c>
      <c r="J2220" t="n">
        <v>0</v>
      </c>
      <c r="K2220" t="n">
        <v>0</v>
      </c>
      <c r="L2220" t="n">
        <v>0</v>
      </c>
      <c r="M2220" t="n">
        <v>0</v>
      </c>
      <c r="N2220" t="n">
        <v>0</v>
      </c>
      <c r="O2220" t="n">
        <v>0</v>
      </c>
      <c r="P2220" t="n">
        <v>0</v>
      </c>
      <c r="Q2220" t="n">
        <v>0</v>
      </c>
      <c r="R2220" t="n">
        <v>0</v>
      </c>
      <c r="S2220" t="n">
        <v>0</v>
      </c>
      <c r="T2220" t="n">
        <v>0</v>
      </c>
      <c r="U2220" t="n">
        <v>0</v>
      </c>
      <c r="V2220" s="2" t="inlineStr"/>
    </row>
    <row r="2221" ht="15" customHeight="1">
      <c r="A2221" t="inlineStr">
        <is>
          <t>A 73326-2021</t>
        </is>
      </c>
      <c r="B2221" t="inlineStr">
        <is>
          <t>avverkningsanmälan</t>
        </is>
      </c>
      <c r="C2221" t="inlineStr">
        <is>
          <t>Föryngringsavverkning</t>
        </is>
      </c>
      <c r="D2221" s="1" t="n">
        <v>44548</v>
      </c>
      <c r="E2221" s="1" t="n">
        <v>46309</v>
      </c>
      <c r="F2221" t="inlineStr">
        <is>
          <t>UPPSALA LÄN</t>
        </is>
      </c>
      <c r="G2221" t="inlineStr">
        <is>
          <t>UPPSALA</t>
        </is>
      </c>
      <c r="I2221" t="n">
        <v>4</v>
      </c>
      <c r="J2221" t="n">
        <v>0</v>
      </c>
      <c r="K2221" t="n">
        <v>0</v>
      </c>
      <c r="L2221" t="n">
        <v>0</v>
      </c>
      <c r="M2221" t="n">
        <v>0</v>
      </c>
      <c r="N2221" t="n">
        <v>0</v>
      </c>
      <c r="O2221" t="n">
        <v>0</v>
      </c>
      <c r="P2221" t="n">
        <v>0</v>
      </c>
      <c r="Q2221" t="n">
        <v>0</v>
      </c>
      <c r="R2221" t="n">
        <v>0</v>
      </c>
      <c r="S2221" t="n">
        <v>0</v>
      </c>
      <c r="T2221" t="n">
        <v>0</v>
      </c>
      <c r="U2221" t="n">
        <v>0</v>
      </c>
      <c r="V2221" s="2" t="inlineStr"/>
    </row>
    <row r="2222" ht="15" customHeight="1">
      <c r="A2222" t="inlineStr">
        <is>
          <t>A 51331-2025</t>
        </is>
      </c>
      <c r="B2222" t="inlineStr">
        <is>
          <t>avverkningsanmälan</t>
        </is>
      </c>
      <c r="C2222" t="inlineStr">
        <is>
          <t>Föryngringsavverkning</t>
        </is>
      </c>
      <c r="D2222" s="1" t="n">
        <v>45950</v>
      </c>
      <c r="E2222" s="1" t="n">
        <v>46309</v>
      </c>
      <c r="F2222" t="inlineStr">
        <is>
          <t>UPPSALA LÄN</t>
        </is>
      </c>
      <c r="G2222" t="inlineStr">
        <is>
          <t>TIERP</t>
        </is>
      </c>
      <c r="I2222" t="n">
        <v>8.9</v>
      </c>
      <c r="J2222" t="n">
        <v>0</v>
      </c>
      <c r="K2222" t="n">
        <v>0</v>
      </c>
      <c r="L2222" t="n">
        <v>0</v>
      </c>
      <c r="M2222" t="n">
        <v>0</v>
      </c>
      <c r="N2222" t="n">
        <v>0</v>
      </c>
      <c r="O2222" t="n">
        <v>0</v>
      </c>
      <c r="P2222" t="n">
        <v>0</v>
      </c>
      <c r="Q2222" t="n">
        <v>0</v>
      </c>
      <c r="R2222" t="n">
        <v>0</v>
      </c>
      <c r="S2222" t="n">
        <v>0</v>
      </c>
      <c r="T2222" t="n">
        <v>0</v>
      </c>
      <c r="U2222" t="n">
        <v>0</v>
      </c>
      <c r="V2222" s="2" t="inlineStr"/>
    </row>
    <row r="2223" ht="15" customHeight="1">
      <c r="A2223" t="inlineStr">
        <is>
          <t>A 73044-2021</t>
        </is>
      </c>
      <c r="B2223" t="inlineStr">
        <is>
          <t>avverkningsanmälan</t>
        </is>
      </c>
      <c r="C2223" t="inlineStr">
        <is>
          <t>Föryngringsavverkning</t>
        </is>
      </c>
      <c r="D2223" s="1" t="n">
        <v>44550</v>
      </c>
      <c r="E2223" s="1" t="n">
        <v>46309</v>
      </c>
      <c r="F2223" t="inlineStr">
        <is>
          <t>UPPSALA LÄN</t>
        </is>
      </c>
      <c r="G2223" t="inlineStr">
        <is>
          <t>UPPSALA</t>
        </is>
      </c>
      <c r="H2223" t="inlineStr">
        <is>
          <t>Sveaskog</t>
        </is>
      </c>
      <c r="I2223" t="n">
        <v>2.5</v>
      </c>
      <c r="J2223" t="n">
        <v>0</v>
      </c>
      <c r="K2223" t="n">
        <v>0</v>
      </c>
      <c r="L2223" t="n">
        <v>0</v>
      </c>
      <c r="M2223" t="n">
        <v>0</v>
      </c>
      <c r="N2223" t="n">
        <v>0</v>
      </c>
      <c r="O2223" t="n">
        <v>0</v>
      </c>
      <c r="P2223" t="n">
        <v>0</v>
      </c>
      <c r="Q2223" t="n">
        <v>0</v>
      </c>
      <c r="R2223" t="n">
        <v>0</v>
      </c>
      <c r="S2223" t="n">
        <v>0</v>
      </c>
      <c r="T2223" t="n">
        <v>0</v>
      </c>
      <c r="U2223" t="n">
        <v>0</v>
      </c>
      <c r="V2223" s="2" t="inlineStr"/>
    </row>
    <row r="2224" ht="15" customHeight="1">
      <c r="A2224" t="inlineStr">
        <is>
          <t>A 28288-2025</t>
        </is>
      </c>
      <c r="B2224" t="inlineStr">
        <is>
          <t>avverkningsanmälan</t>
        </is>
      </c>
      <c r="C2224" t="inlineStr">
        <is>
          <t>Föryngringsavverkning</t>
        </is>
      </c>
      <c r="D2224" s="1" t="n">
        <v>45818</v>
      </c>
      <c r="E2224" s="1" t="n">
        <v>46309</v>
      </c>
      <c r="F2224" t="inlineStr">
        <is>
          <t>UPPSALA LÄN</t>
        </is>
      </c>
      <c r="G2224" t="inlineStr">
        <is>
          <t>HEBY</t>
        </is>
      </c>
      <c r="I2224" t="n">
        <v>1.6</v>
      </c>
      <c r="J2224" t="n">
        <v>0</v>
      </c>
      <c r="K2224" t="n">
        <v>0</v>
      </c>
      <c r="L2224" t="n">
        <v>0</v>
      </c>
      <c r="M2224" t="n">
        <v>0</v>
      </c>
      <c r="N2224" t="n">
        <v>0</v>
      </c>
      <c r="O2224" t="n">
        <v>0</v>
      </c>
      <c r="P2224" t="n">
        <v>0</v>
      </c>
      <c r="Q2224" t="n">
        <v>0</v>
      </c>
      <c r="R2224" t="n">
        <v>0</v>
      </c>
      <c r="S2224" t="n">
        <v>0</v>
      </c>
      <c r="T2224" t="n">
        <v>0</v>
      </c>
      <c r="U2224" t="n">
        <v>0</v>
      </c>
      <c r="V2224" s="2" t="inlineStr"/>
    </row>
    <row r="2225" ht="15" customHeight="1">
      <c r="A2225" t="inlineStr">
        <is>
          <t>A 12654-2025</t>
        </is>
      </c>
      <c r="B2225" t="inlineStr">
        <is>
          <t>avverkningsanmälan</t>
        </is>
      </c>
      <c r="C2225" t="inlineStr">
        <is>
          <t>Föryngringsavverkning</t>
        </is>
      </c>
      <c r="D2225" s="1" t="n">
        <v>45733</v>
      </c>
      <c r="E2225" s="1" t="n">
        <v>46309</v>
      </c>
      <c r="F2225" t="inlineStr">
        <is>
          <t>UPPSALA LÄN</t>
        </is>
      </c>
      <c r="G2225" t="inlineStr">
        <is>
          <t>ÖSTHAMMAR</t>
        </is>
      </c>
      <c r="I2225" t="n">
        <v>9.9</v>
      </c>
      <c r="J2225" t="n">
        <v>0</v>
      </c>
      <c r="K2225" t="n">
        <v>0</v>
      </c>
      <c r="L2225" t="n">
        <v>0</v>
      </c>
      <c r="M2225" t="n">
        <v>0</v>
      </c>
      <c r="N2225" t="n">
        <v>0</v>
      </c>
      <c r="O2225" t="n">
        <v>0</v>
      </c>
      <c r="P2225" t="n">
        <v>0</v>
      </c>
      <c r="Q2225" t="n">
        <v>0</v>
      </c>
      <c r="R2225" t="n">
        <v>0</v>
      </c>
      <c r="S2225" t="n">
        <v>0</v>
      </c>
      <c r="T2225" t="n">
        <v>0</v>
      </c>
      <c r="U2225" t="n">
        <v>0</v>
      </c>
      <c r="V2225" s="2" t="inlineStr"/>
    </row>
    <row r="2226" ht="15" customHeight="1">
      <c r="A2226" t="inlineStr">
        <is>
          <t>A 671-2022</t>
        </is>
      </c>
      <c r="B2226" t="inlineStr">
        <is>
          <t>avverkningsanmälan</t>
        </is>
      </c>
      <c r="C2226" t="inlineStr">
        <is>
          <t>Avverkning för annat ändamål</t>
        </is>
      </c>
      <c r="D2226" s="1" t="n">
        <v>44568</v>
      </c>
      <c r="E2226" s="1" t="n">
        <v>46309</v>
      </c>
      <c r="F2226" t="inlineStr">
        <is>
          <t>UPPSALA LÄN</t>
        </is>
      </c>
      <c r="G2226" t="inlineStr">
        <is>
          <t>ENKÖPING</t>
        </is>
      </c>
      <c r="I2226" t="n">
        <v>3.5</v>
      </c>
      <c r="J2226" t="n">
        <v>0</v>
      </c>
      <c r="K2226" t="n">
        <v>0</v>
      </c>
      <c r="L2226" t="n">
        <v>0</v>
      </c>
      <c r="M2226" t="n">
        <v>0</v>
      </c>
      <c r="N2226" t="n">
        <v>0</v>
      </c>
      <c r="O2226" t="n">
        <v>0</v>
      </c>
      <c r="P2226" t="n">
        <v>0</v>
      </c>
      <c r="Q2226" t="n">
        <v>0</v>
      </c>
      <c r="R2226" t="n">
        <v>0</v>
      </c>
      <c r="S2226" t="n">
        <v>0</v>
      </c>
      <c r="T2226" t="n">
        <v>0</v>
      </c>
      <c r="U2226" t="n">
        <v>0</v>
      </c>
      <c r="V2226" s="2" t="inlineStr"/>
    </row>
    <row r="2227" ht="15" customHeight="1">
      <c r="A2227" t="inlineStr">
        <is>
          <t>A 11005-2023</t>
        </is>
      </c>
      <c r="B2227" t="inlineStr">
        <is>
          <t>avverkningsanmälan</t>
        </is>
      </c>
      <c r="C2227" t="inlineStr">
        <is>
          <t>Föryngringsavverkning</t>
        </is>
      </c>
      <c r="D2227" s="1" t="n">
        <v>44991</v>
      </c>
      <c r="E2227" s="1" t="n">
        <v>46309</v>
      </c>
      <c r="F2227" t="inlineStr">
        <is>
          <t>UPPSALA LÄN</t>
        </is>
      </c>
      <c r="G2227" t="inlineStr">
        <is>
          <t>ENKÖPING</t>
        </is>
      </c>
      <c r="I2227" t="n">
        <v>1.1</v>
      </c>
      <c r="J2227" t="n">
        <v>0</v>
      </c>
      <c r="K2227" t="n">
        <v>0</v>
      </c>
      <c r="L2227" t="n">
        <v>0</v>
      </c>
      <c r="M2227" t="n">
        <v>0</v>
      </c>
      <c r="N2227" t="n">
        <v>0</v>
      </c>
      <c r="O2227" t="n">
        <v>0</v>
      </c>
      <c r="P2227" t="n">
        <v>0</v>
      </c>
      <c r="Q2227" t="n">
        <v>0</v>
      </c>
      <c r="R2227" t="n">
        <v>0</v>
      </c>
      <c r="S2227" t="n">
        <v>0</v>
      </c>
      <c r="T2227" t="n">
        <v>0</v>
      </c>
      <c r="U2227" t="n">
        <v>0</v>
      </c>
      <c r="V2227" s="2" t="inlineStr"/>
    </row>
    <row r="2228" ht="15" customHeight="1">
      <c r="A2228" t="inlineStr">
        <is>
          <t>A 3371-2024</t>
        </is>
      </c>
      <c r="B2228" t="inlineStr">
        <is>
          <t>avverkningsanmälan</t>
        </is>
      </c>
      <c r="C2228" t="inlineStr">
        <is>
          <t>Föryngringsavverkning</t>
        </is>
      </c>
      <c r="D2228" s="1" t="n">
        <v>45317</v>
      </c>
      <c r="E2228" s="1" t="n">
        <v>46309</v>
      </c>
      <c r="F2228" t="inlineStr">
        <is>
          <t>UPPSALA LÄN</t>
        </is>
      </c>
      <c r="G2228" t="inlineStr">
        <is>
          <t>HEBY</t>
        </is>
      </c>
      <c r="I2228" t="n">
        <v>1.4</v>
      </c>
      <c r="J2228" t="n">
        <v>0</v>
      </c>
      <c r="K2228" t="n">
        <v>0</v>
      </c>
      <c r="L2228" t="n">
        <v>0</v>
      </c>
      <c r="M2228" t="n">
        <v>0</v>
      </c>
      <c r="N2228" t="n">
        <v>0</v>
      </c>
      <c r="O2228" t="n">
        <v>0</v>
      </c>
      <c r="P2228" t="n">
        <v>0</v>
      </c>
      <c r="Q2228" t="n">
        <v>0</v>
      </c>
      <c r="R2228" t="n">
        <v>0</v>
      </c>
      <c r="S2228" t="n">
        <v>0</v>
      </c>
      <c r="T2228" t="n">
        <v>0</v>
      </c>
      <c r="U2228" t="n">
        <v>0</v>
      </c>
      <c r="V2228" s="2" t="inlineStr"/>
    </row>
    <row r="2229" ht="15" customHeight="1">
      <c r="A2229" t="inlineStr">
        <is>
          <t>A 61207-2023</t>
        </is>
      </c>
      <c r="B2229" t="inlineStr">
        <is>
          <t>avverkningsanmälan</t>
        </is>
      </c>
      <c r="C2229" t="inlineStr">
        <is>
          <t>Föryngringsavverkning</t>
        </is>
      </c>
      <c r="D2229" s="1" t="n">
        <v>45264</v>
      </c>
      <c r="E2229" s="1" t="n">
        <v>46309</v>
      </c>
      <c r="F2229" t="inlineStr">
        <is>
          <t>UPPSALA LÄN</t>
        </is>
      </c>
      <c r="G2229" t="inlineStr">
        <is>
          <t>ENKÖPING</t>
        </is>
      </c>
      <c r="I2229" t="n">
        <v>10.8</v>
      </c>
      <c r="J2229" t="n">
        <v>0</v>
      </c>
      <c r="K2229" t="n">
        <v>0</v>
      </c>
      <c r="L2229" t="n">
        <v>0</v>
      </c>
      <c r="M2229" t="n">
        <v>0</v>
      </c>
      <c r="N2229" t="n">
        <v>0</v>
      </c>
      <c r="O2229" t="n">
        <v>0</v>
      </c>
      <c r="P2229" t="n">
        <v>0</v>
      </c>
      <c r="Q2229" t="n">
        <v>0</v>
      </c>
      <c r="R2229" t="n">
        <v>0</v>
      </c>
      <c r="S2229" t="n">
        <v>0</v>
      </c>
      <c r="T2229" t="n">
        <v>0</v>
      </c>
      <c r="U2229" t="n">
        <v>0</v>
      </c>
      <c r="V2229" s="2" t="inlineStr"/>
    </row>
    <row r="2230" ht="15" customHeight="1">
      <c r="A2230" t="inlineStr">
        <is>
          <t>A 18091-2023</t>
        </is>
      </c>
      <c r="B2230" t="inlineStr">
        <is>
          <t>avverkningsanmälan</t>
        </is>
      </c>
      <c r="C2230" t="inlineStr">
        <is>
          <t>Föryngringsavverkning</t>
        </is>
      </c>
      <c r="D2230" s="1" t="n">
        <v>45040</v>
      </c>
      <c r="E2230" s="1" t="n">
        <v>46309</v>
      </c>
      <c r="F2230" t="inlineStr">
        <is>
          <t>UPPSALA LÄN</t>
        </is>
      </c>
      <c r="G2230" t="inlineStr">
        <is>
          <t>ÖSTHAMMAR</t>
        </is>
      </c>
      <c r="I2230" t="n">
        <v>2.4</v>
      </c>
      <c r="J2230" t="n">
        <v>0</v>
      </c>
      <c r="K2230" t="n">
        <v>0</v>
      </c>
      <c r="L2230" t="n">
        <v>0</v>
      </c>
      <c r="M2230" t="n">
        <v>0</v>
      </c>
      <c r="N2230" t="n">
        <v>0</v>
      </c>
      <c r="O2230" t="n">
        <v>0</v>
      </c>
      <c r="P2230" t="n">
        <v>0</v>
      </c>
      <c r="Q2230" t="n">
        <v>0</v>
      </c>
      <c r="R2230" t="n">
        <v>0</v>
      </c>
      <c r="S2230" t="n">
        <v>0</v>
      </c>
      <c r="T2230" t="n">
        <v>0</v>
      </c>
      <c r="U2230" t="n">
        <v>0</v>
      </c>
      <c r="V2230" s="2" t="inlineStr"/>
    </row>
    <row r="2231" ht="15" customHeight="1">
      <c r="A2231" t="inlineStr">
        <is>
          <t>A 47890-2025</t>
        </is>
      </c>
      <c r="B2231" t="inlineStr">
        <is>
          <t>avverkningsanmälan</t>
        </is>
      </c>
      <c r="C2231" t="inlineStr">
        <is>
          <t>Föryngringsavverkning</t>
        </is>
      </c>
      <c r="D2231" s="1" t="n">
        <v>45932</v>
      </c>
      <c r="E2231" s="1" t="n">
        <v>46309</v>
      </c>
      <c r="F2231" t="inlineStr">
        <is>
          <t>UPPSALA LÄN</t>
        </is>
      </c>
      <c r="G2231" t="inlineStr">
        <is>
          <t>HEBY</t>
        </is>
      </c>
      <c r="H2231" t="inlineStr">
        <is>
          <t>Allmännings- och besparingsskogar</t>
        </is>
      </c>
      <c r="I2231" t="n">
        <v>7.4</v>
      </c>
      <c r="J2231" t="n">
        <v>0</v>
      </c>
      <c r="K2231" t="n">
        <v>0</v>
      </c>
      <c r="L2231" t="n">
        <v>0</v>
      </c>
      <c r="M2231" t="n">
        <v>0</v>
      </c>
      <c r="N2231" t="n">
        <v>0</v>
      </c>
      <c r="O2231" t="n">
        <v>0</v>
      </c>
      <c r="P2231" t="n">
        <v>0</v>
      </c>
      <c r="Q2231" t="n">
        <v>0</v>
      </c>
      <c r="R2231" t="n">
        <v>0</v>
      </c>
      <c r="S2231" t="n">
        <v>0</v>
      </c>
      <c r="T2231" t="n">
        <v>0</v>
      </c>
      <c r="U2231" t="n">
        <v>0</v>
      </c>
      <c r="V2231" s="2" t="inlineStr"/>
    </row>
    <row r="2232" ht="15" customHeight="1">
      <c r="A2232" t="inlineStr">
        <is>
          <t>A 9313-2023</t>
        </is>
      </c>
      <c r="B2232" t="inlineStr">
        <is>
          <t>avverkningsanmälan</t>
        </is>
      </c>
      <c r="C2232" t="inlineStr">
        <is>
          <t>Föryngringsavverkning</t>
        </is>
      </c>
      <c r="D2232" s="1" t="n">
        <v>44980</v>
      </c>
      <c r="E2232" s="1" t="n">
        <v>46309</v>
      </c>
      <c r="F2232" t="inlineStr">
        <is>
          <t>UPPSALA LÄN</t>
        </is>
      </c>
      <c r="G2232" t="inlineStr">
        <is>
          <t>UPPSALA</t>
        </is>
      </c>
      <c r="I2232" t="n">
        <v>2.6</v>
      </c>
      <c r="J2232" t="n">
        <v>0</v>
      </c>
      <c r="K2232" t="n">
        <v>0</v>
      </c>
      <c r="L2232" t="n">
        <v>0</v>
      </c>
      <c r="M2232" t="n">
        <v>0</v>
      </c>
      <c r="N2232" t="n">
        <v>0</v>
      </c>
      <c r="O2232" t="n">
        <v>0</v>
      </c>
      <c r="P2232" t="n">
        <v>0</v>
      </c>
      <c r="Q2232" t="n">
        <v>0</v>
      </c>
      <c r="R2232" t="n">
        <v>0</v>
      </c>
      <c r="S2232" t="n">
        <v>0</v>
      </c>
      <c r="T2232" t="n">
        <v>0</v>
      </c>
      <c r="U2232" t="n">
        <v>0</v>
      </c>
      <c r="V2232" s="2" t="inlineStr"/>
    </row>
    <row r="2233" ht="15" customHeight="1">
      <c r="A2233" t="inlineStr">
        <is>
          <t>A 20440-2026</t>
        </is>
      </c>
      <c r="B2233" t="inlineStr">
        <is>
          <t>avverkningsanmälan</t>
        </is>
      </c>
      <c r="C2233" t="inlineStr">
        <is>
          <t>Föryngringsavverkning</t>
        </is>
      </c>
      <c r="D2233" s="1" t="n">
        <v>46140</v>
      </c>
      <c r="E2233" s="1" t="n">
        <v>46309</v>
      </c>
      <c r="F2233" t="inlineStr">
        <is>
          <t>UPPSALA LÄN</t>
        </is>
      </c>
      <c r="G2233" t="inlineStr">
        <is>
          <t>HEBY</t>
        </is>
      </c>
      <c r="H2233" t="inlineStr">
        <is>
          <t>Övriga Aktiebolag</t>
        </is>
      </c>
      <c r="I2233" t="n">
        <v>1.9</v>
      </c>
      <c r="J2233" t="n">
        <v>0</v>
      </c>
      <c r="K2233" t="n">
        <v>0</v>
      </c>
      <c r="L2233" t="n">
        <v>0</v>
      </c>
      <c r="M2233" t="n">
        <v>0</v>
      </c>
      <c r="N2233" t="n">
        <v>0</v>
      </c>
      <c r="O2233" t="n">
        <v>0</v>
      </c>
      <c r="P2233" t="n">
        <v>0</v>
      </c>
      <c r="Q2233" t="n">
        <v>0</v>
      </c>
      <c r="R2233" t="n">
        <v>0</v>
      </c>
      <c r="S2233" t="n">
        <v>0</v>
      </c>
      <c r="T2233" t="n">
        <v>0</v>
      </c>
      <c r="U2233" t="n">
        <v>0</v>
      </c>
      <c r="V2233" s="2" t="inlineStr"/>
    </row>
    <row r="2234" ht="15" customHeight="1">
      <c r="A2234" t="inlineStr">
        <is>
          <t>A 20470-2026</t>
        </is>
      </c>
      <c r="B2234" t="inlineStr">
        <is>
          <t>avverkningsanmälan</t>
        </is>
      </c>
      <c r="C2234" t="inlineStr">
        <is>
          <t>Föryngringsavverkning</t>
        </is>
      </c>
      <c r="D2234" s="1" t="n">
        <v>46140</v>
      </c>
      <c r="E2234" s="1" t="n">
        <v>46309</v>
      </c>
      <c r="F2234" t="inlineStr">
        <is>
          <t>UPPSALA LÄN</t>
        </is>
      </c>
      <c r="G2234" t="inlineStr">
        <is>
          <t>HEBY</t>
        </is>
      </c>
      <c r="H2234" t="inlineStr">
        <is>
          <t>Övriga Aktiebolag</t>
        </is>
      </c>
      <c r="I2234" t="n">
        <v>1.2</v>
      </c>
      <c r="J2234" t="n">
        <v>0</v>
      </c>
      <c r="K2234" t="n">
        <v>0</v>
      </c>
      <c r="L2234" t="n">
        <v>0</v>
      </c>
      <c r="M2234" t="n">
        <v>0</v>
      </c>
      <c r="N2234" t="n">
        <v>0</v>
      </c>
      <c r="O2234" t="n">
        <v>0</v>
      </c>
      <c r="P2234" t="n">
        <v>0</v>
      </c>
      <c r="Q2234" t="n">
        <v>0</v>
      </c>
      <c r="R2234" t="n">
        <v>0</v>
      </c>
      <c r="S2234" t="n">
        <v>0</v>
      </c>
      <c r="T2234" t="n">
        <v>0</v>
      </c>
      <c r="U2234" t="n">
        <v>0</v>
      </c>
      <c r="V2234" s="2" t="inlineStr"/>
    </row>
    <row r="2235" ht="15" customHeight="1">
      <c r="A2235" t="inlineStr">
        <is>
          <t>A 20488-2026</t>
        </is>
      </c>
      <c r="B2235" t="inlineStr">
        <is>
          <t>avverkningsanmälan</t>
        </is>
      </c>
      <c r="C2235" t="inlineStr">
        <is>
          <t>Föryngringsavverkning</t>
        </is>
      </c>
      <c r="D2235" s="1" t="n">
        <v>46140</v>
      </c>
      <c r="E2235" s="1" t="n">
        <v>46309</v>
      </c>
      <c r="F2235" t="inlineStr">
        <is>
          <t>UPPSALA LÄN</t>
        </is>
      </c>
      <c r="G2235" t="inlineStr">
        <is>
          <t>HEBY</t>
        </is>
      </c>
      <c r="H2235" t="inlineStr">
        <is>
          <t>Kyrkan</t>
        </is>
      </c>
      <c r="I2235" t="n">
        <v>0.4</v>
      </c>
      <c r="J2235" t="n">
        <v>0</v>
      </c>
      <c r="K2235" t="n">
        <v>0</v>
      </c>
      <c r="L2235" t="n">
        <v>0</v>
      </c>
      <c r="M2235" t="n">
        <v>0</v>
      </c>
      <c r="N2235" t="n">
        <v>0</v>
      </c>
      <c r="O2235" t="n">
        <v>0</v>
      </c>
      <c r="P2235" t="n">
        <v>0</v>
      </c>
      <c r="Q2235" t="n">
        <v>0</v>
      </c>
      <c r="R2235" t="n">
        <v>0</v>
      </c>
      <c r="S2235" t="n">
        <v>0</v>
      </c>
      <c r="T2235" t="n">
        <v>0</v>
      </c>
      <c r="U2235" t="n">
        <v>0</v>
      </c>
      <c r="V2235" s="2" t="inlineStr"/>
    </row>
    <row r="2236" ht="15" customHeight="1">
      <c r="A2236" t="inlineStr">
        <is>
          <t>A 59961-2023</t>
        </is>
      </c>
      <c r="B2236" t="inlineStr">
        <is>
          <t>avverkningsanmälan</t>
        </is>
      </c>
      <c r="C2236" t="inlineStr">
        <is>
          <t>Föryngringsavverkning</t>
        </is>
      </c>
      <c r="D2236" s="1" t="n">
        <v>45257</v>
      </c>
      <c r="E2236" s="1" t="n">
        <v>46309</v>
      </c>
      <c r="F2236" t="inlineStr">
        <is>
          <t>UPPSALA LÄN</t>
        </is>
      </c>
      <c r="G2236" t="inlineStr">
        <is>
          <t>TIERP</t>
        </is>
      </c>
      <c r="I2236" t="n">
        <v>2.7</v>
      </c>
      <c r="J2236" t="n">
        <v>0</v>
      </c>
      <c r="K2236" t="n">
        <v>0</v>
      </c>
      <c r="L2236" t="n">
        <v>0</v>
      </c>
      <c r="M2236" t="n">
        <v>0</v>
      </c>
      <c r="N2236" t="n">
        <v>0</v>
      </c>
      <c r="O2236" t="n">
        <v>0</v>
      </c>
      <c r="P2236" t="n">
        <v>0</v>
      </c>
      <c r="Q2236" t="n">
        <v>0</v>
      </c>
      <c r="R2236" t="n">
        <v>0</v>
      </c>
      <c r="S2236" t="n">
        <v>0</v>
      </c>
      <c r="T2236" t="n">
        <v>0</v>
      </c>
      <c r="U2236" t="n">
        <v>0</v>
      </c>
      <c r="V2236" s="2" t="inlineStr"/>
    </row>
    <row r="2237" ht="15" customHeight="1">
      <c r="A2237" t="inlineStr">
        <is>
          <t>A 73622-2021</t>
        </is>
      </c>
      <c r="B2237" t="inlineStr">
        <is>
          <t>avverkningsanmälan</t>
        </is>
      </c>
      <c r="C2237" t="inlineStr">
        <is>
          <t>Föryngringsavverkning</t>
        </is>
      </c>
      <c r="D2237" s="1" t="n">
        <v>44552</v>
      </c>
      <c r="E2237" s="1" t="n">
        <v>46309</v>
      </c>
      <c r="F2237" t="inlineStr">
        <is>
          <t>UPPSALA LÄN</t>
        </is>
      </c>
      <c r="G2237" t="inlineStr">
        <is>
          <t>HEBY</t>
        </is>
      </c>
      <c r="I2237" t="n">
        <v>0.7</v>
      </c>
      <c r="J2237" t="n">
        <v>0</v>
      </c>
      <c r="K2237" t="n">
        <v>0</v>
      </c>
      <c r="L2237" t="n">
        <v>0</v>
      </c>
      <c r="M2237" t="n">
        <v>0</v>
      </c>
      <c r="N2237" t="n">
        <v>0</v>
      </c>
      <c r="O2237" t="n">
        <v>0</v>
      </c>
      <c r="P2237" t="n">
        <v>0</v>
      </c>
      <c r="Q2237" t="n">
        <v>0</v>
      </c>
      <c r="R2237" t="n">
        <v>0</v>
      </c>
      <c r="S2237" t="n">
        <v>0</v>
      </c>
      <c r="T2237" t="n">
        <v>0</v>
      </c>
      <c r="U2237" t="n">
        <v>0</v>
      </c>
      <c r="V2237" s="2" t="inlineStr"/>
    </row>
    <row r="2238" ht="15" customHeight="1">
      <c r="A2238" t="inlineStr">
        <is>
          <t>A 59350-2021</t>
        </is>
      </c>
      <c r="B2238" t="inlineStr">
        <is>
          <t>avverkningsanmälan</t>
        </is>
      </c>
      <c r="C2238" t="inlineStr">
        <is>
          <t>Föryngringsavverkning</t>
        </is>
      </c>
      <c r="D2238" s="1" t="n">
        <v>44491</v>
      </c>
      <c r="E2238" s="1" t="n">
        <v>46309</v>
      </c>
      <c r="F2238" t="inlineStr">
        <is>
          <t>UPPSALA LÄN</t>
        </is>
      </c>
      <c r="G2238" t="inlineStr">
        <is>
          <t>TIERP</t>
        </is>
      </c>
      <c r="H2238" t="inlineStr">
        <is>
          <t>Bergvik skog öst AB</t>
        </is>
      </c>
      <c r="I2238" t="n">
        <v>2.5</v>
      </c>
      <c r="J2238" t="n">
        <v>0</v>
      </c>
      <c r="K2238" t="n">
        <v>0</v>
      </c>
      <c r="L2238" t="n">
        <v>0</v>
      </c>
      <c r="M2238" t="n">
        <v>0</v>
      </c>
      <c r="N2238" t="n">
        <v>0</v>
      </c>
      <c r="O2238" t="n">
        <v>0</v>
      </c>
      <c r="P2238" t="n">
        <v>0</v>
      </c>
      <c r="Q2238" t="n">
        <v>0</v>
      </c>
      <c r="R2238" t="n">
        <v>0</v>
      </c>
      <c r="S2238" t="n">
        <v>0</v>
      </c>
      <c r="T2238" t="n">
        <v>0</v>
      </c>
      <c r="U2238" t="n">
        <v>0</v>
      </c>
      <c r="V2238" s="2" t="inlineStr"/>
    </row>
    <row r="2239" ht="15" customHeight="1">
      <c r="A2239" t="inlineStr">
        <is>
          <t>A 19676-2025</t>
        </is>
      </c>
      <c r="B2239" t="inlineStr">
        <is>
          <t>avverkningsanmälan</t>
        </is>
      </c>
      <c r="C2239" t="inlineStr">
        <is>
          <t>Föryngringsavverkning</t>
        </is>
      </c>
      <c r="D2239" s="1" t="n">
        <v>45770</v>
      </c>
      <c r="E2239" s="1" t="n">
        <v>46309</v>
      </c>
      <c r="F2239" t="inlineStr">
        <is>
          <t>UPPSALA LÄN</t>
        </is>
      </c>
      <c r="G2239" t="inlineStr">
        <is>
          <t>KNIVSTA</t>
        </is>
      </c>
      <c r="I2239" t="n">
        <v>0.9</v>
      </c>
      <c r="J2239" t="n">
        <v>0</v>
      </c>
      <c r="K2239" t="n">
        <v>0</v>
      </c>
      <c r="L2239" t="n">
        <v>0</v>
      </c>
      <c r="M2239" t="n">
        <v>0</v>
      </c>
      <c r="N2239" t="n">
        <v>0</v>
      </c>
      <c r="O2239" t="n">
        <v>0</v>
      </c>
      <c r="P2239" t="n">
        <v>0</v>
      </c>
      <c r="Q2239" t="n">
        <v>0</v>
      </c>
      <c r="R2239" t="n">
        <v>0</v>
      </c>
      <c r="S2239" t="n">
        <v>0</v>
      </c>
      <c r="T2239" t="n">
        <v>0</v>
      </c>
      <c r="U2239" t="n">
        <v>0</v>
      </c>
      <c r="V2239" s="2" t="inlineStr"/>
    </row>
    <row r="2240" ht="15" customHeight="1">
      <c r="A2240" t="inlineStr">
        <is>
          <t>A 8343-2024</t>
        </is>
      </c>
      <c r="B2240" t="inlineStr">
        <is>
          <t>avverkningsanmälan</t>
        </is>
      </c>
      <c r="C2240" t="inlineStr">
        <is>
          <t>Föryngringsavverkning</t>
        </is>
      </c>
      <c r="D2240" s="1" t="n">
        <v>45352</v>
      </c>
      <c r="E2240" s="1" t="n">
        <v>46309</v>
      </c>
      <c r="F2240" t="inlineStr">
        <is>
          <t>UPPSALA LÄN</t>
        </is>
      </c>
      <c r="G2240" t="inlineStr">
        <is>
          <t>KNIVSTA</t>
        </is>
      </c>
      <c r="H2240" t="inlineStr">
        <is>
          <t>Holmen skog AB</t>
        </is>
      </c>
      <c r="I2240" t="n">
        <v>1.4</v>
      </c>
      <c r="J2240" t="n">
        <v>0</v>
      </c>
      <c r="K2240" t="n">
        <v>0</v>
      </c>
      <c r="L2240" t="n">
        <v>0</v>
      </c>
      <c r="M2240" t="n">
        <v>0</v>
      </c>
      <c r="N2240" t="n">
        <v>0</v>
      </c>
      <c r="O2240" t="n">
        <v>0</v>
      </c>
      <c r="P2240" t="n">
        <v>0</v>
      </c>
      <c r="Q2240" t="n">
        <v>0</v>
      </c>
      <c r="R2240" t="n">
        <v>0</v>
      </c>
      <c r="S2240" t="n">
        <v>0</v>
      </c>
      <c r="T2240" t="n">
        <v>0</v>
      </c>
      <c r="U2240" t="n">
        <v>0</v>
      </c>
      <c r="V2240" s="2" t="inlineStr"/>
    </row>
    <row r="2241" ht="15" customHeight="1">
      <c r="A2241" t="inlineStr">
        <is>
          <t>A 66779-2021</t>
        </is>
      </c>
      <c r="B2241" t="inlineStr">
        <is>
          <t>avverkningsanmälan</t>
        </is>
      </c>
      <c r="C2241" t="inlineStr">
        <is>
          <t>Föryngringsavverkning</t>
        </is>
      </c>
      <c r="D2241" s="1" t="n">
        <v>44522</v>
      </c>
      <c r="E2241" s="1" t="n">
        <v>46309</v>
      </c>
      <c r="F2241" t="inlineStr">
        <is>
          <t>UPPSALA LÄN</t>
        </is>
      </c>
      <c r="G2241" t="inlineStr">
        <is>
          <t>ÖSTHAMMAR</t>
        </is>
      </c>
      <c r="I2241" t="n">
        <v>2</v>
      </c>
      <c r="J2241" t="n">
        <v>0</v>
      </c>
      <c r="K2241" t="n">
        <v>0</v>
      </c>
      <c r="L2241" t="n">
        <v>0</v>
      </c>
      <c r="M2241" t="n">
        <v>0</v>
      </c>
      <c r="N2241" t="n">
        <v>0</v>
      </c>
      <c r="O2241" t="n">
        <v>0</v>
      </c>
      <c r="P2241" t="n">
        <v>0</v>
      </c>
      <c r="Q2241" t="n">
        <v>0</v>
      </c>
      <c r="R2241" t="n">
        <v>0</v>
      </c>
      <c r="S2241" t="n">
        <v>0</v>
      </c>
      <c r="T2241" t="n">
        <v>0</v>
      </c>
      <c r="U2241" t="n">
        <v>0</v>
      </c>
      <c r="V2241" s="2" t="inlineStr"/>
    </row>
    <row r="2242" ht="15" customHeight="1">
      <c r="A2242" t="inlineStr">
        <is>
          <t>A 29918-2023</t>
        </is>
      </c>
      <c r="B2242" t="inlineStr">
        <is>
          <t>avverkningsanmälan</t>
        </is>
      </c>
      <c r="C2242" t="inlineStr">
        <is>
          <t>Föryngringsavverkning</t>
        </is>
      </c>
      <c r="D2242" s="1" t="n">
        <v>45099</v>
      </c>
      <c r="E2242" s="1" t="n">
        <v>46309</v>
      </c>
      <c r="F2242" t="inlineStr">
        <is>
          <t>UPPSALA LÄN</t>
        </is>
      </c>
      <c r="G2242" t="inlineStr">
        <is>
          <t>ENKÖPING</t>
        </is>
      </c>
      <c r="I2242" t="n">
        <v>0.5</v>
      </c>
      <c r="J2242" t="n">
        <v>0</v>
      </c>
      <c r="K2242" t="n">
        <v>0</v>
      </c>
      <c r="L2242" t="n">
        <v>0</v>
      </c>
      <c r="M2242" t="n">
        <v>0</v>
      </c>
      <c r="N2242" t="n">
        <v>0</v>
      </c>
      <c r="O2242" t="n">
        <v>0</v>
      </c>
      <c r="P2242" t="n">
        <v>0</v>
      </c>
      <c r="Q2242" t="n">
        <v>0</v>
      </c>
      <c r="R2242" t="n">
        <v>0</v>
      </c>
      <c r="S2242" t="n">
        <v>0</v>
      </c>
      <c r="T2242" t="n">
        <v>0</v>
      </c>
      <c r="U2242" t="n">
        <v>0</v>
      </c>
      <c r="V2242" s="2" t="inlineStr"/>
    </row>
    <row r="2243" ht="15" customHeight="1">
      <c r="A2243" t="inlineStr">
        <is>
          <t>A 6075-2023</t>
        </is>
      </c>
      <c r="B2243" t="inlineStr">
        <is>
          <t>avverkningsanmälan</t>
        </is>
      </c>
      <c r="C2243" t="inlineStr">
        <is>
          <t>Föryngringsavverkning</t>
        </is>
      </c>
      <c r="D2243" s="1" t="n">
        <v>44964</v>
      </c>
      <c r="E2243" s="1" t="n">
        <v>46309</v>
      </c>
      <c r="F2243" t="inlineStr">
        <is>
          <t>UPPSALA LÄN</t>
        </is>
      </c>
      <c r="G2243" t="inlineStr">
        <is>
          <t>TIERP</t>
        </is>
      </c>
      <c r="H2243" t="inlineStr">
        <is>
          <t>Bergvik skog öst AB</t>
        </is>
      </c>
      <c r="I2243" t="n">
        <v>2.6</v>
      </c>
      <c r="J2243" t="n">
        <v>0</v>
      </c>
      <c r="K2243" t="n">
        <v>0</v>
      </c>
      <c r="L2243" t="n">
        <v>0</v>
      </c>
      <c r="M2243" t="n">
        <v>0</v>
      </c>
      <c r="N2243" t="n">
        <v>0</v>
      </c>
      <c r="O2243" t="n">
        <v>0</v>
      </c>
      <c r="P2243" t="n">
        <v>0</v>
      </c>
      <c r="Q2243" t="n">
        <v>0</v>
      </c>
      <c r="R2243" t="n">
        <v>0</v>
      </c>
      <c r="S2243" t="n">
        <v>0</v>
      </c>
      <c r="T2243" t="n">
        <v>0</v>
      </c>
      <c r="U2243" t="n">
        <v>0</v>
      </c>
      <c r="V2243" s="2" t="inlineStr"/>
    </row>
    <row r="2244" ht="15" customHeight="1">
      <c r="A2244" t="inlineStr">
        <is>
          <t>A 2352-2026</t>
        </is>
      </c>
      <c r="B2244" t="inlineStr">
        <is>
          <t>avverkningsanmälan</t>
        </is>
      </c>
      <c r="C2244" t="inlineStr">
        <is>
          <t>Föryngringsavverkning</t>
        </is>
      </c>
      <c r="D2244" s="1" t="n">
        <v>46034</v>
      </c>
      <c r="E2244" s="1" t="n">
        <v>46309</v>
      </c>
      <c r="F2244" t="inlineStr">
        <is>
          <t>UPPSALA LÄN</t>
        </is>
      </c>
      <c r="G2244" t="inlineStr">
        <is>
          <t>ÖSTHAMMAR</t>
        </is>
      </c>
      <c r="I2244" t="n">
        <v>0.9</v>
      </c>
      <c r="J2244" t="n">
        <v>0</v>
      </c>
      <c r="K2244" t="n">
        <v>0</v>
      </c>
      <c r="L2244" t="n">
        <v>0</v>
      </c>
      <c r="M2244" t="n">
        <v>0</v>
      </c>
      <c r="N2244" t="n">
        <v>0</v>
      </c>
      <c r="O2244" t="n">
        <v>0</v>
      </c>
      <c r="P2244" t="n">
        <v>0</v>
      </c>
      <c r="Q2244" t="n">
        <v>0</v>
      </c>
      <c r="R2244" t="n">
        <v>0</v>
      </c>
      <c r="S2244" t="n">
        <v>0</v>
      </c>
      <c r="T2244" t="n">
        <v>0</v>
      </c>
      <c r="U2244" t="n">
        <v>0</v>
      </c>
      <c r="V2244" s="2" t="inlineStr"/>
    </row>
    <row r="2245" ht="15" customHeight="1">
      <c r="A2245" t="inlineStr">
        <is>
          <t>A 59521-2023</t>
        </is>
      </c>
      <c r="B2245" t="inlineStr">
        <is>
          <t>avverkningsanmälan</t>
        </is>
      </c>
      <c r="C2245" t="inlineStr">
        <is>
          <t>Föryngringsavverkning</t>
        </is>
      </c>
      <c r="D2245" s="1" t="n">
        <v>45254</v>
      </c>
      <c r="E2245" s="1" t="n">
        <v>46309</v>
      </c>
      <c r="F2245" t="inlineStr">
        <is>
          <t>UPPSALA LÄN</t>
        </is>
      </c>
      <c r="G2245" t="inlineStr">
        <is>
          <t>UPPSALA</t>
        </is>
      </c>
      <c r="I2245" t="n">
        <v>1.7</v>
      </c>
      <c r="J2245" t="n">
        <v>0</v>
      </c>
      <c r="K2245" t="n">
        <v>0</v>
      </c>
      <c r="L2245" t="n">
        <v>0</v>
      </c>
      <c r="M2245" t="n">
        <v>0</v>
      </c>
      <c r="N2245" t="n">
        <v>0</v>
      </c>
      <c r="O2245" t="n">
        <v>0</v>
      </c>
      <c r="P2245" t="n">
        <v>0</v>
      </c>
      <c r="Q2245" t="n">
        <v>0</v>
      </c>
      <c r="R2245" t="n">
        <v>0</v>
      </c>
      <c r="S2245" t="n">
        <v>0</v>
      </c>
      <c r="T2245" t="n">
        <v>0</v>
      </c>
      <c r="U2245" t="n">
        <v>0</v>
      </c>
      <c r="V2245" s="2" t="inlineStr"/>
    </row>
    <row r="2246" ht="15" customHeight="1">
      <c r="A2246" t="inlineStr">
        <is>
          <t>A 26040-2025</t>
        </is>
      </c>
      <c r="B2246" t="inlineStr">
        <is>
          <t>avverkningsanmälan</t>
        </is>
      </c>
      <c r="C2246" t="inlineStr">
        <is>
          <t>Föryngringsavverkning</t>
        </is>
      </c>
      <c r="D2246" s="1" t="n">
        <v>45804</v>
      </c>
      <c r="E2246" s="1" t="n">
        <v>46309</v>
      </c>
      <c r="F2246" t="inlineStr">
        <is>
          <t>UPPSALA LÄN</t>
        </is>
      </c>
      <c r="G2246" t="inlineStr">
        <is>
          <t>TIERP</t>
        </is>
      </c>
      <c r="H2246" t="inlineStr">
        <is>
          <t>Bergvik skog öst AB</t>
        </is>
      </c>
      <c r="I2246" t="n">
        <v>1.4</v>
      </c>
      <c r="J2246" t="n">
        <v>0</v>
      </c>
      <c r="K2246" t="n">
        <v>0</v>
      </c>
      <c r="L2246" t="n">
        <v>0</v>
      </c>
      <c r="M2246" t="n">
        <v>0</v>
      </c>
      <c r="N2246" t="n">
        <v>0</v>
      </c>
      <c r="O2246" t="n">
        <v>0</v>
      </c>
      <c r="P2246" t="n">
        <v>0</v>
      </c>
      <c r="Q2246" t="n">
        <v>0</v>
      </c>
      <c r="R2246" t="n">
        <v>0</v>
      </c>
      <c r="S2246" t="n">
        <v>0</v>
      </c>
      <c r="T2246" t="n">
        <v>0</v>
      </c>
      <c r="U2246" t="n">
        <v>0</v>
      </c>
      <c r="V2246" s="2" t="inlineStr"/>
    </row>
    <row r="2247" ht="15" customHeight="1">
      <c r="A2247" t="inlineStr">
        <is>
          <t>A 59575-2025</t>
        </is>
      </c>
      <c r="B2247" t="inlineStr">
        <is>
          <t>avverkningsanmälan</t>
        </is>
      </c>
      <c r="C2247" t="inlineStr">
        <is>
          <t>Föryngringsavverkning</t>
        </is>
      </c>
      <c r="D2247" s="1" t="n">
        <v>45992</v>
      </c>
      <c r="E2247" s="1" t="n">
        <v>46309</v>
      </c>
      <c r="F2247" t="inlineStr">
        <is>
          <t>UPPSALA LÄN</t>
        </is>
      </c>
      <c r="G2247" t="inlineStr">
        <is>
          <t>TIERP</t>
        </is>
      </c>
      <c r="H2247" t="inlineStr">
        <is>
          <t>Bergvik skog öst AB</t>
        </is>
      </c>
      <c r="I2247" t="n">
        <v>1.8</v>
      </c>
      <c r="J2247" t="n">
        <v>0</v>
      </c>
      <c r="K2247" t="n">
        <v>0</v>
      </c>
      <c r="L2247" t="n">
        <v>0</v>
      </c>
      <c r="M2247" t="n">
        <v>0</v>
      </c>
      <c r="N2247" t="n">
        <v>0</v>
      </c>
      <c r="O2247" t="n">
        <v>0</v>
      </c>
      <c r="P2247" t="n">
        <v>0</v>
      </c>
      <c r="Q2247" t="n">
        <v>0</v>
      </c>
      <c r="R2247" t="n">
        <v>0</v>
      </c>
      <c r="S2247" t="n">
        <v>0</v>
      </c>
      <c r="T2247" t="n">
        <v>0</v>
      </c>
      <c r="U2247" t="n">
        <v>0</v>
      </c>
      <c r="V2247" s="2" t="inlineStr"/>
    </row>
    <row r="2248" ht="15" customHeight="1">
      <c r="A2248" t="inlineStr">
        <is>
          <t>A 23197-2023</t>
        </is>
      </c>
      <c r="B2248" t="inlineStr">
        <is>
          <t>avverkningsanmälan</t>
        </is>
      </c>
      <c r="C2248" t="inlineStr">
        <is>
          <t>Föryngringsavverkning</t>
        </is>
      </c>
      <c r="D2248" s="1" t="n">
        <v>45075</v>
      </c>
      <c r="E2248" s="1" t="n">
        <v>46309</v>
      </c>
      <c r="F2248" t="inlineStr">
        <is>
          <t>UPPSALA LÄN</t>
        </is>
      </c>
      <c r="G2248" t="inlineStr">
        <is>
          <t>ÖSTHAMMAR</t>
        </is>
      </c>
      <c r="I2248" t="n">
        <v>0.5</v>
      </c>
      <c r="J2248" t="n">
        <v>0</v>
      </c>
      <c r="K2248" t="n">
        <v>0</v>
      </c>
      <c r="L2248" t="n">
        <v>0</v>
      </c>
      <c r="M2248" t="n">
        <v>0</v>
      </c>
      <c r="N2248" t="n">
        <v>0</v>
      </c>
      <c r="O2248" t="n">
        <v>0</v>
      </c>
      <c r="P2248" t="n">
        <v>0</v>
      </c>
      <c r="Q2248" t="n">
        <v>0</v>
      </c>
      <c r="R2248" t="n">
        <v>0</v>
      </c>
      <c r="S2248" t="n">
        <v>0</v>
      </c>
      <c r="T2248" t="n">
        <v>0</v>
      </c>
      <c r="U2248" t="n">
        <v>0</v>
      </c>
      <c r="V2248" s="2" t="inlineStr"/>
    </row>
    <row r="2249" ht="15" customHeight="1">
      <c r="A2249" t="inlineStr">
        <is>
          <t>A 60079-2022</t>
        </is>
      </c>
      <c r="B2249" t="inlineStr">
        <is>
          <t>avverkningsanmälan</t>
        </is>
      </c>
      <c r="C2249" t="inlineStr">
        <is>
          <t>Föryngringsavverkning</t>
        </is>
      </c>
      <c r="D2249" s="1" t="n">
        <v>44909</v>
      </c>
      <c r="E2249" s="1" t="n">
        <v>46309</v>
      </c>
      <c r="F2249" t="inlineStr">
        <is>
          <t>UPPSALA LÄN</t>
        </is>
      </c>
      <c r="G2249" t="inlineStr">
        <is>
          <t>ÖSTHAMMAR</t>
        </is>
      </c>
      <c r="I2249" t="n">
        <v>9.6</v>
      </c>
      <c r="J2249" t="n">
        <v>0</v>
      </c>
      <c r="K2249" t="n">
        <v>0</v>
      </c>
      <c r="L2249" t="n">
        <v>0</v>
      </c>
      <c r="M2249" t="n">
        <v>0</v>
      </c>
      <c r="N2249" t="n">
        <v>0</v>
      </c>
      <c r="O2249" t="n">
        <v>0</v>
      </c>
      <c r="P2249" t="n">
        <v>0</v>
      </c>
      <c r="Q2249" t="n">
        <v>0</v>
      </c>
      <c r="R2249" t="n">
        <v>0</v>
      </c>
      <c r="S2249" t="n">
        <v>0</v>
      </c>
      <c r="T2249" t="n">
        <v>0</v>
      </c>
      <c r="U2249" t="n">
        <v>0</v>
      </c>
      <c r="V2249" s="2" t="inlineStr"/>
    </row>
    <row r="2250" ht="15" customHeight="1">
      <c r="A2250" t="inlineStr">
        <is>
          <t>A 53615-2024</t>
        </is>
      </c>
      <c r="B2250" t="inlineStr">
        <is>
          <t>avverkningsanmälan</t>
        </is>
      </c>
      <c r="C2250" t="inlineStr">
        <is>
          <t>Föryngringsavverkning</t>
        </is>
      </c>
      <c r="D2250" s="1" t="n">
        <v>45611</v>
      </c>
      <c r="E2250" s="1" t="n">
        <v>46309</v>
      </c>
      <c r="F2250" t="inlineStr">
        <is>
          <t>UPPSALA LÄN</t>
        </is>
      </c>
      <c r="G2250" t="inlineStr">
        <is>
          <t>UPPSALA</t>
        </is>
      </c>
      <c r="I2250" t="n">
        <v>0.8</v>
      </c>
      <c r="J2250" t="n">
        <v>0</v>
      </c>
      <c r="K2250" t="n">
        <v>0</v>
      </c>
      <c r="L2250" t="n">
        <v>0</v>
      </c>
      <c r="M2250" t="n">
        <v>0</v>
      </c>
      <c r="N2250" t="n">
        <v>0</v>
      </c>
      <c r="O2250" t="n">
        <v>0</v>
      </c>
      <c r="P2250" t="n">
        <v>0</v>
      </c>
      <c r="Q2250" t="n">
        <v>0</v>
      </c>
      <c r="R2250" t="n">
        <v>0</v>
      </c>
      <c r="S2250" t="n">
        <v>0</v>
      </c>
      <c r="T2250" t="n">
        <v>0</v>
      </c>
      <c r="U2250" t="n">
        <v>0</v>
      </c>
      <c r="V2250" s="2" t="inlineStr"/>
    </row>
    <row r="2251" ht="15" customHeight="1">
      <c r="A2251" t="inlineStr">
        <is>
          <t>A 32665-2023</t>
        </is>
      </c>
      <c r="B2251" t="inlineStr">
        <is>
          <t>avverkningsanmälan</t>
        </is>
      </c>
      <c r="C2251" t="inlineStr">
        <is>
          <t>Föryngringsavverkning</t>
        </is>
      </c>
      <c r="D2251" s="1" t="n">
        <v>45121</v>
      </c>
      <c r="E2251" s="1" t="n">
        <v>46309</v>
      </c>
      <c r="F2251" t="inlineStr">
        <is>
          <t>UPPSALA LÄN</t>
        </is>
      </c>
      <c r="G2251" t="inlineStr">
        <is>
          <t>TIERP</t>
        </is>
      </c>
      <c r="I2251" t="n">
        <v>1.3</v>
      </c>
      <c r="J2251" t="n">
        <v>0</v>
      </c>
      <c r="K2251" t="n">
        <v>0</v>
      </c>
      <c r="L2251" t="n">
        <v>0</v>
      </c>
      <c r="M2251" t="n">
        <v>0</v>
      </c>
      <c r="N2251" t="n">
        <v>0</v>
      </c>
      <c r="O2251" t="n">
        <v>0</v>
      </c>
      <c r="P2251" t="n">
        <v>0</v>
      </c>
      <c r="Q2251" t="n">
        <v>0</v>
      </c>
      <c r="R2251" t="n">
        <v>0</v>
      </c>
      <c r="S2251" t="n">
        <v>0</v>
      </c>
      <c r="T2251" t="n">
        <v>0</v>
      </c>
      <c r="U2251" t="n">
        <v>0</v>
      </c>
      <c r="V2251" s="2" t="inlineStr"/>
    </row>
    <row r="2252" ht="15" customHeight="1">
      <c r="A2252" t="inlineStr">
        <is>
          <t>A 52666-2025</t>
        </is>
      </c>
      <c r="B2252" t="inlineStr">
        <is>
          <t>avverkningsanmälan</t>
        </is>
      </c>
      <c r="C2252" t="inlineStr">
        <is>
          <t>Föryngringsavverkning</t>
        </is>
      </c>
      <c r="D2252" s="1" t="n">
        <v>45955</v>
      </c>
      <c r="E2252" s="1" t="n">
        <v>46309</v>
      </c>
      <c r="F2252" t="inlineStr">
        <is>
          <t>UPPSALA LÄN</t>
        </is>
      </c>
      <c r="G2252" t="inlineStr">
        <is>
          <t>KNIVSTA</t>
        </is>
      </c>
      <c r="I2252" t="n">
        <v>2.1</v>
      </c>
      <c r="J2252" t="n">
        <v>0</v>
      </c>
      <c r="K2252" t="n">
        <v>0</v>
      </c>
      <c r="L2252" t="n">
        <v>0</v>
      </c>
      <c r="M2252" t="n">
        <v>0</v>
      </c>
      <c r="N2252" t="n">
        <v>0</v>
      </c>
      <c r="O2252" t="n">
        <v>0</v>
      </c>
      <c r="P2252" t="n">
        <v>0</v>
      </c>
      <c r="Q2252" t="n">
        <v>0</v>
      </c>
      <c r="R2252" t="n">
        <v>0</v>
      </c>
      <c r="S2252" t="n">
        <v>0</v>
      </c>
      <c r="T2252" t="n">
        <v>0</v>
      </c>
      <c r="U2252" t="n">
        <v>0</v>
      </c>
      <c r="V2252" s="2" t="inlineStr"/>
    </row>
    <row r="2253" ht="15" customHeight="1">
      <c r="A2253" t="inlineStr">
        <is>
          <t>A 35112-2025</t>
        </is>
      </c>
      <c r="B2253" t="inlineStr">
        <is>
          <t>avverkningsanmälan</t>
        </is>
      </c>
      <c r="C2253" t="inlineStr">
        <is>
          <t>Föryngringsavverkning</t>
        </is>
      </c>
      <c r="D2253" s="1" t="n">
        <v>45852</v>
      </c>
      <c r="E2253" s="1" t="n">
        <v>46309</v>
      </c>
      <c r="F2253" t="inlineStr">
        <is>
          <t>UPPSALA LÄN</t>
        </is>
      </c>
      <c r="G2253" t="inlineStr">
        <is>
          <t>TIERP</t>
        </is>
      </c>
      <c r="H2253" t="inlineStr">
        <is>
          <t>Bergvik skog väst AB</t>
        </is>
      </c>
      <c r="I2253" t="n">
        <v>1</v>
      </c>
      <c r="J2253" t="n">
        <v>0</v>
      </c>
      <c r="K2253" t="n">
        <v>0</v>
      </c>
      <c r="L2253" t="n">
        <v>0</v>
      </c>
      <c r="M2253" t="n">
        <v>0</v>
      </c>
      <c r="N2253" t="n">
        <v>0</v>
      </c>
      <c r="O2253" t="n">
        <v>0</v>
      </c>
      <c r="P2253" t="n">
        <v>0</v>
      </c>
      <c r="Q2253" t="n">
        <v>0</v>
      </c>
      <c r="R2253" t="n">
        <v>0</v>
      </c>
      <c r="S2253" t="n">
        <v>0</v>
      </c>
      <c r="T2253" t="n">
        <v>0</v>
      </c>
      <c r="U2253" t="n">
        <v>0</v>
      </c>
      <c r="V2253" s="2" t="inlineStr"/>
    </row>
    <row r="2254" ht="15" customHeight="1">
      <c r="A2254" t="inlineStr">
        <is>
          <t>A 48523-2025</t>
        </is>
      </c>
      <c r="B2254" t="inlineStr">
        <is>
          <t>avverkningsanmälan</t>
        </is>
      </c>
      <c r="C2254" t="inlineStr">
        <is>
          <t>Föryngringsavverkning</t>
        </is>
      </c>
      <c r="D2254" s="1" t="n">
        <v>45936</v>
      </c>
      <c r="E2254" s="1" t="n">
        <v>46309</v>
      </c>
      <c r="F2254" t="inlineStr">
        <is>
          <t>UPPSALA LÄN</t>
        </is>
      </c>
      <c r="G2254" t="inlineStr">
        <is>
          <t>TIERP</t>
        </is>
      </c>
      <c r="H2254" t="inlineStr">
        <is>
          <t>Bergvik skog väst AB</t>
        </is>
      </c>
      <c r="I2254" t="n">
        <v>16.4</v>
      </c>
      <c r="J2254" t="n">
        <v>0</v>
      </c>
      <c r="K2254" t="n">
        <v>0</v>
      </c>
      <c r="L2254" t="n">
        <v>0</v>
      </c>
      <c r="M2254" t="n">
        <v>0</v>
      </c>
      <c r="N2254" t="n">
        <v>0</v>
      </c>
      <c r="O2254" t="n">
        <v>0</v>
      </c>
      <c r="P2254" t="n">
        <v>0</v>
      </c>
      <c r="Q2254" t="n">
        <v>0</v>
      </c>
      <c r="R2254" t="n">
        <v>0</v>
      </c>
      <c r="S2254" t="n">
        <v>0</v>
      </c>
      <c r="T2254" t="n">
        <v>0</v>
      </c>
      <c r="U2254" t="n">
        <v>0</v>
      </c>
      <c r="V2254" s="2" t="inlineStr"/>
    </row>
    <row r="2255" ht="15" customHeight="1">
      <c r="A2255" t="inlineStr">
        <is>
          <t>A 20296-2026</t>
        </is>
      </c>
      <c r="B2255" t="inlineStr">
        <is>
          <t>avverkningsanmälan</t>
        </is>
      </c>
      <c r="C2255" t="inlineStr">
        <is>
          <t>Föryngringsavverkning</t>
        </is>
      </c>
      <c r="D2255" s="1" t="n">
        <v>46139</v>
      </c>
      <c r="E2255" s="1" t="n">
        <v>46309</v>
      </c>
      <c r="F2255" t="inlineStr">
        <is>
          <t>UPPSALA LÄN</t>
        </is>
      </c>
      <c r="G2255" t="inlineStr">
        <is>
          <t>TIERP</t>
        </is>
      </c>
      <c r="I2255" t="n">
        <v>1.9</v>
      </c>
      <c r="J2255" t="n">
        <v>0</v>
      </c>
      <c r="K2255" t="n">
        <v>0</v>
      </c>
      <c r="L2255" t="n">
        <v>0</v>
      </c>
      <c r="M2255" t="n">
        <v>0</v>
      </c>
      <c r="N2255" t="n">
        <v>0</v>
      </c>
      <c r="O2255" t="n">
        <v>0</v>
      </c>
      <c r="P2255" t="n">
        <v>0</v>
      </c>
      <c r="Q2255" t="n">
        <v>0</v>
      </c>
      <c r="R2255" t="n">
        <v>0</v>
      </c>
      <c r="S2255" t="n">
        <v>0</v>
      </c>
      <c r="T2255" t="n">
        <v>0</v>
      </c>
      <c r="U2255" t="n">
        <v>0</v>
      </c>
      <c r="V2255" s="2" t="inlineStr"/>
    </row>
    <row r="2256" ht="15" customHeight="1">
      <c r="A2256" t="inlineStr">
        <is>
          <t>A 7226-2024</t>
        </is>
      </c>
      <c r="B2256" t="inlineStr">
        <is>
          <t>avverkningsanmälan</t>
        </is>
      </c>
      <c r="C2256" t="inlineStr">
        <is>
          <t>Föryngringsavverkning</t>
        </is>
      </c>
      <c r="D2256" s="1" t="n">
        <v>45344</v>
      </c>
      <c r="E2256" s="1" t="n">
        <v>46309</v>
      </c>
      <c r="F2256" t="inlineStr">
        <is>
          <t>UPPSALA LÄN</t>
        </is>
      </c>
      <c r="G2256" t="inlineStr">
        <is>
          <t>UPPSALA</t>
        </is>
      </c>
      <c r="H2256" t="inlineStr">
        <is>
          <t>Kyrkan</t>
        </is>
      </c>
      <c r="I2256" t="n">
        <v>1.2</v>
      </c>
      <c r="J2256" t="n">
        <v>0</v>
      </c>
      <c r="K2256" t="n">
        <v>0</v>
      </c>
      <c r="L2256" t="n">
        <v>0</v>
      </c>
      <c r="M2256" t="n">
        <v>0</v>
      </c>
      <c r="N2256" t="n">
        <v>0</v>
      </c>
      <c r="O2256" t="n">
        <v>0</v>
      </c>
      <c r="P2256" t="n">
        <v>0</v>
      </c>
      <c r="Q2256" t="n">
        <v>0</v>
      </c>
      <c r="R2256" t="n">
        <v>0</v>
      </c>
      <c r="S2256" t="n">
        <v>0</v>
      </c>
      <c r="T2256" t="n">
        <v>0</v>
      </c>
      <c r="U2256" t="n">
        <v>0</v>
      </c>
      <c r="V2256" s="2" t="inlineStr"/>
    </row>
    <row r="2257" ht="15" customHeight="1">
      <c r="A2257" t="inlineStr">
        <is>
          <t>A 9267-2024</t>
        </is>
      </c>
      <c r="B2257" t="inlineStr">
        <is>
          <t>avverkningsanmälan</t>
        </is>
      </c>
      <c r="C2257" t="inlineStr">
        <is>
          <t>Föryngringsavverkning</t>
        </is>
      </c>
      <c r="D2257" s="1" t="n">
        <v>45358</v>
      </c>
      <c r="E2257" s="1" t="n">
        <v>46309</v>
      </c>
      <c r="F2257" t="inlineStr">
        <is>
          <t>UPPSALA LÄN</t>
        </is>
      </c>
      <c r="G2257" t="inlineStr">
        <is>
          <t>ÖSTHAMMAR</t>
        </is>
      </c>
      <c r="H2257" t="inlineStr">
        <is>
          <t>Bergvik skog öst AB</t>
        </is>
      </c>
      <c r="I2257" t="n">
        <v>1.3</v>
      </c>
      <c r="J2257" t="n">
        <v>0</v>
      </c>
      <c r="K2257" t="n">
        <v>0</v>
      </c>
      <c r="L2257" t="n">
        <v>0</v>
      </c>
      <c r="M2257" t="n">
        <v>0</v>
      </c>
      <c r="N2257" t="n">
        <v>0</v>
      </c>
      <c r="O2257" t="n">
        <v>0</v>
      </c>
      <c r="P2257" t="n">
        <v>0</v>
      </c>
      <c r="Q2257" t="n">
        <v>0</v>
      </c>
      <c r="R2257" t="n">
        <v>0</v>
      </c>
      <c r="S2257" t="n">
        <v>0</v>
      </c>
      <c r="T2257" t="n">
        <v>0</v>
      </c>
      <c r="U2257" t="n">
        <v>0</v>
      </c>
      <c r="V2257" s="2" t="inlineStr"/>
    </row>
    <row r="2258" ht="15" customHeight="1">
      <c r="A2258" t="inlineStr">
        <is>
          <t>A 16847-2024</t>
        </is>
      </c>
      <c r="B2258" t="inlineStr">
        <is>
          <t>avverkningsanmälan</t>
        </is>
      </c>
      <c r="C2258" t="inlineStr">
        <is>
          <t>Föryngringsavverkning</t>
        </is>
      </c>
      <c r="D2258" s="1" t="n">
        <v>45411</v>
      </c>
      <c r="E2258" s="1" t="n">
        <v>46309</v>
      </c>
      <c r="F2258" t="inlineStr">
        <is>
          <t>UPPSALA LÄN</t>
        </is>
      </c>
      <c r="G2258" t="inlineStr">
        <is>
          <t>HEBY</t>
        </is>
      </c>
      <c r="I2258" t="n">
        <v>1.6</v>
      </c>
      <c r="J2258" t="n">
        <v>0</v>
      </c>
      <c r="K2258" t="n">
        <v>0</v>
      </c>
      <c r="L2258" t="n">
        <v>0</v>
      </c>
      <c r="M2258" t="n">
        <v>0</v>
      </c>
      <c r="N2258" t="n">
        <v>0</v>
      </c>
      <c r="O2258" t="n">
        <v>0</v>
      </c>
      <c r="P2258" t="n">
        <v>0</v>
      </c>
      <c r="Q2258" t="n">
        <v>0</v>
      </c>
      <c r="R2258" t="n">
        <v>0</v>
      </c>
      <c r="S2258" t="n">
        <v>0</v>
      </c>
      <c r="T2258" t="n">
        <v>0</v>
      </c>
      <c r="U2258" t="n">
        <v>0</v>
      </c>
      <c r="V2258" s="2" t="inlineStr"/>
    </row>
    <row r="2259" ht="15" customHeight="1">
      <c r="A2259" t="inlineStr">
        <is>
          <t>A 44505-2023</t>
        </is>
      </c>
      <c r="B2259" t="inlineStr">
        <is>
          <t>avverkningsanmälan</t>
        </is>
      </c>
      <c r="C2259" t="inlineStr">
        <is>
          <t>Föryngringsavverkning</t>
        </is>
      </c>
      <c r="D2259" s="1" t="n">
        <v>45184</v>
      </c>
      <c r="E2259" s="1" t="n">
        <v>46309</v>
      </c>
      <c r="F2259" t="inlineStr">
        <is>
          <t>UPPSALA LÄN</t>
        </is>
      </c>
      <c r="G2259" t="inlineStr">
        <is>
          <t>TIERP</t>
        </is>
      </c>
      <c r="I2259" t="n">
        <v>1.9</v>
      </c>
      <c r="J2259" t="n">
        <v>0</v>
      </c>
      <c r="K2259" t="n">
        <v>0</v>
      </c>
      <c r="L2259" t="n">
        <v>0</v>
      </c>
      <c r="M2259" t="n">
        <v>0</v>
      </c>
      <c r="N2259" t="n">
        <v>0</v>
      </c>
      <c r="O2259" t="n">
        <v>0</v>
      </c>
      <c r="P2259" t="n">
        <v>0</v>
      </c>
      <c r="Q2259" t="n">
        <v>0</v>
      </c>
      <c r="R2259" t="n">
        <v>0</v>
      </c>
      <c r="S2259" t="n">
        <v>0</v>
      </c>
      <c r="T2259" t="n">
        <v>0</v>
      </c>
      <c r="U2259" t="n">
        <v>0</v>
      </c>
      <c r="V2259" s="2" t="inlineStr"/>
    </row>
    <row r="2260" ht="15" customHeight="1">
      <c r="A2260" t="inlineStr">
        <is>
          <t>A 58384-2022</t>
        </is>
      </c>
      <c r="B2260" t="inlineStr">
        <is>
          <t>avverkningsanmälan</t>
        </is>
      </c>
      <c r="C2260" t="inlineStr">
        <is>
          <t>Föryngringsavverkning</t>
        </is>
      </c>
      <c r="D2260" s="1" t="n">
        <v>44901</v>
      </c>
      <c r="E2260" s="1" t="n">
        <v>46309</v>
      </c>
      <c r="F2260" t="inlineStr">
        <is>
          <t>UPPSALA LÄN</t>
        </is>
      </c>
      <c r="G2260" t="inlineStr">
        <is>
          <t>ENKÖPING</t>
        </is>
      </c>
      <c r="I2260" t="n">
        <v>0.7</v>
      </c>
      <c r="J2260" t="n">
        <v>0</v>
      </c>
      <c r="K2260" t="n">
        <v>0</v>
      </c>
      <c r="L2260" t="n">
        <v>0</v>
      </c>
      <c r="M2260" t="n">
        <v>0</v>
      </c>
      <c r="N2260" t="n">
        <v>0</v>
      </c>
      <c r="O2260" t="n">
        <v>0</v>
      </c>
      <c r="P2260" t="n">
        <v>0</v>
      </c>
      <c r="Q2260" t="n">
        <v>0</v>
      </c>
      <c r="R2260" t="n">
        <v>0</v>
      </c>
      <c r="S2260" t="n">
        <v>0</v>
      </c>
      <c r="T2260" t="n">
        <v>0</v>
      </c>
      <c r="U2260" t="n">
        <v>0</v>
      </c>
      <c r="V2260" s="2" t="inlineStr"/>
    </row>
    <row r="2261" ht="15" customHeight="1">
      <c r="A2261" t="inlineStr">
        <is>
          <t>A 20409-2026</t>
        </is>
      </c>
      <c r="B2261" t="inlineStr">
        <is>
          <t>avverkningsanmälan</t>
        </is>
      </c>
      <c r="C2261" t="inlineStr">
        <is>
          <t>Föryngringsavverkning</t>
        </is>
      </c>
      <c r="D2261" s="1" t="n">
        <v>46140</v>
      </c>
      <c r="E2261" s="1" t="n">
        <v>46309</v>
      </c>
      <c r="F2261" t="inlineStr">
        <is>
          <t>UPPSALA LÄN</t>
        </is>
      </c>
      <c r="G2261" t="inlineStr">
        <is>
          <t>HEBY</t>
        </is>
      </c>
      <c r="H2261" t="inlineStr">
        <is>
          <t>Kyrkan</t>
        </is>
      </c>
      <c r="I2261" t="n">
        <v>0.8</v>
      </c>
      <c r="J2261" t="n">
        <v>0</v>
      </c>
      <c r="K2261" t="n">
        <v>0</v>
      </c>
      <c r="L2261" t="n">
        <v>0</v>
      </c>
      <c r="M2261" t="n">
        <v>0</v>
      </c>
      <c r="N2261" t="n">
        <v>0</v>
      </c>
      <c r="O2261" t="n">
        <v>0</v>
      </c>
      <c r="P2261" t="n">
        <v>0</v>
      </c>
      <c r="Q2261" t="n">
        <v>0</v>
      </c>
      <c r="R2261" t="n">
        <v>0</v>
      </c>
      <c r="S2261" t="n">
        <v>0</v>
      </c>
      <c r="T2261" t="n">
        <v>0</v>
      </c>
      <c r="U2261" t="n">
        <v>0</v>
      </c>
      <c r="V2261" s="2" t="inlineStr"/>
    </row>
    <row r="2262" ht="15" customHeight="1">
      <c r="A2262" t="inlineStr">
        <is>
          <t>A 29901-2023</t>
        </is>
      </c>
      <c r="B2262" t="inlineStr">
        <is>
          <t>avverkningsanmälan</t>
        </is>
      </c>
      <c r="C2262" t="inlineStr">
        <is>
          <t>Föryngringsavverkning</t>
        </is>
      </c>
      <c r="D2262" s="1" t="n">
        <v>45107</v>
      </c>
      <c r="E2262" s="1" t="n">
        <v>46309</v>
      </c>
      <c r="F2262" t="inlineStr">
        <is>
          <t>UPPSALA LÄN</t>
        </is>
      </c>
      <c r="G2262" t="inlineStr">
        <is>
          <t>UPPSALA</t>
        </is>
      </c>
      <c r="I2262" t="n">
        <v>0.7</v>
      </c>
      <c r="J2262" t="n">
        <v>0</v>
      </c>
      <c r="K2262" t="n">
        <v>0</v>
      </c>
      <c r="L2262" t="n">
        <v>0</v>
      </c>
      <c r="M2262" t="n">
        <v>0</v>
      </c>
      <c r="N2262" t="n">
        <v>0</v>
      </c>
      <c r="O2262" t="n">
        <v>0</v>
      </c>
      <c r="P2262" t="n">
        <v>0</v>
      </c>
      <c r="Q2262" t="n">
        <v>0</v>
      </c>
      <c r="R2262" t="n">
        <v>0</v>
      </c>
      <c r="S2262" t="n">
        <v>0</v>
      </c>
      <c r="T2262" t="n">
        <v>0</v>
      </c>
      <c r="U2262" t="n">
        <v>0</v>
      </c>
      <c r="V2262" s="2" t="inlineStr"/>
    </row>
    <row r="2263" ht="15" customHeight="1">
      <c r="A2263" t="inlineStr">
        <is>
          <t>A 29926-2023</t>
        </is>
      </c>
      <c r="B2263" t="inlineStr">
        <is>
          <t>avverkningsanmälan</t>
        </is>
      </c>
      <c r="C2263" t="inlineStr">
        <is>
          <t>Föryngringsavverkning</t>
        </is>
      </c>
      <c r="D2263" s="1" t="n">
        <v>45107</v>
      </c>
      <c r="E2263" s="1" t="n">
        <v>46309</v>
      </c>
      <c r="F2263" t="inlineStr">
        <is>
          <t>UPPSALA LÄN</t>
        </is>
      </c>
      <c r="G2263" t="inlineStr">
        <is>
          <t>UPPSALA</t>
        </is>
      </c>
      <c r="I2263" t="n">
        <v>1.3</v>
      </c>
      <c r="J2263" t="n">
        <v>0</v>
      </c>
      <c r="K2263" t="n">
        <v>0</v>
      </c>
      <c r="L2263" t="n">
        <v>0</v>
      </c>
      <c r="M2263" t="n">
        <v>0</v>
      </c>
      <c r="N2263" t="n">
        <v>0</v>
      </c>
      <c r="O2263" t="n">
        <v>0</v>
      </c>
      <c r="P2263" t="n">
        <v>0</v>
      </c>
      <c r="Q2263" t="n">
        <v>0</v>
      </c>
      <c r="R2263" t="n">
        <v>0</v>
      </c>
      <c r="S2263" t="n">
        <v>0</v>
      </c>
      <c r="T2263" t="n">
        <v>0</v>
      </c>
      <c r="U2263" t="n">
        <v>0</v>
      </c>
      <c r="V2263" s="2" t="inlineStr"/>
    </row>
    <row r="2264" ht="15" customHeight="1">
      <c r="A2264" t="inlineStr">
        <is>
          <t>A 29927-2023</t>
        </is>
      </c>
      <c r="B2264" t="inlineStr">
        <is>
          <t>avverkningsanmälan</t>
        </is>
      </c>
      <c r="C2264" t="inlineStr">
        <is>
          <t>Föryngringsavverkning</t>
        </is>
      </c>
      <c r="D2264" s="1" t="n">
        <v>45107</v>
      </c>
      <c r="E2264" s="1" t="n">
        <v>46309</v>
      </c>
      <c r="F2264" t="inlineStr">
        <is>
          <t>UPPSALA LÄN</t>
        </is>
      </c>
      <c r="G2264" t="inlineStr">
        <is>
          <t>UPPSALA</t>
        </is>
      </c>
      <c r="I2264" t="n">
        <v>1.2</v>
      </c>
      <c r="J2264" t="n">
        <v>0</v>
      </c>
      <c r="K2264" t="n">
        <v>0</v>
      </c>
      <c r="L2264" t="n">
        <v>0</v>
      </c>
      <c r="M2264" t="n">
        <v>0</v>
      </c>
      <c r="N2264" t="n">
        <v>0</v>
      </c>
      <c r="O2264" t="n">
        <v>0</v>
      </c>
      <c r="P2264" t="n">
        <v>0</v>
      </c>
      <c r="Q2264" t="n">
        <v>0</v>
      </c>
      <c r="R2264" t="n">
        <v>0</v>
      </c>
      <c r="S2264" t="n">
        <v>0</v>
      </c>
      <c r="T2264" t="n">
        <v>0</v>
      </c>
      <c r="U2264" t="n">
        <v>0</v>
      </c>
      <c r="V2264" s="2" t="inlineStr"/>
    </row>
    <row r="2265" ht="15" customHeight="1">
      <c r="A2265" t="inlineStr">
        <is>
          <t>A 36420-2025</t>
        </is>
      </c>
      <c r="B2265" t="inlineStr">
        <is>
          <t>avverkningsanmälan</t>
        </is>
      </c>
      <c r="C2265" t="inlineStr">
        <is>
          <t>Föryngringsavverkning</t>
        </is>
      </c>
      <c r="D2265" s="1" t="n">
        <v>45868</v>
      </c>
      <c r="E2265" s="1" t="n">
        <v>46309</v>
      </c>
      <c r="F2265" t="inlineStr">
        <is>
          <t>UPPSALA LÄN</t>
        </is>
      </c>
      <c r="G2265" t="inlineStr">
        <is>
          <t>TIERP</t>
        </is>
      </c>
      <c r="I2265" t="n">
        <v>4.1</v>
      </c>
      <c r="J2265" t="n">
        <v>0</v>
      </c>
      <c r="K2265" t="n">
        <v>0</v>
      </c>
      <c r="L2265" t="n">
        <v>0</v>
      </c>
      <c r="M2265" t="n">
        <v>0</v>
      </c>
      <c r="N2265" t="n">
        <v>0</v>
      </c>
      <c r="O2265" t="n">
        <v>0</v>
      </c>
      <c r="P2265" t="n">
        <v>0</v>
      </c>
      <c r="Q2265" t="n">
        <v>0</v>
      </c>
      <c r="R2265" t="n">
        <v>0</v>
      </c>
      <c r="S2265" t="n">
        <v>0</v>
      </c>
      <c r="T2265" t="n">
        <v>0</v>
      </c>
      <c r="U2265" t="n">
        <v>0</v>
      </c>
      <c r="V2265" s="2" t="inlineStr"/>
    </row>
    <row r="2266" ht="15" customHeight="1">
      <c r="A2266" t="inlineStr">
        <is>
          <t>A 15893-2024</t>
        </is>
      </c>
      <c r="B2266" t="inlineStr">
        <is>
          <t>avverkningsanmälan</t>
        </is>
      </c>
      <c r="C2266" t="inlineStr">
        <is>
          <t>Föryngringsavverkning</t>
        </is>
      </c>
      <c r="D2266" s="1" t="n">
        <v>45405</v>
      </c>
      <c r="E2266" s="1" t="n">
        <v>46309</v>
      </c>
      <c r="F2266" t="inlineStr">
        <is>
          <t>UPPSALA LÄN</t>
        </is>
      </c>
      <c r="G2266" t="inlineStr">
        <is>
          <t>ENKÖPING</t>
        </is>
      </c>
      <c r="I2266" t="n">
        <v>1.9</v>
      </c>
      <c r="J2266" t="n">
        <v>0</v>
      </c>
      <c r="K2266" t="n">
        <v>0</v>
      </c>
      <c r="L2266" t="n">
        <v>0</v>
      </c>
      <c r="M2266" t="n">
        <v>0</v>
      </c>
      <c r="N2266" t="n">
        <v>0</v>
      </c>
      <c r="O2266" t="n">
        <v>0</v>
      </c>
      <c r="P2266" t="n">
        <v>0</v>
      </c>
      <c r="Q2266" t="n">
        <v>0</v>
      </c>
      <c r="R2266" t="n">
        <v>0</v>
      </c>
      <c r="S2266" t="n">
        <v>0</v>
      </c>
      <c r="T2266" t="n">
        <v>0</v>
      </c>
      <c r="U2266" t="n">
        <v>0</v>
      </c>
      <c r="V2266" s="2" t="inlineStr"/>
    </row>
    <row r="2267" ht="15" customHeight="1">
      <c r="A2267" t="inlineStr">
        <is>
          <t>A 7253-2024</t>
        </is>
      </c>
      <c r="B2267" t="inlineStr">
        <is>
          <t>avverkningsanmälan</t>
        </is>
      </c>
      <c r="C2267" t="inlineStr">
        <is>
          <t>Föryngringsavverkning</t>
        </is>
      </c>
      <c r="D2267" s="1" t="n">
        <v>45344</v>
      </c>
      <c r="E2267" s="1" t="n">
        <v>46309</v>
      </c>
      <c r="F2267" t="inlineStr">
        <is>
          <t>UPPSALA LÄN</t>
        </is>
      </c>
      <c r="G2267" t="inlineStr">
        <is>
          <t>UPPSALA</t>
        </is>
      </c>
      <c r="H2267" t="inlineStr">
        <is>
          <t>Kyrkan</t>
        </is>
      </c>
      <c r="I2267" t="n">
        <v>2.5</v>
      </c>
      <c r="J2267" t="n">
        <v>0</v>
      </c>
      <c r="K2267" t="n">
        <v>0</v>
      </c>
      <c r="L2267" t="n">
        <v>0</v>
      </c>
      <c r="M2267" t="n">
        <v>0</v>
      </c>
      <c r="N2267" t="n">
        <v>0</v>
      </c>
      <c r="O2267" t="n">
        <v>0</v>
      </c>
      <c r="P2267" t="n">
        <v>0</v>
      </c>
      <c r="Q2267" t="n">
        <v>0</v>
      </c>
      <c r="R2267" t="n">
        <v>0</v>
      </c>
      <c r="S2267" t="n">
        <v>0</v>
      </c>
      <c r="T2267" t="n">
        <v>0</v>
      </c>
      <c r="U2267" t="n">
        <v>0</v>
      </c>
      <c r="V2267" s="2" t="inlineStr"/>
    </row>
    <row r="2268" ht="15" customHeight="1">
      <c r="A2268" t="inlineStr">
        <is>
          <t>A 39148-2022</t>
        </is>
      </c>
      <c r="B2268" t="inlineStr">
        <is>
          <t>avverkningsanmälan</t>
        </is>
      </c>
      <c r="C2268" t="inlineStr">
        <is>
          <t>Föryngringsavverkning</t>
        </is>
      </c>
      <c r="D2268" s="1" t="n">
        <v>44816</v>
      </c>
      <c r="E2268" s="1" t="n">
        <v>46309</v>
      </c>
      <c r="F2268" t="inlineStr">
        <is>
          <t>UPPSALA LÄN</t>
        </is>
      </c>
      <c r="G2268" t="inlineStr">
        <is>
          <t>UPPSALA</t>
        </is>
      </c>
      <c r="H2268" t="inlineStr">
        <is>
          <t>Övriga statliga verk och myndigheter</t>
        </is>
      </c>
      <c r="I2268" t="n">
        <v>1.7</v>
      </c>
      <c r="J2268" t="n">
        <v>0</v>
      </c>
      <c r="K2268" t="n">
        <v>0</v>
      </c>
      <c r="L2268" t="n">
        <v>0</v>
      </c>
      <c r="M2268" t="n">
        <v>0</v>
      </c>
      <c r="N2268" t="n">
        <v>0</v>
      </c>
      <c r="O2268" t="n">
        <v>0</v>
      </c>
      <c r="P2268" t="n">
        <v>0</v>
      </c>
      <c r="Q2268" t="n">
        <v>0</v>
      </c>
      <c r="R2268" t="n">
        <v>0</v>
      </c>
      <c r="S2268" t="n">
        <v>0</v>
      </c>
      <c r="T2268" t="n">
        <v>0</v>
      </c>
      <c r="U2268" t="n">
        <v>0</v>
      </c>
      <c r="V2268" s="2" t="inlineStr"/>
    </row>
    <row r="2269" ht="15" customHeight="1">
      <c r="A2269" t="inlineStr">
        <is>
          <t>A 50802-2025</t>
        </is>
      </c>
      <c r="B2269" t="inlineStr">
        <is>
          <t>avverkningsanmälan</t>
        </is>
      </c>
      <c r="C2269" t="inlineStr">
        <is>
          <t>Föryngringsavverkning</t>
        </is>
      </c>
      <c r="D2269" s="1" t="n">
        <v>45946</v>
      </c>
      <c r="E2269" s="1" t="n">
        <v>46309</v>
      </c>
      <c r="F2269" t="inlineStr">
        <is>
          <t>UPPSALA LÄN</t>
        </is>
      </c>
      <c r="G2269" t="inlineStr">
        <is>
          <t>HEBY</t>
        </is>
      </c>
      <c r="I2269" t="n">
        <v>1.3</v>
      </c>
      <c r="J2269" t="n">
        <v>0</v>
      </c>
      <c r="K2269" t="n">
        <v>0</v>
      </c>
      <c r="L2269" t="n">
        <v>0</v>
      </c>
      <c r="M2269" t="n">
        <v>0</v>
      </c>
      <c r="N2269" t="n">
        <v>0</v>
      </c>
      <c r="O2269" t="n">
        <v>0</v>
      </c>
      <c r="P2269" t="n">
        <v>0</v>
      </c>
      <c r="Q2269" t="n">
        <v>0</v>
      </c>
      <c r="R2269" t="n">
        <v>0</v>
      </c>
      <c r="S2269" t="n">
        <v>0</v>
      </c>
      <c r="T2269" t="n">
        <v>0</v>
      </c>
      <c r="U2269" t="n">
        <v>0</v>
      </c>
      <c r="V2269" s="2" t="inlineStr"/>
    </row>
    <row r="2270" ht="15" customHeight="1">
      <c r="A2270" t="inlineStr">
        <is>
          <t>A 56658-2025</t>
        </is>
      </c>
      <c r="B2270" t="inlineStr">
        <is>
          <t>avverkningsanmälan</t>
        </is>
      </c>
      <c r="C2270" t="inlineStr">
        <is>
          <t>Föryngringsavverkning</t>
        </is>
      </c>
      <c r="D2270" s="1" t="n">
        <v>45975</v>
      </c>
      <c r="E2270" s="1" t="n">
        <v>46309</v>
      </c>
      <c r="F2270" t="inlineStr">
        <is>
          <t>UPPSALA LÄN</t>
        </is>
      </c>
      <c r="G2270" t="inlineStr">
        <is>
          <t>ÖSTHAMMAR</t>
        </is>
      </c>
      <c r="I2270" t="n">
        <v>1.3</v>
      </c>
      <c r="J2270" t="n">
        <v>0</v>
      </c>
      <c r="K2270" t="n">
        <v>0</v>
      </c>
      <c r="L2270" t="n">
        <v>0</v>
      </c>
      <c r="M2270" t="n">
        <v>0</v>
      </c>
      <c r="N2270" t="n">
        <v>0</v>
      </c>
      <c r="O2270" t="n">
        <v>0</v>
      </c>
      <c r="P2270" t="n">
        <v>0</v>
      </c>
      <c r="Q2270" t="n">
        <v>0</v>
      </c>
      <c r="R2270" t="n">
        <v>0</v>
      </c>
      <c r="S2270" t="n">
        <v>0</v>
      </c>
      <c r="T2270" t="n">
        <v>0</v>
      </c>
      <c r="U2270" t="n">
        <v>0</v>
      </c>
      <c r="V2270" s="2" t="inlineStr"/>
    </row>
    <row r="2271" ht="15" customHeight="1">
      <c r="A2271" t="inlineStr">
        <is>
          <t>A 35105-2025</t>
        </is>
      </c>
      <c r="B2271" t="inlineStr">
        <is>
          <t>avverkningsanmälan</t>
        </is>
      </c>
      <c r="C2271" t="inlineStr">
        <is>
          <t>Föryngringsavverkning</t>
        </is>
      </c>
      <c r="D2271" s="1" t="n">
        <v>45852</v>
      </c>
      <c r="E2271" s="1" t="n">
        <v>46309</v>
      </c>
      <c r="F2271" t="inlineStr">
        <is>
          <t>UPPSALA LÄN</t>
        </is>
      </c>
      <c r="G2271" t="inlineStr">
        <is>
          <t>TIERP</t>
        </is>
      </c>
      <c r="H2271" t="inlineStr">
        <is>
          <t>Bergvik skog väst AB</t>
        </is>
      </c>
      <c r="I2271" t="n">
        <v>2.1</v>
      </c>
      <c r="J2271" t="n">
        <v>0</v>
      </c>
      <c r="K2271" t="n">
        <v>0</v>
      </c>
      <c r="L2271" t="n">
        <v>0</v>
      </c>
      <c r="M2271" t="n">
        <v>0</v>
      </c>
      <c r="N2271" t="n">
        <v>0</v>
      </c>
      <c r="O2271" t="n">
        <v>0</v>
      </c>
      <c r="P2271" t="n">
        <v>0</v>
      </c>
      <c r="Q2271" t="n">
        <v>0</v>
      </c>
      <c r="R2271" t="n">
        <v>0</v>
      </c>
      <c r="S2271" t="n">
        <v>0</v>
      </c>
      <c r="T2271" t="n">
        <v>0</v>
      </c>
      <c r="U2271" t="n">
        <v>0</v>
      </c>
      <c r="V2271" s="2" t="inlineStr"/>
    </row>
    <row r="2272" ht="15" customHeight="1">
      <c r="A2272" t="inlineStr">
        <is>
          <t>A 35155-2025</t>
        </is>
      </c>
      <c r="B2272" t="inlineStr">
        <is>
          <t>avverkningsanmälan</t>
        </is>
      </c>
      <c r="C2272" t="inlineStr">
        <is>
          <t>Föryngringsavverkning</t>
        </is>
      </c>
      <c r="D2272" s="1" t="n">
        <v>45852</v>
      </c>
      <c r="E2272" s="1" t="n">
        <v>46309</v>
      </c>
      <c r="F2272" t="inlineStr">
        <is>
          <t>UPPSALA LÄN</t>
        </is>
      </c>
      <c r="G2272" t="inlineStr">
        <is>
          <t>UPPSALA</t>
        </is>
      </c>
      <c r="H2272" t="inlineStr">
        <is>
          <t>Holmen skog AB</t>
        </is>
      </c>
      <c r="I2272" t="n">
        <v>1.2</v>
      </c>
      <c r="J2272" t="n">
        <v>0</v>
      </c>
      <c r="K2272" t="n">
        <v>0</v>
      </c>
      <c r="L2272" t="n">
        <v>0</v>
      </c>
      <c r="M2272" t="n">
        <v>0</v>
      </c>
      <c r="N2272" t="n">
        <v>0</v>
      </c>
      <c r="O2272" t="n">
        <v>0</v>
      </c>
      <c r="P2272" t="n">
        <v>0</v>
      </c>
      <c r="Q2272" t="n">
        <v>0</v>
      </c>
      <c r="R2272" t="n">
        <v>0</v>
      </c>
      <c r="S2272" t="n">
        <v>0</v>
      </c>
      <c r="T2272" t="n">
        <v>0</v>
      </c>
      <c r="U2272" t="n">
        <v>0</v>
      </c>
      <c r="V2272" s="2" t="inlineStr"/>
    </row>
    <row r="2273" ht="15" customHeight="1">
      <c r="A2273" t="inlineStr">
        <is>
          <t>A 34509-2023</t>
        </is>
      </c>
      <c r="B2273" t="inlineStr">
        <is>
          <t>avverkningsanmälan</t>
        </is>
      </c>
      <c r="C2273" t="inlineStr">
        <is>
          <t>Avverkning för annat ändamål</t>
        </is>
      </c>
      <c r="D2273" s="1" t="n">
        <v>45133</v>
      </c>
      <c r="E2273" s="1" t="n">
        <v>46309</v>
      </c>
      <c r="F2273" t="inlineStr">
        <is>
          <t>UPPSALA LÄN</t>
        </is>
      </c>
      <c r="G2273" t="inlineStr">
        <is>
          <t>UPPSALA</t>
        </is>
      </c>
      <c r="I2273" t="n">
        <v>2.6</v>
      </c>
      <c r="J2273" t="n">
        <v>0</v>
      </c>
      <c r="K2273" t="n">
        <v>0</v>
      </c>
      <c r="L2273" t="n">
        <v>0</v>
      </c>
      <c r="M2273" t="n">
        <v>0</v>
      </c>
      <c r="N2273" t="n">
        <v>0</v>
      </c>
      <c r="O2273" t="n">
        <v>0</v>
      </c>
      <c r="P2273" t="n">
        <v>0</v>
      </c>
      <c r="Q2273" t="n">
        <v>0</v>
      </c>
      <c r="R2273" t="n">
        <v>0</v>
      </c>
      <c r="S2273" t="n">
        <v>0</v>
      </c>
      <c r="T2273" t="n">
        <v>0</v>
      </c>
      <c r="U2273" t="n">
        <v>0</v>
      </c>
      <c r="V2273" s="2" t="inlineStr"/>
    </row>
    <row r="2274" ht="15" customHeight="1">
      <c r="A2274" t="inlineStr">
        <is>
          <t>A 27119-2023</t>
        </is>
      </c>
      <c r="B2274" t="inlineStr">
        <is>
          <t>avverkningsanmälan</t>
        </is>
      </c>
      <c r="C2274" t="inlineStr">
        <is>
          <t>Föryngringsavverkning</t>
        </is>
      </c>
      <c r="D2274" s="1" t="n">
        <v>45096</v>
      </c>
      <c r="E2274" s="1" t="n">
        <v>46309</v>
      </c>
      <c r="F2274" t="inlineStr">
        <is>
          <t>UPPSALA LÄN</t>
        </is>
      </c>
      <c r="G2274" t="inlineStr">
        <is>
          <t>UPPSALA</t>
        </is>
      </c>
      <c r="I2274" t="n">
        <v>3.1</v>
      </c>
      <c r="J2274" t="n">
        <v>0</v>
      </c>
      <c r="K2274" t="n">
        <v>0</v>
      </c>
      <c r="L2274" t="n">
        <v>0</v>
      </c>
      <c r="M2274" t="n">
        <v>0</v>
      </c>
      <c r="N2274" t="n">
        <v>0</v>
      </c>
      <c r="O2274" t="n">
        <v>0</v>
      </c>
      <c r="P2274" t="n">
        <v>0</v>
      </c>
      <c r="Q2274" t="n">
        <v>0</v>
      </c>
      <c r="R2274" t="n">
        <v>0</v>
      </c>
      <c r="S2274" t="n">
        <v>0</v>
      </c>
      <c r="T2274" t="n">
        <v>0</v>
      </c>
      <c r="U2274" t="n">
        <v>0</v>
      </c>
      <c r="V2274" s="2" t="inlineStr"/>
    </row>
    <row r="2275" ht="15" customHeight="1">
      <c r="A2275" t="inlineStr">
        <is>
          <t>A 32479-2025</t>
        </is>
      </c>
      <c r="B2275" t="inlineStr">
        <is>
          <t>avverkningsanmälan</t>
        </is>
      </c>
      <c r="C2275" t="inlineStr">
        <is>
          <t>Föryngringsavverkning</t>
        </is>
      </c>
      <c r="D2275" s="1" t="n">
        <v>45838</v>
      </c>
      <c r="E2275" s="1" t="n">
        <v>46309</v>
      </c>
      <c r="F2275" t="inlineStr">
        <is>
          <t>UPPSALA LÄN</t>
        </is>
      </c>
      <c r="G2275" t="inlineStr">
        <is>
          <t>UPPSALA</t>
        </is>
      </c>
      <c r="I2275" t="n">
        <v>0.9</v>
      </c>
      <c r="J2275" t="n">
        <v>0</v>
      </c>
      <c r="K2275" t="n">
        <v>0</v>
      </c>
      <c r="L2275" t="n">
        <v>0</v>
      </c>
      <c r="M2275" t="n">
        <v>0</v>
      </c>
      <c r="N2275" t="n">
        <v>0</v>
      </c>
      <c r="O2275" t="n">
        <v>0</v>
      </c>
      <c r="P2275" t="n">
        <v>0</v>
      </c>
      <c r="Q2275" t="n">
        <v>0</v>
      </c>
      <c r="R2275" t="n">
        <v>0</v>
      </c>
      <c r="S2275" t="n">
        <v>0</v>
      </c>
      <c r="T2275" t="n">
        <v>0</v>
      </c>
      <c r="U2275" t="n">
        <v>0</v>
      </c>
      <c r="V2275" s="2" t="inlineStr"/>
    </row>
    <row r="2276" ht="15" customHeight="1">
      <c r="A2276" t="inlineStr">
        <is>
          <t>A 27903-2023</t>
        </is>
      </c>
      <c r="B2276" t="inlineStr">
        <is>
          <t>avverkningsanmälan</t>
        </is>
      </c>
      <c r="C2276" t="inlineStr">
        <is>
          <t>Föryngringsavverkning</t>
        </is>
      </c>
      <c r="D2276" s="1" t="n">
        <v>45098</v>
      </c>
      <c r="E2276" s="1" t="n">
        <v>46309</v>
      </c>
      <c r="F2276" t="inlineStr">
        <is>
          <t>UPPSALA LÄN</t>
        </is>
      </c>
      <c r="G2276" t="inlineStr">
        <is>
          <t>UPPSALA</t>
        </is>
      </c>
      <c r="I2276" t="n">
        <v>2.4</v>
      </c>
      <c r="J2276" t="n">
        <v>0</v>
      </c>
      <c r="K2276" t="n">
        <v>0</v>
      </c>
      <c r="L2276" t="n">
        <v>0</v>
      </c>
      <c r="M2276" t="n">
        <v>0</v>
      </c>
      <c r="N2276" t="n">
        <v>0</v>
      </c>
      <c r="O2276" t="n">
        <v>0</v>
      </c>
      <c r="P2276" t="n">
        <v>0</v>
      </c>
      <c r="Q2276" t="n">
        <v>0</v>
      </c>
      <c r="R2276" t="n">
        <v>0</v>
      </c>
      <c r="S2276" t="n">
        <v>0</v>
      </c>
      <c r="T2276" t="n">
        <v>0</v>
      </c>
      <c r="U2276" t="n">
        <v>0</v>
      </c>
      <c r="V2276" s="2" t="inlineStr"/>
    </row>
    <row r="2277" ht="15" customHeight="1">
      <c r="A2277" t="inlineStr">
        <is>
          <t>A 17938-2025</t>
        </is>
      </c>
      <c r="B2277" t="inlineStr">
        <is>
          <t>avverkningsanmälan</t>
        </is>
      </c>
      <c r="C2277" t="inlineStr">
        <is>
          <t>Föryngringsavverkning</t>
        </is>
      </c>
      <c r="D2277" s="1" t="n">
        <v>45760</v>
      </c>
      <c r="E2277" s="1" t="n">
        <v>46309</v>
      </c>
      <c r="F2277" t="inlineStr">
        <is>
          <t>UPPSALA LÄN</t>
        </is>
      </c>
      <c r="G2277" t="inlineStr">
        <is>
          <t>ÖSTHAMMAR</t>
        </is>
      </c>
      <c r="H2277" t="inlineStr">
        <is>
          <t>Bergvik skog öst AB</t>
        </is>
      </c>
      <c r="I2277" t="n">
        <v>1.3</v>
      </c>
      <c r="J2277" t="n">
        <v>0</v>
      </c>
      <c r="K2277" t="n">
        <v>0</v>
      </c>
      <c r="L2277" t="n">
        <v>0</v>
      </c>
      <c r="M2277" t="n">
        <v>0</v>
      </c>
      <c r="N2277" t="n">
        <v>0</v>
      </c>
      <c r="O2277" t="n">
        <v>0</v>
      </c>
      <c r="P2277" t="n">
        <v>0</v>
      </c>
      <c r="Q2277" t="n">
        <v>0</v>
      </c>
      <c r="R2277" t="n">
        <v>0</v>
      </c>
      <c r="S2277" t="n">
        <v>0</v>
      </c>
      <c r="T2277" t="n">
        <v>0</v>
      </c>
      <c r="U2277" t="n">
        <v>0</v>
      </c>
      <c r="V2277" s="2" t="inlineStr"/>
    </row>
    <row r="2278" ht="15" customHeight="1">
      <c r="A2278" t="inlineStr">
        <is>
          <t>A 35316-2024</t>
        </is>
      </c>
      <c r="B2278" t="inlineStr">
        <is>
          <t>avverkningsanmälan</t>
        </is>
      </c>
      <c r="C2278" t="inlineStr">
        <is>
          <t>Föryngringsavverkning</t>
        </is>
      </c>
      <c r="D2278" s="1" t="n">
        <v>45530</v>
      </c>
      <c r="E2278" s="1" t="n">
        <v>46309</v>
      </c>
      <c r="F2278" t="inlineStr">
        <is>
          <t>UPPSALA LÄN</t>
        </is>
      </c>
      <c r="G2278" t="inlineStr">
        <is>
          <t>ÖSTHAMMAR</t>
        </is>
      </c>
      <c r="H2278" t="inlineStr">
        <is>
          <t>Bergvik skog öst AB</t>
        </is>
      </c>
      <c r="I2278" t="n">
        <v>2.1</v>
      </c>
      <c r="J2278" t="n">
        <v>0</v>
      </c>
      <c r="K2278" t="n">
        <v>0</v>
      </c>
      <c r="L2278" t="n">
        <v>0</v>
      </c>
      <c r="M2278" t="n">
        <v>0</v>
      </c>
      <c r="N2278" t="n">
        <v>0</v>
      </c>
      <c r="O2278" t="n">
        <v>0</v>
      </c>
      <c r="P2278" t="n">
        <v>0</v>
      </c>
      <c r="Q2278" t="n">
        <v>0</v>
      </c>
      <c r="R2278" t="n">
        <v>0</v>
      </c>
      <c r="S2278" t="n">
        <v>0</v>
      </c>
      <c r="T2278" t="n">
        <v>0</v>
      </c>
      <c r="U2278" t="n">
        <v>0</v>
      </c>
      <c r="V2278" s="2" t="inlineStr"/>
    </row>
    <row r="2279" ht="15" customHeight="1">
      <c r="A2279" t="inlineStr">
        <is>
          <t>A 38474-2025</t>
        </is>
      </c>
      <c r="B2279" t="inlineStr">
        <is>
          <t>avverkningsanmälan</t>
        </is>
      </c>
      <c r="C2279" t="inlineStr">
        <is>
          <t>Föryngringsavverkning</t>
        </is>
      </c>
      <c r="D2279" s="1" t="n">
        <v>45884</v>
      </c>
      <c r="E2279" s="1" t="n">
        <v>46309</v>
      </c>
      <c r="F2279" t="inlineStr">
        <is>
          <t>UPPSALA LÄN</t>
        </is>
      </c>
      <c r="G2279" t="inlineStr">
        <is>
          <t>HEBY</t>
        </is>
      </c>
      <c r="I2279" t="n">
        <v>2.2</v>
      </c>
      <c r="J2279" t="n">
        <v>0</v>
      </c>
      <c r="K2279" t="n">
        <v>0</v>
      </c>
      <c r="L2279" t="n">
        <v>0</v>
      </c>
      <c r="M2279" t="n">
        <v>0</v>
      </c>
      <c r="N2279" t="n">
        <v>0</v>
      </c>
      <c r="O2279" t="n">
        <v>0</v>
      </c>
      <c r="P2279" t="n">
        <v>0</v>
      </c>
      <c r="Q2279" t="n">
        <v>0</v>
      </c>
      <c r="R2279" t="n">
        <v>0</v>
      </c>
      <c r="S2279" t="n">
        <v>0</v>
      </c>
      <c r="T2279" t="n">
        <v>0</v>
      </c>
      <c r="U2279" t="n">
        <v>0</v>
      </c>
      <c r="V2279" s="2" t="inlineStr"/>
    </row>
    <row r="2280" ht="15" customHeight="1">
      <c r="A2280" t="inlineStr">
        <is>
          <t>A 30627-2023</t>
        </is>
      </c>
      <c r="B2280" t="inlineStr">
        <is>
          <t>avverkningsanmälan</t>
        </is>
      </c>
      <c r="C2280" t="inlineStr">
        <is>
          <t>Föryngringsavverkning</t>
        </is>
      </c>
      <c r="D2280" s="1" t="n">
        <v>45112</v>
      </c>
      <c r="E2280" s="1" t="n">
        <v>46309</v>
      </c>
      <c r="F2280" t="inlineStr">
        <is>
          <t>UPPSALA LÄN</t>
        </is>
      </c>
      <c r="G2280" t="inlineStr">
        <is>
          <t>KNIVSTA</t>
        </is>
      </c>
      <c r="H2280" t="inlineStr">
        <is>
          <t>Holmen skog AB</t>
        </is>
      </c>
      <c r="I2280" t="n">
        <v>1.6</v>
      </c>
      <c r="J2280" t="n">
        <v>0</v>
      </c>
      <c r="K2280" t="n">
        <v>0</v>
      </c>
      <c r="L2280" t="n">
        <v>0</v>
      </c>
      <c r="M2280" t="n">
        <v>0</v>
      </c>
      <c r="N2280" t="n">
        <v>0</v>
      </c>
      <c r="O2280" t="n">
        <v>0</v>
      </c>
      <c r="P2280" t="n">
        <v>0</v>
      </c>
      <c r="Q2280" t="n">
        <v>0</v>
      </c>
      <c r="R2280" t="n">
        <v>0</v>
      </c>
      <c r="S2280" t="n">
        <v>0</v>
      </c>
      <c r="T2280" t="n">
        <v>0</v>
      </c>
      <c r="U2280" t="n">
        <v>0</v>
      </c>
      <c r="V2280" s="2" t="inlineStr"/>
    </row>
    <row r="2281" ht="15" customHeight="1">
      <c r="A2281" t="inlineStr">
        <is>
          <t>A 20459-2026</t>
        </is>
      </c>
      <c r="B2281" t="inlineStr">
        <is>
          <t>avverkningsanmälan</t>
        </is>
      </c>
      <c r="C2281" t="inlineStr">
        <is>
          <t>Föryngringsavverkning</t>
        </is>
      </c>
      <c r="D2281" s="1" t="n">
        <v>46140</v>
      </c>
      <c r="E2281" s="1" t="n">
        <v>46309</v>
      </c>
      <c r="F2281" t="inlineStr">
        <is>
          <t>UPPSALA LÄN</t>
        </is>
      </c>
      <c r="G2281" t="inlineStr">
        <is>
          <t>HEBY</t>
        </is>
      </c>
      <c r="H2281" t="inlineStr">
        <is>
          <t>Övriga Aktiebolag</t>
        </is>
      </c>
      <c r="I2281" t="n">
        <v>1.1</v>
      </c>
      <c r="J2281" t="n">
        <v>0</v>
      </c>
      <c r="K2281" t="n">
        <v>0</v>
      </c>
      <c r="L2281" t="n">
        <v>0</v>
      </c>
      <c r="M2281" t="n">
        <v>0</v>
      </c>
      <c r="N2281" t="n">
        <v>0</v>
      </c>
      <c r="O2281" t="n">
        <v>0</v>
      </c>
      <c r="P2281" t="n">
        <v>0</v>
      </c>
      <c r="Q2281" t="n">
        <v>0</v>
      </c>
      <c r="R2281" t="n">
        <v>0</v>
      </c>
      <c r="S2281" t="n">
        <v>0</v>
      </c>
      <c r="T2281" t="n">
        <v>0</v>
      </c>
      <c r="U2281" t="n">
        <v>0</v>
      </c>
      <c r="V2281" s="2" t="inlineStr"/>
    </row>
    <row r="2282" ht="15" customHeight="1">
      <c r="A2282" t="inlineStr">
        <is>
          <t>A 38571-2023</t>
        </is>
      </c>
      <c r="B2282" t="inlineStr">
        <is>
          <t>avverkningsanmälan</t>
        </is>
      </c>
      <c r="C2282" t="inlineStr">
        <is>
          <t>Föryngringsavverkning</t>
        </is>
      </c>
      <c r="D2282" s="1" t="n">
        <v>45162</v>
      </c>
      <c r="E2282" s="1" t="n">
        <v>46309</v>
      </c>
      <c r="F2282" t="inlineStr">
        <is>
          <t>UPPSALA LÄN</t>
        </is>
      </c>
      <c r="G2282" t="inlineStr">
        <is>
          <t>ÖSTHAMMAR</t>
        </is>
      </c>
      <c r="H2282" t="inlineStr">
        <is>
          <t>Bergvik skog öst AB</t>
        </is>
      </c>
      <c r="I2282" t="n">
        <v>1.1</v>
      </c>
      <c r="J2282" t="n">
        <v>0</v>
      </c>
      <c r="K2282" t="n">
        <v>0</v>
      </c>
      <c r="L2282" t="n">
        <v>0</v>
      </c>
      <c r="M2282" t="n">
        <v>0</v>
      </c>
      <c r="N2282" t="n">
        <v>0</v>
      </c>
      <c r="O2282" t="n">
        <v>0</v>
      </c>
      <c r="P2282" t="n">
        <v>0</v>
      </c>
      <c r="Q2282" t="n">
        <v>0</v>
      </c>
      <c r="R2282" t="n">
        <v>0</v>
      </c>
      <c r="S2282" t="n">
        <v>0</v>
      </c>
      <c r="T2282" t="n">
        <v>0</v>
      </c>
      <c r="U2282" t="n">
        <v>0</v>
      </c>
      <c r="V2282" s="2" t="inlineStr"/>
    </row>
    <row r="2283" ht="15" customHeight="1">
      <c r="A2283" t="inlineStr">
        <is>
          <t>A 72224-2021</t>
        </is>
      </c>
      <c r="B2283" t="inlineStr">
        <is>
          <t>avverkningsanmälan</t>
        </is>
      </c>
      <c r="C2283" t="inlineStr">
        <is>
          <t>Föryngringsavverkning</t>
        </is>
      </c>
      <c r="D2283" s="1" t="n">
        <v>44544</v>
      </c>
      <c r="E2283" s="1" t="n">
        <v>46309</v>
      </c>
      <c r="F2283" t="inlineStr">
        <is>
          <t>UPPSALA LÄN</t>
        </is>
      </c>
      <c r="G2283" t="inlineStr">
        <is>
          <t>UPPSALA</t>
        </is>
      </c>
      <c r="I2283" t="n">
        <v>2.5</v>
      </c>
      <c r="J2283" t="n">
        <v>0</v>
      </c>
      <c r="K2283" t="n">
        <v>0</v>
      </c>
      <c r="L2283" t="n">
        <v>0</v>
      </c>
      <c r="M2283" t="n">
        <v>0</v>
      </c>
      <c r="N2283" t="n">
        <v>0</v>
      </c>
      <c r="O2283" t="n">
        <v>0</v>
      </c>
      <c r="P2283" t="n">
        <v>0</v>
      </c>
      <c r="Q2283" t="n">
        <v>0</v>
      </c>
      <c r="R2283" t="n">
        <v>0</v>
      </c>
      <c r="S2283" t="n">
        <v>0</v>
      </c>
      <c r="T2283" t="n">
        <v>0</v>
      </c>
      <c r="U2283" t="n">
        <v>0</v>
      </c>
      <c r="V2283" s="2" t="inlineStr"/>
    </row>
    <row r="2284" ht="15" customHeight="1">
      <c r="A2284" t="inlineStr">
        <is>
          <t>A 66686-2021</t>
        </is>
      </c>
      <c r="B2284" t="inlineStr">
        <is>
          <t>avverkningsanmälan</t>
        </is>
      </c>
      <c r="C2284" t="inlineStr">
        <is>
          <t>Föryngringsavverkning</t>
        </is>
      </c>
      <c r="D2284" s="1" t="n">
        <v>44519</v>
      </c>
      <c r="E2284" s="1" t="n">
        <v>46309</v>
      </c>
      <c r="F2284" t="inlineStr">
        <is>
          <t>UPPSALA LÄN</t>
        </is>
      </c>
      <c r="G2284" t="inlineStr">
        <is>
          <t>UPPSALA</t>
        </is>
      </c>
      <c r="I2284" t="n">
        <v>6.4</v>
      </c>
      <c r="J2284" t="n">
        <v>0</v>
      </c>
      <c r="K2284" t="n">
        <v>0</v>
      </c>
      <c r="L2284" t="n">
        <v>0</v>
      </c>
      <c r="M2284" t="n">
        <v>0</v>
      </c>
      <c r="N2284" t="n">
        <v>0</v>
      </c>
      <c r="O2284" t="n">
        <v>0</v>
      </c>
      <c r="P2284" t="n">
        <v>0</v>
      </c>
      <c r="Q2284" t="n">
        <v>0</v>
      </c>
      <c r="R2284" t="n">
        <v>0</v>
      </c>
      <c r="S2284" t="n">
        <v>0</v>
      </c>
      <c r="T2284" t="n">
        <v>0</v>
      </c>
      <c r="U2284" t="n">
        <v>0</v>
      </c>
      <c r="V2284" s="2" t="inlineStr"/>
    </row>
    <row r="2285" ht="15" customHeight="1">
      <c r="A2285" t="inlineStr">
        <is>
          <t>A 33974-2025</t>
        </is>
      </c>
      <c r="B2285" t="inlineStr">
        <is>
          <t>avverkningsanmälan</t>
        </is>
      </c>
      <c r="C2285" t="inlineStr">
        <is>
          <t>Föryngringsavverkning</t>
        </is>
      </c>
      <c r="D2285" s="1" t="n">
        <v>45843</v>
      </c>
      <c r="E2285" s="1" t="n">
        <v>46309</v>
      </c>
      <c r="F2285" t="inlineStr">
        <is>
          <t>UPPSALA LÄN</t>
        </is>
      </c>
      <c r="G2285" t="inlineStr">
        <is>
          <t>KNIVSTA</t>
        </is>
      </c>
      <c r="I2285" t="n">
        <v>2.6</v>
      </c>
      <c r="J2285" t="n">
        <v>0</v>
      </c>
      <c r="K2285" t="n">
        <v>0</v>
      </c>
      <c r="L2285" t="n">
        <v>0</v>
      </c>
      <c r="M2285" t="n">
        <v>0</v>
      </c>
      <c r="N2285" t="n">
        <v>0</v>
      </c>
      <c r="O2285" t="n">
        <v>0</v>
      </c>
      <c r="P2285" t="n">
        <v>0</v>
      </c>
      <c r="Q2285" t="n">
        <v>0</v>
      </c>
      <c r="R2285" t="n">
        <v>0</v>
      </c>
      <c r="S2285" t="n">
        <v>0</v>
      </c>
      <c r="T2285" t="n">
        <v>0</v>
      </c>
      <c r="U2285" t="n">
        <v>0</v>
      </c>
      <c r="V2285" s="2" t="inlineStr"/>
    </row>
    <row r="2286" ht="15" customHeight="1">
      <c r="A2286" t="inlineStr">
        <is>
          <t>A 5188-2022</t>
        </is>
      </c>
      <c r="B2286" t="inlineStr">
        <is>
          <t>avverkningsanmälan</t>
        </is>
      </c>
      <c r="C2286" t="inlineStr">
        <is>
          <t>Föryngringsavverkning</t>
        </is>
      </c>
      <c r="D2286" s="1" t="n">
        <v>44594</v>
      </c>
      <c r="E2286" s="1" t="n">
        <v>46309</v>
      </c>
      <c r="F2286" t="inlineStr">
        <is>
          <t>UPPSALA LÄN</t>
        </is>
      </c>
      <c r="G2286" t="inlineStr">
        <is>
          <t>ENKÖPING</t>
        </is>
      </c>
      <c r="I2286" t="n">
        <v>1.6</v>
      </c>
      <c r="J2286" t="n">
        <v>0</v>
      </c>
      <c r="K2286" t="n">
        <v>0</v>
      </c>
      <c r="L2286" t="n">
        <v>0</v>
      </c>
      <c r="M2286" t="n">
        <v>0</v>
      </c>
      <c r="N2286" t="n">
        <v>0</v>
      </c>
      <c r="O2286" t="n">
        <v>0</v>
      </c>
      <c r="P2286" t="n">
        <v>0</v>
      </c>
      <c r="Q2286" t="n">
        <v>0</v>
      </c>
      <c r="R2286" t="n">
        <v>0</v>
      </c>
      <c r="S2286" t="n">
        <v>0</v>
      </c>
      <c r="T2286" t="n">
        <v>0</v>
      </c>
      <c r="U2286" t="n">
        <v>0</v>
      </c>
      <c r="V2286" s="2" t="inlineStr"/>
    </row>
    <row r="2287" ht="15" customHeight="1">
      <c r="A2287" t="inlineStr">
        <is>
          <t>A 13214-2025</t>
        </is>
      </c>
      <c r="B2287" t="inlineStr">
        <is>
          <t>avverkningsanmälan</t>
        </is>
      </c>
      <c r="C2287" t="inlineStr">
        <is>
          <t>Föryngringsavverkning</t>
        </is>
      </c>
      <c r="D2287" s="1" t="n">
        <v>45735</v>
      </c>
      <c r="E2287" s="1" t="n">
        <v>46309</v>
      </c>
      <c r="F2287" t="inlineStr">
        <is>
          <t>UPPSALA LÄN</t>
        </is>
      </c>
      <c r="G2287" t="inlineStr">
        <is>
          <t>TIERP</t>
        </is>
      </c>
      <c r="I2287" t="n">
        <v>1.9</v>
      </c>
      <c r="J2287" t="n">
        <v>0</v>
      </c>
      <c r="K2287" t="n">
        <v>0</v>
      </c>
      <c r="L2287" t="n">
        <v>0</v>
      </c>
      <c r="M2287" t="n">
        <v>0</v>
      </c>
      <c r="N2287" t="n">
        <v>0</v>
      </c>
      <c r="O2287" t="n">
        <v>0</v>
      </c>
      <c r="P2287" t="n">
        <v>0</v>
      </c>
      <c r="Q2287" t="n">
        <v>0</v>
      </c>
      <c r="R2287" t="n">
        <v>0</v>
      </c>
      <c r="S2287" t="n">
        <v>0</v>
      </c>
      <c r="T2287" t="n">
        <v>0</v>
      </c>
      <c r="U2287" t="n">
        <v>0</v>
      </c>
      <c r="V2287" s="2" t="inlineStr"/>
    </row>
    <row r="2288" ht="15" customHeight="1">
      <c r="A2288" t="inlineStr">
        <is>
          <t>A 38934-2023</t>
        </is>
      </c>
      <c r="B2288" t="inlineStr">
        <is>
          <t>avverkningsanmälan</t>
        </is>
      </c>
      <c r="C2288" t="inlineStr">
        <is>
          <t>Föryngringsavverkning</t>
        </is>
      </c>
      <c r="D2288" s="1" t="n">
        <v>45163</v>
      </c>
      <c r="E2288" s="1" t="n">
        <v>46309</v>
      </c>
      <c r="F2288" t="inlineStr">
        <is>
          <t>UPPSALA LÄN</t>
        </is>
      </c>
      <c r="G2288" t="inlineStr">
        <is>
          <t>UPPSALA</t>
        </is>
      </c>
      <c r="I2288" t="n">
        <v>0.7</v>
      </c>
      <c r="J2288" t="n">
        <v>0</v>
      </c>
      <c r="K2288" t="n">
        <v>0</v>
      </c>
      <c r="L2288" t="n">
        <v>0</v>
      </c>
      <c r="M2288" t="n">
        <v>0</v>
      </c>
      <c r="N2288" t="n">
        <v>0</v>
      </c>
      <c r="O2288" t="n">
        <v>0</v>
      </c>
      <c r="P2288" t="n">
        <v>0</v>
      </c>
      <c r="Q2288" t="n">
        <v>0</v>
      </c>
      <c r="R2288" t="n">
        <v>0</v>
      </c>
      <c r="S2288" t="n">
        <v>0</v>
      </c>
      <c r="T2288" t="n">
        <v>0</v>
      </c>
      <c r="U2288" t="n">
        <v>0</v>
      </c>
      <c r="V2288" s="2" t="inlineStr"/>
    </row>
    <row r="2289" ht="15" customHeight="1">
      <c r="A2289" t="inlineStr">
        <is>
          <t>A 13593-2023</t>
        </is>
      </c>
      <c r="B2289" t="inlineStr">
        <is>
          <t>avverkningsanmälan</t>
        </is>
      </c>
      <c r="C2289" t="inlineStr">
        <is>
          <t>Föryngringsavverkning</t>
        </is>
      </c>
      <c r="D2289" s="1" t="n">
        <v>45006</v>
      </c>
      <c r="E2289" s="1" t="n">
        <v>46309</v>
      </c>
      <c r="F2289" t="inlineStr">
        <is>
          <t>UPPSALA LÄN</t>
        </is>
      </c>
      <c r="G2289" t="inlineStr">
        <is>
          <t>HEBY</t>
        </is>
      </c>
      <c r="I2289" t="n">
        <v>1.7</v>
      </c>
      <c r="J2289" t="n">
        <v>0</v>
      </c>
      <c r="K2289" t="n">
        <v>0</v>
      </c>
      <c r="L2289" t="n">
        <v>0</v>
      </c>
      <c r="M2289" t="n">
        <v>0</v>
      </c>
      <c r="N2289" t="n">
        <v>0</v>
      </c>
      <c r="O2289" t="n">
        <v>0</v>
      </c>
      <c r="P2289" t="n">
        <v>0</v>
      </c>
      <c r="Q2289" t="n">
        <v>0</v>
      </c>
      <c r="R2289" t="n">
        <v>0</v>
      </c>
      <c r="S2289" t="n">
        <v>0</v>
      </c>
      <c r="T2289" t="n">
        <v>0</v>
      </c>
      <c r="U2289" t="n">
        <v>0</v>
      </c>
      <c r="V2289" s="2" t="inlineStr"/>
    </row>
    <row r="2290" ht="15" customHeight="1">
      <c r="A2290" t="inlineStr">
        <is>
          <t>A 31549-2025</t>
        </is>
      </c>
      <c r="B2290" t="inlineStr">
        <is>
          <t>avverkningsanmälan</t>
        </is>
      </c>
      <c r="C2290" t="inlineStr">
        <is>
          <t>Föryngringsavverkning</t>
        </is>
      </c>
      <c r="D2290" s="1" t="n">
        <v>45833</v>
      </c>
      <c r="E2290" s="1" t="n">
        <v>46309</v>
      </c>
      <c r="F2290" t="inlineStr">
        <is>
          <t>UPPSALA LÄN</t>
        </is>
      </c>
      <c r="G2290" t="inlineStr">
        <is>
          <t>TIERP</t>
        </is>
      </c>
      <c r="H2290" t="inlineStr">
        <is>
          <t>Bergvik skog öst AB</t>
        </is>
      </c>
      <c r="I2290" t="n">
        <v>2.4</v>
      </c>
      <c r="J2290" t="n">
        <v>0</v>
      </c>
      <c r="K2290" t="n">
        <v>0</v>
      </c>
      <c r="L2290" t="n">
        <v>0</v>
      </c>
      <c r="M2290" t="n">
        <v>0</v>
      </c>
      <c r="N2290" t="n">
        <v>0</v>
      </c>
      <c r="O2290" t="n">
        <v>0</v>
      </c>
      <c r="P2290" t="n">
        <v>0</v>
      </c>
      <c r="Q2290" t="n">
        <v>0</v>
      </c>
      <c r="R2290" t="n">
        <v>0</v>
      </c>
      <c r="S2290" t="n">
        <v>0</v>
      </c>
      <c r="T2290" t="n">
        <v>0</v>
      </c>
      <c r="U2290" t="n">
        <v>0</v>
      </c>
      <c r="V2290" s="2" t="inlineStr"/>
    </row>
    <row r="2291" ht="15" customHeight="1">
      <c r="A2291" t="inlineStr">
        <is>
          <t>A 47861-2025</t>
        </is>
      </c>
      <c r="B2291" t="inlineStr">
        <is>
          <t>avverkningsanmälan</t>
        </is>
      </c>
      <c r="C2291" t="inlineStr">
        <is>
          <t>Föryngringsavverkning</t>
        </is>
      </c>
      <c r="D2291" s="1" t="n">
        <v>45932</v>
      </c>
      <c r="E2291" s="1" t="n">
        <v>46309</v>
      </c>
      <c r="F2291" t="inlineStr">
        <is>
          <t>UPPSALA LÄN</t>
        </is>
      </c>
      <c r="G2291" t="inlineStr">
        <is>
          <t>HEBY</t>
        </is>
      </c>
      <c r="H2291" t="inlineStr">
        <is>
          <t>Allmännings- och besparingsskogar</t>
        </is>
      </c>
      <c r="I2291" t="n">
        <v>2.4</v>
      </c>
      <c r="J2291" t="n">
        <v>0</v>
      </c>
      <c r="K2291" t="n">
        <v>0</v>
      </c>
      <c r="L2291" t="n">
        <v>0</v>
      </c>
      <c r="M2291" t="n">
        <v>0</v>
      </c>
      <c r="N2291" t="n">
        <v>0</v>
      </c>
      <c r="O2291" t="n">
        <v>0</v>
      </c>
      <c r="P2291" t="n">
        <v>0</v>
      </c>
      <c r="Q2291" t="n">
        <v>0</v>
      </c>
      <c r="R2291" t="n">
        <v>0</v>
      </c>
      <c r="S2291" t="n">
        <v>0</v>
      </c>
      <c r="T2291" t="n">
        <v>0</v>
      </c>
      <c r="U2291" t="n">
        <v>0</v>
      </c>
      <c r="V2291" s="2" t="inlineStr"/>
    </row>
    <row r="2292" ht="15" customHeight="1">
      <c r="A2292" t="inlineStr">
        <is>
          <t>A 7560-2023</t>
        </is>
      </c>
      <c r="B2292" t="inlineStr">
        <is>
          <t>avverkningsanmälan</t>
        </is>
      </c>
      <c r="C2292" t="inlineStr">
        <is>
          <t>Föryngringsavverkning</t>
        </is>
      </c>
      <c r="D2292" s="1" t="n">
        <v>44972</v>
      </c>
      <c r="E2292" s="1" t="n">
        <v>46309</v>
      </c>
      <c r="F2292" t="inlineStr">
        <is>
          <t>UPPSALA LÄN</t>
        </is>
      </c>
      <c r="G2292" t="inlineStr">
        <is>
          <t>ÖSTHAMMAR</t>
        </is>
      </c>
      <c r="H2292" t="inlineStr">
        <is>
          <t>Bergvik skog öst AB</t>
        </is>
      </c>
      <c r="I2292" t="n">
        <v>1.3</v>
      </c>
      <c r="J2292" t="n">
        <v>0</v>
      </c>
      <c r="K2292" t="n">
        <v>0</v>
      </c>
      <c r="L2292" t="n">
        <v>0</v>
      </c>
      <c r="M2292" t="n">
        <v>0</v>
      </c>
      <c r="N2292" t="n">
        <v>0</v>
      </c>
      <c r="O2292" t="n">
        <v>0</v>
      </c>
      <c r="P2292" t="n">
        <v>0</v>
      </c>
      <c r="Q2292" t="n">
        <v>0</v>
      </c>
      <c r="R2292" t="n">
        <v>0</v>
      </c>
      <c r="S2292" t="n">
        <v>0</v>
      </c>
      <c r="T2292" t="n">
        <v>0</v>
      </c>
      <c r="U2292" t="n">
        <v>0</v>
      </c>
      <c r="V2292" s="2" t="inlineStr"/>
    </row>
    <row r="2293" ht="15" customHeight="1">
      <c r="A2293" t="inlineStr">
        <is>
          <t>A 19014-2025</t>
        </is>
      </c>
      <c r="B2293" t="inlineStr">
        <is>
          <t>avverkningsanmälan</t>
        </is>
      </c>
      <c r="C2293" t="inlineStr">
        <is>
          <t>Föryngringsavverkning</t>
        </is>
      </c>
      <c r="D2293" s="1" t="n">
        <v>45764</v>
      </c>
      <c r="E2293" s="1" t="n">
        <v>46309</v>
      </c>
      <c r="F2293" t="inlineStr">
        <is>
          <t>UPPSALA LÄN</t>
        </is>
      </c>
      <c r="G2293" t="inlineStr">
        <is>
          <t>ENKÖPING</t>
        </is>
      </c>
      <c r="I2293" t="n">
        <v>0.2</v>
      </c>
      <c r="J2293" t="n">
        <v>0</v>
      </c>
      <c r="K2293" t="n">
        <v>0</v>
      </c>
      <c r="L2293" t="n">
        <v>0</v>
      </c>
      <c r="M2293" t="n">
        <v>0</v>
      </c>
      <c r="N2293" t="n">
        <v>0</v>
      </c>
      <c r="O2293" t="n">
        <v>0</v>
      </c>
      <c r="P2293" t="n">
        <v>0</v>
      </c>
      <c r="Q2293" t="n">
        <v>0</v>
      </c>
      <c r="R2293" t="n">
        <v>0</v>
      </c>
      <c r="S2293" t="n">
        <v>0</v>
      </c>
      <c r="T2293" t="n">
        <v>0</v>
      </c>
      <c r="U2293" t="n">
        <v>0</v>
      </c>
      <c r="V2293" s="2" t="inlineStr"/>
    </row>
    <row r="2294" ht="15" customHeight="1">
      <c r="A2294" t="inlineStr">
        <is>
          <t>A 27125-2023</t>
        </is>
      </c>
      <c r="B2294" t="inlineStr">
        <is>
          <t>avverkningsanmälan</t>
        </is>
      </c>
      <c r="C2294" t="inlineStr">
        <is>
          <t>Föryngringsavverkning</t>
        </is>
      </c>
      <c r="D2294" s="1" t="n">
        <v>45096</v>
      </c>
      <c r="E2294" s="1" t="n">
        <v>46309</v>
      </c>
      <c r="F2294" t="inlineStr">
        <is>
          <t>UPPSALA LÄN</t>
        </is>
      </c>
      <c r="G2294" t="inlineStr">
        <is>
          <t>UPPSALA</t>
        </is>
      </c>
      <c r="I2294" t="n">
        <v>0.6</v>
      </c>
      <c r="J2294" t="n">
        <v>0</v>
      </c>
      <c r="K2294" t="n">
        <v>0</v>
      </c>
      <c r="L2294" t="n">
        <v>0</v>
      </c>
      <c r="M2294" t="n">
        <v>0</v>
      </c>
      <c r="N2294" t="n">
        <v>0</v>
      </c>
      <c r="O2294" t="n">
        <v>0</v>
      </c>
      <c r="P2294" t="n">
        <v>0</v>
      </c>
      <c r="Q2294" t="n">
        <v>0</v>
      </c>
      <c r="R2294" t="n">
        <v>0</v>
      </c>
      <c r="S2294" t="n">
        <v>0</v>
      </c>
      <c r="T2294" t="n">
        <v>0</v>
      </c>
      <c r="U2294" t="n">
        <v>0</v>
      </c>
      <c r="V2294" s="2" t="inlineStr"/>
    </row>
    <row r="2295" ht="15" customHeight="1">
      <c r="A2295" t="inlineStr">
        <is>
          <t>A 401-2026</t>
        </is>
      </c>
      <c r="B2295" t="inlineStr">
        <is>
          <t>avverkningsanmälan</t>
        </is>
      </c>
      <c r="C2295" t="inlineStr">
        <is>
          <t>Föryngringsavverkning</t>
        </is>
      </c>
      <c r="D2295" s="1" t="n">
        <v>46028</v>
      </c>
      <c r="E2295" s="1" t="n">
        <v>46309</v>
      </c>
      <c r="F2295" t="inlineStr">
        <is>
          <t>UPPSALA LÄN</t>
        </is>
      </c>
      <c r="G2295" t="inlineStr">
        <is>
          <t>TIERP</t>
        </is>
      </c>
      <c r="H2295" t="inlineStr">
        <is>
          <t>Bergvik skog öst AB</t>
        </is>
      </c>
      <c r="I2295" t="n">
        <v>2.5</v>
      </c>
      <c r="J2295" t="n">
        <v>0</v>
      </c>
      <c r="K2295" t="n">
        <v>0</v>
      </c>
      <c r="L2295" t="n">
        <v>0</v>
      </c>
      <c r="M2295" t="n">
        <v>0</v>
      </c>
      <c r="N2295" t="n">
        <v>0</v>
      </c>
      <c r="O2295" t="n">
        <v>0</v>
      </c>
      <c r="P2295" t="n">
        <v>0</v>
      </c>
      <c r="Q2295" t="n">
        <v>0</v>
      </c>
      <c r="R2295" t="n">
        <v>0</v>
      </c>
      <c r="S2295" t="n">
        <v>0</v>
      </c>
      <c r="T2295" t="n">
        <v>0</v>
      </c>
      <c r="U2295" t="n">
        <v>0</v>
      </c>
      <c r="V2295" s="2" t="inlineStr"/>
    </row>
    <row r="2296" ht="15" customHeight="1">
      <c r="A2296" t="inlineStr">
        <is>
          <t>A 24098-2024</t>
        </is>
      </c>
      <c r="B2296" t="inlineStr">
        <is>
          <t>avverkningsanmälan</t>
        </is>
      </c>
      <c r="C2296" t="inlineStr">
        <is>
          <t>Föryngringsavverkning</t>
        </is>
      </c>
      <c r="D2296" s="1" t="n">
        <v>45456</v>
      </c>
      <c r="E2296" s="1" t="n">
        <v>46309</v>
      </c>
      <c r="F2296" t="inlineStr">
        <is>
          <t>UPPSALA LÄN</t>
        </is>
      </c>
      <c r="G2296" t="inlineStr">
        <is>
          <t>UPPSALA</t>
        </is>
      </c>
      <c r="I2296" t="n">
        <v>2.2</v>
      </c>
      <c r="J2296" t="n">
        <v>0</v>
      </c>
      <c r="K2296" t="n">
        <v>0</v>
      </c>
      <c r="L2296" t="n">
        <v>0</v>
      </c>
      <c r="M2296" t="n">
        <v>0</v>
      </c>
      <c r="N2296" t="n">
        <v>0</v>
      </c>
      <c r="O2296" t="n">
        <v>0</v>
      </c>
      <c r="P2296" t="n">
        <v>0</v>
      </c>
      <c r="Q2296" t="n">
        <v>0</v>
      </c>
      <c r="R2296" t="n">
        <v>0</v>
      </c>
      <c r="S2296" t="n">
        <v>0</v>
      </c>
      <c r="T2296" t="n">
        <v>0</v>
      </c>
      <c r="U2296" t="n">
        <v>0</v>
      </c>
      <c r="V2296" s="2" t="inlineStr"/>
    </row>
    <row r="2297" ht="15" customHeight="1">
      <c r="A2297" t="inlineStr">
        <is>
          <t>A 74436-2021</t>
        </is>
      </c>
      <c r="B2297" t="inlineStr">
        <is>
          <t>avverkningsanmälan</t>
        </is>
      </c>
      <c r="C2297" t="inlineStr">
        <is>
          <t>Föryngringsavverkning</t>
        </is>
      </c>
      <c r="D2297" s="1" t="n">
        <v>44560</v>
      </c>
      <c r="E2297" s="1" t="n">
        <v>46309</v>
      </c>
      <c r="F2297" t="inlineStr">
        <is>
          <t>UPPSALA LÄN</t>
        </is>
      </c>
      <c r="G2297" t="inlineStr">
        <is>
          <t>ÖSTHAMMAR</t>
        </is>
      </c>
      <c r="H2297" t="inlineStr">
        <is>
          <t>Bergvik skog öst AB</t>
        </is>
      </c>
      <c r="I2297" t="n">
        <v>1</v>
      </c>
      <c r="J2297" t="n">
        <v>0</v>
      </c>
      <c r="K2297" t="n">
        <v>0</v>
      </c>
      <c r="L2297" t="n">
        <v>0</v>
      </c>
      <c r="M2297" t="n">
        <v>0</v>
      </c>
      <c r="N2297" t="n">
        <v>0</v>
      </c>
      <c r="O2297" t="n">
        <v>0</v>
      </c>
      <c r="P2297" t="n">
        <v>0</v>
      </c>
      <c r="Q2297" t="n">
        <v>0</v>
      </c>
      <c r="R2297" t="n">
        <v>0</v>
      </c>
      <c r="S2297" t="n">
        <v>0</v>
      </c>
      <c r="T2297" t="n">
        <v>0</v>
      </c>
      <c r="U2297" t="n">
        <v>0</v>
      </c>
      <c r="V2297" s="2" t="inlineStr"/>
    </row>
    <row r="2298" ht="15" customHeight="1">
      <c r="A2298" t="inlineStr">
        <is>
          <t>A 4055-2026</t>
        </is>
      </c>
      <c r="B2298" t="inlineStr">
        <is>
          <t>avverkningsanmälan</t>
        </is>
      </c>
      <c r="C2298" t="inlineStr">
        <is>
          <t>Föryngringsavverkning</t>
        </is>
      </c>
      <c r="D2298" s="1" t="n">
        <v>46044</v>
      </c>
      <c r="E2298" s="1" t="n">
        <v>46309</v>
      </c>
      <c r="F2298" t="inlineStr">
        <is>
          <t>UPPSALA LÄN</t>
        </is>
      </c>
      <c r="G2298" t="inlineStr">
        <is>
          <t>TIERP</t>
        </is>
      </c>
      <c r="I2298" t="n">
        <v>5.3</v>
      </c>
      <c r="J2298" t="n">
        <v>0</v>
      </c>
      <c r="K2298" t="n">
        <v>0</v>
      </c>
      <c r="L2298" t="n">
        <v>0</v>
      </c>
      <c r="M2298" t="n">
        <v>0</v>
      </c>
      <c r="N2298" t="n">
        <v>0</v>
      </c>
      <c r="O2298" t="n">
        <v>0</v>
      </c>
      <c r="P2298" t="n">
        <v>0</v>
      </c>
      <c r="Q2298" t="n">
        <v>0</v>
      </c>
      <c r="R2298" t="n">
        <v>0</v>
      </c>
      <c r="S2298" t="n">
        <v>0</v>
      </c>
      <c r="T2298" t="n">
        <v>0</v>
      </c>
      <c r="U2298" t="n">
        <v>0</v>
      </c>
      <c r="V2298" s="2" t="inlineStr"/>
    </row>
    <row r="2299" ht="15" customHeight="1">
      <c r="A2299" t="inlineStr">
        <is>
          <t>A 16404-2023</t>
        </is>
      </c>
      <c r="B2299" t="inlineStr">
        <is>
          <t>avverkningsanmälan</t>
        </is>
      </c>
      <c r="C2299" t="inlineStr">
        <is>
          <t>Föryngringsavverkning</t>
        </is>
      </c>
      <c r="D2299" s="1" t="n">
        <v>45029</v>
      </c>
      <c r="E2299" s="1" t="n">
        <v>46309</v>
      </c>
      <c r="F2299" t="inlineStr">
        <is>
          <t>UPPSALA LÄN</t>
        </is>
      </c>
      <c r="G2299" t="inlineStr">
        <is>
          <t>HEBY</t>
        </is>
      </c>
      <c r="I2299" t="n">
        <v>0.3</v>
      </c>
      <c r="J2299" t="n">
        <v>0</v>
      </c>
      <c r="K2299" t="n">
        <v>0</v>
      </c>
      <c r="L2299" t="n">
        <v>0</v>
      </c>
      <c r="M2299" t="n">
        <v>0</v>
      </c>
      <c r="N2299" t="n">
        <v>0</v>
      </c>
      <c r="O2299" t="n">
        <v>0</v>
      </c>
      <c r="P2299" t="n">
        <v>0</v>
      </c>
      <c r="Q2299" t="n">
        <v>0</v>
      </c>
      <c r="R2299" t="n">
        <v>0</v>
      </c>
      <c r="S2299" t="n">
        <v>0</v>
      </c>
      <c r="T2299" t="n">
        <v>0</v>
      </c>
      <c r="U2299" t="n">
        <v>0</v>
      </c>
      <c r="V2299" s="2" t="inlineStr"/>
    </row>
    <row r="2300" ht="15" customHeight="1">
      <c r="A2300" t="inlineStr">
        <is>
          <t>A 4531-2023</t>
        </is>
      </c>
      <c r="B2300" t="inlineStr">
        <is>
          <t>avverkningsanmälan</t>
        </is>
      </c>
      <c r="C2300" t="inlineStr">
        <is>
          <t>Föryngringsavverkning</t>
        </is>
      </c>
      <c r="D2300" s="1" t="n">
        <v>44956</v>
      </c>
      <c r="E2300" s="1" t="n">
        <v>46309</v>
      </c>
      <c r="F2300" t="inlineStr">
        <is>
          <t>UPPSALA LÄN</t>
        </is>
      </c>
      <c r="G2300" t="inlineStr">
        <is>
          <t>TIERP</t>
        </is>
      </c>
      <c r="I2300" t="n">
        <v>1.6</v>
      </c>
      <c r="J2300" t="n">
        <v>0</v>
      </c>
      <c r="K2300" t="n">
        <v>0</v>
      </c>
      <c r="L2300" t="n">
        <v>0</v>
      </c>
      <c r="M2300" t="n">
        <v>0</v>
      </c>
      <c r="N2300" t="n">
        <v>0</v>
      </c>
      <c r="O2300" t="n">
        <v>0</v>
      </c>
      <c r="P2300" t="n">
        <v>0</v>
      </c>
      <c r="Q2300" t="n">
        <v>0</v>
      </c>
      <c r="R2300" t="n">
        <v>0</v>
      </c>
      <c r="S2300" t="n">
        <v>0</v>
      </c>
      <c r="T2300" t="n">
        <v>0</v>
      </c>
      <c r="U2300" t="n">
        <v>0</v>
      </c>
      <c r="V2300" s="2" t="inlineStr"/>
    </row>
    <row r="2301" ht="15" customHeight="1">
      <c r="A2301" t="inlineStr">
        <is>
          <t>A 534-2026</t>
        </is>
      </c>
      <c r="B2301" t="inlineStr">
        <is>
          <t>avverkningsanmälan</t>
        </is>
      </c>
      <c r="C2301" t="inlineStr">
        <is>
          <t>Föryngringsavverkning</t>
        </is>
      </c>
      <c r="D2301" s="1" t="n">
        <v>46029</v>
      </c>
      <c r="E2301" s="1" t="n">
        <v>46309</v>
      </c>
      <c r="F2301" t="inlineStr">
        <is>
          <t>UPPSALA LÄN</t>
        </is>
      </c>
      <c r="G2301" t="inlineStr">
        <is>
          <t>TIERP</t>
        </is>
      </c>
      <c r="I2301" t="n">
        <v>2.4</v>
      </c>
      <c r="J2301" t="n">
        <v>0</v>
      </c>
      <c r="K2301" t="n">
        <v>0</v>
      </c>
      <c r="L2301" t="n">
        <v>0</v>
      </c>
      <c r="M2301" t="n">
        <v>0</v>
      </c>
      <c r="N2301" t="n">
        <v>0</v>
      </c>
      <c r="O2301" t="n">
        <v>0</v>
      </c>
      <c r="P2301" t="n">
        <v>0</v>
      </c>
      <c r="Q2301" t="n">
        <v>0</v>
      </c>
      <c r="R2301" t="n">
        <v>0</v>
      </c>
      <c r="S2301" t="n">
        <v>0</v>
      </c>
      <c r="T2301" t="n">
        <v>0</v>
      </c>
      <c r="U2301" t="n">
        <v>0</v>
      </c>
      <c r="V2301" s="2" t="inlineStr"/>
    </row>
    <row r="2302" ht="15" customHeight="1">
      <c r="A2302" t="inlineStr">
        <is>
          <t>A 42564-2024</t>
        </is>
      </c>
      <c r="B2302" t="inlineStr">
        <is>
          <t>avverkningsanmälan</t>
        </is>
      </c>
      <c r="C2302" t="inlineStr">
        <is>
          <t>Föryngringsavverkning</t>
        </is>
      </c>
      <c r="D2302" s="1" t="n">
        <v>45565</v>
      </c>
      <c r="E2302" s="1" t="n">
        <v>46309</v>
      </c>
      <c r="F2302" t="inlineStr">
        <is>
          <t>UPPSALA LÄN</t>
        </is>
      </c>
      <c r="G2302" t="inlineStr">
        <is>
          <t>ENKÖPING</t>
        </is>
      </c>
      <c r="I2302" t="n">
        <v>1.7</v>
      </c>
      <c r="J2302" t="n">
        <v>0</v>
      </c>
      <c r="K2302" t="n">
        <v>0</v>
      </c>
      <c r="L2302" t="n">
        <v>0</v>
      </c>
      <c r="M2302" t="n">
        <v>0</v>
      </c>
      <c r="N2302" t="n">
        <v>0</v>
      </c>
      <c r="O2302" t="n">
        <v>0</v>
      </c>
      <c r="P2302" t="n">
        <v>0</v>
      </c>
      <c r="Q2302" t="n">
        <v>0</v>
      </c>
      <c r="R2302" t="n">
        <v>0</v>
      </c>
      <c r="S2302" t="n">
        <v>0</v>
      </c>
      <c r="T2302" t="n">
        <v>0</v>
      </c>
      <c r="U2302" t="n">
        <v>0</v>
      </c>
      <c r="V2302" s="2" t="inlineStr"/>
    </row>
    <row r="2303" ht="15" customHeight="1">
      <c r="A2303" t="inlineStr">
        <is>
          <t>A 54724-2025</t>
        </is>
      </c>
      <c r="B2303" t="inlineStr">
        <is>
          <t>avverkningsanmälan</t>
        </is>
      </c>
      <c r="C2303" t="inlineStr">
        <is>
          <t>Föryngringsavverkning</t>
        </is>
      </c>
      <c r="D2303" s="1" t="n">
        <v>45966</v>
      </c>
      <c r="E2303" s="1" t="n">
        <v>46309</v>
      </c>
      <c r="F2303" t="inlineStr">
        <is>
          <t>UPPSALA LÄN</t>
        </is>
      </c>
      <c r="G2303" t="inlineStr">
        <is>
          <t>UPPSALA</t>
        </is>
      </c>
      <c r="H2303" t="inlineStr">
        <is>
          <t>Bergvik skog öst AB</t>
        </is>
      </c>
      <c r="I2303" t="n">
        <v>3.9</v>
      </c>
      <c r="J2303" t="n">
        <v>0</v>
      </c>
      <c r="K2303" t="n">
        <v>0</v>
      </c>
      <c r="L2303" t="n">
        <v>0</v>
      </c>
      <c r="M2303" t="n">
        <v>0</v>
      </c>
      <c r="N2303" t="n">
        <v>0</v>
      </c>
      <c r="O2303" t="n">
        <v>0</v>
      </c>
      <c r="P2303" t="n">
        <v>0</v>
      </c>
      <c r="Q2303" t="n">
        <v>0</v>
      </c>
      <c r="R2303" t="n">
        <v>0</v>
      </c>
      <c r="S2303" t="n">
        <v>0</v>
      </c>
      <c r="T2303" t="n">
        <v>0</v>
      </c>
      <c r="U2303" t="n">
        <v>0</v>
      </c>
      <c r="V2303" s="2" t="inlineStr"/>
    </row>
    <row r="2304" ht="15" customHeight="1">
      <c r="A2304" t="inlineStr">
        <is>
          <t>A 19376-2024</t>
        </is>
      </c>
      <c r="B2304" t="inlineStr">
        <is>
          <t>avverkningsanmälan</t>
        </is>
      </c>
      <c r="C2304" t="inlineStr">
        <is>
          <t>Föryngringsavverkning</t>
        </is>
      </c>
      <c r="D2304" s="1" t="n">
        <v>45429</v>
      </c>
      <c r="E2304" s="1" t="n">
        <v>46309</v>
      </c>
      <c r="F2304" t="inlineStr">
        <is>
          <t>UPPSALA LÄN</t>
        </is>
      </c>
      <c r="G2304" t="inlineStr">
        <is>
          <t>ENKÖPING</t>
        </is>
      </c>
      <c r="I2304" t="n">
        <v>1.6</v>
      </c>
      <c r="J2304" t="n">
        <v>0</v>
      </c>
      <c r="K2304" t="n">
        <v>0</v>
      </c>
      <c r="L2304" t="n">
        <v>0</v>
      </c>
      <c r="M2304" t="n">
        <v>0</v>
      </c>
      <c r="N2304" t="n">
        <v>0</v>
      </c>
      <c r="O2304" t="n">
        <v>0</v>
      </c>
      <c r="P2304" t="n">
        <v>0</v>
      </c>
      <c r="Q2304" t="n">
        <v>0</v>
      </c>
      <c r="R2304" t="n">
        <v>0</v>
      </c>
      <c r="S2304" t="n">
        <v>0</v>
      </c>
      <c r="T2304" t="n">
        <v>0</v>
      </c>
      <c r="U2304" t="n">
        <v>0</v>
      </c>
      <c r="V2304" s="2" t="inlineStr"/>
    </row>
    <row r="2305" ht="15" customHeight="1">
      <c r="A2305" t="inlineStr">
        <is>
          <t>A 28862-2025</t>
        </is>
      </c>
      <c r="B2305" t="inlineStr">
        <is>
          <t>avverkningsanmälan</t>
        </is>
      </c>
      <c r="C2305" t="inlineStr">
        <is>
          <t>Föryngringsavverkning</t>
        </is>
      </c>
      <c r="D2305" s="1" t="n">
        <v>45820</v>
      </c>
      <c r="E2305" s="1" t="n">
        <v>46309</v>
      </c>
      <c r="F2305" t="inlineStr">
        <is>
          <t>UPPSALA LÄN</t>
        </is>
      </c>
      <c r="G2305" t="inlineStr">
        <is>
          <t>ENKÖPING</t>
        </is>
      </c>
      <c r="I2305" t="n">
        <v>2.2</v>
      </c>
      <c r="J2305" t="n">
        <v>0</v>
      </c>
      <c r="K2305" t="n">
        <v>0</v>
      </c>
      <c r="L2305" t="n">
        <v>0</v>
      </c>
      <c r="M2305" t="n">
        <v>0</v>
      </c>
      <c r="N2305" t="n">
        <v>0</v>
      </c>
      <c r="O2305" t="n">
        <v>0</v>
      </c>
      <c r="P2305" t="n">
        <v>0</v>
      </c>
      <c r="Q2305" t="n">
        <v>0</v>
      </c>
      <c r="R2305" t="n">
        <v>0</v>
      </c>
      <c r="S2305" t="n">
        <v>0</v>
      </c>
      <c r="T2305" t="n">
        <v>0</v>
      </c>
      <c r="U2305" t="n">
        <v>0</v>
      </c>
      <c r="V2305" s="2" t="inlineStr"/>
    </row>
    <row r="2306" ht="15" customHeight="1">
      <c r="A2306" t="inlineStr">
        <is>
          <t>A 38472-2025</t>
        </is>
      </c>
      <c r="B2306" t="inlineStr">
        <is>
          <t>avverkningsanmälan</t>
        </is>
      </c>
      <c r="C2306" t="inlineStr">
        <is>
          <t>Föryngringsavverkning</t>
        </is>
      </c>
      <c r="D2306" s="1" t="n">
        <v>45884</v>
      </c>
      <c r="E2306" s="1" t="n">
        <v>46309</v>
      </c>
      <c r="F2306" t="inlineStr">
        <is>
          <t>UPPSALA LÄN</t>
        </is>
      </c>
      <c r="G2306" t="inlineStr">
        <is>
          <t>HEBY</t>
        </is>
      </c>
      <c r="I2306" t="n">
        <v>1.3</v>
      </c>
      <c r="J2306" t="n">
        <v>0</v>
      </c>
      <c r="K2306" t="n">
        <v>0</v>
      </c>
      <c r="L2306" t="n">
        <v>0</v>
      </c>
      <c r="M2306" t="n">
        <v>0</v>
      </c>
      <c r="N2306" t="n">
        <v>0</v>
      </c>
      <c r="O2306" t="n">
        <v>0</v>
      </c>
      <c r="P2306" t="n">
        <v>0</v>
      </c>
      <c r="Q2306" t="n">
        <v>0</v>
      </c>
      <c r="R2306" t="n">
        <v>0</v>
      </c>
      <c r="S2306" t="n">
        <v>0</v>
      </c>
      <c r="T2306" t="n">
        <v>0</v>
      </c>
      <c r="U2306" t="n">
        <v>0</v>
      </c>
      <c r="V2306" s="2" t="inlineStr"/>
    </row>
    <row r="2307" ht="15" customHeight="1">
      <c r="A2307" t="inlineStr">
        <is>
          <t>A 32778-2023</t>
        </is>
      </c>
      <c r="B2307" t="inlineStr">
        <is>
          <t>avverkningsanmälan</t>
        </is>
      </c>
      <c r="C2307" t="inlineStr">
        <is>
          <t>Föryngringsavverkning</t>
        </is>
      </c>
      <c r="D2307" s="1" t="n">
        <v>45123</v>
      </c>
      <c r="E2307" s="1" t="n">
        <v>46309</v>
      </c>
      <c r="F2307" t="inlineStr">
        <is>
          <t>UPPSALA LÄN</t>
        </is>
      </c>
      <c r="G2307" t="inlineStr">
        <is>
          <t>ÖSTHAMMAR</t>
        </is>
      </c>
      <c r="H2307" t="inlineStr">
        <is>
          <t>Bergvik skog öst AB</t>
        </is>
      </c>
      <c r="I2307" t="n">
        <v>1</v>
      </c>
      <c r="J2307" t="n">
        <v>0</v>
      </c>
      <c r="K2307" t="n">
        <v>0</v>
      </c>
      <c r="L2307" t="n">
        <v>0</v>
      </c>
      <c r="M2307" t="n">
        <v>0</v>
      </c>
      <c r="N2307" t="n">
        <v>0</v>
      </c>
      <c r="O2307" t="n">
        <v>0</v>
      </c>
      <c r="P2307" t="n">
        <v>0</v>
      </c>
      <c r="Q2307" t="n">
        <v>0</v>
      </c>
      <c r="R2307" t="n">
        <v>0</v>
      </c>
      <c r="S2307" t="n">
        <v>0</v>
      </c>
      <c r="T2307" t="n">
        <v>0</v>
      </c>
      <c r="U2307" t="n">
        <v>0</v>
      </c>
      <c r="V2307" s="2" t="inlineStr"/>
    </row>
    <row r="2308" ht="15" customHeight="1">
      <c r="A2308" t="inlineStr">
        <is>
          <t>A 7352-2023</t>
        </is>
      </c>
      <c r="B2308" t="inlineStr">
        <is>
          <t>avverkningsanmälan</t>
        </is>
      </c>
      <c r="C2308" t="inlineStr">
        <is>
          <t>Föryngringsavverkning</t>
        </is>
      </c>
      <c r="D2308" s="1" t="n">
        <v>44966</v>
      </c>
      <c r="E2308" s="1" t="n">
        <v>46309</v>
      </c>
      <c r="F2308" t="inlineStr">
        <is>
          <t>UPPSALA LÄN</t>
        </is>
      </c>
      <c r="G2308" t="inlineStr">
        <is>
          <t>TIERP</t>
        </is>
      </c>
      <c r="I2308" t="n">
        <v>3.5</v>
      </c>
      <c r="J2308" t="n">
        <v>0</v>
      </c>
      <c r="K2308" t="n">
        <v>0</v>
      </c>
      <c r="L2308" t="n">
        <v>0</v>
      </c>
      <c r="M2308" t="n">
        <v>0</v>
      </c>
      <c r="N2308" t="n">
        <v>0</v>
      </c>
      <c r="O2308" t="n">
        <v>0</v>
      </c>
      <c r="P2308" t="n">
        <v>0</v>
      </c>
      <c r="Q2308" t="n">
        <v>0</v>
      </c>
      <c r="R2308" t="n">
        <v>0</v>
      </c>
      <c r="S2308" t="n">
        <v>0</v>
      </c>
      <c r="T2308" t="n">
        <v>0</v>
      </c>
      <c r="U2308" t="n">
        <v>0</v>
      </c>
      <c r="V2308" s="2" t="inlineStr"/>
    </row>
    <row r="2309" ht="15" customHeight="1">
      <c r="A2309" t="inlineStr">
        <is>
          <t>A 58969-2025</t>
        </is>
      </c>
      <c r="B2309" t="inlineStr">
        <is>
          <t>avverkningsanmälan</t>
        </is>
      </c>
      <c r="C2309" t="inlineStr">
        <is>
          <t>Föryngringsavverkning</t>
        </is>
      </c>
      <c r="D2309" s="1" t="n">
        <v>45987</v>
      </c>
      <c r="E2309" s="1" t="n">
        <v>46309</v>
      </c>
      <c r="F2309" t="inlineStr">
        <is>
          <t>UPPSALA LÄN</t>
        </is>
      </c>
      <c r="G2309" t="inlineStr">
        <is>
          <t>TIERP</t>
        </is>
      </c>
      <c r="H2309" t="inlineStr">
        <is>
          <t>Bergvik skog öst AB</t>
        </is>
      </c>
      <c r="I2309" t="n">
        <v>3</v>
      </c>
      <c r="J2309" t="n">
        <v>0</v>
      </c>
      <c r="K2309" t="n">
        <v>0</v>
      </c>
      <c r="L2309" t="n">
        <v>0</v>
      </c>
      <c r="M2309" t="n">
        <v>0</v>
      </c>
      <c r="N2309" t="n">
        <v>0</v>
      </c>
      <c r="O2309" t="n">
        <v>0</v>
      </c>
      <c r="P2309" t="n">
        <v>0</v>
      </c>
      <c r="Q2309" t="n">
        <v>0</v>
      </c>
      <c r="R2309" t="n">
        <v>0</v>
      </c>
      <c r="S2309" t="n">
        <v>0</v>
      </c>
      <c r="T2309" t="n">
        <v>0</v>
      </c>
      <c r="U2309" t="n">
        <v>0</v>
      </c>
      <c r="V2309" s="2" t="inlineStr"/>
    </row>
    <row r="2310" ht="15" customHeight="1">
      <c r="A2310" t="inlineStr">
        <is>
          <t>A 963-2022</t>
        </is>
      </c>
      <c r="B2310" t="inlineStr">
        <is>
          <t>avverkningsanmälan</t>
        </is>
      </c>
      <c r="C2310" t="inlineStr">
        <is>
          <t>Föryngringsavverkning</t>
        </is>
      </c>
      <c r="D2310" s="1" t="n">
        <v>44568</v>
      </c>
      <c r="E2310" s="1" t="n">
        <v>46309</v>
      </c>
      <c r="F2310" t="inlineStr">
        <is>
          <t>UPPSALA LÄN</t>
        </is>
      </c>
      <c r="G2310" t="inlineStr">
        <is>
          <t>HEBY</t>
        </is>
      </c>
      <c r="I2310" t="n">
        <v>4.7</v>
      </c>
      <c r="J2310" t="n">
        <v>0</v>
      </c>
      <c r="K2310" t="n">
        <v>0</v>
      </c>
      <c r="L2310" t="n">
        <v>0</v>
      </c>
      <c r="M2310" t="n">
        <v>0</v>
      </c>
      <c r="N2310" t="n">
        <v>0</v>
      </c>
      <c r="O2310" t="n">
        <v>0</v>
      </c>
      <c r="P2310" t="n">
        <v>0</v>
      </c>
      <c r="Q2310" t="n">
        <v>0</v>
      </c>
      <c r="R2310" t="n">
        <v>0</v>
      </c>
      <c r="S2310" t="n">
        <v>0</v>
      </c>
      <c r="T2310" t="n">
        <v>0</v>
      </c>
      <c r="U2310" t="n">
        <v>0</v>
      </c>
      <c r="V2310" s="2" t="inlineStr"/>
    </row>
    <row r="2311" ht="15" customHeight="1">
      <c r="A2311" t="inlineStr">
        <is>
          <t>A 41444-2025</t>
        </is>
      </c>
      <c r="B2311" t="inlineStr">
        <is>
          <t>avverkningsanmälan</t>
        </is>
      </c>
      <c r="C2311" t="inlineStr">
        <is>
          <t>Föryngringsavverkning</t>
        </is>
      </c>
      <c r="D2311" s="1" t="n">
        <v>45901</v>
      </c>
      <c r="E2311" s="1" t="n">
        <v>46309</v>
      </c>
      <c r="F2311" t="inlineStr">
        <is>
          <t>UPPSALA LÄN</t>
        </is>
      </c>
      <c r="G2311" t="inlineStr">
        <is>
          <t>UPPSALA</t>
        </is>
      </c>
      <c r="H2311" t="inlineStr">
        <is>
          <t>Kyrkan</t>
        </is>
      </c>
      <c r="I2311" t="n">
        <v>4.5</v>
      </c>
      <c r="J2311" t="n">
        <v>0</v>
      </c>
      <c r="K2311" t="n">
        <v>0</v>
      </c>
      <c r="L2311" t="n">
        <v>0</v>
      </c>
      <c r="M2311" t="n">
        <v>0</v>
      </c>
      <c r="N2311" t="n">
        <v>0</v>
      </c>
      <c r="O2311" t="n">
        <v>0</v>
      </c>
      <c r="P2311" t="n">
        <v>0</v>
      </c>
      <c r="Q2311" t="n">
        <v>0</v>
      </c>
      <c r="R2311" t="n">
        <v>0</v>
      </c>
      <c r="S2311" t="n">
        <v>0</v>
      </c>
      <c r="T2311" t="n">
        <v>0</v>
      </c>
      <c r="U2311" t="n">
        <v>0</v>
      </c>
      <c r="V2311" s="2" t="inlineStr"/>
    </row>
    <row r="2312" ht="15" customHeight="1">
      <c r="A2312" t="inlineStr">
        <is>
          <t>A 33670-2024</t>
        </is>
      </c>
      <c r="B2312" t="inlineStr">
        <is>
          <t>avverkningsanmälan</t>
        </is>
      </c>
      <c r="C2312" t="inlineStr">
        <is>
          <t>Föryngringsavverkning</t>
        </is>
      </c>
      <c r="D2312" s="1" t="n">
        <v>45520</v>
      </c>
      <c r="E2312" s="1" t="n">
        <v>46309</v>
      </c>
      <c r="F2312" t="inlineStr">
        <is>
          <t>UPPSALA LÄN</t>
        </is>
      </c>
      <c r="G2312" t="inlineStr">
        <is>
          <t>ENKÖPING</t>
        </is>
      </c>
      <c r="I2312" t="n">
        <v>1.9</v>
      </c>
      <c r="J2312" t="n">
        <v>0</v>
      </c>
      <c r="K2312" t="n">
        <v>0</v>
      </c>
      <c r="L2312" t="n">
        <v>0</v>
      </c>
      <c r="M2312" t="n">
        <v>0</v>
      </c>
      <c r="N2312" t="n">
        <v>0</v>
      </c>
      <c r="O2312" t="n">
        <v>0</v>
      </c>
      <c r="P2312" t="n">
        <v>0</v>
      </c>
      <c r="Q2312" t="n">
        <v>0</v>
      </c>
      <c r="R2312" t="n">
        <v>0</v>
      </c>
      <c r="S2312" t="n">
        <v>0</v>
      </c>
      <c r="T2312" t="n">
        <v>0</v>
      </c>
      <c r="U2312" t="n">
        <v>0</v>
      </c>
      <c r="V2312" s="2" t="inlineStr"/>
    </row>
    <row r="2313" ht="15" customHeight="1">
      <c r="A2313" t="inlineStr">
        <is>
          <t>A 33680-2024</t>
        </is>
      </c>
      <c r="B2313" t="inlineStr">
        <is>
          <t>avverkningsanmälan</t>
        </is>
      </c>
      <c r="C2313" t="inlineStr">
        <is>
          <t>Föryngringsavverkning</t>
        </is>
      </c>
      <c r="D2313" s="1" t="n">
        <v>45520</v>
      </c>
      <c r="E2313" s="1" t="n">
        <v>46309</v>
      </c>
      <c r="F2313" t="inlineStr">
        <is>
          <t>UPPSALA LÄN</t>
        </is>
      </c>
      <c r="G2313" t="inlineStr">
        <is>
          <t>ÖSTHAMMAR</t>
        </is>
      </c>
      <c r="H2313" t="inlineStr">
        <is>
          <t>Bergvik skog öst AB</t>
        </is>
      </c>
      <c r="I2313" t="n">
        <v>0.5</v>
      </c>
      <c r="J2313" t="n">
        <v>0</v>
      </c>
      <c r="K2313" t="n">
        <v>0</v>
      </c>
      <c r="L2313" t="n">
        <v>0</v>
      </c>
      <c r="M2313" t="n">
        <v>0</v>
      </c>
      <c r="N2313" t="n">
        <v>0</v>
      </c>
      <c r="O2313" t="n">
        <v>0</v>
      </c>
      <c r="P2313" t="n">
        <v>0</v>
      </c>
      <c r="Q2313" t="n">
        <v>0</v>
      </c>
      <c r="R2313" t="n">
        <v>0</v>
      </c>
      <c r="S2313" t="n">
        <v>0</v>
      </c>
      <c r="T2313" t="n">
        <v>0</v>
      </c>
      <c r="U2313" t="n">
        <v>0</v>
      </c>
      <c r="V2313" s="2" t="inlineStr"/>
    </row>
    <row r="2314" ht="15" customHeight="1">
      <c r="A2314" t="inlineStr">
        <is>
          <t>A 31956-2025</t>
        </is>
      </c>
      <c r="B2314" t="inlineStr">
        <is>
          <t>avverkningsanmälan</t>
        </is>
      </c>
      <c r="C2314" t="inlineStr">
        <is>
          <t>Föryngringsavverkning</t>
        </is>
      </c>
      <c r="D2314" s="1" t="n">
        <v>45835</v>
      </c>
      <c r="E2314" s="1" t="n">
        <v>46309</v>
      </c>
      <c r="F2314" t="inlineStr">
        <is>
          <t>UPPSALA LÄN</t>
        </is>
      </c>
      <c r="G2314" t="inlineStr">
        <is>
          <t>ÖSTHAMMAR</t>
        </is>
      </c>
      <c r="H2314" t="inlineStr">
        <is>
          <t>Övriga Aktiebolag</t>
        </is>
      </c>
      <c r="I2314" t="n">
        <v>4.2</v>
      </c>
      <c r="J2314" t="n">
        <v>0</v>
      </c>
      <c r="K2314" t="n">
        <v>0</v>
      </c>
      <c r="L2314" t="n">
        <v>0</v>
      </c>
      <c r="M2314" t="n">
        <v>0</v>
      </c>
      <c r="N2314" t="n">
        <v>0</v>
      </c>
      <c r="O2314" t="n">
        <v>0</v>
      </c>
      <c r="P2314" t="n">
        <v>0</v>
      </c>
      <c r="Q2314" t="n">
        <v>0</v>
      </c>
      <c r="R2314" t="n">
        <v>0</v>
      </c>
      <c r="S2314" t="n">
        <v>0</v>
      </c>
      <c r="T2314" t="n">
        <v>0</v>
      </c>
      <c r="U2314" t="n">
        <v>0</v>
      </c>
      <c r="V2314" s="2" t="inlineStr"/>
    </row>
    <row r="2315" ht="15" customHeight="1">
      <c r="A2315" t="inlineStr">
        <is>
          <t>A 27879-2023</t>
        </is>
      </c>
      <c r="B2315" t="inlineStr">
        <is>
          <t>avverkningsanmälan</t>
        </is>
      </c>
      <c r="C2315" t="inlineStr">
        <is>
          <t>Föryngringsavverkning</t>
        </is>
      </c>
      <c r="D2315" s="1" t="n">
        <v>45098</v>
      </c>
      <c r="E2315" s="1" t="n">
        <v>46309</v>
      </c>
      <c r="F2315" t="inlineStr">
        <is>
          <t>UPPSALA LÄN</t>
        </is>
      </c>
      <c r="G2315" t="inlineStr">
        <is>
          <t>HEBY</t>
        </is>
      </c>
      <c r="I2315" t="n">
        <v>0.5</v>
      </c>
      <c r="J2315" t="n">
        <v>0</v>
      </c>
      <c r="K2315" t="n">
        <v>0</v>
      </c>
      <c r="L2315" t="n">
        <v>0</v>
      </c>
      <c r="M2315" t="n">
        <v>0</v>
      </c>
      <c r="N2315" t="n">
        <v>0</v>
      </c>
      <c r="O2315" t="n">
        <v>0</v>
      </c>
      <c r="P2315" t="n">
        <v>0</v>
      </c>
      <c r="Q2315" t="n">
        <v>0</v>
      </c>
      <c r="R2315" t="n">
        <v>0</v>
      </c>
      <c r="S2315" t="n">
        <v>0</v>
      </c>
      <c r="T2315" t="n">
        <v>0</v>
      </c>
      <c r="U2315" t="n">
        <v>0</v>
      </c>
      <c r="V2315" s="2" t="inlineStr"/>
    </row>
    <row r="2316" ht="15" customHeight="1">
      <c r="A2316" t="inlineStr">
        <is>
          <t>A 37410-2023</t>
        </is>
      </c>
      <c r="B2316" t="inlineStr">
        <is>
          <t>avverkningsanmälan</t>
        </is>
      </c>
      <c r="C2316" t="inlineStr">
        <is>
          <t>Föryngringsavverkning</t>
        </is>
      </c>
      <c r="D2316" s="1" t="n">
        <v>45155</v>
      </c>
      <c r="E2316" s="1" t="n">
        <v>46309</v>
      </c>
      <c r="F2316" t="inlineStr">
        <is>
          <t>UPPSALA LÄN</t>
        </is>
      </c>
      <c r="G2316" t="inlineStr">
        <is>
          <t>HÅBO</t>
        </is>
      </c>
      <c r="I2316" t="n">
        <v>20.9</v>
      </c>
      <c r="J2316" t="n">
        <v>0</v>
      </c>
      <c r="K2316" t="n">
        <v>0</v>
      </c>
      <c r="L2316" t="n">
        <v>0</v>
      </c>
      <c r="M2316" t="n">
        <v>0</v>
      </c>
      <c r="N2316" t="n">
        <v>0</v>
      </c>
      <c r="O2316" t="n">
        <v>0</v>
      </c>
      <c r="P2316" t="n">
        <v>0</v>
      </c>
      <c r="Q2316" t="n">
        <v>0</v>
      </c>
      <c r="R2316" t="n">
        <v>0</v>
      </c>
      <c r="S2316" t="n">
        <v>0</v>
      </c>
      <c r="T2316" t="n">
        <v>0</v>
      </c>
      <c r="U2316" t="n">
        <v>0</v>
      </c>
      <c r="V2316" s="2" t="inlineStr"/>
    </row>
    <row r="2317" ht="15" customHeight="1">
      <c r="A2317" t="inlineStr">
        <is>
          <t>A 1629-2024</t>
        </is>
      </c>
      <c r="B2317" t="inlineStr">
        <is>
          <t>avverkningsanmälan</t>
        </is>
      </c>
      <c r="C2317" t="inlineStr">
        <is>
          <t>Föryngringsavverkning</t>
        </is>
      </c>
      <c r="D2317" s="1" t="n">
        <v>45306</v>
      </c>
      <c r="E2317" s="1" t="n">
        <v>46309</v>
      </c>
      <c r="F2317" t="inlineStr">
        <is>
          <t>UPPSALA LÄN</t>
        </is>
      </c>
      <c r="G2317" t="inlineStr">
        <is>
          <t>KNIVSTA</t>
        </is>
      </c>
      <c r="H2317" t="inlineStr">
        <is>
          <t>Holmen skog AB</t>
        </is>
      </c>
      <c r="I2317" t="n">
        <v>3.6</v>
      </c>
      <c r="J2317" t="n">
        <v>0</v>
      </c>
      <c r="K2317" t="n">
        <v>0</v>
      </c>
      <c r="L2317" t="n">
        <v>0</v>
      </c>
      <c r="M2317" t="n">
        <v>0</v>
      </c>
      <c r="N2317" t="n">
        <v>0</v>
      </c>
      <c r="O2317" t="n">
        <v>0</v>
      </c>
      <c r="P2317" t="n">
        <v>0</v>
      </c>
      <c r="Q2317" t="n">
        <v>0</v>
      </c>
      <c r="R2317" t="n">
        <v>0</v>
      </c>
      <c r="S2317" t="n">
        <v>0</v>
      </c>
      <c r="T2317" t="n">
        <v>0</v>
      </c>
      <c r="U2317" t="n">
        <v>0</v>
      </c>
      <c r="V2317" s="2" t="inlineStr"/>
    </row>
    <row r="2318" ht="15" customHeight="1">
      <c r="A2318" t="inlineStr">
        <is>
          <t>A 43691-2024</t>
        </is>
      </c>
      <c r="B2318" t="inlineStr">
        <is>
          <t>avverkningsanmälan</t>
        </is>
      </c>
      <c r="C2318" t="inlineStr">
        <is>
          <t>Föryngringsavverkning</t>
        </is>
      </c>
      <c r="D2318" s="1" t="n">
        <v>45569</v>
      </c>
      <c r="E2318" s="1" t="n">
        <v>46309</v>
      </c>
      <c r="F2318" t="inlineStr">
        <is>
          <t>UPPSALA LÄN</t>
        </is>
      </c>
      <c r="G2318" t="inlineStr">
        <is>
          <t>ENKÖPING</t>
        </is>
      </c>
      <c r="I2318" t="n">
        <v>1.8</v>
      </c>
      <c r="J2318" t="n">
        <v>0</v>
      </c>
      <c r="K2318" t="n">
        <v>0</v>
      </c>
      <c r="L2318" t="n">
        <v>0</v>
      </c>
      <c r="M2318" t="n">
        <v>0</v>
      </c>
      <c r="N2318" t="n">
        <v>0</v>
      </c>
      <c r="O2318" t="n">
        <v>0</v>
      </c>
      <c r="P2318" t="n">
        <v>0</v>
      </c>
      <c r="Q2318" t="n">
        <v>0</v>
      </c>
      <c r="R2318" t="n">
        <v>0</v>
      </c>
      <c r="S2318" t="n">
        <v>0</v>
      </c>
      <c r="T2318" t="n">
        <v>0</v>
      </c>
      <c r="U2318" t="n">
        <v>0</v>
      </c>
      <c r="V2318" s="2" t="inlineStr"/>
    </row>
    <row r="2319" ht="15" customHeight="1">
      <c r="A2319" t="inlineStr">
        <is>
          <t>A 43697-2024</t>
        </is>
      </c>
      <c r="B2319" t="inlineStr">
        <is>
          <t>avverkningsanmälan</t>
        </is>
      </c>
      <c r="C2319" t="inlineStr">
        <is>
          <t>Föryngringsavverkning</t>
        </is>
      </c>
      <c r="D2319" s="1" t="n">
        <v>45569</v>
      </c>
      <c r="E2319" s="1" t="n">
        <v>46309</v>
      </c>
      <c r="F2319" t="inlineStr">
        <is>
          <t>UPPSALA LÄN</t>
        </is>
      </c>
      <c r="G2319" t="inlineStr">
        <is>
          <t>ENKÖPING</t>
        </is>
      </c>
      <c r="I2319" t="n">
        <v>2.1</v>
      </c>
      <c r="J2319" t="n">
        <v>0</v>
      </c>
      <c r="K2319" t="n">
        <v>0</v>
      </c>
      <c r="L2319" t="n">
        <v>0</v>
      </c>
      <c r="M2319" t="n">
        <v>0</v>
      </c>
      <c r="N2319" t="n">
        <v>0</v>
      </c>
      <c r="O2319" t="n">
        <v>0</v>
      </c>
      <c r="P2319" t="n">
        <v>0</v>
      </c>
      <c r="Q2319" t="n">
        <v>0</v>
      </c>
      <c r="R2319" t="n">
        <v>0</v>
      </c>
      <c r="S2319" t="n">
        <v>0</v>
      </c>
      <c r="T2319" t="n">
        <v>0</v>
      </c>
      <c r="U2319" t="n">
        <v>0</v>
      </c>
      <c r="V2319" s="2" t="inlineStr"/>
    </row>
    <row r="2320" ht="15" customHeight="1">
      <c r="A2320" t="inlineStr">
        <is>
          <t>A 27352-2025</t>
        </is>
      </c>
      <c r="B2320" t="inlineStr">
        <is>
          <t>avverkningsanmälan</t>
        </is>
      </c>
      <c r="C2320" t="inlineStr">
        <is>
          <t>Föryngringsavverkning</t>
        </is>
      </c>
      <c r="D2320" s="1" t="n">
        <v>45812</v>
      </c>
      <c r="E2320" s="1" t="n">
        <v>46309</v>
      </c>
      <c r="F2320" t="inlineStr">
        <is>
          <t>UPPSALA LÄN</t>
        </is>
      </c>
      <c r="G2320" t="inlineStr">
        <is>
          <t>ÖSTHAMMAR</t>
        </is>
      </c>
      <c r="I2320" t="n">
        <v>2.5</v>
      </c>
      <c r="J2320" t="n">
        <v>0</v>
      </c>
      <c r="K2320" t="n">
        <v>0</v>
      </c>
      <c r="L2320" t="n">
        <v>0</v>
      </c>
      <c r="M2320" t="n">
        <v>0</v>
      </c>
      <c r="N2320" t="n">
        <v>0</v>
      </c>
      <c r="O2320" t="n">
        <v>0</v>
      </c>
      <c r="P2320" t="n">
        <v>0</v>
      </c>
      <c r="Q2320" t="n">
        <v>0</v>
      </c>
      <c r="R2320" t="n">
        <v>0</v>
      </c>
      <c r="S2320" t="n">
        <v>0</v>
      </c>
      <c r="T2320" t="n">
        <v>0</v>
      </c>
      <c r="U2320" t="n">
        <v>0</v>
      </c>
      <c r="V2320" s="2" t="inlineStr"/>
    </row>
    <row r="2321" ht="15" customHeight="1">
      <c r="A2321" t="inlineStr">
        <is>
          <t>A 7944-2023</t>
        </is>
      </c>
      <c r="B2321" t="inlineStr">
        <is>
          <t>avverkningsanmälan</t>
        </is>
      </c>
      <c r="C2321" t="inlineStr">
        <is>
          <t>Föryngringsavverkning</t>
        </is>
      </c>
      <c r="D2321" s="1" t="n">
        <v>44973</v>
      </c>
      <c r="E2321" s="1" t="n">
        <v>46309</v>
      </c>
      <c r="F2321" t="inlineStr">
        <is>
          <t>UPPSALA LÄN</t>
        </is>
      </c>
      <c r="G2321" t="inlineStr">
        <is>
          <t>ÖSTHAMMAR</t>
        </is>
      </c>
      <c r="I2321" t="n">
        <v>4.6</v>
      </c>
      <c r="J2321" t="n">
        <v>0</v>
      </c>
      <c r="K2321" t="n">
        <v>0</v>
      </c>
      <c r="L2321" t="n">
        <v>0</v>
      </c>
      <c r="M2321" t="n">
        <v>0</v>
      </c>
      <c r="N2321" t="n">
        <v>0</v>
      </c>
      <c r="O2321" t="n">
        <v>0</v>
      </c>
      <c r="P2321" t="n">
        <v>0</v>
      </c>
      <c r="Q2321" t="n">
        <v>0</v>
      </c>
      <c r="R2321" t="n">
        <v>0</v>
      </c>
      <c r="S2321" t="n">
        <v>0</v>
      </c>
      <c r="T2321" t="n">
        <v>0</v>
      </c>
      <c r="U2321" t="n">
        <v>0</v>
      </c>
      <c r="V2321" s="2" t="inlineStr"/>
    </row>
    <row r="2322" ht="15" customHeight="1">
      <c r="A2322" t="inlineStr">
        <is>
          <t>A 19147-2024</t>
        </is>
      </c>
      <c r="B2322" t="inlineStr">
        <is>
          <t>avverkningsanmälan</t>
        </is>
      </c>
      <c r="C2322" t="inlineStr">
        <is>
          <t>Föryngringsavverkning</t>
        </is>
      </c>
      <c r="D2322" s="1" t="n">
        <v>45428</v>
      </c>
      <c r="E2322" s="1" t="n">
        <v>46309</v>
      </c>
      <c r="F2322" t="inlineStr">
        <is>
          <t>UPPSALA LÄN</t>
        </is>
      </c>
      <c r="G2322" t="inlineStr">
        <is>
          <t>ENKÖPING</t>
        </is>
      </c>
      <c r="I2322" t="n">
        <v>1.9</v>
      </c>
      <c r="J2322" t="n">
        <v>0</v>
      </c>
      <c r="K2322" t="n">
        <v>0</v>
      </c>
      <c r="L2322" t="n">
        <v>0</v>
      </c>
      <c r="M2322" t="n">
        <v>0</v>
      </c>
      <c r="N2322" t="n">
        <v>0</v>
      </c>
      <c r="O2322" t="n">
        <v>0</v>
      </c>
      <c r="P2322" t="n">
        <v>0</v>
      </c>
      <c r="Q2322" t="n">
        <v>0</v>
      </c>
      <c r="R2322" t="n">
        <v>0</v>
      </c>
      <c r="S2322" t="n">
        <v>0</v>
      </c>
      <c r="T2322" t="n">
        <v>0</v>
      </c>
      <c r="U2322" t="n">
        <v>0</v>
      </c>
      <c r="V2322" s="2" t="inlineStr"/>
    </row>
    <row r="2323" ht="15" customHeight="1">
      <c r="A2323" t="inlineStr">
        <is>
          <t>A 8051-2023</t>
        </is>
      </c>
      <c r="B2323" t="inlineStr">
        <is>
          <t>avverkningsanmälan</t>
        </is>
      </c>
      <c r="C2323" t="inlineStr">
        <is>
          <t>Föryngringsavverkning</t>
        </is>
      </c>
      <c r="D2323" s="1" t="n">
        <v>44974</v>
      </c>
      <c r="E2323" s="1" t="n">
        <v>46309</v>
      </c>
      <c r="F2323" t="inlineStr">
        <is>
          <t>UPPSALA LÄN</t>
        </is>
      </c>
      <c r="G2323" t="inlineStr">
        <is>
          <t>HEBY</t>
        </is>
      </c>
      <c r="I2323" t="n">
        <v>2.3</v>
      </c>
      <c r="J2323" t="n">
        <v>0</v>
      </c>
      <c r="K2323" t="n">
        <v>0</v>
      </c>
      <c r="L2323" t="n">
        <v>0</v>
      </c>
      <c r="M2323" t="n">
        <v>0</v>
      </c>
      <c r="N2323" t="n">
        <v>0</v>
      </c>
      <c r="O2323" t="n">
        <v>0</v>
      </c>
      <c r="P2323" t="n">
        <v>0</v>
      </c>
      <c r="Q2323" t="n">
        <v>0</v>
      </c>
      <c r="R2323" t="n">
        <v>0</v>
      </c>
      <c r="S2323" t="n">
        <v>0</v>
      </c>
      <c r="T2323" t="n">
        <v>0</v>
      </c>
      <c r="U2323" t="n">
        <v>0</v>
      </c>
      <c r="V2323" s="2" t="inlineStr"/>
    </row>
    <row r="2324" ht="15" customHeight="1">
      <c r="A2324" t="inlineStr">
        <is>
          <t>A 35644-2024</t>
        </is>
      </c>
      <c r="B2324" t="inlineStr">
        <is>
          <t>avverkningsanmälan</t>
        </is>
      </c>
      <c r="C2324" t="inlineStr">
        <is>
          <t>Föryngringsavverkning</t>
        </is>
      </c>
      <c r="D2324" s="1" t="n">
        <v>45532</v>
      </c>
      <c r="E2324" s="1" t="n">
        <v>46309</v>
      </c>
      <c r="F2324" t="inlineStr">
        <is>
          <t>UPPSALA LÄN</t>
        </is>
      </c>
      <c r="G2324" t="inlineStr">
        <is>
          <t>HEBY</t>
        </is>
      </c>
      <c r="I2324" t="n">
        <v>1.6</v>
      </c>
      <c r="J2324" t="n">
        <v>0</v>
      </c>
      <c r="K2324" t="n">
        <v>0</v>
      </c>
      <c r="L2324" t="n">
        <v>0</v>
      </c>
      <c r="M2324" t="n">
        <v>0</v>
      </c>
      <c r="N2324" t="n">
        <v>0</v>
      </c>
      <c r="O2324" t="n">
        <v>0</v>
      </c>
      <c r="P2324" t="n">
        <v>0</v>
      </c>
      <c r="Q2324" t="n">
        <v>0</v>
      </c>
      <c r="R2324" t="n">
        <v>0</v>
      </c>
      <c r="S2324" t="n">
        <v>0</v>
      </c>
      <c r="T2324" t="n">
        <v>0</v>
      </c>
      <c r="U2324" t="n">
        <v>0</v>
      </c>
      <c r="V2324" s="2" t="inlineStr"/>
    </row>
    <row r="2325" ht="15" customHeight="1">
      <c r="A2325" t="inlineStr">
        <is>
          <t>A 6989-2022</t>
        </is>
      </c>
      <c r="B2325" t="inlineStr">
        <is>
          <t>avverkningsanmälan</t>
        </is>
      </c>
      <c r="C2325" t="inlineStr">
        <is>
          <t>Föryngringsavverkning</t>
        </is>
      </c>
      <c r="D2325" s="1" t="n">
        <v>44603</v>
      </c>
      <c r="E2325" s="1" t="n">
        <v>46309</v>
      </c>
      <c r="F2325" t="inlineStr">
        <is>
          <t>UPPSALA LÄN</t>
        </is>
      </c>
      <c r="G2325" t="inlineStr">
        <is>
          <t>UPPSALA</t>
        </is>
      </c>
      <c r="I2325" t="n">
        <v>3.1</v>
      </c>
      <c r="J2325" t="n">
        <v>0</v>
      </c>
      <c r="K2325" t="n">
        <v>0</v>
      </c>
      <c r="L2325" t="n">
        <v>0</v>
      </c>
      <c r="M2325" t="n">
        <v>0</v>
      </c>
      <c r="N2325" t="n">
        <v>0</v>
      </c>
      <c r="O2325" t="n">
        <v>0</v>
      </c>
      <c r="P2325" t="n">
        <v>0</v>
      </c>
      <c r="Q2325" t="n">
        <v>0</v>
      </c>
      <c r="R2325" t="n">
        <v>0</v>
      </c>
      <c r="S2325" t="n">
        <v>0</v>
      </c>
      <c r="T2325" t="n">
        <v>0</v>
      </c>
      <c r="U2325" t="n">
        <v>0</v>
      </c>
      <c r="V2325" s="2" t="inlineStr"/>
    </row>
    <row r="2326" ht="15" customHeight="1">
      <c r="A2326" t="inlineStr">
        <is>
          <t>A 11715-2024</t>
        </is>
      </c>
      <c r="B2326" t="inlineStr">
        <is>
          <t>avverkningsanmälan</t>
        </is>
      </c>
      <c r="C2326" t="inlineStr">
        <is>
          <t>Föryngringsavverkning</t>
        </is>
      </c>
      <c r="D2326" s="1" t="n">
        <v>45373</v>
      </c>
      <c r="E2326" s="1" t="n">
        <v>46309</v>
      </c>
      <c r="F2326" t="inlineStr">
        <is>
          <t>UPPSALA LÄN</t>
        </is>
      </c>
      <c r="G2326" t="inlineStr">
        <is>
          <t>HEBY</t>
        </is>
      </c>
      <c r="I2326" t="n">
        <v>1.1</v>
      </c>
      <c r="J2326" t="n">
        <v>0</v>
      </c>
      <c r="K2326" t="n">
        <v>0</v>
      </c>
      <c r="L2326" t="n">
        <v>0</v>
      </c>
      <c r="M2326" t="n">
        <v>0</v>
      </c>
      <c r="N2326" t="n">
        <v>0</v>
      </c>
      <c r="O2326" t="n">
        <v>0</v>
      </c>
      <c r="P2326" t="n">
        <v>0</v>
      </c>
      <c r="Q2326" t="n">
        <v>0</v>
      </c>
      <c r="R2326" t="n">
        <v>0</v>
      </c>
      <c r="S2326" t="n">
        <v>0</v>
      </c>
      <c r="T2326" t="n">
        <v>0</v>
      </c>
      <c r="U2326" t="n">
        <v>0</v>
      </c>
      <c r="V2326" s="2" t="inlineStr"/>
    </row>
    <row r="2327" ht="15" customHeight="1">
      <c r="A2327" t="inlineStr">
        <is>
          <t>A 67982-2021</t>
        </is>
      </c>
      <c r="B2327" t="inlineStr">
        <is>
          <t>avverkningsanmälan</t>
        </is>
      </c>
      <c r="C2327" t="inlineStr">
        <is>
          <t>Föryngringsavverkning</t>
        </is>
      </c>
      <c r="D2327" s="1" t="n">
        <v>44525</v>
      </c>
      <c r="E2327" s="1" t="n">
        <v>46309</v>
      </c>
      <c r="F2327" t="inlineStr">
        <is>
          <t>UPPSALA LÄN</t>
        </is>
      </c>
      <c r="G2327" t="inlineStr">
        <is>
          <t>ENKÖPING</t>
        </is>
      </c>
      <c r="I2327" t="n">
        <v>1.7</v>
      </c>
      <c r="J2327" t="n">
        <v>0</v>
      </c>
      <c r="K2327" t="n">
        <v>0</v>
      </c>
      <c r="L2327" t="n">
        <v>0</v>
      </c>
      <c r="M2327" t="n">
        <v>0</v>
      </c>
      <c r="N2327" t="n">
        <v>0</v>
      </c>
      <c r="O2327" t="n">
        <v>0</v>
      </c>
      <c r="P2327" t="n">
        <v>0</v>
      </c>
      <c r="Q2327" t="n">
        <v>0</v>
      </c>
      <c r="R2327" t="n">
        <v>0</v>
      </c>
      <c r="S2327" t="n">
        <v>0</v>
      </c>
      <c r="T2327" t="n">
        <v>0</v>
      </c>
      <c r="U2327" t="n">
        <v>0</v>
      </c>
      <c r="V2327" s="2" t="inlineStr"/>
    </row>
    <row r="2328" ht="15" customHeight="1">
      <c r="A2328" t="inlineStr">
        <is>
          <t>A 38190-2023</t>
        </is>
      </c>
      <c r="B2328" t="inlineStr">
        <is>
          <t>avverkningsanmälan</t>
        </is>
      </c>
      <c r="C2328" t="inlineStr">
        <is>
          <t>Avverkning för annat ändamål</t>
        </is>
      </c>
      <c r="D2328" s="1" t="n">
        <v>45161</v>
      </c>
      <c r="E2328" s="1" t="n">
        <v>46309</v>
      </c>
      <c r="F2328" t="inlineStr">
        <is>
          <t>UPPSALA LÄN</t>
        </is>
      </c>
      <c r="G2328" t="inlineStr">
        <is>
          <t>UPPSALA</t>
        </is>
      </c>
      <c r="I2328" t="n">
        <v>0.4</v>
      </c>
      <c r="J2328" t="n">
        <v>0</v>
      </c>
      <c r="K2328" t="n">
        <v>0</v>
      </c>
      <c r="L2328" t="n">
        <v>0</v>
      </c>
      <c r="M2328" t="n">
        <v>0</v>
      </c>
      <c r="N2328" t="n">
        <v>0</v>
      </c>
      <c r="O2328" t="n">
        <v>0</v>
      </c>
      <c r="P2328" t="n">
        <v>0</v>
      </c>
      <c r="Q2328" t="n">
        <v>0</v>
      </c>
      <c r="R2328" t="n">
        <v>0</v>
      </c>
      <c r="S2328" t="n">
        <v>0</v>
      </c>
      <c r="T2328" t="n">
        <v>0</v>
      </c>
      <c r="U2328" t="n">
        <v>0</v>
      </c>
      <c r="V2328" s="2" t="inlineStr"/>
    </row>
    <row r="2329" ht="15" customHeight="1">
      <c r="A2329" t="inlineStr">
        <is>
          <t>A 8616-2023</t>
        </is>
      </c>
      <c r="B2329" t="inlineStr">
        <is>
          <t>avverkningsanmälan</t>
        </is>
      </c>
      <c r="C2329" t="inlineStr">
        <is>
          <t>Föryngringsavverkning</t>
        </is>
      </c>
      <c r="D2329" s="1" t="n">
        <v>44977</v>
      </c>
      <c r="E2329" s="1" t="n">
        <v>46309</v>
      </c>
      <c r="F2329" t="inlineStr">
        <is>
          <t>UPPSALA LÄN</t>
        </is>
      </c>
      <c r="G2329" t="inlineStr">
        <is>
          <t>ÖSTHAMMAR</t>
        </is>
      </c>
      <c r="H2329" t="inlineStr">
        <is>
          <t>Bergvik skog öst AB</t>
        </is>
      </c>
      <c r="I2329" t="n">
        <v>0.2</v>
      </c>
      <c r="J2329" t="n">
        <v>0</v>
      </c>
      <c r="K2329" t="n">
        <v>0</v>
      </c>
      <c r="L2329" t="n">
        <v>0</v>
      </c>
      <c r="M2329" t="n">
        <v>0</v>
      </c>
      <c r="N2329" t="n">
        <v>0</v>
      </c>
      <c r="O2329" t="n">
        <v>0</v>
      </c>
      <c r="P2329" t="n">
        <v>0</v>
      </c>
      <c r="Q2329" t="n">
        <v>0</v>
      </c>
      <c r="R2329" t="n">
        <v>0</v>
      </c>
      <c r="S2329" t="n">
        <v>0</v>
      </c>
      <c r="T2329" t="n">
        <v>0</v>
      </c>
      <c r="U2329" t="n">
        <v>0</v>
      </c>
      <c r="V2329" s="2" t="inlineStr"/>
    </row>
    <row r="2330" ht="15" customHeight="1">
      <c r="A2330" t="inlineStr">
        <is>
          <t>A 20393-2026</t>
        </is>
      </c>
      <c r="B2330" t="inlineStr">
        <is>
          <t>avverkningsanmälan</t>
        </is>
      </c>
      <c r="C2330" t="inlineStr">
        <is>
          <t>Föryngringsavverkning</t>
        </is>
      </c>
      <c r="D2330" s="1" t="n">
        <v>46139</v>
      </c>
      <c r="E2330" s="1" t="n">
        <v>46309</v>
      </c>
      <c r="F2330" t="inlineStr">
        <is>
          <t>UPPSALA LÄN</t>
        </is>
      </c>
      <c r="G2330" t="inlineStr">
        <is>
          <t>ÖSTHAMMAR</t>
        </is>
      </c>
      <c r="I2330" t="n">
        <v>4.5</v>
      </c>
      <c r="J2330" t="n">
        <v>0</v>
      </c>
      <c r="K2330" t="n">
        <v>0</v>
      </c>
      <c r="L2330" t="n">
        <v>0</v>
      </c>
      <c r="M2330" t="n">
        <v>0</v>
      </c>
      <c r="N2330" t="n">
        <v>0</v>
      </c>
      <c r="O2330" t="n">
        <v>0</v>
      </c>
      <c r="P2330" t="n">
        <v>0</v>
      </c>
      <c r="Q2330" t="n">
        <v>0</v>
      </c>
      <c r="R2330" t="n">
        <v>0</v>
      </c>
      <c r="S2330" t="n">
        <v>0</v>
      </c>
      <c r="T2330" t="n">
        <v>0</v>
      </c>
      <c r="U2330" t="n">
        <v>0</v>
      </c>
      <c r="V2330" s="2" t="inlineStr"/>
    </row>
    <row r="2331" ht="15" customHeight="1">
      <c r="A2331" t="inlineStr">
        <is>
          <t>A 39831-2025</t>
        </is>
      </c>
      <c r="B2331" t="inlineStr">
        <is>
          <t>avverkningsanmälan</t>
        </is>
      </c>
      <c r="C2331" t="inlineStr">
        <is>
          <t>Föryngringsavverkning</t>
        </is>
      </c>
      <c r="D2331" s="1" t="n">
        <v>45891</v>
      </c>
      <c r="E2331" s="1" t="n">
        <v>46309</v>
      </c>
      <c r="F2331" t="inlineStr">
        <is>
          <t>UPPSALA LÄN</t>
        </is>
      </c>
      <c r="G2331" t="inlineStr">
        <is>
          <t>HEBY</t>
        </is>
      </c>
      <c r="I2331" t="n">
        <v>1.8</v>
      </c>
      <c r="J2331" t="n">
        <v>0</v>
      </c>
      <c r="K2331" t="n">
        <v>0</v>
      </c>
      <c r="L2331" t="n">
        <v>0</v>
      </c>
      <c r="M2331" t="n">
        <v>0</v>
      </c>
      <c r="N2331" t="n">
        <v>0</v>
      </c>
      <c r="O2331" t="n">
        <v>0</v>
      </c>
      <c r="P2331" t="n">
        <v>0</v>
      </c>
      <c r="Q2331" t="n">
        <v>0</v>
      </c>
      <c r="R2331" t="n">
        <v>0</v>
      </c>
      <c r="S2331" t="n">
        <v>0</v>
      </c>
      <c r="T2331" t="n">
        <v>0</v>
      </c>
      <c r="U2331" t="n">
        <v>0</v>
      </c>
      <c r="V2331" s="2" t="inlineStr"/>
    </row>
    <row r="2332" ht="15" customHeight="1">
      <c r="A2332" t="inlineStr">
        <is>
          <t>A 50954-2025</t>
        </is>
      </c>
      <c r="B2332" t="inlineStr">
        <is>
          <t>avverkningsanmälan</t>
        </is>
      </c>
      <c r="C2332" t="inlineStr">
        <is>
          <t>Föryngringsavverkning</t>
        </is>
      </c>
      <c r="D2332" s="1" t="n">
        <v>45946</v>
      </c>
      <c r="E2332" s="1" t="n">
        <v>46309</v>
      </c>
      <c r="F2332" t="inlineStr">
        <is>
          <t>UPPSALA LÄN</t>
        </is>
      </c>
      <c r="G2332" t="inlineStr">
        <is>
          <t>HEBY</t>
        </is>
      </c>
      <c r="I2332" t="n">
        <v>1</v>
      </c>
      <c r="J2332" t="n">
        <v>0</v>
      </c>
      <c r="K2332" t="n">
        <v>0</v>
      </c>
      <c r="L2332" t="n">
        <v>0</v>
      </c>
      <c r="M2332" t="n">
        <v>0</v>
      </c>
      <c r="N2332" t="n">
        <v>0</v>
      </c>
      <c r="O2332" t="n">
        <v>0</v>
      </c>
      <c r="P2332" t="n">
        <v>0</v>
      </c>
      <c r="Q2332" t="n">
        <v>0</v>
      </c>
      <c r="R2332" t="n">
        <v>0</v>
      </c>
      <c r="S2332" t="n">
        <v>0</v>
      </c>
      <c r="T2332" t="n">
        <v>0</v>
      </c>
      <c r="U2332" t="n">
        <v>0</v>
      </c>
      <c r="V2332" s="2" t="inlineStr"/>
    </row>
    <row r="2333" ht="15" customHeight="1">
      <c r="A2333" t="inlineStr">
        <is>
          <t>A 34147-2024</t>
        </is>
      </c>
      <c r="B2333" t="inlineStr">
        <is>
          <t>avverkningsanmälan</t>
        </is>
      </c>
      <c r="C2333" t="inlineStr">
        <is>
          <t>Föryngringsavverkning</t>
        </is>
      </c>
      <c r="D2333" s="1" t="n">
        <v>45524</v>
      </c>
      <c r="E2333" s="1" t="n">
        <v>46309</v>
      </c>
      <c r="F2333" t="inlineStr">
        <is>
          <t>UPPSALA LÄN</t>
        </is>
      </c>
      <c r="G2333" t="inlineStr">
        <is>
          <t>UPPSALA</t>
        </is>
      </c>
      <c r="H2333" t="inlineStr">
        <is>
          <t>Allmännings- och besparingsskogar</t>
        </is>
      </c>
      <c r="I2333" t="n">
        <v>0.2</v>
      </c>
      <c r="J2333" t="n">
        <v>0</v>
      </c>
      <c r="K2333" t="n">
        <v>0</v>
      </c>
      <c r="L2333" t="n">
        <v>0</v>
      </c>
      <c r="M2333" t="n">
        <v>0</v>
      </c>
      <c r="N2333" t="n">
        <v>0</v>
      </c>
      <c r="O2333" t="n">
        <v>0</v>
      </c>
      <c r="P2333" t="n">
        <v>0</v>
      </c>
      <c r="Q2333" t="n">
        <v>0</v>
      </c>
      <c r="R2333" t="n">
        <v>0</v>
      </c>
      <c r="S2333" t="n">
        <v>0</v>
      </c>
      <c r="T2333" t="n">
        <v>0</v>
      </c>
      <c r="U2333" t="n">
        <v>0</v>
      </c>
      <c r="V2333" s="2" t="inlineStr"/>
    </row>
    <row r="2334" ht="15" customHeight="1">
      <c r="A2334" t="inlineStr">
        <is>
          <t>A 11224-2022</t>
        </is>
      </c>
      <c r="B2334" t="inlineStr">
        <is>
          <t>avverkningsanmälan</t>
        </is>
      </c>
      <c r="C2334" t="inlineStr">
        <is>
          <t>Föryngringsavverkning</t>
        </is>
      </c>
      <c r="D2334" s="1" t="n">
        <v>44629</v>
      </c>
      <c r="E2334" s="1" t="n">
        <v>46309</v>
      </c>
      <c r="F2334" t="inlineStr">
        <is>
          <t>UPPSALA LÄN</t>
        </is>
      </c>
      <c r="G2334" t="inlineStr">
        <is>
          <t>UPPSALA</t>
        </is>
      </c>
      <c r="H2334" t="inlineStr">
        <is>
          <t>Bergvik skog öst AB</t>
        </is>
      </c>
      <c r="I2334" t="n">
        <v>1.5</v>
      </c>
      <c r="J2334" t="n">
        <v>0</v>
      </c>
      <c r="K2334" t="n">
        <v>0</v>
      </c>
      <c r="L2334" t="n">
        <v>0</v>
      </c>
      <c r="M2334" t="n">
        <v>0</v>
      </c>
      <c r="N2334" t="n">
        <v>0</v>
      </c>
      <c r="O2334" t="n">
        <v>0</v>
      </c>
      <c r="P2334" t="n">
        <v>0</v>
      </c>
      <c r="Q2334" t="n">
        <v>0</v>
      </c>
      <c r="R2334" t="n">
        <v>0</v>
      </c>
      <c r="S2334" t="n">
        <v>0</v>
      </c>
      <c r="T2334" t="n">
        <v>0</v>
      </c>
      <c r="U2334" t="n">
        <v>0</v>
      </c>
      <c r="V2334" s="2" t="inlineStr"/>
    </row>
    <row r="2335" ht="15" customHeight="1">
      <c r="A2335" t="inlineStr">
        <is>
          <t>A 42216-2025</t>
        </is>
      </c>
      <c r="B2335" t="inlineStr">
        <is>
          <t>avverkningsanmälan</t>
        </is>
      </c>
      <c r="C2335" t="inlineStr">
        <is>
          <t>Föryngringsavverkning</t>
        </is>
      </c>
      <c r="D2335" s="1" t="n">
        <v>45904</v>
      </c>
      <c r="E2335" s="1" t="n">
        <v>46309</v>
      </c>
      <c r="F2335" t="inlineStr">
        <is>
          <t>UPPSALA LÄN</t>
        </is>
      </c>
      <c r="G2335" t="inlineStr">
        <is>
          <t>HEBY</t>
        </is>
      </c>
      <c r="H2335" t="inlineStr">
        <is>
          <t>Bergvik skog öst AB</t>
        </is>
      </c>
      <c r="I2335" t="n">
        <v>2.5</v>
      </c>
      <c r="J2335" t="n">
        <v>0</v>
      </c>
      <c r="K2335" t="n">
        <v>0</v>
      </c>
      <c r="L2335" t="n">
        <v>0</v>
      </c>
      <c r="M2335" t="n">
        <v>0</v>
      </c>
      <c r="N2335" t="n">
        <v>0</v>
      </c>
      <c r="O2335" t="n">
        <v>0</v>
      </c>
      <c r="P2335" t="n">
        <v>0</v>
      </c>
      <c r="Q2335" t="n">
        <v>0</v>
      </c>
      <c r="R2335" t="n">
        <v>0</v>
      </c>
      <c r="S2335" t="n">
        <v>0</v>
      </c>
      <c r="T2335" t="n">
        <v>0</v>
      </c>
      <c r="U2335" t="n">
        <v>0</v>
      </c>
      <c r="V2335" s="2" t="inlineStr"/>
    </row>
    <row r="2336" ht="15" customHeight="1">
      <c r="A2336" t="inlineStr">
        <is>
          <t>A 37759-2025</t>
        </is>
      </c>
      <c r="B2336" t="inlineStr">
        <is>
          <t>avverkningsanmälan</t>
        </is>
      </c>
      <c r="C2336" t="inlineStr">
        <is>
          <t>Föryngringsavverkning</t>
        </is>
      </c>
      <c r="D2336" s="1" t="n">
        <v>45880</v>
      </c>
      <c r="E2336" s="1" t="n">
        <v>46309</v>
      </c>
      <c r="F2336" t="inlineStr">
        <is>
          <t>UPPSALA LÄN</t>
        </is>
      </c>
      <c r="G2336" t="inlineStr">
        <is>
          <t>UPPSALA</t>
        </is>
      </c>
      <c r="I2336" t="n">
        <v>1.1</v>
      </c>
      <c r="J2336" t="n">
        <v>0</v>
      </c>
      <c r="K2336" t="n">
        <v>0</v>
      </c>
      <c r="L2336" t="n">
        <v>0</v>
      </c>
      <c r="M2336" t="n">
        <v>0</v>
      </c>
      <c r="N2336" t="n">
        <v>0</v>
      </c>
      <c r="O2336" t="n">
        <v>0</v>
      </c>
      <c r="P2336" t="n">
        <v>0</v>
      </c>
      <c r="Q2336" t="n">
        <v>0</v>
      </c>
      <c r="R2336" t="n">
        <v>0</v>
      </c>
      <c r="S2336" t="n">
        <v>0</v>
      </c>
      <c r="T2336" t="n">
        <v>0</v>
      </c>
      <c r="U2336" t="n">
        <v>0</v>
      </c>
      <c r="V2336" s="2" t="inlineStr"/>
    </row>
    <row r="2337" ht="15" customHeight="1">
      <c r="A2337" t="inlineStr">
        <is>
          <t>A 26099-2024</t>
        </is>
      </c>
      <c r="B2337" t="inlineStr">
        <is>
          <t>avverkningsanmälan</t>
        </is>
      </c>
      <c r="C2337" t="inlineStr">
        <is>
          <t>Föryngringsavverkning</t>
        </is>
      </c>
      <c r="D2337" s="1" t="n">
        <v>45468</v>
      </c>
      <c r="E2337" s="1" t="n">
        <v>46309</v>
      </c>
      <c r="F2337" t="inlineStr">
        <is>
          <t>UPPSALA LÄN</t>
        </is>
      </c>
      <c r="G2337" t="inlineStr">
        <is>
          <t>UPPSALA</t>
        </is>
      </c>
      <c r="I2337" t="n">
        <v>0.3</v>
      </c>
      <c r="J2337" t="n">
        <v>0</v>
      </c>
      <c r="K2337" t="n">
        <v>0</v>
      </c>
      <c r="L2337" t="n">
        <v>0</v>
      </c>
      <c r="M2337" t="n">
        <v>0</v>
      </c>
      <c r="N2337" t="n">
        <v>0</v>
      </c>
      <c r="O2337" t="n">
        <v>0</v>
      </c>
      <c r="P2337" t="n">
        <v>0</v>
      </c>
      <c r="Q2337" t="n">
        <v>0</v>
      </c>
      <c r="R2337" t="n">
        <v>0</v>
      </c>
      <c r="S2337" t="n">
        <v>0</v>
      </c>
      <c r="T2337" t="n">
        <v>0</v>
      </c>
      <c r="U2337" t="n">
        <v>0</v>
      </c>
      <c r="V2337" s="2" t="inlineStr"/>
    </row>
    <row r="2338" ht="15" customHeight="1">
      <c r="A2338" t="inlineStr">
        <is>
          <t>A 6288-2023</t>
        </is>
      </c>
      <c r="B2338" t="inlineStr">
        <is>
          <t>avverkningsanmälan</t>
        </is>
      </c>
      <c r="C2338" t="inlineStr">
        <is>
          <t>Föryngringsavverkning</t>
        </is>
      </c>
      <c r="D2338" s="1" t="n">
        <v>44965</v>
      </c>
      <c r="E2338" s="1" t="n">
        <v>46309</v>
      </c>
      <c r="F2338" t="inlineStr">
        <is>
          <t>UPPSALA LÄN</t>
        </is>
      </c>
      <c r="G2338" t="inlineStr">
        <is>
          <t>TIERP</t>
        </is>
      </c>
      <c r="H2338" t="inlineStr">
        <is>
          <t>Bergvik skog öst AB</t>
        </is>
      </c>
      <c r="I2338" t="n">
        <v>5.4</v>
      </c>
      <c r="J2338" t="n">
        <v>0</v>
      </c>
      <c r="K2338" t="n">
        <v>0</v>
      </c>
      <c r="L2338" t="n">
        <v>0</v>
      </c>
      <c r="M2338" t="n">
        <v>0</v>
      </c>
      <c r="N2338" t="n">
        <v>0</v>
      </c>
      <c r="O2338" t="n">
        <v>0</v>
      </c>
      <c r="P2338" t="n">
        <v>0</v>
      </c>
      <c r="Q2338" t="n">
        <v>0</v>
      </c>
      <c r="R2338" t="n">
        <v>0</v>
      </c>
      <c r="S2338" t="n">
        <v>0</v>
      </c>
      <c r="T2338" t="n">
        <v>0</v>
      </c>
      <c r="U2338" t="n">
        <v>0</v>
      </c>
      <c r="V2338" s="2" t="inlineStr"/>
    </row>
    <row r="2339" ht="15" customHeight="1">
      <c r="A2339" t="inlineStr">
        <is>
          <t>A 43-2024</t>
        </is>
      </c>
      <c r="B2339" t="inlineStr">
        <is>
          <t>avverkningsanmälan</t>
        </is>
      </c>
      <c r="C2339" t="inlineStr">
        <is>
          <t>Föryngringsavverkning</t>
        </is>
      </c>
      <c r="D2339" s="1" t="n">
        <v>45293</v>
      </c>
      <c r="E2339" s="1" t="n">
        <v>46309</v>
      </c>
      <c r="F2339" t="inlineStr">
        <is>
          <t>UPPSALA LÄN</t>
        </is>
      </c>
      <c r="G2339" t="inlineStr">
        <is>
          <t>UPPSALA</t>
        </is>
      </c>
      <c r="I2339" t="n">
        <v>2.8</v>
      </c>
      <c r="J2339" t="n">
        <v>0</v>
      </c>
      <c r="K2339" t="n">
        <v>0</v>
      </c>
      <c r="L2339" t="n">
        <v>0</v>
      </c>
      <c r="M2339" t="n">
        <v>0</v>
      </c>
      <c r="N2339" t="n">
        <v>0</v>
      </c>
      <c r="O2339" t="n">
        <v>0</v>
      </c>
      <c r="P2339" t="n">
        <v>0</v>
      </c>
      <c r="Q2339" t="n">
        <v>0</v>
      </c>
      <c r="R2339" t="n">
        <v>0</v>
      </c>
      <c r="S2339" t="n">
        <v>0</v>
      </c>
      <c r="T2339" t="n">
        <v>0</v>
      </c>
      <c r="U2339" t="n">
        <v>0</v>
      </c>
      <c r="V2339" s="2" t="inlineStr"/>
    </row>
    <row r="2340" ht="15" customHeight="1">
      <c r="A2340" t="inlineStr">
        <is>
          <t>A 17788-2023</t>
        </is>
      </c>
      <c r="B2340" t="inlineStr">
        <is>
          <t>avverkningsanmälan</t>
        </is>
      </c>
      <c r="C2340" t="inlineStr">
        <is>
          <t>Föryngringsavverkning</t>
        </is>
      </c>
      <c r="D2340" s="1" t="n">
        <v>45037</v>
      </c>
      <c r="E2340" s="1" t="n">
        <v>46309</v>
      </c>
      <c r="F2340" t="inlineStr">
        <is>
          <t>UPPSALA LÄN</t>
        </is>
      </c>
      <c r="G2340" t="inlineStr">
        <is>
          <t>UPPSALA</t>
        </is>
      </c>
      <c r="H2340" t="inlineStr">
        <is>
          <t>Övriga Aktiebolag</t>
        </is>
      </c>
      <c r="I2340" t="n">
        <v>3.7</v>
      </c>
      <c r="J2340" t="n">
        <v>0</v>
      </c>
      <c r="K2340" t="n">
        <v>0</v>
      </c>
      <c r="L2340" t="n">
        <v>0</v>
      </c>
      <c r="M2340" t="n">
        <v>0</v>
      </c>
      <c r="N2340" t="n">
        <v>0</v>
      </c>
      <c r="O2340" t="n">
        <v>0</v>
      </c>
      <c r="P2340" t="n">
        <v>0</v>
      </c>
      <c r="Q2340" t="n">
        <v>0</v>
      </c>
      <c r="R2340" t="n">
        <v>0</v>
      </c>
      <c r="S2340" t="n">
        <v>0</v>
      </c>
      <c r="T2340" t="n">
        <v>0</v>
      </c>
      <c r="U2340" t="n">
        <v>0</v>
      </c>
      <c r="V2340" s="2" t="inlineStr"/>
    </row>
    <row r="2341" ht="15" customHeight="1">
      <c r="A2341" t="inlineStr">
        <is>
          <t>A 2358-2026</t>
        </is>
      </c>
      <c r="B2341" t="inlineStr">
        <is>
          <t>avverkningsanmälan</t>
        </is>
      </c>
      <c r="C2341" t="inlineStr">
        <is>
          <t>Föryngringsavverkning</t>
        </is>
      </c>
      <c r="D2341" s="1" t="n">
        <v>46034</v>
      </c>
      <c r="E2341" s="1" t="n">
        <v>46309</v>
      </c>
      <c r="F2341" t="inlineStr">
        <is>
          <t>UPPSALA LÄN</t>
        </is>
      </c>
      <c r="G2341" t="inlineStr">
        <is>
          <t>ÖSTHAMMAR</t>
        </is>
      </c>
      <c r="I2341" t="n">
        <v>3.6</v>
      </c>
      <c r="J2341" t="n">
        <v>0</v>
      </c>
      <c r="K2341" t="n">
        <v>0</v>
      </c>
      <c r="L2341" t="n">
        <v>0</v>
      </c>
      <c r="M2341" t="n">
        <v>0</v>
      </c>
      <c r="N2341" t="n">
        <v>0</v>
      </c>
      <c r="O2341" t="n">
        <v>0</v>
      </c>
      <c r="P2341" t="n">
        <v>0</v>
      </c>
      <c r="Q2341" t="n">
        <v>0</v>
      </c>
      <c r="R2341" t="n">
        <v>0</v>
      </c>
      <c r="S2341" t="n">
        <v>0</v>
      </c>
      <c r="T2341" t="n">
        <v>0</v>
      </c>
      <c r="U2341" t="n">
        <v>0</v>
      </c>
      <c r="V2341" s="2" t="inlineStr"/>
    </row>
    <row r="2342" ht="15" customHeight="1">
      <c r="A2342" t="inlineStr">
        <is>
          <t>A 9572-2026</t>
        </is>
      </c>
      <c r="B2342" t="inlineStr">
        <is>
          <t>avverkningsanmälan</t>
        </is>
      </c>
      <c r="C2342" t="inlineStr">
        <is>
          <t>Föryngringsavverkning</t>
        </is>
      </c>
      <c r="D2342" s="1" t="n">
        <v>46071</v>
      </c>
      <c r="E2342" s="1" t="n">
        <v>46309</v>
      </c>
      <c r="F2342" t="inlineStr">
        <is>
          <t>UPPSALA LÄN</t>
        </is>
      </c>
      <c r="G2342" t="inlineStr">
        <is>
          <t>TIERP</t>
        </is>
      </c>
      <c r="H2342" t="inlineStr">
        <is>
          <t>Bergvik skog öst AB</t>
        </is>
      </c>
      <c r="I2342" t="n">
        <v>8.800000000000001</v>
      </c>
      <c r="J2342" t="n">
        <v>0</v>
      </c>
      <c r="K2342" t="n">
        <v>0</v>
      </c>
      <c r="L2342" t="n">
        <v>0</v>
      </c>
      <c r="M2342" t="n">
        <v>0</v>
      </c>
      <c r="N2342" t="n">
        <v>0</v>
      </c>
      <c r="O2342" t="n">
        <v>0</v>
      </c>
      <c r="P2342" t="n">
        <v>0</v>
      </c>
      <c r="Q2342" t="n">
        <v>0</v>
      </c>
      <c r="R2342" t="n">
        <v>0</v>
      </c>
      <c r="S2342" t="n">
        <v>0</v>
      </c>
      <c r="T2342" t="n">
        <v>0</v>
      </c>
      <c r="U2342" t="n">
        <v>0</v>
      </c>
      <c r="V2342" s="2" t="inlineStr"/>
    </row>
    <row r="2343" ht="15" customHeight="1">
      <c r="A2343" t="inlineStr">
        <is>
          <t>A 6120-2024</t>
        </is>
      </c>
      <c r="B2343" t="inlineStr">
        <is>
          <t>avverkningsanmälan</t>
        </is>
      </c>
      <c r="C2343" t="inlineStr">
        <is>
          <t>Föryngringsavverkning</t>
        </is>
      </c>
      <c r="D2343" s="1" t="n">
        <v>45337</v>
      </c>
      <c r="E2343" s="1" t="n">
        <v>46309</v>
      </c>
      <c r="F2343" t="inlineStr">
        <is>
          <t>UPPSALA LÄN</t>
        </is>
      </c>
      <c r="G2343" t="inlineStr">
        <is>
          <t>ÖSTHAMMAR</t>
        </is>
      </c>
      <c r="I2343" t="n">
        <v>0.7</v>
      </c>
      <c r="J2343" t="n">
        <v>0</v>
      </c>
      <c r="K2343" t="n">
        <v>0</v>
      </c>
      <c r="L2343" t="n">
        <v>0</v>
      </c>
      <c r="M2343" t="n">
        <v>0</v>
      </c>
      <c r="N2343" t="n">
        <v>0</v>
      </c>
      <c r="O2343" t="n">
        <v>0</v>
      </c>
      <c r="P2343" t="n">
        <v>0</v>
      </c>
      <c r="Q2343" t="n">
        <v>0</v>
      </c>
      <c r="R2343" t="n">
        <v>0</v>
      </c>
      <c r="S2343" t="n">
        <v>0</v>
      </c>
      <c r="T2343" t="n">
        <v>0</v>
      </c>
      <c r="U2343" t="n">
        <v>0</v>
      </c>
      <c r="V2343" s="2" t="inlineStr"/>
    </row>
    <row r="2344" ht="15" customHeight="1">
      <c r="A2344" t="inlineStr">
        <is>
          <t>A 24150-2025</t>
        </is>
      </c>
      <c r="B2344" t="inlineStr">
        <is>
          <t>avverkningsanmälan</t>
        </is>
      </c>
      <c r="C2344" t="inlineStr">
        <is>
          <t>Föryngringsavverkning</t>
        </is>
      </c>
      <c r="D2344" s="1" t="n">
        <v>45796</v>
      </c>
      <c r="E2344" s="1" t="n">
        <v>46309</v>
      </c>
      <c r="F2344" t="inlineStr">
        <is>
          <t>UPPSALA LÄN</t>
        </is>
      </c>
      <c r="G2344" t="inlineStr">
        <is>
          <t>TIERP</t>
        </is>
      </c>
      <c r="H2344" t="inlineStr">
        <is>
          <t>Bergvik skog öst AB</t>
        </is>
      </c>
      <c r="I2344" t="n">
        <v>1.8</v>
      </c>
      <c r="J2344" t="n">
        <v>0</v>
      </c>
      <c r="K2344" t="n">
        <v>0</v>
      </c>
      <c r="L2344" t="n">
        <v>0</v>
      </c>
      <c r="M2344" t="n">
        <v>0</v>
      </c>
      <c r="N2344" t="n">
        <v>0</v>
      </c>
      <c r="O2344" t="n">
        <v>0</v>
      </c>
      <c r="P2344" t="n">
        <v>0</v>
      </c>
      <c r="Q2344" t="n">
        <v>0</v>
      </c>
      <c r="R2344" t="n">
        <v>0</v>
      </c>
      <c r="S2344" t="n">
        <v>0</v>
      </c>
      <c r="T2344" t="n">
        <v>0</v>
      </c>
      <c r="U2344" t="n">
        <v>0</v>
      </c>
      <c r="V2344" s="2" t="inlineStr"/>
    </row>
    <row r="2345" ht="15" customHeight="1">
      <c r="A2345" t="inlineStr">
        <is>
          <t>A 18250-2026</t>
        </is>
      </c>
      <c r="B2345" t="inlineStr">
        <is>
          <t>avverkningsanmälan</t>
        </is>
      </c>
      <c r="C2345" t="inlineStr">
        <is>
          <t>Föryngringsavverkning</t>
        </is>
      </c>
      <c r="D2345" s="1" t="n">
        <v>46126</v>
      </c>
      <c r="E2345" s="1" t="n">
        <v>46309</v>
      </c>
      <c r="F2345" t="inlineStr">
        <is>
          <t>UPPSALA LÄN</t>
        </is>
      </c>
      <c r="G2345" t="inlineStr">
        <is>
          <t>TIERP</t>
        </is>
      </c>
      <c r="H2345" t="inlineStr">
        <is>
          <t>Bergvik skog öst AB</t>
        </is>
      </c>
      <c r="I2345" t="n">
        <v>7.5</v>
      </c>
      <c r="J2345" t="n">
        <v>0</v>
      </c>
      <c r="K2345" t="n">
        <v>0</v>
      </c>
      <c r="L2345" t="n">
        <v>0</v>
      </c>
      <c r="M2345" t="n">
        <v>0</v>
      </c>
      <c r="N2345" t="n">
        <v>0</v>
      </c>
      <c r="O2345" t="n">
        <v>0</v>
      </c>
      <c r="P2345" t="n">
        <v>0</v>
      </c>
      <c r="Q2345" t="n">
        <v>0</v>
      </c>
      <c r="R2345" t="n">
        <v>0</v>
      </c>
      <c r="S2345" t="n">
        <v>0</v>
      </c>
      <c r="T2345" t="n">
        <v>0</v>
      </c>
      <c r="U2345" t="n">
        <v>0</v>
      </c>
      <c r="V2345" s="2" t="inlineStr"/>
    </row>
    <row r="2346" ht="15" customHeight="1">
      <c r="A2346" t="inlineStr">
        <is>
          <t>A 33941-2023</t>
        </is>
      </c>
      <c r="B2346" t="inlineStr">
        <is>
          <t>avverkningsanmälan</t>
        </is>
      </c>
      <c r="C2346" t="inlineStr">
        <is>
          <t>Föryngringsavverkning</t>
        </is>
      </c>
      <c r="D2346" s="1" t="n">
        <v>45134</v>
      </c>
      <c r="E2346" s="1" t="n">
        <v>46309</v>
      </c>
      <c r="F2346" t="inlineStr">
        <is>
          <t>UPPSALA LÄN</t>
        </is>
      </c>
      <c r="G2346" t="inlineStr">
        <is>
          <t>UPPSALA</t>
        </is>
      </c>
      <c r="H2346" t="inlineStr">
        <is>
          <t>Holmen skog AB</t>
        </is>
      </c>
      <c r="I2346" t="n">
        <v>0.6</v>
      </c>
      <c r="J2346" t="n">
        <v>0</v>
      </c>
      <c r="K2346" t="n">
        <v>0</v>
      </c>
      <c r="L2346" t="n">
        <v>0</v>
      </c>
      <c r="M2346" t="n">
        <v>0</v>
      </c>
      <c r="N2346" t="n">
        <v>0</v>
      </c>
      <c r="O2346" t="n">
        <v>0</v>
      </c>
      <c r="P2346" t="n">
        <v>0</v>
      </c>
      <c r="Q2346" t="n">
        <v>0</v>
      </c>
      <c r="R2346" t="n">
        <v>0</v>
      </c>
      <c r="S2346" t="n">
        <v>0</v>
      </c>
      <c r="T2346" t="n">
        <v>0</v>
      </c>
      <c r="U2346" t="n">
        <v>0</v>
      </c>
      <c r="V2346" s="2" t="inlineStr"/>
    </row>
    <row r="2347" ht="15" customHeight="1">
      <c r="A2347" t="inlineStr">
        <is>
          <t>A 35119-2025</t>
        </is>
      </c>
      <c r="B2347" t="inlineStr">
        <is>
          <t>avverkningsanmälan</t>
        </is>
      </c>
      <c r="C2347" t="inlineStr">
        <is>
          <t>Föryngringsavverkning</t>
        </is>
      </c>
      <c r="D2347" s="1" t="n">
        <v>45852</v>
      </c>
      <c r="E2347" s="1" t="n">
        <v>46309</v>
      </c>
      <c r="F2347" t="inlineStr">
        <is>
          <t>UPPSALA LÄN</t>
        </is>
      </c>
      <c r="G2347" t="inlineStr">
        <is>
          <t>TIERP</t>
        </is>
      </c>
      <c r="H2347" t="inlineStr">
        <is>
          <t>Bergvik skog väst AB</t>
        </is>
      </c>
      <c r="I2347" t="n">
        <v>0.8</v>
      </c>
      <c r="J2347" t="n">
        <v>0</v>
      </c>
      <c r="K2347" t="n">
        <v>0</v>
      </c>
      <c r="L2347" t="n">
        <v>0</v>
      </c>
      <c r="M2347" t="n">
        <v>0</v>
      </c>
      <c r="N2347" t="n">
        <v>0</v>
      </c>
      <c r="O2347" t="n">
        <v>0</v>
      </c>
      <c r="P2347" t="n">
        <v>0</v>
      </c>
      <c r="Q2347" t="n">
        <v>0</v>
      </c>
      <c r="R2347" t="n">
        <v>0</v>
      </c>
      <c r="S2347" t="n">
        <v>0</v>
      </c>
      <c r="T2347" t="n">
        <v>0</v>
      </c>
      <c r="U2347" t="n">
        <v>0</v>
      </c>
      <c r="V2347" s="2" t="inlineStr"/>
    </row>
    <row r="2348" ht="15" customHeight="1">
      <c r="A2348" t="inlineStr">
        <is>
          <t>A 39624-2023</t>
        </is>
      </c>
      <c r="B2348" t="inlineStr">
        <is>
          <t>avverkningsanmälan</t>
        </is>
      </c>
      <c r="C2348" t="inlineStr">
        <is>
          <t>Föryngringsavverkning</t>
        </is>
      </c>
      <c r="D2348" s="1" t="n">
        <v>45164</v>
      </c>
      <c r="E2348" s="1" t="n">
        <v>46309</v>
      </c>
      <c r="F2348" t="inlineStr">
        <is>
          <t>UPPSALA LÄN</t>
        </is>
      </c>
      <c r="G2348" t="inlineStr">
        <is>
          <t>ENKÖPING</t>
        </is>
      </c>
      <c r="I2348" t="n">
        <v>0.9</v>
      </c>
      <c r="J2348" t="n">
        <v>0</v>
      </c>
      <c r="K2348" t="n">
        <v>0</v>
      </c>
      <c r="L2348" t="n">
        <v>0</v>
      </c>
      <c r="M2348" t="n">
        <v>0</v>
      </c>
      <c r="N2348" t="n">
        <v>0</v>
      </c>
      <c r="O2348" t="n">
        <v>0</v>
      </c>
      <c r="P2348" t="n">
        <v>0</v>
      </c>
      <c r="Q2348" t="n">
        <v>0</v>
      </c>
      <c r="R2348" t="n">
        <v>0</v>
      </c>
      <c r="S2348" t="n">
        <v>0</v>
      </c>
      <c r="T2348" t="n">
        <v>0</v>
      </c>
      <c r="U2348" t="n">
        <v>0</v>
      </c>
      <c r="V2348" s="2" t="inlineStr"/>
    </row>
    <row r="2349" ht="15" customHeight="1">
      <c r="A2349" t="inlineStr">
        <is>
          <t>A 20344-2026</t>
        </is>
      </c>
      <c r="B2349" t="inlineStr">
        <is>
          <t>avverkningsanmälan</t>
        </is>
      </c>
      <c r="C2349" t="inlineStr">
        <is>
          <t>Föryngringsavverkning</t>
        </is>
      </c>
      <c r="D2349" s="1" t="n">
        <v>46139</v>
      </c>
      <c r="E2349" s="1" t="n">
        <v>46309</v>
      </c>
      <c r="F2349" t="inlineStr">
        <is>
          <t>UPPSALA LÄN</t>
        </is>
      </c>
      <c r="G2349" t="inlineStr">
        <is>
          <t>TIERP</t>
        </is>
      </c>
      <c r="I2349" t="n">
        <v>3.5</v>
      </c>
      <c r="J2349" t="n">
        <v>0</v>
      </c>
      <c r="K2349" t="n">
        <v>0</v>
      </c>
      <c r="L2349" t="n">
        <v>0</v>
      </c>
      <c r="M2349" t="n">
        <v>0</v>
      </c>
      <c r="N2349" t="n">
        <v>0</v>
      </c>
      <c r="O2349" t="n">
        <v>0</v>
      </c>
      <c r="P2349" t="n">
        <v>0</v>
      </c>
      <c r="Q2349" t="n">
        <v>0</v>
      </c>
      <c r="R2349" t="n">
        <v>0</v>
      </c>
      <c r="S2349" t="n">
        <v>0</v>
      </c>
      <c r="T2349" t="n">
        <v>0</v>
      </c>
      <c r="U2349" t="n">
        <v>0</v>
      </c>
      <c r="V2349" s="2" t="inlineStr"/>
    </row>
    <row r="2350" ht="15" customHeight="1">
      <c r="A2350" t="inlineStr">
        <is>
          <t>A 20394-2026</t>
        </is>
      </c>
      <c r="B2350" t="inlineStr">
        <is>
          <t>avverkningsanmälan</t>
        </is>
      </c>
      <c r="C2350" t="inlineStr">
        <is>
          <t>Föryngringsavverkning</t>
        </is>
      </c>
      <c r="D2350" s="1" t="n">
        <v>46139</v>
      </c>
      <c r="E2350" s="1" t="n">
        <v>46309</v>
      </c>
      <c r="F2350" t="inlineStr">
        <is>
          <t>UPPSALA LÄN</t>
        </is>
      </c>
      <c r="G2350" t="inlineStr">
        <is>
          <t>ÖSTHAMMAR</t>
        </is>
      </c>
      <c r="I2350" t="n">
        <v>1.7</v>
      </c>
      <c r="J2350" t="n">
        <v>0</v>
      </c>
      <c r="K2350" t="n">
        <v>0</v>
      </c>
      <c r="L2350" t="n">
        <v>0</v>
      </c>
      <c r="M2350" t="n">
        <v>0</v>
      </c>
      <c r="N2350" t="n">
        <v>0</v>
      </c>
      <c r="O2350" t="n">
        <v>0</v>
      </c>
      <c r="P2350" t="n">
        <v>0</v>
      </c>
      <c r="Q2350" t="n">
        <v>0</v>
      </c>
      <c r="R2350" t="n">
        <v>0</v>
      </c>
      <c r="S2350" t="n">
        <v>0</v>
      </c>
      <c r="T2350" t="n">
        <v>0</v>
      </c>
      <c r="U2350" t="n">
        <v>0</v>
      </c>
      <c r="V2350" s="2" t="inlineStr"/>
    </row>
    <row r="2351" ht="15" customHeight="1">
      <c r="A2351" t="inlineStr">
        <is>
          <t>A 37498-2025</t>
        </is>
      </c>
      <c r="B2351" t="inlineStr">
        <is>
          <t>avverkningsanmälan</t>
        </is>
      </c>
      <c r="C2351" t="inlineStr">
        <is>
          <t>Föryngringsavverkning</t>
        </is>
      </c>
      <c r="D2351" s="1" t="n">
        <v>45877</v>
      </c>
      <c r="E2351" s="1" t="n">
        <v>46309</v>
      </c>
      <c r="F2351" t="inlineStr">
        <is>
          <t>UPPSALA LÄN</t>
        </is>
      </c>
      <c r="G2351" t="inlineStr">
        <is>
          <t>ENKÖPING</t>
        </is>
      </c>
      <c r="I2351" t="n">
        <v>1.2</v>
      </c>
      <c r="J2351" t="n">
        <v>0</v>
      </c>
      <c r="K2351" t="n">
        <v>0</v>
      </c>
      <c r="L2351" t="n">
        <v>0</v>
      </c>
      <c r="M2351" t="n">
        <v>0</v>
      </c>
      <c r="N2351" t="n">
        <v>0</v>
      </c>
      <c r="O2351" t="n">
        <v>0</v>
      </c>
      <c r="P2351" t="n">
        <v>0</v>
      </c>
      <c r="Q2351" t="n">
        <v>0</v>
      </c>
      <c r="R2351" t="n">
        <v>0</v>
      </c>
      <c r="S2351" t="n">
        <v>0</v>
      </c>
      <c r="T2351" t="n">
        <v>0</v>
      </c>
      <c r="U2351" t="n">
        <v>0</v>
      </c>
      <c r="V2351" s="2" t="inlineStr"/>
    </row>
    <row r="2352" ht="15" customHeight="1">
      <c r="A2352" t="inlineStr">
        <is>
          <t>A 29513-2025</t>
        </is>
      </c>
      <c r="B2352" t="inlineStr">
        <is>
          <t>avverkningsanmälan</t>
        </is>
      </c>
      <c r="C2352" t="inlineStr">
        <is>
          <t>Föryngringsavverkning</t>
        </is>
      </c>
      <c r="D2352" s="1" t="n">
        <v>45825</v>
      </c>
      <c r="E2352" s="1" t="n">
        <v>46309</v>
      </c>
      <c r="F2352" t="inlineStr">
        <is>
          <t>UPPSALA LÄN</t>
        </is>
      </c>
      <c r="G2352" t="inlineStr">
        <is>
          <t>ENKÖPING</t>
        </is>
      </c>
      <c r="I2352" t="n">
        <v>2.6</v>
      </c>
      <c r="J2352" t="n">
        <v>0</v>
      </c>
      <c r="K2352" t="n">
        <v>0</v>
      </c>
      <c r="L2352" t="n">
        <v>0</v>
      </c>
      <c r="M2352" t="n">
        <v>0</v>
      </c>
      <c r="N2352" t="n">
        <v>0</v>
      </c>
      <c r="O2352" t="n">
        <v>0</v>
      </c>
      <c r="P2352" t="n">
        <v>0</v>
      </c>
      <c r="Q2352" t="n">
        <v>0</v>
      </c>
      <c r="R2352" t="n">
        <v>0</v>
      </c>
      <c r="S2352" t="n">
        <v>0</v>
      </c>
      <c r="T2352" t="n">
        <v>0</v>
      </c>
      <c r="U2352" t="n">
        <v>0</v>
      </c>
      <c r="V2352" s="2" t="inlineStr"/>
    </row>
    <row r="2353" ht="15" customHeight="1">
      <c r="A2353" t="inlineStr">
        <is>
          <t>A 28285-2025</t>
        </is>
      </c>
      <c r="B2353" t="inlineStr">
        <is>
          <t>avverkningsanmälan</t>
        </is>
      </c>
      <c r="C2353" t="inlineStr">
        <is>
          <t>Föryngringsavverkning</t>
        </is>
      </c>
      <c r="D2353" s="1" t="n">
        <v>45818</v>
      </c>
      <c r="E2353" s="1" t="n">
        <v>46309</v>
      </c>
      <c r="F2353" t="inlineStr">
        <is>
          <t>UPPSALA LÄN</t>
        </is>
      </c>
      <c r="G2353" t="inlineStr">
        <is>
          <t>TIERP</t>
        </is>
      </c>
      <c r="H2353" t="inlineStr">
        <is>
          <t>Bergvik skog öst AB</t>
        </is>
      </c>
      <c r="I2353" t="n">
        <v>2</v>
      </c>
      <c r="J2353" t="n">
        <v>0</v>
      </c>
      <c r="K2353" t="n">
        <v>0</v>
      </c>
      <c r="L2353" t="n">
        <v>0</v>
      </c>
      <c r="M2353" t="n">
        <v>0</v>
      </c>
      <c r="N2353" t="n">
        <v>0</v>
      </c>
      <c r="O2353" t="n">
        <v>0</v>
      </c>
      <c r="P2353" t="n">
        <v>0</v>
      </c>
      <c r="Q2353" t="n">
        <v>0</v>
      </c>
      <c r="R2353" t="n">
        <v>0</v>
      </c>
      <c r="S2353" t="n">
        <v>0</v>
      </c>
      <c r="T2353" t="n">
        <v>0</v>
      </c>
      <c r="U2353" t="n">
        <v>0</v>
      </c>
      <c r="V2353" s="2" t="inlineStr"/>
    </row>
    <row r="2354" ht="15" customHeight="1">
      <c r="A2354" t="inlineStr">
        <is>
          <t>A 11379-2025</t>
        </is>
      </c>
      <c r="B2354" t="inlineStr">
        <is>
          <t>avverkningsanmälan</t>
        </is>
      </c>
      <c r="C2354" t="inlineStr">
        <is>
          <t>Föryngringsavverkning</t>
        </is>
      </c>
      <c r="D2354" s="1" t="n">
        <v>45726</v>
      </c>
      <c r="E2354" s="1" t="n">
        <v>46309</v>
      </c>
      <c r="F2354" t="inlineStr">
        <is>
          <t>UPPSALA LÄN</t>
        </is>
      </c>
      <c r="G2354" t="inlineStr">
        <is>
          <t>HEBY</t>
        </is>
      </c>
      <c r="I2354" t="n">
        <v>6.8</v>
      </c>
      <c r="J2354" t="n">
        <v>0</v>
      </c>
      <c r="K2354" t="n">
        <v>0</v>
      </c>
      <c r="L2354" t="n">
        <v>0</v>
      </c>
      <c r="M2354" t="n">
        <v>0</v>
      </c>
      <c r="N2354" t="n">
        <v>0</v>
      </c>
      <c r="O2354" t="n">
        <v>0</v>
      </c>
      <c r="P2354" t="n">
        <v>0</v>
      </c>
      <c r="Q2354" t="n">
        <v>0</v>
      </c>
      <c r="R2354" t="n">
        <v>0</v>
      </c>
      <c r="S2354" t="n">
        <v>0</v>
      </c>
      <c r="T2354" t="n">
        <v>0</v>
      </c>
      <c r="U2354" t="n">
        <v>0</v>
      </c>
      <c r="V2354" s="2" t="inlineStr"/>
    </row>
    <row r="2355" ht="15" customHeight="1">
      <c r="A2355" t="inlineStr">
        <is>
          <t>A 20446-2026</t>
        </is>
      </c>
      <c r="B2355" t="inlineStr">
        <is>
          <t>avverkningsanmälan</t>
        </is>
      </c>
      <c r="C2355" t="inlineStr">
        <is>
          <t>Föryngringsavverkning</t>
        </is>
      </c>
      <c r="D2355" s="1" t="n">
        <v>46140</v>
      </c>
      <c r="E2355" s="1" t="n">
        <v>46309</v>
      </c>
      <c r="F2355" t="inlineStr">
        <is>
          <t>UPPSALA LÄN</t>
        </is>
      </c>
      <c r="G2355" t="inlineStr">
        <is>
          <t>HEBY</t>
        </is>
      </c>
      <c r="H2355" t="inlineStr">
        <is>
          <t>Övriga Aktiebolag</t>
        </is>
      </c>
      <c r="I2355" t="n">
        <v>1.1</v>
      </c>
      <c r="J2355" t="n">
        <v>0</v>
      </c>
      <c r="K2355" t="n">
        <v>0</v>
      </c>
      <c r="L2355" t="n">
        <v>0</v>
      </c>
      <c r="M2355" t="n">
        <v>0</v>
      </c>
      <c r="N2355" t="n">
        <v>0</v>
      </c>
      <c r="O2355" t="n">
        <v>0</v>
      </c>
      <c r="P2355" t="n">
        <v>0</v>
      </c>
      <c r="Q2355" t="n">
        <v>0</v>
      </c>
      <c r="R2355" t="n">
        <v>0</v>
      </c>
      <c r="S2355" t="n">
        <v>0</v>
      </c>
      <c r="T2355" t="n">
        <v>0</v>
      </c>
      <c r="U2355" t="n">
        <v>0</v>
      </c>
      <c r="V2355" s="2" t="inlineStr"/>
    </row>
    <row r="2356" ht="15" customHeight="1">
      <c r="A2356" t="inlineStr">
        <is>
          <t>A 58772-2024</t>
        </is>
      </c>
      <c r="B2356" t="inlineStr">
        <is>
          <t>avverkningsanmälan</t>
        </is>
      </c>
      <c r="C2356" t="inlineStr">
        <is>
          <t>Föryngringsavverkning</t>
        </is>
      </c>
      <c r="D2356" s="1" t="n">
        <v>45635</v>
      </c>
      <c r="E2356" s="1" t="n">
        <v>46309</v>
      </c>
      <c r="F2356" t="inlineStr">
        <is>
          <t>UPPSALA LÄN</t>
        </is>
      </c>
      <c r="G2356" t="inlineStr">
        <is>
          <t>TIERP</t>
        </is>
      </c>
      <c r="I2356" t="n">
        <v>4.7</v>
      </c>
      <c r="J2356" t="n">
        <v>0</v>
      </c>
      <c r="K2356" t="n">
        <v>0</v>
      </c>
      <c r="L2356" t="n">
        <v>0</v>
      </c>
      <c r="M2356" t="n">
        <v>0</v>
      </c>
      <c r="N2356" t="n">
        <v>0</v>
      </c>
      <c r="O2356" t="n">
        <v>0</v>
      </c>
      <c r="P2356" t="n">
        <v>0</v>
      </c>
      <c r="Q2356" t="n">
        <v>0</v>
      </c>
      <c r="R2356" t="n">
        <v>0</v>
      </c>
      <c r="S2356" t="n">
        <v>0</v>
      </c>
      <c r="T2356" t="n">
        <v>0</v>
      </c>
      <c r="U2356" t="n">
        <v>0</v>
      </c>
      <c r="V2356" s="2" t="inlineStr"/>
    </row>
    <row r="2357" ht="15" customHeight="1">
      <c r="A2357" t="inlineStr">
        <is>
          <t>A 5892-2023</t>
        </is>
      </c>
      <c r="B2357" t="inlineStr">
        <is>
          <t>avverkningsanmälan</t>
        </is>
      </c>
      <c r="C2357" t="inlineStr">
        <is>
          <t>Föryngringsavverkning</t>
        </is>
      </c>
      <c r="D2357" s="1" t="n">
        <v>44963</v>
      </c>
      <c r="E2357" s="1" t="n">
        <v>46309</v>
      </c>
      <c r="F2357" t="inlineStr">
        <is>
          <t>UPPSALA LÄN</t>
        </is>
      </c>
      <c r="G2357" t="inlineStr">
        <is>
          <t>ENKÖPING</t>
        </is>
      </c>
      <c r="I2357" t="n">
        <v>5.5</v>
      </c>
      <c r="J2357" t="n">
        <v>0</v>
      </c>
      <c r="K2357" t="n">
        <v>0</v>
      </c>
      <c r="L2357" t="n">
        <v>0</v>
      </c>
      <c r="M2357" t="n">
        <v>0</v>
      </c>
      <c r="N2357" t="n">
        <v>0</v>
      </c>
      <c r="O2357" t="n">
        <v>0</v>
      </c>
      <c r="P2357" t="n">
        <v>0</v>
      </c>
      <c r="Q2357" t="n">
        <v>0</v>
      </c>
      <c r="R2357" t="n">
        <v>0</v>
      </c>
      <c r="S2357" t="n">
        <v>0</v>
      </c>
      <c r="T2357" t="n">
        <v>0</v>
      </c>
      <c r="U2357" t="n">
        <v>0</v>
      </c>
      <c r="V2357" s="2" t="inlineStr"/>
    </row>
    <row r="2358" ht="15" customHeight="1">
      <c r="A2358" t="inlineStr">
        <is>
          <t>A 49989-2025</t>
        </is>
      </c>
      <c r="B2358" t="inlineStr">
        <is>
          <t>avverkningsanmälan</t>
        </is>
      </c>
      <c r="C2358" t="inlineStr">
        <is>
          <t>Föryngringsavverkning</t>
        </is>
      </c>
      <c r="D2358" s="1" t="n">
        <v>45942</v>
      </c>
      <c r="E2358" s="1" t="n">
        <v>46309</v>
      </c>
      <c r="F2358" t="inlineStr">
        <is>
          <t>UPPSALA LÄN</t>
        </is>
      </c>
      <c r="G2358" t="inlineStr">
        <is>
          <t>UPPSALA</t>
        </is>
      </c>
      <c r="I2358" t="n">
        <v>2.4</v>
      </c>
      <c r="J2358" t="n">
        <v>0</v>
      </c>
      <c r="K2358" t="n">
        <v>0</v>
      </c>
      <c r="L2358" t="n">
        <v>0</v>
      </c>
      <c r="M2358" t="n">
        <v>0</v>
      </c>
      <c r="N2358" t="n">
        <v>0</v>
      </c>
      <c r="O2358" t="n">
        <v>0</v>
      </c>
      <c r="P2358" t="n">
        <v>0</v>
      </c>
      <c r="Q2358" t="n">
        <v>0</v>
      </c>
      <c r="R2358" t="n">
        <v>0</v>
      </c>
      <c r="S2358" t="n">
        <v>0</v>
      </c>
      <c r="T2358" t="n">
        <v>0</v>
      </c>
      <c r="U2358" t="n">
        <v>0</v>
      </c>
      <c r="V2358" s="2" t="inlineStr"/>
    </row>
    <row r="2359" ht="15" customHeight="1">
      <c r="A2359" t="inlineStr">
        <is>
          <t>A 70031-2021</t>
        </is>
      </c>
      <c r="B2359" t="inlineStr">
        <is>
          <t>avverkningsanmälan</t>
        </is>
      </c>
      <c r="C2359" t="inlineStr">
        <is>
          <t>Föryngringsavverkning</t>
        </is>
      </c>
      <c r="D2359" s="1" t="n">
        <v>44533</v>
      </c>
      <c r="E2359" s="1" t="n">
        <v>46309</v>
      </c>
      <c r="F2359" t="inlineStr">
        <is>
          <t>UPPSALA LÄN</t>
        </is>
      </c>
      <c r="G2359" t="inlineStr">
        <is>
          <t>UPPSALA</t>
        </is>
      </c>
      <c r="I2359" t="n">
        <v>1.4</v>
      </c>
      <c r="J2359" t="n">
        <v>0</v>
      </c>
      <c r="K2359" t="n">
        <v>0</v>
      </c>
      <c r="L2359" t="n">
        <v>0</v>
      </c>
      <c r="M2359" t="n">
        <v>0</v>
      </c>
      <c r="N2359" t="n">
        <v>0</v>
      </c>
      <c r="O2359" t="n">
        <v>0</v>
      </c>
      <c r="P2359" t="n">
        <v>0</v>
      </c>
      <c r="Q2359" t="n">
        <v>0</v>
      </c>
      <c r="R2359" t="n">
        <v>0</v>
      </c>
      <c r="S2359" t="n">
        <v>0</v>
      </c>
      <c r="T2359" t="n">
        <v>0</v>
      </c>
      <c r="U2359" t="n">
        <v>0</v>
      </c>
      <c r="V2359" s="2" t="inlineStr"/>
    </row>
    <row r="2360" ht="15" customHeight="1">
      <c r="A2360" t="inlineStr">
        <is>
          <t>A 20528-2026</t>
        </is>
      </c>
      <c r="B2360" t="inlineStr">
        <is>
          <t>avverkningsanmälan</t>
        </is>
      </c>
      <c r="C2360" t="inlineStr">
        <is>
          <t>Föryngringsavverkning</t>
        </is>
      </c>
      <c r="D2360" s="1" t="n">
        <v>46140</v>
      </c>
      <c r="E2360" s="1" t="n">
        <v>46309</v>
      </c>
      <c r="F2360" t="inlineStr">
        <is>
          <t>UPPSALA LÄN</t>
        </is>
      </c>
      <c r="G2360" t="inlineStr">
        <is>
          <t>KNIVSTA</t>
        </is>
      </c>
      <c r="I2360" t="n">
        <v>5.7</v>
      </c>
      <c r="J2360" t="n">
        <v>0</v>
      </c>
      <c r="K2360" t="n">
        <v>0</v>
      </c>
      <c r="L2360" t="n">
        <v>0</v>
      </c>
      <c r="M2360" t="n">
        <v>0</v>
      </c>
      <c r="N2360" t="n">
        <v>0</v>
      </c>
      <c r="O2360" t="n">
        <v>0</v>
      </c>
      <c r="P2360" t="n">
        <v>0</v>
      </c>
      <c r="Q2360" t="n">
        <v>0</v>
      </c>
      <c r="R2360" t="n">
        <v>0</v>
      </c>
      <c r="S2360" t="n">
        <v>0</v>
      </c>
      <c r="T2360" t="n">
        <v>0</v>
      </c>
      <c r="U2360" t="n">
        <v>0</v>
      </c>
      <c r="V2360" s="2" t="inlineStr"/>
    </row>
    <row r="2361" ht="15" customHeight="1">
      <c r="A2361" t="inlineStr">
        <is>
          <t>A 39157-2023</t>
        </is>
      </c>
      <c r="B2361" t="inlineStr">
        <is>
          <t>avverkningsanmälan</t>
        </is>
      </c>
      <c r="C2361" t="inlineStr">
        <is>
          <t>Föryngringsavverkning</t>
        </is>
      </c>
      <c r="D2361" s="1" t="n">
        <v>45166</v>
      </c>
      <c r="E2361" s="1" t="n">
        <v>46309</v>
      </c>
      <c r="F2361" t="inlineStr">
        <is>
          <t>UPPSALA LÄN</t>
        </is>
      </c>
      <c r="G2361" t="inlineStr">
        <is>
          <t>HEBY</t>
        </is>
      </c>
      <c r="I2361" t="n">
        <v>1.2</v>
      </c>
      <c r="J2361" t="n">
        <v>0</v>
      </c>
      <c r="K2361" t="n">
        <v>0</v>
      </c>
      <c r="L2361" t="n">
        <v>0</v>
      </c>
      <c r="M2361" t="n">
        <v>0</v>
      </c>
      <c r="N2361" t="n">
        <v>0</v>
      </c>
      <c r="O2361" t="n">
        <v>0</v>
      </c>
      <c r="P2361" t="n">
        <v>0</v>
      </c>
      <c r="Q2361" t="n">
        <v>0</v>
      </c>
      <c r="R2361" t="n">
        <v>0</v>
      </c>
      <c r="S2361" t="n">
        <v>0</v>
      </c>
      <c r="T2361" t="n">
        <v>0</v>
      </c>
      <c r="U2361" t="n">
        <v>0</v>
      </c>
      <c r="V2361" s="2" t="inlineStr"/>
    </row>
    <row r="2362" ht="15" customHeight="1">
      <c r="A2362" t="inlineStr">
        <is>
          <t>A 46512-2024</t>
        </is>
      </c>
      <c r="B2362" t="inlineStr">
        <is>
          <t>avverkningsanmälan</t>
        </is>
      </c>
      <c r="C2362" t="inlineStr">
        <is>
          <t>Föryngringsavverkning</t>
        </is>
      </c>
      <c r="D2362" s="1" t="n">
        <v>45582</v>
      </c>
      <c r="E2362" s="1" t="n">
        <v>46309</v>
      </c>
      <c r="F2362" t="inlineStr">
        <is>
          <t>UPPSALA LÄN</t>
        </is>
      </c>
      <c r="G2362" t="inlineStr">
        <is>
          <t>TIERP</t>
        </is>
      </c>
      <c r="I2362" t="n">
        <v>6.3</v>
      </c>
      <c r="J2362" t="n">
        <v>0</v>
      </c>
      <c r="K2362" t="n">
        <v>0</v>
      </c>
      <c r="L2362" t="n">
        <v>0</v>
      </c>
      <c r="M2362" t="n">
        <v>0</v>
      </c>
      <c r="N2362" t="n">
        <v>0</v>
      </c>
      <c r="O2362" t="n">
        <v>0</v>
      </c>
      <c r="P2362" t="n">
        <v>0</v>
      </c>
      <c r="Q2362" t="n">
        <v>0</v>
      </c>
      <c r="R2362" t="n">
        <v>0</v>
      </c>
      <c r="S2362" t="n">
        <v>0</v>
      </c>
      <c r="T2362" t="n">
        <v>0</v>
      </c>
      <c r="U2362" t="n">
        <v>0</v>
      </c>
      <c r="V2362" s="2" t="inlineStr"/>
    </row>
    <row r="2363" ht="15" customHeight="1">
      <c r="A2363" t="inlineStr">
        <is>
          <t>A 36253-2025</t>
        </is>
      </c>
      <c r="B2363" t="inlineStr">
        <is>
          <t>avverkningsanmälan</t>
        </is>
      </c>
      <c r="C2363" t="inlineStr">
        <is>
          <t>Föryngringsavverkning</t>
        </is>
      </c>
      <c r="D2363" s="1" t="n">
        <v>45867</v>
      </c>
      <c r="E2363" s="1" t="n">
        <v>46309</v>
      </c>
      <c r="F2363" t="inlineStr">
        <is>
          <t>UPPSALA LÄN</t>
        </is>
      </c>
      <c r="G2363" t="inlineStr">
        <is>
          <t>UPPSALA</t>
        </is>
      </c>
      <c r="I2363" t="n">
        <v>1.7</v>
      </c>
      <c r="J2363" t="n">
        <v>0</v>
      </c>
      <c r="K2363" t="n">
        <v>0</v>
      </c>
      <c r="L2363" t="n">
        <v>0</v>
      </c>
      <c r="M2363" t="n">
        <v>0</v>
      </c>
      <c r="N2363" t="n">
        <v>0</v>
      </c>
      <c r="O2363" t="n">
        <v>0</v>
      </c>
      <c r="P2363" t="n">
        <v>0</v>
      </c>
      <c r="Q2363" t="n">
        <v>0</v>
      </c>
      <c r="R2363" t="n">
        <v>0</v>
      </c>
      <c r="S2363" t="n">
        <v>0</v>
      </c>
      <c r="T2363" t="n">
        <v>0</v>
      </c>
      <c r="U2363" t="n">
        <v>0</v>
      </c>
      <c r="V2363" s="2" t="inlineStr"/>
    </row>
    <row r="2364" ht="15" customHeight="1">
      <c r="A2364" t="inlineStr">
        <is>
          <t>A 11503-2023</t>
        </is>
      </c>
      <c r="B2364" t="inlineStr">
        <is>
          <t>avverkningsanmälan</t>
        </is>
      </c>
      <c r="C2364" t="inlineStr">
        <is>
          <t>Föryngringsavverkning</t>
        </is>
      </c>
      <c r="D2364" s="1" t="n">
        <v>44993</v>
      </c>
      <c r="E2364" s="1" t="n">
        <v>46309</v>
      </c>
      <c r="F2364" t="inlineStr">
        <is>
          <t>UPPSALA LÄN</t>
        </is>
      </c>
      <c r="G2364" t="inlineStr">
        <is>
          <t>HEBY</t>
        </is>
      </c>
      <c r="I2364" t="n">
        <v>0.6</v>
      </c>
      <c r="J2364" t="n">
        <v>0</v>
      </c>
      <c r="K2364" t="n">
        <v>0</v>
      </c>
      <c r="L2364" t="n">
        <v>0</v>
      </c>
      <c r="M2364" t="n">
        <v>0</v>
      </c>
      <c r="N2364" t="n">
        <v>0</v>
      </c>
      <c r="O2364" t="n">
        <v>0</v>
      </c>
      <c r="P2364" t="n">
        <v>0</v>
      </c>
      <c r="Q2364" t="n">
        <v>0</v>
      </c>
      <c r="R2364" t="n">
        <v>0</v>
      </c>
      <c r="S2364" t="n">
        <v>0</v>
      </c>
      <c r="T2364" t="n">
        <v>0</v>
      </c>
      <c r="U2364" t="n">
        <v>0</v>
      </c>
      <c r="V2364" s="2" t="inlineStr"/>
    </row>
    <row r="2365" ht="15" customHeight="1">
      <c r="A2365" t="inlineStr">
        <is>
          <t>A 59658-2024</t>
        </is>
      </c>
      <c r="B2365" t="inlineStr">
        <is>
          <t>avverkningsanmälan</t>
        </is>
      </c>
      <c r="C2365" t="inlineStr">
        <is>
          <t>Föryngringsavverkning</t>
        </is>
      </c>
      <c r="D2365" s="1" t="n">
        <v>45639</v>
      </c>
      <c r="E2365" s="1" t="n">
        <v>46309</v>
      </c>
      <c r="F2365" t="inlineStr">
        <is>
          <t>UPPSALA LÄN</t>
        </is>
      </c>
      <c r="G2365" t="inlineStr">
        <is>
          <t>TIERP</t>
        </is>
      </c>
      <c r="I2365" t="n">
        <v>4.9</v>
      </c>
      <c r="J2365" t="n">
        <v>0</v>
      </c>
      <c r="K2365" t="n">
        <v>0</v>
      </c>
      <c r="L2365" t="n">
        <v>0</v>
      </c>
      <c r="M2365" t="n">
        <v>0</v>
      </c>
      <c r="N2365" t="n">
        <v>0</v>
      </c>
      <c r="O2365" t="n">
        <v>0</v>
      </c>
      <c r="P2365" t="n">
        <v>0</v>
      </c>
      <c r="Q2365" t="n">
        <v>0</v>
      </c>
      <c r="R2365" t="n">
        <v>0</v>
      </c>
      <c r="S2365" t="n">
        <v>0</v>
      </c>
      <c r="T2365" t="n">
        <v>0</v>
      </c>
      <c r="U2365" t="n">
        <v>0</v>
      </c>
      <c r="V2365" s="2" t="inlineStr"/>
    </row>
    <row r="2366" ht="15" customHeight="1">
      <c r="A2366" t="inlineStr">
        <is>
          <t>A 20787-2026</t>
        </is>
      </c>
      <c r="B2366" t="inlineStr">
        <is>
          <t>avverkningsanmälan</t>
        </is>
      </c>
      <c r="C2366" t="inlineStr">
        <is>
          <t>Föryngringsavverkning</t>
        </is>
      </c>
      <c r="D2366" s="1" t="n">
        <v>46141</v>
      </c>
      <c r="E2366" s="1" t="n">
        <v>46309</v>
      </c>
      <c r="F2366" t="inlineStr">
        <is>
          <t>UPPSALA LÄN</t>
        </is>
      </c>
      <c r="G2366" t="inlineStr">
        <is>
          <t>TIERP</t>
        </is>
      </c>
      <c r="H2366" t="inlineStr">
        <is>
          <t>Bergvik skog väst AB</t>
        </is>
      </c>
      <c r="I2366" t="n">
        <v>1.8</v>
      </c>
      <c r="J2366" t="n">
        <v>0</v>
      </c>
      <c r="K2366" t="n">
        <v>0</v>
      </c>
      <c r="L2366" t="n">
        <v>0</v>
      </c>
      <c r="M2366" t="n">
        <v>0</v>
      </c>
      <c r="N2366" t="n">
        <v>0</v>
      </c>
      <c r="O2366" t="n">
        <v>0</v>
      </c>
      <c r="P2366" t="n">
        <v>0</v>
      </c>
      <c r="Q2366" t="n">
        <v>0</v>
      </c>
      <c r="R2366" t="n">
        <v>0</v>
      </c>
      <c r="S2366" t="n">
        <v>0</v>
      </c>
      <c r="T2366" t="n">
        <v>0</v>
      </c>
      <c r="U2366" t="n">
        <v>0</v>
      </c>
      <c r="V2366" s="2" t="inlineStr"/>
    </row>
    <row r="2367" ht="15" customHeight="1">
      <c r="A2367" t="inlineStr">
        <is>
          <t>A 5204-2025</t>
        </is>
      </c>
      <c r="B2367" t="inlineStr">
        <is>
          <t>avverkningsanmälan</t>
        </is>
      </c>
      <c r="C2367" t="inlineStr">
        <is>
          <t>Föryngringsavverkning</t>
        </is>
      </c>
      <c r="D2367" s="1" t="n">
        <v>45691</v>
      </c>
      <c r="E2367" s="1" t="n">
        <v>46309</v>
      </c>
      <c r="F2367" t="inlineStr">
        <is>
          <t>UPPSALA LÄN</t>
        </is>
      </c>
      <c r="G2367" t="inlineStr">
        <is>
          <t>UPPSALA</t>
        </is>
      </c>
      <c r="I2367" t="n">
        <v>3.7</v>
      </c>
      <c r="J2367" t="n">
        <v>0</v>
      </c>
      <c r="K2367" t="n">
        <v>0</v>
      </c>
      <c r="L2367" t="n">
        <v>0</v>
      </c>
      <c r="M2367" t="n">
        <v>0</v>
      </c>
      <c r="N2367" t="n">
        <v>0</v>
      </c>
      <c r="O2367" t="n">
        <v>0</v>
      </c>
      <c r="P2367" t="n">
        <v>0</v>
      </c>
      <c r="Q2367" t="n">
        <v>0</v>
      </c>
      <c r="R2367" t="n">
        <v>0</v>
      </c>
      <c r="S2367" t="n">
        <v>0</v>
      </c>
      <c r="T2367" t="n">
        <v>0</v>
      </c>
      <c r="U2367" t="n">
        <v>0</v>
      </c>
      <c r="V2367" s="2" t="inlineStr"/>
    </row>
    <row r="2368" ht="15" customHeight="1">
      <c r="A2368" t="inlineStr">
        <is>
          <t>A 39858-2024</t>
        </is>
      </c>
      <c r="B2368" t="inlineStr">
        <is>
          <t>avverkningsanmälan</t>
        </is>
      </c>
      <c r="C2368" t="inlineStr">
        <is>
          <t>Avverkning för annat ändamål</t>
        </is>
      </c>
      <c r="D2368" s="1" t="n">
        <v>45553</v>
      </c>
      <c r="E2368" s="1" t="n">
        <v>46309</v>
      </c>
      <c r="F2368" t="inlineStr">
        <is>
          <t>UPPSALA LÄN</t>
        </is>
      </c>
      <c r="G2368" t="inlineStr">
        <is>
          <t>ENKÖPING</t>
        </is>
      </c>
      <c r="I2368" t="n">
        <v>0.7</v>
      </c>
      <c r="J2368" t="n">
        <v>0</v>
      </c>
      <c r="K2368" t="n">
        <v>0</v>
      </c>
      <c r="L2368" t="n">
        <v>0</v>
      </c>
      <c r="M2368" t="n">
        <v>0</v>
      </c>
      <c r="N2368" t="n">
        <v>0</v>
      </c>
      <c r="O2368" t="n">
        <v>0</v>
      </c>
      <c r="P2368" t="n">
        <v>0</v>
      </c>
      <c r="Q2368" t="n">
        <v>0</v>
      </c>
      <c r="R2368" t="n">
        <v>0</v>
      </c>
      <c r="S2368" t="n">
        <v>0</v>
      </c>
      <c r="T2368" t="n">
        <v>0</v>
      </c>
      <c r="U2368" t="n">
        <v>0</v>
      </c>
      <c r="V2368" s="2" t="inlineStr"/>
    </row>
    <row r="2369" ht="15" customHeight="1">
      <c r="A2369" t="inlineStr">
        <is>
          <t>A 32181-2024</t>
        </is>
      </c>
      <c r="B2369" t="inlineStr">
        <is>
          <t>avverkningsanmälan</t>
        </is>
      </c>
      <c r="C2369" t="inlineStr">
        <is>
          <t>Föryngringsavverkning</t>
        </is>
      </c>
      <c r="D2369" s="1" t="n">
        <v>45511</v>
      </c>
      <c r="E2369" s="1" t="n">
        <v>46309</v>
      </c>
      <c r="F2369" t="inlineStr">
        <is>
          <t>UPPSALA LÄN</t>
        </is>
      </c>
      <c r="G2369" t="inlineStr">
        <is>
          <t>HEBY</t>
        </is>
      </c>
      <c r="I2369" t="n">
        <v>0.6</v>
      </c>
      <c r="J2369" t="n">
        <v>0</v>
      </c>
      <c r="K2369" t="n">
        <v>0</v>
      </c>
      <c r="L2369" t="n">
        <v>0</v>
      </c>
      <c r="M2369" t="n">
        <v>0</v>
      </c>
      <c r="N2369" t="n">
        <v>0</v>
      </c>
      <c r="O2369" t="n">
        <v>0</v>
      </c>
      <c r="P2369" t="n">
        <v>0</v>
      </c>
      <c r="Q2369" t="n">
        <v>0</v>
      </c>
      <c r="R2369" t="n">
        <v>0</v>
      </c>
      <c r="S2369" t="n">
        <v>0</v>
      </c>
      <c r="T2369" t="n">
        <v>0</v>
      </c>
      <c r="U2369" t="n">
        <v>0</v>
      </c>
      <c r="V2369" s="2" t="inlineStr"/>
    </row>
    <row r="2370" ht="15" customHeight="1">
      <c r="A2370" t="inlineStr">
        <is>
          <t>A 41223-2023</t>
        </is>
      </c>
      <c r="B2370" t="inlineStr">
        <is>
          <t>avverkningsanmälan</t>
        </is>
      </c>
      <c r="C2370" t="inlineStr">
        <is>
          <t>Föryngringsavverkning</t>
        </is>
      </c>
      <c r="D2370" s="1" t="n">
        <v>45174</v>
      </c>
      <c r="E2370" s="1" t="n">
        <v>46309</v>
      </c>
      <c r="F2370" t="inlineStr">
        <is>
          <t>UPPSALA LÄN</t>
        </is>
      </c>
      <c r="G2370" t="inlineStr">
        <is>
          <t>TIERP</t>
        </is>
      </c>
      <c r="I2370" t="n">
        <v>3.3</v>
      </c>
      <c r="J2370" t="n">
        <v>0</v>
      </c>
      <c r="K2370" t="n">
        <v>0</v>
      </c>
      <c r="L2370" t="n">
        <v>0</v>
      </c>
      <c r="M2370" t="n">
        <v>0</v>
      </c>
      <c r="N2370" t="n">
        <v>0</v>
      </c>
      <c r="O2370" t="n">
        <v>0</v>
      </c>
      <c r="P2370" t="n">
        <v>0</v>
      </c>
      <c r="Q2370" t="n">
        <v>0</v>
      </c>
      <c r="R2370" t="n">
        <v>0</v>
      </c>
      <c r="S2370" t="n">
        <v>0</v>
      </c>
      <c r="T2370" t="n">
        <v>0</v>
      </c>
      <c r="U2370" t="n">
        <v>0</v>
      </c>
      <c r="V2370" s="2" t="inlineStr"/>
    </row>
    <row r="2371" ht="15" customHeight="1">
      <c r="A2371" t="inlineStr">
        <is>
          <t>A 73965-2021</t>
        </is>
      </c>
      <c r="B2371" t="inlineStr">
        <is>
          <t>avverkningsanmälan</t>
        </is>
      </c>
      <c r="C2371" t="inlineStr">
        <is>
          <t>Föryngringsavverkning</t>
        </is>
      </c>
      <c r="D2371" s="1" t="n">
        <v>44553</v>
      </c>
      <c r="E2371" s="1" t="n">
        <v>46309</v>
      </c>
      <c r="F2371" t="inlineStr">
        <is>
          <t>UPPSALA LÄN</t>
        </is>
      </c>
      <c r="G2371" t="inlineStr">
        <is>
          <t>ÖSTHAMMAR</t>
        </is>
      </c>
      <c r="H2371" t="inlineStr">
        <is>
          <t>Bergvik skog öst AB</t>
        </is>
      </c>
      <c r="I2371" t="n">
        <v>1.3</v>
      </c>
      <c r="J2371" t="n">
        <v>0</v>
      </c>
      <c r="K2371" t="n">
        <v>0</v>
      </c>
      <c r="L2371" t="n">
        <v>0</v>
      </c>
      <c r="M2371" t="n">
        <v>0</v>
      </c>
      <c r="N2371" t="n">
        <v>0</v>
      </c>
      <c r="O2371" t="n">
        <v>0</v>
      </c>
      <c r="P2371" t="n">
        <v>0</v>
      </c>
      <c r="Q2371" t="n">
        <v>0</v>
      </c>
      <c r="R2371" t="n">
        <v>0</v>
      </c>
      <c r="S2371" t="n">
        <v>0</v>
      </c>
      <c r="T2371" t="n">
        <v>0</v>
      </c>
      <c r="U2371" t="n">
        <v>0</v>
      </c>
      <c r="V2371" s="2" t="inlineStr"/>
    </row>
    <row r="2372" ht="15" customHeight="1">
      <c r="A2372" t="inlineStr">
        <is>
          <t>A 20779-2026</t>
        </is>
      </c>
      <c r="B2372" t="inlineStr">
        <is>
          <t>avverkningsanmälan</t>
        </is>
      </c>
      <c r="C2372" t="inlineStr">
        <is>
          <t>Föryngringsavverkning</t>
        </is>
      </c>
      <c r="D2372" s="1" t="n">
        <v>46141</v>
      </c>
      <c r="E2372" s="1" t="n">
        <v>46309</v>
      </c>
      <c r="F2372" t="inlineStr">
        <is>
          <t>UPPSALA LÄN</t>
        </is>
      </c>
      <c r="G2372" t="inlineStr">
        <is>
          <t>ÖSTHAMMAR</t>
        </is>
      </c>
      <c r="H2372" t="inlineStr">
        <is>
          <t>Övriga Aktiebolag</t>
        </is>
      </c>
      <c r="I2372" t="n">
        <v>2.5</v>
      </c>
      <c r="J2372" t="n">
        <v>0</v>
      </c>
      <c r="K2372" t="n">
        <v>0</v>
      </c>
      <c r="L2372" t="n">
        <v>0</v>
      </c>
      <c r="M2372" t="n">
        <v>0</v>
      </c>
      <c r="N2372" t="n">
        <v>0</v>
      </c>
      <c r="O2372" t="n">
        <v>0</v>
      </c>
      <c r="P2372" t="n">
        <v>0</v>
      </c>
      <c r="Q2372" t="n">
        <v>0</v>
      </c>
      <c r="R2372" t="n">
        <v>0</v>
      </c>
      <c r="S2372" t="n">
        <v>0</v>
      </c>
      <c r="T2372" t="n">
        <v>0</v>
      </c>
      <c r="U2372" t="n">
        <v>0</v>
      </c>
      <c r="V2372" s="2" t="inlineStr"/>
    </row>
    <row r="2373" ht="15" customHeight="1">
      <c r="A2373" t="inlineStr">
        <is>
          <t>A 28670-2025</t>
        </is>
      </c>
      <c r="B2373" t="inlineStr">
        <is>
          <t>avverkningsanmälan</t>
        </is>
      </c>
      <c r="C2373" t="inlineStr">
        <is>
          <t>Föryngringsavverkning</t>
        </is>
      </c>
      <c r="D2373" s="1" t="n">
        <v>45819</v>
      </c>
      <c r="E2373" s="1" t="n">
        <v>46309</v>
      </c>
      <c r="F2373" t="inlineStr">
        <is>
          <t>UPPSALA LÄN</t>
        </is>
      </c>
      <c r="G2373" t="inlineStr">
        <is>
          <t>ÄLVKARLEBY</t>
        </is>
      </c>
      <c r="H2373" t="inlineStr">
        <is>
          <t>Bergvik skog väst AB</t>
        </is>
      </c>
      <c r="I2373" t="n">
        <v>1.6</v>
      </c>
      <c r="J2373" t="n">
        <v>0</v>
      </c>
      <c r="K2373" t="n">
        <v>0</v>
      </c>
      <c r="L2373" t="n">
        <v>0</v>
      </c>
      <c r="M2373" t="n">
        <v>0</v>
      </c>
      <c r="N2373" t="n">
        <v>0</v>
      </c>
      <c r="O2373" t="n">
        <v>0</v>
      </c>
      <c r="P2373" t="n">
        <v>0</v>
      </c>
      <c r="Q2373" t="n">
        <v>0</v>
      </c>
      <c r="R2373" t="n">
        <v>0</v>
      </c>
      <c r="S2373" t="n">
        <v>0</v>
      </c>
      <c r="T2373" t="n">
        <v>0</v>
      </c>
      <c r="U2373" t="n">
        <v>0</v>
      </c>
      <c r="V2373" s="2" t="inlineStr"/>
    </row>
    <row r="2374" ht="15" customHeight="1">
      <c r="A2374" t="inlineStr">
        <is>
          <t>A 14878-2026</t>
        </is>
      </c>
      <c r="B2374" t="inlineStr">
        <is>
          <t>avverkningsanmälan</t>
        </is>
      </c>
      <c r="C2374" t="inlineStr">
        <is>
          <t>Föryngringsavverkning</t>
        </is>
      </c>
      <c r="D2374" s="1" t="n">
        <v>46104</v>
      </c>
      <c r="E2374" s="1" t="n">
        <v>46309</v>
      </c>
      <c r="F2374" t="inlineStr">
        <is>
          <t>UPPSALA LÄN</t>
        </is>
      </c>
      <c r="G2374" t="inlineStr">
        <is>
          <t>ÖSTHAMMAR</t>
        </is>
      </c>
      <c r="H2374" t="inlineStr">
        <is>
          <t>Övriga Aktiebolag</t>
        </is>
      </c>
      <c r="I2374" t="n">
        <v>1.3</v>
      </c>
      <c r="J2374" t="n">
        <v>0</v>
      </c>
      <c r="K2374" t="n">
        <v>0</v>
      </c>
      <c r="L2374" t="n">
        <v>0</v>
      </c>
      <c r="M2374" t="n">
        <v>0</v>
      </c>
      <c r="N2374" t="n">
        <v>0</v>
      </c>
      <c r="O2374" t="n">
        <v>0</v>
      </c>
      <c r="P2374" t="n">
        <v>0</v>
      </c>
      <c r="Q2374" t="n">
        <v>0</v>
      </c>
      <c r="R2374" t="n">
        <v>0</v>
      </c>
      <c r="S2374" t="n">
        <v>0</v>
      </c>
      <c r="T2374" t="n">
        <v>0</v>
      </c>
      <c r="U2374" t="n">
        <v>0</v>
      </c>
      <c r="V2374" s="2" t="inlineStr"/>
    </row>
    <row r="2375" ht="15" customHeight="1">
      <c r="A2375" t="inlineStr">
        <is>
          <t>A 41272-2023</t>
        </is>
      </c>
      <c r="B2375" t="inlineStr">
        <is>
          <t>avverkningsanmälan</t>
        </is>
      </c>
      <c r="C2375" t="inlineStr">
        <is>
          <t>Föryngringsavverkning</t>
        </is>
      </c>
      <c r="D2375" s="1" t="n">
        <v>45174</v>
      </c>
      <c r="E2375" s="1" t="n">
        <v>46309</v>
      </c>
      <c r="F2375" t="inlineStr">
        <is>
          <t>UPPSALA LÄN</t>
        </is>
      </c>
      <c r="G2375" t="inlineStr">
        <is>
          <t>ÄLVKARLEBY</t>
        </is>
      </c>
      <c r="H2375" t="inlineStr">
        <is>
          <t>Bergvik skog väst AB</t>
        </is>
      </c>
      <c r="I2375" t="n">
        <v>0.9</v>
      </c>
      <c r="J2375" t="n">
        <v>0</v>
      </c>
      <c r="K2375" t="n">
        <v>0</v>
      </c>
      <c r="L2375" t="n">
        <v>0</v>
      </c>
      <c r="M2375" t="n">
        <v>0</v>
      </c>
      <c r="N2375" t="n">
        <v>0</v>
      </c>
      <c r="O2375" t="n">
        <v>0</v>
      </c>
      <c r="P2375" t="n">
        <v>0</v>
      </c>
      <c r="Q2375" t="n">
        <v>0</v>
      </c>
      <c r="R2375" t="n">
        <v>0</v>
      </c>
      <c r="S2375" t="n">
        <v>0</v>
      </c>
      <c r="T2375" t="n">
        <v>0</v>
      </c>
      <c r="U2375" t="n">
        <v>0</v>
      </c>
      <c r="V2375" s="2" t="inlineStr"/>
    </row>
    <row r="2376" ht="15" customHeight="1">
      <c r="A2376" t="inlineStr">
        <is>
          <t>A 70228-2021</t>
        </is>
      </c>
      <c r="B2376" t="inlineStr">
        <is>
          <t>avverkningsanmälan</t>
        </is>
      </c>
      <c r="C2376" t="inlineStr">
        <is>
          <t>Föryngringsavverkning</t>
        </is>
      </c>
      <c r="D2376" s="1" t="n">
        <v>44535</v>
      </c>
      <c r="E2376" s="1" t="n">
        <v>46309</v>
      </c>
      <c r="F2376" t="inlineStr">
        <is>
          <t>UPPSALA LÄN</t>
        </is>
      </c>
      <c r="G2376" t="inlineStr">
        <is>
          <t>UPPSALA</t>
        </is>
      </c>
      <c r="I2376" t="n">
        <v>1.8</v>
      </c>
      <c r="J2376" t="n">
        <v>0</v>
      </c>
      <c r="K2376" t="n">
        <v>0</v>
      </c>
      <c r="L2376" t="n">
        <v>0</v>
      </c>
      <c r="M2376" t="n">
        <v>0</v>
      </c>
      <c r="N2376" t="n">
        <v>0</v>
      </c>
      <c r="O2376" t="n">
        <v>0</v>
      </c>
      <c r="P2376" t="n">
        <v>0</v>
      </c>
      <c r="Q2376" t="n">
        <v>0</v>
      </c>
      <c r="R2376" t="n">
        <v>0</v>
      </c>
      <c r="S2376" t="n">
        <v>0</v>
      </c>
      <c r="T2376" t="n">
        <v>0</v>
      </c>
      <c r="U2376" t="n">
        <v>0</v>
      </c>
      <c r="V2376" s="2" t="inlineStr"/>
    </row>
    <row r="2377" ht="15" customHeight="1">
      <c r="A2377" t="inlineStr">
        <is>
          <t>A 12221-2022</t>
        </is>
      </c>
      <c r="B2377" t="inlineStr">
        <is>
          <t>avverkningsanmälan</t>
        </is>
      </c>
      <c r="C2377" t="inlineStr">
        <is>
          <t>Föryngringsavverkning</t>
        </is>
      </c>
      <c r="D2377" s="1" t="n">
        <v>44637</v>
      </c>
      <c r="E2377" s="1" t="n">
        <v>46309</v>
      </c>
      <c r="F2377" t="inlineStr">
        <is>
          <t>UPPSALA LÄN</t>
        </is>
      </c>
      <c r="G2377" t="inlineStr">
        <is>
          <t>UPPSALA</t>
        </is>
      </c>
      <c r="I2377" t="n">
        <v>1.4</v>
      </c>
      <c r="J2377" t="n">
        <v>0</v>
      </c>
      <c r="K2377" t="n">
        <v>0</v>
      </c>
      <c r="L2377" t="n">
        <v>0</v>
      </c>
      <c r="M2377" t="n">
        <v>0</v>
      </c>
      <c r="N2377" t="n">
        <v>0</v>
      </c>
      <c r="O2377" t="n">
        <v>0</v>
      </c>
      <c r="P2377" t="n">
        <v>0</v>
      </c>
      <c r="Q2377" t="n">
        <v>0</v>
      </c>
      <c r="R2377" t="n">
        <v>0</v>
      </c>
      <c r="S2377" t="n">
        <v>0</v>
      </c>
      <c r="T2377" t="n">
        <v>0</v>
      </c>
      <c r="U2377" t="n">
        <v>0</v>
      </c>
      <c r="V2377" s="2" t="inlineStr"/>
    </row>
    <row r="2378" ht="15" customHeight="1">
      <c r="A2378" t="inlineStr">
        <is>
          <t>A 15055-2024</t>
        </is>
      </c>
      <c r="B2378" t="inlineStr">
        <is>
          <t>avverkningsanmälan</t>
        </is>
      </c>
      <c r="C2378" t="inlineStr">
        <is>
          <t>Föryngringsavverkning</t>
        </is>
      </c>
      <c r="D2378" s="1" t="n">
        <v>45399</v>
      </c>
      <c r="E2378" s="1" t="n">
        <v>46309</v>
      </c>
      <c r="F2378" t="inlineStr">
        <is>
          <t>UPPSALA LÄN</t>
        </is>
      </c>
      <c r="G2378" t="inlineStr">
        <is>
          <t>TIERP</t>
        </is>
      </c>
      <c r="I2378" t="n">
        <v>2.9</v>
      </c>
      <c r="J2378" t="n">
        <v>0</v>
      </c>
      <c r="K2378" t="n">
        <v>0</v>
      </c>
      <c r="L2378" t="n">
        <v>0</v>
      </c>
      <c r="M2378" t="n">
        <v>0</v>
      </c>
      <c r="N2378" t="n">
        <v>0</v>
      </c>
      <c r="O2378" t="n">
        <v>0</v>
      </c>
      <c r="P2378" t="n">
        <v>0</v>
      </c>
      <c r="Q2378" t="n">
        <v>0</v>
      </c>
      <c r="R2378" t="n">
        <v>0</v>
      </c>
      <c r="S2378" t="n">
        <v>0</v>
      </c>
      <c r="T2378" t="n">
        <v>0</v>
      </c>
      <c r="U2378" t="n">
        <v>0</v>
      </c>
      <c r="V2378" s="2" t="inlineStr"/>
    </row>
    <row r="2379" ht="15" customHeight="1">
      <c r="A2379" t="inlineStr">
        <is>
          <t>A 64364-2021</t>
        </is>
      </c>
      <c r="B2379" t="inlineStr">
        <is>
          <t>avverkningsanmälan</t>
        </is>
      </c>
      <c r="C2379" t="inlineStr">
        <is>
          <t>Föryngringsavverkning</t>
        </is>
      </c>
      <c r="D2379" s="1" t="n">
        <v>44511</v>
      </c>
      <c r="E2379" s="1" t="n">
        <v>46309</v>
      </c>
      <c r="F2379" t="inlineStr">
        <is>
          <t>UPPSALA LÄN</t>
        </is>
      </c>
      <c r="G2379" t="inlineStr">
        <is>
          <t>HEBY</t>
        </is>
      </c>
      <c r="I2379" t="n">
        <v>1.4</v>
      </c>
      <c r="J2379" t="n">
        <v>0</v>
      </c>
      <c r="K2379" t="n">
        <v>0</v>
      </c>
      <c r="L2379" t="n">
        <v>0</v>
      </c>
      <c r="M2379" t="n">
        <v>0</v>
      </c>
      <c r="N2379" t="n">
        <v>0</v>
      </c>
      <c r="O2379" t="n">
        <v>0</v>
      </c>
      <c r="P2379" t="n">
        <v>0</v>
      </c>
      <c r="Q2379" t="n">
        <v>0</v>
      </c>
      <c r="R2379" t="n">
        <v>0</v>
      </c>
      <c r="S2379" t="n">
        <v>0</v>
      </c>
      <c r="T2379" t="n">
        <v>0</v>
      </c>
      <c r="U2379" t="n">
        <v>0</v>
      </c>
      <c r="V2379" s="2" t="inlineStr"/>
    </row>
    <row r="2380" ht="15" customHeight="1">
      <c r="A2380" t="inlineStr">
        <is>
          <t>A 73592-2021</t>
        </is>
      </c>
      <c r="B2380" t="inlineStr">
        <is>
          <t>avverkningsanmälan</t>
        </is>
      </c>
      <c r="C2380" t="inlineStr">
        <is>
          <t>Föryngringsavverkning</t>
        </is>
      </c>
      <c r="D2380" s="1" t="n">
        <v>44552</v>
      </c>
      <c r="E2380" s="1" t="n">
        <v>46309</v>
      </c>
      <c r="F2380" t="inlineStr">
        <is>
          <t>UPPSALA LÄN</t>
        </is>
      </c>
      <c r="G2380" t="inlineStr">
        <is>
          <t>ÖSTHAMMAR</t>
        </is>
      </c>
      <c r="I2380" t="n">
        <v>1.7</v>
      </c>
      <c r="J2380" t="n">
        <v>0</v>
      </c>
      <c r="K2380" t="n">
        <v>0</v>
      </c>
      <c r="L2380" t="n">
        <v>0</v>
      </c>
      <c r="M2380" t="n">
        <v>0</v>
      </c>
      <c r="N2380" t="n">
        <v>0</v>
      </c>
      <c r="O2380" t="n">
        <v>0</v>
      </c>
      <c r="P2380" t="n">
        <v>0</v>
      </c>
      <c r="Q2380" t="n">
        <v>0</v>
      </c>
      <c r="R2380" t="n">
        <v>0</v>
      </c>
      <c r="S2380" t="n">
        <v>0</v>
      </c>
      <c r="T2380" t="n">
        <v>0</v>
      </c>
      <c r="U2380" t="n">
        <v>0</v>
      </c>
      <c r="V2380" s="2" t="inlineStr"/>
    </row>
    <row r="2381" ht="15" customHeight="1">
      <c r="A2381" t="inlineStr">
        <is>
          <t>A 20777-2026</t>
        </is>
      </c>
      <c r="B2381" t="inlineStr">
        <is>
          <t>avverkningsanmälan</t>
        </is>
      </c>
      <c r="C2381" t="inlineStr">
        <is>
          <t>Föryngringsavverkning</t>
        </is>
      </c>
      <c r="D2381" s="1" t="n">
        <v>46141</v>
      </c>
      <c r="E2381" s="1" t="n">
        <v>46309</v>
      </c>
      <c r="F2381" t="inlineStr">
        <is>
          <t>UPPSALA LÄN</t>
        </is>
      </c>
      <c r="G2381" t="inlineStr">
        <is>
          <t>UPPSALA</t>
        </is>
      </c>
      <c r="H2381" t="inlineStr">
        <is>
          <t>Holmen skog AB</t>
        </is>
      </c>
      <c r="I2381" t="n">
        <v>5.3</v>
      </c>
      <c r="J2381" t="n">
        <v>0</v>
      </c>
      <c r="K2381" t="n">
        <v>0</v>
      </c>
      <c r="L2381" t="n">
        <v>0</v>
      </c>
      <c r="M2381" t="n">
        <v>0</v>
      </c>
      <c r="N2381" t="n">
        <v>0</v>
      </c>
      <c r="O2381" t="n">
        <v>0</v>
      </c>
      <c r="P2381" t="n">
        <v>0</v>
      </c>
      <c r="Q2381" t="n">
        <v>0</v>
      </c>
      <c r="R2381" t="n">
        <v>0</v>
      </c>
      <c r="S2381" t="n">
        <v>0</v>
      </c>
      <c r="T2381" t="n">
        <v>0</v>
      </c>
      <c r="U2381" t="n">
        <v>0</v>
      </c>
      <c r="V2381" s="2" t="inlineStr"/>
    </row>
    <row r="2382" ht="15" customHeight="1">
      <c r="A2382" t="inlineStr">
        <is>
          <t>A 31479-2023</t>
        </is>
      </c>
      <c r="B2382" t="inlineStr">
        <is>
          <t>avverkningsanmälan</t>
        </is>
      </c>
      <c r="C2382" t="inlineStr">
        <is>
          <t>Föryngringsavverkning</t>
        </is>
      </c>
      <c r="D2382" s="1" t="n">
        <v>45114</v>
      </c>
      <c r="E2382" s="1" t="n">
        <v>46309</v>
      </c>
      <c r="F2382" t="inlineStr">
        <is>
          <t>UPPSALA LÄN</t>
        </is>
      </c>
      <c r="G2382" t="inlineStr">
        <is>
          <t>ÖSTHAMMAR</t>
        </is>
      </c>
      <c r="H2382" t="inlineStr">
        <is>
          <t>Bergvik skog öst AB</t>
        </is>
      </c>
      <c r="I2382" t="n">
        <v>1.9</v>
      </c>
      <c r="J2382" t="n">
        <v>0</v>
      </c>
      <c r="K2382" t="n">
        <v>0</v>
      </c>
      <c r="L2382" t="n">
        <v>0</v>
      </c>
      <c r="M2382" t="n">
        <v>0</v>
      </c>
      <c r="N2382" t="n">
        <v>0</v>
      </c>
      <c r="O2382" t="n">
        <v>0</v>
      </c>
      <c r="P2382" t="n">
        <v>0</v>
      </c>
      <c r="Q2382" t="n">
        <v>0</v>
      </c>
      <c r="R2382" t="n">
        <v>0</v>
      </c>
      <c r="S2382" t="n">
        <v>0</v>
      </c>
      <c r="T2382" t="n">
        <v>0</v>
      </c>
      <c r="U2382" t="n">
        <v>0</v>
      </c>
      <c r="V2382" s="2" t="inlineStr"/>
    </row>
    <row r="2383" ht="15" customHeight="1">
      <c r="A2383" t="inlineStr">
        <is>
          <t>A 26100-2025</t>
        </is>
      </c>
      <c r="B2383" t="inlineStr">
        <is>
          <t>avverkningsanmälan</t>
        </is>
      </c>
      <c r="C2383" t="inlineStr">
        <is>
          <t>Föryngringsavverkning</t>
        </is>
      </c>
      <c r="D2383" s="1" t="n">
        <v>45805</v>
      </c>
      <c r="E2383" s="1" t="n">
        <v>46309</v>
      </c>
      <c r="F2383" t="inlineStr">
        <is>
          <t>UPPSALA LÄN</t>
        </is>
      </c>
      <c r="G2383" t="inlineStr">
        <is>
          <t>HEBY</t>
        </is>
      </c>
      <c r="I2383" t="n">
        <v>4.6</v>
      </c>
      <c r="J2383" t="n">
        <v>0</v>
      </c>
      <c r="K2383" t="n">
        <v>0</v>
      </c>
      <c r="L2383" t="n">
        <v>0</v>
      </c>
      <c r="M2383" t="n">
        <v>0</v>
      </c>
      <c r="N2383" t="n">
        <v>0</v>
      </c>
      <c r="O2383" t="n">
        <v>0</v>
      </c>
      <c r="P2383" t="n">
        <v>0</v>
      </c>
      <c r="Q2383" t="n">
        <v>0</v>
      </c>
      <c r="R2383" t="n">
        <v>0</v>
      </c>
      <c r="S2383" t="n">
        <v>0</v>
      </c>
      <c r="T2383" t="n">
        <v>0</v>
      </c>
      <c r="U2383" t="n">
        <v>0</v>
      </c>
      <c r="V2383" s="2" t="inlineStr"/>
    </row>
    <row r="2384" ht="15" customHeight="1">
      <c r="A2384" t="inlineStr">
        <is>
          <t>A 24128-2023</t>
        </is>
      </c>
      <c r="B2384" t="inlineStr">
        <is>
          <t>avverkningsanmälan</t>
        </is>
      </c>
      <c r="C2384" t="inlineStr">
        <is>
          <t>Föryngringsavverkning</t>
        </is>
      </c>
      <c r="D2384" s="1" t="n">
        <v>45079</v>
      </c>
      <c r="E2384" s="1" t="n">
        <v>46309</v>
      </c>
      <c r="F2384" t="inlineStr">
        <is>
          <t>UPPSALA LÄN</t>
        </is>
      </c>
      <c r="G2384" t="inlineStr">
        <is>
          <t>ÖSTHAMMAR</t>
        </is>
      </c>
      <c r="I2384" t="n">
        <v>0.6</v>
      </c>
      <c r="J2384" t="n">
        <v>0</v>
      </c>
      <c r="K2384" t="n">
        <v>0</v>
      </c>
      <c r="L2384" t="n">
        <v>0</v>
      </c>
      <c r="M2384" t="n">
        <v>0</v>
      </c>
      <c r="N2384" t="n">
        <v>0</v>
      </c>
      <c r="O2384" t="n">
        <v>0</v>
      </c>
      <c r="P2384" t="n">
        <v>0</v>
      </c>
      <c r="Q2384" t="n">
        <v>0</v>
      </c>
      <c r="R2384" t="n">
        <v>0</v>
      </c>
      <c r="S2384" t="n">
        <v>0</v>
      </c>
      <c r="T2384" t="n">
        <v>0</v>
      </c>
      <c r="U2384" t="n">
        <v>0</v>
      </c>
      <c r="V2384" s="2" t="inlineStr"/>
    </row>
    <row r="2385" ht="15" customHeight="1">
      <c r="A2385" t="inlineStr">
        <is>
          <t>A 13687-2024</t>
        </is>
      </c>
      <c r="B2385" t="inlineStr">
        <is>
          <t>avverkningsanmälan</t>
        </is>
      </c>
      <c r="C2385" t="inlineStr">
        <is>
          <t>Föryngringsavverkning</t>
        </is>
      </c>
      <c r="D2385" s="1" t="n">
        <v>45390</v>
      </c>
      <c r="E2385" s="1" t="n">
        <v>46309</v>
      </c>
      <c r="F2385" t="inlineStr">
        <is>
          <t>UPPSALA LÄN</t>
        </is>
      </c>
      <c r="G2385" t="inlineStr">
        <is>
          <t>TIERP</t>
        </is>
      </c>
      <c r="H2385" t="inlineStr">
        <is>
          <t>Bergvik skog väst AB</t>
        </is>
      </c>
      <c r="I2385" t="n">
        <v>1.5</v>
      </c>
      <c r="J2385" t="n">
        <v>0</v>
      </c>
      <c r="K2385" t="n">
        <v>0</v>
      </c>
      <c r="L2385" t="n">
        <v>0</v>
      </c>
      <c r="M2385" t="n">
        <v>0</v>
      </c>
      <c r="N2385" t="n">
        <v>0</v>
      </c>
      <c r="O2385" t="n">
        <v>0</v>
      </c>
      <c r="P2385" t="n">
        <v>0</v>
      </c>
      <c r="Q2385" t="n">
        <v>0</v>
      </c>
      <c r="R2385" t="n">
        <v>0</v>
      </c>
      <c r="S2385" t="n">
        <v>0</v>
      </c>
      <c r="T2385" t="n">
        <v>0</v>
      </c>
      <c r="U2385" t="n">
        <v>0</v>
      </c>
      <c r="V2385" s="2" t="inlineStr"/>
    </row>
    <row r="2386" ht="15" customHeight="1">
      <c r="A2386" t="inlineStr">
        <is>
          <t>A 35918-2023</t>
        </is>
      </c>
      <c r="B2386" t="inlineStr">
        <is>
          <t>avverkningsanmälan</t>
        </is>
      </c>
      <c r="C2386" t="inlineStr">
        <is>
          <t>Föryngringsavverkning</t>
        </is>
      </c>
      <c r="D2386" s="1" t="n">
        <v>45148</v>
      </c>
      <c r="E2386" s="1" t="n">
        <v>46309</v>
      </c>
      <c r="F2386" t="inlineStr">
        <is>
          <t>UPPSALA LÄN</t>
        </is>
      </c>
      <c r="G2386" t="inlineStr">
        <is>
          <t>ÖSTHAMMAR</t>
        </is>
      </c>
      <c r="H2386" t="inlineStr">
        <is>
          <t>Bergvik skog öst AB</t>
        </is>
      </c>
      <c r="I2386" t="n">
        <v>0.9</v>
      </c>
      <c r="J2386" t="n">
        <v>0</v>
      </c>
      <c r="K2386" t="n">
        <v>0</v>
      </c>
      <c r="L2386" t="n">
        <v>0</v>
      </c>
      <c r="M2386" t="n">
        <v>0</v>
      </c>
      <c r="N2386" t="n">
        <v>0</v>
      </c>
      <c r="O2386" t="n">
        <v>0</v>
      </c>
      <c r="P2386" t="n">
        <v>0</v>
      </c>
      <c r="Q2386" t="n">
        <v>0</v>
      </c>
      <c r="R2386" t="n">
        <v>0</v>
      </c>
      <c r="S2386" t="n">
        <v>0</v>
      </c>
      <c r="T2386" t="n">
        <v>0</v>
      </c>
      <c r="U2386" t="n">
        <v>0</v>
      </c>
      <c r="V2386" s="2" t="inlineStr"/>
    </row>
    <row r="2387" ht="15" customHeight="1">
      <c r="A2387" t="inlineStr">
        <is>
          <t>A 38493-2023</t>
        </is>
      </c>
      <c r="B2387" t="inlineStr">
        <is>
          <t>avverkningsanmälan</t>
        </is>
      </c>
      <c r="C2387" t="inlineStr">
        <is>
          <t>Föryngringsavverkning</t>
        </is>
      </c>
      <c r="D2387" s="1" t="n">
        <v>45162</v>
      </c>
      <c r="E2387" s="1" t="n">
        <v>46309</v>
      </c>
      <c r="F2387" t="inlineStr">
        <is>
          <t>UPPSALA LÄN</t>
        </is>
      </c>
      <c r="G2387" t="inlineStr">
        <is>
          <t>UPPSALA</t>
        </is>
      </c>
      <c r="H2387" t="inlineStr">
        <is>
          <t>Allmännings- och besparingsskogar</t>
        </is>
      </c>
      <c r="I2387" t="n">
        <v>3.5</v>
      </c>
      <c r="J2387" t="n">
        <v>0</v>
      </c>
      <c r="K2387" t="n">
        <v>0</v>
      </c>
      <c r="L2387" t="n">
        <v>0</v>
      </c>
      <c r="M2387" t="n">
        <v>0</v>
      </c>
      <c r="N2387" t="n">
        <v>0</v>
      </c>
      <c r="O2387" t="n">
        <v>0</v>
      </c>
      <c r="P2387" t="n">
        <v>0</v>
      </c>
      <c r="Q2387" t="n">
        <v>0</v>
      </c>
      <c r="R2387" t="n">
        <v>0</v>
      </c>
      <c r="S2387" t="n">
        <v>0</v>
      </c>
      <c r="T2387" t="n">
        <v>0</v>
      </c>
      <c r="U2387" t="n">
        <v>0</v>
      </c>
      <c r="V2387" s="2" t="inlineStr"/>
    </row>
    <row r="2388" ht="15" customHeight="1">
      <c r="A2388" t="inlineStr">
        <is>
          <t>A 9957-2023</t>
        </is>
      </c>
      <c r="B2388" t="inlineStr">
        <is>
          <t>avverkningsanmälan</t>
        </is>
      </c>
      <c r="C2388" t="inlineStr">
        <is>
          <t>Föryngringsavverkning</t>
        </is>
      </c>
      <c r="D2388" s="1" t="n">
        <v>44978</v>
      </c>
      <c r="E2388" s="1" t="n">
        <v>46309</v>
      </c>
      <c r="F2388" t="inlineStr">
        <is>
          <t>UPPSALA LÄN</t>
        </is>
      </c>
      <c r="G2388" t="inlineStr">
        <is>
          <t>ENKÖPING</t>
        </is>
      </c>
      <c r="I2388" t="n">
        <v>5.9</v>
      </c>
      <c r="J2388" t="n">
        <v>0</v>
      </c>
      <c r="K2388" t="n">
        <v>0</v>
      </c>
      <c r="L2388" t="n">
        <v>0</v>
      </c>
      <c r="M2388" t="n">
        <v>0</v>
      </c>
      <c r="N2388" t="n">
        <v>0</v>
      </c>
      <c r="O2388" t="n">
        <v>0</v>
      </c>
      <c r="P2388" t="n">
        <v>0</v>
      </c>
      <c r="Q2388" t="n">
        <v>0</v>
      </c>
      <c r="R2388" t="n">
        <v>0</v>
      </c>
      <c r="S2388" t="n">
        <v>0</v>
      </c>
      <c r="T2388" t="n">
        <v>0</v>
      </c>
      <c r="U2388" t="n">
        <v>0</v>
      </c>
      <c r="V2388" s="2" t="inlineStr"/>
    </row>
    <row r="2389" ht="15" customHeight="1">
      <c r="A2389" t="inlineStr">
        <is>
          <t>A 20719-2026</t>
        </is>
      </c>
      <c r="B2389" t="inlineStr">
        <is>
          <t>avverkningsanmälan</t>
        </is>
      </c>
      <c r="C2389" t="inlineStr">
        <is>
          <t>Föryngringsavverkning</t>
        </is>
      </c>
      <c r="D2389" s="1" t="n">
        <v>46141</v>
      </c>
      <c r="E2389" s="1" t="n">
        <v>46309</v>
      </c>
      <c r="F2389" t="inlineStr">
        <is>
          <t>UPPSALA LÄN</t>
        </is>
      </c>
      <c r="G2389" t="inlineStr">
        <is>
          <t>HEBY</t>
        </is>
      </c>
      <c r="I2389" t="n">
        <v>2.2</v>
      </c>
      <c r="J2389" t="n">
        <v>0</v>
      </c>
      <c r="K2389" t="n">
        <v>0</v>
      </c>
      <c r="L2389" t="n">
        <v>0</v>
      </c>
      <c r="M2389" t="n">
        <v>0</v>
      </c>
      <c r="N2389" t="n">
        <v>0</v>
      </c>
      <c r="O2389" t="n">
        <v>0</v>
      </c>
      <c r="P2389" t="n">
        <v>0</v>
      </c>
      <c r="Q2389" t="n">
        <v>0</v>
      </c>
      <c r="R2389" t="n">
        <v>0</v>
      </c>
      <c r="S2389" t="n">
        <v>0</v>
      </c>
      <c r="T2389" t="n">
        <v>0</v>
      </c>
      <c r="U2389" t="n">
        <v>0</v>
      </c>
      <c r="V2389" s="2" t="inlineStr"/>
    </row>
    <row r="2390" ht="15" customHeight="1">
      <c r="A2390" t="inlineStr">
        <is>
          <t>A 35142-2023</t>
        </is>
      </c>
      <c r="B2390" t="inlineStr">
        <is>
          <t>avverkningsanmälan</t>
        </is>
      </c>
      <c r="C2390" t="inlineStr">
        <is>
          <t>Avverkning för annat ändamål</t>
        </is>
      </c>
      <c r="D2390" s="1" t="n">
        <v>45145</v>
      </c>
      <c r="E2390" s="1" t="n">
        <v>46309</v>
      </c>
      <c r="F2390" t="inlineStr">
        <is>
          <t>UPPSALA LÄN</t>
        </is>
      </c>
      <c r="G2390" t="inlineStr">
        <is>
          <t>UPPSALA</t>
        </is>
      </c>
      <c r="I2390" t="n">
        <v>2</v>
      </c>
      <c r="J2390" t="n">
        <v>0</v>
      </c>
      <c r="K2390" t="n">
        <v>0</v>
      </c>
      <c r="L2390" t="n">
        <v>0</v>
      </c>
      <c r="M2390" t="n">
        <v>0</v>
      </c>
      <c r="N2390" t="n">
        <v>0</v>
      </c>
      <c r="O2390" t="n">
        <v>0</v>
      </c>
      <c r="P2390" t="n">
        <v>0</v>
      </c>
      <c r="Q2390" t="n">
        <v>0</v>
      </c>
      <c r="R2390" t="n">
        <v>0</v>
      </c>
      <c r="S2390" t="n">
        <v>0</v>
      </c>
      <c r="T2390" t="n">
        <v>0</v>
      </c>
      <c r="U2390" t="n">
        <v>0</v>
      </c>
      <c r="V2390" s="2" t="inlineStr"/>
    </row>
    <row r="2391" ht="15" customHeight="1">
      <c r="A2391" t="inlineStr">
        <is>
          <t>A 14989-2026</t>
        </is>
      </c>
      <c r="B2391" t="inlineStr">
        <is>
          <t>avverkningsanmälan</t>
        </is>
      </c>
      <c r="C2391" t="inlineStr">
        <is>
          <t>Föryngringsavverkning</t>
        </is>
      </c>
      <c r="D2391" s="1" t="n">
        <v>46104</v>
      </c>
      <c r="E2391" s="1" t="n">
        <v>46309</v>
      </c>
      <c r="F2391" t="inlineStr">
        <is>
          <t>UPPSALA LÄN</t>
        </is>
      </c>
      <c r="G2391" t="inlineStr">
        <is>
          <t>ÖSTHAMMAR</t>
        </is>
      </c>
      <c r="H2391" t="inlineStr">
        <is>
          <t>Övriga Aktiebolag</t>
        </is>
      </c>
      <c r="I2391" t="n">
        <v>1.6</v>
      </c>
      <c r="J2391" t="n">
        <v>0</v>
      </c>
      <c r="K2391" t="n">
        <v>0</v>
      </c>
      <c r="L2391" t="n">
        <v>0</v>
      </c>
      <c r="M2391" t="n">
        <v>0</v>
      </c>
      <c r="N2391" t="n">
        <v>0</v>
      </c>
      <c r="O2391" t="n">
        <v>0</v>
      </c>
      <c r="P2391" t="n">
        <v>0</v>
      </c>
      <c r="Q2391" t="n">
        <v>0</v>
      </c>
      <c r="R2391" t="n">
        <v>0</v>
      </c>
      <c r="S2391" t="n">
        <v>0</v>
      </c>
      <c r="T2391" t="n">
        <v>0</v>
      </c>
      <c r="U2391" t="n">
        <v>0</v>
      </c>
      <c r="V2391" s="2" t="inlineStr"/>
    </row>
    <row r="2392" ht="15" customHeight="1">
      <c r="A2392" t="inlineStr">
        <is>
          <t>A 31560-2023</t>
        </is>
      </c>
      <c r="B2392" t="inlineStr">
        <is>
          <t>avverkningsanmälan</t>
        </is>
      </c>
      <c r="C2392" t="inlineStr">
        <is>
          <t>Föryngringsavverkning</t>
        </is>
      </c>
      <c r="D2392" s="1" t="n">
        <v>45117</v>
      </c>
      <c r="E2392" s="1" t="n">
        <v>46309</v>
      </c>
      <c r="F2392" t="inlineStr">
        <is>
          <t>UPPSALA LÄN</t>
        </is>
      </c>
      <c r="G2392" t="inlineStr">
        <is>
          <t>HEBY</t>
        </is>
      </c>
      <c r="I2392" t="n">
        <v>2.2</v>
      </c>
      <c r="J2392" t="n">
        <v>0</v>
      </c>
      <c r="K2392" t="n">
        <v>0</v>
      </c>
      <c r="L2392" t="n">
        <v>0</v>
      </c>
      <c r="M2392" t="n">
        <v>0</v>
      </c>
      <c r="N2392" t="n">
        <v>0</v>
      </c>
      <c r="O2392" t="n">
        <v>0</v>
      </c>
      <c r="P2392" t="n">
        <v>0</v>
      </c>
      <c r="Q2392" t="n">
        <v>0</v>
      </c>
      <c r="R2392" t="n">
        <v>0</v>
      </c>
      <c r="S2392" t="n">
        <v>0</v>
      </c>
      <c r="T2392" t="n">
        <v>0</v>
      </c>
      <c r="U2392" t="n">
        <v>0</v>
      </c>
      <c r="V2392" s="2" t="inlineStr"/>
    </row>
    <row r="2393" ht="15" customHeight="1">
      <c r="A2393" t="inlineStr">
        <is>
          <t>A 47083-2023</t>
        </is>
      </c>
      <c r="B2393" t="inlineStr">
        <is>
          <t>avverkningsanmälan</t>
        </is>
      </c>
      <c r="C2393" t="inlineStr">
        <is>
          <t>Föryngringsavverkning</t>
        </is>
      </c>
      <c r="D2393" s="1" t="n">
        <v>45201</v>
      </c>
      <c r="E2393" s="1" t="n">
        <v>46309</v>
      </c>
      <c r="F2393" t="inlineStr">
        <is>
          <t>UPPSALA LÄN</t>
        </is>
      </c>
      <c r="G2393" t="inlineStr">
        <is>
          <t>UPPSALA</t>
        </is>
      </c>
      <c r="I2393" t="n">
        <v>0.7</v>
      </c>
      <c r="J2393" t="n">
        <v>0</v>
      </c>
      <c r="K2393" t="n">
        <v>0</v>
      </c>
      <c r="L2393" t="n">
        <v>0</v>
      </c>
      <c r="M2393" t="n">
        <v>0</v>
      </c>
      <c r="N2393" t="n">
        <v>0</v>
      </c>
      <c r="O2393" t="n">
        <v>0</v>
      </c>
      <c r="P2393" t="n">
        <v>0</v>
      </c>
      <c r="Q2393" t="n">
        <v>0</v>
      </c>
      <c r="R2393" t="n">
        <v>0</v>
      </c>
      <c r="S2393" t="n">
        <v>0</v>
      </c>
      <c r="T2393" t="n">
        <v>0</v>
      </c>
      <c r="U2393" t="n">
        <v>0</v>
      </c>
      <c r="V2393" s="2" t="inlineStr"/>
    </row>
    <row r="2394" ht="15" customHeight="1">
      <c r="A2394" t="inlineStr">
        <is>
          <t>A 52969-2023</t>
        </is>
      </c>
      <c r="B2394" t="inlineStr">
        <is>
          <t>avverkningsanmälan</t>
        </is>
      </c>
      <c r="C2394" t="inlineStr">
        <is>
          <t>Föryngringsavverkning</t>
        </is>
      </c>
      <c r="D2394" s="1" t="n">
        <v>45226</v>
      </c>
      <c r="E2394" s="1" t="n">
        <v>46309</v>
      </c>
      <c r="F2394" t="inlineStr">
        <is>
          <t>UPPSALA LÄN</t>
        </is>
      </c>
      <c r="G2394" t="inlineStr">
        <is>
          <t>TIERP</t>
        </is>
      </c>
      <c r="I2394" t="n">
        <v>5.3</v>
      </c>
      <c r="J2394" t="n">
        <v>0</v>
      </c>
      <c r="K2394" t="n">
        <v>0</v>
      </c>
      <c r="L2394" t="n">
        <v>0</v>
      </c>
      <c r="M2394" t="n">
        <v>0</v>
      </c>
      <c r="N2394" t="n">
        <v>0</v>
      </c>
      <c r="O2394" t="n">
        <v>0</v>
      </c>
      <c r="P2394" t="n">
        <v>0</v>
      </c>
      <c r="Q2394" t="n">
        <v>0</v>
      </c>
      <c r="R2394" t="n">
        <v>0</v>
      </c>
      <c r="S2394" t="n">
        <v>0</v>
      </c>
      <c r="T2394" t="n">
        <v>0</v>
      </c>
      <c r="U2394" t="n">
        <v>0</v>
      </c>
      <c r="V2394" s="2" t="inlineStr"/>
    </row>
    <row r="2395" ht="15" customHeight="1">
      <c r="A2395" t="inlineStr">
        <is>
          <t>A 20776-2026</t>
        </is>
      </c>
      <c r="B2395" t="inlineStr">
        <is>
          <t>avverkningsanmälan</t>
        </is>
      </c>
      <c r="C2395" t="inlineStr">
        <is>
          <t>Föryngringsavverkning</t>
        </is>
      </c>
      <c r="D2395" s="1" t="n">
        <v>46141</v>
      </c>
      <c r="E2395" s="1" t="n">
        <v>46309</v>
      </c>
      <c r="F2395" t="inlineStr">
        <is>
          <t>UPPSALA LÄN</t>
        </is>
      </c>
      <c r="G2395" t="inlineStr">
        <is>
          <t>ÖSTHAMMAR</t>
        </is>
      </c>
      <c r="H2395" t="inlineStr">
        <is>
          <t>Övriga Aktiebolag</t>
        </is>
      </c>
      <c r="I2395" t="n">
        <v>3</v>
      </c>
      <c r="J2395" t="n">
        <v>0</v>
      </c>
      <c r="K2395" t="n">
        <v>0</v>
      </c>
      <c r="L2395" t="n">
        <v>0</v>
      </c>
      <c r="M2395" t="n">
        <v>0</v>
      </c>
      <c r="N2395" t="n">
        <v>0</v>
      </c>
      <c r="O2395" t="n">
        <v>0</v>
      </c>
      <c r="P2395" t="n">
        <v>0</v>
      </c>
      <c r="Q2395" t="n">
        <v>0</v>
      </c>
      <c r="R2395" t="n">
        <v>0</v>
      </c>
      <c r="S2395" t="n">
        <v>0</v>
      </c>
      <c r="T2395" t="n">
        <v>0</v>
      </c>
      <c r="U2395" t="n">
        <v>0</v>
      </c>
      <c r="V2395" s="2" t="inlineStr"/>
    </row>
    <row r="2396" ht="15" customHeight="1">
      <c r="A2396" t="inlineStr">
        <is>
          <t>A 2183-2024</t>
        </is>
      </c>
      <c r="B2396" t="inlineStr">
        <is>
          <t>avverkningsanmälan</t>
        </is>
      </c>
      <c r="C2396" t="inlineStr">
        <is>
          <t>Föryngringsavverkning</t>
        </is>
      </c>
      <c r="D2396" s="1" t="n">
        <v>45309</v>
      </c>
      <c r="E2396" s="1" t="n">
        <v>46309</v>
      </c>
      <c r="F2396" t="inlineStr">
        <is>
          <t>UPPSALA LÄN</t>
        </is>
      </c>
      <c r="G2396" t="inlineStr">
        <is>
          <t>ÄLVKARLEBY</t>
        </is>
      </c>
      <c r="I2396" t="n">
        <v>0.5</v>
      </c>
      <c r="J2396" t="n">
        <v>0</v>
      </c>
      <c r="K2396" t="n">
        <v>0</v>
      </c>
      <c r="L2396" t="n">
        <v>0</v>
      </c>
      <c r="M2396" t="n">
        <v>0</v>
      </c>
      <c r="N2396" t="n">
        <v>0</v>
      </c>
      <c r="O2396" t="n">
        <v>0</v>
      </c>
      <c r="P2396" t="n">
        <v>0</v>
      </c>
      <c r="Q2396" t="n">
        <v>0</v>
      </c>
      <c r="R2396" t="n">
        <v>0</v>
      </c>
      <c r="S2396" t="n">
        <v>0</v>
      </c>
      <c r="T2396" t="n">
        <v>0</v>
      </c>
      <c r="U2396" t="n">
        <v>0</v>
      </c>
      <c r="V2396" s="2" t="inlineStr"/>
    </row>
    <row r="2397" ht="15" customHeight="1">
      <c r="A2397" t="inlineStr">
        <is>
          <t>A 9255-2024</t>
        </is>
      </c>
      <c r="B2397" t="inlineStr">
        <is>
          <t>avverkningsanmälan</t>
        </is>
      </c>
      <c r="C2397" t="inlineStr">
        <is>
          <t>Avverkning för annat ändamål</t>
        </is>
      </c>
      <c r="D2397" s="1" t="n">
        <v>45358</v>
      </c>
      <c r="E2397" s="1" t="n">
        <v>46309</v>
      </c>
      <c r="F2397" t="inlineStr">
        <is>
          <t>UPPSALA LÄN</t>
        </is>
      </c>
      <c r="G2397" t="inlineStr">
        <is>
          <t>UPPSALA</t>
        </is>
      </c>
      <c r="I2397" t="n">
        <v>1.8</v>
      </c>
      <c r="J2397" t="n">
        <v>0</v>
      </c>
      <c r="K2397" t="n">
        <v>0</v>
      </c>
      <c r="L2397" t="n">
        <v>0</v>
      </c>
      <c r="M2397" t="n">
        <v>0</v>
      </c>
      <c r="N2397" t="n">
        <v>0</v>
      </c>
      <c r="O2397" t="n">
        <v>0</v>
      </c>
      <c r="P2397" t="n">
        <v>0</v>
      </c>
      <c r="Q2397" t="n">
        <v>0</v>
      </c>
      <c r="R2397" t="n">
        <v>0</v>
      </c>
      <c r="S2397" t="n">
        <v>0</v>
      </c>
      <c r="T2397" t="n">
        <v>0</v>
      </c>
      <c r="U2397" t="n">
        <v>0</v>
      </c>
      <c r="V2397" s="2" t="inlineStr"/>
    </row>
    <row r="2398" ht="15" customHeight="1">
      <c r="A2398" t="inlineStr">
        <is>
          <t>A 66983-2021</t>
        </is>
      </c>
      <c r="B2398" t="inlineStr">
        <is>
          <t>avverkningsanmälan</t>
        </is>
      </c>
      <c r="C2398" t="inlineStr">
        <is>
          <t>Avverkning för annat ändamål</t>
        </is>
      </c>
      <c r="D2398" s="1" t="n">
        <v>44522</v>
      </c>
      <c r="E2398" s="1" t="n">
        <v>46309</v>
      </c>
      <c r="F2398" t="inlineStr">
        <is>
          <t>UPPSALA LÄN</t>
        </is>
      </c>
      <c r="G2398" t="inlineStr">
        <is>
          <t>UPPSALA</t>
        </is>
      </c>
      <c r="I2398" t="n">
        <v>2.5</v>
      </c>
      <c r="J2398" t="n">
        <v>0</v>
      </c>
      <c r="K2398" t="n">
        <v>0</v>
      </c>
      <c r="L2398" t="n">
        <v>0</v>
      </c>
      <c r="M2398" t="n">
        <v>0</v>
      </c>
      <c r="N2398" t="n">
        <v>0</v>
      </c>
      <c r="O2398" t="n">
        <v>0</v>
      </c>
      <c r="P2398" t="n">
        <v>0</v>
      </c>
      <c r="Q2398" t="n">
        <v>0</v>
      </c>
      <c r="R2398" t="n">
        <v>0</v>
      </c>
      <c r="S2398" t="n">
        <v>0</v>
      </c>
      <c r="T2398" t="n">
        <v>0</v>
      </c>
      <c r="U2398" t="n">
        <v>0</v>
      </c>
      <c r="V2398" s="2" t="inlineStr"/>
    </row>
    <row r="2399" ht="15" customHeight="1">
      <c r="A2399" t="inlineStr">
        <is>
          <t>A 4004-2023</t>
        </is>
      </c>
      <c r="B2399" t="inlineStr">
        <is>
          <t>avverkningsanmälan</t>
        </is>
      </c>
      <c r="C2399" t="inlineStr">
        <is>
          <t>Föryngringsavverkning</t>
        </is>
      </c>
      <c r="D2399" s="1" t="n">
        <v>44952</v>
      </c>
      <c r="E2399" s="1" t="n">
        <v>46309</v>
      </c>
      <c r="F2399" t="inlineStr">
        <is>
          <t>UPPSALA LÄN</t>
        </is>
      </c>
      <c r="G2399" t="inlineStr">
        <is>
          <t>ÖSTHAMMAR</t>
        </is>
      </c>
      <c r="I2399" t="n">
        <v>4.1</v>
      </c>
      <c r="J2399" t="n">
        <v>0</v>
      </c>
      <c r="K2399" t="n">
        <v>0</v>
      </c>
      <c r="L2399" t="n">
        <v>0</v>
      </c>
      <c r="M2399" t="n">
        <v>0</v>
      </c>
      <c r="N2399" t="n">
        <v>0</v>
      </c>
      <c r="O2399" t="n">
        <v>0</v>
      </c>
      <c r="P2399" t="n">
        <v>0</v>
      </c>
      <c r="Q2399" t="n">
        <v>0</v>
      </c>
      <c r="R2399" t="n">
        <v>0</v>
      </c>
      <c r="S2399" t="n">
        <v>0</v>
      </c>
      <c r="T2399" t="n">
        <v>0</v>
      </c>
      <c r="U2399" t="n">
        <v>0</v>
      </c>
      <c r="V2399" s="2" t="inlineStr"/>
    </row>
    <row r="2400" ht="15" customHeight="1">
      <c r="A2400" t="inlineStr">
        <is>
          <t>A 48029-2024</t>
        </is>
      </c>
      <c r="B2400" t="inlineStr">
        <is>
          <t>avverkningsanmälan</t>
        </is>
      </c>
      <c r="C2400" t="inlineStr">
        <is>
          <t>Föryngringsavverkning</t>
        </is>
      </c>
      <c r="D2400" s="1" t="n">
        <v>45589</v>
      </c>
      <c r="E2400" s="1" t="n">
        <v>46309</v>
      </c>
      <c r="F2400" t="inlineStr">
        <is>
          <t>UPPSALA LÄN</t>
        </is>
      </c>
      <c r="G2400" t="inlineStr">
        <is>
          <t>HEBY</t>
        </is>
      </c>
      <c r="I2400" t="n">
        <v>1.9</v>
      </c>
      <c r="J2400" t="n">
        <v>0</v>
      </c>
      <c r="K2400" t="n">
        <v>0</v>
      </c>
      <c r="L2400" t="n">
        <v>0</v>
      </c>
      <c r="M2400" t="n">
        <v>0</v>
      </c>
      <c r="N2400" t="n">
        <v>0</v>
      </c>
      <c r="O2400" t="n">
        <v>0</v>
      </c>
      <c r="P2400" t="n">
        <v>0</v>
      </c>
      <c r="Q2400" t="n">
        <v>0</v>
      </c>
      <c r="R2400" t="n">
        <v>0</v>
      </c>
      <c r="S2400" t="n">
        <v>0</v>
      </c>
      <c r="T2400" t="n">
        <v>0</v>
      </c>
      <c r="U2400" t="n">
        <v>0</v>
      </c>
      <c r="V2400" s="2" t="inlineStr"/>
    </row>
    <row r="2401" ht="15" customHeight="1">
      <c r="A2401" t="inlineStr">
        <is>
          <t>A 9242-2022</t>
        </is>
      </c>
      <c r="B2401" t="inlineStr">
        <is>
          <t>avverkningsanmälan</t>
        </is>
      </c>
      <c r="C2401" t="inlineStr">
        <is>
          <t>Föryngringsavverkning</t>
        </is>
      </c>
      <c r="D2401" s="1" t="n">
        <v>44616</v>
      </c>
      <c r="E2401" s="1" t="n">
        <v>46309</v>
      </c>
      <c r="F2401" t="inlineStr">
        <is>
          <t>UPPSALA LÄN</t>
        </is>
      </c>
      <c r="G2401" t="inlineStr">
        <is>
          <t>UPPSALA</t>
        </is>
      </c>
      <c r="H2401" t="inlineStr">
        <is>
          <t>Övriga Aktiebolag</t>
        </is>
      </c>
      <c r="I2401" t="n">
        <v>5.9</v>
      </c>
      <c r="J2401" t="n">
        <v>0</v>
      </c>
      <c r="K2401" t="n">
        <v>0</v>
      </c>
      <c r="L2401" t="n">
        <v>0</v>
      </c>
      <c r="M2401" t="n">
        <v>0</v>
      </c>
      <c r="N2401" t="n">
        <v>0</v>
      </c>
      <c r="O2401" t="n">
        <v>0</v>
      </c>
      <c r="P2401" t="n">
        <v>0</v>
      </c>
      <c r="Q2401" t="n">
        <v>0</v>
      </c>
      <c r="R2401" t="n">
        <v>0</v>
      </c>
      <c r="S2401" t="n">
        <v>0</v>
      </c>
      <c r="T2401" t="n">
        <v>0</v>
      </c>
      <c r="U2401" t="n">
        <v>0</v>
      </c>
      <c r="V2401" s="2" t="inlineStr"/>
    </row>
    <row r="2402" ht="15" customHeight="1">
      <c r="A2402" t="inlineStr">
        <is>
          <t>A 9815-2022</t>
        </is>
      </c>
      <c r="B2402" t="inlineStr">
        <is>
          <t>avverkningsanmälan</t>
        </is>
      </c>
      <c r="C2402" t="inlineStr">
        <is>
          <t>Föryngringsavverkning</t>
        </is>
      </c>
      <c r="D2402" s="1" t="n">
        <v>44620</v>
      </c>
      <c r="E2402" s="1" t="n">
        <v>46309</v>
      </c>
      <c r="F2402" t="inlineStr">
        <is>
          <t>UPPSALA LÄN</t>
        </is>
      </c>
      <c r="G2402" t="inlineStr">
        <is>
          <t>HEBY</t>
        </is>
      </c>
      <c r="I2402" t="n">
        <v>2.1</v>
      </c>
      <c r="J2402" t="n">
        <v>0</v>
      </c>
      <c r="K2402" t="n">
        <v>0</v>
      </c>
      <c r="L2402" t="n">
        <v>0</v>
      </c>
      <c r="M2402" t="n">
        <v>0</v>
      </c>
      <c r="N2402" t="n">
        <v>0</v>
      </c>
      <c r="O2402" t="n">
        <v>0</v>
      </c>
      <c r="P2402" t="n">
        <v>0</v>
      </c>
      <c r="Q2402" t="n">
        <v>0</v>
      </c>
      <c r="R2402" t="n">
        <v>0</v>
      </c>
      <c r="S2402" t="n">
        <v>0</v>
      </c>
      <c r="T2402" t="n">
        <v>0</v>
      </c>
      <c r="U2402" t="n">
        <v>0</v>
      </c>
      <c r="V2402" s="2" t="inlineStr"/>
    </row>
    <row r="2403" ht="15" customHeight="1">
      <c r="A2403" t="inlineStr">
        <is>
          <t>A 4213-2023</t>
        </is>
      </c>
      <c r="B2403" t="inlineStr">
        <is>
          <t>avverkningsanmälan</t>
        </is>
      </c>
      <c r="C2403" t="inlineStr">
        <is>
          <t>Föryngringsavverkning</t>
        </is>
      </c>
      <c r="D2403" s="1" t="n">
        <v>44951</v>
      </c>
      <c r="E2403" s="1" t="n">
        <v>46309</v>
      </c>
      <c r="F2403" t="inlineStr">
        <is>
          <t>UPPSALA LÄN</t>
        </is>
      </c>
      <c r="G2403" t="inlineStr">
        <is>
          <t>HEBY</t>
        </is>
      </c>
      <c r="I2403" t="n">
        <v>11.2</v>
      </c>
      <c r="J2403" t="n">
        <v>0</v>
      </c>
      <c r="K2403" t="n">
        <v>0</v>
      </c>
      <c r="L2403" t="n">
        <v>0</v>
      </c>
      <c r="M2403" t="n">
        <v>0</v>
      </c>
      <c r="N2403" t="n">
        <v>0</v>
      </c>
      <c r="O2403" t="n">
        <v>0</v>
      </c>
      <c r="P2403" t="n">
        <v>0</v>
      </c>
      <c r="Q2403" t="n">
        <v>0</v>
      </c>
      <c r="R2403" t="n">
        <v>0</v>
      </c>
      <c r="S2403" t="n">
        <v>0</v>
      </c>
      <c r="T2403" t="n">
        <v>0</v>
      </c>
      <c r="U2403" t="n">
        <v>0</v>
      </c>
      <c r="V2403" s="2" t="inlineStr"/>
    </row>
    <row r="2404" ht="15" customHeight="1">
      <c r="A2404" t="inlineStr">
        <is>
          <t>A 8660-2022</t>
        </is>
      </c>
      <c r="B2404" t="inlineStr">
        <is>
          <t>avverkningsanmälan</t>
        </is>
      </c>
      <c r="C2404" t="inlineStr">
        <is>
          <t>Föryngringsavverkning</t>
        </is>
      </c>
      <c r="D2404" s="1" t="n">
        <v>44613</v>
      </c>
      <c r="E2404" s="1" t="n">
        <v>46309</v>
      </c>
      <c r="F2404" t="inlineStr">
        <is>
          <t>UPPSALA LÄN</t>
        </is>
      </c>
      <c r="G2404" t="inlineStr">
        <is>
          <t>HEBY</t>
        </is>
      </c>
      <c r="I2404" t="n">
        <v>2.9</v>
      </c>
      <c r="J2404" t="n">
        <v>0</v>
      </c>
      <c r="K2404" t="n">
        <v>0</v>
      </c>
      <c r="L2404" t="n">
        <v>0</v>
      </c>
      <c r="M2404" t="n">
        <v>0</v>
      </c>
      <c r="N2404" t="n">
        <v>0</v>
      </c>
      <c r="O2404" t="n">
        <v>0</v>
      </c>
      <c r="P2404" t="n">
        <v>0</v>
      </c>
      <c r="Q2404" t="n">
        <v>0</v>
      </c>
      <c r="R2404" t="n">
        <v>0</v>
      </c>
      <c r="S2404" t="n">
        <v>0</v>
      </c>
      <c r="T2404" t="n">
        <v>0</v>
      </c>
      <c r="U2404" t="n">
        <v>0</v>
      </c>
      <c r="V2404" s="2" t="inlineStr"/>
    </row>
    <row r="2405" ht="15" customHeight="1">
      <c r="A2405" t="inlineStr">
        <is>
          <t>A 21439-2026</t>
        </is>
      </c>
      <c r="B2405" t="inlineStr">
        <is>
          <t>avverkningsanmälan</t>
        </is>
      </c>
      <c r="C2405" t="inlineStr">
        <is>
          <t>Föryngringsavverkning</t>
        </is>
      </c>
      <c r="D2405" s="1" t="n">
        <v>46146</v>
      </c>
      <c r="E2405" s="1" t="n">
        <v>46309</v>
      </c>
      <c r="F2405" t="inlineStr">
        <is>
          <t>UPPSALA LÄN</t>
        </is>
      </c>
      <c r="G2405" t="inlineStr">
        <is>
          <t>TIERP</t>
        </is>
      </c>
      <c r="I2405" t="n">
        <v>0.7</v>
      </c>
      <c r="J2405" t="n">
        <v>0</v>
      </c>
      <c r="K2405" t="n">
        <v>0</v>
      </c>
      <c r="L2405" t="n">
        <v>0</v>
      </c>
      <c r="M2405" t="n">
        <v>0</v>
      </c>
      <c r="N2405" t="n">
        <v>0</v>
      </c>
      <c r="O2405" t="n">
        <v>0</v>
      </c>
      <c r="P2405" t="n">
        <v>0</v>
      </c>
      <c r="Q2405" t="n">
        <v>0</v>
      </c>
      <c r="R2405" t="n">
        <v>0</v>
      </c>
      <c r="S2405" t="n">
        <v>0</v>
      </c>
      <c r="T2405" t="n">
        <v>0</v>
      </c>
      <c r="U2405" t="n">
        <v>0</v>
      </c>
      <c r="V2405" s="2" t="inlineStr"/>
    </row>
    <row r="2406" ht="15" customHeight="1">
      <c r="A2406" t="inlineStr">
        <is>
          <t>A 8152-2022</t>
        </is>
      </c>
      <c r="B2406" t="inlineStr">
        <is>
          <t>avverkningsanmälan</t>
        </is>
      </c>
      <c r="C2406" t="inlineStr">
        <is>
          <t>Föryngringsavverkning</t>
        </is>
      </c>
      <c r="D2406" s="1" t="n">
        <v>44609</v>
      </c>
      <c r="E2406" s="1" t="n">
        <v>46309</v>
      </c>
      <c r="F2406" t="inlineStr">
        <is>
          <t>UPPSALA LÄN</t>
        </is>
      </c>
      <c r="G2406" t="inlineStr">
        <is>
          <t>ENKÖPING</t>
        </is>
      </c>
      <c r="H2406" t="inlineStr">
        <is>
          <t>Kyrkan</t>
        </is>
      </c>
      <c r="I2406" t="n">
        <v>1.3</v>
      </c>
      <c r="J2406" t="n">
        <v>0</v>
      </c>
      <c r="K2406" t="n">
        <v>0</v>
      </c>
      <c r="L2406" t="n">
        <v>0</v>
      </c>
      <c r="M2406" t="n">
        <v>0</v>
      </c>
      <c r="N2406" t="n">
        <v>0</v>
      </c>
      <c r="O2406" t="n">
        <v>0</v>
      </c>
      <c r="P2406" t="n">
        <v>0</v>
      </c>
      <c r="Q2406" t="n">
        <v>0</v>
      </c>
      <c r="R2406" t="n">
        <v>0</v>
      </c>
      <c r="S2406" t="n">
        <v>0</v>
      </c>
      <c r="T2406" t="n">
        <v>0</v>
      </c>
      <c r="U2406" t="n">
        <v>0</v>
      </c>
      <c r="V2406" s="2" t="inlineStr"/>
    </row>
    <row r="2407" ht="15" customHeight="1">
      <c r="A2407" t="inlineStr">
        <is>
          <t>A 44762-2023</t>
        </is>
      </c>
      <c r="B2407" t="inlineStr">
        <is>
          <t>avverkningsanmälan</t>
        </is>
      </c>
      <c r="C2407" t="inlineStr">
        <is>
          <t>Föryngringsavverkning</t>
        </is>
      </c>
      <c r="D2407" s="1" t="n">
        <v>45190</v>
      </c>
      <c r="E2407" s="1" t="n">
        <v>46309</v>
      </c>
      <c r="F2407" t="inlineStr">
        <is>
          <t>UPPSALA LÄN</t>
        </is>
      </c>
      <c r="G2407" t="inlineStr">
        <is>
          <t>TIERP</t>
        </is>
      </c>
      <c r="I2407" t="n">
        <v>0.5</v>
      </c>
      <c r="J2407" t="n">
        <v>0</v>
      </c>
      <c r="K2407" t="n">
        <v>0</v>
      </c>
      <c r="L2407" t="n">
        <v>0</v>
      </c>
      <c r="M2407" t="n">
        <v>0</v>
      </c>
      <c r="N2407" t="n">
        <v>0</v>
      </c>
      <c r="O2407" t="n">
        <v>0</v>
      </c>
      <c r="P2407" t="n">
        <v>0</v>
      </c>
      <c r="Q2407" t="n">
        <v>0</v>
      </c>
      <c r="R2407" t="n">
        <v>0</v>
      </c>
      <c r="S2407" t="n">
        <v>0</v>
      </c>
      <c r="T2407" t="n">
        <v>0</v>
      </c>
      <c r="U2407" t="n">
        <v>0</v>
      </c>
      <c r="V2407" s="2" t="inlineStr"/>
    </row>
    <row r="2408" ht="15" customHeight="1">
      <c r="A2408" t="inlineStr">
        <is>
          <t>A 35474-2023</t>
        </is>
      </c>
      <c r="B2408" t="inlineStr">
        <is>
          <t>avverkningsanmälan</t>
        </is>
      </c>
      <c r="C2408" t="inlineStr">
        <is>
          <t>Föryngringsavverkning</t>
        </is>
      </c>
      <c r="D2408" s="1" t="n">
        <v>45146</v>
      </c>
      <c r="E2408" s="1" t="n">
        <v>46309</v>
      </c>
      <c r="F2408" t="inlineStr">
        <is>
          <t>UPPSALA LÄN</t>
        </is>
      </c>
      <c r="G2408" t="inlineStr">
        <is>
          <t>ÖSTHAMMAR</t>
        </is>
      </c>
      <c r="H2408" t="inlineStr">
        <is>
          <t>Sveaskog</t>
        </is>
      </c>
      <c r="I2408" t="n">
        <v>1.7</v>
      </c>
      <c r="J2408" t="n">
        <v>0</v>
      </c>
      <c r="K2408" t="n">
        <v>0</v>
      </c>
      <c r="L2408" t="n">
        <v>0</v>
      </c>
      <c r="M2408" t="n">
        <v>0</v>
      </c>
      <c r="N2408" t="n">
        <v>0</v>
      </c>
      <c r="O2408" t="n">
        <v>0</v>
      </c>
      <c r="P2408" t="n">
        <v>0</v>
      </c>
      <c r="Q2408" t="n">
        <v>0</v>
      </c>
      <c r="R2408" t="n">
        <v>0</v>
      </c>
      <c r="S2408" t="n">
        <v>0</v>
      </c>
      <c r="T2408" t="n">
        <v>0</v>
      </c>
      <c r="U2408" t="n">
        <v>0</v>
      </c>
      <c r="V2408" s="2" t="inlineStr"/>
    </row>
    <row r="2409" ht="15" customHeight="1">
      <c r="A2409" t="inlineStr">
        <is>
          <t>A 26303-2024</t>
        </is>
      </c>
      <c r="B2409" t="inlineStr">
        <is>
          <t>avverkningsanmälan</t>
        </is>
      </c>
      <c r="C2409" t="inlineStr">
        <is>
          <t>Föryngringsavverkning</t>
        </is>
      </c>
      <c r="D2409" s="1" t="n">
        <v>45468</v>
      </c>
      <c r="E2409" s="1" t="n">
        <v>46309</v>
      </c>
      <c r="F2409" t="inlineStr">
        <is>
          <t>UPPSALA LÄN</t>
        </is>
      </c>
      <c r="G2409" t="inlineStr">
        <is>
          <t>ÖSTHAMMAR</t>
        </is>
      </c>
      <c r="I2409" t="n">
        <v>1.2</v>
      </c>
      <c r="J2409" t="n">
        <v>0</v>
      </c>
      <c r="K2409" t="n">
        <v>0</v>
      </c>
      <c r="L2409" t="n">
        <v>0</v>
      </c>
      <c r="M2409" t="n">
        <v>0</v>
      </c>
      <c r="N2409" t="n">
        <v>0</v>
      </c>
      <c r="O2409" t="n">
        <v>0</v>
      </c>
      <c r="P2409" t="n">
        <v>0</v>
      </c>
      <c r="Q2409" t="n">
        <v>0</v>
      </c>
      <c r="R2409" t="n">
        <v>0</v>
      </c>
      <c r="S2409" t="n">
        <v>0</v>
      </c>
      <c r="T2409" t="n">
        <v>0</v>
      </c>
      <c r="U2409" t="n">
        <v>0</v>
      </c>
      <c r="V2409" s="2" t="inlineStr"/>
    </row>
    <row r="2410" ht="15" customHeight="1">
      <c r="A2410" t="inlineStr">
        <is>
          <t>A 55688-2024</t>
        </is>
      </c>
      <c r="B2410" t="inlineStr">
        <is>
          <t>avverkningsanmälan</t>
        </is>
      </c>
      <c r="C2410" t="inlineStr">
        <is>
          <t>Föryngringsavverkning</t>
        </is>
      </c>
      <c r="D2410" s="1" t="n">
        <v>45622</v>
      </c>
      <c r="E2410" s="1" t="n">
        <v>46309</v>
      </c>
      <c r="F2410" t="inlineStr">
        <is>
          <t>UPPSALA LÄN</t>
        </is>
      </c>
      <c r="G2410" t="inlineStr">
        <is>
          <t>TIERP</t>
        </is>
      </c>
      <c r="I2410" t="n">
        <v>1.1</v>
      </c>
      <c r="J2410" t="n">
        <v>0</v>
      </c>
      <c r="K2410" t="n">
        <v>0</v>
      </c>
      <c r="L2410" t="n">
        <v>0</v>
      </c>
      <c r="M2410" t="n">
        <v>0</v>
      </c>
      <c r="N2410" t="n">
        <v>0</v>
      </c>
      <c r="O2410" t="n">
        <v>0</v>
      </c>
      <c r="P2410" t="n">
        <v>0</v>
      </c>
      <c r="Q2410" t="n">
        <v>0</v>
      </c>
      <c r="R2410" t="n">
        <v>0</v>
      </c>
      <c r="S2410" t="n">
        <v>0</v>
      </c>
      <c r="T2410" t="n">
        <v>0</v>
      </c>
      <c r="U2410" t="n">
        <v>0</v>
      </c>
      <c r="V2410" s="2" t="inlineStr"/>
    </row>
    <row r="2411" ht="15" customHeight="1">
      <c r="A2411" t="inlineStr">
        <is>
          <t>A 44152-2024</t>
        </is>
      </c>
      <c r="B2411" t="inlineStr">
        <is>
          <t>avverkningsanmälan</t>
        </is>
      </c>
      <c r="C2411" t="inlineStr">
        <is>
          <t>Föryngringsavverkning</t>
        </is>
      </c>
      <c r="D2411" s="1" t="n">
        <v>45572</v>
      </c>
      <c r="E2411" s="1" t="n">
        <v>46309</v>
      </c>
      <c r="F2411" t="inlineStr">
        <is>
          <t>UPPSALA LÄN</t>
        </is>
      </c>
      <c r="G2411" t="inlineStr">
        <is>
          <t>ÖSTHAMMAR</t>
        </is>
      </c>
      <c r="I2411" t="n">
        <v>1.6</v>
      </c>
      <c r="J2411" t="n">
        <v>0</v>
      </c>
      <c r="K2411" t="n">
        <v>0</v>
      </c>
      <c r="L2411" t="n">
        <v>0</v>
      </c>
      <c r="M2411" t="n">
        <v>0</v>
      </c>
      <c r="N2411" t="n">
        <v>0</v>
      </c>
      <c r="O2411" t="n">
        <v>0</v>
      </c>
      <c r="P2411" t="n">
        <v>0</v>
      </c>
      <c r="Q2411" t="n">
        <v>0</v>
      </c>
      <c r="R2411" t="n">
        <v>0</v>
      </c>
      <c r="S2411" t="n">
        <v>0</v>
      </c>
      <c r="T2411" t="n">
        <v>0</v>
      </c>
      <c r="U2411" t="n">
        <v>0</v>
      </c>
      <c r="V2411" s="2" t="inlineStr"/>
    </row>
    <row r="2412" ht="15" customHeight="1">
      <c r="A2412" t="inlineStr">
        <is>
          <t>A 4561-2022</t>
        </is>
      </c>
      <c r="B2412" t="inlineStr">
        <is>
          <t>avverkningsanmälan</t>
        </is>
      </c>
      <c r="C2412" t="inlineStr">
        <is>
          <t>Föryngringsavverkning</t>
        </is>
      </c>
      <c r="D2412" s="1" t="n">
        <v>44591</v>
      </c>
      <c r="E2412" s="1" t="n">
        <v>46309</v>
      </c>
      <c r="F2412" t="inlineStr">
        <is>
          <t>UPPSALA LÄN</t>
        </is>
      </c>
      <c r="G2412" t="inlineStr">
        <is>
          <t>ÖSTHAMMAR</t>
        </is>
      </c>
      <c r="H2412" t="inlineStr">
        <is>
          <t>Bergvik skog öst AB</t>
        </is>
      </c>
      <c r="I2412" t="n">
        <v>1.5</v>
      </c>
      <c r="J2412" t="n">
        <v>0</v>
      </c>
      <c r="K2412" t="n">
        <v>0</v>
      </c>
      <c r="L2412" t="n">
        <v>0</v>
      </c>
      <c r="M2412" t="n">
        <v>0</v>
      </c>
      <c r="N2412" t="n">
        <v>0</v>
      </c>
      <c r="O2412" t="n">
        <v>0</v>
      </c>
      <c r="P2412" t="n">
        <v>0</v>
      </c>
      <c r="Q2412" t="n">
        <v>0</v>
      </c>
      <c r="R2412" t="n">
        <v>0</v>
      </c>
      <c r="S2412" t="n">
        <v>0</v>
      </c>
      <c r="T2412" t="n">
        <v>0</v>
      </c>
      <c r="U2412" t="n">
        <v>0</v>
      </c>
      <c r="V2412" s="2" t="inlineStr"/>
    </row>
    <row r="2413" ht="15" customHeight="1">
      <c r="A2413" t="inlineStr">
        <is>
          <t>A 21453-2026</t>
        </is>
      </c>
      <c r="B2413" t="inlineStr">
        <is>
          <t>avverkningsanmälan</t>
        </is>
      </c>
      <c r="C2413" t="inlineStr">
        <is>
          <t>Föryngringsavverkning</t>
        </is>
      </c>
      <c r="D2413" s="1" t="n">
        <v>46146</v>
      </c>
      <c r="E2413" s="1" t="n">
        <v>46309</v>
      </c>
      <c r="F2413" t="inlineStr">
        <is>
          <t>UPPSALA LÄN</t>
        </is>
      </c>
      <c r="G2413" t="inlineStr">
        <is>
          <t>UPPSALA</t>
        </is>
      </c>
      <c r="I2413" t="n">
        <v>1</v>
      </c>
      <c r="J2413" t="n">
        <v>0</v>
      </c>
      <c r="K2413" t="n">
        <v>0</v>
      </c>
      <c r="L2413" t="n">
        <v>0</v>
      </c>
      <c r="M2413" t="n">
        <v>0</v>
      </c>
      <c r="N2413" t="n">
        <v>0</v>
      </c>
      <c r="O2413" t="n">
        <v>0</v>
      </c>
      <c r="P2413" t="n">
        <v>0</v>
      </c>
      <c r="Q2413" t="n">
        <v>0</v>
      </c>
      <c r="R2413" t="n">
        <v>0</v>
      </c>
      <c r="S2413" t="n">
        <v>0</v>
      </c>
      <c r="T2413" t="n">
        <v>0</v>
      </c>
      <c r="U2413" t="n">
        <v>0</v>
      </c>
      <c r="V2413" s="2" t="inlineStr"/>
    </row>
    <row r="2414" ht="15" customHeight="1">
      <c r="A2414" t="inlineStr">
        <is>
          <t>A 42063-2023</t>
        </is>
      </c>
      <c r="B2414" t="inlineStr">
        <is>
          <t>avverkningsanmälan</t>
        </is>
      </c>
      <c r="C2414" t="inlineStr">
        <is>
          <t>Föryngringsavverkning</t>
        </is>
      </c>
      <c r="D2414" s="1" t="n">
        <v>45177</v>
      </c>
      <c r="E2414" s="1" t="n">
        <v>46309</v>
      </c>
      <c r="F2414" t="inlineStr">
        <is>
          <t>UPPSALA LÄN</t>
        </is>
      </c>
      <c r="G2414" t="inlineStr">
        <is>
          <t>UPPSALA</t>
        </is>
      </c>
      <c r="I2414" t="n">
        <v>5.6</v>
      </c>
      <c r="J2414" t="n">
        <v>0</v>
      </c>
      <c r="K2414" t="n">
        <v>0</v>
      </c>
      <c r="L2414" t="n">
        <v>0</v>
      </c>
      <c r="M2414" t="n">
        <v>0</v>
      </c>
      <c r="N2414" t="n">
        <v>0</v>
      </c>
      <c r="O2414" t="n">
        <v>0</v>
      </c>
      <c r="P2414" t="n">
        <v>0</v>
      </c>
      <c r="Q2414" t="n">
        <v>0</v>
      </c>
      <c r="R2414" t="n">
        <v>0</v>
      </c>
      <c r="S2414" t="n">
        <v>0</v>
      </c>
      <c r="T2414" t="n">
        <v>0</v>
      </c>
      <c r="U2414" t="n">
        <v>0</v>
      </c>
      <c r="V2414" s="2" t="inlineStr"/>
    </row>
    <row r="2415" ht="15" customHeight="1">
      <c r="A2415" t="inlineStr">
        <is>
          <t>A 17657-2025</t>
        </is>
      </c>
      <c r="B2415" t="inlineStr">
        <is>
          <t>avverkningsanmälan</t>
        </is>
      </c>
      <c r="C2415" t="inlineStr">
        <is>
          <t>Föryngringsavverkning</t>
        </is>
      </c>
      <c r="D2415" s="1" t="n">
        <v>45758</v>
      </c>
      <c r="E2415" s="1" t="n">
        <v>46309</v>
      </c>
      <c r="F2415" t="inlineStr">
        <is>
          <t>UPPSALA LÄN</t>
        </is>
      </c>
      <c r="G2415" t="inlineStr">
        <is>
          <t>ENKÖPING</t>
        </is>
      </c>
      <c r="I2415" t="n">
        <v>3</v>
      </c>
      <c r="J2415" t="n">
        <v>0</v>
      </c>
      <c r="K2415" t="n">
        <v>0</v>
      </c>
      <c r="L2415" t="n">
        <v>0</v>
      </c>
      <c r="M2415" t="n">
        <v>0</v>
      </c>
      <c r="N2415" t="n">
        <v>0</v>
      </c>
      <c r="O2415" t="n">
        <v>0</v>
      </c>
      <c r="P2415" t="n">
        <v>0</v>
      </c>
      <c r="Q2415" t="n">
        <v>0</v>
      </c>
      <c r="R2415" t="n">
        <v>0</v>
      </c>
      <c r="S2415" t="n">
        <v>0</v>
      </c>
      <c r="T2415" t="n">
        <v>0</v>
      </c>
      <c r="U2415" t="n">
        <v>0</v>
      </c>
      <c r="V2415" s="2" t="inlineStr"/>
    </row>
    <row r="2416" ht="15" customHeight="1">
      <c r="A2416" t="inlineStr">
        <is>
          <t>A 14483-2024</t>
        </is>
      </c>
      <c r="B2416" t="inlineStr">
        <is>
          <t>avverkningsanmälan</t>
        </is>
      </c>
      <c r="C2416" t="inlineStr">
        <is>
          <t>Föryngringsavverkning</t>
        </is>
      </c>
      <c r="D2416" s="1" t="n">
        <v>45394</v>
      </c>
      <c r="E2416" s="1" t="n">
        <v>46309</v>
      </c>
      <c r="F2416" t="inlineStr">
        <is>
          <t>UPPSALA LÄN</t>
        </is>
      </c>
      <c r="G2416" t="inlineStr">
        <is>
          <t>TIERP</t>
        </is>
      </c>
      <c r="H2416" t="inlineStr">
        <is>
          <t>Bergvik skog väst AB</t>
        </is>
      </c>
      <c r="I2416" t="n">
        <v>1.6</v>
      </c>
      <c r="J2416" t="n">
        <v>0</v>
      </c>
      <c r="K2416" t="n">
        <v>0</v>
      </c>
      <c r="L2416" t="n">
        <v>0</v>
      </c>
      <c r="M2416" t="n">
        <v>0</v>
      </c>
      <c r="N2416" t="n">
        <v>0</v>
      </c>
      <c r="O2416" t="n">
        <v>0</v>
      </c>
      <c r="P2416" t="n">
        <v>0</v>
      </c>
      <c r="Q2416" t="n">
        <v>0</v>
      </c>
      <c r="R2416" t="n">
        <v>0</v>
      </c>
      <c r="S2416" t="n">
        <v>0</v>
      </c>
      <c r="T2416" t="n">
        <v>0</v>
      </c>
      <c r="U2416" t="n">
        <v>0</v>
      </c>
      <c r="V2416" s="2" t="inlineStr"/>
    </row>
    <row r="2417" ht="15" customHeight="1">
      <c r="A2417" t="inlineStr">
        <is>
          <t>A 5390-2024</t>
        </is>
      </c>
      <c r="B2417" t="inlineStr">
        <is>
          <t>avverkningsanmälan</t>
        </is>
      </c>
      <c r="C2417" t="inlineStr">
        <is>
          <t>Föryngringsavverkning</t>
        </is>
      </c>
      <c r="D2417" s="1" t="n">
        <v>45331</v>
      </c>
      <c r="E2417" s="1" t="n">
        <v>46309</v>
      </c>
      <c r="F2417" t="inlineStr">
        <is>
          <t>UPPSALA LÄN</t>
        </is>
      </c>
      <c r="G2417" t="inlineStr">
        <is>
          <t>HEBY</t>
        </is>
      </c>
      <c r="I2417" t="n">
        <v>4.5</v>
      </c>
      <c r="J2417" t="n">
        <v>0</v>
      </c>
      <c r="K2417" t="n">
        <v>0</v>
      </c>
      <c r="L2417" t="n">
        <v>0</v>
      </c>
      <c r="M2417" t="n">
        <v>0</v>
      </c>
      <c r="N2417" t="n">
        <v>0</v>
      </c>
      <c r="O2417" t="n">
        <v>0</v>
      </c>
      <c r="P2417" t="n">
        <v>0</v>
      </c>
      <c r="Q2417" t="n">
        <v>0</v>
      </c>
      <c r="R2417" t="n">
        <v>0</v>
      </c>
      <c r="S2417" t="n">
        <v>0</v>
      </c>
      <c r="T2417" t="n">
        <v>0</v>
      </c>
      <c r="U2417" t="n">
        <v>0</v>
      </c>
      <c r="V2417" s="2" t="inlineStr"/>
    </row>
    <row r="2418" ht="15" customHeight="1">
      <c r="A2418" t="inlineStr">
        <is>
          <t>A 74215-2021</t>
        </is>
      </c>
      <c r="B2418" t="inlineStr">
        <is>
          <t>avverkningsanmälan</t>
        </is>
      </c>
      <c r="C2418" t="inlineStr">
        <is>
          <t>Föryngringsavverkning</t>
        </is>
      </c>
      <c r="D2418" s="1" t="n">
        <v>44558</v>
      </c>
      <c r="E2418" s="1" t="n">
        <v>46309</v>
      </c>
      <c r="F2418" t="inlineStr">
        <is>
          <t>UPPSALA LÄN</t>
        </is>
      </c>
      <c r="G2418" t="inlineStr">
        <is>
          <t>HEBY</t>
        </is>
      </c>
      <c r="I2418" t="n">
        <v>1</v>
      </c>
      <c r="J2418" t="n">
        <v>0</v>
      </c>
      <c r="K2418" t="n">
        <v>0</v>
      </c>
      <c r="L2418" t="n">
        <v>0</v>
      </c>
      <c r="M2418" t="n">
        <v>0</v>
      </c>
      <c r="N2418" t="n">
        <v>0</v>
      </c>
      <c r="O2418" t="n">
        <v>0</v>
      </c>
      <c r="P2418" t="n">
        <v>0</v>
      </c>
      <c r="Q2418" t="n">
        <v>0</v>
      </c>
      <c r="R2418" t="n">
        <v>0</v>
      </c>
      <c r="S2418" t="n">
        <v>0</v>
      </c>
      <c r="T2418" t="n">
        <v>0</v>
      </c>
      <c r="U2418" t="n">
        <v>0</v>
      </c>
      <c r="V2418" s="2" t="inlineStr"/>
    </row>
    <row r="2419" ht="15" customHeight="1">
      <c r="A2419" t="inlineStr">
        <is>
          <t>A 21275-2026</t>
        </is>
      </c>
      <c r="B2419" t="inlineStr">
        <is>
          <t>avverkningsanmälan</t>
        </is>
      </c>
      <c r="C2419" t="inlineStr">
        <is>
          <t>Föryngringsavverkning</t>
        </is>
      </c>
      <c r="D2419" s="1" t="n">
        <v>46147</v>
      </c>
      <c r="E2419" s="1" t="n">
        <v>46309</v>
      </c>
      <c r="F2419" t="inlineStr">
        <is>
          <t>UPPSALA LÄN</t>
        </is>
      </c>
      <c r="G2419" t="inlineStr">
        <is>
          <t>TIERP</t>
        </is>
      </c>
      <c r="I2419" t="n">
        <v>1.2</v>
      </c>
      <c r="J2419" t="n">
        <v>0</v>
      </c>
      <c r="K2419" t="n">
        <v>0</v>
      </c>
      <c r="L2419" t="n">
        <v>0</v>
      </c>
      <c r="M2419" t="n">
        <v>0</v>
      </c>
      <c r="N2419" t="n">
        <v>0</v>
      </c>
      <c r="O2419" t="n">
        <v>0</v>
      </c>
      <c r="P2419" t="n">
        <v>0</v>
      </c>
      <c r="Q2419" t="n">
        <v>0</v>
      </c>
      <c r="R2419" t="n">
        <v>0</v>
      </c>
      <c r="S2419" t="n">
        <v>0</v>
      </c>
      <c r="T2419" t="n">
        <v>0</v>
      </c>
      <c r="U2419" t="n">
        <v>0</v>
      </c>
      <c r="V2419" s="2" t="inlineStr"/>
    </row>
    <row r="2420" ht="15" customHeight="1">
      <c r="A2420" t="inlineStr">
        <is>
          <t>A 21360-2026</t>
        </is>
      </c>
      <c r="B2420" t="inlineStr">
        <is>
          <t>avverkningsanmälan</t>
        </is>
      </c>
      <c r="C2420" t="inlineStr">
        <is>
          <t>Föryngringsavverkning</t>
        </is>
      </c>
      <c r="D2420" s="1" t="n">
        <v>46147</v>
      </c>
      <c r="E2420" s="1" t="n">
        <v>46309</v>
      </c>
      <c r="F2420" t="inlineStr">
        <is>
          <t>UPPSALA LÄN</t>
        </is>
      </c>
      <c r="G2420" t="inlineStr">
        <is>
          <t>ÖSTHAMMAR</t>
        </is>
      </c>
      <c r="I2420" t="n">
        <v>0.6</v>
      </c>
      <c r="J2420" t="n">
        <v>0</v>
      </c>
      <c r="K2420" t="n">
        <v>0</v>
      </c>
      <c r="L2420" t="n">
        <v>0</v>
      </c>
      <c r="M2420" t="n">
        <v>0</v>
      </c>
      <c r="N2420" t="n">
        <v>0</v>
      </c>
      <c r="O2420" t="n">
        <v>0</v>
      </c>
      <c r="P2420" t="n">
        <v>0</v>
      </c>
      <c r="Q2420" t="n">
        <v>0</v>
      </c>
      <c r="R2420" t="n">
        <v>0</v>
      </c>
      <c r="S2420" t="n">
        <v>0</v>
      </c>
      <c r="T2420" t="n">
        <v>0</v>
      </c>
      <c r="U2420" t="n">
        <v>0</v>
      </c>
      <c r="V2420" s="2" t="inlineStr"/>
    </row>
    <row r="2421" ht="15" customHeight="1">
      <c r="A2421" t="inlineStr">
        <is>
          <t>A 21862-2026</t>
        </is>
      </c>
      <c r="B2421" t="inlineStr">
        <is>
          <t>avverkningsanmälan</t>
        </is>
      </c>
      <c r="C2421" t="inlineStr">
        <is>
          <t>Föryngringsavverkning</t>
        </is>
      </c>
      <c r="D2421" s="1" t="n">
        <v>46150</v>
      </c>
      <c r="E2421" s="1" t="n">
        <v>46309</v>
      </c>
      <c r="F2421" t="inlineStr">
        <is>
          <t>UPPSALA LÄN</t>
        </is>
      </c>
      <c r="G2421" t="inlineStr">
        <is>
          <t>ENKÖPING</t>
        </is>
      </c>
      <c r="I2421" t="n">
        <v>4.1</v>
      </c>
      <c r="J2421" t="n">
        <v>0</v>
      </c>
      <c r="K2421" t="n">
        <v>0</v>
      </c>
      <c r="L2421" t="n">
        <v>0</v>
      </c>
      <c r="M2421" t="n">
        <v>0</v>
      </c>
      <c r="N2421" t="n">
        <v>0</v>
      </c>
      <c r="O2421" t="n">
        <v>0</v>
      </c>
      <c r="P2421" t="n">
        <v>0</v>
      </c>
      <c r="Q2421" t="n">
        <v>0</v>
      </c>
      <c r="R2421" t="n">
        <v>0</v>
      </c>
      <c r="S2421" t="n">
        <v>0</v>
      </c>
      <c r="T2421" t="n">
        <v>0</v>
      </c>
      <c r="U2421" t="n">
        <v>0</v>
      </c>
      <c r="V2421" s="2" t="inlineStr"/>
    </row>
    <row r="2422" ht="15" customHeight="1">
      <c r="A2422" t="inlineStr">
        <is>
          <t>A 58264-2024</t>
        </is>
      </c>
      <c r="B2422" t="inlineStr">
        <is>
          <t>avverkningsanmälan</t>
        </is>
      </c>
      <c r="C2422" t="inlineStr">
        <is>
          <t>Föryngringsavverkning</t>
        </is>
      </c>
      <c r="D2422" s="1" t="n">
        <v>45632</v>
      </c>
      <c r="E2422" s="1" t="n">
        <v>46309</v>
      </c>
      <c r="F2422" t="inlineStr">
        <is>
          <t>UPPSALA LÄN</t>
        </is>
      </c>
      <c r="G2422" t="inlineStr">
        <is>
          <t>TIERP</t>
        </is>
      </c>
      <c r="I2422" t="n">
        <v>1</v>
      </c>
      <c r="J2422" t="n">
        <v>0</v>
      </c>
      <c r="K2422" t="n">
        <v>0</v>
      </c>
      <c r="L2422" t="n">
        <v>0</v>
      </c>
      <c r="M2422" t="n">
        <v>0</v>
      </c>
      <c r="N2422" t="n">
        <v>0</v>
      </c>
      <c r="O2422" t="n">
        <v>0</v>
      </c>
      <c r="P2422" t="n">
        <v>0</v>
      </c>
      <c r="Q2422" t="n">
        <v>0</v>
      </c>
      <c r="R2422" t="n">
        <v>0</v>
      </c>
      <c r="S2422" t="n">
        <v>0</v>
      </c>
      <c r="T2422" t="n">
        <v>0</v>
      </c>
      <c r="U2422" t="n">
        <v>0</v>
      </c>
      <c r="V2422" s="2" t="inlineStr"/>
    </row>
    <row r="2423" ht="15" customHeight="1">
      <c r="A2423" t="inlineStr">
        <is>
          <t>A 37626-2023</t>
        </is>
      </c>
      <c r="B2423" t="inlineStr">
        <is>
          <t>avverkningsanmälan</t>
        </is>
      </c>
      <c r="C2423" t="inlineStr">
        <is>
          <t>Föryngringsavverkning</t>
        </is>
      </c>
      <c r="D2423" s="1" t="n">
        <v>45159</v>
      </c>
      <c r="E2423" s="1" t="n">
        <v>46309</v>
      </c>
      <c r="F2423" t="inlineStr">
        <is>
          <t>UPPSALA LÄN</t>
        </is>
      </c>
      <c r="G2423" t="inlineStr">
        <is>
          <t>UPPSALA</t>
        </is>
      </c>
      <c r="I2423" t="n">
        <v>0.6</v>
      </c>
      <c r="J2423" t="n">
        <v>0</v>
      </c>
      <c r="K2423" t="n">
        <v>0</v>
      </c>
      <c r="L2423" t="n">
        <v>0</v>
      </c>
      <c r="M2423" t="n">
        <v>0</v>
      </c>
      <c r="N2423" t="n">
        <v>0</v>
      </c>
      <c r="O2423" t="n">
        <v>0</v>
      </c>
      <c r="P2423" t="n">
        <v>0</v>
      </c>
      <c r="Q2423" t="n">
        <v>0</v>
      </c>
      <c r="R2423" t="n">
        <v>0</v>
      </c>
      <c r="S2423" t="n">
        <v>0</v>
      </c>
      <c r="T2423" t="n">
        <v>0</v>
      </c>
      <c r="U2423" t="n">
        <v>0</v>
      </c>
      <c r="V2423" s="2" t="inlineStr"/>
    </row>
    <row r="2424" ht="15" customHeight="1">
      <c r="A2424" t="inlineStr">
        <is>
          <t>A 40924-2023</t>
        </is>
      </c>
      <c r="B2424" t="inlineStr">
        <is>
          <t>avverkningsanmälan</t>
        </is>
      </c>
      <c r="C2424" t="inlineStr">
        <is>
          <t>Föryngringsavverkning</t>
        </is>
      </c>
      <c r="D2424" s="1" t="n">
        <v>45173</v>
      </c>
      <c r="E2424" s="1" t="n">
        <v>46309</v>
      </c>
      <c r="F2424" t="inlineStr">
        <is>
          <t>UPPSALA LÄN</t>
        </is>
      </c>
      <c r="G2424" t="inlineStr">
        <is>
          <t>HEBY</t>
        </is>
      </c>
      <c r="I2424" t="n">
        <v>5.1</v>
      </c>
      <c r="J2424" t="n">
        <v>0</v>
      </c>
      <c r="K2424" t="n">
        <v>0</v>
      </c>
      <c r="L2424" t="n">
        <v>0</v>
      </c>
      <c r="M2424" t="n">
        <v>0</v>
      </c>
      <c r="N2424" t="n">
        <v>0</v>
      </c>
      <c r="O2424" t="n">
        <v>0</v>
      </c>
      <c r="P2424" t="n">
        <v>0</v>
      </c>
      <c r="Q2424" t="n">
        <v>0</v>
      </c>
      <c r="R2424" t="n">
        <v>0</v>
      </c>
      <c r="S2424" t="n">
        <v>0</v>
      </c>
      <c r="T2424" t="n">
        <v>0</v>
      </c>
      <c r="U2424" t="n">
        <v>0</v>
      </c>
      <c r="V2424" s="2" t="inlineStr"/>
    </row>
    <row r="2425" ht="15" customHeight="1">
      <c r="A2425" t="inlineStr">
        <is>
          <t>A 40926-2023</t>
        </is>
      </c>
      <c r="B2425" t="inlineStr">
        <is>
          <t>avverkningsanmälan</t>
        </is>
      </c>
      <c r="C2425" t="inlineStr">
        <is>
          <t>Föryngringsavverkning</t>
        </is>
      </c>
      <c r="D2425" s="1" t="n">
        <v>45173</v>
      </c>
      <c r="E2425" s="1" t="n">
        <v>46309</v>
      </c>
      <c r="F2425" t="inlineStr">
        <is>
          <t>UPPSALA LÄN</t>
        </is>
      </c>
      <c r="G2425" t="inlineStr">
        <is>
          <t>HEBY</t>
        </is>
      </c>
      <c r="I2425" t="n">
        <v>3.6</v>
      </c>
      <c r="J2425" t="n">
        <v>0</v>
      </c>
      <c r="K2425" t="n">
        <v>0</v>
      </c>
      <c r="L2425" t="n">
        <v>0</v>
      </c>
      <c r="M2425" t="n">
        <v>0</v>
      </c>
      <c r="N2425" t="n">
        <v>0</v>
      </c>
      <c r="O2425" t="n">
        <v>0</v>
      </c>
      <c r="P2425" t="n">
        <v>0</v>
      </c>
      <c r="Q2425" t="n">
        <v>0</v>
      </c>
      <c r="R2425" t="n">
        <v>0</v>
      </c>
      <c r="S2425" t="n">
        <v>0</v>
      </c>
      <c r="T2425" t="n">
        <v>0</v>
      </c>
      <c r="U2425" t="n">
        <v>0</v>
      </c>
      <c r="V2425" s="2" t="inlineStr"/>
    </row>
    <row r="2426" ht="15" customHeight="1">
      <c r="A2426" t="inlineStr">
        <is>
          <t>A 15939-2022</t>
        </is>
      </c>
      <c r="B2426" t="inlineStr">
        <is>
          <t>avverkningsanmälan</t>
        </is>
      </c>
      <c r="C2426" t="inlineStr">
        <is>
          <t>Föryngringsavverkning</t>
        </is>
      </c>
      <c r="D2426" s="1" t="n">
        <v>44664</v>
      </c>
      <c r="E2426" s="1" t="n">
        <v>46309</v>
      </c>
      <c r="F2426" t="inlineStr">
        <is>
          <t>UPPSALA LÄN</t>
        </is>
      </c>
      <c r="G2426" t="inlineStr">
        <is>
          <t>ENKÖPING</t>
        </is>
      </c>
      <c r="I2426" t="n">
        <v>2</v>
      </c>
      <c r="J2426" t="n">
        <v>0</v>
      </c>
      <c r="K2426" t="n">
        <v>0</v>
      </c>
      <c r="L2426" t="n">
        <v>0</v>
      </c>
      <c r="M2426" t="n">
        <v>0</v>
      </c>
      <c r="N2426" t="n">
        <v>0</v>
      </c>
      <c r="O2426" t="n">
        <v>0</v>
      </c>
      <c r="P2426" t="n">
        <v>0</v>
      </c>
      <c r="Q2426" t="n">
        <v>0</v>
      </c>
      <c r="R2426" t="n">
        <v>0</v>
      </c>
      <c r="S2426" t="n">
        <v>0</v>
      </c>
      <c r="T2426" t="n">
        <v>0</v>
      </c>
      <c r="U2426" t="n">
        <v>0</v>
      </c>
      <c r="V2426" s="2" t="inlineStr"/>
    </row>
    <row r="2427" ht="15" customHeight="1">
      <c r="A2427" t="inlineStr">
        <is>
          <t>A 13978-2023</t>
        </is>
      </c>
      <c r="B2427" t="inlineStr">
        <is>
          <t>avverkningsanmälan</t>
        </is>
      </c>
      <c r="C2427" t="inlineStr">
        <is>
          <t>Föryngringsavverkning</t>
        </is>
      </c>
      <c r="D2427" s="1" t="n">
        <v>45008</v>
      </c>
      <c r="E2427" s="1" t="n">
        <v>46309</v>
      </c>
      <c r="F2427" t="inlineStr">
        <is>
          <t>UPPSALA LÄN</t>
        </is>
      </c>
      <c r="G2427" t="inlineStr">
        <is>
          <t>HEBY</t>
        </is>
      </c>
      <c r="I2427" t="n">
        <v>1</v>
      </c>
      <c r="J2427" t="n">
        <v>0</v>
      </c>
      <c r="K2427" t="n">
        <v>0</v>
      </c>
      <c r="L2427" t="n">
        <v>0</v>
      </c>
      <c r="M2427" t="n">
        <v>0</v>
      </c>
      <c r="N2427" t="n">
        <v>0</v>
      </c>
      <c r="O2427" t="n">
        <v>0</v>
      </c>
      <c r="P2427" t="n">
        <v>0</v>
      </c>
      <c r="Q2427" t="n">
        <v>0</v>
      </c>
      <c r="R2427" t="n">
        <v>0</v>
      </c>
      <c r="S2427" t="n">
        <v>0</v>
      </c>
      <c r="T2427" t="n">
        <v>0</v>
      </c>
      <c r="U2427" t="n">
        <v>0</v>
      </c>
      <c r="V2427" s="2" t="inlineStr"/>
    </row>
    <row r="2428" ht="15" customHeight="1">
      <c r="A2428" t="inlineStr">
        <is>
          <t>A 21729-2026</t>
        </is>
      </c>
      <c r="B2428" t="inlineStr">
        <is>
          <t>avverkningsanmälan</t>
        </is>
      </c>
      <c r="C2428" t="inlineStr">
        <is>
          <t>Föryngringsavverkning</t>
        </is>
      </c>
      <c r="D2428" s="1" t="n">
        <v>46149</v>
      </c>
      <c r="E2428" s="1" t="n">
        <v>46309</v>
      </c>
      <c r="F2428" t="inlineStr">
        <is>
          <t>UPPSALA LÄN</t>
        </is>
      </c>
      <c r="G2428" t="inlineStr">
        <is>
          <t>HEBY</t>
        </is>
      </c>
      <c r="H2428" t="inlineStr">
        <is>
          <t>Allmännings- och besparingsskogar</t>
        </is>
      </c>
      <c r="I2428" t="n">
        <v>1.4</v>
      </c>
      <c r="J2428" t="n">
        <v>0</v>
      </c>
      <c r="K2428" t="n">
        <v>0</v>
      </c>
      <c r="L2428" t="n">
        <v>0</v>
      </c>
      <c r="M2428" t="n">
        <v>0</v>
      </c>
      <c r="N2428" t="n">
        <v>0</v>
      </c>
      <c r="O2428" t="n">
        <v>0</v>
      </c>
      <c r="P2428" t="n">
        <v>0</v>
      </c>
      <c r="Q2428" t="n">
        <v>0</v>
      </c>
      <c r="R2428" t="n">
        <v>0</v>
      </c>
      <c r="S2428" t="n">
        <v>0</v>
      </c>
      <c r="T2428" t="n">
        <v>0</v>
      </c>
      <c r="U2428" t="n">
        <v>0</v>
      </c>
      <c r="V2428" s="2" t="inlineStr"/>
    </row>
    <row r="2429" ht="15" customHeight="1">
      <c r="A2429" t="inlineStr">
        <is>
          <t>A 45307-2023</t>
        </is>
      </c>
      <c r="B2429" t="inlineStr">
        <is>
          <t>avverkningsanmälan</t>
        </is>
      </c>
      <c r="C2429" t="inlineStr">
        <is>
          <t>Föryngringsavverkning</t>
        </is>
      </c>
      <c r="D2429" s="1" t="n">
        <v>45191</v>
      </c>
      <c r="E2429" s="1" t="n">
        <v>46309</v>
      </c>
      <c r="F2429" t="inlineStr">
        <is>
          <t>UPPSALA LÄN</t>
        </is>
      </c>
      <c r="G2429" t="inlineStr">
        <is>
          <t>ÖSTHAMMAR</t>
        </is>
      </c>
      <c r="H2429" t="inlineStr">
        <is>
          <t>Bergvik skog öst AB</t>
        </is>
      </c>
      <c r="I2429" t="n">
        <v>0.6</v>
      </c>
      <c r="J2429" t="n">
        <v>0</v>
      </c>
      <c r="K2429" t="n">
        <v>0</v>
      </c>
      <c r="L2429" t="n">
        <v>0</v>
      </c>
      <c r="M2429" t="n">
        <v>0</v>
      </c>
      <c r="N2429" t="n">
        <v>0</v>
      </c>
      <c r="O2429" t="n">
        <v>0</v>
      </c>
      <c r="P2429" t="n">
        <v>0</v>
      </c>
      <c r="Q2429" t="n">
        <v>0</v>
      </c>
      <c r="R2429" t="n">
        <v>0</v>
      </c>
      <c r="S2429" t="n">
        <v>0</v>
      </c>
      <c r="T2429" t="n">
        <v>0</v>
      </c>
      <c r="U2429" t="n">
        <v>0</v>
      </c>
      <c r="V2429" s="2" t="inlineStr"/>
    </row>
    <row r="2430" ht="15" customHeight="1">
      <c r="A2430" t="inlineStr">
        <is>
          <t>A 6661-2024</t>
        </is>
      </c>
      <c r="B2430" t="inlineStr">
        <is>
          <t>avverkningsanmälan</t>
        </is>
      </c>
      <c r="C2430" t="inlineStr">
        <is>
          <t>Föryngringsavverkning</t>
        </is>
      </c>
      <c r="D2430" s="1" t="n">
        <v>45341</v>
      </c>
      <c r="E2430" s="1" t="n">
        <v>46309</v>
      </c>
      <c r="F2430" t="inlineStr">
        <is>
          <t>UPPSALA LÄN</t>
        </is>
      </c>
      <c r="G2430" t="inlineStr">
        <is>
          <t>ÖSTHAMMAR</t>
        </is>
      </c>
      <c r="I2430" t="n">
        <v>0.2</v>
      </c>
      <c r="J2430" t="n">
        <v>0</v>
      </c>
      <c r="K2430" t="n">
        <v>0</v>
      </c>
      <c r="L2430" t="n">
        <v>0</v>
      </c>
      <c r="M2430" t="n">
        <v>0</v>
      </c>
      <c r="N2430" t="n">
        <v>0</v>
      </c>
      <c r="O2430" t="n">
        <v>0</v>
      </c>
      <c r="P2430" t="n">
        <v>0</v>
      </c>
      <c r="Q2430" t="n">
        <v>0</v>
      </c>
      <c r="R2430" t="n">
        <v>0</v>
      </c>
      <c r="S2430" t="n">
        <v>0</v>
      </c>
      <c r="T2430" t="n">
        <v>0</v>
      </c>
      <c r="U2430" t="n">
        <v>0</v>
      </c>
      <c r="V2430" s="2" t="inlineStr"/>
    </row>
    <row r="2431" ht="15" customHeight="1">
      <c r="A2431" t="inlineStr">
        <is>
          <t>A 22059-2026</t>
        </is>
      </c>
      <c r="B2431" t="inlineStr">
        <is>
          <t>avverkningsanmälan</t>
        </is>
      </c>
      <c r="C2431" t="inlineStr">
        <is>
          <t>Föryngringsavverkning</t>
        </is>
      </c>
      <c r="D2431" s="1" t="n">
        <v>46153</v>
      </c>
      <c r="E2431" s="1" t="n">
        <v>46309</v>
      </c>
      <c r="F2431" t="inlineStr">
        <is>
          <t>UPPSALA LÄN</t>
        </is>
      </c>
      <c r="G2431" t="inlineStr">
        <is>
          <t>ÖSTHAMMAR</t>
        </is>
      </c>
      <c r="I2431" t="n">
        <v>7.5</v>
      </c>
      <c r="J2431" t="n">
        <v>0</v>
      </c>
      <c r="K2431" t="n">
        <v>0</v>
      </c>
      <c r="L2431" t="n">
        <v>0</v>
      </c>
      <c r="M2431" t="n">
        <v>0</v>
      </c>
      <c r="N2431" t="n">
        <v>0</v>
      </c>
      <c r="O2431" t="n">
        <v>0</v>
      </c>
      <c r="P2431" t="n">
        <v>0</v>
      </c>
      <c r="Q2431" t="n">
        <v>0</v>
      </c>
      <c r="R2431" t="n">
        <v>0</v>
      </c>
      <c r="S2431" t="n">
        <v>0</v>
      </c>
      <c r="T2431" t="n">
        <v>0</v>
      </c>
      <c r="U2431" t="n">
        <v>0</v>
      </c>
      <c r="V2431" s="2" t="inlineStr"/>
    </row>
    <row r="2432" ht="15" customHeight="1">
      <c r="A2432" t="inlineStr">
        <is>
          <t>A 50394-2024</t>
        </is>
      </c>
      <c r="B2432" t="inlineStr">
        <is>
          <t>avverkningsanmälan</t>
        </is>
      </c>
      <c r="C2432" t="inlineStr">
        <is>
          <t>Föryngringsavverkning</t>
        </is>
      </c>
      <c r="D2432" s="1" t="n">
        <v>45600</v>
      </c>
      <c r="E2432" s="1" t="n">
        <v>46309</v>
      </c>
      <c r="F2432" t="inlineStr">
        <is>
          <t>UPPSALA LÄN</t>
        </is>
      </c>
      <c r="G2432" t="inlineStr">
        <is>
          <t>ENKÖPING</t>
        </is>
      </c>
      <c r="I2432" t="n">
        <v>1.2</v>
      </c>
      <c r="J2432" t="n">
        <v>0</v>
      </c>
      <c r="K2432" t="n">
        <v>0</v>
      </c>
      <c r="L2432" t="n">
        <v>0</v>
      </c>
      <c r="M2432" t="n">
        <v>0</v>
      </c>
      <c r="N2432" t="n">
        <v>0</v>
      </c>
      <c r="O2432" t="n">
        <v>0</v>
      </c>
      <c r="P2432" t="n">
        <v>0</v>
      </c>
      <c r="Q2432" t="n">
        <v>0</v>
      </c>
      <c r="R2432" t="n">
        <v>0</v>
      </c>
      <c r="S2432" t="n">
        <v>0</v>
      </c>
      <c r="T2432" t="n">
        <v>0</v>
      </c>
      <c r="U2432" t="n">
        <v>0</v>
      </c>
      <c r="V2432" s="2" t="inlineStr"/>
    </row>
    <row r="2433" ht="15" customHeight="1">
      <c r="A2433" t="inlineStr">
        <is>
          <t>A 17232-2022</t>
        </is>
      </c>
      <c r="B2433" t="inlineStr">
        <is>
          <t>avverkningsanmälan</t>
        </is>
      </c>
      <c r="C2433" t="inlineStr">
        <is>
          <t>Föryngringsavverkning</t>
        </is>
      </c>
      <c r="D2433" s="1" t="n">
        <v>44678</v>
      </c>
      <c r="E2433" s="1" t="n">
        <v>46309</v>
      </c>
      <c r="F2433" t="inlineStr">
        <is>
          <t>UPPSALA LÄN</t>
        </is>
      </c>
      <c r="G2433" t="inlineStr">
        <is>
          <t>UPPSALA</t>
        </is>
      </c>
      <c r="H2433" t="inlineStr">
        <is>
          <t>Övriga Aktiebolag</t>
        </is>
      </c>
      <c r="I2433" t="n">
        <v>7.4</v>
      </c>
      <c r="J2433" t="n">
        <v>0</v>
      </c>
      <c r="K2433" t="n">
        <v>0</v>
      </c>
      <c r="L2433" t="n">
        <v>0</v>
      </c>
      <c r="M2433" t="n">
        <v>0</v>
      </c>
      <c r="N2433" t="n">
        <v>0</v>
      </c>
      <c r="O2433" t="n">
        <v>0</v>
      </c>
      <c r="P2433" t="n">
        <v>0</v>
      </c>
      <c r="Q2433" t="n">
        <v>0</v>
      </c>
      <c r="R2433" t="n">
        <v>0</v>
      </c>
      <c r="S2433" t="n">
        <v>0</v>
      </c>
      <c r="T2433" t="n">
        <v>0</v>
      </c>
      <c r="U2433" t="n">
        <v>0</v>
      </c>
      <c r="V2433" s="2" t="inlineStr"/>
    </row>
    <row r="2434" ht="15" customHeight="1">
      <c r="A2434" t="inlineStr">
        <is>
          <t>A 8404-2022</t>
        </is>
      </c>
      <c r="B2434" t="inlineStr">
        <is>
          <t>avverkningsanmälan</t>
        </is>
      </c>
      <c r="C2434" t="inlineStr">
        <is>
          <t>Föryngringsavverkning</t>
        </is>
      </c>
      <c r="D2434" s="1" t="n">
        <v>44610</v>
      </c>
      <c r="E2434" s="1" t="n">
        <v>46309</v>
      </c>
      <c r="F2434" t="inlineStr">
        <is>
          <t>UPPSALA LÄN</t>
        </is>
      </c>
      <c r="G2434" t="inlineStr">
        <is>
          <t>UPPSALA</t>
        </is>
      </c>
      <c r="H2434" t="inlineStr">
        <is>
          <t>Allmännings- och besparingsskogar</t>
        </is>
      </c>
      <c r="I2434" t="n">
        <v>5.4</v>
      </c>
      <c r="J2434" t="n">
        <v>0</v>
      </c>
      <c r="K2434" t="n">
        <v>0</v>
      </c>
      <c r="L2434" t="n">
        <v>0</v>
      </c>
      <c r="M2434" t="n">
        <v>0</v>
      </c>
      <c r="N2434" t="n">
        <v>0</v>
      </c>
      <c r="O2434" t="n">
        <v>0</v>
      </c>
      <c r="P2434" t="n">
        <v>0</v>
      </c>
      <c r="Q2434" t="n">
        <v>0</v>
      </c>
      <c r="R2434" t="n">
        <v>0</v>
      </c>
      <c r="S2434" t="n">
        <v>0</v>
      </c>
      <c r="T2434" t="n">
        <v>0</v>
      </c>
      <c r="U2434" t="n">
        <v>0</v>
      </c>
      <c r="V2434" s="2" t="inlineStr"/>
    </row>
    <row r="2435" ht="15" customHeight="1">
      <c r="A2435" t="inlineStr">
        <is>
          <t>A 53921-2024</t>
        </is>
      </c>
      <c r="B2435" t="inlineStr">
        <is>
          <t>avverkningsanmälan</t>
        </is>
      </c>
      <c r="C2435" t="inlineStr">
        <is>
          <t>Föryngringsavverkning</t>
        </is>
      </c>
      <c r="D2435" s="1" t="n">
        <v>45615</v>
      </c>
      <c r="E2435" s="1" t="n">
        <v>46309</v>
      </c>
      <c r="F2435" t="inlineStr">
        <is>
          <t>UPPSALA LÄN</t>
        </is>
      </c>
      <c r="G2435" t="inlineStr">
        <is>
          <t>UPPSALA</t>
        </is>
      </c>
      <c r="I2435" t="n">
        <v>8.1</v>
      </c>
      <c r="J2435" t="n">
        <v>0</v>
      </c>
      <c r="K2435" t="n">
        <v>0</v>
      </c>
      <c r="L2435" t="n">
        <v>0</v>
      </c>
      <c r="M2435" t="n">
        <v>0</v>
      </c>
      <c r="N2435" t="n">
        <v>0</v>
      </c>
      <c r="O2435" t="n">
        <v>0</v>
      </c>
      <c r="P2435" t="n">
        <v>0</v>
      </c>
      <c r="Q2435" t="n">
        <v>0</v>
      </c>
      <c r="R2435" t="n">
        <v>0</v>
      </c>
      <c r="S2435" t="n">
        <v>0</v>
      </c>
      <c r="T2435" t="n">
        <v>0</v>
      </c>
      <c r="U2435" t="n">
        <v>0</v>
      </c>
      <c r="V2435" s="2" t="inlineStr"/>
    </row>
    <row r="2436" ht="15" customHeight="1">
      <c r="A2436" t="inlineStr">
        <is>
          <t>A 59562-2024</t>
        </is>
      </c>
      <c r="B2436" t="inlineStr">
        <is>
          <t>avverkningsanmälan</t>
        </is>
      </c>
      <c r="C2436" t="inlineStr">
        <is>
          <t>Föryngringsavverkning</t>
        </is>
      </c>
      <c r="D2436" s="1" t="n">
        <v>45638</v>
      </c>
      <c r="E2436" s="1" t="n">
        <v>46309</v>
      </c>
      <c r="F2436" t="inlineStr">
        <is>
          <t>UPPSALA LÄN</t>
        </is>
      </c>
      <c r="G2436" t="inlineStr">
        <is>
          <t>UPPSALA</t>
        </is>
      </c>
      <c r="I2436" t="n">
        <v>1.1</v>
      </c>
      <c r="J2436" t="n">
        <v>0</v>
      </c>
      <c r="K2436" t="n">
        <v>0</v>
      </c>
      <c r="L2436" t="n">
        <v>0</v>
      </c>
      <c r="M2436" t="n">
        <v>0</v>
      </c>
      <c r="N2436" t="n">
        <v>0</v>
      </c>
      <c r="O2436" t="n">
        <v>0</v>
      </c>
      <c r="P2436" t="n">
        <v>0</v>
      </c>
      <c r="Q2436" t="n">
        <v>0</v>
      </c>
      <c r="R2436" t="n">
        <v>0</v>
      </c>
      <c r="S2436" t="n">
        <v>0</v>
      </c>
      <c r="T2436" t="n">
        <v>0</v>
      </c>
      <c r="U2436" t="n">
        <v>0</v>
      </c>
      <c r="V2436" s="2" t="inlineStr"/>
    </row>
    <row r="2437" ht="15" customHeight="1">
      <c r="A2437" t="inlineStr">
        <is>
          <t>A 22304-2026</t>
        </is>
      </c>
      <c r="B2437" t="inlineStr">
        <is>
          <t>avverkningsanmälan</t>
        </is>
      </c>
      <c r="C2437" t="inlineStr">
        <is>
          <t>Föryngringsavverkning</t>
        </is>
      </c>
      <c r="D2437" s="1" t="n">
        <v>46154</v>
      </c>
      <c r="E2437" s="1" t="n">
        <v>46309</v>
      </c>
      <c r="F2437" t="inlineStr">
        <is>
          <t>UPPSALA LÄN</t>
        </is>
      </c>
      <c r="G2437" t="inlineStr">
        <is>
          <t>TIERP</t>
        </is>
      </c>
      <c r="I2437" t="n">
        <v>3.4</v>
      </c>
      <c r="J2437" t="n">
        <v>0</v>
      </c>
      <c r="K2437" t="n">
        <v>0</v>
      </c>
      <c r="L2437" t="n">
        <v>0</v>
      </c>
      <c r="M2437" t="n">
        <v>0</v>
      </c>
      <c r="N2437" t="n">
        <v>0</v>
      </c>
      <c r="O2437" t="n">
        <v>0</v>
      </c>
      <c r="P2437" t="n">
        <v>0</v>
      </c>
      <c r="Q2437" t="n">
        <v>0</v>
      </c>
      <c r="R2437" t="n">
        <v>0</v>
      </c>
      <c r="S2437" t="n">
        <v>0</v>
      </c>
      <c r="T2437" t="n">
        <v>0</v>
      </c>
      <c r="U2437" t="n">
        <v>0</v>
      </c>
      <c r="V2437" s="2" t="inlineStr"/>
    </row>
    <row r="2438" ht="15" customHeight="1">
      <c r="A2438" t="inlineStr">
        <is>
          <t>A 22315-2026</t>
        </is>
      </c>
      <c r="B2438" t="inlineStr">
        <is>
          <t>avverkningsanmälan</t>
        </is>
      </c>
      <c r="C2438" t="inlineStr">
        <is>
          <t>Föryngringsavverkning</t>
        </is>
      </c>
      <c r="D2438" s="1" t="n">
        <v>46154</v>
      </c>
      <c r="E2438" s="1" t="n">
        <v>46309</v>
      </c>
      <c r="F2438" t="inlineStr">
        <is>
          <t>UPPSALA LÄN</t>
        </is>
      </c>
      <c r="G2438" t="inlineStr">
        <is>
          <t>ENKÖPING</t>
        </is>
      </c>
      <c r="I2438" t="n">
        <v>1.3</v>
      </c>
      <c r="J2438" t="n">
        <v>0</v>
      </c>
      <c r="K2438" t="n">
        <v>0</v>
      </c>
      <c r="L2438" t="n">
        <v>0</v>
      </c>
      <c r="M2438" t="n">
        <v>0</v>
      </c>
      <c r="N2438" t="n">
        <v>0</v>
      </c>
      <c r="O2438" t="n">
        <v>0</v>
      </c>
      <c r="P2438" t="n">
        <v>0</v>
      </c>
      <c r="Q2438" t="n">
        <v>0</v>
      </c>
      <c r="R2438" t="n">
        <v>0</v>
      </c>
      <c r="S2438" t="n">
        <v>0</v>
      </c>
      <c r="T2438" t="n">
        <v>0</v>
      </c>
      <c r="U2438" t="n">
        <v>0</v>
      </c>
      <c r="V2438" s="2" t="inlineStr"/>
    </row>
    <row r="2439" ht="15" customHeight="1">
      <c r="A2439" t="inlineStr">
        <is>
          <t>A 5933-2022</t>
        </is>
      </c>
      <c r="B2439" t="inlineStr">
        <is>
          <t>avverkningsanmälan</t>
        </is>
      </c>
      <c r="C2439" t="inlineStr">
        <is>
          <t>Föryngringsavverkning</t>
        </is>
      </c>
      <c r="D2439" s="1" t="n">
        <v>44598</v>
      </c>
      <c r="E2439" s="1" t="n">
        <v>46309</v>
      </c>
      <c r="F2439" t="inlineStr">
        <is>
          <t>UPPSALA LÄN</t>
        </is>
      </c>
      <c r="G2439" t="inlineStr">
        <is>
          <t>ÖSTHAMMAR</t>
        </is>
      </c>
      <c r="H2439" t="inlineStr">
        <is>
          <t>Bergvik skog öst AB</t>
        </is>
      </c>
      <c r="I2439" t="n">
        <v>1.4</v>
      </c>
      <c r="J2439" t="n">
        <v>0</v>
      </c>
      <c r="K2439" t="n">
        <v>0</v>
      </c>
      <c r="L2439" t="n">
        <v>0</v>
      </c>
      <c r="M2439" t="n">
        <v>0</v>
      </c>
      <c r="N2439" t="n">
        <v>0</v>
      </c>
      <c r="O2439" t="n">
        <v>0</v>
      </c>
      <c r="P2439" t="n">
        <v>0</v>
      </c>
      <c r="Q2439" t="n">
        <v>0</v>
      </c>
      <c r="R2439" t="n">
        <v>0</v>
      </c>
      <c r="S2439" t="n">
        <v>0</v>
      </c>
      <c r="T2439" t="n">
        <v>0</v>
      </c>
      <c r="U2439" t="n">
        <v>0</v>
      </c>
      <c r="V2439" s="2" t="inlineStr"/>
    </row>
    <row r="2440" ht="15" customHeight="1">
      <c r="A2440" t="inlineStr">
        <is>
          <t>A 22203-2026</t>
        </is>
      </c>
      <c r="B2440" t="inlineStr">
        <is>
          <t>avverkningsanmälan</t>
        </is>
      </c>
      <c r="C2440" t="inlineStr">
        <is>
          <t>Föryngringsavverkning</t>
        </is>
      </c>
      <c r="D2440" s="1" t="n">
        <v>46153</v>
      </c>
      <c r="E2440" s="1" t="n">
        <v>46309</v>
      </c>
      <c r="F2440" t="inlineStr">
        <is>
          <t>UPPSALA LÄN</t>
        </is>
      </c>
      <c r="G2440" t="inlineStr">
        <is>
          <t>TIERP</t>
        </is>
      </c>
      <c r="I2440" t="n">
        <v>0.8</v>
      </c>
      <c r="J2440" t="n">
        <v>0</v>
      </c>
      <c r="K2440" t="n">
        <v>0</v>
      </c>
      <c r="L2440" t="n">
        <v>0</v>
      </c>
      <c r="M2440" t="n">
        <v>0</v>
      </c>
      <c r="N2440" t="n">
        <v>0</v>
      </c>
      <c r="O2440" t="n">
        <v>0</v>
      </c>
      <c r="P2440" t="n">
        <v>0</v>
      </c>
      <c r="Q2440" t="n">
        <v>0</v>
      </c>
      <c r="R2440" t="n">
        <v>0</v>
      </c>
      <c r="S2440" t="n">
        <v>0</v>
      </c>
      <c r="T2440" t="n">
        <v>0</v>
      </c>
      <c r="U2440" t="n">
        <v>0</v>
      </c>
      <c r="V2440" s="2" t="inlineStr"/>
    </row>
    <row r="2441" ht="15" customHeight="1">
      <c r="A2441" t="inlineStr">
        <is>
          <t>A 29873-2023</t>
        </is>
      </c>
      <c r="B2441" t="inlineStr">
        <is>
          <t>avverkningsanmälan</t>
        </is>
      </c>
      <c r="C2441" t="inlineStr">
        <is>
          <t>Föryngringsavverkning</t>
        </is>
      </c>
      <c r="D2441" s="1" t="n">
        <v>45107</v>
      </c>
      <c r="E2441" s="1" t="n">
        <v>46309</v>
      </c>
      <c r="F2441" t="inlineStr">
        <is>
          <t>UPPSALA LÄN</t>
        </is>
      </c>
      <c r="G2441" t="inlineStr">
        <is>
          <t>ÖSTHAMMAR</t>
        </is>
      </c>
      <c r="H2441" t="inlineStr">
        <is>
          <t>Naturvårdsverket</t>
        </is>
      </c>
      <c r="I2441" t="n">
        <v>7.8</v>
      </c>
      <c r="J2441" t="n">
        <v>0</v>
      </c>
      <c r="K2441" t="n">
        <v>0</v>
      </c>
      <c r="L2441" t="n">
        <v>0</v>
      </c>
      <c r="M2441" t="n">
        <v>0</v>
      </c>
      <c r="N2441" t="n">
        <v>0</v>
      </c>
      <c r="O2441" t="n">
        <v>0</v>
      </c>
      <c r="P2441" t="n">
        <v>0</v>
      </c>
      <c r="Q2441" t="n">
        <v>0</v>
      </c>
      <c r="R2441" t="n">
        <v>0</v>
      </c>
      <c r="S2441" t="n">
        <v>0</v>
      </c>
      <c r="T2441" t="n">
        <v>0</v>
      </c>
      <c r="U2441" t="n">
        <v>0</v>
      </c>
      <c r="V2441" s="2" t="inlineStr"/>
    </row>
    <row r="2442" ht="15" customHeight="1">
      <c r="A2442" t="inlineStr">
        <is>
          <t>A 44115-2023</t>
        </is>
      </c>
      <c r="B2442" t="inlineStr">
        <is>
          <t>avverkningsanmälan</t>
        </is>
      </c>
      <c r="C2442" t="inlineStr">
        <is>
          <t>Föryngringsavverkning</t>
        </is>
      </c>
      <c r="D2442" s="1" t="n">
        <v>45188</v>
      </c>
      <c r="E2442" s="1" t="n">
        <v>46309</v>
      </c>
      <c r="F2442" t="inlineStr">
        <is>
          <t>UPPSALA LÄN</t>
        </is>
      </c>
      <c r="G2442" t="inlineStr">
        <is>
          <t>UPPSALA</t>
        </is>
      </c>
      <c r="H2442" t="inlineStr">
        <is>
          <t>Holmen skog AB</t>
        </is>
      </c>
      <c r="I2442" t="n">
        <v>1.8</v>
      </c>
      <c r="J2442" t="n">
        <v>0</v>
      </c>
      <c r="K2442" t="n">
        <v>0</v>
      </c>
      <c r="L2442" t="n">
        <v>0</v>
      </c>
      <c r="M2442" t="n">
        <v>0</v>
      </c>
      <c r="N2442" t="n">
        <v>0</v>
      </c>
      <c r="O2442" t="n">
        <v>0</v>
      </c>
      <c r="P2442" t="n">
        <v>0</v>
      </c>
      <c r="Q2442" t="n">
        <v>0</v>
      </c>
      <c r="R2442" t="n">
        <v>0</v>
      </c>
      <c r="S2442" t="n">
        <v>0</v>
      </c>
      <c r="T2442" t="n">
        <v>0</v>
      </c>
      <c r="U2442" t="n">
        <v>0</v>
      </c>
      <c r="V2442" s="2" t="inlineStr"/>
    </row>
    <row r="2443" ht="15" customHeight="1">
      <c r="A2443" t="inlineStr">
        <is>
          <t>A 72840-2021</t>
        </is>
      </c>
      <c r="B2443" t="inlineStr">
        <is>
          <t>avverkningsanmälan</t>
        </is>
      </c>
      <c r="C2443" t="inlineStr">
        <is>
          <t>Föryngringsavverkning</t>
        </is>
      </c>
      <c r="D2443" s="1" t="n">
        <v>44547</v>
      </c>
      <c r="E2443" s="1" t="n">
        <v>46309</v>
      </c>
      <c r="F2443" t="inlineStr">
        <is>
          <t>UPPSALA LÄN</t>
        </is>
      </c>
      <c r="G2443" t="inlineStr">
        <is>
          <t>ENKÖPING</t>
        </is>
      </c>
      <c r="I2443" t="n">
        <v>1.9</v>
      </c>
      <c r="J2443" t="n">
        <v>0</v>
      </c>
      <c r="K2443" t="n">
        <v>0</v>
      </c>
      <c r="L2443" t="n">
        <v>0</v>
      </c>
      <c r="M2443" t="n">
        <v>0</v>
      </c>
      <c r="N2443" t="n">
        <v>0</v>
      </c>
      <c r="O2443" t="n">
        <v>0</v>
      </c>
      <c r="P2443" t="n">
        <v>0</v>
      </c>
      <c r="Q2443" t="n">
        <v>0</v>
      </c>
      <c r="R2443" t="n">
        <v>0</v>
      </c>
      <c r="S2443" t="n">
        <v>0</v>
      </c>
      <c r="T2443" t="n">
        <v>0</v>
      </c>
      <c r="U2443" t="n">
        <v>0</v>
      </c>
      <c r="V2443" s="2" t="inlineStr"/>
    </row>
    <row r="2444" ht="15" customHeight="1">
      <c r="A2444" t="inlineStr">
        <is>
          <t>A 28912-2023</t>
        </is>
      </c>
      <c r="B2444" t="inlineStr">
        <is>
          <t>avverkningsanmälan</t>
        </is>
      </c>
      <c r="C2444" t="inlineStr">
        <is>
          <t>Föryngringsavverkning</t>
        </is>
      </c>
      <c r="D2444" s="1" t="n">
        <v>45104</v>
      </c>
      <c r="E2444" s="1" t="n">
        <v>46309</v>
      </c>
      <c r="F2444" t="inlineStr">
        <is>
          <t>UPPSALA LÄN</t>
        </is>
      </c>
      <c r="G2444" t="inlineStr">
        <is>
          <t>TIERP</t>
        </is>
      </c>
      <c r="H2444" t="inlineStr">
        <is>
          <t>Bergvik skog öst AB</t>
        </is>
      </c>
      <c r="I2444" t="n">
        <v>1.1</v>
      </c>
      <c r="J2444" t="n">
        <v>0</v>
      </c>
      <c r="K2444" t="n">
        <v>0</v>
      </c>
      <c r="L2444" t="n">
        <v>0</v>
      </c>
      <c r="M2444" t="n">
        <v>0</v>
      </c>
      <c r="N2444" t="n">
        <v>0</v>
      </c>
      <c r="O2444" t="n">
        <v>0</v>
      </c>
      <c r="P2444" t="n">
        <v>0</v>
      </c>
      <c r="Q2444" t="n">
        <v>0</v>
      </c>
      <c r="R2444" t="n">
        <v>0</v>
      </c>
      <c r="S2444" t="n">
        <v>0</v>
      </c>
      <c r="T2444" t="n">
        <v>0</v>
      </c>
      <c r="U2444" t="n">
        <v>0</v>
      </c>
      <c r="V2444" s="2" t="inlineStr"/>
    </row>
    <row r="2445" ht="15" customHeight="1">
      <c r="A2445" t="inlineStr">
        <is>
          <t>A 22072-2026</t>
        </is>
      </c>
      <c r="B2445" t="inlineStr">
        <is>
          <t>avverkningsanmälan</t>
        </is>
      </c>
      <c r="C2445" t="inlineStr">
        <is>
          <t>Föryngringsavverkning</t>
        </is>
      </c>
      <c r="D2445" s="1" t="n">
        <v>46153</v>
      </c>
      <c r="E2445" s="1" t="n">
        <v>46309</v>
      </c>
      <c r="F2445" t="inlineStr">
        <is>
          <t>UPPSALA LÄN</t>
        </is>
      </c>
      <c r="G2445" t="inlineStr">
        <is>
          <t>TIERP</t>
        </is>
      </c>
      <c r="I2445" t="n">
        <v>2.1</v>
      </c>
      <c r="J2445" t="n">
        <v>0</v>
      </c>
      <c r="K2445" t="n">
        <v>0</v>
      </c>
      <c r="L2445" t="n">
        <v>0</v>
      </c>
      <c r="M2445" t="n">
        <v>0</v>
      </c>
      <c r="N2445" t="n">
        <v>0</v>
      </c>
      <c r="O2445" t="n">
        <v>0</v>
      </c>
      <c r="P2445" t="n">
        <v>0</v>
      </c>
      <c r="Q2445" t="n">
        <v>0</v>
      </c>
      <c r="R2445" t="n">
        <v>0</v>
      </c>
      <c r="S2445" t="n">
        <v>0</v>
      </c>
      <c r="T2445" t="n">
        <v>0</v>
      </c>
      <c r="U2445" t="n">
        <v>0</v>
      </c>
      <c r="V2445" s="2" t="inlineStr"/>
    </row>
    <row r="2446" ht="15" customHeight="1">
      <c r="A2446" t="inlineStr">
        <is>
          <t>A 42772-2022</t>
        </is>
      </c>
      <c r="B2446" t="inlineStr">
        <is>
          <t>avverkningsanmälan</t>
        </is>
      </c>
      <c r="C2446" t="inlineStr">
        <is>
          <t>Föryngringsavverkning</t>
        </is>
      </c>
      <c r="D2446" s="1" t="n">
        <v>44832</v>
      </c>
      <c r="E2446" s="1" t="n">
        <v>46309</v>
      </c>
      <c r="F2446" t="inlineStr">
        <is>
          <t>UPPSALA LÄN</t>
        </is>
      </c>
      <c r="G2446" t="inlineStr">
        <is>
          <t>UPPSALA</t>
        </is>
      </c>
      <c r="I2446" t="n">
        <v>17.7</v>
      </c>
      <c r="J2446" t="n">
        <v>0</v>
      </c>
      <c r="K2446" t="n">
        <v>0</v>
      </c>
      <c r="L2446" t="n">
        <v>0</v>
      </c>
      <c r="M2446" t="n">
        <v>0</v>
      </c>
      <c r="N2446" t="n">
        <v>0</v>
      </c>
      <c r="O2446" t="n">
        <v>0</v>
      </c>
      <c r="P2446" t="n">
        <v>0</v>
      </c>
      <c r="Q2446" t="n">
        <v>0</v>
      </c>
      <c r="R2446" t="n">
        <v>0</v>
      </c>
      <c r="S2446" t="n">
        <v>0</v>
      </c>
      <c r="T2446" t="n">
        <v>0</v>
      </c>
      <c r="U2446" t="n">
        <v>0</v>
      </c>
      <c r="V2446" s="2" t="inlineStr"/>
    </row>
    <row r="2447" ht="15" customHeight="1">
      <c r="A2447" t="inlineStr">
        <is>
          <t>A 40624-2023</t>
        </is>
      </c>
      <c r="B2447" t="inlineStr">
        <is>
          <t>avverkningsanmälan</t>
        </is>
      </c>
      <c r="C2447" t="inlineStr">
        <is>
          <t>Avverkning för att bevara och utveckla /försöksver</t>
        </is>
      </c>
      <c r="D2447" s="1" t="n">
        <v>45170</v>
      </c>
      <c r="E2447" s="1" t="n">
        <v>46309</v>
      </c>
      <c r="F2447" t="inlineStr">
        <is>
          <t>UPPSALA LÄN</t>
        </is>
      </c>
      <c r="G2447" t="inlineStr">
        <is>
          <t>TIERP</t>
        </is>
      </c>
      <c r="H2447" t="inlineStr">
        <is>
          <t>Bergvik skog väst AB</t>
        </is>
      </c>
      <c r="I2447" t="n">
        <v>1</v>
      </c>
      <c r="J2447" t="n">
        <v>0</v>
      </c>
      <c r="K2447" t="n">
        <v>0</v>
      </c>
      <c r="L2447" t="n">
        <v>0</v>
      </c>
      <c r="M2447" t="n">
        <v>0</v>
      </c>
      <c r="N2447" t="n">
        <v>0</v>
      </c>
      <c r="O2447" t="n">
        <v>0</v>
      </c>
      <c r="P2447" t="n">
        <v>0</v>
      </c>
      <c r="Q2447" t="n">
        <v>0</v>
      </c>
      <c r="R2447" t="n">
        <v>0</v>
      </c>
      <c r="S2447" t="n">
        <v>0</v>
      </c>
      <c r="T2447" t="n">
        <v>0</v>
      </c>
      <c r="U2447" t="n">
        <v>0</v>
      </c>
      <c r="V2447" s="2" t="inlineStr"/>
    </row>
    <row r="2448" ht="15" customHeight="1">
      <c r="A2448" t="inlineStr">
        <is>
          <t>A 6892-2022</t>
        </is>
      </c>
      <c r="B2448" t="inlineStr">
        <is>
          <t>avverkningsanmälan</t>
        </is>
      </c>
      <c r="C2448" t="inlineStr">
        <is>
          <t>Föryngringsavverkning</t>
        </is>
      </c>
      <c r="D2448" s="1" t="n">
        <v>44602</v>
      </c>
      <c r="E2448" s="1" t="n">
        <v>46309</v>
      </c>
      <c r="F2448" t="inlineStr">
        <is>
          <t>UPPSALA LÄN</t>
        </is>
      </c>
      <c r="G2448" t="inlineStr">
        <is>
          <t>ÖSTHAMMAR</t>
        </is>
      </c>
      <c r="H2448" t="inlineStr">
        <is>
          <t>Bergvik skog öst AB</t>
        </is>
      </c>
      <c r="I2448" t="n">
        <v>1.4</v>
      </c>
      <c r="J2448" t="n">
        <v>0</v>
      </c>
      <c r="K2448" t="n">
        <v>0</v>
      </c>
      <c r="L2448" t="n">
        <v>0</v>
      </c>
      <c r="M2448" t="n">
        <v>0</v>
      </c>
      <c r="N2448" t="n">
        <v>0</v>
      </c>
      <c r="O2448" t="n">
        <v>0</v>
      </c>
      <c r="P2448" t="n">
        <v>0</v>
      </c>
      <c r="Q2448" t="n">
        <v>0</v>
      </c>
      <c r="R2448" t="n">
        <v>0</v>
      </c>
      <c r="S2448" t="n">
        <v>0</v>
      </c>
      <c r="T2448" t="n">
        <v>0</v>
      </c>
      <c r="U2448" t="n">
        <v>0</v>
      </c>
      <c r="V2448" s="2" t="inlineStr"/>
    </row>
    <row r="2449" ht="15" customHeight="1">
      <c r="A2449" t="inlineStr">
        <is>
          <t>A 6363-2024</t>
        </is>
      </c>
      <c r="B2449" t="inlineStr">
        <is>
          <t>avverkningsanmälan</t>
        </is>
      </c>
      <c r="C2449" t="inlineStr">
        <is>
          <t>Föryngringsavverkning</t>
        </is>
      </c>
      <c r="D2449" s="1" t="n">
        <v>45338</v>
      </c>
      <c r="E2449" s="1" t="n">
        <v>46309</v>
      </c>
      <c r="F2449" t="inlineStr">
        <is>
          <t>UPPSALA LÄN</t>
        </is>
      </c>
      <c r="G2449" t="inlineStr">
        <is>
          <t>UPPSALA</t>
        </is>
      </c>
      <c r="I2449" t="n">
        <v>1.3</v>
      </c>
      <c r="J2449" t="n">
        <v>0</v>
      </c>
      <c r="K2449" t="n">
        <v>0</v>
      </c>
      <c r="L2449" t="n">
        <v>0</v>
      </c>
      <c r="M2449" t="n">
        <v>0</v>
      </c>
      <c r="N2449" t="n">
        <v>0</v>
      </c>
      <c r="O2449" t="n">
        <v>0</v>
      </c>
      <c r="P2449" t="n">
        <v>0</v>
      </c>
      <c r="Q2449" t="n">
        <v>0</v>
      </c>
      <c r="R2449" t="n">
        <v>0</v>
      </c>
      <c r="S2449" t="n">
        <v>0</v>
      </c>
      <c r="T2449" t="n">
        <v>0</v>
      </c>
      <c r="U2449" t="n">
        <v>0</v>
      </c>
      <c r="V2449" s="2" t="inlineStr"/>
    </row>
    <row r="2450" ht="15" customHeight="1">
      <c r="A2450" t="inlineStr">
        <is>
          <t>A 26099-2025</t>
        </is>
      </c>
      <c r="B2450" t="inlineStr">
        <is>
          <t>avverkningsanmälan</t>
        </is>
      </c>
      <c r="C2450" t="inlineStr">
        <is>
          <t>Föryngringsavverkning</t>
        </is>
      </c>
      <c r="D2450" s="1" t="n">
        <v>45805</v>
      </c>
      <c r="E2450" s="1" t="n">
        <v>46309</v>
      </c>
      <c r="F2450" t="inlineStr">
        <is>
          <t>UPPSALA LÄN</t>
        </is>
      </c>
      <c r="G2450" t="inlineStr">
        <is>
          <t>HEBY</t>
        </is>
      </c>
      <c r="I2450" t="n">
        <v>3.7</v>
      </c>
      <c r="J2450" t="n">
        <v>0</v>
      </c>
      <c r="K2450" t="n">
        <v>0</v>
      </c>
      <c r="L2450" t="n">
        <v>0</v>
      </c>
      <c r="M2450" t="n">
        <v>0</v>
      </c>
      <c r="N2450" t="n">
        <v>0</v>
      </c>
      <c r="O2450" t="n">
        <v>0</v>
      </c>
      <c r="P2450" t="n">
        <v>0</v>
      </c>
      <c r="Q2450" t="n">
        <v>0</v>
      </c>
      <c r="R2450" t="n">
        <v>0</v>
      </c>
      <c r="S2450" t="n">
        <v>0</v>
      </c>
      <c r="T2450" t="n">
        <v>0</v>
      </c>
      <c r="U2450" t="n">
        <v>0</v>
      </c>
      <c r="V2450" s="2" t="inlineStr"/>
    </row>
    <row r="2451" ht="15" customHeight="1">
      <c r="A2451" t="inlineStr">
        <is>
          <t>A 37870-2023</t>
        </is>
      </c>
      <c r="B2451" t="inlineStr">
        <is>
          <t>avverkningsanmälan</t>
        </is>
      </c>
      <c r="C2451" t="inlineStr">
        <is>
          <t>Föryngringsavverkning</t>
        </is>
      </c>
      <c r="D2451" s="1" t="n">
        <v>45160</v>
      </c>
      <c r="E2451" s="1" t="n">
        <v>46309</v>
      </c>
      <c r="F2451" t="inlineStr">
        <is>
          <t>UPPSALA LÄN</t>
        </is>
      </c>
      <c r="G2451" t="inlineStr">
        <is>
          <t>ENKÖPING</t>
        </is>
      </c>
      <c r="I2451" t="n">
        <v>3.5</v>
      </c>
      <c r="J2451" t="n">
        <v>0</v>
      </c>
      <c r="K2451" t="n">
        <v>0</v>
      </c>
      <c r="L2451" t="n">
        <v>0</v>
      </c>
      <c r="M2451" t="n">
        <v>0</v>
      </c>
      <c r="N2451" t="n">
        <v>0</v>
      </c>
      <c r="O2451" t="n">
        <v>0</v>
      </c>
      <c r="P2451" t="n">
        <v>0</v>
      </c>
      <c r="Q2451" t="n">
        <v>0</v>
      </c>
      <c r="R2451" t="n">
        <v>0</v>
      </c>
      <c r="S2451" t="n">
        <v>0</v>
      </c>
      <c r="T2451" t="n">
        <v>0</v>
      </c>
      <c r="U2451" t="n">
        <v>0</v>
      </c>
      <c r="V2451" s="2" t="inlineStr"/>
    </row>
    <row r="2452" ht="15" customHeight="1">
      <c r="A2452" t="inlineStr">
        <is>
          <t>A 7090-2022</t>
        </is>
      </c>
      <c r="B2452" t="inlineStr">
        <is>
          <t>avverkningsanmälan</t>
        </is>
      </c>
      <c r="C2452" t="inlineStr">
        <is>
          <t>Föryngringsavverkning</t>
        </is>
      </c>
      <c r="D2452" s="1" t="n">
        <v>44603</v>
      </c>
      <c r="E2452" s="1" t="n">
        <v>46309</v>
      </c>
      <c r="F2452" t="inlineStr">
        <is>
          <t>UPPSALA LÄN</t>
        </is>
      </c>
      <c r="G2452" t="inlineStr">
        <is>
          <t>ENKÖPING</t>
        </is>
      </c>
      <c r="I2452" t="n">
        <v>2.8</v>
      </c>
      <c r="J2452" t="n">
        <v>0</v>
      </c>
      <c r="K2452" t="n">
        <v>0</v>
      </c>
      <c r="L2452" t="n">
        <v>0</v>
      </c>
      <c r="M2452" t="n">
        <v>0</v>
      </c>
      <c r="N2452" t="n">
        <v>0</v>
      </c>
      <c r="O2452" t="n">
        <v>0</v>
      </c>
      <c r="P2452" t="n">
        <v>0</v>
      </c>
      <c r="Q2452" t="n">
        <v>0</v>
      </c>
      <c r="R2452" t="n">
        <v>0</v>
      </c>
      <c r="S2452" t="n">
        <v>0</v>
      </c>
      <c r="T2452" t="n">
        <v>0</v>
      </c>
      <c r="U2452" t="n">
        <v>0</v>
      </c>
      <c r="V2452" s="2" t="inlineStr"/>
    </row>
    <row r="2453" ht="15" customHeight="1">
      <c r="A2453" t="inlineStr">
        <is>
          <t>A 10490-2025</t>
        </is>
      </c>
      <c r="B2453" t="inlineStr">
        <is>
          <t>avverkningsanmälan</t>
        </is>
      </c>
      <c r="C2453" t="inlineStr">
        <is>
          <t>Föryngringsavverkning</t>
        </is>
      </c>
      <c r="D2453" s="1" t="n">
        <v>45721</v>
      </c>
      <c r="E2453" s="1" t="n">
        <v>46309</v>
      </c>
      <c r="F2453" t="inlineStr">
        <is>
          <t>UPPSALA LÄN</t>
        </is>
      </c>
      <c r="G2453" t="inlineStr">
        <is>
          <t>UPPSALA</t>
        </is>
      </c>
      <c r="I2453" t="n">
        <v>1.8</v>
      </c>
      <c r="J2453" t="n">
        <v>0</v>
      </c>
      <c r="K2453" t="n">
        <v>0</v>
      </c>
      <c r="L2453" t="n">
        <v>0</v>
      </c>
      <c r="M2453" t="n">
        <v>0</v>
      </c>
      <c r="N2453" t="n">
        <v>0</v>
      </c>
      <c r="O2453" t="n">
        <v>0</v>
      </c>
      <c r="P2453" t="n">
        <v>0</v>
      </c>
      <c r="Q2453" t="n">
        <v>0</v>
      </c>
      <c r="R2453" t="n">
        <v>0</v>
      </c>
      <c r="S2453" t="n">
        <v>0</v>
      </c>
      <c r="T2453" t="n">
        <v>0</v>
      </c>
      <c r="U2453" t="n">
        <v>0</v>
      </c>
      <c r="V2453" s="2" t="inlineStr"/>
    </row>
    <row r="2454" ht="15" customHeight="1">
      <c r="A2454" t="inlineStr">
        <is>
          <t>A 22641-2026</t>
        </is>
      </c>
      <c r="B2454" t="inlineStr">
        <is>
          <t>avverkningsanmälan</t>
        </is>
      </c>
      <c r="C2454" t="inlineStr">
        <is>
          <t>Föryngringsavverkning</t>
        </is>
      </c>
      <c r="D2454" s="1" t="n">
        <v>46155</v>
      </c>
      <c r="E2454" s="1" t="n">
        <v>46309</v>
      </c>
      <c r="F2454" t="inlineStr">
        <is>
          <t>UPPSALA LÄN</t>
        </is>
      </c>
      <c r="G2454" t="inlineStr">
        <is>
          <t>ÖSTHAMMAR</t>
        </is>
      </c>
      <c r="I2454" t="n">
        <v>6.3</v>
      </c>
      <c r="J2454" t="n">
        <v>0</v>
      </c>
      <c r="K2454" t="n">
        <v>0</v>
      </c>
      <c r="L2454" t="n">
        <v>0</v>
      </c>
      <c r="M2454" t="n">
        <v>0</v>
      </c>
      <c r="N2454" t="n">
        <v>0</v>
      </c>
      <c r="O2454" t="n">
        <v>0</v>
      </c>
      <c r="P2454" t="n">
        <v>0</v>
      </c>
      <c r="Q2454" t="n">
        <v>0</v>
      </c>
      <c r="R2454" t="n">
        <v>0</v>
      </c>
      <c r="S2454" t="n">
        <v>0</v>
      </c>
      <c r="T2454" t="n">
        <v>0</v>
      </c>
      <c r="U2454" t="n">
        <v>0</v>
      </c>
      <c r="V2454" s="2" t="inlineStr"/>
    </row>
    <row r="2455" ht="15" customHeight="1">
      <c r="A2455" t="inlineStr">
        <is>
          <t>A 13044-2022</t>
        </is>
      </c>
      <c r="B2455" t="inlineStr">
        <is>
          <t>avverkningsanmälan</t>
        </is>
      </c>
      <c r="C2455" t="inlineStr">
        <is>
          <t>Föryngringsavverkning</t>
        </is>
      </c>
      <c r="D2455" s="1" t="n">
        <v>44643</v>
      </c>
      <c r="E2455" s="1" t="n">
        <v>46309</v>
      </c>
      <c r="F2455" t="inlineStr">
        <is>
          <t>UPPSALA LÄN</t>
        </is>
      </c>
      <c r="G2455" t="inlineStr">
        <is>
          <t>ÖSTHAMMAR</t>
        </is>
      </c>
      <c r="I2455" t="n">
        <v>2.5</v>
      </c>
      <c r="J2455" t="n">
        <v>0</v>
      </c>
      <c r="K2455" t="n">
        <v>0</v>
      </c>
      <c r="L2455" t="n">
        <v>0</v>
      </c>
      <c r="M2455" t="n">
        <v>0</v>
      </c>
      <c r="N2455" t="n">
        <v>0</v>
      </c>
      <c r="O2455" t="n">
        <v>0</v>
      </c>
      <c r="P2455" t="n">
        <v>0</v>
      </c>
      <c r="Q2455" t="n">
        <v>0</v>
      </c>
      <c r="R2455" t="n">
        <v>0</v>
      </c>
      <c r="S2455" t="n">
        <v>0</v>
      </c>
      <c r="T2455" t="n">
        <v>0</v>
      </c>
      <c r="U2455" t="n">
        <v>0</v>
      </c>
      <c r="V2455" s="2" t="inlineStr"/>
    </row>
    <row r="2456" ht="15" customHeight="1">
      <c r="A2456" t="inlineStr">
        <is>
          <t>A 6226-2024</t>
        </is>
      </c>
      <c r="B2456" t="inlineStr">
        <is>
          <t>avverkningsanmälan</t>
        </is>
      </c>
      <c r="C2456" t="inlineStr">
        <is>
          <t>Föryngringsavverkning</t>
        </is>
      </c>
      <c r="D2456" s="1" t="n">
        <v>45337</v>
      </c>
      <c r="E2456" s="1" t="n">
        <v>46309</v>
      </c>
      <c r="F2456" t="inlineStr">
        <is>
          <t>UPPSALA LÄN</t>
        </is>
      </c>
      <c r="G2456" t="inlineStr">
        <is>
          <t>HEBY</t>
        </is>
      </c>
      <c r="I2456" t="n">
        <v>0.6</v>
      </c>
      <c r="J2456" t="n">
        <v>0</v>
      </c>
      <c r="K2456" t="n">
        <v>0</v>
      </c>
      <c r="L2456" t="n">
        <v>0</v>
      </c>
      <c r="M2456" t="n">
        <v>0</v>
      </c>
      <c r="N2456" t="n">
        <v>0</v>
      </c>
      <c r="O2456" t="n">
        <v>0</v>
      </c>
      <c r="P2456" t="n">
        <v>0</v>
      </c>
      <c r="Q2456" t="n">
        <v>0</v>
      </c>
      <c r="R2456" t="n">
        <v>0</v>
      </c>
      <c r="S2456" t="n">
        <v>0</v>
      </c>
      <c r="T2456" t="n">
        <v>0</v>
      </c>
      <c r="U2456" t="n">
        <v>0</v>
      </c>
      <c r="V2456" s="2" t="inlineStr"/>
    </row>
    <row r="2457" ht="15" customHeight="1">
      <c r="A2457" t="inlineStr">
        <is>
          <t>A 42725-2023</t>
        </is>
      </c>
      <c r="B2457" t="inlineStr">
        <is>
          <t>avverkningsanmälan</t>
        </is>
      </c>
      <c r="C2457" t="inlineStr">
        <is>
          <t>Föryngringsavverkning</t>
        </is>
      </c>
      <c r="D2457" s="1" t="n">
        <v>45181</v>
      </c>
      <c r="E2457" s="1" t="n">
        <v>46309</v>
      </c>
      <c r="F2457" t="inlineStr">
        <is>
          <t>UPPSALA LÄN</t>
        </is>
      </c>
      <c r="G2457" t="inlineStr">
        <is>
          <t>HEBY</t>
        </is>
      </c>
      <c r="I2457" t="n">
        <v>1</v>
      </c>
      <c r="J2457" t="n">
        <v>0</v>
      </c>
      <c r="K2457" t="n">
        <v>0</v>
      </c>
      <c r="L2457" t="n">
        <v>0</v>
      </c>
      <c r="M2457" t="n">
        <v>0</v>
      </c>
      <c r="N2457" t="n">
        <v>0</v>
      </c>
      <c r="O2457" t="n">
        <v>0</v>
      </c>
      <c r="P2457" t="n">
        <v>0</v>
      </c>
      <c r="Q2457" t="n">
        <v>0</v>
      </c>
      <c r="R2457" t="n">
        <v>0</v>
      </c>
      <c r="S2457" t="n">
        <v>0</v>
      </c>
      <c r="T2457" t="n">
        <v>0</v>
      </c>
      <c r="U2457" t="n">
        <v>0</v>
      </c>
      <c r="V2457" s="2" t="inlineStr"/>
    </row>
    <row r="2458" ht="15" customHeight="1">
      <c r="A2458" t="inlineStr">
        <is>
          <t>A 50163-2024</t>
        </is>
      </c>
      <c r="B2458" t="inlineStr">
        <is>
          <t>avverkningsanmälan</t>
        </is>
      </c>
      <c r="C2458" t="inlineStr">
        <is>
          <t>Föryngringsavverkning</t>
        </is>
      </c>
      <c r="D2458" s="1" t="n">
        <v>45599</v>
      </c>
      <c r="E2458" s="1" t="n">
        <v>46309</v>
      </c>
      <c r="F2458" t="inlineStr">
        <is>
          <t>UPPSALA LÄN</t>
        </is>
      </c>
      <c r="G2458" t="inlineStr">
        <is>
          <t>HEBY</t>
        </is>
      </c>
      <c r="H2458" t="inlineStr">
        <is>
          <t>Bergvik skog väst AB</t>
        </is>
      </c>
      <c r="I2458" t="n">
        <v>2</v>
      </c>
      <c r="J2458" t="n">
        <v>0</v>
      </c>
      <c r="K2458" t="n">
        <v>0</v>
      </c>
      <c r="L2458" t="n">
        <v>0</v>
      </c>
      <c r="M2458" t="n">
        <v>0</v>
      </c>
      <c r="N2458" t="n">
        <v>0</v>
      </c>
      <c r="O2458" t="n">
        <v>0</v>
      </c>
      <c r="P2458" t="n">
        <v>0</v>
      </c>
      <c r="Q2458" t="n">
        <v>0</v>
      </c>
      <c r="R2458" t="n">
        <v>0</v>
      </c>
      <c r="S2458" t="n">
        <v>0</v>
      </c>
      <c r="T2458" t="n">
        <v>0</v>
      </c>
      <c r="U2458" t="n">
        <v>0</v>
      </c>
      <c r="V2458" s="2" t="inlineStr"/>
    </row>
    <row r="2459" ht="15" customHeight="1">
      <c r="A2459" t="inlineStr">
        <is>
          <t>A 19559-2025</t>
        </is>
      </c>
      <c r="B2459" t="inlineStr">
        <is>
          <t>avverkningsanmälan</t>
        </is>
      </c>
      <c r="C2459" t="inlineStr">
        <is>
          <t>Föryngringsavverkning</t>
        </is>
      </c>
      <c r="D2459" s="1" t="n">
        <v>45770</v>
      </c>
      <c r="E2459" s="1" t="n">
        <v>46309</v>
      </c>
      <c r="F2459" t="inlineStr">
        <is>
          <t>UPPSALA LÄN</t>
        </is>
      </c>
      <c r="G2459" t="inlineStr">
        <is>
          <t>HEBY</t>
        </is>
      </c>
      <c r="I2459" t="n">
        <v>1.1</v>
      </c>
      <c r="J2459" t="n">
        <v>0</v>
      </c>
      <c r="K2459" t="n">
        <v>0</v>
      </c>
      <c r="L2459" t="n">
        <v>0</v>
      </c>
      <c r="M2459" t="n">
        <v>0</v>
      </c>
      <c r="N2459" t="n">
        <v>0</v>
      </c>
      <c r="O2459" t="n">
        <v>0</v>
      </c>
      <c r="P2459" t="n">
        <v>0</v>
      </c>
      <c r="Q2459" t="n">
        <v>0</v>
      </c>
      <c r="R2459" t="n">
        <v>0</v>
      </c>
      <c r="S2459" t="n">
        <v>0</v>
      </c>
      <c r="T2459" t="n">
        <v>0</v>
      </c>
      <c r="U2459" t="n">
        <v>0</v>
      </c>
      <c r="V2459" s="2" t="inlineStr"/>
    </row>
    <row r="2460" ht="15" customHeight="1">
      <c r="A2460" t="inlineStr">
        <is>
          <t>A 35906-2023</t>
        </is>
      </c>
      <c r="B2460" t="inlineStr">
        <is>
          <t>avverkningsanmälan</t>
        </is>
      </c>
      <c r="C2460" t="inlineStr">
        <is>
          <t>Föryngringsavverkning</t>
        </is>
      </c>
      <c r="D2460" s="1" t="n">
        <v>45148</v>
      </c>
      <c r="E2460" s="1" t="n">
        <v>46309</v>
      </c>
      <c r="F2460" t="inlineStr">
        <is>
          <t>UPPSALA LÄN</t>
        </is>
      </c>
      <c r="G2460" t="inlineStr">
        <is>
          <t>UPPSALA</t>
        </is>
      </c>
      <c r="I2460" t="n">
        <v>1.7</v>
      </c>
      <c r="J2460" t="n">
        <v>0</v>
      </c>
      <c r="K2460" t="n">
        <v>0</v>
      </c>
      <c r="L2460" t="n">
        <v>0</v>
      </c>
      <c r="M2460" t="n">
        <v>0</v>
      </c>
      <c r="N2460" t="n">
        <v>0</v>
      </c>
      <c r="O2460" t="n">
        <v>0</v>
      </c>
      <c r="P2460" t="n">
        <v>0</v>
      </c>
      <c r="Q2460" t="n">
        <v>0</v>
      </c>
      <c r="R2460" t="n">
        <v>0</v>
      </c>
      <c r="S2460" t="n">
        <v>0</v>
      </c>
      <c r="T2460" t="n">
        <v>0</v>
      </c>
      <c r="U2460" t="n">
        <v>0</v>
      </c>
      <c r="V2460" s="2" t="inlineStr"/>
    </row>
    <row r="2461" ht="15" customHeight="1">
      <c r="A2461" t="inlineStr">
        <is>
          <t>A 35914-2023</t>
        </is>
      </c>
      <c r="B2461" t="inlineStr">
        <is>
          <t>avverkningsanmälan</t>
        </is>
      </c>
      <c r="C2461" t="inlineStr">
        <is>
          <t>Föryngringsavverkning</t>
        </is>
      </c>
      <c r="D2461" s="1" t="n">
        <v>45148</v>
      </c>
      <c r="E2461" s="1" t="n">
        <v>46309</v>
      </c>
      <c r="F2461" t="inlineStr">
        <is>
          <t>UPPSALA LÄN</t>
        </is>
      </c>
      <c r="G2461" t="inlineStr">
        <is>
          <t>UPPSALA</t>
        </is>
      </c>
      <c r="I2461" t="n">
        <v>1.7</v>
      </c>
      <c r="J2461" t="n">
        <v>0</v>
      </c>
      <c r="K2461" t="n">
        <v>0</v>
      </c>
      <c r="L2461" t="n">
        <v>0</v>
      </c>
      <c r="M2461" t="n">
        <v>0</v>
      </c>
      <c r="N2461" t="n">
        <v>0</v>
      </c>
      <c r="O2461" t="n">
        <v>0</v>
      </c>
      <c r="P2461" t="n">
        <v>0</v>
      </c>
      <c r="Q2461" t="n">
        <v>0</v>
      </c>
      <c r="R2461" t="n">
        <v>0</v>
      </c>
      <c r="S2461" t="n">
        <v>0</v>
      </c>
      <c r="T2461" t="n">
        <v>0</v>
      </c>
      <c r="U2461" t="n">
        <v>0</v>
      </c>
      <c r="V2461" s="2" t="inlineStr"/>
    </row>
    <row r="2462" ht="15" customHeight="1">
      <c r="A2462" t="inlineStr">
        <is>
          <t>A 35916-2023</t>
        </is>
      </c>
      <c r="B2462" t="inlineStr">
        <is>
          <t>avverkningsanmälan</t>
        </is>
      </c>
      <c r="C2462" t="inlineStr">
        <is>
          <t>Föryngringsavverkning</t>
        </is>
      </c>
      <c r="D2462" s="1" t="n">
        <v>45148</v>
      </c>
      <c r="E2462" s="1" t="n">
        <v>46309</v>
      </c>
      <c r="F2462" t="inlineStr">
        <is>
          <t>UPPSALA LÄN</t>
        </is>
      </c>
      <c r="G2462" t="inlineStr">
        <is>
          <t>UPPSALA</t>
        </is>
      </c>
      <c r="I2462" t="n">
        <v>3.1</v>
      </c>
      <c r="J2462" t="n">
        <v>0</v>
      </c>
      <c r="K2462" t="n">
        <v>0</v>
      </c>
      <c r="L2462" t="n">
        <v>0</v>
      </c>
      <c r="M2462" t="n">
        <v>0</v>
      </c>
      <c r="N2462" t="n">
        <v>0</v>
      </c>
      <c r="O2462" t="n">
        <v>0</v>
      </c>
      <c r="P2462" t="n">
        <v>0</v>
      </c>
      <c r="Q2462" t="n">
        <v>0</v>
      </c>
      <c r="R2462" t="n">
        <v>0</v>
      </c>
      <c r="S2462" t="n">
        <v>0</v>
      </c>
      <c r="T2462" t="n">
        <v>0</v>
      </c>
      <c r="U2462" t="n">
        <v>0</v>
      </c>
      <c r="V2462" s="2" t="inlineStr"/>
    </row>
    <row r="2463" ht="15" customHeight="1">
      <c r="A2463" t="inlineStr">
        <is>
          <t>A 22567-2026</t>
        </is>
      </c>
      <c r="B2463" t="inlineStr">
        <is>
          <t>avverkningsanmälan</t>
        </is>
      </c>
      <c r="C2463" t="inlineStr">
        <is>
          <t>Föryngringsavverkning</t>
        </is>
      </c>
      <c r="D2463" s="1" t="n">
        <v>46155</v>
      </c>
      <c r="E2463" s="1" t="n">
        <v>46309</v>
      </c>
      <c r="F2463" t="inlineStr">
        <is>
          <t>UPPSALA LÄN</t>
        </is>
      </c>
      <c r="G2463" t="inlineStr">
        <is>
          <t>ÖSTHAMMAR</t>
        </is>
      </c>
      <c r="H2463" t="inlineStr">
        <is>
          <t>Bergvik skog öst AB</t>
        </is>
      </c>
      <c r="I2463" t="n">
        <v>1</v>
      </c>
      <c r="J2463" t="n">
        <v>0</v>
      </c>
      <c r="K2463" t="n">
        <v>0</v>
      </c>
      <c r="L2463" t="n">
        <v>0</v>
      </c>
      <c r="M2463" t="n">
        <v>0</v>
      </c>
      <c r="N2463" t="n">
        <v>0</v>
      </c>
      <c r="O2463" t="n">
        <v>0</v>
      </c>
      <c r="P2463" t="n">
        <v>0</v>
      </c>
      <c r="Q2463" t="n">
        <v>0</v>
      </c>
      <c r="R2463" t="n">
        <v>0</v>
      </c>
      <c r="S2463" t="n">
        <v>0</v>
      </c>
      <c r="T2463" t="n">
        <v>0</v>
      </c>
      <c r="U2463" t="n">
        <v>0</v>
      </c>
      <c r="V2463" s="2" t="inlineStr"/>
    </row>
    <row r="2464" ht="15" customHeight="1">
      <c r="A2464" t="inlineStr">
        <is>
          <t>A 19298-2023</t>
        </is>
      </c>
      <c r="B2464" t="inlineStr">
        <is>
          <t>avverkningsanmälan</t>
        </is>
      </c>
      <c r="C2464" t="inlineStr">
        <is>
          <t>Föryngringsavverkning</t>
        </is>
      </c>
      <c r="D2464" s="1" t="n">
        <v>45048</v>
      </c>
      <c r="E2464" s="1" t="n">
        <v>46309</v>
      </c>
      <c r="F2464" t="inlineStr">
        <is>
          <t>UPPSALA LÄN</t>
        </is>
      </c>
      <c r="G2464" t="inlineStr">
        <is>
          <t>ENKÖPING</t>
        </is>
      </c>
      <c r="I2464" t="n">
        <v>0.5</v>
      </c>
      <c r="J2464" t="n">
        <v>0</v>
      </c>
      <c r="K2464" t="n">
        <v>0</v>
      </c>
      <c r="L2464" t="n">
        <v>0</v>
      </c>
      <c r="M2464" t="n">
        <v>0</v>
      </c>
      <c r="N2464" t="n">
        <v>0</v>
      </c>
      <c r="O2464" t="n">
        <v>0</v>
      </c>
      <c r="P2464" t="n">
        <v>0</v>
      </c>
      <c r="Q2464" t="n">
        <v>0</v>
      </c>
      <c r="R2464" t="n">
        <v>0</v>
      </c>
      <c r="S2464" t="n">
        <v>0</v>
      </c>
      <c r="T2464" t="n">
        <v>0</v>
      </c>
      <c r="U2464" t="n">
        <v>0</v>
      </c>
      <c r="V2464" s="2" t="inlineStr"/>
    </row>
    <row r="2465" ht="15" customHeight="1">
      <c r="A2465" t="inlineStr">
        <is>
          <t>A 4312-2022</t>
        </is>
      </c>
      <c r="B2465" t="inlineStr">
        <is>
          <t>avverkningsanmälan</t>
        </is>
      </c>
      <c r="C2465" t="inlineStr">
        <is>
          <t>Föryngringsavverkning</t>
        </is>
      </c>
      <c r="D2465" s="1" t="n">
        <v>44588</v>
      </c>
      <c r="E2465" s="1" t="n">
        <v>46309</v>
      </c>
      <c r="F2465" t="inlineStr">
        <is>
          <t>UPPSALA LÄN</t>
        </is>
      </c>
      <c r="G2465" t="inlineStr">
        <is>
          <t>UPPSALA</t>
        </is>
      </c>
      <c r="I2465" t="n">
        <v>1.1</v>
      </c>
      <c r="J2465" t="n">
        <v>0</v>
      </c>
      <c r="K2465" t="n">
        <v>0</v>
      </c>
      <c r="L2465" t="n">
        <v>0</v>
      </c>
      <c r="M2465" t="n">
        <v>0</v>
      </c>
      <c r="N2465" t="n">
        <v>0</v>
      </c>
      <c r="O2465" t="n">
        <v>0</v>
      </c>
      <c r="P2465" t="n">
        <v>0</v>
      </c>
      <c r="Q2465" t="n">
        <v>0</v>
      </c>
      <c r="R2465" t="n">
        <v>0</v>
      </c>
      <c r="S2465" t="n">
        <v>0</v>
      </c>
      <c r="T2465" t="n">
        <v>0</v>
      </c>
      <c r="U2465" t="n">
        <v>0</v>
      </c>
      <c r="V2465" s="2" t="inlineStr"/>
    </row>
    <row r="2466" ht="15" customHeight="1">
      <c r="A2466" t="inlineStr">
        <is>
          <t>A 31139-2023</t>
        </is>
      </c>
      <c r="B2466" t="inlineStr">
        <is>
          <t>avverkningsanmälan</t>
        </is>
      </c>
      <c r="C2466" t="inlineStr">
        <is>
          <t>Föryngringsavverkning</t>
        </is>
      </c>
      <c r="D2466" s="1" t="n">
        <v>45103</v>
      </c>
      <c r="E2466" s="1" t="n">
        <v>46309</v>
      </c>
      <c r="F2466" t="inlineStr">
        <is>
          <t>UPPSALA LÄN</t>
        </is>
      </c>
      <c r="G2466" t="inlineStr">
        <is>
          <t>HEBY</t>
        </is>
      </c>
      <c r="I2466" t="n">
        <v>7.3</v>
      </c>
      <c r="J2466" t="n">
        <v>0</v>
      </c>
      <c r="K2466" t="n">
        <v>0</v>
      </c>
      <c r="L2466" t="n">
        <v>0</v>
      </c>
      <c r="M2466" t="n">
        <v>0</v>
      </c>
      <c r="N2466" t="n">
        <v>0</v>
      </c>
      <c r="O2466" t="n">
        <v>0</v>
      </c>
      <c r="P2466" t="n">
        <v>0</v>
      </c>
      <c r="Q2466" t="n">
        <v>0</v>
      </c>
      <c r="R2466" t="n">
        <v>0</v>
      </c>
      <c r="S2466" t="n">
        <v>0</v>
      </c>
      <c r="T2466" t="n">
        <v>0</v>
      </c>
      <c r="U2466" t="n">
        <v>0</v>
      </c>
      <c r="V2466" s="2" t="inlineStr"/>
    </row>
    <row r="2467" ht="15" customHeight="1">
      <c r="A2467" t="inlineStr">
        <is>
          <t>A 22640-2026</t>
        </is>
      </c>
      <c r="B2467" t="inlineStr">
        <is>
          <t>avverkningsanmälan</t>
        </is>
      </c>
      <c r="C2467" t="inlineStr">
        <is>
          <t>Föryngringsavverkning</t>
        </is>
      </c>
      <c r="D2467" s="1" t="n">
        <v>46155</v>
      </c>
      <c r="E2467" s="1" t="n">
        <v>46309</v>
      </c>
      <c r="F2467" t="inlineStr">
        <is>
          <t>UPPSALA LÄN</t>
        </is>
      </c>
      <c r="G2467" t="inlineStr">
        <is>
          <t>ÖSTHAMMAR</t>
        </is>
      </c>
      <c r="H2467" t="inlineStr">
        <is>
          <t>Bergvik skog öst AB</t>
        </is>
      </c>
      <c r="I2467" t="n">
        <v>19.4</v>
      </c>
      <c r="J2467" t="n">
        <v>0</v>
      </c>
      <c r="K2467" t="n">
        <v>0</v>
      </c>
      <c r="L2467" t="n">
        <v>0</v>
      </c>
      <c r="M2467" t="n">
        <v>0</v>
      </c>
      <c r="N2467" t="n">
        <v>0</v>
      </c>
      <c r="O2467" t="n">
        <v>0</v>
      </c>
      <c r="P2467" t="n">
        <v>0</v>
      </c>
      <c r="Q2467" t="n">
        <v>0</v>
      </c>
      <c r="R2467" t="n">
        <v>0</v>
      </c>
      <c r="S2467" t="n">
        <v>0</v>
      </c>
      <c r="T2467" t="n">
        <v>0</v>
      </c>
      <c r="U2467" t="n">
        <v>0</v>
      </c>
      <c r="V2467" s="2" t="inlineStr"/>
    </row>
    <row r="2468" ht="15" customHeight="1">
      <c r="A2468" t="inlineStr">
        <is>
          <t>A 22523-2026</t>
        </is>
      </c>
      <c r="B2468" t="inlineStr">
        <is>
          <t>avverkningsanmälan</t>
        </is>
      </c>
      <c r="C2468" t="inlineStr">
        <is>
          <t>Föryngringsavverkning</t>
        </is>
      </c>
      <c r="D2468" s="1" t="n">
        <v>46155</v>
      </c>
      <c r="E2468" s="1" t="n">
        <v>46309</v>
      </c>
      <c r="F2468" t="inlineStr">
        <is>
          <t>UPPSALA LÄN</t>
        </is>
      </c>
      <c r="G2468" t="inlineStr">
        <is>
          <t>UPPSALA</t>
        </is>
      </c>
      <c r="H2468" t="inlineStr">
        <is>
          <t>Allmännings- och besparingsskogar</t>
        </is>
      </c>
      <c r="I2468" t="n">
        <v>1.1</v>
      </c>
      <c r="J2468" t="n">
        <v>0</v>
      </c>
      <c r="K2468" t="n">
        <v>0</v>
      </c>
      <c r="L2468" t="n">
        <v>0</v>
      </c>
      <c r="M2468" t="n">
        <v>0</v>
      </c>
      <c r="N2468" t="n">
        <v>0</v>
      </c>
      <c r="O2468" t="n">
        <v>0</v>
      </c>
      <c r="P2468" t="n">
        <v>0</v>
      </c>
      <c r="Q2468" t="n">
        <v>0</v>
      </c>
      <c r="R2468" t="n">
        <v>0</v>
      </c>
      <c r="S2468" t="n">
        <v>0</v>
      </c>
      <c r="T2468" t="n">
        <v>0</v>
      </c>
      <c r="U2468" t="n">
        <v>0</v>
      </c>
      <c r="V2468" s="2" t="inlineStr"/>
    </row>
    <row r="2469" ht="15" customHeight="1">
      <c r="A2469" t="inlineStr">
        <is>
          <t>A 22531-2026</t>
        </is>
      </c>
      <c r="B2469" t="inlineStr">
        <is>
          <t>avverkningsanmälan</t>
        </is>
      </c>
      <c r="C2469" t="inlineStr">
        <is>
          <t>Föryngringsavverkning</t>
        </is>
      </c>
      <c r="D2469" s="1" t="n">
        <v>46155</v>
      </c>
      <c r="E2469" s="1" t="n">
        <v>46309</v>
      </c>
      <c r="F2469" t="inlineStr">
        <is>
          <t>UPPSALA LÄN</t>
        </is>
      </c>
      <c r="G2469" t="inlineStr">
        <is>
          <t>UPPSALA</t>
        </is>
      </c>
      <c r="H2469" t="inlineStr">
        <is>
          <t>Allmännings- och besparingsskogar</t>
        </is>
      </c>
      <c r="I2469" t="n">
        <v>3</v>
      </c>
      <c r="J2469" t="n">
        <v>0</v>
      </c>
      <c r="K2469" t="n">
        <v>0</v>
      </c>
      <c r="L2469" t="n">
        <v>0</v>
      </c>
      <c r="M2469" t="n">
        <v>0</v>
      </c>
      <c r="N2469" t="n">
        <v>0</v>
      </c>
      <c r="O2469" t="n">
        <v>0</v>
      </c>
      <c r="P2469" t="n">
        <v>0</v>
      </c>
      <c r="Q2469" t="n">
        <v>0</v>
      </c>
      <c r="R2469" t="n">
        <v>0</v>
      </c>
      <c r="S2469" t="n">
        <v>0</v>
      </c>
      <c r="T2469" t="n">
        <v>0</v>
      </c>
      <c r="U2469" t="n">
        <v>0</v>
      </c>
      <c r="V2469" s="2" t="inlineStr"/>
    </row>
    <row r="2470" ht="15" customHeight="1">
      <c r="A2470" t="inlineStr">
        <is>
          <t>A 4065-2024</t>
        </is>
      </c>
      <c r="B2470" t="inlineStr">
        <is>
          <t>avverkningsanmälan</t>
        </is>
      </c>
      <c r="C2470" t="inlineStr">
        <is>
          <t>Föryngringsavverkning</t>
        </is>
      </c>
      <c r="D2470" s="1" t="n">
        <v>45323</v>
      </c>
      <c r="E2470" s="1" t="n">
        <v>46309</v>
      </c>
      <c r="F2470" t="inlineStr">
        <is>
          <t>UPPSALA LÄN</t>
        </is>
      </c>
      <c r="G2470" t="inlineStr">
        <is>
          <t>UPPSALA</t>
        </is>
      </c>
      <c r="H2470" t="inlineStr">
        <is>
          <t>Holmen skog AB</t>
        </is>
      </c>
      <c r="I2470" t="n">
        <v>1.7</v>
      </c>
      <c r="J2470" t="n">
        <v>0</v>
      </c>
      <c r="K2470" t="n">
        <v>0</v>
      </c>
      <c r="L2470" t="n">
        <v>0</v>
      </c>
      <c r="M2470" t="n">
        <v>0</v>
      </c>
      <c r="N2470" t="n">
        <v>0</v>
      </c>
      <c r="O2470" t="n">
        <v>0</v>
      </c>
      <c r="P2470" t="n">
        <v>0</v>
      </c>
      <c r="Q2470" t="n">
        <v>0</v>
      </c>
      <c r="R2470" t="n">
        <v>0</v>
      </c>
      <c r="S2470" t="n">
        <v>0</v>
      </c>
      <c r="T2470" t="n">
        <v>0</v>
      </c>
      <c r="U2470" t="n">
        <v>0</v>
      </c>
      <c r="V2470" s="2" t="inlineStr"/>
    </row>
    <row r="2471" ht="15" customHeight="1">
      <c r="A2471" t="inlineStr">
        <is>
          <t>A 22566-2026</t>
        </is>
      </c>
      <c r="B2471" t="inlineStr">
        <is>
          <t>avverkningsanmälan</t>
        </is>
      </c>
      <c r="C2471" t="inlineStr">
        <is>
          <t>Föryngringsavverkning</t>
        </is>
      </c>
      <c r="D2471" s="1" t="n">
        <v>46155</v>
      </c>
      <c r="E2471" s="1" t="n">
        <v>46309</v>
      </c>
      <c r="F2471" t="inlineStr">
        <is>
          <t>UPPSALA LÄN</t>
        </is>
      </c>
      <c r="G2471" t="inlineStr">
        <is>
          <t>TIERP</t>
        </is>
      </c>
      <c r="H2471" t="inlineStr">
        <is>
          <t>Bergvik skog öst AB</t>
        </is>
      </c>
      <c r="I2471" t="n">
        <v>2.5</v>
      </c>
      <c r="J2471" t="n">
        <v>0</v>
      </c>
      <c r="K2471" t="n">
        <v>0</v>
      </c>
      <c r="L2471" t="n">
        <v>0</v>
      </c>
      <c r="M2471" t="n">
        <v>0</v>
      </c>
      <c r="N2471" t="n">
        <v>0</v>
      </c>
      <c r="O2471" t="n">
        <v>0</v>
      </c>
      <c r="P2471" t="n">
        <v>0</v>
      </c>
      <c r="Q2471" t="n">
        <v>0</v>
      </c>
      <c r="R2471" t="n">
        <v>0</v>
      </c>
      <c r="S2471" t="n">
        <v>0</v>
      </c>
      <c r="T2471" t="n">
        <v>0</v>
      </c>
      <c r="U2471" t="n">
        <v>0</v>
      </c>
      <c r="V2471" s="2" t="inlineStr"/>
    </row>
    <row r="2472" ht="15" customHeight="1">
      <c r="A2472" t="inlineStr">
        <is>
          <t>A 45662-2023</t>
        </is>
      </c>
      <c r="B2472" t="inlineStr">
        <is>
          <t>avverkningsanmälan</t>
        </is>
      </c>
      <c r="C2472" t="inlineStr">
        <is>
          <t>Föryngringsavverkning</t>
        </is>
      </c>
      <c r="D2472" s="1" t="n">
        <v>45194</v>
      </c>
      <c r="E2472" s="1" t="n">
        <v>46309</v>
      </c>
      <c r="F2472" t="inlineStr">
        <is>
          <t>UPPSALA LÄN</t>
        </is>
      </c>
      <c r="G2472" t="inlineStr">
        <is>
          <t>UPPSALA</t>
        </is>
      </c>
      <c r="H2472" t="inlineStr">
        <is>
          <t>Bergvik skog öst AB</t>
        </is>
      </c>
      <c r="I2472" t="n">
        <v>2.8</v>
      </c>
      <c r="J2472" t="n">
        <v>0</v>
      </c>
      <c r="K2472" t="n">
        <v>0</v>
      </c>
      <c r="L2472" t="n">
        <v>0</v>
      </c>
      <c r="M2472" t="n">
        <v>0</v>
      </c>
      <c r="N2472" t="n">
        <v>0</v>
      </c>
      <c r="O2472" t="n">
        <v>0</v>
      </c>
      <c r="P2472" t="n">
        <v>0</v>
      </c>
      <c r="Q2472" t="n">
        <v>0</v>
      </c>
      <c r="R2472" t="n">
        <v>0</v>
      </c>
      <c r="S2472" t="n">
        <v>0</v>
      </c>
      <c r="T2472" t="n">
        <v>0</v>
      </c>
      <c r="U2472" t="n">
        <v>0</v>
      </c>
      <c r="V2472" s="2" t="inlineStr"/>
    </row>
    <row r="2473" ht="15" customHeight="1">
      <c r="A2473" t="inlineStr">
        <is>
          <t>A 22642-2026</t>
        </is>
      </c>
      <c r="B2473" t="inlineStr">
        <is>
          <t>avverkningsanmälan</t>
        </is>
      </c>
      <c r="C2473" t="inlineStr">
        <is>
          <t>Föryngringsavverkning</t>
        </is>
      </c>
      <c r="D2473" s="1" t="n">
        <v>46155</v>
      </c>
      <c r="E2473" s="1" t="n">
        <v>46309</v>
      </c>
      <c r="F2473" t="inlineStr">
        <is>
          <t>UPPSALA LÄN</t>
        </is>
      </c>
      <c r="G2473" t="inlineStr">
        <is>
          <t>ÖSTHAMMAR</t>
        </is>
      </c>
      <c r="H2473" t="inlineStr">
        <is>
          <t>Bergvik skog öst AB</t>
        </is>
      </c>
      <c r="I2473" t="n">
        <v>10</v>
      </c>
      <c r="J2473" t="n">
        <v>0</v>
      </c>
      <c r="K2473" t="n">
        <v>0</v>
      </c>
      <c r="L2473" t="n">
        <v>0</v>
      </c>
      <c r="M2473" t="n">
        <v>0</v>
      </c>
      <c r="N2473" t="n">
        <v>0</v>
      </c>
      <c r="O2473" t="n">
        <v>0</v>
      </c>
      <c r="P2473" t="n">
        <v>0</v>
      </c>
      <c r="Q2473" t="n">
        <v>0</v>
      </c>
      <c r="R2473" t="n">
        <v>0</v>
      </c>
      <c r="S2473" t="n">
        <v>0</v>
      </c>
      <c r="T2473" t="n">
        <v>0</v>
      </c>
      <c r="U2473" t="n">
        <v>0</v>
      </c>
      <c r="V2473" s="2" t="inlineStr"/>
    </row>
    <row r="2474" ht="15" customHeight="1">
      <c r="A2474" t="inlineStr">
        <is>
          <t>A 22647-2026</t>
        </is>
      </c>
      <c r="B2474" t="inlineStr">
        <is>
          <t>avverkningsanmälan</t>
        </is>
      </c>
      <c r="C2474" t="inlineStr">
        <is>
          <t>Föryngringsavverkning</t>
        </is>
      </c>
      <c r="D2474" s="1" t="n">
        <v>46155</v>
      </c>
      <c r="E2474" s="1" t="n">
        <v>46309</v>
      </c>
      <c r="F2474" t="inlineStr">
        <is>
          <t>UPPSALA LÄN</t>
        </is>
      </c>
      <c r="G2474" t="inlineStr">
        <is>
          <t>TIERP</t>
        </is>
      </c>
      <c r="H2474" t="inlineStr">
        <is>
          <t>Bergvik skog öst AB</t>
        </is>
      </c>
      <c r="I2474" t="n">
        <v>3.3</v>
      </c>
      <c r="J2474" t="n">
        <v>0</v>
      </c>
      <c r="K2474" t="n">
        <v>0</v>
      </c>
      <c r="L2474" t="n">
        <v>0</v>
      </c>
      <c r="M2474" t="n">
        <v>0</v>
      </c>
      <c r="N2474" t="n">
        <v>0</v>
      </c>
      <c r="O2474" t="n">
        <v>0</v>
      </c>
      <c r="P2474" t="n">
        <v>0</v>
      </c>
      <c r="Q2474" t="n">
        <v>0</v>
      </c>
      <c r="R2474" t="n">
        <v>0</v>
      </c>
      <c r="S2474" t="n">
        <v>0</v>
      </c>
      <c r="T2474" t="n">
        <v>0</v>
      </c>
      <c r="U2474" t="n">
        <v>0</v>
      </c>
      <c r="V2474" s="2" t="inlineStr"/>
    </row>
    <row r="2475" ht="15" customHeight="1">
      <c r="A2475" t="inlineStr">
        <is>
          <t>A 22631-2026</t>
        </is>
      </c>
      <c r="B2475" t="inlineStr">
        <is>
          <t>avverkningsanmälan</t>
        </is>
      </c>
      <c r="C2475" t="inlineStr">
        <is>
          <t>Föryngringsavverkning</t>
        </is>
      </c>
      <c r="D2475" s="1" t="n">
        <v>46155</v>
      </c>
      <c r="E2475" s="1" t="n">
        <v>46309</v>
      </c>
      <c r="F2475" t="inlineStr">
        <is>
          <t>UPPSALA LÄN</t>
        </is>
      </c>
      <c r="G2475" t="inlineStr">
        <is>
          <t>TIERP</t>
        </is>
      </c>
      <c r="H2475" t="inlineStr">
        <is>
          <t>Bergvik skog öst AB</t>
        </is>
      </c>
      <c r="I2475" t="n">
        <v>2.5</v>
      </c>
      <c r="J2475" t="n">
        <v>0</v>
      </c>
      <c r="K2475" t="n">
        <v>0</v>
      </c>
      <c r="L2475" t="n">
        <v>0</v>
      </c>
      <c r="M2475" t="n">
        <v>0</v>
      </c>
      <c r="N2475" t="n">
        <v>0</v>
      </c>
      <c r="O2475" t="n">
        <v>0</v>
      </c>
      <c r="P2475" t="n">
        <v>0</v>
      </c>
      <c r="Q2475" t="n">
        <v>0</v>
      </c>
      <c r="R2475" t="n">
        <v>0</v>
      </c>
      <c r="S2475" t="n">
        <v>0</v>
      </c>
      <c r="T2475" t="n">
        <v>0</v>
      </c>
      <c r="U2475" t="n">
        <v>0</v>
      </c>
      <c r="V2475" s="2" t="inlineStr"/>
    </row>
    <row r="2476" ht="15" customHeight="1">
      <c r="A2476" t="inlineStr">
        <is>
          <t>A 11568-2025</t>
        </is>
      </c>
      <c r="B2476" t="inlineStr">
        <is>
          <t>avverkningsanmälan</t>
        </is>
      </c>
      <c r="C2476" t="inlineStr">
        <is>
          <t>Föryngringsavverkning</t>
        </is>
      </c>
      <c r="D2476" s="1" t="n">
        <v>45727</v>
      </c>
      <c r="E2476" s="1" t="n">
        <v>46309</v>
      </c>
      <c r="F2476" t="inlineStr">
        <is>
          <t>UPPSALA LÄN</t>
        </is>
      </c>
      <c r="G2476" t="inlineStr">
        <is>
          <t>TIERP</t>
        </is>
      </c>
      <c r="H2476" t="inlineStr">
        <is>
          <t>Bergvik skog öst AB</t>
        </is>
      </c>
      <c r="I2476" t="n">
        <v>1.2</v>
      </c>
      <c r="J2476" t="n">
        <v>0</v>
      </c>
      <c r="K2476" t="n">
        <v>0</v>
      </c>
      <c r="L2476" t="n">
        <v>0</v>
      </c>
      <c r="M2476" t="n">
        <v>0</v>
      </c>
      <c r="N2476" t="n">
        <v>0</v>
      </c>
      <c r="O2476" t="n">
        <v>0</v>
      </c>
      <c r="P2476" t="n">
        <v>0</v>
      </c>
      <c r="Q2476" t="n">
        <v>0</v>
      </c>
      <c r="R2476" t="n">
        <v>0</v>
      </c>
      <c r="S2476" t="n">
        <v>0</v>
      </c>
      <c r="T2476" t="n">
        <v>0</v>
      </c>
      <c r="U2476" t="n">
        <v>0</v>
      </c>
      <c r="V2476" s="2" t="inlineStr"/>
    </row>
    <row r="2477" ht="15" customHeight="1">
      <c r="A2477" t="inlineStr">
        <is>
          <t>A 11573-2025</t>
        </is>
      </c>
      <c r="B2477" t="inlineStr">
        <is>
          <t>avverkningsanmälan</t>
        </is>
      </c>
      <c r="C2477" t="inlineStr">
        <is>
          <t>Föryngringsavverkning</t>
        </is>
      </c>
      <c r="D2477" s="1" t="n">
        <v>45727</v>
      </c>
      <c r="E2477" s="1" t="n">
        <v>46309</v>
      </c>
      <c r="F2477" t="inlineStr">
        <is>
          <t>UPPSALA LÄN</t>
        </is>
      </c>
      <c r="G2477" t="inlineStr">
        <is>
          <t>HEBY</t>
        </is>
      </c>
      <c r="I2477" t="n">
        <v>2.1</v>
      </c>
      <c r="J2477" t="n">
        <v>0</v>
      </c>
      <c r="K2477" t="n">
        <v>0</v>
      </c>
      <c r="L2477" t="n">
        <v>0</v>
      </c>
      <c r="M2477" t="n">
        <v>0</v>
      </c>
      <c r="N2477" t="n">
        <v>0</v>
      </c>
      <c r="O2477" t="n">
        <v>0</v>
      </c>
      <c r="P2477" t="n">
        <v>0</v>
      </c>
      <c r="Q2477" t="n">
        <v>0</v>
      </c>
      <c r="R2477" t="n">
        <v>0</v>
      </c>
      <c r="S2477" t="n">
        <v>0</v>
      </c>
      <c r="T2477" t="n">
        <v>0</v>
      </c>
      <c r="U2477" t="n">
        <v>0</v>
      </c>
      <c r="V2477" s="2" t="inlineStr"/>
    </row>
    <row r="2478" ht="15" customHeight="1">
      <c r="A2478" t="inlineStr">
        <is>
          <t>A 22557-2026</t>
        </is>
      </c>
      <c r="B2478" t="inlineStr">
        <is>
          <t>avverkningsanmälan</t>
        </is>
      </c>
      <c r="C2478" t="inlineStr">
        <is>
          <t>Föryngringsavverkning</t>
        </is>
      </c>
      <c r="D2478" s="1" t="n">
        <v>46155</v>
      </c>
      <c r="E2478" s="1" t="n">
        <v>46309</v>
      </c>
      <c r="F2478" t="inlineStr">
        <is>
          <t>UPPSALA LÄN</t>
        </is>
      </c>
      <c r="G2478" t="inlineStr">
        <is>
          <t>UPPSALA</t>
        </is>
      </c>
      <c r="H2478" t="inlineStr">
        <is>
          <t>Övriga Aktiebolag</t>
        </is>
      </c>
      <c r="I2478" t="n">
        <v>7.7</v>
      </c>
      <c r="J2478" t="n">
        <v>0</v>
      </c>
      <c r="K2478" t="n">
        <v>0</v>
      </c>
      <c r="L2478" t="n">
        <v>0</v>
      </c>
      <c r="M2478" t="n">
        <v>0</v>
      </c>
      <c r="N2478" t="n">
        <v>0</v>
      </c>
      <c r="O2478" t="n">
        <v>0</v>
      </c>
      <c r="P2478" t="n">
        <v>0</v>
      </c>
      <c r="Q2478" t="n">
        <v>0</v>
      </c>
      <c r="R2478" t="n">
        <v>0</v>
      </c>
      <c r="S2478" t="n">
        <v>0</v>
      </c>
      <c r="T2478" t="n">
        <v>0</v>
      </c>
      <c r="U2478" t="n">
        <v>0</v>
      </c>
      <c r="V2478" s="2" t="inlineStr"/>
    </row>
    <row r="2479" ht="15" customHeight="1">
      <c r="A2479" t="inlineStr">
        <is>
          <t>A 22930-2026</t>
        </is>
      </c>
      <c r="B2479" t="inlineStr">
        <is>
          <t>avverkningsanmälan</t>
        </is>
      </c>
      <c r="C2479" t="inlineStr">
        <is>
          <t>Föryngringsavverkning</t>
        </is>
      </c>
      <c r="D2479" s="1" t="n">
        <v>46160</v>
      </c>
      <c r="E2479" s="1" t="n">
        <v>46309</v>
      </c>
      <c r="F2479" t="inlineStr">
        <is>
          <t>UPPSALA LÄN</t>
        </is>
      </c>
      <c r="G2479" t="inlineStr">
        <is>
          <t>TIERP</t>
        </is>
      </c>
      <c r="I2479" t="n">
        <v>6.9</v>
      </c>
      <c r="J2479" t="n">
        <v>0</v>
      </c>
      <c r="K2479" t="n">
        <v>0</v>
      </c>
      <c r="L2479" t="n">
        <v>0</v>
      </c>
      <c r="M2479" t="n">
        <v>0</v>
      </c>
      <c r="N2479" t="n">
        <v>0</v>
      </c>
      <c r="O2479" t="n">
        <v>0</v>
      </c>
      <c r="P2479" t="n">
        <v>0</v>
      </c>
      <c r="Q2479" t="n">
        <v>0</v>
      </c>
      <c r="R2479" t="n">
        <v>0</v>
      </c>
      <c r="S2479" t="n">
        <v>0</v>
      </c>
      <c r="T2479" t="n">
        <v>0</v>
      </c>
      <c r="U2479" t="n">
        <v>0</v>
      </c>
      <c r="V2479" s="2" t="inlineStr"/>
    </row>
    <row r="2480" ht="15" customHeight="1">
      <c r="A2480" t="inlineStr">
        <is>
          <t>A 50463-2024</t>
        </is>
      </c>
      <c r="B2480" t="inlineStr">
        <is>
          <t>avverkningsanmälan</t>
        </is>
      </c>
      <c r="C2480" t="inlineStr">
        <is>
          <t>Föryngringsavverkning</t>
        </is>
      </c>
      <c r="D2480" s="1" t="n">
        <v>45601</v>
      </c>
      <c r="E2480" s="1" t="n">
        <v>46309</v>
      </c>
      <c r="F2480" t="inlineStr">
        <is>
          <t>UPPSALA LÄN</t>
        </is>
      </c>
      <c r="G2480" t="inlineStr">
        <is>
          <t>UPPSALA</t>
        </is>
      </c>
      <c r="H2480" t="inlineStr">
        <is>
          <t>Allmännings- och besparingsskogar</t>
        </is>
      </c>
      <c r="I2480" t="n">
        <v>12.6</v>
      </c>
      <c r="J2480" t="n">
        <v>0</v>
      </c>
      <c r="K2480" t="n">
        <v>0</v>
      </c>
      <c r="L2480" t="n">
        <v>0</v>
      </c>
      <c r="M2480" t="n">
        <v>0</v>
      </c>
      <c r="N2480" t="n">
        <v>0</v>
      </c>
      <c r="O2480" t="n">
        <v>0</v>
      </c>
      <c r="P2480" t="n">
        <v>0</v>
      </c>
      <c r="Q2480" t="n">
        <v>0</v>
      </c>
      <c r="R2480" t="n">
        <v>0</v>
      </c>
      <c r="S2480" t="n">
        <v>0</v>
      </c>
      <c r="T2480" t="n">
        <v>0</v>
      </c>
      <c r="U2480" t="n">
        <v>0</v>
      </c>
      <c r="V2480" s="2" t="inlineStr"/>
    </row>
    <row r="2481" ht="15" customHeight="1">
      <c r="A2481" t="inlineStr">
        <is>
          <t>A 7068-2022</t>
        </is>
      </c>
      <c r="B2481" t="inlineStr">
        <is>
          <t>avverkningsanmälan</t>
        </is>
      </c>
      <c r="C2481" t="inlineStr">
        <is>
          <t>Föryngringsavverkning</t>
        </is>
      </c>
      <c r="D2481" s="1" t="n">
        <v>44603</v>
      </c>
      <c r="E2481" s="1" t="n">
        <v>46309</v>
      </c>
      <c r="F2481" t="inlineStr">
        <is>
          <t>UPPSALA LÄN</t>
        </is>
      </c>
      <c r="G2481" t="inlineStr">
        <is>
          <t>TIERP</t>
        </is>
      </c>
      <c r="I2481" t="n">
        <v>5.2</v>
      </c>
      <c r="J2481" t="n">
        <v>0</v>
      </c>
      <c r="K2481" t="n">
        <v>0</v>
      </c>
      <c r="L2481" t="n">
        <v>0</v>
      </c>
      <c r="M2481" t="n">
        <v>0</v>
      </c>
      <c r="N2481" t="n">
        <v>0</v>
      </c>
      <c r="O2481" t="n">
        <v>0</v>
      </c>
      <c r="P2481" t="n">
        <v>0</v>
      </c>
      <c r="Q2481" t="n">
        <v>0</v>
      </c>
      <c r="R2481" t="n">
        <v>0</v>
      </c>
      <c r="S2481" t="n">
        <v>0</v>
      </c>
      <c r="T2481" t="n">
        <v>0</v>
      </c>
      <c r="U2481" t="n">
        <v>0</v>
      </c>
      <c r="V2481" s="2" t="inlineStr"/>
    </row>
    <row r="2482" ht="15" customHeight="1">
      <c r="A2482" t="inlineStr">
        <is>
          <t>A 15427-2025</t>
        </is>
      </c>
      <c r="B2482" t="inlineStr">
        <is>
          <t>avverkningsanmälan</t>
        </is>
      </c>
      <c r="C2482" t="inlineStr">
        <is>
          <t>Föryngringsavverkning</t>
        </is>
      </c>
      <c r="D2482" s="1" t="n">
        <v>45747</v>
      </c>
      <c r="E2482" s="1" t="n">
        <v>46309</v>
      </c>
      <c r="F2482" t="inlineStr">
        <is>
          <t>UPPSALA LÄN</t>
        </is>
      </c>
      <c r="G2482" t="inlineStr">
        <is>
          <t>HEBY</t>
        </is>
      </c>
      <c r="I2482" t="n">
        <v>1.8</v>
      </c>
      <c r="J2482" t="n">
        <v>0</v>
      </c>
      <c r="K2482" t="n">
        <v>0</v>
      </c>
      <c r="L2482" t="n">
        <v>0</v>
      </c>
      <c r="M2482" t="n">
        <v>0</v>
      </c>
      <c r="N2482" t="n">
        <v>0</v>
      </c>
      <c r="O2482" t="n">
        <v>0</v>
      </c>
      <c r="P2482" t="n">
        <v>0</v>
      </c>
      <c r="Q2482" t="n">
        <v>0</v>
      </c>
      <c r="R2482" t="n">
        <v>0</v>
      </c>
      <c r="S2482" t="n">
        <v>0</v>
      </c>
      <c r="T2482" t="n">
        <v>0</v>
      </c>
      <c r="U2482" t="n">
        <v>0</v>
      </c>
      <c r="V2482" s="2" t="inlineStr"/>
    </row>
    <row r="2483" ht="15" customHeight="1">
      <c r="A2483" t="inlineStr">
        <is>
          <t>A 44430-2023</t>
        </is>
      </c>
      <c r="B2483" t="inlineStr">
        <is>
          <t>avverkningsanmälan</t>
        </is>
      </c>
      <c r="C2483" t="inlineStr">
        <is>
          <t>Föryngringsavverkning</t>
        </is>
      </c>
      <c r="D2483" s="1" t="n">
        <v>45189</v>
      </c>
      <c r="E2483" s="1" t="n">
        <v>46309</v>
      </c>
      <c r="F2483" t="inlineStr">
        <is>
          <t>UPPSALA LÄN</t>
        </is>
      </c>
      <c r="G2483" t="inlineStr">
        <is>
          <t>TIERP</t>
        </is>
      </c>
      <c r="H2483" t="inlineStr">
        <is>
          <t>Bergvik skog öst AB</t>
        </is>
      </c>
      <c r="I2483" t="n">
        <v>1.3</v>
      </c>
      <c r="J2483" t="n">
        <v>0</v>
      </c>
      <c r="K2483" t="n">
        <v>0</v>
      </c>
      <c r="L2483" t="n">
        <v>0</v>
      </c>
      <c r="M2483" t="n">
        <v>0</v>
      </c>
      <c r="N2483" t="n">
        <v>0</v>
      </c>
      <c r="O2483" t="n">
        <v>0</v>
      </c>
      <c r="P2483" t="n">
        <v>0</v>
      </c>
      <c r="Q2483" t="n">
        <v>0</v>
      </c>
      <c r="R2483" t="n">
        <v>0</v>
      </c>
      <c r="S2483" t="n">
        <v>0</v>
      </c>
      <c r="T2483" t="n">
        <v>0</v>
      </c>
      <c r="U2483" t="n">
        <v>0</v>
      </c>
      <c r="V2483" s="2" t="inlineStr"/>
    </row>
    <row r="2484" ht="15" customHeight="1">
      <c r="A2484" t="inlineStr">
        <is>
          <t>A 5189-2022</t>
        </is>
      </c>
      <c r="B2484" t="inlineStr">
        <is>
          <t>avverkningsanmälan</t>
        </is>
      </c>
      <c r="C2484" t="inlineStr">
        <is>
          <t>Föryngringsavverkning</t>
        </is>
      </c>
      <c r="D2484" s="1" t="n">
        <v>44594</v>
      </c>
      <c r="E2484" s="1" t="n">
        <v>46309</v>
      </c>
      <c r="F2484" t="inlineStr">
        <is>
          <t>UPPSALA LÄN</t>
        </is>
      </c>
      <c r="G2484" t="inlineStr">
        <is>
          <t>UPPSALA</t>
        </is>
      </c>
      <c r="I2484" t="n">
        <v>5.9</v>
      </c>
      <c r="J2484" t="n">
        <v>0</v>
      </c>
      <c r="K2484" t="n">
        <v>0</v>
      </c>
      <c r="L2484" t="n">
        <v>0</v>
      </c>
      <c r="M2484" t="n">
        <v>0</v>
      </c>
      <c r="N2484" t="n">
        <v>0</v>
      </c>
      <c r="O2484" t="n">
        <v>0</v>
      </c>
      <c r="P2484" t="n">
        <v>0</v>
      </c>
      <c r="Q2484" t="n">
        <v>0</v>
      </c>
      <c r="R2484" t="n">
        <v>0</v>
      </c>
      <c r="S2484" t="n">
        <v>0</v>
      </c>
      <c r="T2484" t="n">
        <v>0</v>
      </c>
      <c r="U2484" t="n">
        <v>0</v>
      </c>
      <c r="V2484" s="2" t="inlineStr"/>
    </row>
    <row r="2485" ht="15" customHeight="1">
      <c r="A2485" t="inlineStr">
        <is>
          <t>A 11201-2024</t>
        </is>
      </c>
      <c r="B2485" t="inlineStr">
        <is>
          <t>avverkningsanmälan</t>
        </is>
      </c>
      <c r="C2485" t="inlineStr">
        <is>
          <t>Föryngringsavverkning</t>
        </is>
      </c>
      <c r="D2485" s="1" t="n">
        <v>45371</v>
      </c>
      <c r="E2485" s="1" t="n">
        <v>46309</v>
      </c>
      <c r="F2485" t="inlineStr">
        <is>
          <t>UPPSALA LÄN</t>
        </is>
      </c>
      <c r="G2485" t="inlineStr">
        <is>
          <t>UPPSALA</t>
        </is>
      </c>
      <c r="H2485" t="inlineStr">
        <is>
          <t>Kommuner</t>
        </is>
      </c>
      <c r="I2485" t="n">
        <v>0.5</v>
      </c>
      <c r="J2485" t="n">
        <v>0</v>
      </c>
      <c r="K2485" t="n">
        <v>0</v>
      </c>
      <c r="L2485" t="n">
        <v>0</v>
      </c>
      <c r="M2485" t="n">
        <v>0</v>
      </c>
      <c r="N2485" t="n">
        <v>0</v>
      </c>
      <c r="O2485" t="n">
        <v>0</v>
      </c>
      <c r="P2485" t="n">
        <v>0</v>
      </c>
      <c r="Q2485" t="n">
        <v>0</v>
      </c>
      <c r="R2485" t="n">
        <v>0</v>
      </c>
      <c r="S2485" t="n">
        <v>0</v>
      </c>
      <c r="T2485" t="n">
        <v>0</v>
      </c>
      <c r="U2485" t="n">
        <v>0</v>
      </c>
      <c r="V2485" s="2" t="inlineStr"/>
    </row>
    <row r="2486" ht="15" customHeight="1">
      <c r="A2486" t="inlineStr">
        <is>
          <t>A 52694-2023</t>
        </is>
      </c>
      <c r="B2486" t="inlineStr">
        <is>
          <t>avverkningsanmälan</t>
        </is>
      </c>
      <c r="C2486" t="inlineStr">
        <is>
          <t>Föryngringsavverkning</t>
        </is>
      </c>
      <c r="D2486" s="1" t="n">
        <v>45225</v>
      </c>
      <c r="E2486" s="1" t="n">
        <v>46309</v>
      </c>
      <c r="F2486" t="inlineStr">
        <is>
          <t>UPPSALA LÄN</t>
        </is>
      </c>
      <c r="G2486" t="inlineStr">
        <is>
          <t>ÖSTHAMMAR</t>
        </is>
      </c>
      <c r="I2486" t="n">
        <v>0.8</v>
      </c>
      <c r="J2486" t="n">
        <v>0</v>
      </c>
      <c r="K2486" t="n">
        <v>0</v>
      </c>
      <c r="L2486" t="n">
        <v>0</v>
      </c>
      <c r="M2486" t="n">
        <v>0</v>
      </c>
      <c r="N2486" t="n">
        <v>0</v>
      </c>
      <c r="O2486" t="n">
        <v>0</v>
      </c>
      <c r="P2486" t="n">
        <v>0</v>
      </c>
      <c r="Q2486" t="n">
        <v>0</v>
      </c>
      <c r="R2486" t="n">
        <v>0</v>
      </c>
      <c r="S2486" t="n">
        <v>0</v>
      </c>
      <c r="T2486" t="n">
        <v>0</v>
      </c>
      <c r="U2486" t="n">
        <v>0</v>
      </c>
      <c r="V2486" s="2" t="inlineStr"/>
    </row>
    <row r="2487" ht="15" customHeight="1">
      <c r="A2487" t="inlineStr">
        <is>
          <t>A 2790-2025</t>
        </is>
      </c>
      <c r="B2487" t="inlineStr">
        <is>
          <t>avverkningsanmälan</t>
        </is>
      </c>
      <c r="C2487" t="inlineStr">
        <is>
          <t>Avverkning för annat ändamål</t>
        </is>
      </c>
      <c r="D2487" s="1" t="n">
        <v>45677</v>
      </c>
      <c r="E2487" s="1" t="n">
        <v>46309</v>
      </c>
      <c r="F2487" t="inlineStr">
        <is>
          <t>UPPSALA LÄN</t>
        </is>
      </c>
      <c r="G2487" t="inlineStr">
        <is>
          <t>UPPSALA</t>
        </is>
      </c>
      <c r="I2487" t="n">
        <v>0.8</v>
      </c>
      <c r="J2487" t="n">
        <v>0</v>
      </c>
      <c r="K2487" t="n">
        <v>0</v>
      </c>
      <c r="L2487" t="n">
        <v>0</v>
      </c>
      <c r="M2487" t="n">
        <v>0</v>
      </c>
      <c r="N2487" t="n">
        <v>0</v>
      </c>
      <c r="O2487" t="n">
        <v>0</v>
      </c>
      <c r="P2487" t="n">
        <v>0</v>
      </c>
      <c r="Q2487" t="n">
        <v>0</v>
      </c>
      <c r="R2487" t="n">
        <v>0</v>
      </c>
      <c r="S2487" t="n">
        <v>0</v>
      </c>
      <c r="T2487" t="n">
        <v>0</v>
      </c>
      <c r="U2487" t="n">
        <v>0</v>
      </c>
      <c r="V2487" s="2" t="inlineStr"/>
    </row>
    <row r="2488" ht="15" customHeight="1">
      <c r="A2488" t="inlineStr">
        <is>
          <t>A 47316-2025</t>
        </is>
      </c>
      <c r="B2488" t="inlineStr">
        <is>
          <t>avverkningsanmälan</t>
        </is>
      </c>
      <c r="C2488" t="inlineStr">
        <is>
          <t>Föryngringsavverkning</t>
        </is>
      </c>
      <c r="D2488" s="1" t="n">
        <v>45930</v>
      </c>
      <c r="E2488" s="1" t="n">
        <v>46309</v>
      </c>
      <c r="F2488" t="inlineStr">
        <is>
          <t>UPPSALA LÄN</t>
        </is>
      </c>
      <c r="G2488" t="inlineStr">
        <is>
          <t>UPPSALA</t>
        </is>
      </c>
      <c r="I2488" t="n">
        <v>1.5</v>
      </c>
      <c r="J2488" t="n">
        <v>0</v>
      </c>
      <c r="K2488" t="n">
        <v>0</v>
      </c>
      <c r="L2488" t="n">
        <v>0</v>
      </c>
      <c r="M2488" t="n">
        <v>0</v>
      </c>
      <c r="N2488" t="n">
        <v>0</v>
      </c>
      <c r="O2488" t="n">
        <v>0</v>
      </c>
      <c r="P2488" t="n">
        <v>0</v>
      </c>
      <c r="Q2488" t="n">
        <v>0</v>
      </c>
      <c r="R2488" t="n">
        <v>0</v>
      </c>
      <c r="S2488" t="n">
        <v>0</v>
      </c>
      <c r="T2488" t="n">
        <v>0</v>
      </c>
      <c r="U2488" t="n">
        <v>0</v>
      </c>
      <c r="V2488" s="2" t="inlineStr"/>
    </row>
    <row r="2489" ht="15" customHeight="1">
      <c r="A2489" t="inlineStr">
        <is>
          <t>A 11162-2022</t>
        </is>
      </c>
      <c r="B2489" t="inlineStr">
        <is>
          <t>avverkningsanmälan</t>
        </is>
      </c>
      <c r="C2489" t="inlineStr">
        <is>
          <t>Föryngringsavverkning</t>
        </is>
      </c>
      <c r="D2489" s="1" t="n">
        <v>44629</v>
      </c>
      <c r="E2489" s="1" t="n">
        <v>46309</v>
      </c>
      <c r="F2489" t="inlineStr">
        <is>
          <t>UPPSALA LÄN</t>
        </is>
      </c>
      <c r="G2489" t="inlineStr">
        <is>
          <t>UPPSALA</t>
        </is>
      </c>
      <c r="I2489" t="n">
        <v>1.5</v>
      </c>
      <c r="J2489" t="n">
        <v>0</v>
      </c>
      <c r="K2489" t="n">
        <v>0</v>
      </c>
      <c r="L2489" t="n">
        <v>0</v>
      </c>
      <c r="M2489" t="n">
        <v>0</v>
      </c>
      <c r="N2489" t="n">
        <v>0</v>
      </c>
      <c r="O2489" t="n">
        <v>0</v>
      </c>
      <c r="P2489" t="n">
        <v>0</v>
      </c>
      <c r="Q2489" t="n">
        <v>0</v>
      </c>
      <c r="R2489" t="n">
        <v>0</v>
      </c>
      <c r="S2489" t="n">
        <v>0</v>
      </c>
      <c r="T2489" t="n">
        <v>0</v>
      </c>
      <c r="U2489" t="n">
        <v>0</v>
      </c>
      <c r="V2489" s="2" t="inlineStr"/>
    </row>
    <row r="2490" ht="15" customHeight="1">
      <c r="A2490" t="inlineStr">
        <is>
          <t>A 22865-2026</t>
        </is>
      </c>
      <c r="B2490" t="inlineStr">
        <is>
          <t>avverkningsanmälan</t>
        </is>
      </c>
      <c r="C2490" t="inlineStr">
        <is>
          <t>Föryngringsavverkning</t>
        </is>
      </c>
      <c r="D2490" s="1" t="n">
        <v>46160</v>
      </c>
      <c r="E2490" s="1" t="n">
        <v>46309</v>
      </c>
      <c r="F2490" t="inlineStr">
        <is>
          <t>UPPSALA LÄN</t>
        </is>
      </c>
      <c r="G2490" t="inlineStr">
        <is>
          <t>HEBY</t>
        </is>
      </c>
      <c r="I2490" t="n">
        <v>3.1</v>
      </c>
      <c r="J2490" t="n">
        <v>0</v>
      </c>
      <c r="K2490" t="n">
        <v>0</v>
      </c>
      <c r="L2490" t="n">
        <v>0</v>
      </c>
      <c r="M2490" t="n">
        <v>0</v>
      </c>
      <c r="N2490" t="n">
        <v>0</v>
      </c>
      <c r="O2490" t="n">
        <v>0</v>
      </c>
      <c r="P2490" t="n">
        <v>0</v>
      </c>
      <c r="Q2490" t="n">
        <v>0</v>
      </c>
      <c r="R2490" t="n">
        <v>0</v>
      </c>
      <c r="S2490" t="n">
        <v>0</v>
      </c>
      <c r="T2490" t="n">
        <v>0</v>
      </c>
      <c r="U2490" t="n">
        <v>0</v>
      </c>
      <c r="V2490" s="2" t="inlineStr"/>
    </row>
    <row r="2491" ht="15" customHeight="1">
      <c r="A2491" t="inlineStr">
        <is>
          <t>A 22900-2026</t>
        </is>
      </c>
      <c r="B2491" t="inlineStr">
        <is>
          <t>avverkningsanmälan</t>
        </is>
      </c>
      <c r="C2491" t="inlineStr">
        <is>
          <t>Föryngringsavverkning</t>
        </is>
      </c>
      <c r="D2491" s="1" t="n">
        <v>46160</v>
      </c>
      <c r="E2491" s="1" t="n">
        <v>46309</v>
      </c>
      <c r="F2491" t="inlineStr">
        <is>
          <t>UPPSALA LÄN</t>
        </is>
      </c>
      <c r="G2491" t="inlineStr">
        <is>
          <t>UPPSALA</t>
        </is>
      </c>
      <c r="I2491" t="n">
        <v>0.8</v>
      </c>
      <c r="J2491" t="n">
        <v>0</v>
      </c>
      <c r="K2491" t="n">
        <v>0</v>
      </c>
      <c r="L2491" t="n">
        <v>0</v>
      </c>
      <c r="M2491" t="n">
        <v>0</v>
      </c>
      <c r="N2491" t="n">
        <v>0</v>
      </c>
      <c r="O2491" t="n">
        <v>0</v>
      </c>
      <c r="P2491" t="n">
        <v>0</v>
      </c>
      <c r="Q2491" t="n">
        <v>0</v>
      </c>
      <c r="R2491" t="n">
        <v>0</v>
      </c>
      <c r="S2491" t="n">
        <v>0</v>
      </c>
      <c r="T2491" t="n">
        <v>0</v>
      </c>
      <c r="U2491" t="n">
        <v>0</v>
      </c>
      <c r="V2491" s="2" t="inlineStr"/>
    </row>
    <row r="2492" ht="15" customHeight="1">
      <c r="A2492" t="inlineStr">
        <is>
          <t>A 2487-2025</t>
        </is>
      </c>
      <c r="B2492" t="inlineStr">
        <is>
          <t>avverkningsanmälan</t>
        </is>
      </c>
      <c r="C2492" t="inlineStr">
        <is>
          <t>Föryngringsavverkning</t>
        </is>
      </c>
      <c r="D2492" s="1" t="n">
        <v>45674</v>
      </c>
      <c r="E2492" s="1" t="n">
        <v>46309</v>
      </c>
      <c r="F2492" t="inlineStr">
        <is>
          <t>UPPSALA LÄN</t>
        </is>
      </c>
      <c r="G2492" t="inlineStr">
        <is>
          <t>HEBY</t>
        </is>
      </c>
      <c r="I2492" t="n">
        <v>0.6</v>
      </c>
      <c r="J2492" t="n">
        <v>0</v>
      </c>
      <c r="K2492" t="n">
        <v>0</v>
      </c>
      <c r="L2492" t="n">
        <v>0</v>
      </c>
      <c r="M2492" t="n">
        <v>0</v>
      </c>
      <c r="N2492" t="n">
        <v>0</v>
      </c>
      <c r="O2492" t="n">
        <v>0</v>
      </c>
      <c r="P2492" t="n">
        <v>0</v>
      </c>
      <c r="Q2492" t="n">
        <v>0</v>
      </c>
      <c r="R2492" t="n">
        <v>0</v>
      </c>
      <c r="S2492" t="n">
        <v>0</v>
      </c>
      <c r="T2492" t="n">
        <v>0</v>
      </c>
      <c r="U2492" t="n">
        <v>0</v>
      </c>
      <c r="V2492" s="2" t="inlineStr"/>
    </row>
    <row r="2493" ht="15" customHeight="1">
      <c r="A2493" t="inlineStr">
        <is>
          <t>A 35865-2022</t>
        </is>
      </c>
      <c r="B2493" t="inlineStr">
        <is>
          <t>avverkningsanmälan</t>
        </is>
      </c>
      <c r="C2493" t="inlineStr">
        <is>
          <t>Föryngringsavverkning</t>
        </is>
      </c>
      <c r="D2493" s="1" t="n">
        <v>44802</v>
      </c>
      <c r="E2493" s="1" t="n">
        <v>46309</v>
      </c>
      <c r="F2493" t="inlineStr">
        <is>
          <t>UPPSALA LÄN</t>
        </is>
      </c>
      <c r="G2493" t="inlineStr">
        <is>
          <t>HEBY</t>
        </is>
      </c>
      <c r="I2493" t="n">
        <v>1.1</v>
      </c>
      <c r="J2493" t="n">
        <v>0</v>
      </c>
      <c r="K2493" t="n">
        <v>0</v>
      </c>
      <c r="L2493" t="n">
        <v>0</v>
      </c>
      <c r="M2493" t="n">
        <v>0</v>
      </c>
      <c r="N2493" t="n">
        <v>0</v>
      </c>
      <c r="O2493" t="n">
        <v>0</v>
      </c>
      <c r="P2493" t="n">
        <v>0</v>
      </c>
      <c r="Q2493" t="n">
        <v>0</v>
      </c>
      <c r="R2493" t="n">
        <v>0</v>
      </c>
      <c r="S2493" t="n">
        <v>0</v>
      </c>
      <c r="T2493" t="n">
        <v>0</v>
      </c>
      <c r="U2493" t="n">
        <v>0</v>
      </c>
      <c r="V2493" s="2" t="inlineStr"/>
    </row>
    <row r="2494" ht="15" customHeight="1">
      <c r="A2494" t="inlineStr">
        <is>
          <t>A 35875-2022</t>
        </is>
      </c>
      <c r="B2494" t="inlineStr">
        <is>
          <t>avverkningsanmälan</t>
        </is>
      </c>
      <c r="C2494" t="inlineStr">
        <is>
          <t>Föryngringsavverkning</t>
        </is>
      </c>
      <c r="D2494" s="1" t="n">
        <v>44802</v>
      </c>
      <c r="E2494" s="1" t="n">
        <v>46309</v>
      </c>
      <c r="F2494" t="inlineStr">
        <is>
          <t>UPPSALA LÄN</t>
        </is>
      </c>
      <c r="G2494" t="inlineStr">
        <is>
          <t>HEBY</t>
        </is>
      </c>
      <c r="I2494" t="n">
        <v>12.1</v>
      </c>
      <c r="J2494" t="n">
        <v>0</v>
      </c>
      <c r="K2494" t="n">
        <v>0</v>
      </c>
      <c r="L2494" t="n">
        <v>0</v>
      </c>
      <c r="M2494" t="n">
        <v>0</v>
      </c>
      <c r="N2494" t="n">
        <v>0</v>
      </c>
      <c r="O2494" t="n">
        <v>0</v>
      </c>
      <c r="P2494" t="n">
        <v>0</v>
      </c>
      <c r="Q2494" t="n">
        <v>0</v>
      </c>
      <c r="R2494" t="n">
        <v>0</v>
      </c>
      <c r="S2494" t="n">
        <v>0</v>
      </c>
      <c r="T2494" t="n">
        <v>0</v>
      </c>
      <c r="U2494" t="n">
        <v>0</v>
      </c>
      <c r="V2494" s="2" t="inlineStr"/>
    </row>
    <row r="2495" ht="15" customHeight="1">
      <c r="A2495" t="inlineStr">
        <is>
          <t>A 22838-2026</t>
        </is>
      </c>
      <c r="B2495" t="inlineStr">
        <is>
          <t>avverkningsanmälan</t>
        </is>
      </c>
      <c r="C2495" t="inlineStr">
        <is>
          <t>Föryngringsavverkning</t>
        </is>
      </c>
      <c r="D2495" s="1" t="n">
        <v>46160</v>
      </c>
      <c r="E2495" s="1" t="n">
        <v>46309</v>
      </c>
      <c r="F2495" t="inlineStr">
        <is>
          <t>UPPSALA LÄN</t>
        </is>
      </c>
      <c r="G2495" t="inlineStr">
        <is>
          <t>UPPSALA</t>
        </is>
      </c>
      <c r="I2495" t="n">
        <v>1.1</v>
      </c>
      <c r="J2495" t="n">
        <v>0</v>
      </c>
      <c r="K2495" t="n">
        <v>0</v>
      </c>
      <c r="L2495" t="n">
        <v>0</v>
      </c>
      <c r="M2495" t="n">
        <v>0</v>
      </c>
      <c r="N2495" t="n">
        <v>0</v>
      </c>
      <c r="O2495" t="n">
        <v>0</v>
      </c>
      <c r="P2495" t="n">
        <v>0</v>
      </c>
      <c r="Q2495" t="n">
        <v>0</v>
      </c>
      <c r="R2495" t="n">
        <v>0</v>
      </c>
      <c r="S2495" t="n">
        <v>0</v>
      </c>
      <c r="T2495" t="n">
        <v>0</v>
      </c>
      <c r="U2495" t="n">
        <v>0</v>
      </c>
      <c r="V2495" s="2" t="inlineStr"/>
    </row>
    <row r="2496" ht="15" customHeight="1">
      <c r="A2496" t="inlineStr">
        <is>
          <t>A 1081-2026</t>
        </is>
      </c>
      <c r="B2496" t="inlineStr">
        <is>
          <t>avverkningsanmälan</t>
        </is>
      </c>
      <c r="C2496" t="inlineStr">
        <is>
          <t>Föryngringsavverkning</t>
        </is>
      </c>
      <c r="D2496" s="1" t="n">
        <v>46030</v>
      </c>
      <c r="E2496" s="1" t="n">
        <v>46309</v>
      </c>
      <c r="F2496" t="inlineStr">
        <is>
          <t>UPPSALA LÄN</t>
        </is>
      </c>
      <c r="G2496" t="inlineStr">
        <is>
          <t>TIERP</t>
        </is>
      </c>
      <c r="H2496" t="inlineStr">
        <is>
          <t>Bergvik skog öst AB</t>
        </is>
      </c>
      <c r="I2496" t="n">
        <v>1</v>
      </c>
      <c r="J2496" t="n">
        <v>0</v>
      </c>
      <c r="K2496" t="n">
        <v>0</v>
      </c>
      <c r="L2496" t="n">
        <v>0</v>
      </c>
      <c r="M2496" t="n">
        <v>0</v>
      </c>
      <c r="N2496" t="n">
        <v>0</v>
      </c>
      <c r="O2496" t="n">
        <v>0</v>
      </c>
      <c r="P2496" t="n">
        <v>0</v>
      </c>
      <c r="Q2496" t="n">
        <v>0</v>
      </c>
      <c r="R2496" t="n">
        <v>0</v>
      </c>
      <c r="S2496" t="n">
        <v>0</v>
      </c>
      <c r="T2496" t="n">
        <v>0</v>
      </c>
      <c r="U2496" t="n">
        <v>0</v>
      </c>
      <c r="V2496" s="2" t="inlineStr"/>
    </row>
    <row r="2497" ht="15" customHeight="1">
      <c r="A2497" t="inlineStr">
        <is>
          <t>A 8132-2024</t>
        </is>
      </c>
      <c r="B2497" t="inlineStr">
        <is>
          <t>avverkningsanmälan</t>
        </is>
      </c>
      <c r="C2497" t="inlineStr">
        <is>
          <t>Föryngringsavverkning</t>
        </is>
      </c>
      <c r="D2497" s="1" t="n">
        <v>45351</v>
      </c>
      <c r="E2497" s="1" t="n">
        <v>46309</v>
      </c>
      <c r="F2497" t="inlineStr">
        <is>
          <t>UPPSALA LÄN</t>
        </is>
      </c>
      <c r="G2497" t="inlineStr">
        <is>
          <t>UPPSALA</t>
        </is>
      </c>
      <c r="H2497" t="inlineStr">
        <is>
          <t>Övriga Aktiebolag</t>
        </is>
      </c>
      <c r="I2497" t="n">
        <v>0.7</v>
      </c>
      <c r="J2497" t="n">
        <v>0</v>
      </c>
      <c r="K2497" t="n">
        <v>0</v>
      </c>
      <c r="L2497" t="n">
        <v>0</v>
      </c>
      <c r="M2497" t="n">
        <v>0</v>
      </c>
      <c r="N2497" t="n">
        <v>0</v>
      </c>
      <c r="O2497" t="n">
        <v>0</v>
      </c>
      <c r="P2497" t="n">
        <v>0</v>
      </c>
      <c r="Q2497" t="n">
        <v>0</v>
      </c>
      <c r="R2497" t="n">
        <v>0</v>
      </c>
      <c r="S2497" t="n">
        <v>0</v>
      </c>
      <c r="T2497" t="n">
        <v>0</v>
      </c>
      <c r="U2497" t="n">
        <v>0</v>
      </c>
      <c r="V2497" s="2" t="inlineStr"/>
    </row>
    <row r="2498" ht="15" customHeight="1">
      <c r="A2498" t="inlineStr">
        <is>
          <t>A 23124-2026</t>
        </is>
      </c>
      <c r="B2498" t="inlineStr">
        <is>
          <t>avverkningsanmälan</t>
        </is>
      </c>
      <c r="C2498" t="inlineStr">
        <is>
          <t>Föryngringsavverkning</t>
        </is>
      </c>
      <c r="D2498" s="1" t="n">
        <v>46161</v>
      </c>
      <c r="E2498" s="1" t="n">
        <v>46309</v>
      </c>
      <c r="F2498" t="inlineStr">
        <is>
          <t>UPPSALA LÄN</t>
        </is>
      </c>
      <c r="G2498" t="inlineStr">
        <is>
          <t>UPPSALA</t>
        </is>
      </c>
      <c r="I2498" t="n">
        <v>2.3</v>
      </c>
      <c r="J2498" t="n">
        <v>0</v>
      </c>
      <c r="K2498" t="n">
        <v>0</v>
      </c>
      <c r="L2498" t="n">
        <v>0</v>
      </c>
      <c r="M2498" t="n">
        <v>0</v>
      </c>
      <c r="N2498" t="n">
        <v>0</v>
      </c>
      <c r="O2498" t="n">
        <v>0</v>
      </c>
      <c r="P2498" t="n">
        <v>0</v>
      </c>
      <c r="Q2498" t="n">
        <v>0</v>
      </c>
      <c r="R2498" t="n">
        <v>0</v>
      </c>
      <c r="S2498" t="n">
        <v>0</v>
      </c>
      <c r="T2498" t="n">
        <v>0</v>
      </c>
      <c r="U2498" t="n">
        <v>0</v>
      </c>
      <c r="V2498" s="2" t="inlineStr"/>
    </row>
    <row r="2499" ht="15" customHeight="1">
      <c r="A2499" t="inlineStr">
        <is>
          <t>A 39154-2023</t>
        </is>
      </c>
      <c r="B2499" t="inlineStr">
        <is>
          <t>avverkningsanmälan</t>
        </is>
      </c>
      <c r="C2499" t="inlineStr">
        <is>
          <t>Föryngringsavverkning</t>
        </is>
      </c>
      <c r="D2499" s="1" t="n">
        <v>45166</v>
      </c>
      <c r="E2499" s="1" t="n">
        <v>46309</v>
      </c>
      <c r="F2499" t="inlineStr">
        <is>
          <t>UPPSALA LÄN</t>
        </is>
      </c>
      <c r="G2499" t="inlineStr">
        <is>
          <t>HEBY</t>
        </is>
      </c>
      <c r="I2499" t="n">
        <v>2.3</v>
      </c>
      <c r="J2499" t="n">
        <v>0</v>
      </c>
      <c r="K2499" t="n">
        <v>0</v>
      </c>
      <c r="L2499" t="n">
        <v>0</v>
      </c>
      <c r="M2499" t="n">
        <v>0</v>
      </c>
      <c r="N2499" t="n">
        <v>0</v>
      </c>
      <c r="O2499" t="n">
        <v>0</v>
      </c>
      <c r="P2499" t="n">
        <v>0</v>
      </c>
      <c r="Q2499" t="n">
        <v>0</v>
      </c>
      <c r="R2499" t="n">
        <v>0</v>
      </c>
      <c r="S2499" t="n">
        <v>0</v>
      </c>
      <c r="T2499" t="n">
        <v>0</v>
      </c>
      <c r="U2499" t="n">
        <v>0</v>
      </c>
      <c r="V2499" s="2" t="inlineStr"/>
    </row>
    <row r="2500" ht="15" customHeight="1">
      <c r="A2500" t="inlineStr">
        <is>
          <t>A 24493-2023</t>
        </is>
      </c>
      <c r="B2500" t="inlineStr">
        <is>
          <t>avverkningsanmälan</t>
        </is>
      </c>
      <c r="C2500" t="inlineStr">
        <is>
          <t>Föryngringsavverkning</t>
        </is>
      </c>
      <c r="D2500" s="1" t="n">
        <v>45082</v>
      </c>
      <c r="E2500" s="1" t="n">
        <v>46309</v>
      </c>
      <c r="F2500" t="inlineStr">
        <is>
          <t>UPPSALA LÄN</t>
        </is>
      </c>
      <c r="G2500" t="inlineStr">
        <is>
          <t>ÖSTHAMMAR</t>
        </is>
      </c>
      <c r="I2500" t="n">
        <v>1.9</v>
      </c>
      <c r="J2500" t="n">
        <v>0</v>
      </c>
      <c r="K2500" t="n">
        <v>0</v>
      </c>
      <c r="L2500" t="n">
        <v>0</v>
      </c>
      <c r="M2500" t="n">
        <v>0</v>
      </c>
      <c r="N2500" t="n">
        <v>0</v>
      </c>
      <c r="O2500" t="n">
        <v>0</v>
      </c>
      <c r="P2500" t="n">
        <v>0</v>
      </c>
      <c r="Q2500" t="n">
        <v>0</v>
      </c>
      <c r="R2500" t="n">
        <v>0</v>
      </c>
      <c r="S2500" t="n">
        <v>0</v>
      </c>
      <c r="T2500" t="n">
        <v>0</v>
      </c>
      <c r="U2500" t="n">
        <v>0</v>
      </c>
      <c r="V2500" s="2" t="inlineStr"/>
    </row>
    <row r="2501" ht="15" customHeight="1">
      <c r="A2501" t="inlineStr">
        <is>
          <t>A 20146-2026</t>
        </is>
      </c>
      <c r="B2501" t="inlineStr">
        <is>
          <t>avverkningsanmälan</t>
        </is>
      </c>
      <c r="C2501" t="inlineStr">
        <is>
          <t>Föryngringsavverkning</t>
        </is>
      </c>
      <c r="D2501" s="1" t="n">
        <v>46137</v>
      </c>
      <c r="E2501" s="1" t="n">
        <v>46309</v>
      </c>
      <c r="F2501" t="inlineStr">
        <is>
          <t>UPPSALA LÄN</t>
        </is>
      </c>
      <c r="G2501" t="inlineStr">
        <is>
          <t>UPPSALA</t>
        </is>
      </c>
      <c r="H2501" t="inlineStr">
        <is>
          <t>Bergvik skog öst AB</t>
        </is>
      </c>
      <c r="I2501" t="n">
        <v>1.4</v>
      </c>
      <c r="J2501" t="n">
        <v>0</v>
      </c>
      <c r="K2501" t="n">
        <v>0</v>
      </c>
      <c r="L2501" t="n">
        <v>0</v>
      </c>
      <c r="M2501" t="n">
        <v>0</v>
      </c>
      <c r="N2501" t="n">
        <v>0</v>
      </c>
      <c r="O2501" t="n">
        <v>0</v>
      </c>
      <c r="P2501" t="n">
        <v>0</v>
      </c>
      <c r="Q2501" t="n">
        <v>0</v>
      </c>
      <c r="R2501" t="n">
        <v>0</v>
      </c>
      <c r="S2501" t="n">
        <v>0</v>
      </c>
      <c r="T2501" t="n">
        <v>0</v>
      </c>
      <c r="U2501" t="n">
        <v>0</v>
      </c>
      <c r="V2501" s="2" t="inlineStr"/>
    </row>
    <row r="2502" ht="15" customHeight="1">
      <c r="A2502" t="inlineStr">
        <is>
          <t>A 20087-2023</t>
        </is>
      </c>
      <c r="B2502" t="inlineStr">
        <is>
          <t>avverkningsanmälan</t>
        </is>
      </c>
      <c r="C2502" t="inlineStr">
        <is>
          <t>Föryngringsavverkning</t>
        </is>
      </c>
      <c r="D2502" s="1" t="n">
        <v>45054</v>
      </c>
      <c r="E2502" s="1" t="n">
        <v>46309</v>
      </c>
      <c r="F2502" t="inlineStr">
        <is>
          <t>UPPSALA LÄN</t>
        </is>
      </c>
      <c r="G2502" t="inlineStr">
        <is>
          <t>UPPSALA</t>
        </is>
      </c>
      <c r="I2502" t="n">
        <v>1</v>
      </c>
      <c r="J2502" t="n">
        <v>0</v>
      </c>
      <c r="K2502" t="n">
        <v>0</v>
      </c>
      <c r="L2502" t="n">
        <v>0</v>
      </c>
      <c r="M2502" t="n">
        <v>0</v>
      </c>
      <c r="N2502" t="n">
        <v>0</v>
      </c>
      <c r="O2502" t="n">
        <v>0</v>
      </c>
      <c r="P2502" t="n">
        <v>0</v>
      </c>
      <c r="Q2502" t="n">
        <v>0</v>
      </c>
      <c r="R2502" t="n">
        <v>0</v>
      </c>
      <c r="S2502" t="n">
        <v>0</v>
      </c>
      <c r="T2502" t="n">
        <v>0</v>
      </c>
      <c r="U2502" t="n">
        <v>0</v>
      </c>
      <c r="V2502" s="2" t="inlineStr"/>
    </row>
    <row r="2503" ht="15" customHeight="1">
      <c r="A2503" t="inlineStr">
        <is>
          <t>A 34617-2022</t>
        </is>
      </c>
      <c r="B2503" t="inlineStr">
        <is>
          <t>avverkningsanmälan</t>
        </is>
      </c>
      <c r="C2503" t="inlineStr">
        <is>
          <t>Avverkning för annat ändamål</t>
        </is>
      </c>
      <c r="D2503" s="1" t="n">
        <v>44795</v>
      </c>
      <c r="E2503" s="1" t="n">
        <v>46309</v>
      </c>
      <c r="F2503" t="inlineStr">
        <is>
          <t>UPPSALA LÄN</t>
        </is>
      </c>
      <c r="G2503" t="inlineStr">
        <is>
          <t>ENKÖPING</t>
        </is>
      </c>
      <c r="I2503" t="n">
        <v>0.7</v>
      </c>
      <c r="J2503" t="n">
        <v>0</v>
      </c>
      <c r="K2503" t="n">
        <v>0</v>
      </c>
      <c r="L2503" t="n">
        <v>0</v>
      </c>
      <c r="M2503" t="n">
        <v>0</v>
      </c>
      <c r="N2503" t="n">
        <v>0</v>
      </c>
      <c r="O2503" t="n">
        <v>0</v>
      </c>
      <c r="P2503" t="n">
        <v>0</v>
      </c>
      <c r="Q2503" t="n">
        <v>0</v>
      </c>
      <c r="R2503" t="n">
        <v>0</v>
      </c>
      <c r="S2503" t="n">
        <v>0</v>
      </c>
      <c r="T2503" t="n">
        <v>0</v>
      </c>
      <c r="U2503" t="n">
        <v>0</v>
      </c>
      <c r="V2503" s="2" t="inlineStr"/>
    </row>
    <row r="2504" ht="15" customHeight="1">
      <c r="A2504" t="inlineStr">
        <is>
          <t>A 34742-2022</t>
        </is>
      </c>
      <c r="B2504" t="inlineStr">
        <is>
          <t>avverkningsanmälan</t>
        </is>
      </c>
      <c r="C2504" t="inlineStr">
        <is>
          <t>Föryngringsavverkning</t>
        </is>
      </c>
      <c r="D2504" s="1" t="n">
        <v>44795</v>
      </c>
      <c r="E2504" s="1" t="n">
        <v>46309</v>
      </c>
      <c r="F2504" t="inlineStr">
        <is>
          <t>UPPSALA LÄN</t>
        </is>
      </c>
      <c r="G2504" t="inlineStr">
        <is>
          <t>ÖSTHAMMAR</t>
        </is>
      </c>
      <c r="H2504" t="inlineStr">
        <is>
          <t>Bergvik skog öst AB</t>
        </is>
      </c>
      <c r="I2504" t="n">
        <v>1.1</v>
      </c>
      <c r="J2504" t="n">
        <v>0</v>
      </c>
      <c r="K2504" t="n">
        <v>0</v>
      </c>
      <c r="L2504" t="n">
        <v>0</v>
      </c>
      <c r="M2504" t="n">
        <v>0</v>
      </c>
      <c r="N2504" t="n">
        <v>0</v>
      </c>
      <c r="O2504" t="n">
        <v>0</v>
      </c>
      <c r="P2504" t="n">
        <v>0</v>
      </c>
      <c r="Q2504" t="n">
        <v>0</v>
      </c>
      <c r="R2504" t="n">
        <v>0</v>
      </c>
      <c r="S2504" t="n">
        <v>0</v>
      </c>
      <c r="T2504" t="n">
        <v>0</v>
      </c>
      <c r="U2504" t="n">
        <v>0</v>
      </c>
      <c r="V2504" s="2" t="inlineStr"/>
    </row>
    <row r="2505" ht="15" customHeight="1">
      <c r="A2505" t="inlineStr">
        <is>
          <t>A 23202-2026</t>
        </is>
      </c>
      <c r="B2505" t="inlineStr">
        <is>
          <t>avverkningsanmälan</t>
        </is>
      </c>
      <c r="C2505" t="inlineStr">
        <is>
          <t>Avverkning för annat ändamål</t>
        </is>
      </c>
      <c r="D2505" s="1" t="n">
        <v>46162</v>
      </c>
      <c r="E2505" s="1" t="n">
        <v>46309</v>
      </c>
      <c r="F2505" t="inlineStr">
        <is>
          <t>UPPSALA LÄN</t>
        </is>
      </c>
      <c r="G2505" t="inlineStr">
        <is>
          <t>ENKÖPING</t>
        </is>
      </c>
      <c r="I2505" t="n">
        <v>1.2</v>
      </c>
      <c r="J2505" t="n">
        <v>0</v>
      </c>
      <c r="K2505" t="n">
        <v>0</v>
      </c>
      <c r="L2505" t="n">
        <v>0</v>
      </c>
      <c r="M2505" t="n">
        <v>0</v>
      </c>
      <c r="N2505" t="n">
        <v>0</v>
      </c>
      <c r="O2505" t="n">
        <v>0</v>
      </c>
      <c r="P2505" t="n">
        <v>0</v>
      </c>
      <c r="Q2505" t="n">
        <v>0</v>
      </c>
      <c r="R2505" t="n">
        <v>0</v>
      </c>
      <c r="S2505" t="n">
        <v>0</v>
      </c>
      <c r="T2505" t="n">
        <v>0</v>
      </c>
      <c r="U2505" t="n">
        <v>0</v>
      </c>
      <c r="V2505" s="2" t="inlineStr"/>
    </row>
    <row r="2506" ht="15" customHeight="1">
      <c r="A2506" t="inlineStr">
        <is>
          <t>A 40202-2024</t>
        </is>
      </c>
      <c r="B2506" t="inlineStr">
        <is>
          <t>avverkningsanmälan</t>
        </is>
      </c>
      <c r="C2506" t="inlineStr">
        <is>
          <t>Föryngringsavverkning</t>
        </is>
      </c>
      <c r="D2506" s="1" t="n">
        <v>45554</v>
      </c>
      <c r="E2506" s="1" t="n">
        <v>46309</v>
      </c>
      <c r="F2506" t="inlineStr">
        <is>
          <t>UPPSALA LÄN</t>
        </is>
      </c>
      <c r="G2506" t="inlineStr">
        <is>
          <t>ENKÖPING</t>
        </is>
      </c>
      <c r="I2506" t="n">
        <v>6.2</v>
      </c>
      <c r="J2506" t="n">
        <v>0</v>
      </c>
      <c r="K2506" t="n">
        <v>0</v>
      </c>
      <c r="L2506" t="n">
        <v>0</v>
      </c>
      <c r="M2506" t="n">
        <v>0</v>
      </c>
      <c r="N2506" t="n">
        <v>0</v>
      </c>
      <c r="O2506" t="n">
        <v>0</v>
      </c>
      <c r="P2506" t="n">
        <v>0</v>
      </c>
      <c r="Q2506" t="n">
        <v>0</v>
      </c>
      <c r="R2506" t="n">
        <v>0</v>
      </c>
      <c r="S2506" t="n">
        <v>0</v>
      </c>
      <c r="T2506" t="n">
        <v>0</v>
      </c>
      <c r="U2506" t="n">
        <v>0</v>
      </c>
      <c r="V2506" s="2" t="inlineStr"/>
    </row>
    <row r="2507" ht="15" customHeight="1">
      <c r="A2507" t="inlineStr">
        <is>
          <t>A 10414-2022</t>
        </is>
      </c>
      <c r="B2507" t="inlineStr">
        <is>
          <t>avverkningsanmälan</t>
        </is>
      </c>
      <c r="C2507" t="inlineStr">
        <is>
          <t>Föryngringsavverkning</t>
        </is>
      </c>
      <c r="D2507" s="1" t="n">
        <v>44623</v>
      </c>
      <c r="E2507" s="1" t="n">
        <v>46309</v>
      </c>
      <c r="F2507" t="inlineStr">
        <is>
          <t>UPPSALA LÄN</t>
        </is>
      </c>
      <c r="G2507" t="inlineStr">
        <is>
          <t>HEBY</t>
        </is>
      </c>
      <c r="I2507" t="n">
        <v>2.7</v>
      </c>
      <c r="J2507" t="n">
        <v>0</v>
      </c>
      <c r="K2507" t="n">
        <v>0</v>
      </c>
      <c r="L2507" t="n">
        <v>0</v>
      </c>
      <c r="M2507" t="n">
        <v>0</v>
      </c>
      <c r="N2507" t="n">
        <v>0</v>
      </c>
      <c r="O2507" t="n">
        <v>0</v>
      </c>
      <c r="P2507" t="n">
        <v>0</v>
      </c>
      <c r="Q2507" t="n">
        <v>0</v>
      </c>
      <c r="R2507" t="n">
        <v>0</v>
      </c>
      <c r="S2507" t="n">
        <v>0</v>
      </c>
      <c r="T2507" t="n">
        <v>0</v>
      </c>
      <c r="U2507" t="n">
        <v>0</v>
      </c>
      <c r="V2507" s="2" t="inlineStr"/>
    </row>
    <row r="2508" ht="15" customHeight="1">
      <c r="A2508" t="inlineStr">
        <is>
          <t>A 40223-2024</t>
        </is>
      </c>
      <c r="B2508" t="inlineStr">
        <is>
          <t>avverkningsanmälan</t>
        </is>
      </c>
      <c r="C2508" t="inlineStr">
        <is>
          <t>Föryngringsavverkning</t>
        </is>
      </c>
      <c r="D2508" s="1" t="n">
        <v>45554</v>
      </c>
      <c r="E2508" s="1" t="n">
        <v>46309</v>
      </c>
      <c r="F2508" t="inlineStr">
        <is>
          <t>UPPSALA LÄN</t>
        </is>
      </c>
      <c r="G2508" t="inlineStr">
        <is>
          <t>ENKÖPING</t>
        </is>
      </c>
      <c r="I2508" t="n">
        <v>1.9</v>
      </c>
      <c r="J2508" t="n">
        <v>0</v>
      </c>
      <c r="K2508" t="n">
        <v>0</v>
      </c>
      <c r="L2508" t="n">
        <v>0</v>
      </c>
      <c r="M2508" t="n">
        <v>0</v>
      </c>
      <c r="N2508" t="n">
        <v>0</v>
      </c>
      <c r="O2508" t="n">
        <v>0</v>
      </c>
      <c r="P2508" t="n">
        <v>0</v>
      </c>
      <c r="Q2508" t="n">
        <v>0</v>
      </c>
      <c r="R2508" t="n">
        <v>0</v>
      </c>
      <c r="S2508" t="n">
        <v>0</v>
      </c>
      <c r="T2508" t="n">
        <v>0</v>
      </c>
      <c r="U2508" t="n">
        <v>0</v>
      </c>
      <c r="V2508" s="2" t="inlineStr"/>
    </row>
    <row r="2509" ht="15" customHeight="1">
      <c r="A2509" t="inlineStr">
        <is>
          <t>A 6041-2026</t>
        </is>
      </c>
      <c r="B2509" t="inlineStr">
        <is>
          <t>avverkningsanmälan</t>
        </is>
      </c>
      <c r="C2509" t="inlineStr">
        <is>
          <t>Föryngringsavverkning</t>
        </is>
      </c>
      <c r="D2509" s="1" t="n">
        <v>46052</v>
      </c>
      <c r="E2509" s="1" t="n">
        <v>46309</v>
      </c>
      <c r="F2509" t="inlineStr">
        <is>
          <t>UPPSALA LÄN</t>
        </is>
      </c>
      <c r="G2509" t="inlineStr">
        <is>
          <t>ENKÖPING</t>
        </is>
      </c>
      <c r="I2509" t="n">
        <v>4</v>
      </c>
      <c r="J2509" t="n">
        <v>0</v>
      </c>
      <c r="K2509" t="n">
        <v>0</v>
      </c>
      <c r="L2509" t="n">
        <v>0</v>
      </c>
      <c r="M2509" t="n">
        <v>0</v>
      </c>
      <c r="N2509" t="n">
        <v>0</v>
      </c>
      <c r="O2509" t="n">
        <v>0</v>
      </c>
      <c r="P2509" t="n">
        <v>0</v>
      </c>
      <c r="Q2509" t="n">
        <v>0</v>
      </c>
      <c r="R2509" t="n">
        <v>0</v>
      </c>
      <c r="S2509" t="n">
        <v>0</v>
      </c>
      <c r="T2509" t="n">
        <v>0</v>
      </c>
      <c r="U2509" t="n">
        <v>0</v>
      </c>
      <c r="V2509" s="2" t="inlineStr"/>
    </row>
    <row r="2510" ht="15" customHeight="1">
      <c r="A2510" t="inlineStr">
        <is>
          <t>A 6044-2026</t>
        </is>
      </c>
      <c r="B2510" t="inlineStr">
        <is>
          <t>avverkningsanmälan</t>
        </is>
      </c>
      <c r="C2510" t="inlineStr">
        <is>
          <t>Föryngringsavverkning</t>
        </is>
      </c>
      <c r="D2510" s="1" t="n">
        <v>46052</v>
      </c>
      <c r="E2510" s="1" t="n">
        <v>46309</v>
      </c>
      <c r="F2510" t="inlineStr">
        <is>
          <t>UPPSALA LÄN</t>
        </is>
      </c>
      <c r="G2510" t="inlineStr">
        <is>
          <t>ENKÖPING</t>
        </is>
      </c>
      <c r="I2510" t="n">
        <v>1.3</v>
      </c>
      <c r="J2510" t="n">
        <v>0</v>
      </c>
      <c r="K2510" t="n">
        <v>0</v>
      </c>
      <c r="L2510" t="n">
        <v>0</v>
      </c>
      <c r="M2510" t="n">
        <v>0</v>
      </c>
      <c r="N2510" t="n">
        <v>0</v>
      </c>
      <c r="O2510" t="n">
        <v>0</v>
      </c>
      <c r="P2510" t="n">
        <v>0</v>
      </c>
      <c r="Q2510" t="n">
        <v>0</v>
      </c>
      <c r="R2510" t="n">
        <v>0</v>
      </c>
      <c r="S2510" t="n">
        <v>0</v>
      </c>
      <c r="T2510" t="n">
        <v>0</v>
      </c>
      <c r="U2510" t="n">
        <v>0</v>
      </c>
      <c r="V2510" s="2" t="inlineStr"/>
    </row>
    <row r="2511" ht="15" customHeight="1">
      <c r="A2511" t="inlineStr">
        <is>
          <t>A 23363-2023</t>
        </is>
      </c>
      <c r="B2511" t="inlineStr">
        <is>
          <t>avverkningsanmälan</t>
        </is>
      </c>
      <c r="C2511" t="inlineStr">
        <is>
          <t>Föryngringsavverkning</t>
        </is>
      </c>
      <c r="D2511" s="1" t="n">
        <v>45076</v>
      </c>
      <c r="E2511" s="1" t="n">
        <v>46309</v>
      </c>
      <c r="F2511" t="inlineStr">
        <is>
          <t>UPPSALA LÄN</t>
        </is>
      </c>
      <c r="G2511" t="inlineStr">
        <is>
          <t>ÖSTHAMMAR</t>
        </is>
      </c>
      <c r="I2511" t="n">
        <v>3</v>
      </c>
      <c r="J2511" t="n">
        <v>0</v>
      </c>
      <c r="K2511" t="n">
        <v>0</v>
      </c>
      <c r="L2511" t="n">
        <v>0</v>
      </c>
      <c r="M2511" t="n">
        <v>0</v>
      </c>
      <c r="N2511" t="n">
        <v>0</v>
      </c>
      <c r="O2511" t="n">
        <v>0</v>
      </c>
      <c r="P2511" t="n">
        <v>0</v>
      </c>
      <c r="Q2511" t="n">
        <v>0</v>
      </c>
      <c r="R2511" t="n">
        <v>0</v>
      </c>
      <c r="S2511" t="n">
        <v>0</v>
      </c>
      <c r="T2511" t="n">
        <v>0</v>
      </c>
      <c r="U2511" t="n">
        <v>0</v>
      </c>
      <c r="V2511" s="2" t="inlineStr"/>
    </row>
    <row r="2512" ht="15" customHeight="1">
      <c r="A2512" t="inlineStr">
        <is>
          <t>A 45525-2023</t>
        </is>
      </c>
      <c r="B2512" t="inlineStr">
        <is>
          <t>avverkningsanmälan</t>
        </is>
      </c>
      <c r="C2512" t="inlineStr">
        <is>
          <t>Avverkning för annat ändamål</t>
        </is>
      </c>
      <c r="D2512" s="1" t="n">
        <v>45194</v>
      </c>
      <c r="E2512" s="1" t="n">
        <v>46309</v>
      </c>
      <c r="F2512" t="inlineStr">
        <is>
          <t>UPPSALA LÄN</t>
        </is>
      </c>
      <c r="G2512" t="inlineStr">
        <is>
          <t>KNIVSTA</t>
        </is>
      </c>
      <c r="I2512" t="n">
        <v>0.7</v>
      </c>
      <c r="J2512" t="n">
        <v>0</v>
      </c>
      <c r="K2512" t="n">
        <v>0</v>
      </c>
      <c r="L2512" t="n">
        <v>0</v>
      </c>
      <c r="M2512" t="n">
        <v>0</v>
      </c>
      <c r="N2512" t="n">
        <v>0</v>
      </c>
      <c r="O2512" t="n">
        <v>0</v>
      </c>
      <c r="P2512" t="n">
        <v>0</v>
      </c>
      <c r="Q2512" t="n">
        <v>0</v>
      </c>
      <c r="R2512" t="n">
        <v>0</v>
      </c>
      <c r="S2512" t="n">
        <v>0</v>
      </c>
      <c r="T2512" t="n">
        <v>0</v>
      </c>
      <c r="U2512" t="n">
        <v>0</v>
      </c>
      <c r="V2512" s="2" t="inlineStr"/>
    </row>
    <row r="2513" ht="15" customHeight="1">
      <c r="A2513" t="inlineStr">
        <is>
          <t>A 27308-2023</t>
        </is>
      </c>
      <c r="B2513" t="inlineStr">
        <is>
          <t>avverkningsanmälan</t>
        </is>
      </c>
      <c r="C2513" t="inlineStr">
        <is>
          <t>Föryngringsavverkning</t>
        </is>
      </c>
      <c r="D2513" s="1" t="n">
        <v>45096</v>
      </c>
      <c r="E2513" s="1" t="n">
        <v>46309</v>
      </c>
      <c r="F2513" t="inlineStr">
        <is>
          <t>UPPSALA LÄN</t>
        </is>
      </c>
      <c r="G2513" t="inlineStr">
        <is>
          <t>ÖSTHAMMAR</t>
        </is>
      </c>
      <c r="H2513" t="inlineStr">
        <is>
          <t>Bergvik skog öst AB</t>
        </is>
      </c>
      <c r="I2513" t="n">
        <v>2.4</v>
      </c>
      <c r="J2513" t="n">
        <v>0</v>
      </c>
      <c r="K2513" t="n">
        <v>0</v>
      </c>
      <c r="L2513" t="n">
        <v>0</v>
      </c>
      <c r="M2513" t="n">
        <v>0</v>
      </c>
      <c r="N2513" t="n">
        <v>0</v>
      </c>
      <c r="O2513" t="n">
        <v>0</v>
      </c>
      <c r="P2513" t="n">
        <v>0</v>
      </c>
      <c r="Q2513" t="n">
        <v>0</v>
      </c>
      <c r="R2513" t="n">
        <v>0</v>
      </c>
      <c r="S2513" t="n">
        <v>0</v>
      </c>
      <c r="T2513" t="n">
        <v>0</v>
      </c>
      <c r="U2513" t="n">
        <v>0</v>
      </c>
      <c r="V2513" s="2" t="inlineStr"/>
    </row>
    <row r="2514" ht="15" customHeight="1">
      <c r="A2514" t="inlineStr">
        <is>
          <t>A 46399-2023</t>
        </is>
      </c>
      <c r="B2514" t="inlineStr">
        <is>
          <t>avverkningsanmälan</t>
        </is>
      </c>
      <c r="C2514" t="inlineStr">
        <is>
          <t>Föryngringsavverkning</t>
        </is>
      </c>
      <c r="D2514" s="1" t="n">
        <v>45197</v>
      </c>
      <c r="E2514" s="1" t="n">
        <v>46309</v>
      </c>
      <c r="F2514" t="inlineStr">
        <is>
          <t>UPPSALA LÄN</t>
        </is>
      </c>
      <c r="G2514" t="inlineStr">
        <is>
          <t>ÖSTHAMMAR</t>
        </is>
      </c>
      <c r="I2514" t="n">
        <v>5.8</v>
      </c>
      <c r="J2514" t="n">
        <v>0</v>
      </c>
      <c r="K2514" t="n">
        <v>0</v>
      </c>
      <c r="L2514" t="n">
        <v>0</v>
      </c>
      <c r="M2514" t="n">
        <v>0</v>
      </c>
      <c r="N2514" t="n">
        <v>0</v>
      </c>
      <c r="O2514" t="n">
        <v>0</v>
      </c>
      <c r="P2514" t="n">
        <v>0</v>
      </c>
      <c r="Q2514" t="n">
        <v>0</v>
      </c>
      <c r="R2514" t="n">
        <v>0</v>
      </c>
      <c r="S2514" t="n">
        <v>0</v>
      </c>
      <c r="T2514" t="n">
        <v>0</v>
      </c>
      <c r="U2514" t="n">
        <v>0</v>
      </c>
      <c r="V2514" s="2" t="inlineStr"/>
    </row>
    <row r="2515" ht="15" customHeight="1">
      <c r="A2515" t="inlineStr">
        <is>
          <t>A 69879-2021</t>
        </is>
      </c>
      <c r="B2515" t="inlineStr">
        <is>
          <t>avverkningsanmälan</t>
        </is>
      </c>
      <c r="C2515" t="inlineStr">
        <is>
          <t>Föryngringsavverkning</t>
        </is>
      </c>
      <c r="D2515" s="1" t="n">
        <v>44532</v>
      </c>
      <c r="E2515" s="1" t="n">
        <v>46309</v>
      </c>
      <c r="F2515" t="inlineStr">
        <is>
          <t>UPPSALA LÄN</t>
        </is>
      </c>
      <c r="G2515" t="inlineStr">
        <is>
          <t>ENKÖPING</t>
        </is>
      </c>
      <c r="I2515" t="n">
        <v>4.2</v>
      </c>
      <c r="J2515" t="n">
        <v>0</v>
      </c>
      <c r="K2515" t="n">
        <v>0</v>
      </c>
      <c r="L2515" t="n">
        <v>0</v>
      </c>
      <c r="M2515" t="n">
        <v>0</v>
      </c>
      <c r="N2515" t="n">
        <v>0</v>
      </c>
      <c r="O2515" t="n">
        <v>0</v>
      </c>
      <c r="P2515" t="n">
        <v>0</v>
      </c>
      <c r="Q2515" t="n">
        <v>0</v>
      </c>
      <c r="R2515" t="n">
        <v>0</v>
      </c>
      <c r="S2515" t="n">
        <v>0</v>
      </c>
      <c r="T2515" t="n">
        <v>0</v>
      </c>
      <c r="U2515" t="n">
        <v>0</v>
      </c>
      <c r="V2515" s="2" t="inlineStr"/>
    </row>
    <row r="2516" ht="15" customHeight="1">
      <c r="A2516" t="inlineStr">
        <is>
          <t>A 23160-2026</t>
        </is>
      </c>
      <c r="B2516" t="inlineStr">
        <is>
          <t>avverkningsanmälan</t>
        </is>
      </c>
      <c r="C2516" t="inlineStr">
        <is>
          <t>Föryngringsavverkning</t>
        </is>
      </c>
      <c r="D2516" s="1" t="n">
        <v>46161</v>
      </c>
      <c r="E2516" s="1" t="n">
        <v>46309</v>
      </c>
      <c r="F2516" t="inlineStr">
        <is>
          <t>UPPSALA LÄN</t>
        </is>
      </c>
      <c r="G2516" t="inlineStr">
        <is>
          <t>TIERP</t>
        </is>
      </c>
      <c r="H2516" t="inlineStr">
        <is>
          <t>Bergvik skog väst AB</t>
        </is>
      </c>
      <c r="I2516" t="n">
        <v>3.3</v>
      </c>
      <c r="J2516" t="n">
        <v>0</v>
      </c>
      <c r="K2516" t="n">
        <v>0</v>
      </c>
      <c r="L2516" t="n">
        <v>0</v>
      </c>
      <c r="M2516" t="n">
        <v>0</v>
      </c>
      <c r="N2516" t="n">
        <v>0</v>
      </c>
      <c r="O2516" t="n">
        <v>0</v>
      </c>
      <c r="P2516" t="n">
        <v>0</v>
      </c>
      <c r="Q2516" t="n">
        <v>0</v>
      </c>
      <c r="R2516" t="n">
        <v>0</v>
      </c>
      <c r="S2516" t="n">
        <v>0</v>
      </c>
      <c r="T2516" t="n">
        <v>0</v>
      </c>
      <c r="U2516" t="n">
        <v>0</v>
      </c>
      <c r="V2516" s="2" t="inlineStr"/>
    </row>
    <row r="2517" ht="15" customHeight="1">
      <c r="A2517" t="inlineStr">
        <is>
          <t>A 55079-2024</t>
        </is>
      </c>
      <c r="B2517" t="inlineStr">
        <is>
          <t>avverkningsanmälan</t>
        </is>
      </c>
      <c r="C2517" t="inlineStr">
        <is>
          <t>Föryngringsavverkning</t>
        </is>
      </c>
      <c r="D2517" s="1" t="n">
        <v>45621</v>
      </c>
      <c r="E2517" s="1" t="n">
        <v>46309</v>
      </c>
      <c r="F2517" t="inlineStr">
        <is>
          <t>UPPSALA LÄN</t>
        </is>
      </c>
      <c r="G2517" t="inlineStr">
        <is>
          <t>ÖSTHAMMAR</t>
        </is>
      </c>
      <c r="H2517" t="inlineStr">
        <is>
          <t>Sveaskog</t>
        </is>
      </c>
      <c r="I2517" t="n">
        <v>2.7</v>
      </c>
      <c r="J2517" t="n">
        <v>0</v>
      </c>
      <c r="K2517" t="n">
        <v>0</v>
      </c>
      <c r="L2517" t="n">
        <v>0</v>
      </c>
      <c r="M2517" t="n">
        <v>0</v>
      </c>
      <c r="N2517" t="n">
        <v>0</v>
      </c>
      <c r="O2517" t="n">
        <v>0</v>
      </c>
      <c r="P2517" t="n">
        <v>0</v>
      </c>
      <c r="Q2517" t="n">
        <v>0</v>
      </c>
      <c r="R2517" t="n">
        <v>0</v>
      </c>
      <c r="S2517" t="n">
        <v>0</v>
      </c>
      <c r="T2517" t="n">
        <v>0</v>
      </c>
      <c r="U2517" t="n">
        <v>0</v>
      </c>
      <c r="V2517" s="2" t="inlineStr"/>
    </row>
    <row r="2518" ht="15" customHeight="1">
      <c r="A2518" t="inlineStr">
        <is>
          <t>A 36873-2022</t>
        </is>
      </c>
      <c r="B2518" t="inlineStr">
        <is>
          <t>avverkningsanmälan</t>
        </is>
      </c>
      <c r="C2518" t="inlineStr">
        <is>
          <t>Föryngringsavverkning</t>
        </is>
      </c>
      <c r="D2518" s="1" t="n">
        <v>44805</v>
      </c>
      <c r="E2518" s="1" t="n">
        <v>46309</v>
      </c>
      <c r="F2518" t="inlineStr">
        <is>
          <t>UPPSALA LÄN</t>
        </is>
      </c>
      <c r="G2518" t="inlineStr">
        <is>
          <t>ÖSTHAMMAR</t>
        </is>
      </c>
      <c r="I2518" t="n">
        <v>2.5</v>
      </c>
      <c r="J2518" t="n">
        <v>0</v>
      </c>
      <c r="K2518" t="n">
        <v>0</v>
      </c>
      <c r="L2518" t="n">
        <v>0</v>
      </c>
      <c r="M2518" t="n">
        <v>0</v>
      </c>
      <c r="N2518" t="n">
        <v>0</v>
      </c>
      <c r="O2518" t="n">
        <v>0</v>
      </c>
      <c r="P2518" t="n">
        <v>0</v>
      </c>
      <c r="Q2518" t="n">
        <v>0</v>
      </c>
      <c r="R2518" t="n">
        <v>0</v>
      </c>
      <c r="S2518" t="n">
        <v>0</v>
      </c>
      <c r="T2518" t="n">
        <v>0</v>
      </c>
      <c r="U2518" t="n">
        <v>0</v>
      </c>
      <c r="V2518" s="2" t="inlineStr"/>
    </row>
    <row r="2519" ht="15" customHeight="1">
      <c r="A2519" t="inlineStr">
        <is>
          <t>A 53733-2023</t>
        </is>
      </c>
      <c r="B2519" t="inlineStr">
        <is>
          <t>avverkningsanmälan</t>
        </is>
      </c>
      <c r="C2519" t="inlineStr">
        <is>
          <t>Föryngringsavverkning</t>
        </is>
      </c>
      <c r="D2519" s="1" t="n">
        <v>45230</v>
      </c>
      <c r="E2519" s="1" t="n">
        <v>46309</v>
      </c>
      <c r="F2519" t="inlineStr">
        <is>
          <t>UPPSALA LÄN</t>
        </is>
      </c>
      <c r="G2519" t="inlineStr">
        <is>
          <t>ÖSTHAMMAR</t>
        </is>
      </c>
      <c r="I2519" t="n">
        <v>1.1</v>
      </c>
      <c r="J2519" t="n">
        <v>0</v>
      </c>
      <c r="K2519" t="n">
        <v>0</v>
      </c>
      <c r="L2519" t="n">
        <v>0</v>
      </c>
      <c r="M2519" t="n">
        <v>0</v>
      </c>
      <c r="N2519" t="n">
        <v>0</v>
      </c>
      <c r="O2519" t="n">
        <v>0</v>
      </c>
      <c r="P2519" t="n">
        <v>0</v>
      </c>
      <c r="Q2519" t="n">
        <v>0</v>
      </c>
      <c r="R2519" t="n">
        <v>0</v>
      </c>
      <c r="S2519" t="n">
        <v>0</v>
      </c>
      <c r="T2519" t="n">
        <v>0</v>
      </c>
      <c r="U2519" t="n">
        <v>0</v>
      </c>
      <c r="V2519" s="2" t="inlineStr"/>
    </row>
    <row r="2520" ht="15" customHeight="1">
      <c r="A2520" t="inlineStr">
        <is>
          <t>A 53735-2023</t>
        </is>
      </c>
      <c r="B2520" t="inlineStr">
        <is>
          <t>avverkningsanmälan</t>
        </is>
      </c>
      <c r="C2520" t="inlineStr">
        <is>
          <t>Föryngringsavverkning</t>
        </is>
      </c>
      <c r="D2520" s="1" t="n">
        <v>45230</v>
      </c>
      <c r="E2520" s="1" t="n">
        <v>46309</v>
      </c>
      <c r="F2520" t="inlineStr">
        <is>
          <t>UPPSALA LÄN</t>
        </is>
      </c>
      <c r="G2520" t="inlineStr">
        <is>
          <t>ÖSTHAMMAR</t>
        </is>
      </c>
      <c r="I2520" t="n">
        <v>1.1</v>
      </c>
      <c r="J2520" t="n">
        <v>0</v>
      </c>
      <c r="K2520" t="n">
        <v>0</v>
      </c>
      <c r="L2520" t="n">
        <v>0</v>
      </c>
      <c r="M2520" t="n">
        <v>0</v>
      </c>
      <c r="N2520" t="n">
        <v>0</v>
      </c>
      <c r="O2520" t="n">
        <v>0</v>
      </c>
      <c r="P2520" t="n">
        <v>0</v>
      </c>
      <c r="Q2520" t="n">
        <v>0</v>
      </c>
      <c r="R2520" t="n">
        <v>0</v>
      </c>
      <c r="S2520" t="n">
        <v>0</v>
      </c>
      <c r="T2520" t="n">
        <v>0</v>
      </c>
      <c r="U2520" t="n">
        <v>0</v>
      </c>
      <c r="V2520" s="2" t="inlineStr"/>
    </row>
    <row r="2521" ht="15" customHeight="1">
      <c r="A2521" t="inlineStr">
        <is>
          <t>A 16676-2026</t>
        </is>
      </c>
      <c r="B2521" t="inlineStr">
        <is>
          <t>avverkningsanmälan</t>
        </is>
      </c>
      <c r="C2521" t="inlineStr">
        <is>
          <t>Föryngringsavverkning</t>
        </is>
      </c>
      <c r="D2521" s="1" t="n">
        <v>46112</v>
      </c>
      <c r="E2521" s="1" t="n">
        <v>46309</v>
      </c>
      <c r="F2521" t="inlineStr">
        <is>
          <t>UPPSALA LÄN</t>
        </is>
      </c>
      <c r="G2521" t="inlineStr">
        <is>
          <t>UPPSALA</t>
        </is>
      </c>
      <c r="I2521" t="n">
        <v>0.5</v>
      </c>
      <c r="J2521" t="n">
        <v>0</v>
      </c>
      <c r="K2521" t="n">
        <v>0</v>
      </c>
      <c r="L2521" t="n">
        <v>0</v>
      </c>
      <c r="M2521" t="n">
        <v>0</v>
      </c>
      <c r="N2521" t="n">
        <v>0</v>
      </c>
      <c r="O2521" t="n">
        <v>0</v>
      </c>
      <c r="P2521" t="n">
        <v>0</v>
      </c>
      <c r="Q2521" t="n">
        <v>0</v>
      </c>
      <c r="R2521" t="n">
        <v>0</v>
      </c>
      <c r="S2521" t="n">
        <v>0</v>
      </c>
      <c r="T2521" t="n">
        <v>0</v>
      </c>
      <c r="U2521" t="n">
        <v>0</v>
      </c>
      <c r="V2521" s="2" t="inlineStr"/>
    </row>
    <row r="2522" ht="15" customHeight="1">
      <c r="A2522" t="inlineStr">
        <is>
          <t>A 16673-2026</t>
        </is>
      </c>
      <c r="B2522" t="inlineStr">
        <is>
          <t>avverkningsanmälan</t>
        </is>
      </c>
      <c r="C2522" t="inlineStr">
        <is>
          <t>Föryngringsavverkning</t>
        </is>
      </c>
      <c r="D2522" s="1" t="n">
        <v>46112</v>
      </c>
      <c r="E2522" s="1" t="n">
        <v>46309</v>
      </c>
      <c r="F2522" t="inlineStr">
        <is>
          <t>UPPSALA LÄN</t>
        </is>
      </c>
      <c r="G2522" t="inlineStr">
        <is>
          <t>UPPSALA</t>
        </is>
      </c>
      <c r="I2522" t="n">
        <v>1.3</v>
      </c>
      <c r="J2522" t="n">
        <v>0</v>
      </c>
      <c r="K2522" t="n">
        <v>0</v>
      </c>
      <c r="L2522" t="n">
        <v>0</v>
      </c>
      <c r="M2522" t="n">
        <v>0</v>
      </c>
      <c r="N2522" t="n">
        <v>0</v>
      </c>
      <c r="O2522" t="n">
        <v>0</v>
      </c>
      <c r="P2522" t="n">
        <v>0</v>
      </c>
      <c r="Q2522" t="n">
        <v>0</v>
      </c>
      <c r="R2522" t="n">
        <v>0</v>
      </c>
      <c r="S2522" t="n">
        <v>0</v>
      </c>
      <c r="T2522" t="n">
        <v>0</v>
      </c>
      <c r="U2522" t="n">
        <v>0</v>
      </c>
      <c r="V2522" s="2" t="inlineStr"/>
    </row>
    <row r="2523" ht="15" customHeight="1">
      <c r="A2523" t="inlineStr">
        <is>
          <t>A 23413-2026</t>
        </is>
      </c>
      <c r="B2523" t="inlineStr">
        <is>
          <t>avverkningsanmälan</t>
        </is>
      </c>
      <c r="C2523" t="inlineStr">
        <is>
          <t>Föryngringsavverkning</t>
        </is>
      </c>
      <c r="D2523" s="1" t="n">
        <v>46162</v>
      </c>
      <c r="E2523" s="1" t="n">
        <v>46309</v>
      </c>
      <c r="F2523" t="inlineStr">
        <is>
          <t>UPPSALA LÄN</t>
        </is>
      </c>
      <c r="G2523" t="inlineStr">
        <is>
          <t>UPPSALA</t>
        </is>
      </c>
      <c r="H2523" t="inlineStr">
        <is>
          <t>Bergvik skog öst AB</t>
        </is>
      </c>
      <c r="I2523" t="n">
        <v>9.6</v>
      </c>
      <c r="J2523" t="n">
        <v>0</v>
      </c>
      <c r="K2523" t="n">
        <v>0</v>
      </c>
      <c r="L2523" t="n">
        <v>0</v>
      </c>
      <c r="M2523" t="n">
        <v>0</v>
      </c>
      <c r="N2523" t="n">
        <v>0</v>
      </c>
      <c r="O2523" t="n">
        <v>0</v>
      </c>
      <c r="P2523" t="n">
        <v>0</v>
      </c>
      <c r="Q2523" t="n">
        <v>0</v>
      </c>
      <c r="R2523" t="n">
        <v>0</v>
      </c>
      <c r="S2523" t="n">
        <v>0</v>
      </c>
      <c r="T2523" t="n">
        <v>0</v>
      </c>
      <c r="U2523" t="n">
        <v>0</v>
      </c>
      <c r="V2523" s="2" t="inlineStr"/>
    </row>
    <row r="2524" ht="15" customHeight="1">
      <c r="A2524" t="inlineStr">
        <is>
          <t>A 45575-2023</t>
        </is>
      </c>
      <c r="B2524" t="inlineStr">
        <is>
          <t>avverkningsanmälan</t>
        </is>
      </c>
      <c r="C2524" t="inlineStr">
        <is>
          <t>Föryngringsavverkning</t>
        </is>
      </c>
      <c r="D2524" s="1" t="n">
        <v>45194</v>
      </c>
      <c r="E2524" s="1" t="n">
        <v>46309</v>
      </c>
      <c r="F2524" t="inlineStr">
        <is>
          <t>UPPSALA LÄN</t>
        </is>
      </c>
      <c r="G2524" t="inlineStr">
        <is>
          <t>UPPSALA</t>
        </is>
      </c>
      <c r="H2524" t="inlineStr">
        <is>
          <t>Bergvik skog öst AB</t>
        </is>
      </c>
      <c r="I2524" t="n">
        <v>2.2</v>
      </c>
      <c r="J2524" t="n">
        <v>0</v>
      </c>
      <c r="K2524" t="n">
        <v>0</v>
      </c>
      <c r="L2524" t="n">
        <v>0</v>
      </c>
      <c r="M2524" t="n">
        <v>0</v>
      </c>
      <c r="N2524" t="n">
        <v>0</v>
      </c>
      <c r="O2524" t="n">
        <v>0</v>
      </c>
      <c r="P2524" t="n">
        <v>0</v>
      </c>
      <c r="Q2524" t="n">
        <v>0</v>
      </c>
      <c r="R2524" t="n">
        <v>0</v>
      </c>
      <c r="S2524" t="n">
        <v>0</v>
      </c>
      <c r="T2524" t="n">
        <v>0</v>
      </c>
      <c r="U2524" t="n">
        <v>0</v>
      </c>
      <c r="V2524" s="2" t="inlineStr"/>
    </row>
    <row r="2525" ht="15" customHeight="1">
      <c r="A2525" t="inlineStr">
        <is>
          <t>A 23412-2026</t>
        </is>
      </c>
      <c r="B2525" t="inlineStr">
        <is>
          <t>avverkningsanmälan</t>
        </is>
      </c>
      <c r="C2525" t="inlineStr">
        <is>
          <t>Föryngringsavverkning</t>
        </is>
      </c>
      <c r="D2525" s="1" t="n">
        <v>46162</v>
      </c>
      <c r="E2525" s="1" t="n">
        <v>46309</v>
      </c>
      <c r="F2525" t="inlineStr">
        <is>
          <t>UPPSALA LÄN</t>
        </is>
      </c>
      <c r="G2525" t="inlineStr">
        <is>
          <t>UPPSALA</t>
        </is>
      </c>
      <c r="H2525" t="inlineStr">
        <is>
          <t>Bergvik skog öst AB</t>
        </is>
      </c>
      <c r="I2525" t="n">
        <v>0.7</v>
      </c>
      <c r="J2525" t="n">
        <v>0</v>
      </c>
      <c r="K2525" t="n">
        <v>0</v>
      </c>
      <c r="L2525" t="n">
        <v>0</v>
      </c>
      <c r="M2525" t="n">
        <v>0</v>
      </c>
      <c r="N2525" t="n">
        <v>0</v>
      </c>
      <c r="O2525" t="n">
        <v>0</v>
      </c>
      <c r="P2525" t="n">
        <v>0</v>
      </c>
      <c r="Q2525" t="n">
        <v>0</v>
      </c>
      <c r="R2525" t="n">
        <v>0</v>
      </c>
      <c r="S2525" t="n">
        <v>0</v>
      </c>
      <c r="T2525" t="n">
        <v>0</v>
      </c>
      <c r="U2525" t="n">
        <v>0</v>
      </c>
      <c r="V2525" s="2" t="inlineStr"/>
    </row>
    <row r="2526" ht="15" customHeight="1">
      <c r="A2526" t="inlineStr">
        <is>
          <t>A 39865-2022</t>
        </is>
      </c>
      <c r="B2526" t="inlineStr">
        <is>
          <t>avverkningsanmälan</t>
        </is>
      </c>
      <c r="C2526" t="inlineStr">
        <is>
          <t>Föryngringsavverkning</t>
        </is>
      </c>
      <c r="D2526" s="1" t="n">
        <v>44819</v>
      </c>
      <c r="E2526" s="1" t="n">
        <v>46309</v>
      </c>
      <c r="F2526" t="inlineStr">
        <is>
          <t>UPPSALA LÄN</t>
        </is>
      </c>
      <c r="G2526" t="inlineStr">
        <is>
          <t>UPPSALA</t>
        </is>
      </c>
      <c r="I2526" t="n">
        <v>2.5</v>
      </c>
      <c r="J2526" t="n">
        <v>0</v>
      </c>
      <c r="K2526" t="n">
        <v>0</v>
      </c>
      <c r="L2526" t="n">
        <v>0</v>
      </c>
      <c r="M2526" t="n">
        <v>0</v>
      </c>
      <c r="N2526" t="n">
        <v>0</v>
      </c>
      <c r="O2526" t="n">
        <v>0</v>
      </c>
      <c r="P2526" t="n">
        <v>0</v>
      </c>
      <c r="Q2526" t="n">
        <v>0</v>
      </c>
      <c r="R2526" t="n">
        <v>0</v>
      </c>
      <c r="S2526" t="n">
        <v>0</v>
      </c>
      <c r="T2526" t="n">
        <v>0</v>
      </c>
      <c r="U2526" t="n">
        <v>0</v>
      </c>
      <c r="V2526" s="2" t="inlineStr"/>
    </row>
    <row r="2527" ht="15" customHeight="1">
      <c r="A2527" t="inlineStr">
        <is>
          <t>A 19718-2023</t>
        </is>
      </c>
      <c r="B2527" t="inlineStr">
        <is>
          <t>avverkningsanmälan</t>
        </is>
      </c>
      <c r="C2527" t="inlineStr">
        <is>
          <t>Avverkning för att bevara och utveckla /försöksver</t>
        </is>
      </c>
      <c r="D2527" s="1" t="n">
        <v>45050</v>
      </c>
      <c r="E2527" s="1" t="n">
        <v>46309</v>
      </c>
      <c r="F2527" t="inlineStr">
        <is>
          <t>UPPSALA LÄN</t>
        </is>
      </c>
      <c r="G2527" t="inlineStr">
        <is>
          <t>HEBY</t>
        </is>
      </c>
      <c r="H2527" t="inlineStr">
        <is>
          <t>Bergvik skog väst AB</t>
        </is>
      </c>
      <c r="I2527" t="n">
        <v>2.4</v>
      </c>
      <c r="J2527" t="n">
        <v>0</v>
      </c>
      <c r="K2527" t="n">
        <v>0</v>
      </c>
      <c r="L2527" t="n">
        <v>0</v>
      </c>
      <c r="M2527" t="n">
        <v>0</v>
      </c>
      <c r="N2527" t="n">
        <v>0</v>
      </c>
      <c r="O2527" t="n">
        <v>0</v>
      </c>
      <c r="P2527" t="n">
        <v>0</v>
      </c>
      <c r="Q2527" t="n">
        <v>0</v>
      </c>
      <c r="R2527" t="n">
        <v>0</v>
      </c>
      <c r="S2527" t="n">
        <v>0</v>
      </c>
      <c r="T2527" t="n">
        <v>0</v>
      </c>
      <c r="U2527" t="n">
        <v>0</v>
      </c>
      <c r="V2527" s="2" t="inlineStr"/>
    </row>
    <row r="2528" ht="15" customHeight="1">
      <c r="A2528" t="inlineStr">
        <is>
          <t>A 8181-2022</t>
        </is>
      </c>
      <c r="B2528" t="inlineStr">
        <is>
          <t>avverkningsanmälan</t>
        </is>
      </c>
      <c r="C2528" t="inlineStr">
        <is>
          <t>Föryngringsavverkning</t>
        </is>
      </c>
      <c r="D2528" s="1" t="n">
        <v>44609</v>
      </c>
      <c r="E2528" s="1" t="n">
        <v>46309</v>
      </c>
      <c r="F2528" t="inlineStr">
        <is>
          <t>UPPSALA LÄN</t>
        </is>
      </c>
      <c r="G2528" t="inlineStr">
        <is>
          <t>HEBY</t>
        </is>
      </c>
      <c r="I2528" t="n">
        <v>6.5</v>
      </c>
      <c r="J2528" t="n">
        <v>0</v>
      </c>
      <c r="K2528" t="n">
        <v>0</v>
      </c>
      <c r="L2528" t="n">
        <v>0</v>
      </c>
      <c r="M2528" t="n">
        <v>0</v>
      </c>
      <c r="N2528" t="n">
        <v>0</v>
      </c>
      <c r="O2528" t="n">
        <v>0</v>
      </c>
      <c r="P2528" t="n">
        <v>0</v>
      </c>
      <c r="Q2528" t="n">
        <v>0</v>
      </c>
      <c r="R2528" t="n">
        <v>0</v>
      </c>
      <c r="S2528" t="n">
        <v>0</v>
      </c>
      <c r="T2528" t="n">
        <v>0</v>
      </c>
      <c r="U2528" t="n">
        <v>0</v>
      </c>
      <c r="V2528" s="2" t="inlineStr"/>
    </row>
    <row r="2529" ht="15" customHeight="1">
      <c r="A2529" t="inlineStr">
        <is>
          <t>A 12449-2022</t>
        </is>
      </c>
      <c r="B2529" t="inlineStr">
        <is>
          <t>avverkningsanmälan</t>
        </is>
      </c>
      <c r="C2529" t="inlineStr">
        <is>
          <t>Föryngringsavverkning</t>
        </is>
      </c>
      <c r="D2529" s="1" t="n">
        <v>44638</v>
      </c>
      <c r="E2529" s="1" t="n">
        <v>46309</v>
      </c>
      <c r="F2529" t="inlineStr">
        <is>
          <t>UPPSALA LÄN</t>
        </is>
      </c>
      <c r="G2529" t="inlineStr">
        <is>
          <t>TIERP</t>
        </is>
      </c>
      <c r="I2529" t="n">
        <v>1.5</v>
      </c>
      <c r="J2529" t="n">
        <v>0</v>
      </c>
      <c r="K2529" t="n">
        <v>0</v>
      </c>
      <c r="L2529" t="n">
        <v>0</v>
      </c>
      <c r="M2529" t="n">
        <v>0</v>
      </c>
      <c r="N2529" t="n">
        <v>0</v>
      </c>
      <c r="O2529" t="n">
        <v>0</v>
      </c>
      <c r="P2529" t="n">
        <v>0</v>
      </c>
      <c r="Q2529" t="n">
        <v>0</v>
      </c>
      <c r="R2529" t="n">
        <v>0</v>
      </c>
      <c r="S2529" t="n">
        <v>0</v>
      </c>
      <c r="T2529" t="n">
        <v>0</v>
      </c>
      <c r="U2529" t="n">
        <v>0</v>
      </c>
      <c r="V2529" s="2" t="inlineStr"/>
    </row>
    <row r="2530" ht="15" customHeight="1">
      <c r="A2530" t="inlineStr">
        <is>
          <t>A 20750-2023</t>
        </is>
      </c>
      <c r="B2530" t="inlineStr">
        <is>
          <t>avverkningsanmälan</t>
        </is>
      </c>
      <c r="C2530" t="inlineStr">
        <is>
          <t>Föryngringsavverkning</t>
        </is>
      </c>
      <c r="D2530" s="1" t="n">
        <v>45058</v>
      </c>
      <c r="E2530" s="1" t="n">
        <v>46309</v>
      </c>
      <c r="F2530" t="inlineStr">
        <is>
          <t>UPPSALA LÄN</t>
        </is>
      </c>
      <c r="G2530" t="inlineStr">
        <is>
          <t>TIERP</t>
        </is>
      </c>
      <c r="I2530" t="n">
        <v>1.1</v>
      </c>
      <c r="J2530" t="n">
        <v>0</v>
      </c>
      <c r="K2530" t="n">
        <v>0</v>
      </c>
      <c r="L2530" t="n">
        <v>0</v>
      </c>
      <c r="M2530" t="n">
        <v>0</v>
      </c>
      <c r="N2530" t="n">
        <v>0</v>
      </c>
      <c r="O2530" t="n">
        <v>0</v>
      </c>
      <c r="P2530" t="n">
        <v>0</v>
      </c>
      <c r="Q2530" t="n">
        <v>0</v>
      </c>
      <c r="R2530" t="n">
        <v>0</v>
      </c>
      <c r="S2530" t="n">
        <v>0</v>
      </c>
      <c r="T2530" t="n">
        <v>0</v>
      </c>
      <c r="U2530" t="n">
        <v>0</v>
      </c>
      <c r="V2530" s="2" t="inlineStr"/>
    </row>
    <row r="2531" ht="15" customHeight="1">
      <c r="A2531" t="inlineStr">
        <is>
          <t>A 23415-2026</t>
        </is>
      </c>
      <c r="B2531" t="inlineStr">
        <is>
          <t>avverkningsanmälan</t>
        </is>
      </c>
      <c r="C2531" t="inlineStr">
        <is>
          <t>Föryngringsavverkning</t>
        </is>
      </c>
      <c r="D2531" s="1" t="n">
        <v>46163</v>
      </c>
      <c r="E2531" s="1" t="n">
        <v>46309</v>
      </c>
      <c r="F2531" t="inlineStr">
        <is>
          <t>UPPSALA LÄN</t>
        </is>
      </c>
      <c r="G2531" t="inlineStr">
        <is>
          <t>ÖSTHAMMAR</t>
        </is>
      </c>
      <c r="I2531" t="n">
        <v>2.4</v>
      </c>
      <c r="J2531" t="n">
        <v>0</v>
      </c>
      <c r="K2531" t="n">
        <v>0</v>
      </c>
      <c r="L2531" t="n">
        <v>0</v>
      </c>
      <c r="M2531" t="n">
        <v>0</v>
      </c>
      <c r="N2531" t="n">
        <v>0</v>
      </c>
      <c r="O2531" t="n">
        <v>0</v>
      </c>
      <c r="P2531" t="n">
        <v>0</v>
      </c>
      <c r="Q2531" t="n">
        <v>0</v>
      </c>
      <c r="R2531" t="n">
        <v>0</v>
      </c>
      <c r="S2531" t="n">
        <v>0</v>
      </c>
      <c r="T2531" t="n">
        <v>0</v>
      </c>
      <c r="U2531" t="n">
        <v>0</v>
      </c>
      <c r="V2531" s="2" t="inlineStr"/>
    </row>
    <row r="2532" ht="15" customHeight="1">
      <c r="A2532" t="inlineStr">
        <is>
          <t>A 23416-2026</t>
        </is>
      </c>
      <c r="B2532" t="inlineStr">
        <is>
          <t>avverkningsanmälan</t>
        </is>
      </c>
      <c r="C2532" t="inlineStr">
        <is>
          <t>Föryngringsavverkning</t>
        </is>
      </c>
      <c r="D2532" s="1" t="n">
        <v>46163</v>
      </c>
      <c r="E2532" s="1" t="n">
        <v>46309</v>
      </c>
      <c r="F2532" t="inlineStr">
        <is>
          <t>UPPSALA LÄN</t>
        </is>
      </c>
      <c r="G2532" t="inlineStr">
        <is>
          <t>ÖSTHAMMAR</t>
        </is>
      </c>
      <c r="I2532" t="n">
        <v>7</v>
      </c>
      <c r="J2532" t="n">
        <v>0</v>
      </c>
      <c r="K2532" t="n">
        <v>0</v>
      </c>
      <c r="L2532" t="n">
        <v>0</v>
      </c>
      <c r="M2532" t="n">
        <v>0</v>
      </c>
      <c r="N2532" t="n">
        <v>0</v>
      </c>
      <c r="O2532" t="n">
        <v>0</v>
      </c>
      <c r="P2532" t="n">
        <v>0</v>
      </c>
      <c r="Q2532" t="n">
        <v>0</v>
      </c>
      <c r="R2532" t="n">
        <v>0</v>
      </c>
      <c r="S2532" t="n">
        <v>0</v>
      </c>
      <c r="T2532" t="n">
        <v>0</v>
      </c>
      <c r="U2532" t="n">
        <v>0</v>
      </c>
      <c r="V2532" s="2" t="inlineStr"/>
    </row>
    <row r="2533" ht="15" customHeight="1">
      <c r="A2533" t="inlineStr">
        <is>
          <t>A 20206-2023</t>
        </is>
      </c>
      <c r="B2533" t="inlineStr">
        <is>
          <t>avverkningsanmälan</t>
        </is>
      </c>
      <c r="C2533" t="inlineStr">
        <is>
          <t>Föryngringsavverkning</t>
        </is>
      </c>
      <c r="D2533" s="1" t="n">
        <v>45055</v>
      </c>
      <c r="E2533" s="1" t="n">
        <v>46309</v>
      </c>
      <c r="F2533" t="inlineStr">
        <is>
          <t>UPPSALA LÄN</t>
        </is>
      </c>
      <c r="G2533" t="inlineStr">
        <is>
          <t>UPPSALA</t>
        </is>
      </c>
      <c r="I2533" t="n">
        <v>5.7</v>
      </c>
      <c r="J2533" t="n">
        <v>0</v>
      </c>
      <c r="K2533" t="n">
        <v>0</v>
      </c>
      <c r="L2533" t="n">
        <v>0</v>
      </c>
      <c r="M2533" t="n">
        <v>0</v>
      </c>
      <c r="N2533" t="n">
        <v>0</v>
      </c>
      <c r="O2533" t="n">
        <v>0</v>
      </c>
      <c r="P2533" t="n">
        <v>0</v>
      </c>
      <c r="Q2533" t="n">
        <v>0</v>
      </c>
      <c r="R2533" t="n">
        <v>0</v>
      </c>
      <c r="S2533" t="n">
        <v>0</v>
      </c>
      <c r="T2533" t="n">
        <v>0</v>
      </c>
      <c r="U2533" t="n">
        <v>0</v>
      </c>
      <c r="V2533" s="2" t="inlineStr"/>
    </row>
    <row r="2534" ht="15" customHeight="1">
      <c r="A2534" t="inlineStr">
        <is>
          <t>A 23414-2026</t>
        </is>
      </c>
      <c r="B2534" t="inlineStr">
        <is>
          <t>avverkningsanmälan</t>
        </is>
      </c>
      <c r="C2534" t="inlineStr">
        <is>
          <t>Föryngringsavverkning</t>
        </is>
      </c>
      <c r="D2534" s="1" t="n">
        <v>46163</v>
      </c>
      <c r="E2534" s="1" t="n">
        <v>46309</v>
      </c>
      <c r="F2534" t="inlineStr">
        <is>
          <t>UPPSALA LÄN</t>
        </is>
      </c>
      <c r="G2534" t="inlineStr">
        <is>
          <t>ÖSTHAMMAR</t>
        </is>
      </c>
      <c r="I2534" t="n">
        <v>0.9</v>
      </c>
      <c r="J2534" t="n">
        <v>0</v>
      </c>
      <c r="K2534" t="n">
        <v>0</v>
      </c>
      <c r="L2534" t="n">
        <v>0</v>
      </c>
      <c r="M2534" t="n">
        <v>0</v>
      </c>
      <c r="N2534" t="n">
        <v>0</v>
      </c>
      <c r="O2534" t="n">
        <v>0</v>
      </c>
      <c r="P2534" t="n">
        <v>0</v>
      </c>
      <c r="Q2534" t="n">
        <v>0</v>
      </c>
      <c r="R2534" t="n">
        <v>0</v>
      </c>
      <c r="S2534" t="n">
        <v>0</v>
      </c>
      <c r="T2534" t="n">
        <v>0</v>
      </c>
      <c r="U2534" t="n">
        <v>0</v>
      </c>
      <c r="V2534" s="2" t="inlineStr"/>
    </row>
    <row r="2535" ht="15" customHeight="1">
      <c r="A2535" t="inlineStr">
        <is>
          <t>A 23301-2024</t>
        </is>
      </c>
      <c r="B2535" t="inlineStr">
        <is>
          <t>avverkningsanmälan</t>
        </is>
      </c>
      <c r="C2535" t="inlineStr">
        <is>
          <t>Föryngringsavverkning</t>
        </is>
      </c>
      <c r="D2535" s="1" t="n">
        <v>45453</v>
      </c>
      <c r="E2535" s="1" t="n">
        <v>46309</v>
      </c>
      <c r="F2535" t="inlineStr">
        <is>
          <t>UPPSALA LÄN</t>
        </is>
      </c>
      <c r="G2535" t="inlineStr">
        <is>
          <t>ENKÖPING</t>
        </is>
      </c>
      <c r="I2535" t="n">
        <v>4.3</v>
      </c>
      <c r="J2535" t="n">
        <v>0</v>
      </c>
      <c r="K2535" t="n">
        <v>0</v>
      </c>
      <c r="L2535" t="n">
        <v>0</v>
      </c>
      <c r="M2535" t="n">
        <v>0</v>
      </c>
      <c r="N2535" t="n">
        <v>0</v>
      </c>
      <c r="O2535" t="n">
        <v>0</v>
      </c>
      <c r="P2535" t="n">
        <v>0</v>
      </c>
      <c r="Q2535" t="n">
        <v>0</v>
      </c>
      <c r="R2535" t="n">
        <v>0</v>
      </c>
      <c r="S2535" t="n">
        <v>0</v>
      </c>
      <c r="T2535" t="n">
        <v>0</v>
      </c>
      <c r="U2535" t="n">
        <v>0</v>
      </c>
      <c r="V2535" s="2" t="inlineStr"/>
    </row>
    <row r="2536" ht="15" customHeight="1">
      <c r="A2536" t="inlineStr">
        <is>
          <t>A 51133-2025</t>
        </is>
      </c>
      <c r="B2536" t="inlineStr">
        <is>
          <t>avverkningsanmälan</t>
        </is>
      </c>
      <c r="C2536" t="inlineStr">
        <is>
          <t>Föryngringsavverkning</t>
        </is>
      </c>
      <c r="D2536" s="1" t="n">
        <v>45947</v>
      </c>
      <c r="E2536" s="1" t="n">
        <v>46309</v>
      </c>
      <c r="F2536" t="inlineStr">
        <is>
          <t>UPPSALA LÄN</t>
        </is>
      </c>
      <c r="G2536" t="inlineStr">
        <is>
          <t>ENKÖPING</t>
        </is>
      </c>
      <c r="I2536" t="n">
        <v>2.4</v>
      </c>
      <c r="J2536" t="n">
        <v>0</v>
      </c>
      <c r="K2536" t="n">
        <v>0</v>
      </c>
      <c r="L2536" t="n">
        <v>0</v>
      </c>
      <c r="M2536" t="n">
        <v>0</v>
      </c>
      <c r="N2536" t="n">
        <v>0</v>
      </c>
      <c r="O2536" t="n">
        <v>0</v>
      </c>
      <c r="P2536" t="n">
        <v>0</v>
      </c>
      <c r="Q2536" t="n">
        <v>0</v>
      </c>
      <c r="R2536" t="n">
        <v>0</v>
      </c>
      <c r="S2536" t="n">
        <v>0</v>
      </c>
      <c r="T2536" t="n">
        <v>0</v>
      </c>
      <c r="U2536" t="n">
        <v>0</v>
      </c>
      <c r="V2536" s="2" t="inlineStr"/>
    </row>
    <row r="2537" ht="15" customHeight="1">
      <c r="A2537" t="inlineStr">
        <is>
          <t>A 43029-2023</t>
        </is>
      </c>
      <c r="B2537" t="inlineStr">
        <is>
          <t>avverkningsanmälan</t>
        </is>
      </c>
      <c r="C2537" t="inlineStr">
        <is>
          <t>Föryngringsavverkning</t>
        </is>
      </c>
      <c r="D2537" s="1" t="n">
        <v>45182</v>
      </c>
      <c r="E2537" s="1" t="n">
        <v>46309</v>
      </c>
      <c r="F2537" t="inlineStr">
        <is>
          <t>UPPSALA LÄN</t>
        </is>
      </c>
      <c r="G2537" t="inlineStr">
        <is>
          <t>UPPSALA</t>
        </is>
      </c>
      <c r="I2537" t="n">
        <v>1.1</v>
      </c>
      <c r="J2537" t="n">
        <v>0</v>
      </c>
      <c r="K2537" t="n">
        <v>0</v>
      </c>
      <c r="L2537" t="n">
        <v>0</v>
      </c>
      <c r="M2537" t="n">
        <v>0</v>
      </c>
      <c r="N2537" t="n">
        <v>0</v>
      </c>
      <c r="O2537" t="n">
        <v>0</v>
      </c>
      <c r="P2537" t="n">
        <v>0</v>
      </c>
      <c r="Q2537" t="n">
        <v>0</v>
      </c>
      <c r="R2537" t="n">
        <v>0</v>
      </c>
      <c r="S2537" t="n">
        <v>0</v>
      </c>
      <c r="T2537" t="n">
        <v>0</v>
      </c>
      <c r="U2537" t="n">
        <v>0</v>
      </c>
      <c r="V2537" s="2" t="inlineStr"/>
    </row>
    <row r="2538" ht="15" customHeight="1">
      <c r="A2538" t="inlineStr">
        <is>
          <t>A 43031-2023</t>
        </is>
      </c>
      <c r="B2538" t="inlineStr">
        <is>
          <t>avverkningsanmälan</t>
        </is>
      </c>
      <c r="C2538" t="inlineStr">
        <is>
          <t>Föryngringsavverkning</t>
        </is>
      </c>
      <c r="D2538" s="1" t="n">
        <v>45182</v>
      </c>
      <c r="E2538" s="1" t="n">
        <v>46309</v>
      </c>
      <c r="F2538" t="inlineStr">
        <is>
          <t>UPPSALA LÄN</t>
        </is>
      </c>
      <c r="G2538" t="inlineStr">
        <is>
          <t>UPPSALA</t>
        </is>
      </c>
      <c r="I2538" t="n">
        <v>2.3</v>
      </c>
      <c r="J2538" t="n">
        <v>0</v>
      </c>
      <c r="K2538" t="n">
        <v>0</v>
      </c>
      <c r="L2538" t="n">
        <v>0</v>
      </c>
      <c r="M2538" t="n">
        <v>0</v>
      </c>
      <c r="N2538" t="n">
        <v>0</v>
      </c>
      <c r="O2538" t="n">
        <v>0</v>
      </c>
      <c r="P2538" t="n">
        <v>0</v>
      </c>
      <c r="Q2538" t="n">
        <v>0</v>
      </c>
      <c r="R2538" t="n">
        <v>0</v>
      </c>
      <c r="S2538" t="n">
        <v>0</v>
      </c>
      <c r="T2538" t="n">
        <v>0</v>
      </c>
      <c r="U2538" t="n">
        <v>0</v>
      </c>
      <c r="V2538" s="2" t="inlineStr"/>
    </row>
    <row r="2539" ht="15" customHeight="1">
      <c r="A2539" t="inlineStr">
        <is>
          <t>A 2833-2025</t>
        </is>
      </c>
      <c r="B2539" t="inlineStr">
        <is>
          <t>avverkningsanmälan</t>
        </is>
      </c>
      <c r="C2539" t="inlineStr">
        <is>
          <t>Föryngringsavverkning</t>
        </is>
      </c>
      <c r="D2539" s="1" t="n">
        <v>45677</v>
      </c>
      <c r="E2539" s="1" t="n">
        <v>46309</v>
      </c>
      <c r="F2539" t="inlineStr">
        <is>
          <t>UPPSALA LÄN</t>
        </is>
      </c>
      <c r="G2539" t="inlineStr">
        <is>
          <t>ENKÖPING</t>
        </is>
      </c>
      <c r="I2539" t="n">
        <v>0.8</v>
      </c>
      <c r="J2539" t="n">
        <v>0</v>
      </c>
      <c r="K2539" t="n">
        <v>0</v>
      </c>
      <c r="L2539" t="n">
        <v>0</v>
      </c>
      <c r="M2539" t="n">
        <v>0</v>
      </c>
      <c r="N2539" t="n">
        <v>0</v>
      </c>
      <c r="O2539" t="n">
        <v>0</v>
      </c>
      <c r="P2539" t="n">
        <v>0</v>
      </c>
      <c r="Q2539" t="n">
        <v>0</v>
      </c>
      <c r="R2539" t="n">
        <v>0</v>
      </c>
      <c r="S2539" t="n">
        <v>0</v>
      </c>
      <c r="T2539" t="n">
        <v>0</v>
      </c>
      <c r="U2539" t="n">
        <v>0</v>
      </c>
      <c r="V2539" s="2" t="inlineStr"/>
    </row>
    <row r="2540" ht="15" customHeight="1">
      <c r="A2540" t="inlineStr">
        <is>
          <t>A 24067-2026</t>
        </is>
      </c>
      <c r="B2540" t="inlineStr">
        <is>
          <t>avverkningsanmälan</t>
        </is>
      </c>
      <c r="C2540" t="inlineStr">
        <is>
          <t>Föryngringsavverkning</t>
        </is>
      </c>
      <c r="D2540" s="1" t="n">
        <v>46164</v>
      </c>
      <c r="E2540" s="1" t="n">
        <v>46309</v>
      </c>
      <c r="F2540" t="inlineStr">
        <is>
          <t>UPPSALA LÄN</t>
        </is>
      </c>
      <c r="G2540" t="inlineStr">
        <is>
          <t>HEBY</t>
        </is>
      </c>
      <c r="H2540" t="inlineStr">
        <is>
          <t>Bergvik skog väst AB</t>
        </is>
      </c>
      <c r="I2540" t="n">
        <v>35.2</v>
      </c>
      <c r="J2540" t="n">
        <v>0</v>
      </c>
      <c r="K2540" t="n">
        <v>0</v>
      </c>
      <c r="L2540" t="n">
        <v>0</v>
      </c>
      <c r="M2540" t="n">
        <v>0</v>
      </c>
      <c r="N2540" t="n">
        <v>0</v>
      </c>
      <c r="O2540" t="n">
        <v>0</v>
      </c>
      <c r="P2540" t="n">
        <v>0</v>
      </c>
      <c r="Q2540" t="n">
        <v>0</v>
      </c>
      <c r="R2540" t="n">
        <v>0</v>
      </c>
      <c r="S2540" t="n">
        <v>0</v>
      </c>
      <c r="T2540" t="n">
        <v>0</v>
      </c>
      <c r="U2540" t="n">
        <v>0</v>
      </c>
      <c r="V2540" s="2" t="inlineStr"/>
    </row>
    <row r="2541" ht="15" customHeight="1">
      <c r="A2541" t="inlineStr">
        <is>
          <t>A 21522-2022</t>
        </is>
      </c>
      <c r="B2541" t="inlineStr">
        <is>
          <t>avverkningsanmälan</t>
        </is>
      </c>
      <c r="C2541" t="inlineStr">
        <is>
          <t>Föryngringsavverkning</t>
        </is>
      </c>
      <c r="D2541" s="1" t="n">
        <v>44706</v>
      </c>
      <c r="E2541" s="1" t="n">
        <v>46309</v>
      </c>
      <c r="F2541" t="inlineStr">
        <is>
          <t>UPPSALA LÄN</t>
        </is>
      </c>
      <c r="G2541" t="inlineStr">
        <is>
          <t>ÖSTHAMMAR</t>
        </is>
      </c>
      <c r="I2541" t="n">
        <v>1.8</v>
      </c>
      <c r="J2541" t="n">
        <v>0</v>
      </c>
      <c r="K2541" t="n">
        <v>0</v>
      </c>
      <c r="L2541" t="n">
        <v>0</v>
      </c>
      <c r="M2541" t="n">
        <v>0</v>
      </c>
      <c r="N2541" t="n">
        <v>0</v>
      </c>
      <c r="O2541" t="n">
        <v>0</v>
      </c>
      <c r="P2541" t="n">
        <v>0</v>
      </c>
      <c r="Q2541" t="n">
        <v>0</v>
      </c>
      <c r="R2541" t="n">
        <v>0</v>
      </c>
      <c r="S2541" t="n">
        <v>0</v>
      </c>
      <c r="T2541" t="n">
        <v>0</v>
      </c>
      <c r="U2541" t="n">
        <v>0</v>
      </c>
      <c r="V2541" s="2" t="inlineStr"/>
    </row>
    <row r="2542" ht="15" customHeight="1">
      <c r="A2542" t="inlineStr">
        <is>
          <t>A 26762-2023</t>
        </is>
      </c>
      <c r="B2542" t="inlineStr">
        <is>
          <t>avverkningsanmälan</t>
        </is>
      </c>
      <c r="C2542" t="inlineStr">
        <is>
          <t>Föryngringsavverkning</t>
        </is>
      </c>
      <c r="D2542" s="1" t="n">
        <v>45093</v>
      </c>
      <c r="E2542" s="1" t="n">
        <v>46309</v>
      </c>
      <c r="F2542" t="inlineStr">
        <is>
          <t>UPPSALA LÄN</t>
        </is>
      </c>
      <c r="G2542" t="inlineStr">
        <is>
          <t>UPPSALA</t>
        </is>
      </c>
      <c r="H2542" t="inlineStr">
        <is>
          <t>Sveaskog</t>
        </is>
      </c>
      <c r="I2542" t="n">
        <v>0.8</v>
      </c>
      <c r="J2542" t="n">
        <v>0</v>
      </c>
      <c r="K2542" t="n">
        <v>0</v>
      </c>
      <c r="L2542" t="n">
        <v>0</v>
      </c>
      <c r="M2542" t="n">
        <v>0</v>
      </c>
      <c r="N2542" t="n">
        <v>0</v>
      </c>
      <c r="O2542" t="n">
        <v>0</v>
      </c>
      <c r="P2542" t="n">
        <v>0</v>
      </c>
      <c r="Q2542" t="n">
        <v>0</v>
      </c>
      <c r="R2542" t="n">
        <v>0</v>
      </c>
      <c r="S2542" t="n">
        <v>0</v>
      </c>
      <c r="T2542" t="n">
        <v>0</v>
      </c>
      <c r="U2542" t="n">
        <v>0</v>
      </c>
      <c r="V2542" s="2" t="inlineStr"/>
    </row>
    <row r="2543" ht="15" customHeight="1">
      <c r="A2543" t="inlineStr">
        <is>
          <t>A 14187-2022</t>
        </is>
      </c>
      <c r="B2543" t="inlineStr">
        <is>
          <t>avverkningsanmälan</t>
        </is>
      </c>
      <c r="C2543" t="inlineStr">
        <is>
          <t>Föryngringsavverkning</t>
        </is>
      </c>
      <c r="D2543" s="1" t="n">
        <v>44651</v>
      </c>
      <c r="E2543" s="1" t="n">
        <v>46309</v>
      </c>
      <c r="F2543" t="inlineStr">
        <is>
          <t>UPPSALA LÄN</t>
        </is>
      </c>
      <c r="G2543" t="inlineStr">
        <is>
          <t>ÖSTHAMMAR</t>
        </is>
      </c>
      <c r="H2543" t="inlineStr">
        <is>
          <t>Övriga Aktiebolag</t>
        </is>
      </c>
      <c r="I2543" t="n">
        <v>14.1</v>
      </c>
      <c r="J2543" t="n">
        <v>0</v>
      </c>
      <c r="K2543" t="n">
        <v>0</v>
      </c>
      <c r="L2543" t="n">
        <v>0</v>
      </c>
      <c r="M2543" t="n">
        <v>0</v>
      </c>
      <c r="N2543" t="n">
        <v>0</v>
      </c>
      <c r="O2543" t="n">
        <v>0</v>
      </c>
      <c r="P2543" t="n">
        <v>0</v>
      </c>
      <c r="Q2543" t="n">
        <v>0</v>
      </c>
      <c r="R2543" t="n">
        <v>0</v>
      </c>
      <c r="S2543" t="n">
        <v>0</v>
      </c>
      <c r="T2543" t="n">
        <v>0</v>
      </c>
      <c r="U2543" t="n">
        <v>0</v>
      </c>
      <c r="V2543" s="2" t="inlineStr"/>
    </row>
    <row r="2544" ht="15" customHeight="1">
      <c r="A2544" t="inlineStr">
        <is>
          <t>A 52380-2023</t>
        </is>
      </c>
      <c r="B2544" t="inlineStr">
        <is>
          <t>avverkningsanmälan</t>
        </is>
      </c>
      <c r="C2544" t="inlineStr">
        <is>
          <t>Föryngringsavverkning</t>
        </is>
      </c>
      <c r="D2544" s="1" t="n">
        <v>45224</v>
      </c>
      <c r="E2544" s="1" t="n">
        <v>46309</v>
      </c>
      <c r="F2544" t="inlineStr">
        <is>
          <t>UPPSALA LÄN</t>
        </is>
      </c>
      <c r="G2544" t="inlineStr">
        <is>
          <t>TIERP</t>
        </is>
      </c>
      <c r="I2544" t="n">
        <v>1.5</v>
      </c>
      <c r="J2544" t="n">
        <v>0</v>
      </c>
      <c r="K2544" t="n">
        <v>0</v>
      </c>
      <c r="L2544" t="n">
        <v>0</v>
      </c>
      <c r="M2544" t="n">
        <v>0</v>
      </c>
      <c r="N2544" t="n">
        <v>0</v>
      </c>
      <c r="O2544" t="n">
        <v>0</v>
      </c>
      <c r="P2544" t="n">
        <v>0</v>
      </c>
      <c r="Q2544" t="n">
        <v>0</v>
      </c>
      <c r="R2544" t="n">
        <v>0</v>
      </c>
      <c r="S2544" t="n">
        <v>0</v>
      </c>
      <c r="T2544" t="n">
        <v>0</v>
      </c>
      <c r="U2544" t="n">
        <v>0</v>
      </c>
      <c r="V2544" s="2" t="inlineStr"/>
    </row>
    <row r="2545" ht="15" customHeight="1">
      <c r="A2545" t="inlineStr">
        <is>
          <t>A 7997-2022</t>
        </is>
      </c>
      <c r="B2545" t="inlineStr">
        <is>
          <t>avverkningsanmälan</t>
        </is>
      </c>
      <c r="C2545" t="inlineStr">
        <is>
          <t>Föryngringsavverkning</t>
        </is>
      </c>
      <c r="D2545" s="1" t="n">
        <v>44609</v>
      </c>
      <c r="E2545" s="1" t="n">
        <v>46309</v>
      </c>
      <c r="F2545" t="inlineStr">
        <is>
          <t>UPPSALA LÄN</t>
        </is>
      </c>
      <c r="G2545" t="inlineStr">
        <is>
          <t>ÖSTHAMMAR</t>
        </is>
      </c>
      <c r="I2545" t="n">
        <v>1.8</v>
      </c>
      <c r="J2545" t="n">
        <v>0</v>
      </c>
      <c r="K2545" t="n">
        <v>0</v>
      </c>
      <c r="L2545" t="n">
        <v>0</v>
      </c>
      <c r="M2545" t="n">
        <v>0</v>
      </c>
      <c r="N2545" t="n">
        <v>0</v>
      </c>
      <c r="O2545" t="n">
        <v>0</v>
      </c>
      <c r="P2545" t="n">
        <v>0</v>
      </c>
      <c r="Q2545" t="n">
        <v>0</v>
      </c>
      <c r="R2545" t="n">
        <v>0</v>
      </c>
      <c r="S2545" t="n">
        <v>0</v>
      </c>
      <c r="T2545" t="n">
        <v>0</v>
      </c>
      <c r="U2545" t="n">
        <v>0</v>
      </c>
      <c r="V2545" s="2" t="inlineStr"/>
    </row>
    <row r="2546" ht="15" customHeight="1">
      <c r="A2546" t="inlineStr">
        <is>
          <t>A 4676-2025</t>
        </is>
      </c>
      <c r="B2546" t="inlineStr">
        <is>
          <t>avverkningsanmälan</t>
        </is>
      </c>
      <c r="C2546" t="inlineStr">
        <is>
          <t>Föryngringsavverkning</t>
        </is>
      </c>
      <c r="D2546" s="1" t="n">
        <v>45687</v>
      </c>
      <c r="E2546" s="1" t="n">
        <v>46309</v>
      </c>
      <c r="F2546" t="inlineStr">
        <is>
          <t>UPPSALA LÄN</t>
        </is>
      </c>
      <c r="G2546" t="inlineStr">
        <is>
          <t>ÖSTHAMMAR</t>
        </is>
      </c>
      <c r="I2546" t="n">
        <v>3.7</v>
      </c>
      <c r="J2546" t="n">
        <v>0</v>
      </c>
      <c r="K2546" t="n">
        <v>0</v>
      </c>
      <c r="L2546" t="n">
        <v>0</v>
      </c>
      <c r="M2546" t="n">
        <v>0</v>
      </c>
      <c r="N2546" t="n">
        <v>0</v>
      </c>
      <c r="O2546" t="n">
        <v>0</v>
      </c>
      <c r="P2546" t="n">
        <v>0</v>
      </c>
      <c r="Q2546" t="n">
        <v>0</v>
      </c>
      <c r="R2546" t="n">
        <v>0</v>
      </c>
      <c r="S2546" t="n">
        <v>0</v>
      </c>
      <c r="T2546" t="n">
        <v>0</v>
      </c>
      <c r="U2546" t="n">
        <v>0</v>
      </c>
      <c r="V2546" s="2" t="inlineStr"/>
    </row>
    <row r="2547" ht="15" customHeight="1">
      <c r="A2547" t="inlineStr">
        <is>
          <t>A 51756-2023</t>
        </is>
      </c>
      <c r="B2547" t="inlineStr">
        <is>
          <t>avverkningsanmälan</t>
        </is>
      </c>
      <c r="C2547" t="inlineStr">
        <is>
          <t>Föryngringsavverkning</t>
        </is>
      </c>
      <c r="D2547" s="1" t="n">
        <v>45222</v>
      </c>
      <c r="E2547" s="1" t="n">
        <v>46309</v>
      </c>
      <c r="F2547" t="inlineStr">
        <is>
          <t>UPPSALA LÄN</t>
        </is>
      </c>
      <c r="G2547" t="inlineStr">
        <is>
          <t>TIERP</t>
        </is>
      </c>
      <c r="I2547" t="n">
        <v>0.3</v>
      </c>
      <c r="J2547" t="n">
        <v>0</v>
      </c>
      <c r="K2547" t="n">
        <v>0</v>
      </c>
      <c r="L2547" t="n">
        <v>0</v>
      </c>
      <c r="M2547" t="n">
        <v>0</v>
      </c>
      <c r="N2547" t="n">
        <v>0</v>
      </c>
      <c r="O2547" t="n">
        <v>0</v>
      </c>
      <c r="P2547" t="n">
        <v>0</v>
      </c>
      <c r="Q2547" t="n">
        <v>0</v>
      </c>
      <c r="R2547" t="n">
        <v>0</v>
      </c>
      <c r="S2547" t="n">
        <v>0</v>
      </c>
      <c r="T2547" t="n">
        <v>0</v>
      </c>
      <c r="U2547" t="n">
        <v>0</v>
      </c>
      <c r="V2547" s="2" t="inlineStr"/>
    </row>
    <row r="2548" ht="15" customHeight="1">
      <c r="A2548" t="inlineStr">
        <is>
          <t>A 23490-2026</t>
        </is>
      </c>
      <c r="B2548" t="inlineStr">
        <is>
          <t>avverkningsanmälan</t>
        </is>
      </c>
      <c r="C2548" t="inlineStr">
        <is>
          <t>Föryngringsavverkning</t>
        </is>
      </c>
      <c r="D2548" s="1" t="n">
        <v>46163</v>
      </c>
      <c r="E2548" s="1" t="n">
        <v>46309</v>
      </c>
      <c r="F2548" t="inlineStr">
        <is>
          <t>UPPSALA LÄN</t>
        </is>
      </c>
      <c r="G2548" t="inlineStr">
        <is>
          <t>HEBY</t>
        </is>
      </c>
      <c r="I2548" t="n">
        <v>2.1</v>
      </c>
      <c r="J2548" t="n">
        <v>0</v>
      </c>
      <c r="K2548" t="n">
        <v>0</v>
      </c>
      <c r="L2548" t="n">
        <v>0</v>
      </c>
      <c r="M2548" t="n">
        <v>0</v>
      </c>
      <c r="N2548" t="n">
        <v>0</v>
      </c>
      <c r="O2548" t="n">
        <v>0</v>
      </c>
      <c r="P2548" t="n">
        <v>0</v>
      </c>
      <c r="Q2548" t="n">
        <v>0</v>
      </c>
      <c r="R2548" t="n">
        <v>0</v>
      </c>
      <c r="S2548" t="n">
        <v>0</v>
      </c>
      <c r="T2548" t="n">
        <v>0</v>
      </c>
      <c r="U2548" t="n">
        <v>0</v>
      </c>
      <c r="V2548" s="2" t="inlineStr"/>
    </row>
    <row r="2549" ht="15" customHeight="1">
      <c r="A2549" t="inlineStr">
        <is>
          <t>A 23614-2026</t>
        </is>
      </c>
      <c r="B2549" t="inlineStr">
        <is>
          <t>avverkningsanmälan</t>
        </is>
      </c>
      <c r="C2549" t="inlineStr">
        <is>
          <t>Föryngringsavverkning</t>
        </is>
      </c>
      <c r="D2549" s="1" t="n">
        <v>46163</v>
      </c>
      <c r="E2549" s="1" t="n">
        <v>46309</v>
      </c>
      <c r="F2549" t="inlineStr">
        <is>
          <t>UPPSALA LÄN</t>
        </is>
      </c>
      <c r="G2549" t="inlineStr">
        <is>
          <t>UPPSALA</t>
        </is>
      </c>
      <c r="I2549" t="n">
        <v>0.9</v>
      </c>
      <c r="J2549" t="n">
        <v>0</v>
      </c>
      <c r="K2549" t="n">
        <v>0</v>
      </c>
      <c r="L2549" t="n">
        <v>0</v>
      </c>
      <c r="M2549" t="n">
        <v>0</v>
      </c>
      <c r="N2549" t="n">
        <v>0</v>
      </c>
      <c r="O2549" t="n">
        <v>0</v>
      </c>
      <c r="P2549" t="n">
        <v>0</v>
      </c>
      <c r="Q2549" t="n">
        <v>0</v>
      </c>
      <c r="R2549" t="n">
        <v>0</v>
      </c>
      <c r="S2549" t="n">
        <v>0</v>
      </c>
      <c r="T2549" t="n">
        <v>0</v>
      </c>
      <c r="U2549" t="n">
        <v>0</v>
      </c>
      <c r="V2549" s="2" t="inlineStr"/>
    </row>
    <row r="2550" ht="15" customHeight="1">
      <c r="A2550" t="inlineStr">
        <is>
          <t>A 56837-2024</t>
        </is>
      </c>
      <c r="B2550" t="inlineStr">
        <is>
          <t>avverkningsanmälan</t>
        </is>
      </c>
      <c r="C2550" t="inlineStr">
        <is>
          <t>Föryngringsavverkning</t>
        </is>
      </c>
      <c r="D2550" s="1" t="n">
        <v>45628</v>
      </c>
      <c r="E2550" s="1" t="n">
        <v>46309</v>
      </c>
      <c r="F2550" t="inlineStr">
        <is>
          <t>UPPSALA LÄN</t>
        </is>
      </c>
      <c r="G2550" t="inlineStr">
        <is>
          <t>ENKÖPING</t>
        </is>
      </c>
      <c r="I2550" t="n">
        <v>2.2</v>
      </c>
      <c r="J2550" t="n">
        <v>0</v>
      </c>
      <c r="K2550" t="n">
        <v>0</v>
      </c>
      <c r="L2550" t="n">
        <v>0</v>
      </c>
      <c r="M2550" t="n">
        <v>0</v>
      </c>
      <c r="N2550" t="n">
        <v>0</v>
      </c>
      <c r="O2550" t="n">
        <v>0</v>
      </c>
      <c r="P2550" t="n">
        <v>0</v>
      </c>
      <c r="Q2550" t="n">
        <v>0</v>
      </c>
      <c r="R2550" t="n">
        <v>0</v>
      </c>
      <c r="S2550" t="n">
        <v>0</v>
      </c>
      <c r="T2550" t="n">
        <v>0</v>
      </c>
      <c r="U2550" t="n">
        <v>0</v>
      </c>
      <c r="V2550" s="2" t="inlineStr"/>
    </row>
    <row r="2551" ht="15" customHeight="1">
      <c r="A2551" t="inlineStr">
        <is>
          <t>A 16434-2024</t>
        </is>
      </c>
      <c r="B2551" t="inlineStr">
        <is>
          <t>avverkningsanmälan</t>
        </is>
      </c>
      <c r="C2551" t="inlineStr">
        <is>
          <t>Föryngringsavverkning</t>
        </is>
      </c>
      <c r="D2551" s="1" t="n">
        <v>45407</v>
      </c>
      <c r="E2551" s="1" t="n">
        <v>46309</v>
      </c>
      <c r="F2551" t="inlineStr">
        <is>
          <t>UPPSALA LÄN</t>
        </is>
      </c>
      <c r="G2551" t="inlineStr">
        <is>
          <t>UPPSALA</t>
        </is>
      </c>
      <c r="I2551" t="n">
        <v>1.7</v>
      </c>
      <c r="J2551" t="n">
        <v>0</v>
      </c>
      <c r="K2551" t="n">
        <v>0</v>
      </c>
      <c r="L2551" t="n">
        <v>0</v>
      </c>
      <c r="M2551" t="n">
        <v>0</v>
      </c>
      <c r="N2551" t="n">
        <v>0</v>
      </c>
      <c r="O2551" t="n">
        <v>0</v>
      </c>
      <c r="P2551" t="n">
        <v>0</v>
      </c>
      <c r="Q2551" t="n">
        <v>0</v>
      </c>
      <c r="R2551" t="n">
        <v>0</v>
      </c>
      <c r="S2551" t="n">
        <v>0</v>
      </c>
      <c r="T2551" t="n">
        <v>0</v>
      </c>
      <c r="U2551" t="n">
        <v>0</v>
      </c>
      <c r="V2551" s="2" t="inlineStr"/>
    </row>
    <row r="2552" ht="15" customHeight="1">
      <c r="A2552" t="inlineStr">
        <is>
          <t>A 44080-2023</t>
        </is>
      </c>
      <c r="B2552" t="inlineStr">
        <is>
          <t>avverkningsanmälan</t>
        </is>
      </c>
      <c r="C2552" t="inlineStr">
        <is>
          <t>Föryngringsavverkning</t>
        </is>
      </c>
      <c r="D2552" s="1" t="n">
        <v>45188</v>
      </c>
      <c r="E2552" s="1" t="n">
        <v>46309</v>
      </c>
      <c r="F2552" t="inlineStr">
        <is>
          <t>UPPSALA LÄN</t>
        </is>
      </c>
      <c r="G2552" t="inlineStr">
        <is>
          <t>UPPSALA</t>
        </is>
      </c>
      <c r="I2552" t="n">
        <v>13.3</v>
      </c>
      <c r="J2552" t="n">
        <v>0</v>
      </c>
      <c r="K2552" t="n">
        <v>0</v>
      </c>
      <c r="L2552" t="n">
        <v>0</v>
      </c>
      <c r="M2552" t="n">
        <v>0</v>
      </c>
      <c r="N2552" t="n">
        <v>0</v>
      </c>
      <c r="O2552" t="n">
        <v>0</v>
      </c>
      <c r="P2552" t="n">
        <v>0</v>
      </c>
      <c r="Q2552" t="n">
        <v>0</v>
      </c>
      <c r="R2552" t="n">
        <v>0</v>
      </c>
      <c r="S2552" t="n">
        <v>0</v>
      </c>
      <c r="T2552" t="n">
        <v>0</v>
      </c>
      <c r="U2552" t="n">
        <v>0</v>
      </c>
      <c r="V2552" s="2" t="inlineStr"/>
    </row>
    <row r="2553" ht="15" customHeight="1">
      <c r="A2553" t="inlineStr">
        <is>
          <t>A 22901-2023</t>
        </is>
      </c>
      <c r="B2553" t="inlineStr">
        <is>
          <t>avverkningsanmälan</t>
        </is>
      </c>
      <c r="C2553" t="inlineStr">
        <is>
          <t>Avverkning för annat ändamål</t>
        </is>
      </c>
      <c r="D2553" s="1" t="n">
        <v>45072</v>
      </c>
      <c r="E2553" s="1" t="n">
        <v>46309</v>
      </c>
      <c r="F2553" t="inlineStr">
        <is>
          <t>UPPSALA LÄN</t>
        </is>
      </c>
      <c r="G2553" t="inlineStr">
        <is>
          <t>TIERP</t>
        </is>
      </c>
      <c r="I2553" t="n">
        <v>0.2</v>
      </c>
      <c r="J2553" t="n">
        <v>0</v>
      </c>
      <c r="K2553" t="n">
        <v>0</v>
      </c>
      <c r="L2553" t="n">
        <v>0</v>
      </c>
      <c r="M2553" t="n">
        <v>0</v>
      </c>
      <c r="N2553" t="n">
        <v>0</v>
      </c>
      <c r="O2553" t="n">
        <v>0</v>
      </c>
      <c r="P2553" t="n">
        <v>0</v>
      </c>
      <c r="Q2553" t="n">
        <v>0</v>
      </c>
      <c r="R2553" t="n">
        <v>0</v>
      </c>
      <c r="S2553" t="n">
        <v>0</v>
      </c>
      <c r="T2553" t="n">
        <v>0</v>
      </c>
      <c r="U2553" t="n">
        <v>0</v>
      </c>
      <c r="V2553" s="2" t="inlineStr"/>
    </row>
    <row r="2554" ht="15" customHeight="1">
      <c r="A2554" t="inlineStr">
        <is>
          <t>A 55837-2023</t>
        </is>
      </c>
      <c r="B2554" t="inlineStr">
        <is>
          <t>avverkningsanmälan</t>
        </is>
      </c>
      <c r="C2554" t="inlineStr">
        <is>
          <t>Föryngringsavverkning</t>
        </is>
      </c>
      <c r="D2554" s="1" t="n">
        <v>45239</v>
      </c>
      <c r="E2554" s="1" t="n">
        <v>46309</v>
      </c>
      <c r="F2554" t="inlineStr">
        <is>
          <t>UPPSALA LÄN</t>
        </is>
      </c>
      <c r="G2554" t="inlineStr">
        <is>
          <t>ÖSTHAMMAR</t>
        </is>
      </c>
      <c r="I2554" t="n">
        <v>0.5</v>
      </c>
      <c r="J2554" t="n">
        <v>0</v>
      </c>
      <c r="K2554" t="n">
        <v>0</v>
      </c>
      <c r="L2554" t="n">
        <v>0</v>
      </c>
      <c r="M2554" t="n">
        <v>0</v>
      </c>
      <c r="N2554" t="n">
        <v>0</v>
      </c>
      <c r="O2554" t="n">
        <v>0</v>
      </c>
      <c r="P2554" t="n">
        <v>0</v>
      </c>
      <c r="Q2554" t="n">
        <v>0</v>
      </c>
      <c r="R2554" t="n">
        <v>0</v>
      </c>
      <c r="S2554" t="n">
        <v>0</v>
      </c>
      <c r="T2554" t="n">
        <v>0</v>
      </c>
      <c r="U2554" t="n">
        <v>0</v>
      </c>
      <c r="V2554" s="2" t="inlineStr"/>
    </row>
    <row r="2555" ht="15" customHeight="1">
      <c r="A2555" t="inlineStr">
        <is>
          <t>A 5170-2022</t>
        </is>
      </c>
      <c r="B2555" t="inlineStr">
        <is>
          <t>avverkningsanmälan</t>
        </is>
      </c>
      <c r="C2555" t="inlineStr">
        <is>
          <t>Föryngringsavverkning</t>
        </is>
      </c>
      <c r="D2555" s="1" t="n">
        <v>44594</v>
      </c>
      <c r="E2555" s="1" t="n">
        <v>46309</v>
      </c>
      <c r="F2555" t="inlineStr">
        <is>
          <t>UPPSALA LÄN</t>
        </is>
      </c>
      <c r="G2555" t="inlineStr">
        <is>
          <t>TIERP</t>
        </is>
      </c>
      <c r="H2555" t="inlineStr">
        <is>
          <t>Bergvik skog öst AB</t>
        </is>
      </c>
      <c r="I2555" t="n">
        <v>3.5</v>
      </c>
      <c r="J2555" t="n">
        <v>0</v>
      </c>
      <c r="K2555" t="n">
        <v>0</v>
      </c>
      <c r="L2555" t="n">
        <v>0</v>
      </c>
      <c r="M2555" t="n">
        <v>0</v>
      </c>
      <c r="N2555" t="n">
        <v>0</v>
      </c>
      <c r="O2555" t="n">
        <v>0</v>
      </c>
      <c r="P2555" t="n">
        <v>0</v>
      </c>
      <c r="Q2555" t="n">
        <v>0</v>
      </c>
      <c r="R2555" t="n">
        <v>0</v>
      </c>
      <c r="S2555" t="n">
        <v>0</v>
      </c>
      <c r="T2555" t="n">
        <v>0</v>
      </c>
      <c r="U2555" t="n">
        <v>0</v>
      </c>
      <c r="V2555" s="2" t="inlineStr"/>
    </row>
    <row r="2556" ht="15" customHeight="1">
      <c r="A2556" t="inlineStr">
        <is>
          <t>A 53963-2023</t>
        </is>
      </c>
      <c r="B2556" t="inlineStr">
        <is>
          <t>avverkningsanmälan</t>
        </is>
      </c>
      <c r="C2556" t="inlineStr">
        <is>
          <t>Föryngringsavverkning</t>
        </is>
      </c>
      <c r="D2556" s="1" t="n">
        <v>45231</v>
      </c>
      <c r="E2556" s="1" t="n">
        <v>46309</v>
      </c>
      <c r="F2556" t="inlineStr">
        <is>
          <t>UPPSALA LÄN</t>
        </is>
      </c>
      <c r="G2556" t="inlineStr">
        <is>
          <t>UPPSALA</t>
        </is>
      </c>
      <c r="I2556" t="n">
        <v>1.9</v>
      </c>
      <c r="J2556" t="n">
        <v>0</v>
      </c>
      <c r="K2556" t="n">
        <v>0</v>
      </c>
      <c r="L2556" t="n">
        <v>0</v>
      </c>
      <c r="M2556" t="n">
        <v>0</v>
      </c>
      <c r="N2556" t="n">
        <v>0</v>
      </c>
      <c r="O2556" t="n">
        <v>0</v>
      </c>
      <c r="P2556" t="n">
        <v>0</v>
      </c>
      <c r="Q2556" t="n">
        <v>0</v>
      </c>
      <c r="R2556" t="n">
        <v>0</v>
      </c>
      <c r="S2556" t="n">
        <v>0</v>
      </c>
      <c r="T2556" t="n">
        <v>0</v>
      </c>
      <c r="U2556" t="n">
        <v>0</v>
      </c>
      <c r="V2556" s="2" t="inlineStr"/>
    </row>
    <row r="2557" ht="15" customHeight="1">
      <c r="A2557" t="inlineStr">
        <is>
          <t>A 23893-2026</t>
        </is>
      </c>
      <c r="B2557" t="inlineStr">
        <is>
          <t>avverkningsanmälan</t>
        </is>
      </c>
      <c r="C2557" t="inlineStr">
        <is>
          <t>Föryngringsavverkning</t>
        </is>
      </c>
      <c r="D2557" s="1" t="n">
        <v>46167</v>
      </c>
      <c r="E2557" s="1" t="n">
        <v>46309</v>
      </c>
      <c r="F2557" t="inlineStr">
        <is>
          <t>UPPSALA LÄN</t>
        </is>
      </c>
      <c r="G2557" t="inlineStr">
        <is>
          <t>UPPSALA</t>
        </is>
      </c>
      <c r="H2557" t="inlineStr">
        <is>
          <t>Holmen skog AB</t>
        </is>
      </c>
      <c r="I2557" t="n">
        <v>4.7</v>
      </c>
      <c r="J2557" t="n">
        <v>0</v>
      </c>
      <c r="K2557" t="n">
        <v>0</v>
      </c>
      <c r="L2557" t="n">
        <v>0</v>
      </c>
      <c r="M2557" t="n">
        <v>0</v>
      </c>
      <c r="N2557" t="n">
        <v>0</v>
      </c>
      <c r="O2557" t="n">
        <v>0</v>
      </c>
      <c r="P2557" t="n">
        <v>0</v>
      </c>
      <c r="Q2557" t="n">
        <v>0</v>
      </c>
      <c r="R2557" t="n">
        <v>0</v>
      </c>
      <c r="S2557" t="n">
        <v>0</v>
      </c>
      <c r="T2557" t="n">
        <v>0</v>
      </c>
      <c r="U2557" t="n">
        <v>0</v>
      </c>
      <c r="V2557" s="2" t="inlineStr"/>
    </row>
    <row r="2558" ht="15" customHeight="1">
      <c r="A2558" t="inlineStr">
        <is>
          <t>A 23978-2026</t>
        </is>
      </c>
      <c r="B2558" t="inlineStr">
        <is>
          <t>avverkningsanmälan</t>
        </is>
      </c>
      <c r="C2558" t="inlineStr">
        <is>
          <t>Föryngringsavverkning</t>
        </is>
      </c>
      <c r="D2558" s="1" t="n">
        <v>46167</v>
      </c>
      <c r="E2558" s="1" t="n">
        <v>46309</v>
      </c>
      <c r="F2558" t="inlineStr">
        <is>
          <t>UPPSALA LÄN</t>
        </is>
      </c>
      <c r="G2558" t="inlineStr">
        <is>
          <t>UPPSALA</t>
        </is>
      </c>
      <c r="I2558" t="n">
        <v>1</v>
      </c>
      <c r="J2558" t="n">
        <v>0</v>
      </c>
      <c r="K2558" t="n">
        <v>0</v>
      </c>
      <c r="L2558" t="n">
        <v>0</v>
      </c>
      <c r="M2558" t="n">
        <v>0</v>
      </c>
      <c r="N2558" t="n">
        <v>0</v>
      </c>
      <c r="O2558" t="n">
        <v>0</v>
      </c>
      <c r="P2558" t="n">
        <v>0</v>
      </c>
      <c r="Q2558" t="n">
        <v>0</v>
      </c>
      <c r="R2558" t="n">
        <v>0</v>
      </c>
      <c r="S2558" t="n">
        <v>0</v>
      </c>
      <c r="T2558" t="n">
        <v>0</v>
      </c>
      <c r="U2558" t="n">
        <v>0</v>
      </c>
      <c r="V2558" s="2" t="inlineStr"/>
    </row>
    <row r="2559" ht="15" customHeight="1">
      <c r="A2559" t="inlineStr">
        <is>
          <t>A 6254-2022</t>
        </is>
      </c>
      <c r="B2559" t="inlineStr">
        <is>
          <t>avverkningsanmälan</t>
        </is>
      </c>
      <c r="C2559" t="inlineStr">
        <is>
          <t>Föryngringsavverkning</t>
        </is>
      </c>
      <c r="D2559" s="1" t="n">
        <v>44600</v>
      </c>
      <c r="E2559" s="1" t="n">
        <v>46309</v>
      </c>
      <c r="F2559" t="inlineStr">
        <is>
          <t>UPPSALA LÄN</t>
        </is>
      </c>
      <c r="G2559" t="inlineStr">
        <is>
          <t>TIERP</t>
        </is>
      </c>
      <c r="H2559" t="inlineStr">
        <is>
          <t>Bergvik skog öst AB</t>
        </is>
      </c>
      <c r="I2559" t="n">
        <v>6.1</v>
      </c>
      <c r="J2559" t="n">
        <v>0</v>
      </c>
      <c r="K2559" t="n">
        <v>0</v>
      </c>
      <c r="L2559" t="n">
        <v>0</v>
      </c>
      <c r="M2559" t="n">
        <v>0</v>
      </c>
      <c r="N2559" t="n">
        <v>0</v>
      </c>
      <c r="O2559" t="n">
        <v>0</v>
      </c>
      <c r="P2559" t="n">
        <v>0</v>
      </c>
      <c r="Q2559" t="n">
        <v>0</v>
      </c>
      <c r="R2559" t="n">
        <v>0</v>
      </c>
      <c r="S2559" t="n">
        <v>0</v>
      </c>
      <c r="T2559" t="n">
        <v>0</v>
      </c>
      <c r="U2559" t="n">
        <v>0</v>
      </c>
      <c r="V2559" s="2" t="inlineStr"/>
    </row>
    <row r="2560" ht="15" customHeight="1">
      <c r="A2560" t="inlineStr">
        <is>
          <t>A 23971-2026</t>
        </is>
      </c>
      <c r="B2560" t="inlineStr">
        <is>
          <t>avverkningsanmälan</t>
        </is>
      </c>
      <c r="C2560" t="inlineStr">
        <is>
          <t>Föryngringsavverkning</t>
        </is>
      </c>
      <c r="D2560" s="1" t="n">
        <v>46167</v>
      </c>
      <c r="E2560" s="1" t="n">
        <v>46309</v>
      </c>
      <c r="F2560" t="inlineStr">
        <is>
          <t>UPPSALA LÄN</t>
        </is>
      </c>
      <c r="G2560" t="inlineStr">
        <is>
          <t>UPPSALA</t>
        </is>
      </c>
      <c r="I2560" t="n">
        <v>1</v>
      </c>
      <c r="J2560" t="n">
        <v>0</v>
      </c>
      <c r="K2560" t="n">
        <v>0</v>
      </c>
      <c r="L2560" t="n">
        <v>0</v>
      </c>
      <c r="M2560" t="n">
        <v>0</v>
      </c>
      <c r="N2560" t="n">
        <v>0</v>
      </c>
      <c r="O2560" t="n">
        <v>0</v>
      </c>
      <c r="P2560" t="n">
        <v>0</v>
      </c>
      <c r="Q2560" t="n">
        <v>0</v>
      </c>
      <c r="R2560" t="n">
        <v>0</v>
      </c>
      <c r="S2560" t="n">
        <v>0</v>
      </c>
      <c r="T2560" t="n">
        <v>0</v>
      </c>
      <c r="U2560" t="n">
        <v>0</v>
      </c>
      <c r="V2560" s="2" t="inlineStr"/>
    </row>
    <row r="2561" ht="15" customHeight="1">
      <c r="A2561" t="inlineStr">
        <is>
          <t>A 33619-2022</t>
        </is>
      </c>
      <c r="B2561" t="inlineStr">
        <is>
          <t>avverkningsanmälan</t>
        </is>
      </c>
      <c r="C2561" t="inlineStr">
        <is>
          <t>Föryngringsavverkning</t>
        </is>
      </c>
      <c r="D2561" s="1" t="n">
        <v>44789</v>
      </c>
      <c r="E2561" s="1" t="n">
        <v>46309</v>
      </c>
      <c r="F2561" t="inlineStr">
        <is>
          <t>UPPSALA LÄN</t>
        </is>
      </c>
      <c r="G2561" t="inlineStr">
        <is>
          <t>ENKÖPING</t>
        </is>
      </c>
      <c r="H2561" t="inlineStr">
        <is>
          <t>Allmännings- och besparingsskogar</t>
        </is>
      </c>
      <c r="I2561" t="n">
        <v>4.5</v>
      </c>
      <c r="J2561" t="n">
        <v>0</v>
      </c>
      <c r="K2561" t="n">
        <v>0</v>
      </c>
      <c r="L2561" t="n">
        <v>0</v>
      </c>
      <c r="M2561" t="n">
        <v>0</v>
      </c>
      <c r="N2561" t="n">
        <v>0</v>
      </c>
      <c r="O2561" t="n">
        <v>0</v>
      </c>
      <c r="P2561" t="n">
        <v>0</v>
      </c>
      <c r="Q2561" t="n">
        <v>0</v>
      </c>
      <c r="R2561" t="n">
        <v>0</v>
      </c>
      <c r="S2561" t="n">
        <v>0</v>
      </c>
      <c r="T2561" t="n">
        <v>0</v>
      </c>
      <c r="U2561" t="n">
        <v>0</v>
      </c>
      <c r="V2561" s="2" t="inlineStr"/>
    </row>
    <row r="2562" ht="15" customHeight="1">
      <c r="A2562" t="inlineStr">
        <is>
          <t>A 2897-2025</t>
        </is>
      </c>
      <c r="B2562" t="inlineStr">
        <is>
          <t>avverkningsanmälan</t>
        </is>
      </c>
      <c r="C2562" t="inlineStr">
        <is>
          <t>Föryngringsavverkning</t>
        </is>
      </c>
      <c r="D2562" s="1" t="n">
        <v>45677</v>
      </c>
      <c r="E2562" s="1" t="n">
        <v>46309</v>
      </c>
      <c r="F2562" t="inlineStr">
        <is>
          <t>UPPSALA LÄN</t>
        </is>
      </c>
      <c r="G2562" t="inlineStr">
        <is>
          <t>UPPSALA</t>
        </is>
      </c>
      <c r="I2562" t="n">
        <v>2.7</v>
      </c>
      <c r="J2562" t="n">
        <v>0</v>
      </c>
      <c r="K2562" t="n">
        <v>0</v>
      </c>
      <c r="L2562" t="n">
        <v>0</v>
      </c>
      <c r="M2562" t="n">
        <v>0</v>
      </c>
      <c r="N2562" t="n">
        <v>0</v>
      </c>
      <c r="O2562" t="n">
        <v>0</v>
      </c>
      <c r="P2562" t="n">
        <v>0</v>
      </c>
      <c r="Q2562" t="n">
        <v>0</v>
      </c>
      <c r="R2562" t="n">
        <v>0</v>
      </c>
      <c r="S2562" t="n">
        <v>0</v>
      </c>
      <c r="T2562" t="n">
        <v>0</v>
      </c>
      <c r="U2562" t="n">
        <v>0</v>
      </c>
      <c r="V2562" s="2" t="inlineStr"/>
    </row>
    <row r="2563" ht="15" customHeight="1">
      <c r="A2563" t="inlineStr">
        <is>
          <t>A 23976-2026</t>
        </is>
      </c>
      <c r="B2563" t="inlineStr">
        <is>
          <t>avverkningsanmälan</t>
        </is>
      </c>
      <c r="C2563" t="inlineStr">
        <is>
          <t>Föryngringsavverkning</t>
        </is>
      </c>
      <c r="D2563" s="1" t="n">
        <v>46167</v>
      </c>
      <c r="E2563" s="1" t="n">
        <v>46309</v>
      </c>
      <c r="F2563" t="inlineStr">
        <is>
          <t>UPPSALA LÄN</t>
        </is>
      </c>
      <c r="G2563" t="inlineStr">
        <is>
          <t>UPPSALA</t>
        </is>
      </c>
      <c r="I2563" t="n">
        <v>1.1</v>
      </c>
      <c r="J2563" t="n">
        <v>0</v>
      </c>
      <c r="K2563" t="n">
        <v>0</v>
      </c>
      <c r="L2563" t="n">
        <v>0</v>
      </c>
      <c r="M2563" t="n">
        <v>0</v>
      </c>
      <c r="N2563" t="n">
        <v>0</v>
      </c>
      <c r="O2563" t="n">
        <v>0</v>
      </c>
      <c r="P2563" t="n">
        <v>0</v>
      </c>
      <c r="Q2563" t="n">
        <v>0</v>
      </c>
      <c r="R2563" t="n">
        <v>0</v>
      </c>
      <c r="S2563" t="n">
        <v>0</v>
      </c>
      <c r="T2563" t="n">
        <v>0</v>
      </c>
      <c r="U2563" t="n">
        <v>0</v>
      </c>
      <c r="V2563" s="2" t="inlineStr"/>
    </row>
    <row r="2564" ht="15" customHeight="1">
      <c r="A2564" t="inlineStr">
        <is>
          <t>A 31604-2023</t>
        </is>
      </c>
      <c r="B2564" t="inlineStr">
        <is>
          <t>avverkningsanmälan</t>
        </is>
      </c>
      <c r="C2564" t="inlineStr">
        <is>
          <t>Föryngringsavverkning</t>
        </is>
      </c>
      <c r="D2564" s="1" t="n">
        <v>45117</v>
      </c>
      <c r="E2564" s="1" t="n">
        <v>46309</v>
      </c>
      <c r="F2564" t="inlineStr">
        <is>
          <t>UPPSALA LÄN</t>
        </is>
      </c>
      <c r="G2564" t="inlineStr">
        <is>
          <t>ENKÖPING</t>
        </is>
      </c>
      <c r="I2564" t="n">
        <v>3.5</v>
      </c>
      <c r="J2564" t="n">
        <v>0</v>
      </c>
      <c r="K2564" t="n">
        <v>0</v>
      </c>
      <c r="L2564" t="n">
        <v>0</v>
      </c>
      <c r="M2564" t="n">
        <v>0</v>
      </c>
      <c r="N2564" t="n">
        <v>0</v>
      </c>
      <c r="O2564" t="n">
        <v>0</v>
      </c>
      <c r="P2564" t="n">
        <v>0</v>
      </c>
      <c r="Q2564" t="n">
        <v>0</v>
      </c>
      <c r="R2564" t="n">
        <v>0</v>
      </c>
      <c r="S2564" t="n">
        <v>0</v>
      </c>
      <c r="T2564" t="n">
        <v>0</v>
      </c>
      <c r="U2564" t="n">
        <v>0</v>
      </c>
      <c r="V2564" s="2" t="inlineStr"/>
    </row>
    <row r="2565" ht="15" customHeight="1">
      <c r="A2565" t="inlineStr">
        <is>
          <t>A 13093-2022</t>
        </is>
      </c>
      <c r="B2565" t="inlineStr">
        <is>
          <t>avverkningsanmälan</t>
        </is>
      </c>
      <c r="C2565" t="inlineStr">
        <is>
          <t>Föryngringsavverkning</t>
        </is>
      </c>
      <c r="D2565" s="1" t="n">
        <v>44643</v>
      </c>
      <c r="E2565" s="1" t="n">
        <v>46309</v>
      </c>
      <c r="F2565" t="inlineStr">
        <is>
          <t>UPPSALA LÄN</t>
        </is>
      </c>
      <c r="G2565" t="inlineStr">
        <is>
          <t>ÖSTHAMMAR</t>
        </is>
      </c>
      <c r="H2565" t="inlineStr">
        <is>
          <t>Bergvik skog öst AB</t>
        </is>
      </c>
      <c r="I2565" t="n">
        <v>3.2</v>
      </c>
      <c r="J2565" t="n">
        <v>0</v>
      </c>
      <c r="K2565" t="n">
        <v>0</v>
      </c>
      <c r="L2565" t="n">
        <v>0</v>
      </c>
      <c r="M2565" t="n">
        <v>0</v>
      </c>
      <c r="N2565" t="n">
        <v>0</v>
      </c>
      <c r="O2565" t="n">
        <v>0</v>
      </c>
      <c r="P2565" t="n">
        <v>0</v>
      </c>
      <c r="Q2565" t="n">
        <v>0</v>
      </c>
      <c r="R2565" t="n">
        <v>0</v>
      </c>
      <c r="S2565" t="n">
        <v>0</v>
      </c>
      <c r="T2565" t="n">
        <v>0</v>
      </c>
      <c r="U2565" t="n">
        <v>0</v>
      </c>
      <c r="V2565" s="2" t="inlineStr"/>
    </row>
    <row r="2566" ht="15" customHeight="1">
      <c r="A2566" t="inlineStr">
        <is>
          <t>A 6059-2025</t>
        </is>
      </c>
      <c r="B2566" t="inlineStr">
        <is>
          <t>avverkningsanmälan</t>
        </is>
      </c>
      <c r="C2566" t="inlineStr">
        <is>
          <t>Föryngringsavverkning</t>
        </is>
      </c>
      <c r="D2566" s="1" t="n">
        <v>45695</v>
      </c>
      <c r="E2566" s="1" t="n">
        <v>46309</v>
      </c>
      <c r="F2566" t="inlineStr">
        <is>
          <t>UPPSALA LÄN</t>
        </is>
      </c>
      <c r="G2566" t="inlineStr">
        <is>
          <t>UPPSALA</t>
        </is>
      </c>
      <c r="H2566" t="inlineStr">
        <is>
          <t>Bergvik skog öst AB</t>
        </is>
      </c>
      <c r="I2566" t="n">
        <v>0.4</v>
      </c>
      <c r="J2566" t="n">
        <v>0</v>
      </c>
      <c r="K2566" t="n">
        <v>0</v>
      </c>
      <c r="L2566" t="n">
        <v>0</v>
      </c>
      <c r="M2566" t="n">
        <v>0</v>
      </c>
      <c r="N2566" t="n">
        <v>0</v>
      </c>
      <c r="O2566" t="n">
        <v>0</v>
      </c>
      <c r="P2566" t="n">
        <v>0</v>
      </c>
      <c r="Q2566" t="n">
        <v>0</v>
      </c>
      <c r="R2566" t="n">
        <v>0</v>
      </c>
      <c r="S2566" t="n">
        <v>0</v>
      </c>
      <c r="T2566" t="n">
        <v>0</v>
      </c>
      <c r="U2566" t="n">
        <v>0</v>
      </c>
      <c r="V2566" s="2" t="inlineStr"/>
    </row>
    <row r="2567" ht="15" customHeight="1">
      <c r="A2567" t="inlineStr">
        <is>
          <t>A 23882-2026</t>
        </is>
      </c>
      <c r="B2567" t="inlineStr">
        <is>
          <t>avverkningsanmälan</t>
        </is>
      </c>
      <c r="C2567" t="inlineStr">
        <is>
          <t>Föryngringsavverkning</t>
        </is>
      </c>
      <c r="D2567" s="1" t="n">
        <v>46167</v>
      </c>
      <c r="E2567" s="1" t="n">
        <v>46309</v>
      </c>
      <c r="F2567" t="inlineStr">
        <is>
          <t>UPPSALA LÄN</t>
        </is>
      </c>
      <c r="G2567" t="inlineStr">
        <is>
          <t>ENKÖPING</t>
        </is>
      </c>
      <c r="I2567" t="n">
        <v>8.5</v>
      </c>
      <c r="J2567" t="n">
        <v>0</v>
      </c>
      <c r="K2567" t="n">
        <v>0</v>
      </c>
      <c r="L2567" t="n">
        <v>0</v>
      </c>
      <c r="M2567" t="n">
        <v>0</v>
      </c>
      <c r="N2567" t="n">
        <v>0</v>
      </c>
      <c r="O2567" t="n">
        <v>0</v>
      </c>
      <c r="P2567" t="n">
        <v>0</v>
      </c>
      <c r="Q2567" t="n">
        <v>0</v>
      </c>
      <c r="R2567" t="n">
        <v>0</v>
      </c>
      <c r="S2567" t="n">
        <v>0</v>
      </c>
      <c r="T2567" t="n">
        <v>0</v>
      </c>
      <c r="U2567" t="n">
        <v>0</v>
      </c>
      <c r="V2567" s="2" t="inlineStr"/>
    </row>
    <row r="2568" ht="15" customHeight="1">
      <c r="A2568" t="inlineStr">
        <is>
          <t>A 45795-2023</t>
        </is>
      </c>
      <c r="B2568" t="inlineStr">
        <is>
          <t>avverkningsanmälan</t>
        </is>
      </c>
      <c r="C2568" t="inlineStr">
        <is>
          <t>Avverkning för annat ändamål</t>
        </is>
      </c>
      <c r="D2568" s="1" t="n">
        <v>45195</v>
      </c>
      <c r="E2568" s="1" t="n">
        <v>46309</v>
      </c>
      <c r="F2568" t="inlineStr">
        <is>
          <t>UPPSALA LÄN</t>
        </is>
      </c>
      <c r="G2568" t="inlineStr">
        <is>
          <t>ÖSTHAMMAR</t>
        </is>
      </c>
      <c r="I2568" t="n">
        <v>4</v>
      </c>
      <c r="J2568" t="n">
        <v>0</v>
      </c>
      <c r="K2568" t="n">
        <v>0</v>
      </c>
      <c r="L2568" t="n">
        <v>0</v>
      </c>
      <c r="M2568" t="n">
        <v>0</v>
      </c>
      <c r="N2568" t="n">
        <v>0</v>
      </c>
      <c r="O2568" t="n">
        <v>0</v>
      </c>
      <c r="P2568" t="n">
        <v>0</v>
      </c>
      <c r="Q2568" t="n">
        <v>0</v>
      </c>
      <c r="R2568" t="n">
        <v>0</v>
      </c>
      <c r="S2568" t="n">
        <v>0</v>
      </c>
      <c r="T2568" t="n">
        <v>0</v>
      </c>
      <c r="U2568" t="n">
        <v>0</v>
      </c>
      <c r="V2568" s="2" t="inlineStr"/>
    </row>
    <row r="2569" ht="15" customHeight="1">
      <c r="A2569" t="inlineStr">
        <is>
          <t>A 23889-2026</t>
        </is>
      </c>
      <c r="B2569" t="inlineStr">
        <is>
          <t>avverkningsanmälan</t>
        </is>
      </c>
      <c r="C2569" t="inlineStr">
        <is>
          <t>Föryngringsavverkning</t>
        </is>
      </c>
      <c r="D2569" s="1" t="n">
        <v>46167</v>
      </c>
      <c r="E2569" s="1" t="n">
        <v>46309</v>
      </c>
      <c r="F2569" t="inlineStr">
        <is>
          <t>UPPSALA LÄN</t>
        </is>
      </c>
      <c r="G2569" t="inlineStr">
        <is>
          <t>ENKÖPING</t>
        </is>
      </c>
      <c r="I2569" t="n">
        <v>0.7</v>
      </c>
      <c r="J2569" t="n">
        <v>0</v>
      </c>
      <c r="K2569" t="n">
        <v>0</v>
      </c>
      <c r="L2569" t="n">
        <v>0</v>
      </c>
      <c r="M2569" t="n">
        <v>0</v>
      </c>
      <c r="N2569" t="n">
        <v>0</v>
      </c>
      <c r="O2569" t="n">
        <v>0</v>
      </c>
      <c r="P2569" t="n">
        <v>0</v>
      </c>
      <c r="Q2569" t="n">
        <v>0</v>
      </c>
      <c r="R2569" t="n">
        <v>0</v>
      </c>
      <c r="S2569" t="n">
        <v>0</v>
      </c>
      <c r="T2569" t="n">
        <v>0</v>
      </c>
      <c r="U2569" t="n">
        <v>0</v>
      </c>
      <c r="V2569" s="2" t="inlineStr"/>
    </row>
    <row r="2570" ht="15" customHeight="1">
      <c r="A2570" t="inlineStr">
        <is>
          <t>A 45821-2023</t>
        </is>
      </c>
      <c r="B2570" t="inlineStr">
        <is>
          <t>avverkningsanmälan</t>
        </is>
      </c>
      <c r="C2570" t="inlineStr">
        <is>
          <t>Föryngringsavverkning</t>
        </is>
      </c>
      <c r="D2570" s="1" t="n">
        <v>45195</v>
      </c>
      <c r="E2570" s="1" t="n">
        <v>46309</v>
      </c>
      <c r="F2570" t="inlineStr">
        <is>
          <t>UPPSALA LÄN</t>
        </is>
      </c>
      <c r="G2570" t="inlineStr">
        <is>
          <t>HEBY</t>
        </is>
      </c>
      <c r="I2570" t="n">
        <v>2</v>
      </c>
      <c r="J2570" t="n">
        <v>0</v>
      </c>
      <c r="K2570" t="n">
        <v>0</v>
      </c>
      <c r="L2570" t="n">
        <v>0</v>
      </c>
      <c r="M2570" t="n">
        <v>0</v>
      </c>
      <c r="N2570" t="n">
        <v>0</v>
      </c>
      <c r="O2570" t="n">
        <v>0</v>
      </c>
      <c r="P2570" t="n">
        <v>0</v>
      </c>
      <c r="Q2570" t="n">
        <v>0</v>
      </c>
      <c r="R2570" t="n">
        <v>0</v>
      </c>
      <c r="S2570" t="n">
        <v>0</v>
      </c>
      <c r="T2570" t="n">
        <v>0</v>
      </c>
      <c r="U2570" t="n">
        <v>0</v>
      </c>
      <c r="V2570" s="2" t="inlineStr"/>
    </row>
    <row r="2571" ht="15" customHeight="1">
      <c r="A2571" t="inlineStr">
        <is>
          <t>A 24212-2026</t>
        </is>
      </c>
      <c r="B2571" t="inlineStr">
        <is>
          <t>avverkningsanmälan</t>
        </is>
      </c>
      <c r="C2571" t="inlineStr">
        <is>
          <t>Föryngringsavverkning</t>
        </is>
      </c>
      <c r="D2571" s="1" t="n">
        <v>46168</v>
      </c>
      <c r="E2571" s="1" t="n">
        <v>46309</v>
      </c>
      <c r="F2571" t="inlineStr">
        <is>
          <t>UPPSALA LÄN</t>
        </is>
      </c>
      <c r="G2571" t="inlineStr">
        <is>
          <t>HEBY</t>
        </is>
      </c>
      <c r="I2571" t="n">
        <v>1</v>
      </c>
      <c r="J2571" t="n">
        <v>0</v>
      </c>
      <c r="K2571" t="n">
        <v>0</v>
      </c>
      <c r="L2571" t="n">
        <v>0</v>
      </c>
      <c r="M2571" t="n">
        <v>0</v>
      </c>
      <c r="N2571" t="n">
        <v>0</v>
      </c>
      <c r="O2571" t="n">
        <v>0</v>
      </c>
      <c r="P2571" t="n">
        <v>0</v>
      </c>
      <c r="Q2571" t="n">
        <v>0</v>
      </c>
      <c r="R2571" t="n">
        <v>0</v>
      </c>
      <c r="S2571" t="n">
        <v>0</v>
      </c>
      <c r="T2571" t="n">
        <v>0</v>
      </c>
      <c r="U2571" t="n">
        <v>0</v>
      </c>
      <c r="V2571" s="2" t="inlineStr"/>
    </row>
    <row r="2572" ht="15" customHeight="1">
      <c r="A2572" t="inlineStr">
        <is>
          <t>A 2838-2025</t>
        </is>
      </c>
      <c r="B2572" t="inlineStr">
        <is>
          <t>avverkningsanmälan</t>
        </is>
      </c>
      <c r="C2572" t="inlineStr">
        <is>
          <t>Föryngringsavverkning</t>
        </is>
      </c>
      <c r="D2572" s="1" t="n">
        <v>45677</v>
      </c>
      <c r="E2572" s="1" t="n">
        <v>46309</v>
      </c>
      <c r="F2572" t="inlineStr">
        <is>
          <t>UPPSALA LÄN</t>
        </is>
      </c>
      <c r="G2572" t="inlineStr">
        <is>
          <t>TIERP</t>
        </is>
      </c>
      <c r="H2572" t="inlineStr">
        <is>
          <t>Bergvik skog väst AB</t>
        </is>
      </c>
      <c r="I2572" t="n">
        <v>9.300000000000001</v>
      </c>
      <c r="J2572" t="n">
        <v>0</v>
      </c>
      <c r="K2572" t="n">
        <v>0</v>
      </c>
      <c r="L2572" t="n">
        <v>0</v>
      </c>
      <c r="M2572" t="n">
        <v>0</v>
      </c>
      <c r="N2572" t="n">
        <v>0</v>
      </c>
      <c r="O2572" t="n">
        <v>0</v>
      </c>
      <c r="P2572" t="n">
        <v>0</v>
      </c>
      <c r="Q2572" t="n">
        <v>0</v>
      </c>
      <c r="R2572" t="n">
        <v>0</v>
      </c>
      <c r="S2572" t="n">
        <v>0</v>
      </c>
      <c r="T2572" t="n">
        <v>0</v>
      </c>
      <c r="U2572" t="n">
        <v>0</v>
      </c>
      <c r="V2572" s="2" t="inlineStr"/>
    </row>
    <row r="2573" ht="15" customHeight="1">
      <c r="A2573" t="inlineStr">
        <is>
          <t>A 23969-2026</t>
        </is>
      </c>
      <c r="B2573" t="inlineStr">
        <is>
          <t>avverkningsanmälan</t>
        </is>
      </c>
      <c r="C2573" t="inlineStr">
        <is>
          <t>Föryngringsavverkning</t>
        </is>
      </c>
      <c r="D2573" s="1" t="n">
        <v>46167</v>
      </c>
      <c r="E2573" s="1" t="n">
        <v>46309</v>
      </c>
      <c r="F2573" t="inlineStr">
        <is>
          <t>UPPSALA LÄN</t>
        </is>
      </c>
      <c r="G2573" t="inlineStr">
        <is>
          <t>KNIVSTA</t>
        </is>
      </c>
      <c r="I2573" t="n">
        <v>2.1</v>
      </c>
      <c r="J2573" t="n">
        <v>0</v>
      </c>
      <c r="K2573" t="n">
        <v>0</v>
      </c>
      <c r="L2573" t="n">
        <v>0</v>
      </c>
      <c r="M2573" t="n">
        <v>0</v>
      </c>
      <c r="N2573" t="n">
        <v>0</v>
      </c>
      <c r="O2573" t="n">
        <v>0</v>
      </c>
      <c r="P2573" t="n">
        <v>0</v>
      </c>
      <c r="Q2573" t="n">
        <v>0</v>
      </c>
      <c r="R2573" t="n">
        <v>0</v>
      </c>
      <c r="S2573" t="n">
        <v>0</v>
      </c>
      <c r="T2573" t="n">
        <v>0</v>
      </c>
      <c r="U2573" t="n">
        <v>0</v>
      </c>
      <c r="V2573" s="2" t="inlineStr"/>
    </row>
    <row r="2574" ht="15" customHeight="1">
      <c r="A2574" t="inlineStr">
        <is>
          <t>A 59602-2024</t>
        </is>
      </c>
      <c r="B2574" t="inlineStr">
        <is>
          <t>avverkningsanmälan</t>
        </is>
      </c>
      <c r="C2574" t="inlineStr">
        <is>
          <t>Föryngringsavverkning</t>
        </is>
      </c>
      <c r="D2574" s="1" t="n">
        <v>45638</v>
      </c>
      <c r="E2574" s="1" t="n">
        <v>46309</v>
      </c>
      <c r="F2574" t="inlineStr">
        <is>
          <t>UPPSALA LÄN</t>
        </is>
      </c>
      <c r="G2574" t="inlineStr">
        <is>
          <t>ENKÖPING</t>
        </is>
      </c>
      <c r="I2574" t="n">
        <v>1.1</v>
      </c>
      <c r="J2574" t="n">
        <v>0</v>
      </c>
      <c r="K2574" t="n">
        <v>0</v>
      </c>
      <c r="L2574" t="n">
        <v>0</v>
      </c>
      <c r="M2574" t="n">
        <v>0</v>
      </c>
      <c r="N2574" t="n">
        <v>0</v>
      </c>
      <c r="O2574" t="n">
        <v>0</v>
      </c>
      <c r="P2574" t="n">
        <v>0</v>
      </c>
      <c r="Q2574" t="n">
        <v>0</v>
      </c>
      <c r="R2574" t="n">
        <v>0</v>
      </c>
      <c r="S2574" t="n">
        <v>0</v>
      </c>
      <c r="T2574" t="n">
        <v>0</v>
      </c>
      <c r="U2574" t="n">
        <v>0</v>
      </c>
      <c r="V2574" s="2" t="inlineStr"/>
    </row>
    <row r="2575" ht="15" customHeight="1">
      <c r="A2575" t="inlineStr">
        <is>
          <t>A 24336-2026</t>
        </is>
      </c>
      <c r="B2575" t="inlineStr">
        <is>
          <t>avverkningsanmälan</t>
        </is>
      </c>
      <c r="C2575" t="inlineStr">
        <is>
          <t>Föryngringsavverkning</t>
        </is>
      </c>
      <c r="D2575" s="1" t="n">
        <v>46169</v>
      </c>
      <c r="E2575" s="1" t="n">
        <v>46309</v>
      </c>
      <c r="F2575" t="inlineStr">
        <is>
          <t>UPPSALA LÄN</t>
        </is>
      </c>
      <c r="G2575" t="inlineStr">
        <is>
          <t>HEBY</t>
        </is>
      </c>
      <c r="I2575" t="n">
        <v>9</v>
      </c>
      <c r="J2575" t="n">
        <v>0</v>
      </c>
      <c r="K2575" t="n">
        <v>0</v>
      </c>
      <c r="L2575" t="n">
        <v>0</v>
      </c>
      <c r="M2575" t="n">
        <v>0</v>
      </c>
      <c r="N2575" t="n">
        <v>0</v>
      </c>
      <c r="O2575" t="n">
        <v>0</v>
      </c>
      <c r="P2575" t="n">
        <v>0</v>
      </c>
      <c r="Q2575" t="n">
        <v>0</v>
      </c>
      <c r="R2575" t="n">
        <v>0</v>
      </c>
      <c r="S2575" t="n">
        <v>0</v>
      </c>
      <c r="T2575" t="n">
        <v>0</v>
      </c>
      <c r="U2575" t="n">
        <v>0</v>
      </c>
      <c r="V2575" s="2" t="inlineStr"/>
    </row>
    <row r="2576" ht="15" customHeight="1">
      <c r="A2576" t="inlineStr">
        <is>
          <t>A 60735-2024</t>
        </is>
      </c>
      <c r="B2576" t="inlineStr">
        <is>
          <t>avverkningsanmälan</t>
        </is>
      </c>
      <c r="C2576" t="inlineStr">
        <is>
          <t>Föryngringsavverkning</t>
        </is>
      </c>
      <c r="D2576" s="1" t="n">
        <v>45644</v>
      </c>
      <c r="E2576" s="1" t="n">
        <v>46309</v>
      </c>
      <c r="F2576" t="inlineStr">
        <is>
          <t>UPPSALA LÄN</t>
        </is>
      </c>
      <c r="G2576" t="inlineStr">
        <is>
          <t>UPPSALA</t>
        </is>
      </c>
      <c r="I2576" t="n">
        <v>1.4</v>
      </c>
      <c r="J2576" t="n">
        <v>0</v>
      </c>
      <c r="K2576" t="n">
        <v>0</v>
      </c>
      <c r="L2576" t="n">
        <v>0</v>
      </c>
      <c r="M2576" t="n">
        <v>0</v>
      </c>
      <c r="N2576" t="n">
        <v>0</v>
      </c>
      <c r="O2576" t="n">
        <v>0</v>
      </c>
      <c r="P2576" t="n">
        <v>0</v>
      </c>
      <c r="Q2576" t="n">
        <v>0</v>
      </c>
      <c r="R2576" t="n">
        <v>0</v>
      </c>
      <c r="S2576" t="n">
        <v>0</v>
      </c>
      <c r="T2576" t="n">
        <v>0</v>
      </c>
      <c r="U2576" t="n">
        <v>0</v>
      </c>
      <c r="V2576" s="2" t="inlineStr"/>
    </row>
    <row r="2577" ht="15" customHeight="1">
      <c r="A2577" t="inlineStr">
        <is>
          <t>A 2562-2026</t>
        </is>
      </c>
      <c r="B2577" t="inlineStr">
        <is>
          <t>avverkningsanmälan</t>
        </is>
      </c>
      <c r="C2577" t="inlineStr">
        <is>
          <t>Föryngringsavverkning</t>
        </is>
      </c>
      <c r="D2577" s="1" t="n">
        <v>46037</v>
      </c>
      <c r="E2577" s="1" t="n">
        <v>46309</v>
      </c>
      <c r="F2577" t="inlineStr">
        <is>
          <t>UPPSALA LÄN</t>
        </is>
      </c>
      <c r="G2577" t="inlineStr">
        <is>
          <t>HEBY</t>
        </is>
      </c>
      <c r="I2577" t="n">
        <v>2.5</v>
      </c>
      <c r="J2577" t="n">
        <v>0</v>
      </c>
      <c r="K2577" t="n">
        <v>0</v>
      </c>
      <c r="L2577" t="n">
        <v>0</v>
      </c>
      <c r="M2577" t="n">
        <v>0</v>
      </c>
      <c r="N2577" t="n">
        <v>0</v>
      </c>
      <c r="O2577" t="n">
        <v>0</v>
      </c>
      <c r="P2577" t="n">
        <v>0</v>
      </c>
      <c r="Q2577" t="n">
        <v>0</v>
      </c>
      <c r="R2577" t="n">
        <v>0</v>
      </c>
      <c r="S2577" t="n">
        <v>0</v>
      </c>
      <c r="T2577" t="n">
        <v>0</v>
      </c>
      <c r="U2577" t="n">
        <v>0</v>
      </c>
      <c r="V2577" s="2" t="inlineStr"/>
    </row>
    <row r="2578" ht="15" customHeight="1">
      <c r="A2578" t="inlineStr">
        <is>
          <t>A 16773-2022</t>
        </is>
      </c>
      <c r="B2578" t="inlineStr">
        <is>
          <t>avverkningsanmälan</t>
        </is>
      </c>
      <c r="C2578" t="inlineStr">
        <is>
          <t>Avverkning för annat ändamål</t>
        </is>
      </c>
      <c r="D2578" s="1" t="n">
        <v>44673</v>
      </c>
      <c r="E2578" s="1" t="n">
        <v>46309</v>
      </c>
      <c r="F2578" t="inlineStr">
        <is>
          <t>UPPSALA LÄN</t>
        </is>
      </c>
      <c r="G2578" t="inlineStr">
        <is>
          <t>KNIVSTA</t>
        </is>
      </c>
      <c r="I2578" t="n">
        <v>1.9</v>
      </c>
      <c r="J2578" t="n">
        <v>0</v>
      </c>
      <c r="K2578" t="n">
        <v>0</v>
      </c>
      <c r="L2578" t="n">
        <v>0</v>
      </c>
      <c r="M2578" t="n">
        <v>0</v>
      </c>
      <c r="N2578" t="n">
        <v>0</v>
      </c>
      <c r="O2578" t="n">
        <v>0</v>
      </c>
      <c r="P2578" t="n">
        <v>0</v>
      </c>
      <c r="Q2578" t="n">
        <v>0</v>
      </c>
      <c r="R2578" t="n">
        <v>0</v>
      </c>
      <c r="S2578" t="n">
        <v>0</v>
      </c>
      <c r="T2578" t="n">
        <v>0</v>
      </c>
      <c r="U2578" t="n">
        <v>0</v>
      </c>
      <c r="V2578" s="2" t="inlineStr"/>
    </row>
    <row r="2579" ht="15" customHeight="1">
      <c r="A2579" t="inlineStr">
        <is>
          <t>A 45917-2023</t>
        </is>
      </c>
      <c r="B2579" t="inlineStr">
        <is>
          <t>avverkningsanmälan</t>
        </is>
      </c>
      <c r="C2579" t="inlineStr">
        <is>
          <t>Föryngringsavverkning</t>
        </is>
      </c>
      <c r="D2579" s="1" t="n">
        <v>45195</v>
      </c>
      <c r="E2579" s="1" t="n">
        <v>46309</v>
      </c>
      <c r="F2579" t="inlineStr">
        <is>
          <t>UPPSALA LÄN</t>
        </is>
      </c>
      <c r="G2579" t="inlineStr">
        <is>
          <t>HEBY</t>
        </is>
      </c>
      <c r="I2579" t="n">
        <v>1</v>
      </c>
      <c r="J2579" t="n">
        <v>0</v>
      </c>
      <c r="K2579" t="n">
        <v>0</v>
      </c>
      <c r="L2579" t="n">
        <v>0</v>
      </c>
      <c r="M2579" t="n">
        <v>0</v>
      </c>
      <c r="N2579" t="n">
        <v>0</v>
      </c>
      <c r="O2579" t="n">
        <v>0</v>
      </c>
      <c r="P2579" t="n">
        <v>0</v>
      </c>
      <c r="Q2579" t="n">
        <v>0</v>
      </c>
      <c r="R2579" t="n">
        <v>0</v>
      </c>
      <c r="S2579" t="n">
        <v>0</v>
      </c>
      <c r="T2579" t="n">
        <v>0</v>
      </c>
      <c r="U2579" t="n">
        <v>0</v>
      </c>
      <c r="V2579" s="2" t="inlineStr"/>
    </row>
    <row r="2580" ht="15" customHeight="1">
      <c r="A2580" t="inlineStr">
        <is>
          <t>A 33729-2023</t>
        </is>
      </c>
      <c r="B2580" t="inlineStr">
        <is>
          <t>avverkningsanmälan</t>
        </is>
      </c>
      <c r="C2580" t="inlineStr">
        <is>
          <t>Föryngringsavverkning</t>
        </is>
      </c>
      <c r="D2580" s="1" t="n">
        <v>45133</v>
      </c>
      <c r="E2580" s="1" t="n">
        <v>46309</v>
      </c>
      <c r="F2580" t="inlineStr">
        <is>
          <t>UPPSALA LÄN</t>
        </is>
      </c>
      <c r="G2580" t="inlineStr">
        <is>
          <t>HEBY</t>
        </is>
      </c>
      <c r="I2580" t="n">
        <v>0.5</v>
      </c>
      <c r="J2580" t="n">
        <v>0</v>
      </c>
      <c r="K2580" t="n">
        <v>0</v>
      </c>
      <c r="L2580" t="n">
        <v>0</v>
      </c>
      <c r="M2580" t="n">
        <v>0</v>
      </c>
      <c r="N2580" t="n">
        <v>0</v>
      </c>
      <c r="O2580" t="n">
        <v>0</v>
      </c>
      <c r="P2580" t="n">
        <v>0</v>
      </c>
      <c r="Q2580" t="n">
        <v>0</v>
      </c>
      <c r="R2580" t="n">
        <v>0</v>
      </c>
      <c r="S2580" t="n">
        <v>0</v>
      </c>
      <c r="T2580" t="n">
        <v>0</v>
      </c>
      <c r="U2580" t="n">
        <v>0</v>
      </c>
      <c r="V2580" s="2" t="inlineStr"/>
    </row>
    <row r="2581" ht="15" customHeight="1">
      <c r="A2581" t="inlineStr">
        <is>
          <t>A 19488-2022</t>
        </is>
      </c>
      <c r="B2581" t="inlineStr">
        <is>
          <t>avverkningsanmälan</t>
        </is>
      </c>
      <c r="C2581" t="inlineStr">
        <is>
          <t>Föryngringsavverkning</t>
        </is>
      </c>
      <c r="D2581" s="1" t="n">
        <v>44693</v>
      </c>
      <c r="E2581" s="1" t="n">
        <v>46309</v>
      </c>
      <c r="F2581" t="inlineStr">
        <is>
          <t>UPPSALA LÄN</t>
        </is>
      </c>
      <c r="G2581" t="inlineStr">
        <is>
          <t>ENKÖPING</t>
        </is>
      </c>
      <c r="I2581" t="n">
        <v>7.8</v>
      </c>
      <c r="J2581" t="n">
        <v>0</v>
      </c>
      <c r="K2581" t="n">
        <v>0</v>
      </c>
      <c r="L2581" t="n">
        <v>0</v>
      </c>
      <c r="M2581" t="n">
        <v>0</v>
      </c>
      <c r="N2581" t="n">
        <v>0</v>
      </c>
      <c r="O2581" t="n">
        <v>0</v>
      </c>
      <c r="P2581" t="n">
        <v>0</v>
      </c>
      <c r="Q2581" t="n">
        <v>0</v>
      </c>
      <c r="R2581" t="n">
        <v>0</v>
      </c>
      <c r="S2581" t="n">
        <v>0</v>
      </c>
      <c r="T2581" t="n">
        <v>0</v>
      </c>
      <c r="U2581" t="n">
        <v>0</v>
      </c>
      <c r="V2581" s="2" t="inlineStr"/>
    </row>
    <row r="2582" ht="15" customHeight="1">
      <c r="A2582" t="inlineStr">
        <is>
          <t>A 56713-2024</t>
        </is>
      </c>
      <c r="B2582" t="inlineStr">
        <is>
          <t>avverkningsanmälan</t>
        </is>
      </c>
      <c r="C2582" t="inlineStr">
        <is>
          <t>Föryngringsavverkning</t>
        </is>
      </c>
      <c r="D2582" s="1" t="n">
        <v>45628</v>
      </c>
      <c r="E2582" s="1" t="n">
        <v>46309</v>
      </c>
      <c r="F2582" t="inlineStr">
        <is>
          <t>UPPSALA LÄN</t>
        </is>
      </c>
      <c r="G2582" t="inlineStr">
        <is>
          <t>ENKÖPING</t>
        </is>
      </c>
      <c r="I2582" t="n">
        <v>1.7</v>
      </c>
      <c r="J2582" t="n">
        <v>0</v>
      </c>
      <c r="K2582" t="n">
        <v>0</v>
      </c>
      <c r="L2582" t="n">
        <v>0</v>
      </c>
      <c r="M2582" t="n">
        <v>0</v>
      </c>
      <c r="N2582" t="n">
        <v>0</v>
      </c>
      <c r="O2582" t="n">
        <v>0</v>
      </c>
      <c r="P2582" t="n">
        <v>0</v>
      </c>
      <c r="Q2582" t="n">
        <v>0</v>
      </c>
      <c r="R2582" t="n">
        <v>0</v>
      </c>
      <c r="S2582" t="n">
        <v>0</v>
      </c>
      <c r="T2582" t="n">
        <v>0</v>
      </c>
      <c r="U2582" t="n">
        <v>0</v>
      </c>
      <c r="V2582" s="2" t="inlineStr"/>
    </row>
    <row r="2583" ht="15" customHeight="1">
      <c r="A2583" t="inlineStr">
        <is>
          <t>A 18054-2025</t>
        </is>
      </c>
      <c r="B2583" t="inlineStr">
        <is>
          <t>avverkningsanmälan</t>
        </is>
      </c>
      <c r="C2583" t="inlineStr">
        <is>
          <t>Föryngringsavverkning</t>
        </is>
      </c>
      <c r="D2583" s="1" t="n">
        <v>45761</v>
      </c>
      <c r="E2583" s="1" t="n">
        <v>46309</v>
      </c>
      <c r="F2583" t="inlineStr">
        <is>
          <t>UPPSALA LÄN</t>
        </is>
      </c>
      <c r="G2583" t="inlineStr">
        <is>
          <t>UPPSALA</t>
        </is>
      </c>
      <c r="I2583" t="n">
        <v>1.9</v>
      </c>
      <c r="J2583" t="n">
        <v>0</v>
      </c>
      <c r="K2583" t="n">
        <v>0</v>
      </c>
      <c r="L2583" t="n">
        <v>0</v>
      </c>
      <c r="M2583" t="n">
        <v>0</v>
      </c>
      <c r="N2583" t="n">
        <v>0</v>
      </c>
      <c r="O2583" t="n">
        <v>0</v>
      </c>
      <c r="P2583" t="n">
        <v>0</v>
      </c>
      <c r="Q2583" t="n">
        <v>0</v>
      </c>
      <c r="R2583" t="n">
        <v>0</v>
      </c>
      <c r="S2583" t="n">
        <v>0</v>
      </c>
      <c r="T2583" t="n">
        <v>0</v>
      </c>
      <c r="U2583" t="n">
        <v>0</v>
      </c>
      <c r="V2583" s="2" t="inlineStr"/>
    </row>
    <row r="2584" ht="15" customHeight="1">
      <c r="A2584" t="inlineStr">
        <is>
          <t>A 19896-2022</t>
        </is>
      </c>
      <c r="B2584" t="inlineStr">
        <is>
          <t>avverkningsanmälan</t>
        </is>
      </c>
      <c r="C2584" t="inlineStr">
        <is>
          <t>Föryngringsavverkning</t>
        </is>
      </c>
      <c r="D2584" s="1" t="n">
        <v>44697</v>
      </c>
      <c r="E2584" s="1" t="n">
        <v>46309</v>
      </c>
      <c r="F2584" t="inlineStr">
        <is>
          <t>UPPSALA LÄN</t>
        </is>
      </c>
      <c r="G2584" t="inlineStr">
        <is>
          <t>HEBY</t>
        </is>
      </c>
      <c r="I2584" t="n">
        <v>1.4</v>
      </c>
      <c r="J2584" t="n">
        <v>0</v>
      </c>
      <c r="K2584" t="n">
        <v>0</v>
      </c>
      <c r="L2584" t="n">
        <v>0</v>
      </c>
      <c r="M2584" t="n">
        <v>0</v>
      </c>
      <c r="N2584" t="n">
        <v>0</v>
      </c>
      <c r="O2584" t="n">
        <v>0</v>
      </c>
      <c r="P2584" t="n">
        <v>0</v>
      </c>
      <c r="Q2584" t="n">
        <v>0</v>
      </c>
      <c r="R2584" t="n">
        <v>0</v>
      </c>
      <c r="S2584" t="n">
        <v>0</v>
      </c>
      <c r="T2584" t="n">
        <v>0</v>
      </c>
      <c r="U2584" t="n">
        <v>0</v>
      </c>
      <c r="V2584" s="2" t="inlineStr"/>
    </row>
    <row r="2585" ht="15" customHeight="1">
      <c r="A2585" t="inlineStr">
        <is>
          <t>A 45009-2022</t>
        </is>
      </c>
      <c r="B2585" t="inlineStr">
        <is>
          <t>avverkningsanmälan</t>
        </is>
      </c>
      <c r="C2585" t="inlineStr">
        <is>
          <t>Föryngringsavverkning</t>
        </is>
      </c>
      <c r="D2585" s="1" t="n">
        <v>44841</v>
      </c>
      <c r="E2585" s="1" t="n">
        <v>46309</v>
      </c>
      <c r="F2585" t="inlineStr">
        <is>
          <t>UPPSALA LÄN</t>
        </is>
      </c>
      <c r="G2585" t="inlineStr">
        <is>
          <t>HEBY</t>
        </is>
      </c>
      <c r="I2585" t="n">
        <v>1.5</v>
      </c>
      <c r="J2585" t="n">
        <v>0</v>
      </c>
      <c r="K2585" t="n">
        <v>0</v>
      </c>
      <c r="L2585" t="n">
        <v>0</v>
      </c>
      <c r="M2585" t="n">
        <v>0</v>
      </c>
      <c r="N2585" t="n">
        <v>0</v>
      </c>
      <c r="O2585" t="n">
        <v>0</v>
      </c>
      <c r="P2585" t="n">
        <v>0</v>
      </c>
      <c r="Q2585" t="n">
        <v>0</v>
      </c>
      <c r="R2585" t="n">
        <v>0</v>
      </c>
      <c r="S2585" t="n">
        <v>0</v>
      </c>
      <c r="T2585" t="n">
        <v>0</v>
      </c>
      <c r="U2585" t="n">
        <v>0</v>
      </c>
      <c r="V2585" s="2" t="inlineStr"/>
    </row>
    <row r="2586" ht="15" customHeight="1">
      <c r="A2586" t="inlineStr">
        <is>
          <t>A 55019-2025</t>
        </is>
      </c>
      <c r="B2586" t="inlineStr">
        <is>
          <t>avverkningsanmälan</t>
        </is>
      </c>
      <c r="C2586" t="inlineStr">
        <is>
          <t>Föryngringsavverkning</t>
        </is>
      </c>
      <c r="D2586" s="1" t="n">
        <v>45967</v>
      </c>
      <c r="E2586" s="1" t="n">
        <v>46309</v>
      </c>
      <c r="F2586" t="inlineStr">
        <is>
          <t>UPPSALA LÄN</t>
        </is>
      </c>
      <c r="G2586" t="inlineStr">
        <is>
          <t>HEBY</t>
        </is>
      </c>
      <c r="I2586" t="n">
        <v>2.1</v>
      </c>
      <c r="J2586" t="n">
        <v>0</v>
      </c>
      <c r="K2586" t="n">
        <v>0</v>
      </c>
      <c r="L2586" t="n">
        <v>0</v>
      </c>
      <c r="M2586" t="n">
        <v>0</v>
      </c>
      <c r="N2586" t="n">
        <v>0</v>
      </c>
      <c r="O2586" t="n">
        <v>0</v>
      </c>
      <c r="P2586" t="n">
        <v>0</v>
      </c>
      <c r="Q2586" t="n">
        <v>0</v>
      </c>
      <c r="R2586" t="n">
        <v>0</v>
      </c>
      <c r="S2586" t="n">
        <v>0</v>
      </c>
      <c r="T2586" t="n">
        <v>0</v>
      </c>
      <c r="U2586" t="n">
        <v>0</v>
      </c>
      <c r="V2586" s="2" t="inlineStr"/>
    </row>
    <row r="2587" ht="15" customHeight="1">
      <c r="A2587" t="inlineStr">
        <is>
          <t>A 22110-2026</t>
        </is>
      </c>
      <c r="B2587" t="inlineStr">
        <is>
          <t>avverkningsanmälan</t>
        </is>
      </c>
      <c r="C2587" t="inlineStr">
        <is>
          <t>Avverkning för annat ändamål</t>
        </is>
      </c>
      <c r="D2587" s="1" t="n">
        <v>46153</v>
      </c>
      <c r="E2587" s="1" t="n">
        <v>46309</v>
      </c>
      <c r="F2587" t="inlineStr">
        <is>
          <t>UPPSALA LÄN</t>
        </is>
      </c>
      <c r="G2587" t="inlineStr">
        <is>
          <t>TIERP</t>
        </is>
      </c>
      <c r="H2587" t="inlineStr">
        <is>
          <t>Kyrkan</t>
        </is>
      </c>
      <c r="I2587" t="n">
        <v>0.5</v>
      </c>
      <c r="J2587" t="n">
        <v>0</v>
      </c>
      <c r="K2587" t="n">
        <v>0</v>
      </c>
      <c r="L2587" t="n">
        <v>0</v>
      </c>
      <c r="M2587" t="n">
        <v>0</v>
      </c>
      <c r="N2587" t="n">
        <v>0</v>
      </c>
      <c r="O2587" t="n">
        <v>0</v>
      </c>
      <c r="P2587" t="n">
        <v>0</v>
      </c>
      <c r="Q2587" t="n">
        <v>0</v>
      </c>
      <c r="R2587" t="n">
        <v>0</v>
      </c>
      <c r="S2587" t="n">
        <v>0</v>
      </c>
      <c r="T2587" t="n">
        <v>0</v>
      </c>
      <c r="U2587" t="n">
        <v>0</v>
      </c>
      <c r="V2587" s="2" t="inlineStr"/>
    </row>
    <row r="2588" ht="15" customHeight="1">
      <c r="A2588" t="inlineStr">
        <is>
          <t>A 30764-2023</t>
        </is>
      </c>
      <c r="B2588" t="inlineStr">
        <is>
          <t>avverkningsanmälan</t>
        </is>
      </c>
      <c r="C2588" t="inlineStr">
        <is>
          <t>Föryngringsavverkning</t>
        </is>
      </c>
      <c r="D2588" s="1" t="n">
        <v>45112</v>
      </c>
      <c r="E2588" s="1" t="n">
        <v>46309</v>
      </c>
      <c r="F2588" t="inlineStr">
        <is>
          <t>UPPSALA LÄN</t>
        </is>
      </c>
      <c r="G2588" t="inlineStr">
        <is>
          <t>KNIVSTA</t>
        </is>
      </c>
      <c r="H2588" t="inlineStr">
        <is>
          <t>Holmen skog AB</t>
        </is>
      </c>
      <c r="I2588" t="n">
        <v>0.9</v>
      </c>
      <c r="J2588" t="n">
        <v>0</v>
      </c>
      <c r="K2588" t="n">
        <v>0</v>
      </c>
      <c r="L2588" t="n">
        <v>0</v>
      </c>
      <c r="M2588" t="n">
        <v>0</v>
      </c>
      <c r="N2588" t="n">
        <v>0</v>
      </c>
      <c r="O2588" t="n">
        <v>0</v>
      </c>
      <c r="P2588" t="n">
        <v>0</v>
      </c>
      <c r="Q2588" t="n">
        <v>0</v>
      </c>
      <c r="R2588" t="n">
        <v>0</v>
      </c>
      <c r="S2588" t="n">
        <v>0</v>
      </c>
      <c r="T2588" t="n">
        <v>0</v>
      </c>
      <c r="U2588" t="n">
        <v>0</v>
      </c>
      <c r="V2588" s="2" t="inlineStr"/>
    </row>
    <row r="2589" ht="15" customHeight="1">
      <c r="A2589" t="inlineStr">
        <is>
          <t>A 36029-2025</t>
        </is>
      </c>
      <c r="B2589" t="inlineStr">
        <is>
          <t>avverkningsanmälan</t>
        </is>
      </c>
      <c r="C2589" t="inlineStr">
        <is>
          <t>Föryngringsavverkning</t>
        </is>
      </c>
      <c r="D2589" s="1" t="n">
        <v>45865</v>
      </c>
      <c r="E2589" s="1" t="n">
        <v>46309</v>
      </c>
      <c r="F2589" t="inlineStr">
        <is>
          <t>UPPSALA LÄN</t>
        </is>
      </c>
      <c r="G2589" t="inlineStr">
        <is>
          <t>TIERP</t>
        </is>
      </c>
      <c r="H2589" t="inlineStr">
        <is>
          <t>Bergvik skog väst AB</t>
        </is>
      </c>
      <c r="I2589" t="n">
        <v>1.3</v>
      </c>
      <c r="J2589" t="n">
        <v>0</v>
      </c>
      <c r="K2589" t="n">
        <v>0</v>
      </c>
      <c r="L2589" t="n">
        <v>0</v>
      </c>
      <c r="M2589" t="n">
        <v>0</v>
      </c>
      <c r="N2589" t="n">
        <v>0</v>
      </c>
      <c r="O2589" t="n">
        <v>0</v>
      </c>
      <c r="P2589" t="n">
        <v>0</v>
      </c>
      <c r="Q2589" t="n">
        <v>0</v>
      </c>
      <c r="R2589" t="n">
        <v>0</v>
      </c>
      <c r="S2589" t="n">
        <v>0</v>
      </c>
      <c r="T2589" t="n">
        <v>0</v>
      </c>
      <c r="U2589" t="n">
        <v>0</v>
      </c>
      <c r="V2589" s="2" t="inlineStr"/>
    </row>
    <row r="2590" ht="15" customHeight="1">
      <c r="A2590" t="inlineStr">
        <is>
          <t>A 34593-2023</t>
        </is>
      </c>
      <c r="B2590" t="inlineStr">
        <is>
          <t>avverkningsanmälan</t>
        </is>
      </c>
      <c r="C2590" t="inlineStr">
        <is>
          <t>Avverkning för annat ändamål</t>
        </is>
      </c>
      <c r="D2590" s="1" t="n">
        <v>45138</v>
      </c>
      <c r="E2590" s="1" t="n">
        <v>46309</v>
      </c>
      <c r="F2590" t="inlineStr">
        <is>
          <t>UPPSALA LÄN</t>
        </is>
      </c>
      <c r="G2590" t="inlineStr">
        <is>
          <t>HEBY</t>
        </is>
      </c>
      <c r="I2590" t="n">
        <v>0.2</v>
      </c>
      <c r="J2590" t="n">
        <v>0</v>
      </c>
      <c r="K2590" t="n">
        <v>0</v>
      </c>
      <c r="L2590" t="n">
        <v>0</v>
      </c>
      <c r="M2590" t="n">
        <v>0</v>
      </c>
      <c r="N2590" t="n">
        <v>0</v>
      </c>
      <c r="O2590" t="n">
        <v>0</v>
      </c>
      <c r="P2590" t="n">
        <v>0</v>
      </c>
      <c r="Q2590" t="n">
        <v>0</v>
      </c>
      <c r="R2590" t="n">
        <v>0</v>
      </c>
      <c r="S2590" t="n">
        <v>0</v>
      </c>
      <c r="T2590" t="n">
        <v>0</v>
      </c>
      <c r="U2590" t="n">
        <v>0</v>
      </c>
      <c r="V2590" s="2" t="inlineStr"/>
    </row>
    <row r="2591" ht="15" customHeight="1">
      <c r="A2591" t="inlineStr">
        <is>
          <t>A 50395-2023</t>
        </is>
      </c>
      <c r="B2591" t="inlineStr">
        <is>
          <t>avverkningsanmälan</t>
        </is>
      </c>
      <c r="C2591" t="inlineStr">
        <is>
          <t>Föryngringsavverkning</t>
        </is>
      </c>
      <c r="D2591" s="1" t="n">
        <v>45216</v>
      </c>
      <c r="E2591" s="1" t="n">
        <v>46309</v>
      </c>
      <c r="F2591" t="inlineStr">
        <is>
          <t>UPPSALA LÄN</t>
        </is>
      </c>
      <c r="G2591" t="inlineStr">
        <is>
          <t>UPPSALA</t>
        </is>
      </c>
      <c r="I2591" t="n">
        <v>2.3</v>
      </c>
      <c r="J2591" t="n">
        <v>0</v>
      </c>
      <c r="K2591" t="n">
        <v>0</v>
      </c>
      <c r="L2591" t="n">
        <v>0</v>
      </c>
      <c r="M2591" t="n">
        <v>0</v>
      </c>
      <c r="N2591" t="n">
        <v>0</v>
      </c>
      <c r="O2591" t="n">
        <v>0</v>
      </c>
      <c r="P2591" t="n">
        <v>0</v>
      </c>
      <c r="Q2591" t="n">
        <v>0</v>
      </c>
      <c r="R2591" t="n">
        <v>0</v>
      </c>
      <c r="S2591" t="n">
        <v>0</v>
      </c>
      <c r="T2591" t="n">
        <v>0</v>
      </c>
      <c r="U2591" t="n">
        <v>0</v>
      </c>
      <c r="V2591" s="2" t="inlineStr"/>
    </row>
    <row r="2592" ht="15" customHeight="1">
      <c r="A2592" t="inlineStr">
        <is>
          <t>A 50473-2023</t>
        </is>
      </c>
      <c r="B2592" t="inlineStr">
        <is>
          <t>avverkningsanmälan</t>
        </is>
      </c>
      <c r="C2592" t="inlineStr">
        <is>
          <t>Föryngringsavverkning</t>
        </is>
      </c>
      <c r="D2592" s="1" t="n">
        <v>45216</v>
      </c>
      <c r="E2592" s="1" t="n">
        <v>46309</v>
      </c>
      <c r="F2592" t="inlineStr">
        <is>
          <t>UPPSALA LÄN</t>
        </is>
      </c>
      <c r="G2592" t="inlineStr">
        <is>
          <t>UPPSALA</t>
        </is>
      </c>
      <c r="H2592" t="inlineStr">
        <is>
          <t>Allmännings- och besparingsskogar</t>
        </is>
      </c>
      <c r="I2592" t="n">
        <v>7.6</v>
      </c>
      <c r="J2592" t="n">
        <v>0</v>
      </c>
      <c r="K2592" t="n">
        <v>0</v>
      </c>
      <c r="L2592" t="n">
        <v>0</v>
      </c>
      <c r="M2592" t="n">
        <v>0</v>
      </c>
      <c r="N2592" t="n">
        <v>0</v>
      </c>
      <c r="O2592" t="n">
        <v>0</v>
      </c>
      <c r="P2592" t="n">
        <v>0</v>
      </c>
      <c r="Q2592" t="n">
        <v>0</v>
      </c>
      <c r="R2592" t="n">
        <v>0</v>
      </c>
      <c r="S2592" t="n">
        <v>0</v>
      </c>
      <c r="T2592" t="n">
        <v>0</v>
      </c>
      <c r="U2592" t="n">
        <v>0</v>
      </c>
      <c r="V2592" s="2" t="inlineStr"/>
    </row>
    <row r="2593" ht="15" customHeight="1">
      <c r="A2593" t="inlineStr">
        <is>
          <t>A 5725-2025</t>
        </is>
      </c>
      <c r="B2593" t="inlineStr">
        <is>
          <t>avverkningsanmälan</t>
        </is>
      </c>
      <c r="C2593" t="inlineStr">
        <is>
          <t>Föryngringsavverkning</t>
        </is>
      </c>
      <c r="D2593" s="1" t="n">
        <v>45694</v>
      </c>
      <c r="E2593" s="1" t="n">
        <v>46309</v>
      </c>
      <c r="F2593" t="inlineStr">
        <is>
          <t>UPPSALA LÄN</t>
        </is>
      </c>
      <c r="G2593" t="inlineStr">
        <is>
          <t>UPPSALA</t>
        </is>
      </c>
      <c r="I2593" t="n">
        <v>1.3</v>
      </c>
      <c r="J2593" t="n">
        <v>0</v>
      </c>
      <c r="K2593" t="n">
        <v>0</v>
      </c>
      <c r="L2593" t="n">
        <v>0</v>
      </c>
      <c r="M2593" t="n">
        <v>0</v>
      </c>
      <c r="N2593" t="n">
        <v>0</v>
      </c>
      <c r="O2593" t="n">
        <v>0</v>
      </c>
      <c r="P2593" t="n">
        <v>0</v>
      </c>
      <c r="Q2593" t="n">
        <v>0</v>
      </c>
      <c r="R2593" t="n">
        <v>0</v>
      </c>
      <c r="S2593" t="n">
        <v>0</v>
      </c>
      <c r="T2593" t="n">
        <v>0</v>
      </c>
      <c r="U2593" t="n">
        <v>0</v>
      </c>
      <c r="V2593" s="2" t="inlineStr"/>
    </row>
    <row r="2594" ht="15" customHeight="1">
      <c r="A2594" t="inlineStr">
        <is>
          <t>A 24734-2026</t>
        </is>
      </c>
      <c r="B2594" t="inlineStr">
        <is>
          <t>avverkningsanmälan</t>
        </is>
      </c>
      <c r="C2594" t="inlineStr">
        <is>
          <t>Föryngringsavverkning</t>
        </is>
      </c>
      <c r="D2594" s="1" t="n">
        <v>46171</v>
      </c>
      <c r="E2594" s="1" t="n">
        <v>46309</v>
      </c>
      <c r="F2594" t="inlineStr">
        <is>
          <t>UPPSALA LÄN</t>
        </is>
      </c>
      <c r="G2594" t="inlineStr">
        <is>
          <t>UPPSALA</t>
        </is>
      </c>
      <c r="I2594" t="n">
        <v>3.6</v>
      </c>
      <c r="J2594" t="n">
        <v>0</v>
      </c>
      <c r="K2594" t="n">
        <v>0</v>
      </c>
      <c r="L2594" t="n">
        <v>0</v>
      </c>
      <c r="M2594" t="n">
        <v>0</v>
      </c>
      <c r="N2594" t="n">
        <v>0</v>
      </c>
      <c r="O2594" t="n">
        <v>0</v>
      </c>
      <c r="P2594" t="n">
        <v>0</v>
      </c>
      <c r="Q2594" t="n">
        <v>0</v>
      </c>
      <c r="R2594" t="n">
        <v>0</v>
      </c>
      <c r="S2594" t="n">
        <v>0</v>
      </c>
      <c r="T2594" t="n">
        <v>0</v>
      </c>
      <c r="U2594" t="n">
        <v>0</v>
      </c>
      <c r="V2594" s="2" t="inlineStr"/>
    </row>
    <row r="2595" ht="15" customHeight="1">
      <c r="A2595" t="inlineStr">
        <is>
          <t>A 24685-2026</t>
        </is>
      </c>
      <c r="B2595" t="inlineStr">
        <is>
          <t>avverkningsanmälan</t>
        </is>
      </c>
      <c r="C2595" t="inlineStr">
        <is>
          <t>Föryngringsavverkning</t>
        </is>
      </c>
      <c r="D2595" s="1" t="n">
        <v>46171</v>
      </c>
      <c r="E2595" s="1" t="n">
        <v>46309</v>
      </c>
      <c r="F2595" t="inlineStr">
        <is>
          <t>UPPSALA LÄN</t>
        </is>
      </c>
      <c r="G2595" t="inlineStr">
        <is>
          <t>UPPSALA</t>
        </is>
      </c>
      <c r="H2595" t="inlineStr">
        <is>
          <t>Allmännings- och besparingsskogar</t>
        </is>
      </c>
      <c r="I2595" t="n">
        <v>8.5</v>
      </c>
      <c r="J2595" t="n">
        <v>0</v>
      </c>
      <c r="K2595" t="n">
        <v>0</v>
      </c>
      <c r="L2595" t="n">
        <v>0</v>
      </c>
      <c r="M2595" t="n">
        <v>0</v>
      </c>
      <c r="N2595" t="n">
        <v>0</v>
      </c>
      <c r="O2595" t="n">
        <v>0</v>
      </c>
      <c r="P2595" t="n">
        <v>0</v>
      </c>
      <c r="Q2595" t="n">
        <v>0</v>
      </c>
      <c r="R2595" t="n">
        <v>0</v>
      </c>
      <c r="S2595" t="n">
        <v>0</v>
      </c>
      <c r="T2595" t="n">
        <v>0</v>
      </c>
      <c r="U2595" t="n">
        <v>0</v>
      </c>
      <c r="V2595" s="2" t="inlineStr"/>
    </row>
    <row r="2596" ht="15" customHeight="1">
      <c r="A2596" t="inlineStr">
        <is>
          <t>A 24737-2026</t>
        </is>
      </c>
      <c r="B2596" t="inlineStr">
        <is>
          <t>avverkningsanmälan</t>
        </is>
      </c>
      <c r="C2596" t="inlineStr">
        <is>
          <t>Föryngringsavverkning</t>
        </is>
      </c>
      <c r="D2596" s="1" t="n">
        <v>46171</v>
      </c>
      <c r="E2596" s="1" t="n">
        <v>46309</v>
      </c>
      <c r="F2596" t="inlineStr">
        <is>
          <t>UPPSALA LÄN</t>
        </is>
      </c>
      <c r="G2596" t="inlineStr">
        <is>
          <t>UPPSALA</t>
        </is>
      </c>
      <c r="I2596" t="n">
        <v>1.7</v>
      </c>
      <c r="J2596" t="n">
        <v>0</v>
      </c>
      <c r="K2596" t="n">
        <v>0</v>
      </c>
      <c r="L2596" t="n">
        <v>0</v>
      </c>
      <c r="M2596" t="n">
        <v>0</v>
      </c>
      <c r="N2596" t="n">
        <v>0</v>
      </c>
      <c r="O2596" t="n">
        <v>0</v>
      </c>
      <c r="P2596" t="n">
        <v>0</v>
      </c>
      <c r="Q2596" t="n">
        <v>0</v>
      </c>
      <c r="R2596" t="n">
        <v>0</v>
      </c>
      <c r="S2596" t="n">
        <v>0</v>
      </c>
      <c r="T2596" t="n">
        <v>0</v>
      </c>
      <c r="U2596" t="n">
        <v>0</v>
      </c>
      <c r="V2596" s="2" t="inlineStr"/>
    </row>
    <row r="2597" ht="15" customHeight="1">
      <c r="A2597" t="inlineStr">
        <is>
          <t>A 18183-2022</t>
        </is>
      </c>
      <c r="B2597" t="inlineStr">
        <is>
          <t>avverkningsanmälan</t>
        </is>
      </c>
      <c r="C2597" t="inlineStr">
        <is>
          <t>Föryngringsavverkning</t>
        </is>
      </c>
      <c r="D2597" s="1" t="n">
        <v>44684</v>
      </c>
      <c r="E2597" s="1" t="n">
        <v>46309</v>
      </c>
      <c r="F2597" t="inlineStr">
        <is>
          <t>UPPSALA LÄN</t>
        </is>
      </c>
      <c r="G2597" t="inlineStr">
        <is>
          <t>ÖSTHAMMAR</t>
        </is>
      </c>
      <c r="I2597" t="n">
        <v>0.2</v>
      </c>
      <c r="J2597" t="n">
        <v>0</v>
      </c>
      <c r="K2597" t="n">
        <v>0</v>
      </c>
      <c r="L2597" t="n">
        <v>0</v>
      </c>
      <c r="M2597" t="n">
        <v>0</v>
      </c>
      <c r="N2597" t="n">
        <v>0</v>
      </c>
      <c r="O2597" t="n">
        <v>0</v>
      </c>
      <c r="P2597" t="n">
        <v>0</v>
      </c>
      <c r="Q2597" t="n">
        <v>0</v>
      </c>
      <c r="R2597" t="n">
        <v>0</v>
      </c>
      <c r="S2597" t="n">
        <v>0</v>
      </c>
      <c r="T2597" t="n">
        <v>0</v>
      </c>
      <c r="U2597" t="n">
        <v>0</v>
      </c>
      <c r="V2597" s="2" t="inlineStr"/>
    </row>
    <row r="2598" ht="15" customHeight="1">
      <c r="A2598" t="inlineStr">
        <is>
          <t>A 18130-2022</t>
        </is>
      </c>
      <c r="B2598" t="inlineStr">
        <is>
          <t>avverkningsanmälan</t>
        </is>
      </c>
      <c r="C2598" t="inlineStr">
        <is>
          <t>Föryngringsavverkning</t>
        </is>
      </c>
      <c r="D2598" s="1" t="n">
        <v>44684</v>
      </c>
      <c r="E2598" s="1" t="n">
        <v>46309</v>
      </c>
      <c r="F2598" t="inlineStr">
        <is>
          <t>UPPSALA LÄN</t>
        </is>
      </c>
      <c r="G2598" t="inlineStr">
        <is>
          <t>TIERP</t>
        </is>
      </c>
      <c r="I2598" t="n">
        <v>7.6</v>
      </c>
      <c r="J2598" t="n">
        <v>0</v>
      </c>
      <c r="K2598" t="n">
        <v>0</v>
      </c>
      <c r="L2598" t="n">
        <v>0</v>
      </c>
      <c r="M2598" t="n">
        <v>0</v>
      </c>
      <c r="N2598" t="n">
        <v>0</v>
      </c>
      <c r="O2598" t="n">
        <v>0</v>
      </c>
      <c r="P2598" t="n">
        <v>0</v>
      </c>
      <c r="Q2598" t="n">
        <v>0</v>
      </c>
      <c r="R2598" t="n">
        <v>0</v>
      </c>
      <c r="S2598" t="n">
        <v>0</v>
      </c>
      <c r="T2598" t="n">
        <v>0</v>
      </c>
      <c r="U2598" t="n">
        <v>0</v>
      </c>
      <c r="V2598" s="2" t="inlineStr"/>
    </row>
    <row r="2599" ht="15" customHeight="1">
      <c r="A2599" t="inlineStr">
        <is>
          <t>A 18401-2025</t>
        </is>
      </c>
      <c r="B2599" t="inlineStr">
        <is>
          <t>avverkningsanmälan</t>
        </is>
      </c>
      <c r="C2599" t="inlineStr">
        <is>
          <t>Föryngringsavverkning</t>
        </is>
      </c>
      <c r="D2599" s="1" t="n">
        <v>45762</v>
      </c>
      <c r="E2599" s="1" t="n">
        <v>46309</v>
      </c>
      <c r="F2599" t="inlineStr">
        <is>
          <t>UPPSALA LÄN</t>
        </is>
      </c>
      <c r="G2599" t="inlineStr">
        <is>
          <t>ÖSTHAMMAR</t>
        </is>
      </c>
      <c r="I2599" t="n">
        <v>1.7</v>
      </c>
      <c r="J2599" t="n">
        <v>0</v>
      </c>
      <c r="K2599" t="n">
        <v>0</v>
      </c>
      <c r="L2599" t="n">
        <v>0</v>
      </c>
      <c r="M2599" t="n">
        <v>0</v>
      </c>
      <c r="N2599" t="n">
        <v>0</v>
      </c>
      <c r="O2599" t="n">
        <v>0</v>
      </c>
      <c r="P2599" t="n">
        <v>0</v>
      </c>
      <c r="Q2599" t="n">
        <v>0</v>
      </c>
      <c r="R2599" t="n">
        <v>0</v>
      </c>
      <c r="S2599" t="n">
        <v>0</v>
      </c>
      <c r="T2599" t="n">
        <v>0</v>
      </c>
      <c r="U2599" t="n">
        <v>0</v>
      </c>
      <c r="V2599" s="2" t="inlineStr"/>
    </row>
    <row r="2600" ht="15" customHeight="1">
      <c r="A2600" t="inlineStr">
        <is>
          <t>A 51849-2023</t>
        </is>
      </c>
      <c r="B2600" t="inlineStr">
        <is>
          <t>avverkningsanmälan</t>
        </is>
      </c>
      <c r="C2600" t="inlineStr">
        <is>
          <t>Föryngringsavverkning</t>
        </is>
      </c>
      <c r="D2600" s="1" t="n">
        <v>45223</v>
      </c>
      <c r="E2600" s="1" t="n">
        <v>46309</v>
      </c>
      <c r="F2600" t="inlineStr">
        <is>
          <t>UPPSALA LÄN</t>
        </is>
      </c>
      <c r="G2600" t="inlineStr">
        <is>
          <t>KNIVSTA</t>
        </is>
      </c>
      <c r="I2600" t="n">
        <v>16.3</v>
      </c>
      <c r="J2600" t="n">
        <v>0</v>
      </c>
      <c r="K2600" t="n">
        <v>0</v>
      </c>
      <c r="L2600" t="n">
        <v>0</v>
      </c>
      <c r="M2600" t="n">
        <v>0</v>
      </c>
      <c r="N2600" t="n">
        <v>0</v>
      </c>
      <c r="O2600" t="n">
        <v>0</v>
      </c>
      <c r="P2600" t="n">
        <v>0</v>
      </c>
      <c r="Q2600" t="n">
        <v>0</v>
      </c>
      <c r="R2600" t="n">
        <v>0</v>
      </c>
      <c r="S2600" t="n">
        <v>0</v>
      </c>
      <c r="T2600" t="n">
        <v>0</v>
      </c>
      <c r="U2600" t="n">
        <v>0</v>
      </c>
      <c r="V2600" s="2" t="inlineStr"/>
    </row>
    <row r="2601" ht="15" customHeight="1">
      <c r="A2601" t="inlineStr">
        <is>
          <t>A 4059-2022</t>
        </is>
      </c>
      <c r="B2601" t="inlineStr">
        <is>
          <t>avverkningsanmälan</t>
        </is>
      </c>
      <c r="C2601" t="inlineStr">
        <is>
          <t>Föryngringsavverkning</t>
        </is>
      </c>
      <c r="D2601" s="1" t="n">
        <v>44588</v>
      </c>
      <c r="E2601" s="1" t="n">
        <v>46309</v>
      </c>
      <c r="F2601" t="inlineStr">
        <is>
          <t>UPPSALA LÄN</t>
        </is>
      </c>
      <c r="G2601" t="inlineStr">
        <is>
          <t>UPPSALA</t>
        </is>
      </c>
      <c r="I2601" t="n">
        <v>0.5</v>
      </c>
      <c r="J2601" t="n">
        <v>0</v>
      </c>
      <c r="K2601" t="n">
        <v>0</v>
      </c>
      <c r="L2601" t="n">
        <v>0</v>
      </c>
      <c r="M2601" t="n">
        <v>0</v>
      </c>
      <c r="N2601" t="n">
        <v>0</v>
      </c>
      <c r="O2601" t="n">
        <v>0</v>
      </c>
      <c r="P2601" t="n">
        <v>0</v>
      </c>
      <c r="Q2601" t="n">
        <v>0</v>
      </c>
      <c r="R2601" t="n">
        <v>0</v>
      </c>
      <c r="S2601" t="n">
        <v>0</v>
      </c>
      <c r="T2601" t="n">
        <v>0</v>
      </c>
      <c r="U2601" t="n">
        <v>0</v>
      </c>
      <c r="V2601" s="2" t="inlineStr"/>
    </row>
    <row r="2602" ht="15" customHeight="1">
      <c r="A2602" t="inlineStr">
        <is>
          <t>A 41826-2024</t>
        </is>
      </c>
      <c r="B2602" t="inlineStr">
        <is>
          <t>avverkningsanmälan</t>
        </is>
      </c>
      <c r="C2602" t="inlineStr">
        <is>
          <t>Föryngringsavverkning</t>
        </is>
      </c>
      <c r="D2602" s="1" t="n">
        <v>45561</v>
      </c>
      <c r="E2602" s="1" t="n">
        <v>46309</v>
      </c>
      <c r="F2602" t="inlineStr">
        <is>
          <t>UPPSALA LÄN</t>
        </is>
      </c>
      <c r="G2602" t="inlineStr">
        <is>
          <t>ENKÖPING</t>
        </is>
      </c>
      <c r="I2602" t="n">
        <v>0.5</v>
      </c>
      <c r="J2602" t="n">
        <v>0</v>
      </c>
      <c r="K2602" t="n">
        <v>0</v>
      </c>
      <c r="L2602" t="n">
        <v>0</v>
      </c>
      <c r="M2602" t="n">
        <v>0</v>
      </c>
      <c r="N2602" t="n">
        <v>0</v>
      </c>
      <c r="O2602" t="n">
        <v>0</v>
      </c>
      <c r="P2602" t="n">
        <v>0</v>
      </c>
      <c r="Q2602" t="n">
        <v>0</v>
      </c>
      <c r="R2602" t="n">
        <v>0</v>
      </c>
      <c r="S2602" t="n">
        <v>0</v>
      </c>
      <c r="T2602" t="n">
        <v>0</v>
      </c>
      <c r="U2602" t="n">
        <v>0</v>
      </c>
      <c r="V2602" s="2" t="inlineStr"/>
    </row>
    <row r="2603" ht="15" customHeight="1">
      <c r="A2603" t="inlineStr">
        <is>
          <t>A 48564-2023</t>
        </is>
      </c>
      <c r="B2603" t="inlineStr">
        <is>
          <t>avverkningsanmälan</t>
        </is>
      </c>
      <c r="C2603" t="inlineStr">
        <is>
          <t>Föryngringsavverkning</t>
        </is>
      </c>
      <c r="D2603" s="1" t="n">
        <v>45208</v>
      </c>
      <c r="E2603" s="1" t="n">
        <v>46309</v>
      </c>
      <c r="F2603" t="inlineStr">
        <is>
          <t>UPPSALA LÄN</t>
        </is>
      </c>
      <c r="G2603" t="inlineStr">
        <is>
          <t>UPPSALA</t>
        </is>
      </c>
      <c r="I2603" t="n">
        <v>1.3</v>
      </c>
      <c r="J2603" t="n">
        <v>0</v>
      </c>
      <c r="K2603" t="n">
        <v>0</v>
      </c>
      <c r="L2603" t="n">
        <v>0</v>
      </c>
      <c r="M2603" t="n">
        <v>0</v>
      </c>
      <c r="N2603" t="n">
        <v>0</v>
      </c>
      <c r="O2603" t="n">
        <v>0</v>
      </c>
      <c r="P2603" t="n">
        <v>0</v>
      </c>
      <c r="Q2603" t="n">
        <v>0</v>
      </c>
      <c r="R2603" t="n">
        <v>0</v>
      </c>
      <c r="S2603" t="n">
        <v>0</v>
      </c>
      <c r="T2603" t="n">
        <v>0</v>
      </c>
      <c r="U2603" t="n">
        <v>0</v>
      </c>
      <c r="V2603" s="2" t="inlineStr"/>
    </row>
    <row r="2604" ht="15" customHeight="1">
      <c r="A2604" t="inlineStr">
        <is>
          <t>A 24558-2026</t>
        </is>
      </c>
      <c r="B2604" t="inlineStr">
        <is>
          <t>avverkningsanmälan</t>
        </is>
      </c>
      <c r="C2604" t="inlineStr">
        <is>
          <t>Föryngringsavverkning</t>
        </is>
      </c>
      <c r="D2604" s="1" t="n">
        <v>46170</v>
      </c>
      <c r="E2604" s="1" t="n">
        <v>46309</v>
      </c>
      <c r="F2604" t="inlineStr">
        <is>
          <t>UPPSALA LÄN</t>
        </is>
      </c>
      <c r="G2604" t="inlineStr">
        <is>
          <t>TIERP</t>
        </is>
      </c>
      <c r="H2604" t="inlineStr">
        <is>
          <t>Bergvik skog väst AB</t>
        </is>
      </c>
      <c r="I2604" t="n">
        <v>8.300000000000001</v>
      </c>
      <c r="J2604" t="n">
        <v>0</v>
      </c>
      <c r="K2604" t="n">
        <v>0</v>
      </c>
      <c r="L2604" t="n">
        <v>0</v>
      </c>
      <c r="M2604" t="n">
        <v>0</v>
      </c>
      <c r="N2604" t="n">
        <v>0</v>
      </c>
      <c r="O2604" t="n">
        <v>0</v>
      </c>
      <c r="P2604" t="n">
        <v>0</v>
      </c>
      <c r="Q2604" t="n">
        <v>0</v>
      </c>
      <c r="R2604" t="n">
        <v>0</v>
      </c>
      <c r="S2604" t="n">
        <v>0</v>
      </c>
      <c r="T2604" t="n">
        <v>0</v>
      </c>
      <c r="U2604" t="n">
        <v>0</v>
      </c>
      <c r="V2604" s="2" t="inlineStr"/>
    </row>
    <row r="2605" ht="15" customHeight="1">
      <c r="A2605" t="inlineStr">
        <is>
          <t>A 33973-2025</t>
        </is>
      </c>
      <c r="B2605" t="inlineStr">
        <is>
          <t>avverkningsanmälan</t>
        </is>
      </c>
      <c r="C2605" t="inlineStr">
        <is>
          <t>Föryngringsavverkning</t>
        </is>
      </c>
      <c r="D2605" s="1" t="n">
        <v>45842</v>
      </c>
      <c r="E2605" s="1" t="n">
        <v>46309</v>
      </c>
      <c r="F2605" t="inlineStr">
        <is>
          <t>UPPSALA LÄN</t>
        </is>
      </c>
      <c r="G2605" t="inlineStr">
        <is>
          <t>ÖSTHAMMAR</t>
        </is>
      </c>
      <c r="I2605" t="n">
        <v>1.9</v>
      </c>
      <c r="J2605" t="n">
        <v>0</v>
      </c>
      <c r="K2605" t="n">
        <v>0</v>
      </c>
      <c r="L2605" t="n">
        <v>0</v>
      </c>
      <c r="M2605" t="n">
        <v>0</v>
      </c>
      <c r="N2605" t="n">
        <v>0</v>
      </c>
      <c r="O2605" t="n">
        <v>0</v>
      </c>
      <c r="P2605" t="n">
        <v>0</v>
      </c>
      <c r="Q2605" t="n">
        <v>0</v>
      </c>
      <c r="R2605" t="n">
        <v>0</v>
      </c>
      <c r="S2605" t="n">
        <v>0</v>
      </c>
      <c r="T2605" t="n">
        <v>0</v>
      </c>
      <c r="U2605" t="n">
        <v>0</v>
      </c>
      <c r="V2605" s="2" t="inlineStr"/>
    </row>
    <row r="2606" ht="15" customHeight="1">
      <c r="A2606" t="inlineStr">
        <is>
          <t>A 24661-2026</t>
        </is>
      </c>
      <c r="B2606" t="inlineStr">
        <is>
          <t>avverkningsanmälan</t>
        </is>
      </c>
      <c r="C2606" t="inlineStr">
        <is>
          <t>Föryngringsavverkning</t>
        </is>
      </c>
      <c r="D2606" s="1" t="n">
        <v>46171</v>
      </c>
      <c r="E2606" s="1" t="n">
        <v>46309</v>
      </c>
      <c r="F2606" t="inlineStr">
        <is>
          <t>UPPSALA LÄN</t>
        </is>
      </c>
      <c r="G2606" t="inlineStr">
        <is>
          <t>TIERP</t>
        </is>
      </c>
      <c r="I2606" t="n">
        <v>0.8</v>
      </c>
      <c r="J2606" t="n">
        <v>0</v>
      </c>
      <c r="K2606" t="n">
        <v>0</v>
      </c>
      <c r="L2606" t="n">
        <v>0</v>
      </c>
      <c r="M2606" t="n">
        <v>0</v>
      </c>
      <c r="N2606" t="n">
        <v>0</v>
      </c>
      <c r="O2606" t="n">
        <v>0</v>
      </c>
      <c r="P2606" t="n">
        <v>0</v>
      </c>
      <c r="Q2606" t="n">
        <v>0</v>
      </c>
      <c r="R2606" t="n">
        <v>0</v>
      </c>
      <c r="S2606" t="n">
        <v>0</v>
      </c>
      <c r="T2606" t="n">
        <v>0</v>
      </c>
      <c r="U2606" t="n">
        <v>0</v>
      </c>
      <c r="V2606" s="2" t="inlineStr"/>
    </row>
    <row r="2607" ht="15" customHeight="1">
      <c r="A2607" t="inlineStr">
        <is>
          <t>A 19654-2022</t>
        </is>
      </c>
      <c r="B2607" t="inlineStr">
        <is>
          <t>avverkningsanmälan</t>
        </is>
      </c>
      <c r="C2607" t="inlineStr">
        <is>
          <t>Föryngringsavverkning</t>
        </is>
      </c>
      <c r="D2607" s="1" t="n">
        <v>44694</v>
      </c>
      <c r="E2607" s="1" t="n">
        <v>46309</v>
      </c>
      <c r="F2607" t="inlineStr">
        <is>
          <t>UPPSALA LÄN</t>
        </is>
      </c>
      <c r="G2607" t="inlineStr">
        <is>
          <t>HEBY</t>
        </is>
      </c>
      <c r="I2607" t="n">
        <v>1.3</v>
      </c>
      <c r="J2607" t="n">
        <v>0</v>
      </c>
      <c r="K2607" t="n">
        <v>0</v>
      </c>
      <c r="L2607" t="n">
        <v>0</v>
      </c>
      <c r="M2607" t="n">
        <v>0</v>
      </c>
      <c r="N2607" t="n">
        <v>0</v>
      </c>
      <c r="O2607" t="n">
        <v>0</v>
      </c>
      <c r="P2607" t="n">
        <v>0</v>
      </c>
      <c r="Q2607" t="n">
        <v>0</v>
      </c>
      <c r="R2607" t="n">
        <v>0</v>
      </c>
      <c r="S2607" t="n">
        <v>0</v>
      </c>
      <c r="T2607" t="n">
        <v>0</v>
      </c>
      <c r="U2607" t="n">
        <v>0</v>
      </c>
      <c r="V2607" s="2" t="inlineStr"/>
    </row>
    <row r="2608" ht="15" customHeight="1">
      <c r="A2608" t="inlineStr">
        <is>
          <t>A 7501-2025</t>
        </is>
      </c>
      <c r="B2608" t="inlineStr">
        <is>
          <t>avverkningsanmälan</t>
        </is>
      </c>
      <c r="C2608" t="inlineStr">
        <is>
          <t>Föryngringsavverkning</t>
        </is>
      </c>
      <c r="D2608" s="1" t="n">
        <v>45705</v>
      </c>
      <c r="E2608" s="1" t="n">
        <v>46309</v>
      </c>
      <c r="F2608" t="inlineStr">
        <is>
          <t>UPPSALA LÄN</t>
        </is>
      </c>
      <c r="G2608" t="inlineStr">
        <is>
          <t>UPPSALA</t>
        </is>
      </c>
      <c r="I2608" t="n">
        <v>4.2</v>
      </c>
      <c r="J2608" t="n">
        <v>0</v>
      </c>
      <c r="K2608" t="n">
        <v>0</v>
      </c>
      <c r="L2608" t="n">
        <v>0</v>
      </c>
      <c r="M2608" t="n">
        <v>0</v>
      </c>
      <c r="N2608" t="n">
        <v>0</v>
      </c>
      <c r="O2608" t="n">
        <v>0</v>
      </c>
      <c r="P2608" t="n">
        <v>0</v>
      </c>
      <c r="Q2608" t="n">
        <v>0</v>
      </c>
      <c r="R2608" t="n">
        <v>0</v>
      </c>
      <c r="S2608" t="n">
        <v>0</v>
      </c>
      <c r="T2608" t="n">
        <v>0</v>
      </c>
      <c r="U2608" t="n">
        <v>0</v>
      </c>
      <c r="V2608" s="2" t="inlineStr"/>
    </row>
    <row r="2609" ht="15" customHeight="1">
      <c r="A2609" t="inlineStr">
        <is>
          <t>A 16531-2025</t>
        </is>
      </c>
      <c r="B2609" t="inlineStr">
        <is>
          <t>avverkningsanmälan</t>
        </is>
      </c>
      <c r="C2609" t="inlineStr">
        <is>
          <t>Avverkning för annat ändamål</t>
        </is>
      </c>
      <c r="D2609" s="1" t="n">
        <v>45751</v>
      </c>
      <c r="E2609" s="1" t="n">
        <v>46309</v>
      </c>
      <c r="F2609" t="inlineStr">
        <is>
          <t>UPPSALA LÄN</t>
        </is>
      </c>
      <c r="G2609" t="inlineStr">
        <is>
          <t>ÖSTHAMMAR</t>
        </is>
      </c>
      <c r="I2609" t="n">
        <v>3.3</v>
      </c>
      <c r="J2609" t="n">
        <v>0</v>
      </c>
      <c r="K2609" t="n">
        <v>0</v>
      </c>
      <c r="L2609" t="n">
        <v>0</v>
      </c>
      <c r="M2609" t="n">
        <v>0</v>
      </c>
      <c r="N2609" t="n">
        <v>0</v>
      </c>
      <c r="O2609" t="n">
        <v>0</v>
      </c>
      <c r="P2609" t="n">
        <v>0</v>
      </c>
      <c r="Q2609" t="n">
        <v>0</v>
      </c>
      <c r="R2609" t="n">
        <v>0</v>
      </c>
      <c r="S2609" t="n">
        <v>0</v>
      </c>
      <c r="T2609" t="n">
        <v>0</v>
      </c>
      <c r="U2609" t="n">
        <v>0</v>
      </c>
      <c r="V2609" s="2" t="inlineStr"/>
    </row>
    <row r="2610" ht="15" customHeight="1">
      <c r="A2610" t="inlineStr">
        <is>
          <t>A 16916-2022</t>
        </is>
      </c>
      <c r="B2610" t="inlineStr">
        <is>
          <t>avverkningsanmälan</t>
        </is>
      </c>
      <c r="C2610" t="inlineStr">
        <is>
          <t>Föryngringsavverkning</t>
        </is>
      </c>
      <c r="D2610" s="1" t="n">
        <v>44676</v>
      </c>
      <c r="E2610" s="1" t="n">
        <v>46309</v>
      </c>
      <c r="F2610" t="inlineStr">
        <is>
          <t>UPPSALA LÄN</t>
        </is>
      </c>
      <c r="G2610" t="inlineStr">
        <is>
          <t>ENKÖPING</t>
        </is>
      </c>
      <c r="I2610" t="n">
        <v>1</v>
      </c>
      <c r="J2610" t="n">
        <v>0</v>
      </c>
      <c r="K2610" t="n">
        <v>0</v>
      </c>
      <c r="L2610" t="n">
        <v>0</v>
      </c>
      <c r="M2610" t="n">
        <v>0</v>
      </c>
      <c r="N2610" t="n">
        <v>0</v>
      </c>
      <c r="O2610" t="n">
        <v>0</v>
      </c>
      <c r="P2610" t="n">
        <v>0</v>
      </c>
      <c r="Q2610" t="n">
        <v>0</v>
      </c>
      <c r="R2610" t="n">
        <v>0</v>
      </c>
      <c r="S2610" t="n">
        <v>0</v>
      </c>
      <c r="T2610" t="n">
        <v>0</v>
      </c>
      <c r="U2610" t="n">
        <v>0</v>
      </c>
      <c r="V2610" s="2" t="inlineStr"/>
    </row>
    <row r="2611" ht="15" customHeight="1">
      <c r="A2611" t="inlineStr">
        <is>
          <t>A 24991-2026</t>
        </is>
      </c>
      <c r="B2611" t="inlineStr">
        <is>
          <t>avverkningsanmälan</t>
        </is>
      </c>
      <c r="C2611" t="inlineStr">
        <is>
          <t>Föryngringsavverkning</t>
        </is>
      </c>
      <c r="D2611" s="1" t="n">
        <v>46174</v>
      </c>
      <c r="E2611" s="1" t="n">
        <v>46309</v>
      </c>
      <c r="F2611" t="inlineStr">
        <is>
          <t>UPPSALA LÄN</t>
        </is>
      </c>
      <c r="G2611" t="inlineStr">
        <is>
          <t>HEBY</t>
        </is>
      </c>
      <c r="I2611" t="n">
        <v>1.5</v>
      </c>
      <c r="J2611" t="n">
        <v>0</v>
      </c>
      <c r="K2611" t="n">
        <v>0</v>
      </c>
      <c r="L2611" t="n">
        <v>0</v>
      </c>
      <c r="M2611" t="n">
        <v>0</v>
      </c>
      <c r="N2611" t="n">
        <v>0</v>
      </c>
      <c r="O2611" t="n">
        <v>0</v>
      </c>
      <c r="P2611" t="n">
        <v>0</v>
      </c>
      <c r="Q2611" t="n">
        <v>0</v>
      </c>
      <c r="R2611" t="n">
        <v>0</v>
      </c>
      <c r="S2611" t="n">
        <v>0</v>
      </c>
      <c r="T2611" t="n">
        <v>0</v>
      </c>
      <c r="U2611" t="n">
        <v>0</v>
      </c>
      <c r="V2611" s="2" t="inlineStr"/>
    </row>
    <row r="2612" ht="15" customHeight="1">
      <c r="A2612" t="inlineStr">
        <is>
          <t>A 60018-2024</t>
        </is>
      </c>
      <c r="B2612" t="inlineStr">
        <is>
          <t>avverkningsanmälan</t>
        </is>
      </c>
      <c r="C2612" t="inlineStr">
        <is>
          <t>Föryngringsavverkning</t>
        </is>
      </c>
      <c r="D2612" s="1" t="n">
        <v>45642</v>
      </c>
      <c r="E2612" s="1" t="n">
        <v>46309</v>
      </c>
      <c r="F2612" t="inlineStr">
        <is>
          <t>UPPSALA LÄN</t>
        </is>
      </c>
      <c r="G2612" t="inlineStr">
        <is>
          <t>KNIVSTA</t>
        </is>
      </c>
      <c r="I2612" t="n">
        <v>4.1</v>
      </c>
      <c r="J2612" t="n">
        <v>0</v>
      </c>
      <c r="K2612" t="n">
        <v>0</v>
      </c>
      <c r="L2612" t="n">
        <v>0</v>
      </c>
      <c r="M2612" t="n">
        <v>0</v>
      </c>
      <c r="N2612" t="n">
        <v>0</v>
      </c>
      <c r="O2612" t="n">
        <v>0</v>
      </c>
      <c r="P2612" t="n">
        <v>0</v>
      </c>
      <c r="Q2612" t="n">
        <v>0</v>
      </c>
      <c r="R2612" t="n">
        <v>0</v>
      </c>
      <c r="S2612" t="n">
        <v>0</v>
      </c>
      <c r="T2612" t="n">
        <v>0</v>
      </c>
      <c r="U2612" t="n">
        <v>0</v>
      </c>
      <c r="V2612" s="2" t="inlineStr"/>
    </row>
    <row r="2613" ht="15" customHeight="1">
      <c r="A2613" t="inlineStr">
        <is>
          <t>A 28170-2023</t>
        </is>
      </c>
      <c r="B2613" t="inlineStr">
        <is>
          <t>avverkningsanmälan</t>
        </is>
      </c>
      <c r="C2613" t="inlineStr">
        <is>
          <t>Föryngringsavverkning</t>
        </is>
      </c>
      <c r="D2613" s="1" t="n">
        <v>45093</v>
      </c>
      <c r="E2613" s="1" t="n">
        <v>46309</v>
      </c>
      <c r="F2613" t="inlineStr">
        <is>
          <t>UPPSALA LÄN</t>
        </is>
      </c>
      <c r="G2613" t="inlineStr">
        <is>
          <t>ÖSTHAMMAR</t>
        </is>
      </c>
      <c r="I2613" t="n">
        <v>7.2</v>
      </c>
      <c r="J2613" t="n">
        <v>0</v>
      </c>
      <c r="K2613" t="n">
        <v>0</v>
      </c>
      <c r="L2613" t="n">
        <v>0</v>
      </c>
      <c r="M2613" t="n">
        <v>0</v>
      </c>
      <c r="N2613" t="n">
        <v>0</v>
      </c>
      <c r="O2613" t="n">
        <v>0</v>
      </c>
      <c r="P2613" t="n">
        <v>0</v>
      </c>
      <c r="Q2613" t="n">
        <v>0</v>
      </c>
      <c r="R2613" t="n">
        <v>0</v>
      </c>
      <c r="S2613" t="n">
        <v>0</v>
      </c>
      <c r="T2613" t="n">
        <v>0</v>
      </c>
      <c r="U2613" t="n">
        <v>0</v>
      </c>
      <c r="V2613" s="2" t="inlineStr"/>
    </row>
    <row r="2614" ht="15" customHeight="1">
      <c r="A2614" t="inlineStr">
        <is>
          <t>A 42273-2023</t>
        </is>
      </c>
      <c r="B2614" t="inlineStr">
        <is>
          <t>avverkningsanmälan</t>
        </is>
      </c>
      <c r="C2614" t="inlineStr">
        <is>
          <t>Föryngringsavverkning</t>
        </is>
      </c>
      <c r="D2614" s="1" t="n">
        <v>45180</v>
      </c>
      <c r="E2614" s="1" t="n">
        <v>46309</v>
      </c>
      <c r="F2614" t="inlineStr">
        <is>
          <t>UPPSALA LÄN</t>
        </is>
      </c>
      <c r="G2614" t="inlineStr">
        <is>
          <t>UPPSALA</t>
        </is>
      </c>
      <c r="H2614" t="inlineStr">
        <is>
          <t>Bergvik skog öst AB</t>
        </is>
      </c>
      <c r="I2614" t="n">
        <v>0.9</v>
      </c>
      <c r="J2614" t="n">
        <v>0</v>
      </c>
      <c r="K2614" t="n">
        <v>0</v>
      </c>
      <c r="L2614" t="n">
        <v>0</v>
      </c>
      <c r="M2614" t="n">
        <v>0</v>
      </c>
      <c r="N2614" t="n">
        <v>0</v>
      </c>
      <c r="O2614" t="n">
        <v>0</v>
      </c>
      <c r="P2614" t="n">
        <v>0</v>
      </c>
      <c r="Q2614" t="n">
        <v>0</v>
      </c>
      <c r="R2614" t="n">
        <v>0</v>
      </c>
      <c r="S2614" t="n">
        <v>0</v>
      </c>
      <c r="T2614" t="n">
        <v>0</v>
      </c>
      <c r="U2614" t="n">
        <v>0</v>
      </c>
      <c r="V2614" s="2" t="inlineStr"/>
    </row>
    <row r="2615" ht="15" customHeight="1">
      <c r="A2615" t="inlineStr">
        <is>
          <t>A 16253-2022</t>
        </is>
      </c>
      <c r="B2615" t="inlineStr">
        <is>
          <t>avverkningsanmälan</t>
        </is>
      </c>
      <c r="C2615" t="inlineStr">
        <is>
          <t>Föryngringsavverkning</t>
        </is>
      </c>
      <c r="D2615" s="1" t="n">
        <v>44670</v>
      </c>
      <c r="E2615" s="1" t="n">
        <v>46309</v>
      </c>
      <c r="F2615" t="inlineStr">
        <is>
          <t>UPPSALA LÄN</t>
        </is>
      </c>
      <c r="G2615" t="inlineStr">
        <is>
          <t>TIERP</t>
        </is>
      </c>
      <c r="I2615" t="n">
        <v>1</v>
      </c>
      <c r="J2615" t="n">
        <v>0</v>
      </c>
      <c r="K2615" t="n">
        <v>0</v>
      </c>
      <c r="L2615" t="n">
        <v>0</v>
      </c>
      <c r="M2615" t="n">
        <v>0</v>
      </c>
      <c r="N2615" t="n">
        <v>0</v>
      </c>
      <c r="O2615" t="n">
        <v>0</v>
      </c>
      <c r="P2615" t="n">
        <v>0</v>
      </c>
      <c r="Q2615" t="n">
        <v>0</v>
      </c>
      <c r="R2615" t="n">
        <v>0</v>
      </c>
      <c r="S2615" t="n">
        <v>0</v>
      </c>
      <c r="T2615" t="n">
        <v>0</v>
      </c>
      <c r="U2615" t="n">
        <v>0</v>
      </c>
      <c r="V2615" s="2" t="inlineStr"/>
    </row>
    <row r="2616" ht="15" customHeight="1">
      <c r="A2616" t="inlineStr">
        <is>
          <t>A 8877-2022</t>
        </is>
      </c>
      <c r="B2616" t="inlineStr">
        <is>
          <t>avverkningsanmälan</t>
        </is>
      </c>
      <c r="C2616" t="inlineStr">
        <is>
          <t>Föryngringsavverkning</t>
        </is>
      </c>
      <c r="D2616" s="1" t="n">
        <v>44614</v>
      </c>
      <c r="E2616" s="1" t="n">
        <v>46309</v>
      </c>
      <c r="F2616" t="inlineStr">
        <is>
          <t>UPPSALA LÄN</t>
        </is>
      </c>
      <c r="G2616" t="inlineStr">
        <is>
          <t>UPPSALA</t>
        </is>
      </c>
      <c r="I2616" t="n">
        <v>1.4</v>
      </c>
      <c r="J2616" t="n">
        <v>0</v>
      </c>
      <c r="K2616" t="n">
        <v>0</v>
      </c>
      <c r="L2616" t="n">
        <v>0</v>
      </c>
      <c r="M2616" t="n">
        <v>0</v>
      </c>
      <c r="N2616" t="n">
        <v>0</v>
      </c>
      <c r="O2616" t="n">
        <v>0</v>
      </c>
      <c r="P2616" t="n">
        <v>0</v>
      </c>
      <c r="Q2616" t="n">
        <v>0</v>
      </c>
      <c r="R2616" t="n">
        <v>0</v>
      </c>
      <c r="S2616" t="n">
        <v>0</v>
      </c>
      <c r="T2616" t="n">
        <v>0</v>
      </c>
      <c r="U2616" t="n">
        <v>0</v>
      </c>
      <c r="V2616" s="2" t="inlineStr"/>
    </row>
    <row r="2617" ht="15" customHeight="1">
      <c r="A2617" t="inlineStr">
        <is>
          <t>A 44115-2024</t>
        </is>
      </c>
      <c r="B2617" t="inlineStr">
        <is>
          <t>avverkningsanmälan</t>
        </is>
      </c>
      <c r="C2617" t="inlineStr">
        <is>
          <t>Avverkning för annat ändamål</t>
        </is>
      </c>
      <c r="D2617" s="1" t="n">
        <v>45572</v>
      </c>
      <c r="E2617" s="1" t="n">
        <v>46309</v>
      </c>
      <c r="F2617" t="inlineStr">
        <is>
          <t>UPPSALA LÄN</t>
        </is>
      </c>
      <c r="G2617" t="inlineStr">
        <is>
          <t>ENKÖPING</t>
        </is>
      </c>
      <c r="I2617" t="n">
        <v>0.8</v>
      </c>
      <c r="J2617" t="n">
        <v>0</v>
      </c>
      <c r="K2617" t="n">
        <v>0</v>
      </c>
      <c r="L2617" t="n">
        <v>0</v>
      </c>
      <c r="M2617" t="n">
        <v>0</v>
      </c>
      <c r="N2617" t="n">
        <v>0</v>
      </c>
      <c r="O2617" t="n">
        <v>0</v>
      </c>
      <c r="P2617" t="n">
        <v>0</v>
      </c>
      <c r="Q2617" t="n">
        <v>0</v>
      </c>
      <c r="R2617" t="n">
        <v>0</v>
      </c>
      <c r="S2617" t="n">
        <v>0</v>
      </c>
      <c r="T2617" t="n">
        <v>0</v>
      </c>
      <c r="U2617" t="n">
        <v>0</v>
      </c>
      <c r="V2617" s="2" t="inlineStr"/>
    </row>
    <row r="2618" ht="15" customHeight="1">
      <c r="A2618" t="inlineStr">
        <is>
          <t>A 24963-2026</t>
        </is>
      </c>
      <c r="B2618" t="inlineStr">
        <is>
          <t>avverkningsanmälan</t>
        </is>
      </c>
      <c r="C2618" t="inlineStr">
        <is>
          <t>Föryngringsavverkning</t>
        </is>
      </c>
      <c r="D2618" s="1" t="n">
        <v>46174</v>
      </c>
      <c r="E2618" s="1" t="n">
        <v>46309</v>
      </c>
      <c r="F2618" t="inlineStr">
        <is>
          <t>UPPSALA LÄN</t>
        </is>
      </c>
      <c r="G2618" t="inlineStr">
        <is>
          <t>HEBY</t>
        </is>
      </c>
      <c r="I2618" t="n">
        <v>5.2</v>
      </c>
      <c r="J2618" t="n">
        <v>0</v>
      </c>
      <c r="K2618" t="n">
        <v>0</v>
      </c>
      <c r="L2618" t="n">
        <v>0</v>
      </c>
      <c r="M2618" t="n">
        <v>0</v>
      </c>
      <c r="N2618" t="n">
        <v>0</v>
      </c>
      <c r="O2618" t="n">
        <v>0</v>
      </c>
      <c r="P2618" t="n">
        <v>0</v>
      </c>
      <c r="Q2618" t="n">
        <v>0</v>
      </c>
      <c r="R2618" t="n">
        <v>0</v>
      </c>
      <c r="S2618" t="n">
        <v>0</v>
      </c>
      <c r="T2618" t="n">
        <v>0</v>
      </c>
      <c r="U2618" t="n">
        <v>0</v>
      </c>
      <c r="V2618" s="2" t="inlineStr"/>
    </row>
    <row r="2619" ht="15" customHeight="1">
      <c r="A2619" t="inlineStr">
        <is>
          <t>A 17562-2022</t>
        </is>
      </c>
      <c r="B2619" t="inlineStr">
        <is>
          <t>avverkningsanmälan</t>
        </is>
      </c>
      <c r="C2619" t="inlineStr">
        <is>
          <t>Föryngringsavverkning</t>
        </is>
      </c>
      <c r="D2619" s="1" t="n">
        <v>44679</v>
      </c>
      <c r="E2619" s="1" t="n">
        <v>46309</v>
      </c>
      <c r="F2619" t="inlineStr">
        <is>
          <t>UPPSALA LÄN</t>
        </is>
      </c>
      <c r="G2619" t="inlineStr">
        <is>
          <t>UPPSALA</t>
        </is>
      </c>
      <c r="H2619" t="inlineStr">
        <is>
          <t>Bergvik skog öst AB</t>
        </is>
      </c>
      <c r="I2619" t="n">
        <v>1.3</v>
      </c>
      <c r="J2619" t="n">
        <v>0</v>
      </c>
      <c r="K2619" t="n">
        <v>0</v>
      </c>
      <c r="L2619" t="n">
        <v>0</v>
      </c>
      <c r="M2619" t="n">
        <v>0</v>
      </c>
      <c r="N2619" t="n">
        <v>0</v>
      </c>
      <c r="O2619" t="n">
        <v>0</v>
      </c>
      <c r="P2619" t="n">
        <v>0</v>
      </c>
      <c r="Q2619" t="n">
        <v>0</v>
      </c>
      <c r="R2619" t="n">
        <v>0</v>
      </c>
      <c r="S2619" t="n">
        <v>0</v>
      </c>
      <c r="T2619" t="n">
        <v>0</v>
      </c>
      <c r="U2619" t="n">
        <v>0</v>
      </c>
      <c r="V2619" s="2" t="inlineStr"/>
    </row>
    <row r="2620" ht="15" customHeight="1">
      <c r="A2620" t="inlineStr">
        <is>
          <t>A 23741-2024</t>
        </is>
      </c>
      <c r="B2620" t="inlineStr">
        <is>
          <t>avverkningsanmälan</t>
        </is>
      </c>
      <c r="C2620" t="inlineStr">
        <is>
          <t>Föryngringsavverkning</t>
        </is>
      </c>
      <c r="D2620" s="1" t="n">
        <v>45455</v>
      </c>
      <c r="E2620" s="1" t="n">
        <v>46309</v>
      </c>
      <c r="F2620" t="inlineStr">
        <is>
          <t>UPPSALA LÄN</t>
        </is>
      </c>
      <c r="G2620" t="inlineStr">
        <is>
          <t>ÖSTHAMMAR</t>
        </is>
      </c>
      <c r="H2620" t="inlineStr">
        <is>
          <t>Bergvik skog öst AB</t>
        </is>
      </c>
      <c r="I2620" t="n">
        <v>1.9</v>
      </c>
      <c r="J2620" t="n">
        <v>0</v>
      </c>
      <c r="K2620" t="n">
        <v>0</v>
      </c>
      <c r="L2620" t="n">
        <v>0</v>
      </c>
      <c r="M2620" t="n">
        <v>0</v>
      </c>
      <c r="N2620" t="n">
        <v>0</v>
      </c>
      <c r="O2620" t="n">
        <v>0</v>
      </c>
      <c r="P2620" t="n">
        <v>0</v>
      </c>
      <c r="Q2620" t="n">
        <v>0</v>
      </c>
      <c r="R2620" t="n">
        <v>0</v>
      </c>
      <c r="S2620" t="n">
        <v>0</v>
      </c>
      <c r="T2620" t="n">
        <v>0</v>
      </c>
      <c r="U2620" t="n">
        <v>0</v>
      </c>
      <c r="V2620" s="2" t="inlineStr"/>
    </row>
    <row r="2621" ht="15" customHeight="1">
      <c r="A2621" t="inlineStr">
        <is>
          <t>A 36123-2023</t>
        </is>
      </c>
      <c r="B2621" t="inlineStr">
        <is>
          <t>avverkningsanmälan</t>
        </is>
      </c>
      <c r="C2621" t="inlineStr">
        <is>
          <t>Föryngringsavverkning</t>
        </is>
      </c>
      <c r="D2621" s="1" t="n">
        <v>45149</v>
      </c>
      <c r="E2621" s="1" t="n">
        <v>46309</v>
      </c>
      <c r="F2621" t="inlineStr">
        <is>
          <t>UPPSALA LÄN</t>
        </is>
      </c>
      <c r="G2621" t="inlineStr">
        <is>
          <t>UPPSALA</t>
        </is>
      </c>
      <c r="H2621" t="inlineStr">
        <is>
          <t>Allmännings- och besparingsskogar</t>
        </is>
      </c>
      <c r="I2621" t="n">
        <v>4.2</v>
      </c>
      <c r="J2621" t="n">
        <v>0</v>
      </c>
      <c r="K2621" t="n">
        <v>0</v>
      </c>
      <c r="L2621" t="n">
        <v>0</v>
      </c>
      <c r="M2621" t="n">
        <v>0</v>
      </c>
      <c r="N2621" t="n">
        <v>0</v>
      </c>
      <c r="O2621" t="n">
        <v>0</v>
      </c>
      <c r="P2621" t="n">
        <v>0</v>
      </c>
      <c r="Q2621" t="n">
        <v>0</v>
      </c>
      <c r="R2621" t="n">
        <v>0</v>
      </c>
      <c r="S2621" t="n">
        <v>0</v>
      </c>
      <c r="T2621" t="n">
        <v>0</v>
      </c>
      <c r="U2621" t="n">
        <v>0</v>
      </c>
      <c r="V2621" s="2" t="inlineStr"/>
    </row>
    <row r="2622" ht="15" customHeight="1">
      <c r="A2622" t="inlineStr">
        <is>
          <t>A 9264-2024</t>
        </is>
      </c>
      <c r="B2622" t="inlineStr">
        <is>
          <t>avverkningsanmälan</t>
        </is>
      </c>
      <c r="C2622" t="inlineStr">
        <is>
          <t>Föryngringsavverkning</t>
        </is>
      </c>
      <c r="D2622" s="1" t="n">
        <v>45358</v>
      </c>
      <c r="E2622" s="1" t="n">
        <v>46309</v>
      </c>
      <c r="F2622" t="inlineStr">
        <is>
          <t>UPPSALA LÄN</t>
        </is>
      </c>
      <c r="G2622" t="inlineStr">
        <is>
          <t>ÖSTHAMMAR</t>
        </is>
      </c>
      <c r="H2622" t="inlineStr">
        <is>
          <t>Bergvik skog öst AB</t>
        </is>
      </c>
      <c r="I2622" t="n">
        <v>0.4</v>
      </c>
      <c r="J2622" t="n">
        <v>0</v>
      </c>
      <c r="K2622" t="n">
        <v>0</v>
      </c>
      <c r="L2622" t="n">
        <v>0</v>
      </c>
      <c r="M2622" t="n">
        <v>0</v>
      </c>
      <c r="N2622" t="n">
        <v>0</v>
      </c>
      <c r="O2622" t="n">
        <v>0</v>
      </c>
      <c r="P2622" t="n">
        <v>0</v>
      </c>
      <c r="Q2622" t="n">
        <v>0</v>
      </c>
      <c r="R2622" t="n">
        <v>0</v>
      </c>
      <c r="S2622" t="n">
        <v>0</v>
      </c>
      <c r="T2622" t="n">
        <v>0</v>
      </c>
      <c r="U2622" t="n">
        <v>0</v>
      </c>
      <c r="V2622" s="2" t="inlineStr"/>
    </row>
    <row r="2623" ht="15" customHeight="1">
      <c r="A2623" t="inlineStr">
        <is>
          <t>A 25267-2026</t>
        </is>
      </c>
      <c r="B2623" t="inlineStr">
        <is>
          <t>avverkningsanmälan</t>
        </is>
      </c>
      <c r="C2623" t="inlineStr">
        <is>
          <t>Föryngringsavverkning</t>
        </is>
      </c>
      <c r="D2623" s="1" t="n">
        <v>46176</v>
      </c>
      <c r="E2623" s="1" t="n">
        <v>46309</v>
      </c>
      <c r="F2623" t="inlineStr">
        <is>
          <t>UPPSALA LÄN</t>
        </is>
      </c>
      <c r="G2623" t="inlineStr">
        <is>
          <t>TIERP</t>
        </is>
      </c>
      <c r="I2623" t="n">
        <v>3.2</v>
      </c>
      <c r="J2623" t="n">
        <v>0</v>
      </c>
      <c r="K2623" t="n">
        <v>0</v>
      </c>
      <c r="L2623" t="n">
        <v>0</v>
      </c>
      <c r="M2623" t="n">
        <v>0</v>
      </c>
      <c r="N2623" t="n">
        <v>0</v>
      </c>
      <c r="O2623" t="n">
        <v>0</v>
      </c>
      <c r="P2623" t="n">
        <v>0</v>
      </c>
      <c r="Q2623" t="n">
        <v>0</v>
      </c>
      <c r="R2623" t="n">
        <v>0</v>
      </c>
      <c r="S2623" t="n">
        <v>0</v>
      </c>
      <c r="T2623" t="n">
        <v>0</v>
      </c>
      <c r="U2623" t="n">
        <v>0</v>
      </c>
      <c r="V2623" s="2" t="inlineStr"/>
    </row>
    <row r="2624" ht="15" customHeight="1">
      <c r="A2624" t="inlineStr">
        <is>
          <t>A 25212-2026</t>
        </is>
      </c>
      <c r="B2624" t="inlineStr">
        <is>
          <t>avverkningsanmälan</t>
        </is>
      </c>
      <c r="C2624" t="inlineStr">
        <is>
          <t>Föryngringsavverkning</t>
        </is>
      </c>
      <c r="D2624" s="1" t="n">
        <v>46175</v>
      </c>
      <c r="E2624" s="1" t="n">
        <v>46309</v>
      </c>
      <c r="F2624" t="inlineStr">
        <is>
          <t>UPPSALA LÄN</t>
        </is>
      </c>
      <c r="G2624" t="inlineStr">
        <is>
          <t>TIERP</t>
        </is>
      </c>
      <c r="H2624" t="inlineStr">
        <is>
          <t>Bergvik skog väst AB</t>
        </is>
      </c>
      <c r="I2624" t="n">
        <v>32.5</v>
      </c>
      <c r="J2624" t="n">
        <v>0</v>
      </c>
      <c r="K2624" t="n">
        <v>0</v>
      </c>
      <c r="L2624" t="n">
        <v>0</v>
      </c>
      <c r="M2624" t="n">
        <v>0</v>
      </c>
      <c r="N2624" t="n">
        <v>0</v>
      </c>
      <c r="O2624" t="n">
        <v>0</v>
      </c>
      <c r="P2624" t="n">
        <v>0</v>
      </c>
      <c r="Q2624" t="n">
        <v>0</v>
      </c>
      <c r="R2624" t="n">
        <v>0</v>
      </c>
      <c r="S2624" t="n">
        <v>0</v>
      </c>
      <c r="T2624" t="n">
        <v>0</v>
      </c>
      <c r="U2624" t="n">
        <v>0</v>
      </c>
      <c r="V2624" s="2" t="inlineStr"/>
    </row>
    <row r="2625" ht="15" customHeight="1">
      <c r="A2625" t="inlineStr">
        <is>
          <t>A 57043-2022</t>
        </is>
      </c>
      <c r="B2625" t="inlineStr">
        <is>
          <t>avverkningsanmälan</t>
        </is>
      </c>
      <c r="C2625" t="inlineStr">
        <is>
          <t>Föryngringsavverkning</t>
        </is>
      </c>
      <c r="D2625" s="1" t="n">
        <v>44895</v>
      </c>
      <c r="E2625" s="1" t="n">
        <v>46309</v>
      </c>
      <c r="F2625" t="inlineStr">
        <is>
          <t>UPPSALA LÄN</t>
        </is>
      </c>
      <c r="G2625" t="inlineStr">
        <is>
          <t>ÖSTHAMMAR</t>
        </is>
      </c>
      <c r="H2625" t="inlineStr">
        <is>
          <t>Bergvik skog öst AB</t>
        </is>
      </c>
      <c r="I2625" t="n">
        <v>5.7</v>
      </c>
      <c r="J2625" t="n">
        <v>0</v>
      </c>
      <c r="K2625" t="n">
        <v>0</v>
      </c>
      <c r="L2625" t="n">
        <v>0</v>
      </c>
      <c r="M2625" t="n">
        <v>0</v>
      </c>
      <c r="N2625" t="n">
        <v>0</v>
      </c>
      <c r="O2625" t="n">
        <v>0</v>
      </c>
      <c r="P2625" t="n">
        <v>0</v>
      </c>
      <c r="Q2625" t="n">
        <v>0</v>
      </c>
      <c r="R2625" t="n">
        <v>0</v>
      </c>
      <c r="S2625" t="n">
        <v>0</v>
      </c>
      <c r="T2625" t="n">
        <v>0</v>
      </c>
      <c r="U2625" t="n">
        <v>0</v>
      </c>
      <c r="V2625" s="2" t="inlineStr"/>
    </row>
    <row r="2626" ht="15" customHeight="1">
      <c r="A2626" t="inlineStr">
        <is>
          <t>A 14116-2024</t>
        </is>
      </c>
      <c r="B2626" t="inlineStr">
        <is>
          <t>avverkningsanmälan</t>
        </is>
      </c>
      <c r="C2626" t="inlineStr">
        <is>
          <t>Föryngringsavverkning</t>
        </is>
      </c>
      <c r="D2626" s="1" t="n">
        <v>45392</v>
      </c>
      <c r="E2626" s="1" t="n">
        <v>46309</v>
      </c>
      <c r="F2626" t="inlineStr">
        <is>
          <t>UPPSALA LÄN</t>
        </is>
      </c>
      <c r="G2626" t="inlineStr">
        <is>
          <t>TIERP</t>
        </is>
      </c>
      <c r="H2626" t="inlineStr">
        <is>
          <t>Bergvik skog öst AB</t>
        </is>
      </c>
      <c r="I2626" t="n">
        <v>1.9</v>
      </c>
      <c r="J2626" t="n">
        <v>0</v>
      </c>
      <c r="K2626" t="n">
        <v>0</v>
      </c>
      <c r="L2626" t="n">
        <v>0</v>
      </c>
      <c r="M2626" t="n">
        <v>0</v>
      </c>
      <c r="N2626" t="n">
        <v>0</v>
      </c>
      <c r="O2626" t="n">
        <v>0</v>
      </c>
      <c r="P2626" t="n">
        <v>0</v>
      </c>
      <c r="Q2626" t="n">
        <v>0</v>
      </c>
      <c r="R2626" t="n">
        <v>0</v>
      </c>
      <c r="S2626" t="n">
        <v>0</v>
      </c>
      <c r="T2626" t="n">
        <v>0</v>
      </c>
      <c r="U2626" t="n">
        <v>0</v>
      </c>
      <c r="V2626" s="2" t="inlineStr"/>
    </row>
    <row r="2627" ht="15" customHeight="1">
      <c r="A2627" t="inlineStr">
        <is>
          <t>A 42543-2023</t>
        </is>
      </c>
      <c r="B2627" t="inlineStr">
        <is>
          <t>avverkningsanmälan</t>
        </is>
      </c>
      <c r="C2627" t="inlineStr">
        <is>
          <t>Föryngringsavverkning</t>
        </is>
      </c>
      <c r="D2627" s="1" t="n">
        <v>45181</v>
      </c>
      <c r="E2627" s="1" t="n">
        <v>46309</v>
      </c>
      <c r="F2627" t="inlineStr">
        <is>
          <t>UPPSALA LÄN</t>
        </is>
      </c>
      <c r="G2627" t="inlineStr">
        <is>
          <t>UPPSALA</t>
        </is>
      </c>
      <c r="I2627" t="n">
        <v>1.4</v>
      </c>
      <c r="J2627" t="n">
        <v>0</v>
      </c>
      <c r="K2627" t="n">
        <v>0</v>
      </c>
      <c r="L2627" t="n">
        <v>0</v>
      </c>
      <c r="M2627" t="n">
        <v>0</v>
      </c>
      <c r="N2627" t="n">
        <v>0</v>
      </c>
      <c r="O2627" t="n">
        <v>0</v>
      </c>
      <c r="P2627" t="n">
        <v>0</v>
      </c>
      <c r="Q2627" t="n">
        <v>0</v>
      </c>
      <c r="R2627" t="n">
        <v>0</v>
      </c>
      <c r="S2627" t="n">
        <v>0</v>
      </c>
      <c r="T2627" t="n">
        <v>0</v>
      </c>
      <c r="U2627" t="n">
        <v>0</v>
      </c>
      <c r="V2627" s="2" t="inlineStr"/>
    </row>
    <row r="2628" ht="15" customHeight="1">
      <c r="A2628" t="inlineStr">
        <is>
          <t>A 33379-2022</t>
        </is>
      </c>
      <c r="B2628" t="inlineStr">
        <is>
          <t>avverkningsanmälan</t>
        </is>
      </c>
      <c r="C2628" t="inlineStr">
        <is>
          <t>Föryngringsavverkning</t>
        </is>
      </c>
      <c r="D2628" s="1" t="n">
        <v>44788</v>
      </c>
      <c r="E2628" s="1" t="n">
        <v>46309</v>
      </c>
      <c r="F2628" t="inlineStr">
        <is>
          <t>UPPSALA LÄN</t>
        </is>
      </c>
      <c r="G2628" t="inlineStr">
        <is>
          <t>HEBY</t>
        </is>
      </c>
      <c r="I2628" t="n">
        <v>18.8</v>
      </c>
      <c r="J2628" t="n">
        <v>0</v>
      </c>
      <c r="K2628" t="n">
        <v>0</v>
      </c>
      <c r="L2628" t="n">
        <v>0</v>
      </c>
      <c r="M2628" t="n">
        <v>0</v>
      </c>
      <c r="N2628" t="n">
        <v>0</v>
      </c>
      <c r="O2628" t="n">
        <v>0</v>
      </c>
      <c r="P2628" t="n">
        <v>0</v>
      </c>
      <c r="Q2628" t="n">
        <v>0</v>
      </c>
      <c r="R2628" t="n">
        <v>0</v>
      </c>
      <c r="S2628" t="n">
        <v>0</v>
      </c>
      <c r="T2628" t="n">
        <v>0</v>
      </c>
      <c r="U2628" t="n">
        <v>0</v>
      </c>
      <c r="V2628" s="2" t="inlineStr"/>
    </row>
    <row r="2629" ht="15" customHeight="1">
      <c r="A2629" t="inlineStr">
        <is>
          <t>A 24887-2026</t>
        </is>
      </c>
      <c r="B2629" t="inlineStr">
        <is>
          <t>avverkningsanmälan</t>
        </is>
      </c>
      <c r="C2629" t="inlineStr">
        <is>
          <t>Föryngringsavverkning</t>
        </is>
      </c>
      <c r="D2629" s="1" t="n">
        <v>46174</v>
      </c>
      <c r="E2629" s="1" t="n">
        <v>46309</v>
      </c>
      <c r="F2629" t="inlineStr">
        <is>
          <t>UPPSALA LÄN</t>
        </is>
      </c>
      <c r="G2629" t="inlineStr">
        <is>
          <t>ENKÖPING</t>
        </is>
      </c>
      <c r="I2629" t="n">
        <v>8</v>
      </c>
      <c r="J2629" t="n">
        <v>0</v>
      </c>
      <c r="K2629" t="n">
        <v>0</v>
      </c>
      <c r="L2629" t="n">
        <v>0</v>
      </c>
      <c r="M2629" t="n">
        <v>0</v>
      </c>
      <c r="N2629" t="n">
        <v>0</v>
      </c>
      <c r="O2629" t="n">
        <v>0</v>
      </c>
      <c r="P2629" t="n">
        <v>0</v>
      </c>
      <c r="Q2629" t="n">
        <v>0</v>
      </c>
      <c r="R2629" t="n">
        <v>0</v>
      </c>
      <c r="S2629" t="n">
        <v>0</v>
      </c>
      <c r="T2629" t="n">
        <v>0</v>
      </c>
      <c r="U2629" t="n">
        <v>0</v>
      </c>
      <c r="V2629" s="2" t="inlineStr"/>
    </row>
    <row r="2630" ht="15" customHeight="1">
      <c r="A2630" t="inlineStr">
        <is>
          <t>A 47390-2023</t>
        </is>
      </c>
      <c r="B2630" t="inlineStr">
        <is>
          <t>avverkningsanmälan</t>
        </is>
      </c>
      <c r="C2630" t="inlineStr">
        <is>
          <t>Föryngringsavverkning</t>
        </is>
      </c>
      <c r="D2630" s="1" t="n">
        <v>45202</v>
      </c>
      <c r="E2630" s="1" t="n">
        <v>46309</v>
      </c>
      <c r="F2630" t="inlineStr">
        <is>
          <t>UPPSALA LÄN</t>
        </is>
      </c>
      <c r="G2630" t="inlineStr">
        <is>
          <t>ÖSTHAMMAR</t>
        </is>
      </c>
      <c r="I2630" t="n">
        <v>3.7</v>
      </c>
      <c r="J2630" t="n">
        <v>0</v>
      </c>
      <c r="K2630" t="n">
        <v>0</v>
      </c>
      <c r="L2630" t="n">
        <v>0</v>
      </c>
      <c r="M2630" t="n">
        <v>0</v>
      </c>
      <c r="N2630" t="n">
        <v>0</v>
      </c>
      <c r="O2630" t="n">
        <v>0</v>
      </c>
      <c r="P2630" t="n">
        <v>0</v>
      </c>
      <c r="Q2630" t="n">
        <v>0</v>
      </c>
      <c r="R2630" t="n">
        <v>0</v>
      </c>
      <c r="S2630" t="n">
        <v>0</v>
      </c>
      <c r="T2630" t="n">
        <v>0</v>
      </c>
      <c r="U2630" t="n">
        <v>0</v>
      </c>
      <c r="V2630" s="2" t="inlineStr"/>
    </row>
    <row r="2631" ht="15" customHeight="1">
      <c r="A2631" t="inlineStr">
        <is>
          <t>A 30634-2022</t>
        </is>
      </c>
      <c r="B2631" t="inlineStr">
        <is>
          <t>avverkningsanmälan</t>
        </is>
      </c>
      <c r="C2631" t="inlineStr">
        <is>
          <t>Föryngringsavverkning</t>
        </is>
      </c>
      <c r="D2631" s="1" t="n">
        <v>44763</v>
      </c>
      <c r="E2631" s="1" t="n">
        <v>46309</v>
      </c>
      <c r="F2631" t="inlineStr">
        <is>
          <t>UPPSALA LÄN</t>
        </is>
      </c>
      <c r="G2631" t="inlineStr">
        <is>
          <t>ENKÖPING</t>
        </is>
      </c>
      <c r="I2631" t="n">
        <v>1.2</v>
      </c>
      <c r="J2631" t="n">
        <v>0</v>
      </c>
      <c r="K2631" t="n">
        <v>0</v>
      </c>
      <c r="L2631" t="n">
        <v>0</v>
      </c>
      <c r="M2631" t="n">
        <v>0</v>
      </c>
      <c r="N2631" t="n">
        <v>0</v>
      </c>
      <c r="O2631" t="n">
        <v>0</v>
      </c>
      <c r="P2631" t="n">
        <v>0</v>
      </c>
      <c r="Q2631" t="n">
        <v>0</v>
      </c>
      <c r="R2631" t="n">
        <v>0</v>
      </c>
      <c r="S2631" t="n">
        <v>0</v>
      </c>
      <c r="T2631" t="n">
        <v>0</v>
      </c>
      <c r="U2631" t="n">
        <v>0</v>
      </c>
      <c r="V2631" s="2" t="inlineStr"/>
    </row>
    <row r="2632" ht="15" customHeight="1">
      <c r="A2632" t="inlineStr">
        <is>
          <t>A 17558-2022</t>
        </is>
      </c>
      <c r="B2632" t="inlineStr">
        <is>
          <t>avverkningsanmälan</t>
        </is>
      </c>
      <c r="C2632" t="inlineStr">
        <is>
          <t>Föryngringsavverkning</t>
        </is>
      </c>
      <c r="D2632" s="1" t="n">
        <v>44679</v>
      </c>
      <c r="E2632" s="1" t="n">
        <v>46309</v>
      </c>
      <c r="F2632" t="inlineStr">
        <is>
          <t>UPPSALA LÄN</t>
        </is>
      </c>
      <c r="G2632" t="inlineStr">
        <is>
          <t>UPPSALA</t>
        </is>
      </c>
      <c r="H2632" t="inlineStr">
        <is>
          <t>Bergvik skog öst AB</t>
        </is>
      </c>
      <c r="I2632" t="n">
        <v>0.9</v>
      </c>
      <c r="J2632" t="n">
        <v>0</v>
      </c>
      <c r="K2632" t="n">
        <v>0</v>
      </c>
      <c r="L2632" t="n">
        <v>0</v>
      </c>
      <c r="M2632" t="n">
        <v>0</v>
      </c>
      <c r="N2632" t="n">
        <v>0</v>
      </c>
      <c r="O2632" t="n">
        <v>0</v>
      </c>
      <c r="P2632" t="n">
        <v>0</v>
      </c>
      <c r="Q2632" t="n">
        <v>0</v>
      </c>
      <c r="R2632" t="n">
        <v>0</v>
      </c>
      <c r="S2632" t="n">
        <v>0</v>
      </c>
      <c r="T2632" t="n">
        <v>0</v>
      </c>
      <c r="U2632" t="n">
        <v>0</v>
      </c>
      <c r="V2632" s="2" t="inlineStr"/>
    </row>
    <row r="2633" ht="15" customHeight="1">
      <c r="A2633" t="inlineStr">
        <is>
          <t>A 50006-2023</t>
        </is>
      </c>
      <c r="B2633" t="inlineStr">
        <is>
          <t>avverkningsanmälan</t>
        </is>
      </c>
      <c r="C2633" t="inlineStr">
        <is>
          <t>Föryngringsavverkning</t>
        </is>
      </c>
      <c r="D2633" s="1" t="n">
        <v>45215</v>
      </c>
      <c r="E2633" s="1" t="n">
        <v>46309</v>
      </c>
      <c r="F2633" t="inlineStr">
        <is>
          <t>UPPSALA LÄN</t>
        </is>
      </c>
      <c r="G2633" t="inlineStr">
        <is>
          <t>ENKÖPING</t>
        </is>
      </c>
      <c r="I2633" t="n">
        <v>1</v>
      </c>
      <c r="J2633" t="n">
        <v>0</v>
      </c>
      <c r="K2633" t="n">
        <v>0</v>
      </c>
      <c r="L2633" t="n">
        <v>0</v>
      </c>
      <c r="M2633" t="n">
        <v>0</v>
      </c>
      <c r="N2633" t="n">
        <v>0</v>
      </c>
      <c r="O2633" t="n">
        <v>0</v>
      </c>
      <c r="P2633" t="n">
        <v>0</v>
      </c>
      <c r="Q2633" t="n">
        <v>0</v>
      </c>
      <c r="R2633" t="n">
        <v>0</v>
      </c>
      <c r="S2633" t="n">
        <v>0</v>
      </c>
      <c r="T2633" t="n">
        <v>0</v>
      </c>
      <c r="U2633" t="n">
        <v>0</v>
      </c>
      <c r="V2633" s="2" t="inlineStr"/>
    </row>
    <row r="2634" ht="15" customHeight="1">
      <c r="A2634" t="inlineStr">
        <is>
          <t>A 56623-2023</t>
        </is>
      </c>
      <c r="B2634" t="inlineStr">
        <is>
          <t>avverkningsanmälan</t>
        </is>
      </c>
      <c r="C2634" t="inlineStr">
        <is>
          <t>Föryngringsavverkning</t>
        </is>
      </c>
      <c r="D2634" s="1" t="n">
        <v>45243</v>
      </c>
      <c r="E2634" s="1" t="n">
        <v>46309</v>
      </c>
      <c r="F2634" t="inlineStr">
        <is>
          <t>UPPSALA LÄN</t>
        </is>
      </c>
      <c r="G2634" t="inlineStr">
        <is>
          <t>HEBY</t>
        </is>
      </c>
      <c r="I2634" t="n">
        <v>1.3</v>
      </c>
      <c r="J2634" t="n">
        <v>0</v>
      </c>
      <c r="K2634" t="n">
        <v>0</v>
      </c>
      <c r="L2634" t="n">
        <v>0</v>
      </c>
      <c r="M2634" t="n">
        <v>0</v>
      </c>
      <c r="N2634" t="n">
        <v>0</v>
      </c>
      <c r="O2634" t="n">
        <v>0</v>
      </c>
      <c r="P2634" t="n">
        <v>0</v>
      </c>
      <c r="Q2634" t="n">
        <v>0</v>
      </c>
      <c r="R2634" t="n">
        <v>0</v>
      </c>
      <c r="S2634" t="n">
        <v>0</v>
      </c>
      <c r="T2634" t="n">
        <v>0</v>
      </c>
      <c r="U2634" t="n">
        <v>0</v>
      </c>
      <c r="V2634" s="2" t="inlineStr"/>
    </row>
    <row r="2635" ht="15" customHeight="1">
      <c r="A2635" t="inlineStr">
        <is>
          <t>A 15928-2022</t>
        </is>
      </c>
      <c r="B2635" t="inlineStr">
        <is>
          <t>avverkningsanmälan</t>
        </is>
      </c>
      <c r="C2635" t="inlineStr">
        <is>
          <t>Föryngringsavverkning</t>
        </is>
      </c>
      <c r="D2635" s="1" t="n">
        <v>44664</v>
      </c>
      <c r="E2635" s="1" t="n">
        <v>46309</v>
      </c>
      <c r="F2635" t="inlineStr">
        <is>
          <t>UPPSALA LÄN</t>
        </is>
      </c>
      <c r="G2635" t="inlineStr">
        <is>
          <t>ÖSTHAMMAR</t>
        </is>
      </c>
      <c r="I2635" t="n">
        <v>1.4</v>
      </c>
      <c r="J2635" t="n">
        <v>0</v>
      </c>
      <c r="K2635" t="n">
        <v>0</v>
      </c>
      <c r="L2635" t="n">
        <v>0</v>
      </c>
      <c r="M2635" t="n">
        <v>0</v>
      </c>
      <c r="N2635" t="n">
        <v>0</v>
      </c>
      <c r="O2635" t="n">
        <v>0</v>
      </c>
      <c r="P2635" t="n">
        <v>0</v>
      </c>
      <c r="Q2635" t="n">
        <v>0</v>
      </c>
      <c r="R2635" t="n">
        <v>0</v>
      </c>
      <c r="S2635" t="n">
        <v>0</v>
      </c>
      <c r="T2635" t="n">
        <v>0</v>
      </c>
      <c r="U2635" t="n">
        <v>0</v>
      </c>
      <c r="V2635" s="2" t="inlineStr"/>
    </row>
    <row r="2636" ht="15" customHeight="1">
      <c r="A2636" t="inlineStr">
        <is>
          <t>A 25398-2026</t>
        </is>
      </c>
      <c r="B2636" t="inlineStr">
        <is>
          <t>avverkningsanmälan</t>
        </is>
      </c>
      <c r="C2636" t="inlineStr">
        <is>
          <t>Föryngringsavverkning</t>
        </is>
      </c>
      <c r="D2636" s="1" t="n">
        <v>46176</v>
      </c>
      <c r="E2636" s="1" t="n">
        <v>46309</v>
      </c>
      <c r="F2636" t="inlineStr">
        <is>
          <t>UPPSALA LÄN</t>
        </is>
      </c>
      <c r="G2636" t="inlineStr">
        <is>
          <t>ÖSTHAMMAR</t>
        </is>
      </c>
      <c r="I2636" t="n">
        <v>2.4</v>
      </c>
      <c r="J2636" t="n">
        <v>0</v>
      </c>
      <c r="K2636" t="n">
        <v>0</v>
      </c>
      <c r="L2636" t="n">
        <v>0</v>
      </c>
      <c r="M2636" t="n">
        <v>0</v>
      </c>
      <c r="N2636" t="n">
        <v>0</v>
      </c>
      <c r="O2636" t="n">
        <v>0</v>
      </c>
      <c r="P2636" t="n">
        <v>0</v>
      </c>
      <c r="Q2636" t="n">
        <v>0</v>
      </c>
      <c r="R2636" t="n">
        <v>0</v>
      </c>
      <c r="S2636" t="n">
        <v>0</v>
      </c>
      <c r="T2636" t="n">
        <v>0</v>
      </c>
      <c r="U2636" t="n">
        <v>0</v>
      </c>
      <c r="V2636" s="2" t="inlineStr"/>
    </row>
    <row r="2637" ht="15" customHeight="1">
      <c r="A2637" t="inlineStr">
        <is>
          <t>A 25627-2026</t>
        </is>
      </c>
      <c r="B2637" t="inlineStr">
        <is>
          <t>avverkningsanmälan</t>
        </is>
      </c>
      <c r="C2637" t="inlineStr">
        <is>
          <t>Föryngringsavverkning</t>
        </is>
      </c>
      <c r="D2637" s="1" t="n">
        <v>46177</v>
      </c>
      <c r="E2637" s="1" t="n">
        <v>46309</v>
      </c>
      <c r="F2637" t="inlineStr">
        <is>
          <t>UPPSALA LÄN</t>
        </is>
      </c>
      <c r="G2637" t="inlineStr">
        <is>
          <t>TIERP</t>
        </is>
      </c>
      <c r="I2637" t="n">
        <v>3.8</v>
      </c>
      <c r="J2637" t="n">
        <v>0</v>
      </c>
      <c r="K2637" t="n">
        <v>0</v>
      </c>
      <c r="L2637" t="n">
        <v>0</v>
      </c>
      <c r="M2637" t="n">
        <v>0</v>
      </c>
      <c r="N2637" t="n">
        <v>0</v>
      </c>
      <c r="O2637" t="n">
        <v>0</v>
      </c>
      <c r="P2637" t="n">
        <v>0</v>
      </c>
      <c r="Q2637" t="n">
        <v>0</v>
      </c>
      <c r="R2637" t="n">
        <v>0</v>
      </c>
      <c r="S2637" t="n">
        <v>0</v>
      </c>
      <c r="T2637" t="n">
        <v>0</v>
      </c>
      <c r="U2637" t="n">
        <v>0</v>
      </c>
      <c r="V2637" s="2" t="inlineStr"/>
    </row>
    <row r="2638" ht="15" customHeight="1">
      <c r="A2638" t="inlineStr">
        <is>
          <t>A 43818-2023</t>
        </is>
      </c>
      <c r="B2638" t="inlineStr">
        <is>
          <t>avverkningsanmälan</t>
        </is>
      </c>
      <c r="C2638" t="inlineStr">
        <is>
          <t>Föryngringsavverkning</t>
        </is>
      </c>
      <c r="D2638" s="1" t="n">
        <v>45182</v>
      </c>
      <c r="E2638" s="1" t="n">
        <v>46309</v>
      </c>
      <c r="F2638" t="inlineStr">
        <is>
          <t>UPPSALA LÄN</t>
        </is>
      </c>
      <c r="G2638" t="inlineStr">
        <is>
          <t>UPPSALA</t>
        </is>
      </c>
      <c r="I2638" t="n">
        <v>10.8</v>
      </c>
      <c r="J2638" t="n">
        <v>0</v>
      </c>
      <c r="K2638" t="n">
        <v>0</v>
      </c>
      <c r="L2638" t="n">
        <v>0</v>
      </c>
      <c r="M2638" t="n">
        <v>0</v>
      </c>
      <c r="N2638" t="n">
        <v>0</v>
      </c>
      <c r="O2638" t="n">
        <v>0</v>
      </c>
      <c r="P2638" t="n">
        <v>0</v>
      </c>
      <c r="Q2638" t="n">
        <v>0</v>
      </c>
      <c r="R2638" t="n">
        <v>0</v>
      </c>
      <c r="S2638" t="n">
        <v>0</v>
      </c>
      <c r="T2638" t="n">
        <v>0</v>
      </c>
      <c r="U2638" t="n">
        <v>0</v>
      </c>
      <c r="V2638" s="2" t="inlineStr"/>
    </row>
    <row r="2639" ht="15" customHeight="1">
      <c r="A2639" t="inlineStr">
        <is>
          <t>A 28228-2022</t>
        </is>
      </c>
      <c r="B2639" t="inlineStr">
        <is>
          <t>avverkningsanmälan</t>
        </is>
      </c>
      <c r="C2639" t="inlineStr">
        <is>
          <t>Föryngringsavverkning</t>
        </is>
      </c>
      <c r="D2639" s="1" t="n">
        <v>44746</v>
      </c>
      <c r="E2639" s="1" t="n">
        <v>46309</v>
      </c>
      <c r="F2639" t="inlineStr">
        <is>
          <t>UPPSALA LÄN</t>
        </is>
      </c>
      <c r="G2639" t="inlineStr">
        <is>
          <t>ÖSTHAMMAR</t>
        </is>
      </c>
      <c r="I2639" t="n">
        <v>2.7</v>
      </c>
      <c r="J2639" t="n">
        <v>0</v>
      </c>
      <c r="K2639" t="n">
        <v>0</v>
      </c>
      <c r="L2639" t="n">
        <v>0</v>
      </c>
      <c r="M2639" t="n">
        <v>0</v>
      </c>
      <c r="N2639" t="n">
        <v>0</v>
      </c>
      <c r="O2639" t="n">
        <v>0</v>
      </c>
      <c r="P2639" t="n">
        <v>0</v>
      </c>
      <c r="Q2639" t="n">
        <v>0</v>
      </c>
      <c r="R2639" t="n">
        <v>0</v>
      </c>
      <c r="S2639" t="n">
        <v>0</v>
      </c>
      <c r="T2639" t="n">
        <v>0</v>
      </c>
      <c r="U2639" t="n">
        <v>0</v>
      </c>
      <c r="V2639" s="2" t="inlineStr"/>
    </row>
    <row r="2640" ht="15" customHeight="1">
      <c r="A2640" t="inlineStr">
        <is>
          <t>A 15445-2022</t>
        </is>
      </c>
      <c r="B2640" t="inlineStr">
        <is>
          <t>avverkningsanmälan</t>
        </is>
      </c>
      <c r="C2640" t="inlineStr">
        <is>
          <t>Föryngringsavverkning</t>
        </is>
      </c>
      <c r="D2640" s="1" t="n">
        <v>44660</v>
      </c>
      <c r="E2640" s="1" t="n">
        <v>46309</v>
      </c>
      <c r="F2640" t="inlineStr">
        <is>
          <t>UPPSALA LÄN</t>
        </is>
      </c>
      <c r="G2640" t="inlineStr">
        <is>
          <t>ÖSTHAMMAR</t>
        </is>
      </c>
      <c r="H2640" t="inlineStr">
        <is>
          <t>Bergvik skog öst AB</t>
        </is>
      </c>
      <c r="I2640" t="n">
        <v>0.5</v>
      </c>
      <c r="J2640" t="n">
        <v>0</v>
      </c>
      <c r="K2640" t="n">
        <v>0</v>
      </c>
      <c r="L2640" t="n">
        <v>0</v>
      </c>
      <c r="M2640" t="n">
        <v>0</v>
      </c>
      <c r="N2640" t="n">
        <v>0</v>
      </c>
      <c r="O2640" t="n">
        <v>0</v>
      </c>
      <c r="P2640" t="n">
        <v>0</v>
      </c>
      <c r="Q2640" t="n">
        <v>0</v>
      </c>
      <c r="R2640" t="n">
        <v>0</v>
      </c>
      <c r="S2640" t="n">
        <v>0</v>
      </c>
      <c r="T2640" t="n">
        <v>0</v>
      </c>
      <c r="U2640" t="n">
        <v>0</v>
      </c>
      <c r="V2640" s="2" t="inlineStr"/>
    </row>
    <row r="2641" ht="15" customHeight="1">
      <c r="A2641" t="inlineStr">
        <is>
          <t>A 25557-2026</t>
        </is>
      </c>
      <c r="B2641" t="inlineStr">
        <is>
          <t>avverkningsanmälan</t>
        </is>
      </c>
      <c r="C2641" t="inlineStr">
        <is>
          <t>Föryngringsavverkning</t>
        </is>
      </c>
      <c r="D2641" s="1" t="n">
        <v>46177</v>
      </c>
      <c r="E2641" s="1" t="n">
        <v>46309</v>
      </c>
      <c r="F2641" t="inlineStr">
        <is>
          <t>UPPSALA LÄN</t>
        </is>
      </c>
      <c r="G2641" t="inlineStr">
        <is>
          <t>ENKÖPING</t>
        </is>
      </c>
      <c r="I2641" t="n">
        <v>4.5</v>
      </c>
      <c r="J2641" t="n">
        <v>0</v>
      </c>
      <c r="K2641" t="n">
        <v>0</v>
      </c>
      <c r="L2641" t="n">
        <v>0</v>
      </c>
      <c r="M2641" t="n">
        <v>0</v>
      </c>
      <c r="N2641" t="n">
        <v>0</v>
      </c>
      <c r="O2641" t="n">
        <v>0</v>
      </c>
      <c r="P2641" t="n">
        <v>0</v>
      </c>
      <c r="Q2641" t="n">
        <v>0</v>
      </c>
      <c r="R2641" t="n">
        <v>0</v>
      </c>
      <c r="S2641" t="n">
        <v>0</v>
      </c>
      <c r="T2641" t="n">
        <v>0</v>
      </c>
      <c r="U2641" t="n">
        <v>0</v>
      </c>
      <c r="V2641" s="2" t="inlineStr"/>
    </row>
    <row r="2642" ht="15" customHeight="1">
      <c r="A2642" t="inlineStr">
        <is>
          <t>A 25566-2026</t>
        </is>
      </c>
      <c r="B2642" t="inlineStr">
        <is>
          <t>avverkningsanmälan</t>
        </is>
      </c>
      <c r="C2642" t="inlineStr">
        <is>
          <t>Föryngringsavverkning</t>
        </is>
      </c>
      <c r="D2642" s="1" t="n">
        <v>46177</v>
      </c>
      <c r="E2642" s="1" t="n">
        <v>46309</v>
      </c>
      <c r="F2642" t="inlineStr">
        <is>
          <t>UPPSALA LÄN</t>
        </is>
      </c>
      <c r="G2642" t="inlineStr">
        <is>
          <t>ENKÖPING</t>
        </is>
      </c>
      <c r="I2642" t="n">
        <v>1.7</v>
      </c>
      <c r="J2642" t="n">
        <v>0</v>
      </c>
      <c r="K2642" t="n">
        <v>0</v>
      </c>
      <c r="L2642" t="n">
        <v>0</v>
      </c>
      <c r="M2642" t="n">
        <v>0</v>
      </c>
      <c r="N2642" t="n">
        <v>0</v>
      </c>
      <c r="O2642" t="n">
        <v>0</v>
      </c>
      <c r="P2642" t="n">
        <v>0</v>
      </c>
      <c r="Q2642" t="n">
        <v>0</v>
      </c>
      <c r="R2642" t="n">
        <v>0</v>
      </c>
      <c r="S2642" t="n">
        <v>0</v>
      </c>
      <c r="T2642" t="n">
        <v>0</v>
      </c>
      <c r="U2642" t="n">
        <v>0</v>
      </c>
      <c r="V2642" s="2" t="inlineStr"/>
    </row>
    <row r="2643" ht="15" customHeight="1">
      <c r="A2643" t="inlineStr">
        <is>
          <t>A 25394-2026</t>
        </is>
      </c>
      <c r="B2643" t="inlineStr">
        <is>
          <t>avverkningsanmälan</t>
        </is>
      </c>
      <c r="C2643" t="inlineStr">
        <is>
          <t>Föryngringsavverkning</t>
        </is>
      </c>
      <c r="D2643" s="1" t="n">
        <v>46176</v>
      </c>
      <c r="E2643" s="1" t="n">
        <v>46309</v>
      </c>
      <c r="F2643" t="inlineStr">
        <is>
          <t>UPPSALA LÄN</t>
        </is>
      </c>
      <c r="G2643" t="inlineStr">
        <is>
          <t>ÖSTHAMMAR</t>
        </is>
      </c>
      <c r="I2643" t="n">
        <v>2</v>
      </c>
      <c r="J2643" t="n">
        <v>0</v>
      </c>
      <c r="K2643" t="n">
        <v>0</v>
      </c>
      <c r="L2643" t="n">
        <v>0</v>
      </c>
      <c r="M2643" t="n">
        <v>0</v>
      </c>
      <c r="N2643" t="n">
        <v>0</v>
      </c>
      <c r="O2643" t="n">
        <v>0</v>
      </c>
      <c r="P2643" t="n">
        <v>0</v>
      </c>
      <c r="Q2643" t="n">
        <v>0</v>
      </c>
      <c r="R2643" t="n">
        <v>0</v>
      </c>
      <c r="S2643" t="n">
        <v>0</v>
      </c>
      <c r="T2643" t="n">
        <v>0</v>
      </c>
      <c r="U2643" t="n">
        <v>0</v>
      </c>
      <c r="V2643" s="2" t="inlineStr"/>
    </row>
    <row r="2644" ht="15" customHeight="1">
      <c r="A2644" t="inlineStr">
        <is>
          <t>A 14907-2025</t>
        </is>
      </c>
      <c r="B2644" t="inlineStr">
        <is>
          <t>avverkningsanmälan</t>
        </is>
      </c>
      <c r="C2644" t="inlineStr">
        <is>
          <t>Avverkning för att bevara och utveckla /försöksver</t>
        </is>
      </c>
      <c r="D2644" s="1" t="n">
        <v>45743</v>
      </c>
      <c r="E2644" s="1" t="n">
        <v>46309</v>
      </c>
      <c r="F2644" t="inlineStr">
        <is>
          <t>UPPSALA LÄN</t>
        </is>
      </c>
      <c r="G2644" t="inlineStr">
        <is>
          <t>UPPSALA</t>
        </is>
      </c>
      <c r="I2644" t="n">
        <v>7</v>
      </c>
      <c r="J2644" t="n">
        <v>0</v>
      </c>
      <c r="K2644" t="n">
        <v>0</v>
      </c>
      <c r="L2644" t="n">
        <v>0</v>
      </c>
      <c r="M2644" t="n">
        <v>0</v>
      </c>
      <c r="N2644" t="n">
        <v>0</v>
      </c>
      <c r="O2644" t="n">
        <v>0</v>
      </c>
      <c r="P2644" t="n">
        <v>0</v>
      </c>
      <c r="Q2644" t="n">
        <v>0</v>
      </c>
      <c r="R2644" t="n">
        <v>0</v>
      </c>
      <c r="S2644" t="n">
        <v>0</v>
      </c>
      <c r="T2644" t="n">
        <v>0</v>
      </c>
      <c r="U2644" t="n">
        <v>0</v>
      </c>
      <c r="V2644" s="2" t="inlineStr"/>
    </row>
    <row r="2645" ht="15" customHeight="1">
      <c r="A2645" t="inlineStr">
        <is>
          <t>A 58913-2023</t>
        </is>
      </c>
      <c r="B2645" t="inlineStr">
        <is>
          <t>avverkningsanmälan</t>
        </is>
      </c>
      <c r="C2645" t="inlineStr">
        <is>
          <t>Föryngringsavverkning</t>
        </is>
      </c>
      <c r="D2645" s="1" t="n">
        <v>45250</v>
      </c>
      <c r="E2645" s="1" t="n">
        <v>46309</v>
      </c>
      <c r="F2645" t="inlineStr">
        <is>
          <t>UPPSALA LÄN</t>
        </is>
      </c>
      <c r="G2645" t="inlineStr">
        <is>
          <t>HEBY</t>
        </is>
      </c>
      <c r="I2645" t="n">
        <v>0.7</v>
      </c>
      <c r="J2645" t="n">
        <v>0</v>
      </c>
      <c r="K2645" t="n">
        <v>0</v>
      </c>
      <c r="L2645" t="n">
        <v>0</v>
      </c>
      <c r="M2645" t="n">
        <v>0</v>
      </c>
      <c r="N2645" t="n">
        <v>0</v>
      </c>
      <c r="O2645" t="n">
        <v>0</v>
      </c>
      <c r="P2645" t="n">
        <v>0</v>
      </c>
      <c r="Q2645" t="n">
        <v>0</v>
      </c>
      <c r="R2645" t="n">
        <v>0</v>
      </c>
      <c r="S2645" t="n">
        <v>0</v>
      </c>
      <c r="T2645" t="n">
        <v>0</v>
      </c>
      <c r="U2645" t="n">
        <v>0</v>
      </c>
      <c r="V2645" s="2" t="inlineStr"/>
    </row>
    <row r="2646" ht="15" customHeight="1">
      <c r="A2646" t="inlineStr">
        <is>
          <t>A 39928-2023</t>
        </is>
      </c>
      <c r="B2646" t="inlineStr">
        <is>
          <t>avverkningsanmälan</t>
        </is>
      </c>
      <c r="C2646" t="inlineStr">
        <is>
          <t>Föryngringsavverkning</t>
        </is>
      </c>
      <c r="D2646" s="1" t="n">
        <v>45167</v>
      </c>
      <c r="E2646" s="1" t="n">
        <v>46309</v>
      </c>
      <c r="F2646" t="inlineStr">
        <is>
          <t>UPPSALA LÄN</t>
        </is>
      </c>
      <c r="G2646" t="inlineStr">
        <is>
          <t>TIERP</t>
        </is>
      </c>
      <c r="I2646" t="n">
        <v>2.1</v>
      </c>
      <c r="J2646" t="n">
        <v>0</v>
      </c>
      <c r="K2646" t="n">
        <v>0</v>
      </c>
      <c r="L2646" t="n">
        <v>0</v>
      </c>
      <c r="M2646" t="n">
        <v>0</v>
      </c>
      <c r="N2646" t="n">
        <v>0</v>
      </c>
      <c r="O2646" t="n">
        <v>0</v>
      </c>
      <c r="P2646" t="n">
        <v>0</v>
      </c>
      <c r="Q2646" t="n">
        <v>0</v>
      </c>
      <c r="R2646" t="n">
        <v>0</v>
      </c>
      <c r="S2646" t="n">
        <v>0</v>
      </c>
      <c r="T2646" t="n">
        <v>0</v>
      </c>
      <c r="U2646" t="n">
        <v>0</v>
      </c>
      <c r="V2646" s="2" t="inlineStr"/>
    </row>
    <row r="2647" ht="15" customHeight="1">
      <c r="A2647" t="inlineStr">
        <is>
          <t>A 25366-2026</t>
        </is>
      </c>
      <c r="B2647" t="inlineStr">
        <is>
          <t>avverkningsanmälan</t>
        </is>
      </c>
      <c r="C2647" t="inlineStr">
        <is>
          <t>Föryngringsavverkning</t>
        </is>
      </c>
      <c r="D2647" s="1" t="n">
        <v>46176</v>
      </c>
      <c r="E2647" s="1" t="n">
        <v>46309</v>
      </c>
      <c r="F2647" t="inlineStr">
        <is>
          <t>UPPSALA LÄN</t>
        </is>
      </c>
      <c r="G2647" t="inlineStr">
        <is>
          <t>ÖSTHAMMAR</t>
        </is>
      </c>
      <c r="I2647" t="n">
        <v>2.6</v>
      </c>
      <c r="J2647" t="n">
        <v>0</v>
      </c>
      <c r="K2647" t="n">
        <v>0</v>
      </c>
      <c r="L2647" t="n">
        <v>0</v>
      </c>
      <c r="M2647" t="n">
        <v>0</v>
      </c>
      <c r="N2647" t="n">
        <v>0</v>
      </c>
      <c r="O2647" t="n">
        <v>0</v>
      </c>
      <c r="P2647" t="n">
        <v>0</v>
      </c>
      <c r="Q2647" t="n">
        <v>0</v>
      </c>
      <c r="R2647" t="n">
        <v>0</v>
      </c>
      <c r="S2647" t="n">
        <v>0</v>
      </c>
      <c r="T2647" t="n">
        <v>0</v>
      </c>
      <c r="U2647" t="n">
        <v>0</v>
      </c>
      <c r="V2647" s="2" t="inlineStr"/>
    </row>
    <row r="2648" ht="15" customHeight="1">
      <c r="A2648" t="inlineStr">
        <is>
          <t>A 3300-2025</t>
        </is>
      </c>
      <c r="B2648" t="inlineStr">
        <is>
          <t>avverkningsanmälan</t>
        </is>
      </c>
      <c r="C2648" t="inlineStr">
        <is>
          <t>Föryngringsavverkning</t>
        </is>
      </c>
      <c r="D2648" s="1" t="n">
        <v>45679</v>
      </c>
      <c r="E2648" s="1" t="n">
        <v>46309</v>
      </c>
      <c r="F2648" t="inlineStr">
        <is>
          <t>UPPSALA LÄN</t>
        </is>
      </c>
      <c r="G2648" t="inlineStr">
        <is>
          <t>ENKÖPING</t>
        </is>
      </c>
      <c r="I2648" t="n">
        <v>8.9</v>
      </c>
      <c r="J2648" t="n">
        <v>0</v>
      </c>
      <c r="K2648" t="n">
        <v>0</v>
      </c>
      <c r="L2648" t="n">
        <v>0</v>
      </c>
      <c r="M2648" t="n">
        <v>0</v>
      </c>
      <c r="N2648" t="n">
        <v>0</v>
      </c>
      <c r="O2648" t="n">
        <v>0</v>
      </c>
      <c r="P2648" t="n">
        <v>0</v>
      </c>
      <c r="Q2648" t="n">
        <v>0</v>
      </c>
      <c r="R2648" t="n">
        <v>0</v>
      </c>
      <c r="S2648" t="n">
        <v>0</v>
      </c>
      <c r="T2648" t="n">
        <v>0</v>
      </c>
      <c r="U2648" t="n">
        <v>0</v>
      </c>
      <c r="V2648" s="2" t="inlineStr"/>
    </row>
    <row r="2649" ht="15" customHeight="1">
      <c r="A2649" t="inlineStr">
        <is>
          <t>A 25377-2026</t>
        </is>
      </c>
      <c r="B2649" t="inlineStr">
        <is>
          <t>avverkningsanmälan</t>
        </is>
      </c>
      <c r="C2649" t="inlineStr">
        <is>
          <t>Föryngringsavverkning</t>
        </is>
      </c>
      <c r="D2649" s="1" t="n">
        <v>46176</v>
      </c>
      <c r="E2649" s="1" t="n">
        <v>46309</v>
      </c>
      <c r="F2649" t="inlineStr">
        <is>
          <t>UPPSALA LÄN</t>
        </is>
      </c>
      <c r="G2649" t="inlineStr">
        <is>
          <t>ÖSTHAMMAR</t>
        </is>
      </c>
      <c r="I2649" t="n">
        <v>14.3</v>
      </c>
      <c r="J2649" t="n">
        <v>0</v>
      </c>
      <c r="K2649" t="n">
        <v>0</v>
      </c>
      <c r="L2649" t="n">
        <v>0</v>
      </c>
      <c r="M2649" t="n">
        <v>0</v>
      </c>
      <c r="N2649" t="n">
        <v>0</v>
      </c>
      <c r="O2649" t="n">
        <v>0</v>
      </c>
      <c r="P2649" t="n">
        <v>0</v>
      </c>
      <c r="Q2649" t="n">
        <v>0</v>
      </c>
      <c r="R2649" t="n">
        <v>0</v>
      </c>
      <c r="S2649" t="n">
        <v>0</v>
      </c>
      <c r="T2649" t="n">
        <v>0</v>
      </c>
      <c r="U2649" t="n">
        <v>0</v>
      </c>
      <c r="V2649" s="2" t="inlineStr"/>
    </row>
    <row r="2650" ht="15" customHeight="1">
      <c r="A2650" t="inlineStr">
        <is>
          <t>A 25433-2026</t>
        </is>
      </c>
      <c r="B2650" t="inlineStr">
        <is>
          <t>avverkningsanmälan</t>
        </is>
      </c>
      <c r="C2650" t="inlineStr">
        <is>
          <t>Föryngringsavverkning</t>
        </is>
      </c>
      <c r="D2650" s="1" t="n">
        <v>46177</v>
      </c>
      <c r="E2650" s="1" t="n">
        <v>46309</v>
      </c>
      <c r="F2650" t="inlineStr">
        <is>
          <t>UPPSALA LÄN</t>
        </is>
      </c>
      <c r="G2650" t="inlineStr">
        <is>
          <t>TIERP</t>
        </is>
      </c>
      <c r="H2650" t="inlineStr">
        <is>
          <t>Bergvik skog öst AB</t>
        </is>
      </c>
      <c r="I2650" t="n">
        <v>4</v>
      </c>
      <c r="J2650" t="n">
        <v>0</v>
      </c>
      <c r="K2650" t="n">
        <v>0</v>
      </c>
      <c r="L2650" t="n">
        <v>0</v>
      </c>
      <c r="M2650" t="n">
        <v>0</v>
      </c>
      <c r="N2650" t="n">
        <v>0</v>
      </c>
      <c r="O2650" t="n">
        <v>0</v>
      </c>
      <c r="P2650" t="n">
        <v>0</v>
      </c>
      <c r="Q2650" t="n">
        <v>0</v>
      </c>
      <c r="R2650" t="n">
        <v>0</v>
      </c>
      <c r="S2650" t="n">
        <v>0</v>
      </c>
      <c r="T2650" t="n">
        <v>0</v>
      </c>
      <c r="U2650" t="n">
        <v>0</v>
      </c>
      <c r="V2650" s="2" t="inlineStr"/>
    </row>
    <row r="2651" ht="15" customHeight="1">
      <c r="A2651" t="inlineStr">
        <is>
          <t>A 14269-2025</t>
        </is>
      </c>
      <c r="B2651" t="inlineStr">
        <is>
          <t>avverkningsanmälan</t>
        </is>
      </c>
      <c r="C2651" t="inlineStr">
        <is>
          <t>Föryngringsavverkning</t>
        </is>
      </c>
      <c r="D2651" s="1" t="n">
        <v>45740</v>
      </c>
      <c r="E2651" s="1" t="n">
        <v>46309</v>
      </c>
      <c r="F2651" t="inlineStr">
        <is>
          <t>UPPSALA LÄN</t>
        </is>
      </c>
      <c r="G2651" t="inlineStr">
        <is>
          <t>ÖSTHAMMAR</t>
        </is>
      </c>
      <c r="I2651" t="n">
        <v>1.5</v>
      </c>
      <c r="J2651" t="n">
        <v>0</v>
      </c>
      <c r="K2651" t="n">
        <v>0</v>
      </c>
      <c r="L2651" t="n">
        <v>0</v>
      </c>
      <c r="M2651" t="n">
        <v>0</v>
      </c>
      <c r="N2651" t="n">
        <v>0</v>
      </c>
      <c r="O2651" t="n">
        <v>0</v>
      </c>
      <c r="P2651" t="n">
        <v>0</v>
      </c>
      <c r="Q2651" t="n">
        <v>0</v>
      </c>
      <c r="R2651" t="n">
        <v>0</v>
      </c>
      <c r="S2651" t="n">
        <v>0</v>
      </c>
      <c r="T2651" t="n">
        <v>0</v>
      </c>
      <c r="U2651" t="n">
        <v>0</v>
      </c>
      <c r="V2651" s="2" t="inlineStr"/>
    </row>
    <row r="2652" ht="15" customHeight="1">
      <c r="A2652" t="inlineStr">
        <is>
          <t>A 25381-2026</t>
        </is>
      </c>
      <c r="B2652" t="inlineStr">
        <is>
          <t>avverkningsanmälan</t>
        </is>
      </c>
      <c r="C2652" t="inlineStr">
        <is>
          <t>Föryngringsavverkning</t>
        </is>
      </c>
      <c r="D2652" s="1" t="n">
        <v>46176</v>
      </c>
      <c r="E2652" s="1" t="n">
        <v>46309</v>
      </c>
      <c r="F2652" t="inlineStr">
        <is>
          <t>UPPSALA LÄN</t>
        </is>
      </c>
      <c r="G2652" t="inlineStr">
        <is>
          <t>ÖSTHAMMAR</t>
        </is>
      </c>
      <c r="I2652" t="n">
        <v>2.2</v>
      </c>
      <c r="J2652" t="n">
        <v>0</v>
      </c>
      <c r="K2652" t="n">
        <v>0</v>
      </c>
      <c r="L2652" t="n">
        <v>0</v>
      </c>
      <c r="M2652" t="n">
        <v>0</v>
      </c>
      <c r="N2652" t="n">
        <v>0</v>
      </c>
      <c r="O2652" t="n">
        <v>0</v>
      </c>
      <c r="P2652" t="n">
        <v>0</v>
      </c>
      <c r="Q2652" t="n">
        <v>0</v>
      </c>
      <c r="R2652" t="n">
        <v>0</v>
      </c>
      <c r="S2652" t="n">
        <v>0</v>
      </c>
      <c r="T2652" t="n">
        <v>0</v>
      </c>
      <c r="U2652" t="n">
        <v>0</v>
      </c>
      <c r="V2652" s="2" t="inlineStr"/>
    </row>
    <row r="2653" ht="15" customHeight="1">
      <c r="A2653" t="inlineStr">
        <is>
          <t>A 25396-2026</t>
        </is>
      </c>
      <c r="B2653" t="inlineStr">
        <is>
          <t>avverkningsanmälan</t>
        </is>
      </c>
      <c r="C2653" t="inlineStr">
        <is>
          <t>Föryngringsavverkning</t>
        </is>
      </c>
      <c r="D2653" s="1" t="n">
        <v>46176</v>
      </c>
      <c r="E2653" s="1" t="n">
        <v>46309</v>
      </c>
      <c r="F2653" t="inlineStr">
        <is>
          <t>UPPSALA LÄN</t>
        </is>
      </c>
      <c r="G2653" t="inlineStr">
        <is>
          <t>ÖSTHAMMAR</t>
        </is>
      </c>
      <c r="I2653" t="n">
        <v>1.3</v>
      </c>
      <c r="J2653" t="n">
        <v>0</v>
      </c>
      <c r="K2653" t="n">
        <v>0</v>
      </c>
      <c r="L2653" t="n">
        <v>0</v>
      </c>
      <c r="M2653" t="n">
        <v>0</v>
      </c>
      <c r="N2653" t="n">
        <v>0</v>
      </c>
      <c r="O2653" t="n">
        <v>0</v>
      </c>
      <c r="P2653" t="n">
        <v>0</v>
      </c>
      <c r="Q2653" t="n">
        <v>0</v>
      </c>
      <c r="R2653" t="n">
        <v>0</v>
      </c>
      <c r="S2653" t="n">
        <v>0</v>
      </c>
      <c r="T2653" t="n">
        <v>0</v>
      </c>
      <c r="U2653" t="n">
        <v>0</v>
      </c>
      <c r="V2653" s="2" t="inlineStr"/>
    </row>
    <row r="2654" ht="15" customHeight="1">
      <c r="A2654" t="inlineStr">
        <is>
          <t>A 25376-2026</t>
        </is>
      </c>
      <c r="B2654" t="inlineStr">
        <is>
          <t>avverkningsanmälan</t>
        </is>
      </c>
      <c r="C2654" t="inlineStr">
        <is>
          <t>Föryngringsavverkning</t>
        </is>
      </c>
      <c r="D2654" s="1" t="n">
        <v>46176</v>
      </c>
      <c r="E2654" s="1" t="n">
        <v>46309</v>
      </c>
      <c r="F2654" t="inlineStr">
        <is>
          <t>UPPSALA LÄN</t>
        </is>
      </c>
      <c r="G2654" t="inlineStr">
        <is>
          <t>UPPSALA</t>
        </is>
      </c>
      <c r="I2654" t="n">
        <v>2.9</v>
      </c>
      <c r="J2654" t="n">
        <v>0</v>
      </c>
      <c r="K2654" t="n">
        <v>0</v>
      </c>
      <c r="L2654" t="n">
        <v>0</v>
      </c>
      <c r="M2654" t="n">
        <v>0</v>
      </c>
      <c r="N2654" t="n">
        <v>0</v>
      </c>
      <c r="O2654" t="n">
        <v>0</v>
      </c>
      <c r="P2654" t="n">
        <v>0</v>
      </c>
      <c r="Q2654" t="n">
        <v>0</v>
      </c>
      <c r="R2654" t="n">
        <v>0</v>
      </c>
      <c r="S2654" t="n">
        <v>0</v>
      </c>
      <c r="T2654" t="n">
        <v>0</v>
      </c>
      <c r="U2654" t="n">
        <v>0</v>
      </c>
      <c r="V2654" s="2" t="inlineStr"/>
    </row>
    <row r="2655" ht="15" customHeight="1">
      <c r="A2655" t="inlineStr">
        <is>
          <t>A 29340-2022</t>
        </is>
      </c>
      <c r="B2655" t="inlineStr">
        <is>
          <t>avverkningsanmälan</t>
        </is>
      </c>
      <c r="C2655" t="inlineStr">
        <is>
          <t>Föryngringsavverkning</t>
        </is>
      </c>
      <c r="D2655" s="1" t="n">
        <v>44752</v>
      </c>
      <c r="E2655" s="1" t="n">
        <v>46309</v>
      </c>
      <c r="F2655" t="inlineStr">
        <is>
          <t>UPPSALA LÄN</t>
        </is>
      </c>
      <c r="G2655" t="inlineStr">
        <is>
          <t>HEBY</t>
        </is>
      </c>
      <c r="I2655" t="n">
        <v>1.4</v>
      </c>
      <c r="J2655" t="n">
        <v>0</v>
      </c>
      <c r="K2655" t="n">
        <v>0</v>
      </c>
      <c r="L2655" t="n">
        <v>0</v>
      </c>
      <c r="M2655" t="n">
        <v>0</v>
      </c>
      <c r="N2655" t="n">
        <v>0</v>
      </c>
      <c r="O2655" t="n">
        <v>0</v>
      </c>
      <c r="P2655" t="n">
        <v>0</v>
      </c>
      <c r="Q2655" t="n">
        <v>0</v>
      </c>
      <c r="R2655" t="n">
        <v>0</v>
      </c>
      <c r="S2655" t="n">
        <v>0</v>
      </c>
      <c r="T2655" t="n">
        <v>0</v>
      </c>
      <c r="U2655" t="n">
        <v>0</v>
      </c>
      <c r="V2655" s="2" t="inlineStr"/>
    </row>
    <row r="2656" ht="15" customHeight="1">
      <c r="A2656" t="inlineStr">
        <is>
          <t>A 14124-2022</t>
        </is>
      </c>
      <c r="B2656" t="inlineStr">
        <is>
          <t>avverkningsanmälan</t>
        </is>
      </c>
      <c r="C2656" t="inlineStr">
        <is>
          <t>Föryngringsavverkning</t>
        </is>
      </c>
      <c r="D2656" s="1" t="n">
        <v>44651</v>
      </c>
      <c r="E2656" s="1" t="n">
        <v>46309</v>
      </c>
      <c r="F2656" t="inlineStr">
        <is>
          <t>UPPSALA LÄN</t>
        </is>
      </c>
      <c r="G2656" t="inlineStr">
        <is>
          <t>ÖSTHAMMAR</t>
        </is>
      </c>
      <c r="H2656" t="inlineStr">
        <is>
          <t>Bergvik skog öst AB</t>
        </is>
      </c>
      <c r="I2656" t="n">
        <v>0.9</v>
      </c>
      <c r="J2656" t="n">
        <v>0</v>
      </c>
      <c r="K2656" t="n">
        <v>0</v>
      </c>
      <c r="L2656" t="n">
        <v>0</v>
      </c>
      <c r="M2656" t="n">
        <v>0</v>
      </c>
      <c r="N2656" t="n">
        <v>0</v>
      </c>
      <c r="O2656" t="n">
        <v>0</v>
      </c>
      <c r="P2656" t="n">
        <v>0</v>
      </c>
      <c r="Q2656" t="n">
        <v>0</v>
      </c>
      <c r="R2656" t="n">
        <v>0</v>
      </c>
      <c r="S2656" t="n">
        <v>0</v>
      </c>
      <c r="T2656" t="n">
        <v>0</v>
      </c>
      <c r="U2656" t="n">
        <v>0</v>
      </c>
      <c r="V2656" s="2" t="inlineStr"/>
    </row>
    <row r="2657" ht="15" customHeight="1">
      <c r="A2657" t="inlineStr">
        <is>
          <t>A 37812-2022</t>
        </is>
      </c>
      <c r="B2657" t="inlineStr">
        <is>
          <t>avverkningsanmälan</t>
        </is>
      </c>
      <c r="C2657" t="inlineStr">
        <is>
          <t>Föryngringsavverkning</t>
        </is>
      </c>
      <c r="D2657" s="1" t="n">
        <v>44810</v>
      </c>
      <c r="E2657" s="1" t="n">
        <v>46309</v>
      </c>
      <c r="F2657" t="inlineStr">
        <is>
          <t>UPPSALA LÄN</t>
        </is>
      </c>
      <c r="G2657" t="inlineStr">
        <is>
          <t>ÖSTHAMMAR</t>
        </is>
      </c>
      <c r="I2657" t="n">
        <v>1</v>
      </c>
      <c r="J2657" t="n">
        <v>0</v>
      </c>
      <c r="K2657" t="n">
        <v>0</v>
      </c>
      <c r="L2657" t="n">
        <v>0</v>
      </c>
      <c r="M2657" t="n">
        <v>0</v>
      </c>
      <c r="N2657" t="n">
        <v>0</v>
      </c>
      <c r="O2657" t="n">
        <v>0</v>
      </c>
      <c r="P2657" t="n">
        <v>0</v>
      </c>
      <c r="Q2657" t="n">
        <v>0</v>
      </c>
      <c r="R2657" t="n">
        <v>0</v>
      </c>
      <c r="S2657" t="n">
        <v>0</v>
      </c>
      <c r="T2657" t="n">
        <v>0</v>
      </c>
      <c r="U2657" t="n">
        <v>0</v>
      </c>
      <c r="V2657" s="2" t="inlineStr"/>
    </row>
    <row r="2658" ht="15" customHeight="1">
      <c r="A2658" t="inlineStr">
        <is>
          <t>A 5729-2025</t>
        </is>
      </c>
      <c r="B2658" t="inlineStr">
        <is>
          <t>avverkningsanmälan</t>
        </is>
      </c>
      <c r="C2658" t="inlineStr">
        <is>
          <t>Avverkning för att bevara och utveckla /försöksver</t>
        </is>
      </c>
      <c r="D2658" s="1" t="n">
        <v>45694</v>
      </c>
      <c r="E2658" s="1" t="n">
        <v>46309</v>
      </c>
      <c r="F2658" t="inlineStr">
        <is>
          <t>UPPSALA LÄN</t>
        </is>
      </c>
      <c r="G2658" t="inlineStr">
        <is>
          <t>UPPSALA</t>
        </is>
      </c>
      <c r="I2658" t="n">
        <v>1</v>
      </c>
      <c r="J2658" t="n">
        <v>0</v>
      </c>
      <c r="K2658" t="n">
        <v>0</v>
      </c>
      <c r="L2658" t="n">
        <v>0</v>
      </c>
      <c r="M2658" t="n">
        <v>0</v>
      </c>
      <c r="N2658" t="n">
        <v>0</v>
      </c>
      <c r="O2658" t="n">
        <v>0</v>
      </c>
      <c r="P2658" t="n">
        <v>0</v>
      </c>
      <c r="Q2658" t="n">
        <v>0</v>
      </c>
      <c r="R2658" t="n">
        <v>0</v>
      </c>
      <c r="S2658" t="n">
        <v>0</v>
      </c>
      <c r="T2658" t="n">
        <v>0</v>
      </c>
      <c r="U2658" t="n">
        <v>0</v>
      </c>
      <c r="V2658" s="2" t="inlineStr"/>
    </row>
    <row r="2659" ht="15" customHeight="1">
      <c r="A2659" t="inlineStr">
        <is>
          <t>A 39802-2022</t>
        </is>
      </c>
      <c r="B2659" t="inlineStr">
        <is>
          <t>avverkningsanmälan</t>
        </is>
      </c>
      <c r="C2659" t="inlineStr">
        <is>
          <t>Föryngringsavverkning</t>
        </is>
      </c>
      <c r="D2659" s="1" t="n">
        <v>44819</v>
      </c>
      <c r="E2659" s="1" t="n">
        <v>46309</v>
      </c>
      <c r="F2659" t="inlineStr">
        <is>
          <t>UPPSALA LÄN</t>
        </is>
      </c>
      <c r="G2659" t="inlineStr">
        <is>
          <t>TIERP</t>
        </is>
      </c>
      <c r="I2659" t="n">
        <v>5.8</v>
      </c>
      <c r="J2659" t="n">
        <v>0</v>
      </c>
      <c r="K2659" t="n">
        <v>0</v>
      </c>
      <c r="L2659" t="n">
        <v>0</v>
      </c>
      <c r="M2659" t="n">
        <v>0</v>
      </c>
      <c r="N2659" t="n">
        <v>0</v>
      </c>
      <c r="O2659" t="n">
        <v>0</v>
      </c>
      <c r="P2659" t="n">
        <v>0</v>
      </c>
      <c r="Q2659" t="n">
        <v>0</v>
      </c>
      <c r="R2659" t="n">
        <v>0</v>
      </c>
      <c r="S2659" t="n">
        <v>0</v>
      </c>
      <c r="T2659" t="n">
        <v>0</v>
      </c>
      <c r="U2659" t="n">
        <v>0</v>
      </c>
      <c r="V2659" s="2" t="inlineStr"/>
    </row>
    <row r="2660" ht="15" customHeight="1">
      <c r="A2660" t="inlineStr">
        <is>
          <t>A 25861-2026</t>
        </is>
      </c>
      <c r="B2660" t="inlineStr">
        <is>
          <t>avverkningsanmälan</t>
        </is>
      </c>
      <c r="C2660" t="inlineStr">
        <is>
          <t>Föryngringsavverkning</t>
        </is>
      </c>
      <c r="D2660" s="1" t="n">
        <v>46178</v>
      </c>
      <c r="E2660" s="1" t="n">
        <v>46309</v>
      </c>
      <c r="F2660" t="inlineStr">
        <is>
          <t>UPPSALA LÄN</t>
        </is>
      </c>
      <c r="G2660" t="inlineStr">
        <is>
          <t>HEBY</t>
        </is>
      </c>
      <c r="I2660" t="n">
        <v>1.5</v>
      </c>
      <c r="J2660" t="n">
        <v>0</v>
      </c>
      <c r="K2660" t="n">
        <v>0</v>
      </c>
      <c r="L2660" t="n">
        <v>0</v>
      </c>
      <c r="M2660" t="n">
        <v>0</v>
      </c>
      <c r="N2660" t="n">
        <v>0</v>
      </c>
      <c r="O2660" t="n">
        <v>0</v>
      </c>
      <c r="P2660" t="n">
        <v>0</v>
      </c>
      <c r="Q2660" t="n">
        <v>0</v>
      </c>
      <c r="R2660" t="n">
        <v>0</v>
      </c>
      <c r="S2660" t="n">
        <v>0</v>
      </c>
      <c r="T2660" t="n">
        <v>0</v>
      </c>
      <c r="U2660" t="n">
        <v>0</v>
      </c>
      <c r="V2660" s="2" t="inlineStr"/>
    </row>
    <row r="2661" ht="15" customHeight="1">
      <c r="A2661" t="inlineStr">
        <is>
          <t>A 25476-2022</t>
        </is>
      </c>
      <c r="B2661" t="inlineStr">
        <is>
          <t>avverkningsanmälan</t>
        </is>
      </c>
      <c r="C2661" t="inlineStr">
        <is>
          <t>Föryngringsavverkning</t>
        </is>
      </c>
      <c r="D2661" s="1" t="n">
        <v>44732</v>
      </c>
      <c r="E2661" s="1" t="n">
        <v>46309</v>
      </c>
      <c r="F2661" t="inlineStr">
        <is>
          <t>UPPSALA LÄN</t>
        </is>
      </c>
      <c r="G2661" t="inlineStr">
        <is>
          <t>TIERP</t>
        </is>
      </c>
      <c r="H2661" t="inlineStr">
        <is>
          <t>Bergvik skog öst AB</t>
        </is>
      </c>
      <c r="I2661" t="n">
        <v>1.1</v>
      </c>
      <c r="J2661" t="n">
        <v>0</v>
      </c>
      <c r="K2661" t="n">
        <v>0</v>
      </c>
      <c r="L2661" t="n">
        <v>0</v>
      </c>
      <c r="M2661" t="n">
        <v>0</v>
      </c>
      <c r="N2661" t="n">
        <v>0</v>
      </c>
      <c r="O2661" t="n">
        <v>0</v>
      </c>
      <c r="P2661" t="n">
        <v>0</v>
      </c>
      <c r="Q2661" t="n">
        <v>0</v>
      </c>
      <c r="R2661" t="n">
        <v>0</v>
      </c>
      <c r="S2661" t="n">
        <v>0</v>
      </c>
      <c r="T2661" t="n">
        <v>0</v>
      </c>
      <c r="U2661" t="n">
        <v>0</v>
      </c>
      <c r="V2661" s="2" t="inlineStr"/>
    </row>
    <row r="2662" ht="15" customHeight="1">
      <c r="A2662" t="inlineStr">
        <is>
          <t>A 19523-2025</t>
        </is>
      </c>
      <c r="B2662" t="inlineStr">
        <is>
          <t>avverkningsanmälan</t>
        </is>
      </c>
      <c r="C2662" t="inlineStr">
        <is>
          <t>Föryngringsavverkning</t>
        </is>
      </c>
      <c r="D2662" s="1" t="n">
        <v>45770</v>
      </c>
      <c r="E2662" s="1" t="n">
        <v>46309</v>
      </c>
      <c r="F2662" t="inlineStr">
        <is>
          <t>UPPSALA LÄN</t>
        </is>
      </c>
      <c r="G2662" t="inlineStr">
        <is>
          <t>TIERP</t>
        </is>
      </c>
      <c r="H2662" t="inlineStr">
        <is>
          <t>Bergvik skog öst AB</t>
        </is>
      </c>
      <c r="I2662" t="n">
        <v>0.6</v>
      </c>
      <c r="J2662" t="n">
        <v>0</v>
      </c>
      <c r="K2662" t="n">
        <v>0</v>
      </c>
      <c r="L2662" t="n">
        <v>0</v>
      </c>
      <c r="M2662" t="n">
        <v>0</v>
      </c>
      <c r="N2662" t="n">
        <v>0</v>
      </c>
      <c r="O2662" t="n">
        <v>0</v>
      </c>
      <c r="P2662" t="n">
        <v>0</v>
      </c>
      <c r="Q2662" t="n">
        <v>0</v>
      </c>
      <c r="R2662" t="n">
        <v>0</v>
      </c>
      <c r="S2662" t="n">
        <v>0</v>
      </c>
      <c r="T2662" t="n">
        <v>0</v>
      </c>
      <c r="U2662" t="n">
        <v>0</v>
      </c>
      <c r="V2662" s="2" t="inlineStr"/>
    </row>
    <row r="2663" ht="15" customHeight="1">
      <c r="A2663" t="inlineStr">
        <is>
          <t>A 26051-2026</t>
        </is>
      </c>
      <c r="B2663" t="inlineStr">
        <is>
          <t>avverkningsanmälan</t>
        </is>
      </c>
      <c r="C2663" t="inlineStr">
        <is>
          <t>Föryngringsavverkning</t>
        </is>
      </c>
      <c r="D2663" s="1" t="n">
        <v>46181</v>
      </c>
      <c r="E2663" s="1" t="n">
        <v>46309</v>
      </c>
      <c r="F2663" t="inlineStr">
        <is>
          <t>UPPSALA LÄN</t>
        </is>
      </c>
      <c r="G2663" t="inlineStr">
        <is>
          <t>TIERP</t>
        </is>
      </c>
      <c r="H2663" t="inlineStr">
        <is>
          <t>Bergvik skog öst AB</t>
        </is>
      </c>
      <c r="I2663" t="n">
        <v>9.199999999999999</v>
      </c>
      <c r="J2663" t="n">
        <v>0</v>
      </c>
      <c r="K2663" t="n">
        <v>0</v>
      </c>
      <c r="L2663" t="n">
        <v>0</v>
      </c>
      <c r="M2663" t="n">
        <v>0</v>
      </c>
      <c r="N2663" t="n">
        <v>0</v>
      </c>
      <c r="O2663" t="n">
        <v>0</v>
      </c>
      <c r="P2663" t="n">
        <v>0</v>
      </c>
      <c r="Q2663" t="n">
        <v>0</v>
      </c>
      <c r="R2663" t="n">
        <v>0</v>
      </c>
      <c r="S2663" t="n">
        <v>0</v>
      </c>
      <c r="T2663" t="n">
        <v>0</v>
      </c>
      <c r="U2663" t="n">
        <v>0</v>
      </c>
      <c r="V2663" s="2" t="inlineStr"/>
    </row>
    <row r="2664" ht="15" customHeight="1">
      <c r="A2664" t="inlineStr">
        <is>
          <t>A 41546-2023</t>
        </is>
      </c>
      <c r="B2664" t="inlineStr">
        <is>
          <t>avverkningsanmälan</t>
        </is>
      </c>
      <c r="C2664" t="inlineStr">
        <is>
          <t>Föryngringsavverkning</t>
        </is>
      </c>
      <c r="D2664" s="1" t="n">
        <v>45175</v>
      </c>
      <c r="E2664" s="1" t="n">
        <v>46309</v>
      </c>
      <c r="F2664" t="inlineStr">
        <is>
          <t>UPPSALA LÄN</t>
        </is>
      </c>
      <c r="G2664" t="inlineStr">
        <is>
          <t>HEBY</t>
        </is>
      </c>
      <c r="I2664" t="n">
        <v>0.6</v>
      </c>
      <c r="J2664" t="n">
        <v>0</v>
      </c>
      <c r="K2664" t="n">
        <v>0</v>
      </c>
      <c r="L2664" t="n">
        <v>0</v>
      </c>
      <c r="M2664" t="n">
        <v>0</v>
      </c>
      <c r="N2664" t="n">
        <v>0</v>
      </c>
      <c r="O2664" t="n">
        <v>0</v>
      </c>
      <c r="P2664" t="n">
        <v>0</v>
      </c>
      <c r="Q2664" t="n">
        <v>0</v>
      </c>
      <c r="R2664" t="n">
        <v>0</v>
      </c>
      <c r="S2664" t="n">
        <v>0</v>
      </c>
      <c r="T2664" t="n">
        <v>0</v>
      </c>
      <c r="U2664" t="n">
        <v>0</v>
      </c>
      <c r="V2664" s="2" t="inlineStr"/>
    </row>
    <row r="2665" ht="15" customHeight="1">
      <c r="A2665" t="inlineStr">
        <is>
          <t>A 34146-2022</t>
        </is>
      </c>
      <c r="B2665" t="inlineStr">
        <is>
          <t>avverkningsanmälan</t>
        </is>
      </c>
      <c r="C2665" t="inlineStr">
        <is>
          <t>Föryngringsavverkning</t>
        </is>
      </c>
      <c r="D2665" s="1" t="n">
        <v>44791</v>
      </c>
      <c r="E2665" s="1" t="n">
        <v>46309</v>
      </c>
      <c r="F2665" t="inlineStr">
        <is>
          <t>UPPSALA LÄN</t>
        </is>
      </c>
      <c r="G2665" t="inlineStr">
        <is>
          <t>HEBY</t>
        </is>
      </c>
      <c r="I2665" t="n">
        <v>0.3</v>
      </c>
      <c r="J2665" t="n">
        <v>0</v>
      </c>
      <c r="K2665" t="n">
        <v>0</v>
      </c>
      <c r="L2665" t="n">
        <v>0</v>
      </c>
      <c r="M2665" t="n">
        <v>0</v>
      </c>
      <c r="N2665" t="n">
        <v>0</v>
      </c>
      <c r="O2665" t="n">
        <v>0</v>
      </c>
      <c r="P2665" t="n">
        <v>0</v>
      </c>
      <c r="Q2665" t="n">
        <v>0</v>
      </c>
      <c r="R2665" t="n">
        <v>0</v>
      </c>
      <c r="S2665" t="n">
        <v>0</v>
      </c>
      <c r="T2665" t="n">
        <v>0</v>
      </c>
      <c r="U2665" t="n">
        <v>0</v>
      </c>
      <c r="V2665" s="2" t="inlineStr"/>
    </row>
    <row r="2666" ht="15" customHeight="1">
      <c r="A2666" t="inlineStr">
        <is>
          <t>A 34202-2022</t>
        </is>
      </c>
      <c r="B2666" t="inlineStr">
        <is>
          <t>avverkningsanmälan</t>
        </is>
      </c>
      <c r="C2666" t="inlineStr">
        <is>
          <t>Föryngringsavverkning</t>
        </is>
      </c>
      <c r="D2666" s="1" t="n">
        <v>44791</v>
      </c>
      <c r="E2666" s="1" t="n">
        <v>46309</v>
      </c>
      <c r="F2666" t="inlineStr">
        <is>
          <t>UPPSALA LÄN</t>
        </is>
      </c>
      <c r="G2666" t="inlineStr">
        <is>
          <t>HÅBO</t>
        </is>
      </c>
      <c r="I2666" t="n">
        <v>2</v>
      </c>
      <c r="J2666" t="n">
        <v>0</v>
      </c>
      <c r="K2666" t="n">
        <v>0</v>
      </c>
      <c r="L2666" t="n">
        <v>0</v>
      </c>
      <c r="M2666" t="n">
        <v>0</v>
      </c>
      <c r="N2666" t="n">
        <v>0</v>
      </c>
      <c r="O2666" t="n">
        <v>0</v>
      </c>
      <c r="P2666" t="n">
        <v>0</v>
      </c>
      <c r="Q2666" t="n">
        <v>0</v>
      </c>
      <c r="R2666" t="n">
        <v>0</v>
      </c>
      <c r="S2666" t="n">
        <v>0</v>
      </c>
      <c r="T2666" t="n">
        <v>0</v>
      </c>
      <c r="U2666" t="n">
        <v>0</v>
      </c>
      <c r="V2666" s="2" t="inlineStr"/>
    </row>
    <row r="2667" ht="15" customHeight="1">
      <c r="A2667" t="inlineStr">
        <is>
          <t>A 41821-2023</t>
        </is>
      </c>
      <c r="B2667" t="inlineStr">
        <is>
          <t>avverkningsanmälan</t>
        </is>
      </c>
      <c r="C2667" t="inlineStr">
        <is>
          <t>Föryngringsavverkning</t>
        </is>
      </c>
      <c r="D2667" s="1" t="n">
        <v>45176</v>
      </c>
      <c r="E2667" s="1" t="n">
        <v>46309</v>
      </c>
      <c r="F2667" t="inlineStr">
        <is>
          <t>UPPSALA LÄN</t>
        </is>
      </c>
      <c r="G2667" t="inlineStr">
        <is>
          <t>ÖSTHAMMAR</t>
        </is>
      </c>
      <c r="I2667" t="n">
        <v>0.9</v>
      </c>
      <c r="J2667" t="n">
        <v>0</v>
      </c>
      <c r="K2667" t="n">
        <v>0</v>
      </c>
      <c r="L2667" t="n">
        <v>0</v>
      </c>
      <c r="M2667" t="n">
        <v>0</v>
      </c>
      <c r="N2667" t="n">
        <v>0</v>
      </c>
      <c r="O2667" t="n">
        <v>0</v>
      </c>
      <c r="P2667" t="n">
        <v>0</v>
      </c>
      <c r="Q2667" t="n">
        <v>0</v>
      </c>
      <c r="R2667" t="n">
        <v>0</v>
      </c>
      <c r="S2667" t="n">
        <v>0</v>
      </c>
      <c r="T2667" t="n">
        <v>0</v>
      </c>
      <c r="U2667" t="n">
        <v>0</v>
      </c>
      <c r="V2667" s="2" t="inlineStr"/>
    </row>
    <row r="2668" ht="15" customHeight="1">
      <c r="A2668" t="inlineStr">
        <is>
          <t>A 20497-2022</t>
        </is>
      </c>
      <c r="B2668" t="inlineStr">
        <is>
          <t>avverkningsanmälan</t>
        </is>
      </c>
      <c r="C2668" t="inlineStr">
        <is>
          <t>Föryngringsavverkning</t>
        </is>
      </c>
      <c r="D2668" s="1" t="n">
        <v>44699</v>
      </c>
      <c r="E2668" s="1" t="n">
        <v>46309</v>
      </c>
      <c r="F2668" t="inlineStr">
        <is>
          <t>UPPSALA LÄN</t>
        </is>
      </c>
      <c r="G2668" t="inlineStr">
        <is>
          <t>UPPSALA</t>
        </is>
      </c>
      <c r="H2668" t="inlineStr">
        <is>
          <t>Övriga statliga verk och myndigheter</t>
        </is>
      </c>
      <c r="I2668" t="n">
        <v>1</v>
      </c>
      <c r="J2668" t="n">
        <v>0</v>
      </c>
      <c r="K2668" t="n">
        <v>0</v>
      </c>
      <c r="L2668" t="n">
        <v>0</v>
      </c>
      <c r="M2668" t="n">
        <v>0</v>
      </c>
      <c r="N2668" t="n">
        <v>0</v>
      </c>
      <c r="O2668" t="n">
        <v>0</v>
      </c>
      <c r="P2668" t="n">
        <v>0</v>
      </c>
      <c r="Q2668" t="n">
        <v>0</v>
      </c>
      <c r="R2668" t="n">
        <v>0</v>
      </c>
      <c r="S2668" t="n">
        <v>0</v>
      </c>
      <c r="T2668" t="n">
        <v>0</v>
      </c>
      <c r="U2668" t="n">
        <v>0</v>
      </c>
      <c r="V2668" s="2" t="inlineStr"/>
    </row>
    <row r="2669" ht="15" customHeight="1">
      <c r="A2669" t="inlineStr">
        <is>
          <t>A 32742-2022</t>
        </is>
      </c>
      <c r="B2669" t="inlineStr">
        <is>
          <t>avverkningsanmälan</t>
        </is>
      </c>
      <c r="C2669" t="inlineStr">
        <is>
          <t>Föryngringsavverkning</t>
        </is>
      </c>
      <c r="D2669" s="1" t="n">
        <v>44783</v>
      </c>
      <c r="E2669" s="1" t="n">
        <v>46309</v>
      </c>
      <c r="F2669" t="inlineStr">
        <is>
          <t>UPPSALA LÄN</t>
        </is>
      </c>
      <c r="G2669" t="inlineStr">
        <is>
          <t>ÖSTHAMMAR</t>
        </is>
      </c>
      <c r="H2669" t="inlineStr">
        <is>
          <t>Bergvik skog öst AB</t>
        </is>
      </c>
      <c r="I2669" t="n">
        <v>0.9</v>
      </c>
      <c r="J2669" t="n">
        <v>0</v>
      </c>
      <c r="K2669" t="n">
        <v>0</v>
      </c>
      <c r="L2669" t="n">
        <v>0</v>
      </c>
      <c r="M2669" t="n">
        <v>0</v>
      </c>
      <c r="N2669" t="n">
        <v>0</v>
      </c>
      <c r="O2669" t="n">
        <v>0</v>
      </c>
      <c r="P2669" t="n">
        <v>0</v>
      </c>
      <c r="Q2669" t="n">
        <v>0</v>
      </c>
      <c r="R2669" t="n">
        <v>0</v>
      </c>
      <c r="S2669" t="n">
        <v>0</v>
      </c>
      <c r="T2669" t="n">
        <v>0</v>
      </c>
      <c r="U2669" t="n">
        <v>0</v>
      </c>
      <c r="V2669" s="2" t="inlineStr"/>
    </row>
    <row r="2670" ht="15" customHeight="1">
      <c r="A2670" t="inlineStr">
        <is>
          <t>A 41308-2023</t>
        </is>
      </c>
      <c r="B2670" t="inlineStr">
        <is>
          <t>avverkningsanmälan</t>
        </is>
      </c>
      <c r="C2670" t="inlineStr">
        <is>
          <t>Föryngringsavverkning</t>
        </is>
      </c>
      <c r="D2670" s="1" t="n">
        <v>45174</v>
      </c>
      <c r="E2670" s="1" t="n">
        <v>46309</v>
      </c>
      <c r="F2670" t="inlineStr">
        <is>
          <t>UPPSALA LÄN</t>
        </is>
      </c>
      <c r="G2670" t="inlineStr">
        <is>
          <t>ÖSTHAMMAR</t>
        </is>
      </c>
      <c r="H2670" t="inlineStr">
        <is>
          <t>Övriga Aktiebolag</t>
        </is>
      </c>
      <c r="I2670" t="n">
        <v>2.8</v>
      </c>
      <c r="J2670" t="n">
        <v>0</v>
      </c>
      <c r="K2670" t="n">
        <v>0</v>
      </c>
      <c r="L2670" t="n">
        <v>0</v>
      </c>
      <c r="M2670" t="n">
        <v>0</v>
      </c>
      <c r="N2670" t="n">
        <v>0</v>
      </c>
      <c r="O2670" t="n">
        <v>0</v>
      </c>
      <c r="P2670" t="n">
        <v>0</v>
      </c>
      <c r="Q2670" t="n">
        <v>0</v>
      </c>
      <c r="R2670" t="n">
        <v>0</v>
      </c>
      <c r="S2670" t="n">
        <v>0</v>
      </c>
      <c r="T2670" t="n">
        <v>0</v>
      </c>
      <c r="U2670" t="n">
        <v>0</v>
      </c>
      <c r="V2670" s="2" t="inlineStr"/>
    </row>
    <row r="2671" ht="15" customHeight="1">
      <c r="A2671" t="inlineStr">
        <is>
          <t>A 26000-2026</t>
        </is>
      </c>
      <c r="B2671" t="inlineStr">
        <is>
          <t>avverkningsanmälan</t>
        </is>
      </c>
      <c r="C2671" t="inlineStr">
        <is>
          <t>Föryngringsavverkning</t>
        </is>
      </c>
      <c r="D2671" s="1" t="n">
        <v>46181</v>
      </c>
      <c r="E2671" s="1" t="n">
        <v>46309</v>
      </c>
      <c r="F2671" t="inlineStr">
        <is>
          <t>UPPSALA LÄN</t>
        </is>
      </c>
      <c r="G2671" t="inlineStr">
        <is>
          <t>UPPSALA</t>
        </is>
      </c>
      <c r="H2671" t="inlineStr">
        <is>
          <t>Sveaskog</t>
        </is>
      </c>
      <c r="I2671" t="n">
        <v>9.9</v>
      </c>
      <c r="J2671" t="n">
        <v>0</v>
      </c>
      <c r="K2671" t="n">
        <v>0</v>
      </c>
      <c r="L2671" t="n">
        <v>0</v>
      </c>
      <c r="M2671" t="n">
        <v>0</v>
      </c>
      <c r="N2671" t="n">
        <v>0</v>
      </c>
      <c r="O2671" t="n">
        <v>0</v>
      </c>
      <c r="P2671" t="n">
        <v>0</v>
      </c>
      <c r="Q2671" t="n">
        <v>0</v>
      </c>
      <c r="R2671" t="n">
        <v>0</v>
      </c>
      <c r="S2671" t="n">
        <v>0</v>
      </c>
      <c r="T2671" t="n">
        <v>0</v>
      </c>
      <c r="U2671" t="n">
        <v>0</v>
      </c>
      <c r="V2671" s="2" t="inlineStr"/>
    </row>
    <row r="2672" ht="15" customHeight="1">
      <c r="A2672" t="inlineStr">
        <is>
          <t>A 26162-2026</t>
        </is>
      </c>
      <c r="B2672" t="inlineStr">
        <is>
          <t>avverkningsanmälan</t>
        </is>
      </c>
      <c r="C2672" t="inlineStr">
        <is>
          <t>Föryngringsavverkning</t>
        </is>
      </c>
      <c r="D2672" s="1" t="n">
        <v>46181</v>
      </c>
      <c r="E2672" s="1" t="n">
        <v>46309</v>
      </c>
      <c r="F2672" t="inlineStr">
        <is>
          <t>UPPSALA LÄN</t>
        </is>
      </c>
      <c r="G2672" t="inlineStr">
        <is>
          <t>ÖSTHAMMAR</t>
        </is>
      </c>
      <c r="H2672" t="inlineStr">
        <is>
          <t>Bergvik skog öst AB</t>
        </is>
      </c>
      <c r="I2672" t="n">
        <v>8.300000000000001</v>
      </c>
      <c r="J2672" t="n">
        <v>0</v>
      </c>
      <c r="K2672" t="n">
        <v>0</v>
      </c>
      <c r="L2672" t="n">
        <v>0</v>
      </c>
      <c r="M2672" t="n">
        <v>0</v>
      </c>
      <c r="N2672" t="n">
        <v>0</v>
      </c>
      <c r="O2672" t="n">
        <v>0</v>
      </c>
      <c r="P2672" t="n">
        <v>0</v>
      </c>
      <c r="Q2672" t="n">
        <v>0</v>
      </c>
      <c r="R2672" t="n">
        <v>0</v>
      </c>
      <c r="S2672" t="n">
        <v>0</v>
      </c>
      <c r="T2672" t="n">
        <v>0</v>
      </c>
      <c r="U2672" t="n">
        <v>0</v>
      </c>
      <c r="V2672" s="2" t="inlineStr"/>
    </row>
    <row r="2673" ht="15" customHeight="1">
      <c r="A2673" t="inlineStr">
        <is>
          <t>A 25865-2026</t>
        </is>
      </c>
      <c r="B2673" t="inlineStr">
        <is>
          <t>avverkningsanmälan</t>
        </is>
      </c>
      <c r="C2673" t="inlineStr">
        <is>
          <t>Föryngringsavverkning</t>
        </is>
      </c>
      <c r="D2673" s="1" t="n">
        <v>46178</v>
      </c>
      <c r="E2673" s="1" t="n">
        <v>46309</v>
      </c>
      <c r="F2673" t="inlineStr">
        <is>
          <t>UPPSALA LÄN</t>
        </is>
      </c>
      <c r="G2673" t="inlineStr">
        <is>
          <t>HEBY</t>
        </is>
      </c>
      <c r="I2673" t="n">
        <v>3.1</v>
      </c>
      <c r="J2673" t="n">
        <v>0</v>
      </c>
      <c r="K2673" t="n">
        <v>0</v>
      </c>
      <c r="L2673" t="n">
        <v>0</v>
      </c>
      <c r="M2673" t="n">
        <v>0</v>
      </c>
      <c r="N2673" t="n">
        <v>0</v>
      </c>
      <c r="O2673" t="n">
        <v>0</v>
      </c>
      <c r="P2673" t="n">
        <v>0</v>
      </c>
      <c r="Q2673" t="n">
        <v>0</v>
      </c>
      <c r="R2673" t="n">
        <v>0</v>
      </c>
      <c r="S2673" t="n">
        <v>0</v>
      </c>
      <c r="T2673" t="n">
        <v>0</v>
      </c>
      <c r="U2673" t="n">
        <v>0</v>
      </c>
      <c r="V2673" s="2" t="inlineStr"/>
    </row>
    <row r="2674" ht="15" customHeight="1">
      <c r="A2674" t="inlineStr">
        <is>
          <t>A 49833-2023</t>
        </is>
      </c>
      <c r="B2674" t="inlineStr">
        <is>
          <t>avverkningsanmälan</t>
        </is>
      </c>
      <c r="C2674" t="inlineStr">
        <is>
          <t>Föryngringsavverkning</t>
        </is>
      </c>
      <c r="D2674" s="1" t="n">
        <v>45212</v>
      </c>
      <c r="E2674" s="1" t="n">
        <v>46309</v>
      </c>
      <c r="F2674" t="inlineStr">
        <is>
          <t>UPPSALA LÄN</t>
        </is>
      </c>
      <c r="G2674" t="inlineStr">
        <is>
          <t>ÖSTHAMMAR</t>
        </is>
      </c>
      <c r="H2674" t="inlineStr">
        <is>
          <t>Bergvik skog öst AB</t>
        </is>
      </c>
      <c r="I2674" t="n">
        <v>0.4</v>
      </c>
      <c r="J2674" t="n">
        <v>0</v>
      </c>
      <c r="K2674" t="n">
        <v>0</v>
      </c>
      <c r="L2674" t="n">
        <v>0</v>
      </c>
      <c r="M2674" t="n">
        <v>0</v>
      </c>
      <c r="N2674" t="n">
        <v>0</v>
      </c>
      <c r="O2674" t="n">
        <v>0</v>
      </c>
      <c r="P2674" t="n">
        <v>0</v>
      </c>
      <c r="Q2674" t="n">
        <v>0</v>
      </c>
      <c r="R2674" t="n">
        <v>0</v>
      </c>
      <c r="S2674" t="n">
        <v>0</v>
      </c>
      <c r="T2674" t="n">
        <v>0</v>
      </c>
      <c r="U2674" t="n">
        <v>0</v>
      </c>
      <c r="V2674" s="2" t="inlineStr"/>
    </row>
    <row r="2675" ht="15" customHeight="1">
      <c r="A2675" t="inlineStr">
        <is>
          <t>A 56946-2023</t>
        </is>
      </c>
      <c r="B2675" t="inlineStr">
        <is>
          <t>avverkningsanmälan</t>
        </is>
      </c>
      <c r="C2675" t="inlineStr">
        <is>
          <t>Föryngringsavverkning</t>
        </is>
      </c>
      <c r="D2675" s="1" t="n">
        <v>45244</v>
      </c>
      <c r="E2675" s="1" t="n">
        <v>46309</v>
      </c>
      <c r="F2675" t="inlineStr">
        <is>
          <t>UPPSALA LÄN</t>
        </is>
      </c>
      <c r="G2675" t="inlineStr">
        <is>
          <t>TIERP</t>
        </is>
      </c>
      <c r="I2675" t="n">
        <v>0.7</v>
      </c>
      <c r="J2675" t="n">
        <v>0</v>
      </c>
      <c r="K2675" t="n">
        <v>0</v>
      </c>
      <c r="L2675" t="n">
        <v>0</v>
      </c>
      <c r="M2675" t="n">
        <v>0</v>
      </c>
      <c r="N2675" t="n">
        <v>0</v>
      </c>
      <c r="O2675" t="n">
        <v>0</v>
      </c>
      <c r="P2675" t="n">
        <v>0</v>
      </c>
      <c r="Q2675" t="n">
        <v>0</v>
      </c>
      <c r="R2675" t="n">
        <v>0</v>
      </c>
      <c r="S2675" t="n">
        <v>0</v>
      </c>
      <c r="T2675" t="n">
        <v>0</v>
      </c>
      <c r="U2675" t="n">
        <v>0</v>
      </c>
      <c r="V2675" s="2" t="inlineStr"/>
    </row>
    <row r="2676" ht="15" customHeight="1">
      <c r="A2676" t="inlineStr">
        <is>
          <t>A 51120-2023</t>
        </is>
      </c>
      <c r="B2676" t="inlineStr">
        <is>
          <t>avverkningsanmälan</t>
        </is>
      </c>
      <c r="C2676" t="inlineStr">
        <is>
          <t>Föryngringsavverkning</t>
        </is>
      </c>
      <c r="D2676" s="1" t="n">
        <v>45219</v>
      </c>
      <c r="E2676" s="1" t="n">
        <v>46309</v>
      </c>
      <c r="F2676" t="inlineStr">
        <is>
          <t>UPPSALA LÄN</t>
        </is>
      </c>
      <c r="G2676" t="inlineStr">
        <is>
          <t>ENKÖPING</t>
        </is>
      </c>
      <c r="I2676" t="n">
        <v>1.4</v>
      </c>
      <c r="J2676" t="n">
        <v>0</v>
      </c>
      <c r="K2676" t="n">
        <v>0</v>
      </c>
      <c r="L2676" t="n">
        <v>0</v>
      </c>
      <c r="M2676" t="n">
        <v>0</v>
      </c>
      <c r="N2676" t="n">
        <v>0</v>
      </c>
      <c r="O2676" t="n">
        <v>0</v>
      </c>
      <c r="P2676" t="n">
        <v>0</v>
      </c>
      <c r="Q2676" t="n">
        <v>0</v>
      </c>
      <c r="R2676" t="n">
        <v>0</v>
      </c>
      <c r="S2676" t="n">
        <v>0</v>
      </c>
      <c r="T2676" t="n">
        <v>0</v>
      </c>
      <c r="U2676" t="n">
        <v>0</v>
      </c>
      <c r="V2676" s="2" t="inlineStr"/>
    </row>
    <row r="2677" ht="15" customHeight="1">
      <c r="A2677" t="inlineStr">
        <is>
          <t>A 48735-2023</t>
        </is>
      </c>
      <c r="B2677" t="inlineStr">
        <is>
          <t>avverkningsanmälan</t>
        </is>
      </c>
      <c r="C2677" t="inlineStr">
        <is>
          <t>Föryngringsavverkning</t>
        </is>
      </c>
      <c r="D2677" s="1" t="n">
        <v>45203</v>
      </c>
      <c r="E2677" s="1" t="n">
        <v>46309</v>
      </c>
      <c r="F2677" t="inlineStr">
        <is>
          <t>UPPSALA LÄN</t>
        </is>
      </c>
      <c r="G2677" t="inlineStr">
        <is>
          <t>TIERP</t>
        </is>
      </c>
      <c r="H2677" t="inlineStr">
        <is>
          <t>Bergvik skog väst AB</t>
        </is>
      </c>
      <c r="I2677" t="n">
        <v>1.4</v>
      </c>
      <c r="J2677" t="n">
        <v>0</v>
      </c>
      <c r="K2677" t="n">
        <v>0</v>
      </c>
      <c r="L2677" t="n">
        <v>0</v>
      </c>
      <c r="M2677" t="n">
        <v>0</v>
      </c>
      <c r="N2677" t="n">
        <v>0</v>
      </c>
      <c r="O2677" t="n">
        <v>0</v>
      </c>
      <c r="P2677" t="n">
        <v>0</v>
      </c>
      <c r="Q2677" t="n">
        <v>0</v>
      </c>
      <c r="R2677" t="n">
        <v>0</v>
      </c>
      <c r="S2677" t="n">
        <v>0</v>
      </c>
      <c r="T2677" t="n">
        <v>0</v>
      </c>
      <c r="U2677" t="n">
        <v>0</v>
      </c>
      <c r="V2677" s="2" t="inlineStr"/>
    </row>
    <row r="2678" ht="15" customHeight="1">
      <c r="A2678" t="inlineStr">
        <is>
          <t>A 42731-2023</t>
        </is>
      </c>
      <c r="B2678" t="inlineStr">
        <is>
          <t>avverkningsanmälan</t>
        </is>
      </c>
      <c r="C2678" t="inlineStr">
        <is>
          <t>Föryngringsavverkning</t>
        </is>
      </c>
      <c r="D2678" s="1" t="n">
        <v>45181</v>
      </c>
      <c r="E2678" s="1" t="n">
        <v>46309</v>
      </c>
      <c r="F2678" t="inlineStr">
        <is>
          <t>UPPSALA LÄN</t>
        </is>
      </c>
      <c r="G2678" t="inlineStr">
        <is>
          <t>HEBY</t>
        </is>
      </c>
      <c r="I2678" t="n">
        <v>0.6</v>
      </c>
      <c r="J2678" t="n">
        <v>0</v>
      </c>
      <c r="K2678" t="n">
        <v>0</v>
      </c>
      <c r="L2678" t="n">
        <v>0</v>
      </c>
      <c r="M2678" t="n">
        <v>0</v>
      </c>
      <c r="N2678" t="n">
        <v>0</v>
      </c>
      <c r="O2678" t="n">
        <v>0</v>
      </c>
      <c r="P2678" t="n">
        <v>0</v>
      </c>
      <c r="Q2678" t="n">
        <v>0</v>
      </c>
      <c r="R2678" t="n">
        <v>0</v>
      </c>
      <c r="S2678" t="n">
        <v>0</v>
      </c>
      <c r="T2678" t="n">
        <v>0</v>
      </c>
      <c r="U2678" t="n">
        <v>0</v>
      </c>
      <c r="V2678" s="2" t="inlineStr"/>
    </row>
    <row r="2679" ht="15" customHeight="1">
      <c r="A2679" t="inlineStr">
        <is>
          <t>A 17433-2025</t>
        </is>
      </c>
      <c r="B2679" t="inlineStr">
        <is>
          <t>avverkningsanmälan</t>
        </is>
      </c>
      <c r="C2679" t="inlineStr">
        <is>
          <t>Föryngringsavverkning</t>
        </is>
      </c>
      <c r="D2679" s="1" t="n">
        <v>45757</v>
      </c>
      <c r="E2679" s="1" t="n">
        <v>46309</v>
      </c>
      <c r="F2679" t="inlineStr">
        <is>
          <t>UPPSALA LÄN</t>
        </is>
      </c>
      <c r="G2679" t="inlineStr">
        <is>
          <t>ÖSTHAMMAR</t>
        </is>
      </c>
      <c r="H2679" t="inlineStr">
        <is>
          <t>Övriga Aktiebolag</t>
        </is>
      </c>
      <c r="I2679" t="n">
        <v>0.5</v>
      </c>
      <c r="J2679" t="n">
        <v>0</v>
      </c>
      <c r="K2679" t="n">
        <v>0</v>
      </c>
      <c r="L2679" t="n">
        <v>0</v>
      </c>
      <c r="M2679" t="n">
        <v>0</v>
      </c>
      <c r="N2679" t="n">
        <v>0</v>
      </c>
      <c r="O2679" t="n">
        <v>0</v>
      </c>
      <c r="P2679" t="n">
        <v>0</v>
      </c>
      <c r="Q2679" t="n">
        <v>0</v>
      </c>
      <c r="R2679" t="n">
        <v>0</v>
      </c>
      <c r="S2679" t="n">
        <v>0</v>
      </c>
      <c r="T2679" t="n">
        <v>0</v>
      </c>
      <c r="U2679" t="n">
        <v>0</v>
      </c>
      <c r="V2679" s="2" t="inlineStr"/>
    </row>
    <row r="2680" ht="15" customHeight="1">
      <c r="A2680" t="inlineStr">
        <is>
          <t>A 25756-2026</t>
        </is>
      </c>
      <c r="B2680" t="inlineStr">
        <is>
          <t>avverkningsanmälan</t>
        </is>
      </c>
      <c r="C2680" t="inlineStr">
        <is>
          <t>Föryngringsavverkning</t>
        </is>
      </c>
      <c r="D2680" s="1" t="n">
        <v>46178</v>
      </c>
      <c r="E2680" s="1" t="n">
        <v>46309</v>
      </c>
      <c r="F2680" t="inlineStr">
        <is>
          <t>UPPSALA LÄN</t>
        </is>
      </c>
      <c r="G2680" t="inlineStr">
        <is>
          <t>UPPSALA</t>
        </is>
      </c>
      <c r="I2680" t="n">
        <v>4.1</v>
      </c>
      <c r="J2680" t="n">
        <v>0</v>
      </c>
      <c r="K2680" t="n">
        <v>0</v>
      </c>
      <c r="L2680" t="n">
        <v>0</v>
      </c>
      <c r="M2680" t="n">
        <v>0</v>
      </c>
      <c r="N2680" t="n">
        <v>0</v>
      </c>
      <c r="O2680" t="n">
        <v>0</v>
      </c>
      <c r="P2680" t="n">
        <v>0</v>
      </c>
      <c r="Q2680" t="n">
        <v>0</v>
      </c>
      <c r="R2680" t="n">
        <v>0</v>
      </c>
      <c r="S2680" t="n">
        <v>0</v>
      </c>
      <c r="T2680" t="n">
        <v>0</v>
      </c>
      <c r="U2680" t="n">
        <v>0</v>
      </c>
      <c r="V2680" s="2" t="inlineStr"/>
    </row>
    <row r="2681" ht="15" customHeight="1">
      <c r="A2681" t="inlineStr">
        <is>
          <t>A 45550-2023</t>
        </is>
      </c>
      <c r="B2681" t="inlineStr">
        <is>
          <t>avverkningsanmälan</t>
        </is>
      </c>
      <c r="C2681" t="inlineStr">
        <is>
          <t>Föryngringsavverkning</t>
        </is>
      </c>
      <c r="D2681" s="1" t="n">
        <v>45194</v>
      </c>
      <c r="E2681" s="1" t="n">
        <v>46309</v>
      </c>
      <c r="F2681" t="inlineStr">
        <is>
          <t>UPPSALA LÄN</t>
        </is>
      </c>
      <c r="G2681" t="inlineStr">
        <is>
          <t>ÖSTHAMMAR</t>
        </is>
      </c>
      <c r="H2681" t="inlineStr">
        <is>
          <t>Bergvik skog öst AB</t>
        </is>
      </c>
      <c r="I2681" t="n">
        <v>0.4</v>
      </c>
      <c r="J2681" t="n">
        <v>0</v>
      </c>
      <c r="K2681" t="n">
        <v>0</v>
      </c>
      <c r="L2681" t="n">
        <v>0</v>
      </c>
      <c r="M2681" t="n">
        <v>0</v>
      </c>
      <c r="N2681" t="n">
        <v>0</v>
      </c>
      <c r="O2681" t="n">
        <v>0</v>
      </c>
      <c r="P2681" t="n">
        <v>0</v>
      </c>
      <c r="Q2681" t="n">
        <v>0</v>
      </c>
      <c r="R2681" t="n">
        <v>0</v>
      </c>
      <c r="S2681" t="n">
        <v>0</v>
      </c>
      <c r="T2681" t="n">
        <v>0</v>
      </c>
      <c r="U2681" t="n">
        <v>0</v>
      </c>
      <c r="V2681" s="2" t="inlineStr"/>
    </row>
    <row r="2682" ht="15" customHeight="1">
      <c r="A2682" t="inlineStr">
        <is>
          <t>A 52503-2023</t>
        </is>
      </c>
      <c r="B2682" t="inlineStr">
        <is>
          <t>avverkningsanmälan</t>
        </is>
      </c>
      <c r="C2682" t="inlineStr">
        <is>
          <t>Föryngringsavverkning</t>
        </is>
      </c>
      <c r="D2682" s="1" t="n">
        <v>45225</v>
      </c>
      <c r="E2682" s="1" t="n">
        <v>46309</v>
      </c>
      <c r="F2682" t="inlineStr">
        <is>
          <t>UPPSALA LÄN</t>
        </is>
      </c>
      <c r="G2682" t="inlineStr">
        <is>
          <t>UPPSALA</t>
        </is>
      </c>
      <c r="I2682" t="n">
        <v>1.7</v>
      </c>
      <c r="J2682" t="n">
        <v>0</v>
      </c>
      <c r="K2682" t="n">
        <v>0</v>
      </c>
      <c r="L2682" t="n">
        <v>0</v>
      </c>
      <c r="M2682" t="n">
        <v>0</v>
      </c>
      <c r="N2682" t="n">
        <v>0</v>
      </c>
      <c r="O2682" t="n">
        <v>0</v>
      </c>
      <c r="P2682" t="n">
        <v>0</v>
      </c>
      <c r="Q2682" t="n">
        <v>0</v>
      </c>
      <c r="R2682" t="n">
        <v>0</v>
      </c>
      <c r="S2682" t="n">
        <v>0</v>
      </c>
      <c r="T2682" t="n">
        <v>0</v>
      </c>
      <c r="U2682" t="n">
        <v>0</v>
      </c>
      <c r="V2682" s="2" t="inlineStr"/>
    </row>
    <row r="2683" ht="15" customHeight="1">
      <c r="A2683" t="inlineStr">
        <is>
          <t>A 54357-2023</t>
        </is>
      </c>
      <c r="B2683" t="inlineStr">
        <is>
          <t>avverkningsanmälan</t>
        </is>
      </c>
      <c r="C2683" t="inlineStr">
        <is>
          <t>Föryngringsavverkning</t>
        </is>
      </c>
      <c r="D2683" s="1" t="n">
        <v>45225</v>
      </c>
      <c r="E2683" s="1" t="n">
        <v>46309</v>
      </c>
      <c r="F2683" t="inlineStr">
        <is>
          <t>UPPSALA LÄN</t>
        </is>
      </c>
      <c r="G2683" t="inlineStr">
        <is>
          <t>ENKÖPING</t>
        </is>
      </c>
      <c r="I2683" t="n">
        <v>1.8</v>
      </c>
      <c r="J2683" t="n">
        <v>0</v>
      </c>
      <c r="K2683" t="n">
        <v>0</v>
      </c>
      <c r="L2683" t="n">
        <v>0</v>
      </c>
      <c r="M2683" t="n">
        <v>0</v>
      </c>
      <c r="N2683" t="n">
        <v>0</v>
      </c>
      <c r="O2683" t="n">
        <v>0</v>
      </c>
      <c r="P2683" t="n">
        <v>0</v>
      </c>
      <c r="Q2683" t="n">
        <v>0</v>
      </c>
      <c r="R2683" t="n">
        <v>0</v>
      </c>
      <c r="S2683" t="n">
        <v>0</v>
      </c>
      <c r="T2683" t="n">
        <v>0</v>
      </c>
      <c r="U2683" t="n">
        <v>0</v>
      </c>
      <c r="V2683" s="2" t="inlineStr"/>
    </row>
    <row r="2684" ht="15" customHeight="1">
      <c r="A2684" t="inlineStr">
        <is>
          <t>A 54368-2023</t>
        </is>
      </c>
      <c r="B2684" t="inlineStr">
        <is>
          <t>avverkningsanmälan</t>
        </is>
      </c>
      <c r="C2684" t="inlineStr">
        <is>
          <t>Föryngringsavverkning</t>
        </is>
      </c>
      <c r="D2684" s="1" t="n">
        <v>45233</v>
      </c>
      <c r="E2684" s="1" t="n">
        <v>46309</v>
      </c>
      <c r="F2684" t="inlineStr">
        <is>
          <t>UPPSALA LÄN</t>
        </is>
      </c>
      <c r="G2684" t="inlineStr">
        <is>
          <t>ÖSTHAMMAR</t>
        </is>
      </c>
      <c r="H2684" t="inlineStr">
        <is>
          <t>Bergvik skog öst AB</t>
        </is>
      </c>
      <c r="I2684" t="n">
        <v>3</v>
      </c>
      <c r="J2684" t="n">
        <v>0</v>
      </c>
      <c r="K2684" t="n">
        <v>0</v>
      </c>
      <c r="L2684" t="n">
        <v>0</v>
      </c>
      <c r="M2684" t="n">
        <v>0</v>
      </c>
      <c r="N2684" t="n">
        <v>0</v>
      </c>
      <c r="O2684" t="n">
        <v>0</v>
      </c>
      <c r="P2684" t="n">
        <v>0</v>
      </c>
      <c r="Q2684" t="n">
        <v>0</v>
      </c>
      <c r="R2684" t="n">
        <v>0</v>
      </c>
      <c r="S2684" t="n">
        <v>0</v>
      </c>
      <c r="T2684" t="n">
        <v>0</v>
      </c>
      <c r="U2684" t="n">
        <v>0</v>
      </c>
      <c r="V2684" s="2" t="inlineStr"/>
    </row>
    <row r="2685" ht="15" customHeight="1">
      <c r="A2685" t="inlineStr">
        <is>
          <t>A 17333-2024</t>
        </is>
      </c>
      <c r="B2685" t="inlineStr">
        <is>
          <t>avverkningsanmälan</t>
        </is>
      </c>
      <c r="C2685" t="inlineStr">
        <is>
          <t>Föryngringsavverkning</t>
        </is>
      </c>
      <c r="D2685" s="1" t="n">
        <v>45414</v>
      </c>
      <c r="E2685" s="1" t="n">
        <v>46309</v>
      </c>
      <c r="F2685" t="inlineStr">
        <is>
          <t>UPPSALA LÄN</t>
        </is>
      </c>
      <c r="G2685" t="inlineStr">
        <is>
          <t>KNIVSTA</t>
        </is>
      </c>
      <c r="I2685" t="n">
        <v>0.9</v>
      </c>
      <c r="J2685" t="n">
        <v>0</v>
      </c>
      <c r="K2685" t="n">
        <v>0</v>
      </c>
      <c r="L2685" t="n">
        <v>0</v>
      </c>
      <c r="M2685" t="n">
        <v>0</v>
      </c>
      <c r="N2685" t="n">
        <v>0</v>
      </c>
      <c r="O2685" t="n">
        <v>0</v>
      </c>
      <c r="P2685" t="n">
        <v>0</v>
      </c>
      <c r="Q2685" t="n">
        <v>0</v>
      </c>
      <c r="R2685" t="n">
        <v>0</v>
      </c>
      <c r="S2685" t="n">
        <v>0</v>
      </c>
      <c r="T2685" t="n">
        <v>0</v>
      </c>
      <c r="U2685" t="n">
        <v>0</v>
      </c>
      <c r="V2685" s="2" t="inlineStr"/>
    </row>
    <row r="2686" ht="15" customHeight="1">
      <c r="A2686" t="inlineStr">
        <is>
          <t>A 25767-2026</t>
        </is>
      </c>
      <c r="B2686" t="inlineStr">
        <is>
          <t>avverkningsanmälan</t>
        </is>
      </c>
      <c r="C2686" t="inlineStr">
        <is>
          <t>Föryngringsavverkning</t>
        </is>
      </c>
      <c r="D2686" s="1" t="n">
        <v>46178</v>
      </c>
      <c r="E2686" s="1" t="n">
        <v>46309</v>
      </c>
      <c r="F2686" t="inlineStr">
        <is>
          <t>UPPSALA LÄN</t>
        </is>
      </c>
      <c r="G2686" t="inlineStr">
        <is>
          <t>TIERP</t>
        </is>
      </c>
      <c r="I2686" t="n">
        <v>0.5</v>
      </c>
      <c r="J2686" t="n">
        <v>0</v>
      </c>
      <c r="K2686" t="n">
        <v>0</v>
      </c>
      <c r="L2686" t="n">
        <v>0</v>
      </c>
      <c r="M2686" t="n">
        <v>0</v>
      </c>
      <c r="N2686" t="n">
        <v>0</v>
      </c>
      <c r="O2686" t="n">
        <v>0</v>
      </c>
      <c r="P2686" t="n">
        <v>0</v>
      </c>
      <c r="Q2686" t="n">
        <v>0</v>
      </c>
      <c r="R2686" t="n">
        <v>0</v>
      </c>
      <c r="S2686" t="n">
        <v>0</v>
      </c>
      <c r="T2686" t="n">
        <v>0</v>
      </c>
      <c r="U2686" t="n">
        <v>0</v>
      </c>
      <c r="V2686" s="2" t="inlineStr"/>
    </row>
    <row r="2687" ht="15" customHeight="1">
      <c r="A2687" t="inlineStr">
        <is>
          <t>A 43605-2023</t>
        </is>
      </c>
      <c r="B2687" t="inlineStr">
        <is>
          <t>avverkningsanmälan</t>
        </is>
      </c>
      <c r="C2687" t="inlineStr">
        <is>
          <t>Föryngringsavverkning</t>
        </is>
      </c>
      <c r="D2687" s="1" t="n">
        <v>45181</v>
      </c>
      <c r="E2687" s="1" t="n">
        <v>46309</v>
      </c>
      <c r="F2687" t="inlineStr">
        <is>
          <t>UPPSALA LÄN</t>
        </is>
      </c>
      <c r="G2687" t="inlineStr">
        <is>
          <t>TIERP</t>
        </is>
      </c>
      <c r="I2687" t="n">
        <v>2.5</v>
      </c>
      <c r="J2687" t="n">
        <v>0</v>
      </c>
      <c r="K2687" t="n">
        <v>0</v>
      </c>
      <c r="L2687" t="n">
        <v>0</v>
      </c>
      <c r="M2687" t="n">
        <v>0</v>
      </c>
      <c r="N2687" t="n">
        <v>0</v>
      </c>
      <c r="O2687" t="n">
        <v>0</v>
      </c>
      <c r="P2687" t="n">
        <v>0</v>
      </c>
      <c r="Q2687" t="n">
        <v>0</v>
      </c>
      <c r="R2687" t="n">
        <v>0</v>
      </c>
      <c r="S2687" t="n">
        <v>0</v>
      </c>
      <c r="T2687" t="n">
        <v>0</v>
      </c>
      <c r="U2687" t="n">
        <v>0</v>
      </c>
      <c r="V2687" s="2" t="inlineStr"/>
    </row>
    <row r="2688" ht="15" customHeight="1">
      <c r="A2688" t="inlineStr">
        <is>
          <t>A 60447-2023</t>
        </is>
      </c>
      <c r="B2688" t="inlineStr">
        <is>
          <t>avverkningsanmälan</t>
        </is>
      </c>
      <c r="C2688" t="inlineStr">
        <is>
          <t>Föryngringsavverkning</t>
        </is>
      </c>
      <c r="D2688" s="1" t="n">
        <v>45259</v>
      </c>
      <c r="E2688" s="1" t="n">
        <v>46309</v>
      </c>
      <c r="F2688" t="inlineStr">
        <is>
          <t>UPPSALA LÄN</t>
        </is>
      </c>
      <c r="G2688" t="inlineStr">
        <is>
          <t>UPPSALA</t>
        </is>
      </c>
      <c r="H2688" t="inlineStr">
        <is>
          <t>Bergvik skog öst AB</t>
        </is>
      </c>
      <c r="I2688" t="n">
        <v>0.6</v>
      </c>
      <c r="J2688" t="n">
        <v>0</v>
      </c>
      <c r="K2688" t="n">
        <v>0</v>
      </c>
      <c r="L2688" t="n">
        <v>0</v>
      </c>
      <c r="M2688" t="n">
        <v>0</v>
      </c>
      <c r="N2688" t="n">
        <v>0</v>
      </c>
      <c r="O2688" t="n">
        <v>0</v>
      </c>
      <c r="P2688" t="n">
        <v>0</v>
      </c>
      <c r="Q2688" t="n">
        <v>0</v>
      </c>
      <c r="R2688" t="n">
        <v>0</v>
      </c>
      <c r="S2688" t="n">
        <v>0</v>
      </c>
      <c r="T2688" t="n">
        <v>0</v>
      </c>
      <c r="U2688" t="n">
        <v>0</v>
      </c>
      <c r="V2688" s="2" t="inlineStr"/>
    </row>
    <row r="2689" ht="15" customHeight="1">
      <c r="A2689" t="inlineStr">
        <is>
          <t>A 26506-2026</t>
        </is>
      </c>
      <c r="B2689" t="inlineStr">
        <is>
          <t>avverkningsanmälan</t>
        </is>
      </c>
      <c r="C2689" t="inlineStr">
        <is>
          <t>Föryngringsavverkning</t>
        </is>
      </c>
      <c r="D2689" s="1" t="n">
        <v>46183</v>
      </c>
      <c r="E2689" s="1" t="n">
        <v>46309</v>
      </c>
      <c r="F2689" t="inlineStr">
        <is>
          <t>UPPSALA LÄN</t>
        </is>
      </c>
      <c r="G2689" t="inlineStr">
        <is>
          <t>TIERP</t>
        </is>
      </c>
      <c r="H2689" t="inlineStr">
        <is>
          <t>Bergvik skog öst AB</t>
        </is>
      </c>
      <c r="I2689" t="n">
        <v>7.5</v>
      </c>
      <c r="J2689" t="n">
        <v>0</v>
      </c>
      <c r="K2689" t="n">
        <v>0</v>
      </c>
      <c r="L2689" t="n">
        <v>0</v>
      </c>
      <c r="M2689" t="n">
        <v>0</v>
      </c>
      <c r="N2689" t="n">
        <v>0</v>
      </c>
      <c r="O2689" t="n">
        <v>0</v>
      </c>
      <c r="P2689" t="n">
        <v>0</v>
      </c>
      <c r="Q2689" t="n">
        <v>0</v>
      </c>
      <c r="R2689" t="n">
        <v>0</v>
      </c>
      <c r="S2689" t="n">
        <v>0</v>
      </c>
      <c r="T2689" t="n">
        <v>0</v>
      </c>
      <c r="U2689" t="n">
        <v>0</v>
      </c>
      <c r="V2689" s="2" t="inlineStr"/>
    </row>
    <row r="2690" ht="15" customHeight="1">
      <c r="A2690" t="inlineStr">
        <is>
          <t>A 1791-2024</t>
        </is>
      </c>
      <c r="B2690" t="inlineStr">
        <is>
          <t>avverkningsanmälan</t>
        </is>
      </c>
      <c r="C2690" t="inlineStr">
        <is>
          <t>Föryngringsavverkning</t>
        </is>
      </c>
      <c r="D2690" s="1" t="n">
        <v>45307</v>
      </c>
      <c r="E2690" s="1" t="n">
        <v>46309</v>
      </c>
      <c r="F2690" t="inlineStr">
        <is>
          <t>UPPSALA LÄN</t>
        </is>
      </c>
      <c r="G2690" t="inlineStr">
        <is>
          <t>KNIVSTA</t>
        </is>
      </c>
      <c r="I2690" t="n">
        <v>1.4</v>
      </c>
      <c r="J2690" t="n">
        <v>0</v>
      </c>
      <c r="K2690" t="n">
        <v>0</v>
      </c>
      <c r="L2690" t="n">
        <v>0</v>
      </c>
      <c r="M2690" t="n">
        <v>0</v>
      </c>
      <c r="N2690" t="n">
        <v>0</v>
      </c>
      <c r="O2690" t="n">
        <v>0</v>
      </c>
      <c r="P2690" t="n">
        <v>0</v>
      </c>
      <c r="Q2690" t="n">
        <v>0</v>
      </c>
      <c r="R2690" t="n">
        <v>0</v>
      </c>
      <c r="S2690" t="n">
        <v>0</v>
      </c>
      <c r="T2690" t="n">
        <v>0</v>
      </c>
      <c r="U2690" t="n">
        <v>0</v>
      </c>
      <c r="V2690" s="2" t="inlineStr"/>
    </row>
    <row r="2691" ht="15" customHeight="1">
      <c r="A2691" t="inlineStr">
        <is>
          <t>A 54783-2023</t>
        </is>
      </c>
      <c r="B2691" t="inlineStr">
        <is>
          <t>avverkningsanmälan</t>
        </is>
      </c>
      <c r="C2691" t="inlineStr">
        <is>
          <t>Föryngringsavverkning</t>
        </is>
      </c>
      <c r="D2691" s="1" t="n">
        <v>45236</v>
      </c>
      <c r="E2691" s="1" t="n">
        <v>46309</v>
      </c>
      <c r="F2691" t="inlineStr">
        <is>
          <t>UPPSALA LÄN</t>
        </is>
      </c>
      <c r="G2691" t="inlineStr">
        <is>
          <t>UPPSALA</t>
        </is>
      </c>
      <c r="I2691" t="n">
        <v>2.2</v>
      </c>
      <c r="J2691" t="n">
        <v>0</v>
      </c>
      <c r="K2691" t="n">
        <v>0</v>
      </c>
      <c r="L2691" t="n">
        <v>0</v>
      </c>
      <c r="M2691" t="n">
        <v>0</v>
      </c>
      <c r="N2691" t="n">
        <v>0</v>
      </c>
      <c r="O2691" t="n">
        <v>0</v>
      </c>
      <c r="P2691" t="n">
        <v>0</v>
      </c>
      <c r="Q2691" t="n">
        <v>0</v>
      </c>
      <c r="R2691" t="n">
        <v>0</v>
      </c>
      <c r="S2691" t="n">
        <v>0</v>
      </c>
      <c r="T2691" t="n">
        <v>0</v>
      </c>
      <c r="U2691" t="n">
        <v>0</v>
      </c>
      <c r="V2691" s="2" t="inlineStr"/>
    </row>
    <row r="2692" ht="15" customHeight="1">
      <c r="A2692" t="inlineStr">
        <is>
          <t>A 63402-2023</t>
        </is>
      </c>
      <c r="B2692" t="inlineStr">
        <is>
          <t>avverkningsanmälan</t>
        </is>
      </c>
      <c r="C2692" t="inlineStr">
        <is>
          <t>Föryngringsavverkning</t>
        </is>
      </c>
      <c r="D2692" s="1" t="n">
        <v>45274</v>
      </c>
      <c r="E2692" s="1" t="n">
        <v>46309</v>
      </c>
      <c r="F2692" t="inlineStr">
        <is>
          <t>UPPSALA LÄN</t>
        </is>
      </c>
      <c r="G2692" t="inlineStr">
        <is>
          <t>ENKÖPING</t>
        </is>
      </c>
      <c r="I2692" t="n">
        <v>0.5</v>
      </c>
      <c r="J2692" t="n">
        <v>0</v>
      </c>
      <c r="K2692" t="n">
        <v>0</v>
      </c>
      <c r="L2692" t="n">
        <v>0</v>
      </c>
      <c r="M2692" t="n">
        <v>0</v>
      </c>
      <c r="N2692" t="n">
        <v>0</v>
      </c>
      <c r="O2692" t="n">
        <v>0</v>
      </c>
      <c r="P2692" t="n">
        <v>0</v>
      </c>
      <c r="Q2692" t="n">
        <v>0</v>
      </c>
      <c r="R2692" t="n">
        <v>0</v>
      </c>
      <c r="S2692" t="n">
        <v>0</v>
      </c>
      <c r="T2692" t="n">
        <v>0</v>
      </c>
      <c r="U2692" t="n">
        <v>0</v>
      </c>
      <c r="V2692" s="2" t="inlineStr"/>
    </row>
    <row r="2693" ht="15" customHeight="1">
      <c r="A2693" t="inlineStr">
        <is>
          <t>A 36561-2022</t>
        </is>
      </c>
      <c r="B2693" t="inlineStr">
        <is>
          <t>avverkningsanmälan</t>
        </is>
      </c>
      <c r="C2693" t="inlineStr">
        <is>
          <t>Föryngringsavverkning</t>
        </is>
      </c>
      <c r="D2693" s="1" t="n">
        <v>44804</v>
      </c>
      <c r="E2693" s="1" t="n">
        <v>46309</v>
      </c>
      <c r="F2693" t="inlineStr">
        <is>
          <t>UPPSALA LÄN</t>
        </is>
      </c>
      <c r="G2693" t="inlineStr">
        <is>
          <t>TIERP</t>
        </is>
      </c>
      <c r="I2693" t="n">
        <v>0.3</v>
      </c>
      <c r="J2693" t="n">
        <v>0</v>
      </c>
      <c r="K2693" t="n">
        <v>0</v>
      </c>
      <c r="L2693" t="n">
        <v>0</v>
      </c>
      <c r="M2693" t="n">
        <v>0</v>
      </c>
      <c r="N2693" t="n">
        <v>0</v>
      </c>
      <c r="O2693" t="n">
        <v>0</v>
      </c>
      <c r="P2693" t="n">
        <v>0</v>
      </c>
      <c r="Q2693" t="n">
        <v>0</v>
      </c>
      <c r="R2693" t="n">
        <v>0</v>
      </c>
      <c r="S2693" t="n">
        <v>0</v>
      </c>
      <c r="T2693" t="n">
        <v>0</v>
      </c>
      <c r="U2693" t="n">
        <v>0</v>
      </c>
      <c r="V2693" s="2" t="inlineStr"/>
      <c r="X2693">
        <f>HYPERLINK("https://klasma.github.io/Logging_0360/kartor/A 36561-2022 karta.png", "A 36561-2022")</f>
        <v/>
      </c>
      <c r="Y2693">
        <f>HYPERLINK("https://klasma.github.io/Logging_0360/kartor_geotiff/A 36561-2022 georefererad karta.tif", "A 36561-2022")</f>
        <v/>
      </c>
      <c r="AA2693">
        <f>HYPERLINK("https://klasma.github.io/Logging_0360/klagomål/A 36561-2022 FSC-klagomål.docx", "A 36561-2022")</f>
        <v/>
      </c>
      <c r="AB2693">
        <f>HYPERLINK("https://klasma.github.io/Logging_0360/klagomålsmail/A 36561-2022 FSC-klagomål mail.docx", "A 36561-2022")</f>
        <v/>
      </c>
      <c r="AC2693">
        <f>HYPERLINK("https://klasma.github.io/Logging_0360/tillsyn/A 36561-2022 tillsynsbegäran.docx", "A 36561-2022")</f>
        <v/>
      </c>
      <c r="AD2693">
        <f>HYPERLINK("https://klasma.github.io/Logging_0360/tillsynsmail/A 36561-2022 tillsynsbegäran mail.docx", "A 36561-2022")</f>
        <v/>
      </c>
    </row>
    <row r="2694" ht="15" customHeight="1">
      <c r="A2694" t="inlineStr">
        <is>
          <t>A 26656-2022</t>
        </is>
      </c>
      <c r="B2694" t="inlineStr">
        <is>
          <t>avverkningsanmälan</t>
        </is>
      </c>
      <c r="C2694" t="inlineStr">
        <is>
          <t>Föryngringsavverkning</t>
        </is>
      </c>
      <c r="D2694" s="1" t="n">
        <v>44739</v>
      </c>
      <c r="E2694" s="1" t="n">
        <v>46309</v>
      </c>
      <c r="F2694" t="inlineStr">
        <is>
          <t>UPPSALA LÄN</t>
        </is>
      </c>
      <c r="G2694" t="inlineStr">
        <is>
          <t>TIERP</t>
        </is>
      </c>
      <c r="I2694" t="n">
        <v>2.8</v>
      </c>
      <c r="J2694" t="n">
        <v>0</v>
      </c>
      <c r="K2694" t="n">
        <v>0</v>
      </c>
      <c r="L2694" t="n">
        <v>0</v>
      </c>
      <c r="M2694" t="n">
        <v>0</v>
      </c>
      <c r="N2694" t="n">
        <v>0</v>
      </c>
      <c r="O2694" t="n">
        <v>0</v>
      </c>
      <c r="P2694" t="n">
        <v>0</v>
      </c>
      <c r="Q2694" t="n">
        <v>0</v>
      </c>
      <c r="R2694" t="n">
        <v>0</v>
      </c>
      <c r="S2694" t="n">
        <v>0</v>
      </c>
      <c r="T2694" t="n">
        <v>0</v>
      </c>
      <c r="U2694" t="n">
        <v>0</v>
      </c>
      <c r="V2694" s="2" t="inlineStr"/>
    </row>
    <row r="2695" ht="15" customHeight="1">
      <c r="A2695" t="inlineStr">
        <is>
          <t>A 26305-2026</t>
        </is>
      </c>
      <c r="B2695" t="inlineStr">
        <is>
          <t>avverkningsanmälan</t>
        </is>
      </c>
      <c r="C2695" t="inlineStr">
        <is>
          <t>Föryngringsavverkning</t>
        </is>
      </c>
      <c r="D2695" s="1" t="n">
        <v>46182</v>
      </c>
      <c r="E2695" s="1" t="n">
        <v>46309</v>
      </c>
      <c r="F2695" t="inlineStr">
        <is>
          <t>UPPSALA LÄN</t>
        </is>
      </c>
      <c r="G2695" t="inlineStr">
        <is>
          <t>ÖSTHAMMAR</t>
        </is>
      </c>
      <c r="I2695" t="n">
        <v>6.4</v>
      </c>
      <c r="J2695" t="n">
        <v>0</v>
      </c>
      <c r="K2695" t="n">
        <v>0</v>
      </c>
      <c r="L2695" t="n">
        <v>0</v>
      </c>
      <c r="M2695" t="n">
        <v>0</v>
      </c>
      <c r="N2695" t="n">
        <v>0</v>
      </c>
      <c r="O2695" t="n">
        <v>0</v>
      </c>
      <c r="P2695" t="n">
        <v>0</v>
      </c>
      <c r="Q2695" t="n">
        <v>0</v>
      </c>
      <c r="R2695" t="n">
        <v>0</v>
      </c>
      <c r="S2695" t="n">
        <v>0</v>
      </c>
      <c r="T2695" t="n">
        <v>0</v>
      </c>
      <c r="U2695" t="n">
        <v>0</v>
      </c>
      <c r="V2695" s="2" t="inlineStr"/>
    </row>
    <row r="2696" ht="15" customHeight="1">
      <c r="A2696" t="inlineStr">
        <is>
          <t>A 26581-2026</t>
        </is>
      </c>
      <c r="B2696" t="inlineStr">
        <is>
          <t>avverkningsanmälan</t>
        </is>
      </c>
      <c r="C2696" t="inlineStr">
        <is>
          <t>Föryngringsavverkning</t>
        </is>
      </c>
      <c r="D2696" s="1" t="n">
        <v>46183</v>
      </c>
      <c r="E2696" s="1" t="n">
        <v>46309</v>
      </c>
      <c r="F2696" t="inlineStr">
        <is>
          <t>UPPSALA LÄN</t>
        </is>
      </c>
      <c r="G2696" t="inlineStr">
        <is>
          <t>ÖSTHAMMAR</t>
        </is>
      </c>
      <c r="I2696" t="n">
        <v>2.6</v>
      </c>
      <c r="J2696" t="n">
        <v>0</v>
      </c>
      <c r="K2696" t="n">
        <v>0</v>
      </c>
      <c r="L2696" t="n">
        <v>0</v>
      </c>
      <c r="M2696" t="n">
        <v>0</v>
      </c>
      <c r="N2696" t="n">
        <v>0</v>
      </c>
      <c r="O2696" t="n">
        <v>0</v>
      </c>
      <c r="P2696" t="n">
        <v>0</v>
      </c>
      <c r="Q2696" t="n">
        <v>0</v>
      </c>
      <c r="R2696" t="n">
        <v>0</v>
      </c>
      <c r="S2696" t="n">
        <v>0</v>
      </c>
      <c r="T2696" t="n">
        <v>0</v>
      </c>
      <c r="U2696" t="n">
        <v>0</v>
      </c>
      <c r="V2696" s="2" t="inlineStr"/>
    </row>
    <row r="2697" ht="15" customHeight="1">
      <c r="A2697" t="inlineStr">
        <is>
          <t>A 600-2024</t>
        </is>
      </c>
      <c r="B2697" t="inlineStr">
        <is>
          <t>avverkningsanmälan</t>
        </is>
      </c>
      <c r="C2697" t="inlineStr">
        <is>
          <t>Avverkning för annat ändamål</t>
        </is>
      </c>
      <c r="D2697" s="1" t="n">
        <v>45299</v>
      </c>
      <c r="E2697" s="1" t="n">
        <v>46309</v>
      </c>
      <c r="F2697" t="inlineStr">
        <is>
          <t>UPPSALA LÄN</t>
        </is>
      </c>
      <c r="G2697" t="inlineStr">
        <is>
          <t>UPPSALA</t>
        </is>
      </c>
      <c r="I2697" t="n">
        <v>0.6</v>
      </c>
      <c r="J2697" t="n">
        <v>0</v>
      </c>
      <c r="K2697" t="n">
        <v>0</v>
      </c>
      <c r="L2697" t="n">
        <v>0</v>
      </c>
      <c r="M2697" t="n">
        <v>0</v>
      </c>
      <c r="N2697" t="n">
        <v>0</v>
      </c>
      <c r="O2697" t="n">
        <v>0</v>
      </c>
      <c r="P2697" t="n">
        <v>0</v>
      </c>
      <c r="Q2697" t="n">
        <v>0</v>
      </c>
      <c r="R2697" t="n">
        <v>0</v>
      </c>
      <c r="S2697" t="n">
        <v>0</v>
      </c>
      <c r="T2697" t="n">
        <v>0</v>
      </c>
      <c r="U2697" t="n">
        <v>0</v>
      </c>
      <c r="V2697" s="2" t="inlineStr"/>
    </row>
    <row r="2698" ht="15" customHeight="1">
      <c r="A2698" t="inlineStr">
        <is>
          <t>A 25997-2022</t>
        </is>
      </c>
      <c r="B2698" t="inlineStr">
        <is>
          <t>avverkningsanmälan</t>
        </is>
      </c>
      <c r="C2698" t="inlineStr">
        <is>
          <t>Föryngringsavverkning</t>
        </is>
      </c>
      <c r="D2698" s="1" t="n">
        <v>44734</v>
      </c>
      <c r="E2698" s="1" t="n">
        <v>46309</v>
      </c>
      <c r="F2698" t="inlineStr">
        <is>
          <t>UPPSALA LÄN</t>
        </is>
      </c>
      <c r="G2698" t="inlineStr">
        <is>
          <t>HEBY</t>
        </is>
      </c>
      <c r="I2698" t="n">
        <v>2.3</v>
      </c>
      <c r="J2698" t="n">
        <v>0</v>
      </c>
      <c r="K2698" t="n">
        <v>0</v>
      </c>
      <c r="L2698" t="n">
        <v>0</v>
      </c>
      <c r="M2698" t="n">
        <v>0</v>
      </c>
      <c r="N2698" t="n">
        <v>0</v>
      </c>
      <c r="O2698" t="n">
        <v>0</v>
      </c>
      <c r="P2698" t="n">
        <v>0</v>
      </c>
      <c r="Q2698" t="n">
        <v>0</v>
      </c>
      <c r="R2698" t="n">
        <v>0</v>
      </c>
      <c r="S2698" t="n">
        <v>0</v>
      </c>
      <c r="T2698" t="n">
        <v>0</v>
      </c>
      <c r="U2698" t="n">
        <v>0</v>
      </c>
      <c r="V2698" s="2" t="inlineStr"/>
    </row>
    <row r="2699" ht="15" customHeight="1">
      <c r="A2699" t="inlineStr">
        <is>
          <t>A 26524-2026</t>
        </is>
      </c>
      <c r="B2699" t="inlineStr">
        <is>
          <t>avverkningsanmälan</t>
        </is>
      </c>
      <c r="C2699" t="inlineStr">
        <is>
          <t>Föryngringsavverkning</t>
        </is>
      </c>
      <c r="D2699" s="1" t="n">
        <v>46183</v>
      </c>
      <c r="E2699" s="1" t="n">
        <v>46309</v>
      </c>
      <c r="F2699" t="inlineStr">
        <is>
          <t>UPPSALA LÄN</t>
        </is>
      </c>
      <c r="G2699" t="inlineStr">
        <is>
          <t>ÖSTHAMMAR</t>
        </is>
      </c>
      <c r="I2699" t="n">
        <v>0.8</v>
      </c>
      <c r="J2699" t="n">
        <v>0</v>
      </c>
      <c r="K2699" t="n">
        <v>0</v>
      </c>
      <c r="L2699" t="n">
        <v>0</v>
      </c>
      <c r="M2699" t="n">
        <v>0</v>
      </c>
      <c r="N2699" t="n">
        <v>0</v>
      </c>
      <c r="O2699" t="n">
        <v>0</v>
      </c>
      <c r="P2699" t="n">
        <v>0</v>
      </c>
      <c r="Q2699" t="n">
        <v>0</v>
      </c>
      <c r="R2699" t="n">
        <v>0</v>
      </c>
      <c r="S2699" t="n">
        <v>0</v>
      </c>
      <c r="T2699" t="n">
        <v>0</v>
      </c>
      <c r="U2699" t="n">
        <v>0</v>
      </c>
      <c r="V2699" s="2" t="inlineStr"/>
    </row>
    <row r="2700" ht="15" customHeight="1">
      <c r="A2700" t="inlineStr">
        <is>
          <t>A 62287-2023</t>
        </is>
      </c>
      <c r="B2700" t="inlineStr">
        <is>
          <t>avverkningsanmälan</t>
        </is>
      </c>
      <c r="C2700" t="inlineStr">
        <is>
          <t>Föryngringsavverkning</t>
        </is>
      </c>
      <c r="D2700" s="1" t="n">
        <v>45267</v>
      </c>
      <c r="E2700" s="1" t="n">
        <v>46309</v>
      </c>
      <c r="F2700" t="inlineStr">
        <is>
          <t>UPPSALA LÄN</t>
        </is>
      </c>
      <c r="G2700" t="inlineStr">
        <is>
          <t>UPPSALA</t>
        </is>
      </c>
      <c r="H2700" t="inlineStr">
        <is>
          <t>Allmännings- och besparingsskogar</t>
        </is>
      </c>
      <c r="I2700" t="n">
        <v>2.8</v>
      </c>
      <c r="J2700" t="n">
        <v>0</v>
      </c>
      <c r="K2700" t="n">
        <v>0</v>
      </c>
      <c r="L2700" t="n">
        <v>0</v>
      </c>
      <c r="M2700" t="n">
        <v>0</v>
      </c>
      <c r="N2700" t="n">
        <v>0</v>
      </c>
      <c r="O2700" t="n">
        <v>0</v>
      </c>
      <c r="P2700" t="n">
        <v>0</v>
      </c>
      <c r="Q2700" t="n">
        <v>0</v>
      </c>
      <c r="R2700" t="n">
        <v>0</v>
      </c>
      <c r="S2700" t="n">
        <v>0</v>
      </c>
      <c r="T2700" t="n">
        <v>0</v>
      </c>
      <c r="U2700" t="n">
        <v>0</v>
      </c>
      <c r="V2700" s="2" t="inlineStr"/>
    </row>
    <row r="2701" ht="15" customHeight="1">
      <c r="A2701" t="inlineStr">
        <is>
          <t>A 54808-2023</t>
        </is>
      </c>
      <c r="B2701" t="inlineStr">
        <is>
          <t>avverkningsanmälan</t>
        </is>
      </c>
      <c r="C2701" t="inlineStr">
        <is>
          <t>Föryngringsavverkning</t>
        </is>
      </c>
      <c r="D2701" s="1" t="n">
        <v>45236</v>
      </c>
      <c r="E2701" s="1" t="n">
        <v>46309</v>
      </c>
      <c r="F2701" t="inlineStr">
        <is>
          <t>UPPSALA LÄN</t>
        </is>
      </c>
      <c r="G2701" t="inlineStr">
        <is>
          <t>UPPSALA</t>
        </is>
      </c>
      <c r="I2701" t="n">
        <v>4.1</v>
      </c>
      <c r="J2701" t="n">
        <v>0</v>
      </c>
      <c r="K2701" t="n">
        <v>0</v>
      </c>
      <c r="L2701" t="n">
        <v>0</v>
      </c>
      <c r="M2701" t="n">
        <v>0</v>
      </c>
      <c r="N2701" t="n">
        <v>0</v>
      </c>
      <c r="O2701" t="n">
        <v>0</v>
      </c>
      <c r="P2701" t="n">
        <v>0</v>
      </c>
      <c r="Q2701" t="n">
        <v>0</v>
      </c>
      <c r="R2701" t="n">
        <v>0</v>
      </c>
      <c r="S2701" t="n">
        <v>0</v>
      </c>
      <c r="T2701" t="n">
        <v>0</v>
      </c>
      <c r="U2701" t="n">
        <v>0</v>
      </c>
      <c r="V2701" s="2" t="inlineStr"/>
    </row>
    <row r="2702" ht="15" customHeight="1">
      <c r="A2702" t="inlineStr">
        <is>
          <t>A 7216-2025</t>
        </is>
      </c>
      <c r="B2702" t="inlineStr">
        <is>
          <t>avverkningsanmälan</t>
        </is>
      </c>
      <c r="C2702" t="inlineStr">
        <is>
          <t>Föryngringsavverkning</t>
        </is>
      </c>
      <c r="D2702" s="1" t="n">
        <v>45702</v>
      </c>
      <c r="E2702" s="1" t="n">
        <v>46309</v>
      </c>
      <c r="F2702" t="inlineStr">
        <is>
          <t>UPPSALA LÄN</t>
        </is>
      </c>
      <c r="G2702" t="inlineStr">
        <is>
          <t>ÖSTHAMMAR</t>
        </is>
      </c>
      <c r="H2702" t="inlineStr">
        <is>
          <t>Övriga Aktiebolag</t>
        </is>
      </c>
      <c r="I2702" t="n">
        <v>12.5</v>
      </c>
      <c r="J2702" t="n">
        <v>0</v>
      </c>
      <c r="K2702" t="n">
        <v>0</v>
      </c>
      <c r="L2702" t="n">
        <v>0</v>
      </c>
      <c r="M2702" t="n">
        <v>0</v>
      </c>
      <c r="N2702" t="n">
        <v>0</v>
      </c>
      <c r="O2702" t="n">
        <v>0</v>
      </c>
      <c r="P2702" t="n">
        <v>0</v>
      </c>
      <c r="Q2702" t="n">
        <v>0</v>
      </c>
      <c r="R2702" t="n">
        <v>0</v>
      </c>
      <c r="S2702" t="n">
        <v>0</v>
      </c>
      <c r="T2702" t="n">
        <v>0</v>
      </c>
      <c r="U2702" t="n">
        <v>0</v>
      </c>
      <c r="V2702" s="2" t="inlineStr"/>
    </row>
    <row r="2703" ht="15" customHeight="1">
      <c r="A2703" t="inlineStr">
        <is>
          <t>A 26844-2026</t>
        </is>
      </c>
      <c r="B2703" t="inlineStr">
        <is>
          <t>avverkningsanmälan</t>
        </is>
      </c>
      <c r="C2703" t="inlineStr">
        <is>
          <t>Föryngringsavverkning</t>
        </is>
      </c>
      <c r="D2703" s="1" t="n">
        <v>46185</v>
      </c>
      <c r="E2703" s="1" t="n">
        <v>46309</v>
      </c>
      <c r="F2703" t="inlineStr">
        <is>
          <t>UPPSALA LÄN</t>
        </is>
      </c>
      <c r="G2703" t="inlineStr">
        <is>
          <t>UPPSALA</t>
        </is>
      </c>
      <c r="I2703" t="n">
        <v>5.1</v>
      </c>
      <c r="J2703" t="n">
        <v>0</v>
      </c>
      <c r="K2703" t="n">
        <v>0</v>
      </c>
      <c r="L2703" t="n">
        <v>0</v>
      </c>
      <c r="M2703" t="n">
        <v>0</v>
      </c>
      <c r="N2703" t="n">
        <v>0</v>
      </c>
      <c r="O2703" t="n">
        <v>0</v>
      </c>
      <c r="P2703" t="n">
        <v>0</v>
      </c>
      <c r="Q2703" t="n">
        <v>0</v>
      </c>
      <c r="R2703" t="n">
        <v>0</v>
      </c>
      <c r="S2703" t="n">
        <v>0</v>
      </c>
      <c r="T2703" t="n">
        <v>0</v>
      </c>
      <c r="U2703" t="n">
        <v>0</v>
      </c>
      <c r="V2703" s="2" t="inlineStr"/>
    </row>
    <row r="2704" ht="15" customHeight="1">
      <c r="A2704" t="inlineStr">
        <is>
          <t>A 31137-2022</t>
        </is>
      </c>
      <c r="B2704" t="inlineStr">
        <is>
          <t>avverkningsanmälan</t>
        </is>
      </c>
      <c r="C2704" t="inlineStr">
        <is>
          <t>Föryngringsavverkning</t>
        </is>
      </c>
      <c r="D2704" s="1" t="n">
        <v>44770</v>
      </c>
      <c r="E2704" s="1" t="n">
        <v>46309</v>
      </c>
      <c r="F2704" t="inlineStr">
        <is>
          <t>UPPSALA LÄN</t>
        </is>
      </c>
      <c r="G2704" t="inlineStr">
        <is>
          <t>ÖSTHAMMAR</t>
        </is>
      </c>
      <c r="H2704" t="inlineStr">
        <is>
          <t>Bergvik skog öst AB</t>
        </is>
      </c>
      <c r="I2704" t="n">
        <v>1.4</v>
      </c>
      <c r="J2704" t="n">
        <v>0</v>
      </c>
      <c r="K2704" t="n">
        <v>0</v>
      </c>
      <c r="L2704" t="n">
        <v>0</v>
      </c>
      <c r="M2704" t="n">
        <v>0</v>
      </c>
      <c r="N2704" t="n">
        <v>0</v>
      </c>
      <c r="O2704" t="n">
        <v>0</v>
      </c>
      <c r="P2704" t="n">
        <v>0</v>
      </c>
      <c r="Q2704" t="n">
        <v>0</v>
      </c>
      <c r="R2704" t="n">
        <v>0</v>
      </c>
      <c r="S2704" t="n">
        <v>0</v>
      </c>
      <c r="T2704" t="n">
        <v>0</v>
      </c>
      <c r="U2704" t="n">
        <v>0</v>
      </c>
      <c r="V2704" s="2" t="inlineStr"/>
    </row>
    <row r="2705" ht="15" customHeight="1">
      <c r="A2705" t="inlineStr">
        <is>
          <t>A 27484-2026</t>
        </is>
      </c>
      <c r="B2705" t="inlineStr">
        <is>
          <t>avverkningsanmälan</t>
        </is>
      </c>
      <c r="C2705" t="inlineStr">
        <is>
          <t>Föryngringsavverkning</t>
        </is>
      </c>
      <c r="D2705" s="1" t="n">
        <v>46185</v>
      </c>
      <c r="E2705" s="1" t="n">
        <v>46309</v>
      </c>
      <c r="F2705" t="inlineStr">
        <is>
          <t>UPPSALA LÄN</t>
        </is>
      </c>
      <c r="G2705" t="inlineStr">
        <is>
          <t>HÅBO</t>
        </is>
      </c>
      <c r="I2705" t="n">
        <v>2</v>
      </c>
      <c r="J2705" t="n">
        <v>0</v>
      </c>
      <c r="K2705" t="n">
        <v>0</v>
      </c>
      <c r="L2705" t="n">
        <v>0</v>
      </c>
      <c r="M2705" t="n">
        <v>0</v>
      </c>
      <c r="N2705" t="n">
        <v>0</v>
      </c>
      <c r="O2705" t="n">
        <v>0</v>
      </c>
      <c r="P2705" t="n">
        <v>0</v>
      </c>
      <c r="Q2705" t="n">
        <v>0</v>
      </c>
      <c r="R2705" t="n">
        <v>0</v>
      </c>
      <c r="S2705" t="n">
        <v>0</v>
      </c>
      <c r="T2705" t="n">
        <v>0</v>
      </c>
      <c r="U2705" t="n">
        <v>0</v>
      </c>
      <c r="V2705" s="2" t="inlineStr"/>
    </row>
    <row r="2706" ht="15" customHeight="1">
      <c r="A2706" t="inlineStr">
        <is>
          <t>A 26742-2026</t>
        </is>
      </c>
      <c r="B2706" t="inlineStr">
        <is>
          <t>avverkningsanmälan</t>
        </is>
      </c>
      <c r="C2706" t="inlineStr">
        <is>
          <t>Föryngringsavverkning</t>
        </is>
      </c>
      <c r="D2706" s="1" t="n">
        <v>46184</v>
      </c>
      <c r="E2706" s="1" t="n">
        <v>46309</v>
      </c>
      <c r="F2706" t="inlineStr">
        <is>
          <t>UPPSALA LÄN</t>
        </is>
      </c>
      <c r="G2706" t="inlineStr">
        <is>
          <t>UPPSALA</t>
        </is>
      </c>
      <c r="H2706" t="inlineStr">
        <is>
          <t>Kyrkan</t>
        </is>
      </c>
      <c r="I2706" t="n">
        <v>8.1</v>
      </c>
      <c r="J2706" t="n">
        <v>0</v>
      </c>
      <c r="K2706" t="n">
        <v>0</v>
      </c>
      <c r="L2706" t="n">
        <v>0</v>
      </c>
      <c r="M2706" t="n">
        <v>0</v>
      </c>
      <c r="N2706" t="n">
        <v>0</v>
      </c>
      <c r="O2706" t="n">
        <v>0</v>
      </c>
      <c r="P2706" t="n">
        <v>0</v>
      </c>
      <c r="Q2706" t="n">
        <v>0</v>
      </c>
      <c r="R2706" t="n">
        <v>0</v>
      </c>
      <c r="S2706" t="n">
        <v>0</v>
      </c>
      <c r="T2706" t="n">
        <v>0</v>
      </c>
      <c r="U2706" t="n">
        <v>0</v>
      </c>
      <c r="V2706" s="2" t="inlineStr"/>
    </row>
    <row r="2707" ht="15" customHeight="1">
      <c r="A2707" t="inlineStr">
        <is>
          <t>A 44815-2022</t>
        </is>
      </c>
      <c r="B2707" t="inlineStr">
        <is>
          <t>avverkningsanmälan</t>
        </is>
      </c>
      <c r="C2707" t="inlineStr">
        <is>
          <t>Föryngringsavverkning</t>
        </is>
      </c>
      <c r="D2707" s="1" t="n">
        <v>44841</v>
      </c>
      <c r="E2707" s="1" t="n">
        <v>46309</v>
      </c>
      <c r="F2707" t="inlineStr">
        <is>
          <t>UPPSALA LÄN</t>
        </is>
      </c>
      <c r="G2707" t="inlineStr">
        <is>
          <t>ÖSTHAMMAR</t>
        </is>
      </c>
      <c r="I2707" t="n">
        <v>1.8</v>
      </c>
      <c r="J2707" t="n">
        <v>0</v>
      </c>
      <c r="K2707" t="n">
        <v>0</v>
      </c>
      <c r="L2707" t="n">
        <v>0</v>
      </c>
      <c r="M2707" t="n">
        <v>0</v>
      </c>
      <c r="N2707" t="n">
        <v>0</v>
      </c>
      <c r="O2707" t="n">
        <v>0</v>
      </c>
      <c r="P2707" t="n">
        <v>0</v>
      </c>
      <c r="Q2707" t="n">
        <v>0</v>
      </c>
      <c r="R2707" t="n">
        <v>0</v>
      </c>
      <c r="S2707" t="n">
        <v>0</v>
      </c>
      <c r="T2707" t="n">
        <v>0</v>
      </c>
      <c r="U2707" t="n">
        <v>0</v>
      </c>
      <c r="V2707" s="2" t="inlineStr"/>
    </row>
    <row r="2708" ht="15" customHeight="1">
      <c r="A2708" t="inlineStr">
        <is>
          <t>A 26778-2026</t>
        </is>
      </c>
      <c r="B2708" t="inlineStr">
        <is>
          <t>avverkningsanmälan</t>
        </is>
      </c>
      <c r="C2708" t="inlineStr">
        <is>
          <t>Föryngringsavverkning</t>
        </is>
      </c>
      <c r="D2708" s="1" t="n">
        <v>46184</v>
      </c>
      <c r="E2708" s="1" t="n">
        <v>46309</v>
      </c>
      <c r="F2708" t="inlineStr">
        <is>
          <t>UPPSALA LÄN</t>
        </is>
      </c>
      <c r="G2708" t="inlineStr">
        <is>
          <t>ÖSTHAMMAR</t>
        </is>
      </c>
      <c r="I2708" t="n">
        <v>12.5</v>
      </c>
      <c r="J2708" t="n">
        <v>0</v>
      </c>
      <c r="K2708" t="n">
        <v>0</v>
      </c>
      <c r="L2708" t="n">
        <v>0</v>
      </c>
      <c r="M2708" t="n">
        <v>0</v>
      </c>
      <c r="N2708" t="n">
        <v>0</v>
      </c>
      <c r="O2708" t="n">
        <v>0</v>
      </c>
      <c r="P2708" t="n">
        <v>0</v>
      </c>
      <c r="Q2708" t="n">
        <v>0</v>
      </c>
      <c r="R2708" t="n">
        <v>0</v>
      </c>
      <c r="S2708" t="n">
        <v>0</v>
      </c>
      <c r="T2708" t="n">
        <v>0</v>
      </c>
      <c r="U2708" t="n">
        <v>0</v>
      </c>
      <c r="V2708" s="2" t="inlineStr"/>
    </row>
    <row r="2709" ht="15" customHeight="1">
      <c r="A2709" t="inlineStr">
        <is>
          <t>A 29753-2022</t>
        </is>
      </c>
      <c r="B2709" t="inlineStr">
        <is>
          <t>avverkningsanmälan</t>
        </is>
      </c>
      <c r="C2709" t="inlineStr">
        <is>
          <t>Föryngringsavverkning</t>
        </is>
      </c>
      <c r="D2709" s="1" t="n">
        <v>44755</v>
      </c>
      <c r="E2709" s="1" t="n">
        <v>46309</v>
      </c>
      <c r="F2709" t="inlineStr">
        <is>
          <t>UPPSALA LÄN</t>
        </is>
      </c>
      <c r="G2709" t="inlineStr">
        <is>
          <t>ÖSTHAMMAR</t>
        </is>
      </c>
      <c r="I2709" t="n">
        <v>9.4</v>
      </c>
      <c r="J2709" t="n">
        <v>0</v>
      </c>
      <c r="K2709" t="n">
        <v>0</v>
      </c>
      <c r="L2709" t="n">
        <v>0</v>
      </c>
      <c r="M2709" t="n">
        <v>0</v>
      </c>
      <c r="N2709" t="n">
        <v>0</v>
      </c>
      <c r="O2709" t="n">
        <v>0</v>
      </c>
      <c r="P2709" t="n">
        <v>0</v>
      </c>
      <c r="Q2709" t="n">
        <v>0</v>
      </c>
      <c r="R2709" t="n">
        <v>0</v>
      </c>
      <c r="S2709" t="n">
        <v>0</v>
      </c>
      <c r="T2709" t="n">
        <v>0</v>
      </c>
      <c r="U2709" t="n">
        <v>0</v>
      </c>
      <c r="V2709" s="2" t="inlineStr"/>
    </row>
    <row r="2710" ht="15" customHeight="1">
      <c r="A2710" t="inlineStr">
        <is>
          <t>A 26966-2026</t>
        </is>
      </c>
      <c r="B2710" t="inlineStr">
        <is>
          <t>avverkningsanmälan</t>
        </is>
      </c>
      <c r="C2710" t="inlineStr">
        <is>
          <t>Föryngringsavverkning</t>
        </is>
      </c>
      <c r="D2710" s="1" t="n">
        <v>46185</v>
      </c>
      <c r="E2710" s="1" t="n">
        <v>46309</v>
      </c>
      <c r="F2710" t="inlineStr">
        <is>
          <t>UPPSALA LÄN</t>
        </is>
      </c>
      <c r="G2710" t="inlineStr">
        <is>
          <t>TIERP</t>
        </is>
      </c>
      <c r="I2710" t="n">
        <v>14.2</v>
      </c>
      <c r="J2710" t="n">
        <v>0</v>
      </c>
      <c r="K2710" t="n">
        <v>0</v>
      </c>
      <c r="L2710" t="n">
        <v>0</v>
      </c>
      <c r="M2710" t="n">
        <v>0</v>
      </c>
      <c r="N2710" t="n">
        <v>0</v>
      </c>
      <c r="O2710" t="n">
        <v>0</v>
      </c>
      <c r="P2710" t="n">
        <v>0</v>
      </c>
      <c r="Q2710" t="n">
        <v>0</v>
      </c>
      <c r="R2710" t="n">
        <v>0</v>
      </c>
      <c r="S2710" t="n">
        <v>0</v>
      </c>
      <c r="T2710" t="n">
        <v>0</v>
      </c>
      <c r="U2710" t="n">
        <v>0</v>
      </c>
      <c r="V2710" s="2" t="inlineStr"/>
    </row>
    <row r="2711" ht="15" customHeight="1">
      <c r="A2711" t="inlineStr">
        <is>
          <t>A 27266-2026</t>
        </is>
      </c>
      <c r="B2711" t="inlineStr">
        <is>
          <t>avverkningsanmälan</t>
        </is>
      </c>
      <c r="C2711" t="inlineStr">
        <is>
          <t>Föryngringsavverkning</t>
        </is>
      </c>
      <c r="D2711" s="1" t="n">
        <v>46188</v>
      </c>
      <c r="E2711" s="1" t="n">
        <v>46309</v>
      </c>
      <c r="F2711" t="inlineStr">
        <is>
          <t>UPPSALA LÄN</t>
        </is>
      </c>
      <c r="G2711" t="inlineStr">
        <is>
          <t>TIERP</t>
        </is>
      </c>
      <c r="H2711" t="inlineStr">
        <is>
          <t>Bergvik skog öst AB</t>
        </is>
      </c>
      <c r="I2711" t="n">
        <v>1.6</v>
      </c>
      <c r="J2711" t="n">
        <v>0</v>
      </c>
      <c r="K2711" t="n">
        <v>0</v>
      </c>
      <c r="L2711" t="n">
        <v>0</v>
      </c>
      <c r="M2711" t="n">
        <v>0</v>
      </c>
      <c r="N2711" t="n">
        <v>0</v>
      </c>
      <c r="O2711" t="n">
        <v>0</v>
      </c>
      <c r="P2711" t="n">
        <v>0</v>
      </c>
      <c r="Q2711" t="n">
        <v>0</v>
      </c>
      <c r="R2711" t="n">
        <v>0</v>
      </c>
      <c r="S2711" t="n">
        <v>0</v>
      </c>
      <c r="T2711" t="n">
        <v>0</v>
      </c>
      <c r="U2711" t="n">
        <v>0</v>
      </c>
      <c r="V2711" s="2" t="inlineStr"/>
    </row>
    <row r="2712" ht="15" customHeight="1">
      <c r="A2712" t="inlineStr">
        <is>
          <t>A 3368-2024</t>
        </is>
      </c>
      <c r="B2712" t="inlineStr">
        <is>
          <t>avverkningsanmälan</t>
        </is>
      </c>
      <c r="C2712" t="inlineStr">
        <is>
          <t>Avverkning för annat ändamål</t>
        </is>
      </c>
      <c r="D2712" s="1" t="n">
        <v>45317</v>
      </c>
      <c r="E2712" s="1" t="n">
        <v>46309</v>
      </c>
      <c r="F2712" t="inlineStr">
        <is>
          <t>UPPSALA LÄN</t>
        </is>
      </c>
      <c r="G2712" t="inlineStr">
        <is>
          <t>HEBY</t>
        </is>
      </c>
      <c r="I2712" t="n">
        <v>0.2</v>
      </c>
      <c r="J2712" t="n">
        <v>0</v>
      </c>
      <c r="K2712" t="n">
        <v>0</v>
      </c>
      <c r="L2712" t="n">
        <v>0</v>
      </c>
      <c r="M2712" t="n">
        <v>0</v>
      </c>
      <c r="N2712" t="n">
        <v>0</v>
      </c>
      <c r="O2712" t="n">
        <v>0</v>
      </c>
      <c r="P2712" t="n">
        <v>0</v>
      </c>
      <c r="Q2712" t="n">
        <v>0</v>
      </c>
      <c r="R2712" t="n">
        <v>0</v>
      </c>
      <c r="S2712" t="n">
        <v>0</v>
      </c>
      <c r="T2712" t="n">
        <v>0</v>
      </c>
      <c r="U2712" t="n">
        <v>0</v>
      </c>
      <c r="V2712" s="2" t="inlineStr"/>
    </row>
    <row r="2713" ht="15" customHeight="1">
      <c r="A2713" t="inlineStr">
        <is>
          <t>A 27362-2026</t>
        </is>
      </c>
      <c r="B2713" t="inlineStr">
        <is>
          <t>avverkningsanmälan</t>
        </is>
      </c>
      <c r="C2713" t="inlineStr">
        <is>
          <t>Föryngringsavverkning</t>
        </is>
      </c>
      <c r="D2713" s="1" t="n">
        <v>46188</v>
      </c>
      <c r="E2713" s="1" t="n">
        <v>46309</v>
      </c>
      <c r="F2713" t="inlineStr">
        <is>
          <t>UPPSALA LÄN</t>
        </is>
      </c>
      <c r="G2713" t="inlineStr">
        <is>
          <t>UPPSALA</t>
        </is>
      </c>
      <c r="I2713" t="n">
        <v>1.7</v>
      </c>
      <c r="J2713" t="n">
        <v>0</v>
      </c>
      <c r="K2713" t="n">
        <v>0</v>
      </c>
      <c r="L2713" t="n">
        <v>0</v>
      </c>
      <c r="M2713" t="n">
        <v>0</v>
      </c>
      <c r="N2713" t="n">
        <v>0</v>
      </c>
      <c r="O2713" t="n">
        <v>0</v>
      </c>
      <c r="P2713" t="n">
        <v>0</v>
      </c>
      <c r="Q2713" t="n">
        <v>0</v>
      </c>
      <c r="R2713" t="n">
        <v>0</v>
      </c>
      <c r="S2713" t="n">
        <v>0</v>
      </c>
      <c r="T2713" t="n">
        <v>0</v>
      </c>
      <c r="U2713" t="n">
        <v>0</v>
      </c>
      <c r="V2713" s="2" t="inlineStr"/>
    </row>
    <row r="2714" ht="15" customHeight="1">
      <c r="A2714" t="inlineStr">
        <is>
          <t>A 27113-2026</t>
        </is>
      </c>
      <c r="B2714" t="inlineStr">
        <is>
          <t>avverkningsanmälan</t>
        </is>
      </c>
      <c r="C2714" t="inlineStr">
        <is>
          <t>Föryngringsavverkning</t>
        </is>
      </c>
      <c r="D2714" s="1" t="n">
        <v>46188</v>
      </c>
      <c r="E2714" s="1" t="n">
        <v>46309</v>
      </c>
      <c r="F2714" t="inlineStr">
        <is>
          <t>UPPSALA LÄN</t>
        </is>
      </c>
      <c r="G2714" t="inlineStr">
        <is>
          <t>UPPSALA</t>
        </is>
      </c>
      <c r="I2714" t="n">
        <v>0.9</v>
      </c>
      <c r="J2714" t="n">
        <v>0</v>
      </c>
      <c r="K2714" t="n">
        <v>0</v>
      </c>
      <c r="L2714" t="n">
        <v>0</v>
      </c>
      <c r="M2714" t="n">
        <v>0</v>
      </c>
      <c r="N2714" t="n">
        <v>0</v>
      </c>
      <c r="O2714" t="n">
        <v>0</v>
      </c>
      <c r="P2714" t="n">
        <v>0</v>
      </c>
      <c r="Q2714" t="n">
        <v>0</v>
      </c>
      <c r="R2714" t="n">
        <v>0</v>
      </c>
      <c r="S2714" t="n">
        <v>0</v>
      </c>
      <c r="T2714" t="n">
        <v>0</v>
      </c>
      <c r="U2714" t="n">
        <v>0</v>
      </c>
      <c r="V2714" s="2" t="inlineStr"/>
    </row>
    <row r="2715" ht="15" customHeight="1">
      <c r="A2715" t="inlineStr">
        <is>
          <t>A 27118-2026</t>
        </is>
      </c>
      <c r="B2715" t="inlineStr">
        <is>
          <t>avverkningsanmälan</t>
        </is>
      </c>
      <c r="C2715" t="inlineStr">
        <is>
          <t>Föryngringsavverkning</t>
        </is>
      </c>
      <c r="D2715" s="1" t="n">
        <v>46188</v>
      </c>
      <c r="E2715" s="1" t="n">
        <v>46309</v>
      </c>
      <c r="F2715" t="inlineStr">
        <is>
          <t>UPPSALA LÄN</t>
        </is>
      </c>
      <c r="G2715" t="inlineStr">
        <is>
          <t>UPPSALA</t>
        </is>
      </c>
      <c r="I2715" t="n">
        <v>0.7</v>
      </c>
      <c r="J2715" t="n">
        <v>0</v>
      </c>
      <c r="K2715" t="n">
        <v>0</v>
      </c>
      <c r="L2715" t="n">
        <v>0</v>
      </c>
      <c r="M2715" t="n">
        <v>0</v>
      </c>
      <c r="N2715" t="n">
        <v>0</v>
      </c>
      <c r="O2715" t="n">
        <v>0</v>
      </c>
      <c r="P2715" t="n">
        <v>0</v>
      </c>
      <c r="Q2715" t="n">
        <v>0</v>
      </c>
      <c r="R2715" t="n">
        <v>0</v>
      </c>
      <c r="S2715" t="n">
        <v>0</v>
      </c>
      <c r="T2715" t="n">
        <v>0</v>
      </c>
      <c r="U2715" t="n">
        <v>0</v>
      </c>
      <c r="V2715" s="2" t="inlineStr"/>
    </row>
    <row r="2716" ht="15" customHeight="1">
      <c r="A2716" t="inlineStr">
        <is>
          <t>A 26085-2022</t>
        </is>
      </c>
      <c r="B2716" t="inlineStr">
        <is>
          <t>avverkningsanmälan</t>
        </is>
      </c>
      <c r="C2716" t="inlineStr">
        <is>
          <t>Föryngringsavverkning</t>
        </is>
      </c>
      <c r="D2716" s="1" t="n">
        <v>44734</v>
      </c>
      <c r="E2716" s="1" t="n">
        <v>46309</v>
      </c>
      <c r="F2716" t="inlineStr">
        <is>
          <t>UPPSALA LÄN</t>
        </is>
      </c>
      <c r="G2716" t="inlineStr">
        <is>
          <t>HEBY</t>
        </is>
      </c>
      <c r="I2716" t="n">
        <v>1.7</v>
      </c>
      <c r="J2716" t="n">
        <v>0</v>
      </c>
      <c r="K2716" t="n">
        <v>0</v>
      </c>
      <c r="L2716" t="n">
        <v>0</v>
      </c>
      <c r="M2716" t="n">
        <v>0</v>
      </c>
      <c r="N2716" t="n">
        <v>0</v>
      </c>
      <c r="O2716" t="n">
        <v>0</v>
      </c>
      <c r="P2716" t="n">
        <v>0</v>
      </c>
      <c r="Q2716" t="n">
        <v>0</v>
      </c>
      <c r="R2716" t="n">
        <v>0</v>
      </c>
      <c r="S2716" t="n">
        <v>0</v>
      </c>
      <c r="T2716" t="n">
        <v>0</v>
      </c>
      <c r="U2716" t="n">
        <v>0</v>
      </c>
      <c r="V2716" s="2" t="inlineStr"/>
    </row>
    <row r="2717" ht="15" customHeight="1">
      <c r="A2717" t="inlineStr">
        <is>
          <t>A 27320-2026</t>
        </is>
      </c>
      <c r="B2717" t="inlineStr">
        <is>
          <t>avverkningsanmälan</t>
        </is>
      </c>
      <c r="C2717" t="inlineStr">
        <is>
          <t>Föryngringsavverkning</t>
        </is>
      </c>
      <c r="D2717" s="1" t="n">
        <v>46188</v>
      </c>
      <c r="E2717" s="1" t="n">
        <v>46309</v>
      </c>
      <c r="F2717" t="inlineStr">
        <is>
          <t>UPPSALA LÄN</t>
        </is>
      </c>
      <c r="G2717" t="inlineStr">
        <is>
          <t>UPPSALA</t>
        </is>
      </c>
      <c r="I2717" t="n">
        <v>0.3</v>
      </c>
      <c r="J2717" t="n">
        <v>0</v>
      </c>
      <c r="K2717" t="n">
        <v>0</v>
      </c>
      <c r="L2717" t="n">
        <v>0</v>
      </c>
      <c r="M2717" t="n">
        <v>0</v>
      </c>
      <c r="N2717" t="n">
        <v>0</v>
      </c>
      <c r="O2717" t="n">
        <v>0</v>
      </c>
      <c r="P2717" t="n">
        <v>0</v>
      </c>
      <c r="Q2717" t="n">
        <v>0</v>
      </c>
      <c r="R2717" t="n">
        <v>0</v>
      </c>
      <c r="S2717" t="n">
        <v>0</v>
      </c>
      <c r="T2717" t="n">
        <v>0</v>
      </c>
      <c r="U2717" t="n">
        <v>0</v>
      </c>
      <c r="V2717" s="2" t="inlineStr"/>
    </row>
    <row r="2718" ht="15" customHeight="1">
      <c r="A2718" t="inlineStr">
        <is>
          <t>A 27331-2026</t>
        </is>
      </c>
      <c r="B2718" t="inlineStr">
        <is>
          <t>avverkningsanmälan</t>
        </is>
      </c>
      <c r="C2718" t="inlineStr">
        <is>
          <t>Föryngringsavverkning</t>
        </is>
      </c>
      <c r="D2718" s="1" t="n">
        <v>46188</v>
      </c>
      <c r="E2718" s="1" t="n">
        <v>46309</v>
      </c>
      <c r="F2718" t="inlineStr">
        <is>
          <t>UPPSALA LÄN</t>
        </is>
      </c>
      <c r="G2718" t="inlineStr">
        <is>
          <t>TIERP</t>
        </is>
      </c>
      <c r="H2718" t="inlineStr">
        <is>
          <t>Bergvik skog väst AB</t>
        </is>
      </c>
      <c r="I2718" t="n">
        <v>5.5</v>
      </c>
      <c r="J2718" t="n">
        <v>0</v>
      </c>
      <c r="K2718" t="n">
        <v>0</v>
      </c>
      <c r="L2718" t="n">
        <v>0</v>
      </c>
      <c r="M2718" t="n">
        <v>0</v>
      </c>
      <c r="N2718" t="n">
        <v>0</v>
      </c>
      <c r="O2718" t="n">
        <v>0</v>
      </c>
      <c r="P2718" t="n">
        <v>0</v>
      </c>
      <c r="Q2718" t="n">
        <v>0</v>
      </c>
      <c r="R2718" t="n">
        <v>0</v>
      </c>
      <c r="S2718" t="n">
        <v>0</v>
      </c>
      <c r="T2718" t="n">
        <v>0</v>
      </c>
      <c r="U2718" t="n">
        <v>0</v>
      </c>
      <c r="V2718" s="2" t="inlineStr"/>
    </row>
    <row r="2719" ht="15" customHeight="1">
      <c r="A2719" t="inlineStr">
        <is>
          <t>A 35542-2022</t>
        </is>
      </c>
      <c r="B2719" t="inlineStr">
        <is>
          <t>avverkningsanmälan</t>
        </is>
      </c>
      <c r="C2719" t="inlineStr">
        <is>
          <t>Föryngringsavverkning</t>
        </is>
      </c>
      <c r="D2719" s="1" t="n">
        <v>44799</v>
      </c>
      <c r="E2719" s="1" t="n">
        <v>46309</v>
      </c>
      <c r="F2719" t="inlineStr">
        <is>
          <t>UPPSALA LÄN</t>
        </is>
      </c>
      <c r="G2719" t="inlineStr">
        <is>
          <t>UPPSALA</t>
        </is>
      </c>
      <c r="I2719" t="n">
        <v>3.2</v>
      </c>
      <c r="J2719" t="n">
        <v>0</v>
      </c>
      <c r="K2719" t="n">
        <v>0</v>
      </c>
      <c r="L2719" t="n">
        <v>0</v>
      </c>
      <c r="M2719" t="n">
        <v>0</v>
      </c>
      <c r="N2719" t="n">
        <v>0</v>
      </c>
      <c r="O2719" t="n">
        <v>0</v>
      </c>
      <c r="P2719" t="n">
        <v>0</v>
      </c>
      <c r="Q2719" t="n">
        <v>0</v>
      </c>
      <c r="R2719" t="n">
        <v>0</v>
      </c>
      <c r="S2719" t="n">
        <v>0</v>
      </c>
      <c r="T2719" t="n">
        <v>0</v>
      </c>
      <c r="U2719" t="n">
        <v>0</v>
      </c>
      <c r="V2719" s="2" t="inlineStr"/>
    </row>
    <row r="2720" ht="15" customHeight="1">
      <c r="A2720" t="inlineStr">
        <is>
          <t>A 27900-2026</t>
        </is>
      </c>
      <c r="B2720" t="inlineStr">
        <is>
          <t>avverkningsanmälan</t>
        </is>
      </c>
      <c r="C2720" t="inlineStr">
        <is>
          <t>Föryngringsavverkning</t>
        </is>
      </c>
      <c r="D2720" s="1" t="n">
        <v>46191</v>
      </c>
      <c r="E2720" s="1" t="n">
        <v>46309</v>
      </c>
      <c r="F2720" t="inlineStr">
        <is>
          <t>UPPSALA LÄN</t>
        </is>
      </c>
      <c r="G2720" t="inlineStr">
        <is>
          <t>UPPSALA</t>
        </is>
      </c>
      <c r="H2720" t="inlineStr">
        <is>
          <t>Bergvik skog öst AB</t>
        </is>
      </c>
      <c r="I2720" t="n">
        <v>1.7</v>
      </c>
      <c r="J2720" t="n">
        <v>0</v>
      </c>
      <c r="K2720" t="n">
        <v>0</v>
      </c>
      <c r="L2720" t="n">
        <v>0</v>
      </c>
      <c r="M2720" t="n">
        <v>0</v>
      </c>
      <c r="N2720" t="n">
        <v>0</v>
      </c>
      <c r="O2720" t="n">
        <v>0</v>
      </c>
      <c r="P2720" t="n">
        <v>0</v>
      </c>
      <c r="Q2720" t="n">
        <v>0</v>
      </c>
      <c r="R2720" t="n">
        <v>0</v>
      </c>
      <c r="S2720" t="n">
        <v>0</v>
      </c>
      <c r="T2720" t="n">
        <v>0</v>
      </c>
      <c r="U2720" t="n">
        <v>0</v>
      </c>
      <c r="V2720" s="2" t="inlineStr"/>
    </row>
    <row r="2721" ht="15" customHeight="1">
      <c r="A2721" t="inlineStr">
        <is>
          <t>A 52629-2023</t>
        </is>
      </c>
      <c r="B2721" t="inlineStr">
        <is>
          <t>avverkningsanmälan</t>
        </is>
      </c>
      <c r="C2721" t="inlineStr">
        <is>
          <t>Föryngringsavverkning</t>
        </is>
      </c>
      <c r="D2721" s="1" t="n">
        <v>45225</v>
      </c>
      <c r="E2721" s="1" t="n">
        <v>46309</v>
      </c>
      <c r="F2721" t="inlineStr">
        <is>
          <t>UPPSALA LÄN</t>
        </is>
      </c>
      <c r="G2721" t="inlineStr">
        <is>
          <t>ÖSTHAMMAR</t>
        </is>
      </c>
      <c r="I2721" t="n">
        <v>1.2</v>
      </c>
      <c r="J2721" t="n">
        <v>0</v>
      </c>
      <c r="K2721" t="n">
        <v>0</v>
      </c>
      <c r="L2721" t="n">
        <v>0</v>
      </c>
      <c r="M2721" t="n">
        <v>0</v>
      </c>
      <c r="N2721" t="n">
        <v>0</v>
      </c>
      <c r="O2721" t="n">
        <v>0</v>
      </c>
      <c r="P2721" t="n">
        <v>0</v>
      </c>
      <c r="Q2721" t="n">
        <v>0</v>
      </c>
      <c r="R2721" t="n">
        <v>0</v>
      </c>
      <c r="S2721" t="n">
        <v>0</v>
      </c>
      <c r="T2721" t="n">
        <v>0</v>
      </c>
      <c r="U2721" t="n">
        <v>0</v>
      </c>
      <c r="V2721" s="2" t="inlineStr"/>
    </row>
    <row r="2722" ht="15" customHeight="1">
      <c r="A2722" t="inlineStr">
        <is>
          <t>A 62158-2023</t>
        </is>
      </c>
      <c r="B2722" t="inlineStr">
        <is>
          <t>avverkningsanmälan</t>
        </is>
      </c>
      <c r="C2722" t="inlineStr">
        <is>
          <t>Föryngringsavverkning</t>
        </is>
      </c>
      <c r="D2722" s="1" t="n">
        <v>45267</v>
      </c>
      <c r="E2722" s="1" t="n">
        <v>46309</v>
      </c>
      <c r="F2722" t="inlineStr">
        <is>
          <t>UPPSALA LÄN</t>
        </is>
      </c>
      <c r="G2722" t="inlineStr">
        <is>
          <t>ENKÖPING</t>
        </is>
      </c>
      <c r="I2722" t="n">
        <v>1.4</v>
      </c>
      <c r="J2722" t="n">
        <v>0</v>
      </c>
      <c r="K2722" t="n">
        <v>0</v>
      </c>
      <c r="L2722" t="n">
        <v>0</v>
      </c>
      <c r="M2722" t="n">
        <v>0</v>
      </c>
      <c r="N2722" t="n">
        <v>0</v>
      </c>
      <c r="O2722" t="n">
        <v>0</v>
      </c>
      <c r="P2722" t="n">
        <v>0</v>
      </c>
      <c r="Q2722" t="n">
        <v>0</v>
      </c>
      <c r="R2722" t="n">
        <v>0</v>
      </c>
      <c r="S2722" t="n">
        <v>0</v>
      </c>
      <c r="T2722" t="n">
        <v>0</v>
      </c>
      <c r="U2722" t="n">
        <v>0</v>
      </c>
      <c r="V2722" s="2" t="inlineStr"/>
    </row>
    <row r="2723" ht="15" customHeight="1">
      <c r="A2723" t="inlineStr">
        <is>
          <t>A 6884-2026</t>
        </is>
      </c>
      <c r="B2723" t="inlineStr">
        <is>
          <t>avverkningsanmälan</t>
        </is>
      </c>
      <c r="C2723" t="inlineStr">
        <is>
          <t>Föryngringsavverkning</t>
        </is>
      </c>
      <c r="D2723" s="1" t="n">
        <v>46057</v>
      </c>
      <c r="E2723" s="1" t="n">
        <v>46309</v>
      </c>
      <c r="F2723" t="inlineStr">
        <is>
          <t>UPPSALA LÄN</t>
        </is>
      </c>
      <c r="G2723" t="inlineStr">
        <is>
          <t>ÖSTHAMMAR</t>
        </is>
      </c>
      <c r="I2723" t="n">
        <v>4.1</v>
      </c>
      <c r="J2723" t="n">
        <v>0</v>
      </c>
      <c r="K2723" t="n">
        <v>0</v>
      </c>
      <c r="L2723" t="n">
        <v>0</v>
      </c>
      <c r="M2723" t="n">
        <v>0</v>
      </c>
      <c r="N2723" t="n">
        <v>0</v>
      </c>
      <c r="O2723" t="n">
        <v>0</v>
      </c>
      <c r="P2723" t="n">
        <v>0</v>
      </c>
      <c r="Q2723" t="n">
        <v>0</v>
      </c>
      <c r="R2723" t="n">
        <v>0</v>
      </c>
      <c r="S2723" t="n">
        <v>0</v>
      </c>
      <c r="T2723" t="n">
        <v>0</v>
      </c>
      <c r="U2723" t="n">
        <v>0</v>
      </c>
      <c r="V2723" s="2" t="inlineStr"/>
    </row>
    <row r="2724" ht="15" customHeight="1">
      <c r="A2724" t="inlineStr">
        <is>
          <t>A 27567-2026</t>
        </is>
      </c>
      <c r="B2724" t="inlineStr">
        <is>
          <t>avverkningsanmälan</t>
        </is>
      </c>
      <c r="C2724" t="inlineStr">
        <is>
          <t>Föryngringsavverkning</t>
        </is>
      </c>
      <c r="D2724" s="1" t="n">
        <v>46190</v>
      </c>
      <c r="E2724" s="1" t="n">
        <v>46309</v>
      </c>
      <c r="F2724" t="inlineStr">
        <is>
          <t>UPPSALA LÄN</t>
        </is>
      </c>
      <c r="G2724" t="inlineStr">
        <is>
          <t>TIERP</t>
        </is>
      </c>
      <c r="I2724" t="n">
        <v>0.7</v>
      </c>
      <c r="J2724" t="n">
        <v>0</v>
      </c>
      <c r="K2724" t="n">
        <v>0</v>
      </c>
      <c r="L2724" t="n">
        <v>0</v>
      </c>
      <c r="M2724" t="n">
        <v>0</v>
      </c>
      <c r="N2724" t="n">
        <v>0</v>
      </c>
      <c r="O2724" t="n">
        <v>0</v>
      </c>
      <c r="P2724" t="n">
        <v>0</v>
      </c>
      <c r="Q2724" t="n">
        <v>0</v>
      </c>
      <c r="R2724" t="n">
        <v>0</v>
      </c>
      <c r="S2724" t="n">
        <v>0</v>
      </c>
      <c r="T2724" t="n">
        <v>0</v>
      </c>
      <c r="U2724" t="n">
        <v>0</v>
      </c>
      <c r="V2724" s="2" t="inlineStr"/>
    </row>
    <row r="2725" ht="15" customHeight="1">
      <c r="A2725" t="inlineStr">
        <is>
          <t>A 27574-2026</t>
        </is>
      </c>
      <c r="B2725" t="inlineStr">
        <is>
          <t>avverkningsanmälan</t>
        </is>
      </c>
      <c r="C2725" t="inlineStr">
        <is>
          <t>Föryngringsavverkning</t>
        </is>
      </c>
      <c r="D2725" s="1" t="n">
        <v>46190</v>
      </c>
      <c r="E2725" s="1" t="n">
        <v>46309</v>
      </c>
      <c r="F2725" t="inlineStr">
        <is>
          <t>UPPSALA LÄN</t>
        </is>
      </c>
      <c r="G2725" t="inlineStr">
        <is>
          <t>TIERP</t>
        </is>
      </c>
      <c r="I2725" t="n">
        <v>0.6</v>
      </c>
      <c r="J2725" t="n">
        <v>0</v>
      </c>
      <c r="K2725" t="n">
        <v>0</v>
      </c>
      <c r="L2725" t="n">
        <v>0</v>
      </c>
      <c r="M2725" t="n">
        <v>0</v>
      </c>
      <c r="N2725" t="n">
        <v>0</v>
      </c>
      <c r="O2725" t="n">
        <v>0</v>
      </c>
      <c r="P2725" t="n">
        <v>0</v>
      </c>
      <c r="Q2725" t="n">
        <v>0</v>
      </c>
      <c r="R2725" t="n">
        <v>0</v>
      </c>
      <c r="S2725" t="n">
        <v>0</v>
      </c>
      <c r="T2725" t="n">
        <v>0</v>
      </c>
      <c r="U2725" t="n">
        <v>0</v>
      </c>
      <c r="V2725" s="2" t="inlineStr"/>
    </row>
    <row r="2726" ht="15" customHeight="1">
      <c r="A2726" t="inlineStr">
        <is>
          <t>A 3813-2024</t>
        </is>
      </c>
      <c r="B2726" t="inlineStr">
        <is>
          <t>avverkningsanmälan</t>
        </is>
      </c>
      <c r="C2726" t="inlineStr">
        <is>
          <t>Föryngringsavverkning</t>
        </is>
      </c>
      <c r="D2726" s="1" t="n">
        <v>45321</v>
      </c>
      <c r="E2726" s="1" t="n">
        <v>46309</v>
      </c>
      <c r="F2726" t="inlineStr">
        <is>
          <t>UPPSALA LÄN</t>
        </is>
      </c>
      <c r="G2726" t="inlineStr">
        <is>
          <t>UPPSALA</t>
        </is>
      </c>
      <c r="I2726" t="n">
        <v>0.7</v>
      </c>
      <c r="J2726" t="n">
        <v>0</v>
      </c>
      <c r="K2726" t="n">
        <v>0</v>
      </c>
      <c r="L2726" t="n">
        <v>0</v>
      </c>
      <c r="M2726" t="n">
        <v>0</v>
      </c>
      <c r="N2726" t="n">
        <v>0</v>
      </c>
      <c r="O2726" t="n">
        <v>0</v>
      </c>
      <c r="P2726" t="n">
        <v>0</v>
      </c>
      <c r="Q2726" t="n">
        <v>0</v>
      </c>
      <c r="R2726" t="n">
        <v>0</v>
      </c>
      <c r="S2726" t="n">
        <v>0</v>
      </c>
      <c r="T2726" t="n">
        <v>0</v>
      </c>
      <c r="U2726" t="n">
        <v>0</v>
      </c>
      <c r="V2726" s="2" t="inlineStr"/>
    </row>
    <row r="2727" ht="15" customHeight="1">
      <c r="A2727" t="inlineStr">
        <is>
          <t>A 3260-2024</t>
        </is>
      </c>
      <c r="B2727" t="inlineStr">
        <is>
          <t>avverkningsanmälan</t>
        </is>
      </c>
      <c r="C2727" t="inlineStr">
        <is>
          <t>Föryngringsavverkning</t>
        </is>
      </c>
      <c r="D2727" s="1" t="n">
        <v>45317</v>
      </c>
      <c r="E2727" s="1" t="n">
        <v>46309</v>
      </c>
      <c r="F2727" t="inlineStr">
        <is>
          <t>UPPSALA LÄN</t>
        </is>
      </c>
      <c r="G2727" t="inlineStr">
        <is>
          <t>UPPSALA</t>
        </is>
      </c>
      <c r="I2727" t="n">
        <v>0.9</v>
      </c>
      <c r="J2727" t="n">
        <v>0</v>
      </c>
      <c r="K2727" t="n">
        <v>0</v>
      </c>
      <c r="L2727" t="n">
        <v>0</v>
      </c>
      <c r="M2727" t="n">
        <v>0</v>
      </c>
      <c r="N2727" t="n">
        <v>0</v>
      </c>
      <c r="O2727" t="n">
        <v>0</v>
      </c>
      <c r="P2727" t="n">
        <v>0</v>
      </c>
      <c r="Q2727" t="n">
        <v>0</v>
      </c>
      <c r="R2727" t="n">
        <v>0</v>
      </c>
      <c r="S2727" t="n">
        <v>0</v>
      </c>
      <c r="T2727" t="n">
        <v>0</v>
      </c>
      <c r="U2727" t="n">
        <v>0</v>
      </c>
      <c r="V2727" s="2" t="inlineStr"/>
    </row>
    <row r="2728" ht="15" customHeight="1">
      <c r="A2728" t="inlineStr">
        <is>
          <t>A 9611-2024</t>
        </is>
      </c>
      <c r="B2728" t="inlineStr">
        <is>
          <t>avverkningsanmälan</t>
        </is>
      </c>
      <c r="C2728" t="inlineStr">
        <is>
          <t>Föryngringsavverkning</t>
        </is>
      </c>
      <c r="D2728" s="1" t="n">
        <v>45361</v>
      </c>
      <c r="E2728" s="1" t="n">
        <v>46309</v>
      </c>
      <c r="F2728" t="inlineStr">
        <is>
          <t>UPPSALA LÄN</t>
        </is>
      </c>
      <c r="G2728" t="inlineStr">
        <is>
          <t>UPPSALA</t>
        </is>
      </c>
      <c r="H2728" t="inlineStr">
        <is>
          <t>Bergvik skog öst AB</t>
        </is>
      </c>
      <c r="I2728" t="n">
        <v>0.6</v>
      </c>
      <c r="J2728" t="n">
        <v>0</v>
      </c>
      <c r="K2728" t="n">
        <v>0</v>
      </c>
      <c r="L2728" t="n">
        <v>0</v>
      </c>
      <c r="M2728" t="n">
        <v>0</v>
      </c>
      <c r="N2728" t="n">
        <v>0</v>
      </c>
      <c r="O2728" t="n">
        <v>0</v>
      </c>
      <c r="P2728" t="n">
        <v>0</v>
      </c>
      <c r="Q2728" t="n">
        <v>0</v>
      </c>
      <c r="R2728" t="n">
        <v>0</v>
      </c>
      <c r="S2728" t="n">
        <v>0</v>
      </c>
      <c r="T2728" t="n">
        <v>0</v>
      </c>
      <c r="U2728" t="n">
        <v>0</v>
      </c>
      <c r="V2728" s="2" t="inlineStr"/>
    </row>
    <row r="2729" ht="15" customHeight="1">
      <c r="A2729" t="inlineStr">
        <is>
          <t>A 9642-2024</t>
        </is>
      </c>
      <c r="B2729" t="inlineStr">
        <is>
          <t>avverkningsanmälan</t>
        </is>
      </c>
      <c r="C2729" t="inlineStr">
        <is>
          <t>Föryngringsavverkning</t>
        </is>
      </c>
      <c r="D2729" s="1" t="n">
        <v>45362</v>
      </c>
      <c r="E2729" s="1" t="n">
        <v>46309</v>
      </c>
      <c r="F2729" t="inlineStr">
        <is>
          <t>UPPSALA LÄN</t>
        </is>
      </c>
      <c r="G2729" t="inlineStr">
        <is>
          <t>ÖSTHAMMAR</t>
        </is>
      </c>
      <c r="I2729" t="n">
        <v>3.1</v>
      </c>
      <c r="J2729" t="n">
        <v>0</v>
      </c>
      <c r="K2729" t="n">
        <v>0</v>
      </c>
      <c r="L2729" t="n">
        <v>0</v>
      </c>
      <c r="M2729" t="n">
        <v>0</v>
      </c>
      <c r="N2729" t="n">
        <v>0</v>
      </c>
      <c r="O2729" t="n">
        <v>0</v>
      </c>
      <c r="P2729" t="n">
        <v>0</v>
      </c>
      <c r="Q2729" t="n">
        <v>0</v>
      </c>
      <c r="R2729" t="n">
        <v>0</v>
      </c>
      <c r="S2729" t="n">
        <v>0</v>
      </c>
      <c r="T2729" t="n">
        <v>0</v>
      </c>
      <c r="U2729" t="n">
        <v>0</v>
      </c>
      <c r="V2729" s="2" t="inlineStr"/>
    </row>
    <row r="2730" ht="15" customHeight="1">
      <c r="A2730" t="inlineStr">
        <is>
          <t>A 29396-2022</t>
        </is>
      </c>
      <c r="B2730" t="inlineStr">
        <is>
          <t>avverkningsanmälan</t>
        </is>
      </c>
      <c r="C2730" t="inlineStr">
        <is>
          <t>Föryngringsavverkning</t>
        </is>
      </c>
      <c r="D2730" s="1" t="n">
        <v>44753</v>
      </c>
      <c r="E2730" s="1" t="n">
        <v>46309</v>
      </c>
      <c r="F2730" t="inlineStr">
        <is>
          <t>UPPSALA LÄN</t>
        </is>
      </c>
      <c r="G2730" t="inlineStr">
        <is>
          <t>HEBY</t>
        </is>
      </c>
      <c r="I2730" t="n">
        <v>1.4</v>
      </c>
      <c r="J2730" t="n">
        <v>0</v>
      </c>
      <c r="K2730" t="n">
        <v>0</v>
      </c>
      <c r="L2730" t="n">
        <v>0</v>
      </c>
      <c r="M2730" t="n">
        <v>0</v>
      </c>
      <c r="N2730" t="n">
        <v>0</v>
      </c>
      <c r="O2730" t="n">
        <v>0</v>
      </c>
      <c r="P2730" t="n">
        <v>0</v>
      </c>
      <c r="Q2730" t="n">
        <v>0</v>
      </c>
      <c r="R2730" t="n">
        <v>0</v>
      </c>
      <c r="S2730" t="n">
        <v>0</v>
      </c>
      <c r="T2730" t="n">
        <v>0</v>
      </c>
      <c r="U2730" t="n">
        <v>0</v>
      </c>
      <c r="V2730" s="2" t="inlineStr"/>
    </row>
    <row r="2731" ht="15" customHeight="1">
      <c r="A2731" t="inlineStr">
        <is>
          <t>A 31549-2022</t>
        </is>
      </c>
      <c r="B2731" t="inlineStr">
        <is>
          <t>avverkningsanmälan</t>
        </is>
      </c>
      <c r="C2731" t="inlineStr">
        <is>
          <t>Föryngringsavverkning</t>
        </is>
      </c>
      <c r="D2731" s="1" t="n">
        <v>44775</v>
      </c>
      <c r="E2731" s="1" t="n">
        <v>46309</v>
      </c>
      <c r="F2731" t="inlineStr">
        <is>
          <t>UPPSALA LÄN</t>
        </is>
      </c>
      <c r="G2731" t="inlineStr">
        <is>
          <t>ÖSTHAMMAR</t>
        </is>
      </c>
      <c r="I2731" t="n">
        <v>1.5</v>
      </c>
      <c r="J2731" t="n">
        <v>0</v>
      </c>
      <c r="K2731" t="n">
        <v>0</v>
      </c>
      <c r="L2731" t="n">
        <v>0</v>
      </c>
      <c r="M2731" t="n">
        <v>0</v>
      </c>
      <c r="N2731" t="n">
        <v>0</v>
      </c>
      <c r="O2731" t="n">
        <v>0</v>
      </c>
      <c r="P2731" t="n">
        <v>0</v>
      </c>
      <c r="Q2731" t="n">
        <v>0</v>
      </c>
      <c r="R2731" t="n">
        <v>0</v>
      </c>
      <c r="S2731" t="n">
        <v>0</v>
      </c>
      <c r="T2731" t="n">
        <v>0</v>
      </c>
      <c r="U2731" t="n">
        <v>0</v>
      </c>
      <c r="V2731" s="2" t="inlineStr"/>
    </row>
    <row r="2732" ht="15" customHeight="1">
      <c r="A2732" t="inlineStr">
        <is>
          <t>A 47522-2023</t>
        </is>
      </c>
      <c r="B2732" t="inlineStr">
        <is>
          <t>avverkningsanmälan</t>
        </is>
      </c>
      <c r="C2732" t="inlineStr">
        <is>
          <t>Föryngringsavverkning</t>
        </is>
      </c>
      <c r="D2732" s="1" t="n">
        <v>45203</v>
      </c>
      <c r="E2732" s="1" t="n">
        <v>46309</v>
      </c>
      <c r="F2732" t="inlineStr">
        <is>
          <t>UPPSALA LÄN</t>
        </is>
      </c>
      <c r="G2732" t="inlineStr">
        <is>
          <t>ÖSTHAMMAR</t>
        </is>
      </c>
      <c r="H2732" t="inlineStr">
        <is>
          <t>Bergvik skog öst AB</t>
        </is>
      </c>
      <c r="I2732" t="n">
        <v>0.9</v>
      </c>
      <c r="J2732" t="n">
        <v>0</v>
      </c>
      <c r="K2732" t="n">
        <v>0</v>
      </c>
      <c r="L2732" t="n">
        <v>0</v>
      </c>
      <c r="M2732" t="n">
        <v>0</v>
      </c>
      <c r="N2732" t="n">
        <v>0</v>
      </c>
      <c r="O2732" t="n">
        <v>0</v>
      </c>
      <c r="P2732" t="n">
        <v>0</v>
      </c>
      <c r="Q2732" t="n">
        <v>0</v>
      </c>
      <c r="R2732" t="n">
        <v>0</v>
      </c>
      <c r="S2732" t="n">
        <v>0</v>
      </c>
      <c r="T2732" t="n">
        <v>0</v>
      </c>
      <c r="U2732" t="n">
        <v>0</v>
      </c>
      <c r="V2732" s="2" t="inlineStr"/>
    </row>
    <row r="2733" ht="15" customHeight="1">
      <c r="A2733" t="inlineStr">
        <is>
          <t>A 27904-2026</t>
        </is>
      </c>
      <c r="B2733" t="inlineStr">
        <is>
          <t>avverkningsanmälan</t>
        </is>
      </c>
      <c r="C2733" t="inlineStr">
        <is>
          <t>Föryngringsavverkning</t>
        </is>
      </c>
      <c r="D2733" s="1" t="n">
        <v>46191</v>
      </c>
      <c r="E2733" s="1" t="n">
        <v>46309</v>
      </c>
      <c r="F2733" t="inlineStr">
        <is>
          <t>UPPSALA LÄN</t>
        </is>
      </c>
      <c r="G2733" t="inlineStr">
        <is>
          <t>UPPSALA</t>
        </is>
      </c>
      <c r="H2733" t="inlineStr">
        <is>
          <t>Bergvik skog öst AB</t>
        </is>
      </c>
      <c r="I2733" t="n">
        <v>0.8</v>
      </c>
      <c r="J2733" t="n">
        <v>0</v>
      </c>
      <c r="K2733" t="n">
        <v>0</v>
      </c>
      <c r="L2733" t="n">
        <v>0</v>
      </c>
      <c r="M2733" t="n">
        <v>0</v>
      </c>
      <c r="N2733" t="n">
        <v>0</v>
      </c>
      <c r="O2733" t="n">
        <v>0</v>
      </c>
      <c r="P2733" t="n">
        <v>0</v>
      </c>
      <c r="Q2733" t="n">
        <v>0</v>
      </c>
      <c r="R2733" t="n">
        <v>0</v>
      </c>
      <c r="S2733" t="n">
        <v>0</v>
      </c>
      <c r="T2733" t="n">
        <v>0</v>
      </c>
      <c r="U2733" t="n">
        <v>0</v>
      </c>
      <c r="V2733" s="2" t="inlineStr"/>
    </row>
    <row r="2734" ht="15" customHeight="1">
      <c r="A2734" t="inlineStr">
        <is>
          <t>A 60874-2023</t>
        </is>
      </c>
      <c r="B2734" t="inlineStr">
        <is>
          <t>avverkningsanmälan</t>
        </is>
      </c>
      <c r="C2734" t="inlineStr">
        <is>
          <t>Föryngringsavverkning</t>
        </is>
      </c>
      <c r="D2734" s="1" t="n">
        <v>45261</v>
      </c>
      <c r="E2734" s="1" t="n">
        <v>46309</v>
      </c>
      <c r="F2734" t="inlineStr">
        <is>
          <t>UPPSALA LÄN</t>
        </is>
      </c>
      <c r="G2734" t="inlineStr">
        <is>
          <t>ENKÖPING</t>
        </is>
      </c>
      <c r="I2734" t="n">
        <v>1.5</v>
      </c>
      <c r="J2734" t="n">
        <v>0</v>
      </c>
      <c r="K2734" t="n">
        <v>0</v>
      </c>
      <c r="L2734" t="n">
        <v>0</v>
      </c>
      <c r="M2734" t="n">
        <v>0</v>
      </c>
      <c r="N2734" t="n">
        <v>0</v>
      </c>
      <c r="O2734" t="n">
        <v>0</v>
      </c>
      <c r="P2734" t="n">
        <v>0</v>
      </c>
      <c r="Q2734" t="n">
        <v>0</v>
      </c>
      <c r="R2734" t="n">
        <v>0</v>
      </c>
      <c r="S2734" t="n">
        <v>0</v>
      </c>
      <c r="T2734" t="n">
        <v>0</v>
      </c>
      <c r="U2734" t="n">
        <v>0</v>
      </c>
      <c r="V2734" s="2" t="inlineStr"/>
    </row>
    <row r="2735" ht="15" customHeight="1">
      <c r="A2735" t="inlineStr">
        <is>
          <t>A 27776-2026</t>
        </is>
      </c>
      <c r="B2735" t="inlineStr">
        <is>
          <t>avverkningsanmälan</t>
        </is>
      </c>
      <c r="C2735" t="inlineStr">
        <is>
          <t>Föryngringsavverkning</t>
        </is>
      </c>
      <c r="D2735" s="1" t="n">
        <v>46191</v>
      </c>
      <c r="E2735" s="1" t="n">
        <v>46309</v>
      </c>
      <c r="F2735" t="inlineStr">
        <is>
          <t>UPPSALA LÄN</t>
        </is>
      </c>
      <c r="G2735" t="inlineStr">
        <is>
          <t>TIERP</t>
        </is>
      </c>
      <c r="H2735" t="inlineStr">
        <is>
          <t>Bergvik skog öst AB</t>
        </is>
      </c>
      <c r="I2735" t="n">
        <v>1.7</v>
      </c>
      <c r="J2735" t="n">
        <v>0</v>
      </c>
      <c r="K2735" t="n">
        <v>0</v>
      </c>
      <c r="L2735" t="n">
        <v>0</v>
      </c>
      <c r="M2735" t="n">
        <v>0</v>
      </c>
      <c r="N2735" t="n">
        <v>0</v>
      </c>
      <c r="O2735" t="n">
        <v>0</v>
      </c>
      <c r="P2735" t="n">
        <v>0</v>
      </c>
      <c r="Q2735" t="n">
        <v>0</v>
      </c>
      <c r="R2735" t="n">
        <v>0</v>
      </c>
      <c r="S2735" t="n">
        <v>0</v>
      </c>
      <c r="T2735" t="n">
        <v>0</v>
      </c>
      <c r="U2735" t="n">
        <v>0</v>
      </c>
      <c r="V2735" s="2" t="inlineStr"/>
    </row>
    <row r="2736" ht="15" customHeight="1">
      <c r="A2736" t="inlineStr">
        <is>
          <t>A 27790-2026</t>
        </is>
      </c>
      <c r="B2736" t="inlineStr">
        <is>
          <t>avverkningsanmälan</t>
        </is>
      </c>
      <c r="C2736" t="inlineStr">
        <is>
          <t>Föryngringsavverkning</t>
        </is>
      </c>
      <c r="D2736" s="1" t="n">
        <v>46191</v>
      </c>
      <c r="E2736" s="1" t="n">
        <v>46309</v>
      </c>
      <c r="F2736" t="inlineStr">
        <is>
          <t>UPPSALA LÄN</t>
        </is>
      </c>
      <c r="G2736" t="inlineStr">
        <is>
          <t>TIERP</t>
        </is>
      </c>
      <c r="H2736" t="inlineStr">
        <is>
          <t>Bergvik skog öst AB</t>
        </is>
      </c>
      <c r="I2736" t="n">
        <v>0.8</v>
      </c>
      <c r="J2736" t="n">
        <v>0</v>
      </c>
      <c r="K2736" t="n">
        <v>0</v>
      </c>
      <c r="L2736" t="n">
        <v>0</v>
      </c>
      <c r="M2736" t="n">
        <v>0</v>
      </c>
      <c r="N2736" t="n">
        <v>0</v>
      </c>
      <c r="O2736" t="n">
        <v>0</v>
      </c>
      <c r="P2736" t="n">
        <v>0</v>
      </c>
      <c r="Q2736" t="n">
        <v>0</v>
      </c>
      <c r="R2736" t="n">
        <v>0</v>
      </c>
      <c r="S2736" t="n">
        <v>0</v>
      </c>
      <c r="T2736" t="n">
        <v>0</v>
      </c>
      <c r="U2736" t="n">
        <v>0</v>
      </c>
      <c r="V2736" s="2" t="inlineStr"/>
    </row>
    <row r="2737" ht="15" customHeight="1">
      <c r="A2737" t="inlineStr">
        <is>
          <t>A 27817-2026</t>
        </is>
      </c>
      <c r="B2737" t="inlineStr">
        <is>
          <t>avverkningsanmälan</t>
        </is>
      </c>
      <c r="C2737" t="inlineStr">
        <is>
          <t>Föryngringsavverkning</t>
        </is>
      </c>
      <c r="D2737" s="1" t="n">
        <v>46191</v>
      </c>
      <c r="E2737" s="1" t="n">
        <v>46309</v>
      </c>
      <c r="F2737" t="inlineStr">
        <is>
          <t>UPPSALA LÄN</t>
        </is>
      </c>
      <c r="G2737" t="inlineStr">
        <is>
          <t>UPPSALA</t>
        </is>
      </c>
      <c r="I2737" t="n">
        <v>2.4</v>
      </c>
      <c r="J2737" t="n">
        <v>0</v>
      </c>
      <c r="K2737" t="n">
        <v>0</v>
      </c>
      <c r="L2737" t="n">
        <v>0</v>
      </c>
      <c r="M2737" t="n">
        <v>0</v>
      </c>
      <c r="N2737" t="n">
        <v>0</v>
      </c>
      <c r="O2737" t="n">
        <v>0</v>
      </c>
      <c r="P2737" t="n">
        <v>0</v>
      </c>
      <c r="Q2737" t="n">
        <v>0</v>
      </c>
      <c r="R2737" t="n">
        <v>0</v>
      </c>
      <c r="S2737" t="n">
        <v>0</v>
      </c>
      <c r="T2737" t="n">
        <v>0</v>
      </c>
      <c r="U2737" t="n">
        <v>0</v>
      </c>
      <c r="V2737" s="2" t="inlineStr"/>
    </row>
    <row r="2738" ht="15" customHeight="1">
      <c r="A2738" t="inlineStr">
        <is>
          <t>A 39107-2023</t>
        </is>
      </c>
      <c r="B2738" t="inlineStr">
        <is>
          <t>avverkningsanmälan</t>
        </is>
      </c>
      <c r="C2738" t="inlineStr">
        <is>
          <t>Föryngringsavverkning</t>
        </is>
      </c>
      <c r="D2738" s="1" t="n">
        <v>45164</v>
      </c>
      <c r="E2738" s="1" t="n">
        <v>46309</v>
      </c>
      <c r="F2738" t="inlineStr">
        <is>
          <t>UPPSALA LÄN</t>
        </is>
      </c>
      <c r="G2738" t="inlineStr">
        <is>
          <t>UPPSALA</t>
        </is>
      </c>
      <c r="H2738" t="inlineStr">
        <is>
          <t>Bergvik skog öst AB</t>
        </is>
      </c>
      <c r="I2738" t="n">
        <v>1</v>
      </c>
      <c r="J2738" t="n">
        <v>0</v>
      </c>
      <c r="K2738" t="n">
        <v>0</v>
      </c>
      <c r="L2738" t="n">
        <v>0</v>
      </c>
      <c r="M2738" t="n">
        <v>0</v>
      </c>
      <c r="N2738" t="n">
        <v>0</v>
      </c>
      <c r="O2738" t="n">
        <v>0</v>
      </c>
      <c r="P2738" t="n">
        <v>0</v>
      </c>
      <c r="Q2738" t="n">
        <v>0</v>
      </c>
      <c r="R2738" t="n">
        <v>0</v>
      </c>
      <c r="S2738" t="n">
        <v>0</v>
      </c>
      <c r="T2738" t="n">
        <v>0</v>
      </c>
      <c r="U2738" t="n">
        <v>0</v>
      </c>
      <c r="V2738" s="2" t="inlineStr"/>
    </row>
    <row r="2739" ht="15" customHeight="1">
      <c r="A2739" t="inlineStr">
        <is>
          <t>A 27893-2026</t>
        </is>
      </c>
      <c r="B2739" t="inlineStr">
        <is>
          <t>avverkningsanmälan</t>
        </is>
      </c>
      <c r="C2739" t="inlineStr">
        <is>
          <t>Föryngringsavverkning</t>
        </is>
      </c>
      <c r="D2739" s="1" t="n">
        <v>46191</v>
      </c>
      <c r="E2739" s="1" t="n">
        <v>46309</v>
      </c>
      <c r="F2739" t="inlineStr">
        <is>
          <t>UPPSALA LÄN</t>
        </is>
      </c>
      <c r="G2739" t="inlineStr">
        <is>
          <t>UPPSALA</t>
        </is>
      </c>
      <c r="H2739" t="inlineStr">
        <is>
          <t>Allmännings- och besparingsskogar</t>
        </is>
      </c>
      <c r="I2739" t="n">
        <v>3.9</v>
      </c>
      <c r="J2739" t="n">
        <v>0</v>
      </c>
      <c r="K2739" t="n">
        <v>0</v>
      </c>
      <c r="L2739" t="n">
        <v>0</v>
      </c>
      <c r="M2739" t="n">
        <v>0</v>
      </c>
      <c r="N2739" t="n">
        <v>0</v>
      </c>
      <c r="O2739" t="n">
        <v>0</v>
      </c>
      <c r="P2739" t="n">
        <v>0</v>
      </c>
      <c r="Q2739" t="n">
        <v>0</v>
      </c>
      <c r="R2739" t="n">
        <v>0</v>
      </c>
      <c r="S2739" t="n">
        <v>0</v>
      </c>
      <c r="T2739" t="n">
        <v>0</v>
      </c>
      <c r="U2739" t="n">
        <v>0</v>
      </c>
      <c r="V2739" s="2" t="inlineStr"/>
    </row>
    <row r="2740" ht="15" customHeight="1">
      <c r="A2740" t="inlineStr">
        <is>
          <t>A 27903-2026</t>
        </is>
      </c>
      <c r="B2740" t="inlineStr">
        <is>
          <t>avverkningsanmälan</t>
        </is>
      </c>
      <c r="C2740" t="inlineStr">
        <is>
          <t>Föryngringsavverkning</t>
        </is>
      </c>
      <c r="D2740" s="1" t="n">
        <v>46191</v>
      </c>
      <c r="E2740" s="1" t="n">
        <v>46309</v>
      </c>
      <c r="F2740" t="inlineStr">
        <is>
          <t>UPPSALA LÄN</t>
        </is>
      </c>
      <c r="G2740" t="inlineStr">
        <is>
          <t>UPPSALA</t>
        </is>
      </c>
      <c r="H2740" t="inlineStr">
        <is>
          <t>Bergvik skog öst AB</t>
        </is>
      </c>
      <c r="I2740" t="n">
        <v>1.1</v>
      </c>
      <c r="J2740" t="n">
        <v>0</v>
      </c>
      <c r="K2740" t="n">
        <v>0</v>
      </c>
      <c r="L2740" t="n">
        <v>0</v>
      </c>
      <c r="M2740" t="n">
        <v>0</v>
      </c>
      <c r="N2740" t="n">
        <v>0</v>
      </c>
      <c r="O2740" t="n">
        <v>0</v>
      </c>
      <c r="P2740" t="n">
        <v>0</v>
      </c>
      <c r="Q2740" t="n">
        <v>0</v>
      </c>
      <c r="R2740" t="n">
        <v>0</v>
      </c>
      <c r="S2740" t="n">
        <v>0</v>
      </c>
      <c r="T2740" t="n">
        <v>0</v>
      </c>
      <c r="U2740" t="n">
        <v>0</v>
      </c>
      <c r="V2740" s="2" t="inlineStr"/>
    </row>
    <row r="2741" ht="15" customHeight="1">
      <c r="A2741" t="inlineStr">
        <is>
          <t>A 13738-2023</t>
        </is>
      </c>
      <c r="B2741" t="inlineStr">
        <is>
          <t>avverkningsanmälan</t>
        </is>
      </c>
      <c r="C2741" t="inlineStr">
        <is>
          <t>Föryngringsavverkning</t>
        </is>
      </c>
      <c r="D2741" s="1" t="n">
        <v>45007</v>
      </c>
      <c r="E2741" s="1" t="n">
        <v>46309</v>
      </c>
      <c r="F2741" t="inlineStr">
        <is>
          <t>UPPSALA LÄN</t>
        </is>
      </c>
      <c r="G2741" t="inlineStr">
        <is>
          <t>ÖSTHAMMAR</t>
        </is>
      </c>
      <c r="I2741" t="n">
        <v>0.7</v>
      </c>
      <c r="J2741" t="n">
        <v>0</v>
      </c>
      <c r="K2741" t="n">
        <v>0</v>
      </c>
      <c r="L2741" t="n">
        <v>0</v>
      </c>
      <c r="M2741" t="n">
        <v>0</v>
      </c>
      <c r="N2741" t="n">
        <v>0</v>
      </c>
      <c r="O2741" t="n">
        <v>0</v>
      </c>
      <c r="P2741" t="n">
        <v>0</v>
      </c>
      <c r="Q2741" t="n">
        <v>0</v>
      </c>
      <c r="R2741" t="n">
        <v>0</v>
      </c>
      <c r="S2741" t="n">
        <v>0</v>
      </c>
      <c r="T2741" t="n">
        <v>0</v>
      </c>
      <c r="U2741" t="n">
        <v>0</v>
      </c>
      <c r="V2741" s="2" t="inlineStr"/>
    </row>
    <row r="2742" ht="15" customHeight="1">
      <c r="A2742" t="inlineStr">
        <is>
          <t>A 4524-2024</t>
        </is>
      </c>
      <c r="B2742" t="inlineStr">
        <is>
          <t>avverkningsanmälan</t>
        </is>
      </c>
      <c r="C2742" t="inlineStr">
        <is>
          <t>Föryngringsavverkning</t>
        </is>
      </c>
      <c r="D2742" s="1" t="n">
        <v>45327</v>
      </c>
      <c r="E2742" s="1" t="n">
        <v>46309</v>
      </c>
      <c r="F2742" t="inlineStr">
        <is>
          <t>UPPSALA LÄN</t>
        </is>
      </c>
      <c r="G2742" t="inlineStr">
        <is>
          <t>HÅBO</t>
        </is>
      </c>
      <c r="I2742" t="n">
        <v>4.6</v>
      </c>
      <c r="J2742" t="n">
        <v>0</v>
      </c>
      <c r="K2742" t="n">
        <v>0</v>
      </c>
      <c r="L2742" t="n">
        <v>0</v>
      </c>
      <c r="M2742" t="n">
        <v>0</v>
      </c>
      <c r="N2742" t="n">
        <v>0</v>
      </c>
      <c r="O2742" t="n">
        <v>0</v>
      </c>
      <c r="P2742" t="n">
        <v>0</v>
      </c>
      <c r="Q2742" t="n">
        <v>0</v>
      </c>
      <c r="R2742" t="n">
        <v>0</v>
      </c>
      <c r="S2742" t="n">
        <v>0</v>
      </c>
      <c r="T2742" t="n">
        <v>0</v>
      </c>
      <c r="U2742" t="n">
        <v>0</v>
      </c>
      <c r="V2742" s="2" t="inlineStr"/>
    </row>
    <row r="2743" ht="15" customHeight="1">
      <c r="A2743" t="inlineStr">
        <is>
          <t>A 8109-2024</t>
        </is>
      </c>
      <c r="B2743" t="inlineStr">
        <is>
          <t>avverkningsanmälan</t>
        </is>
      </c>
      <c r="C2743" t="inlineStr">
        <is>
          <t>Föryngringsavverkning</t>
        </is>
      </c>
      <c r="D2743" s="1" t="n">
        <v>45351</v>
      </c>
      <c r="E2743" s="1" t="n">
        <v>46309</v>
      </c>
      <c r="F2743" t="inlineStr">
        <is>
          <t>UPPSALA LÄN</t>
        </is>
      </c>
      <c r="G2743" t="inlineStr">
        <is>
          <t>UPPSALA</t>
        </is>
      </c>
      <c r="I2743" t="n">
        <v>0.5</v>
      </c>
      <c r="J2743" t="n">
        <v>0</v>
      </c>
      <c r="K2743" t="n">
        <v>0</v>
      </c>
      <c r="L2743" t="n">
        <v>0</v>
      </c>
      <c r="M2743" t="n">
        <v>0</v>
      </c>
      <c r="N2743" t="n">
        <v>0</v>
      </c>
      <c r="O2743" t="n">
        <v>0</v>
      </c>
      <c r="P2743" t="n">
        <v>0</v>
      </c>
      <c r="Q2743" t="n">
        <v>0</v>
      </c>
      <c r="R2743" t="n">
        <v>0</v>
      </c>
      <c r="S2743" t="n">
        <v>0</v>
      </c>
      <c r="T2743" t="n">
        <v>0</v>
      </c>
      <c r="U2743" t="n">
        <v>0</v>
      </c>
      <c r="V2743" s="2" t="inlineStr"/>
    </row>
    <row r="2744" ht="15" customHeight="1">
      <c r="A2744" t="inlineStr">
        <is>
          <t>A 28098-2026</t>
        </is>
      </c>
      <c r="B2744" t="inlineStr">
        <is>
          <t>avverkningsanmälan</t>
        </is>
      </c>
      <c r="C2744" t="inlineStr">
        <is>
          <t>Föryngringsavverkning</t>
        </is>
      </c>
      <c r="D2744" s="1" t="n">
        <v>46195</v>
      </c>
      <c r="E2744" s="1" t="n">
        <v>46309</v>
      </c>
      <c r="F2744" t="inlineStr">
        <is>
          <t>UPPSALA LÄN</t>
        </is>
      </c>
      <c r="G2744" t="inlineStr">
        <is>
          <t>TIERP</t>
        </is>
      </c>
      <c r="I2744" t="n">
        <v>2.6</v>
      </c>
      <c r="J2744" t="n">
        <v>0</v>
      </c>
      <c r="K2744" t="n">
        <v>0</v>
      </c>
      <c r="L2744" t="n">
        <v>0</v>
      </c>
      <c r="M2744" t="n">
        <v>0</v>
      </c>
      <c r="N2744" t="n">
        <v>0</v>
      </c>
      <c r="O2744" t="n">
        <v>0</v>
      </c>
      <c r="P2744" t="n">
        <v>0</v>
      </c>
      <c r="Q2744" t="n">
        <v>0</v>
      </c>
      <c r="R2744" t="n">
        <v>0</v>
      </c>
      <c r="S2744" t="n">
        <v>0</v>
      </c>
      <c r="T2744" t="n">
        <v>0</v>
      </c>
      <c r="U2744" t="n">
        <v>0</v>
      </c>
      <c r="V2744" s="2" t="inlineStr"/>
    </row>
    <row r="2745" ht="15" customHeight="1">
      <c r="A2745" t="inlineStr">
        <is>
          <t>A 554-2023</t>
        </is>
      </c>
      <c r="B2745" t="inlineStr">
        <is>
          <t>avverkningsanmälan</t>
        </is>
      </c>
      <c r="C2745" t="inlineStr">
        <is>
          <t>Föryngringsavverkning</t>
        </is>
      </c>
      <c r="D2745" s="1" t="n">
        <v>44930</v>
      </c>
      <c r="E2745" s="1" t="n">
        <v>46309</v>
      </c>
      <c r="F2745" t="inlineStr">
        <is>
          <t>UPPSALA LÄN</t>
        </is>
      </c>
      <c r="G2745" t="inlineStr">
        <is>
          <t>UPPSALA</t>
        </is>
      </c>
      <c r="I2745" t="n">
        <v>2</v>
      </c>
      <c r="J2745" t="n">
        <v>0</v>
      </c>
      <c r="K2745" t="n">
        <v>0</v>
      </c>
      <c r="L2745" t="n">
        <v>0</v>
      </c>
      <c r="M2745" t="n">
        <v>0</v>
      </c>
      <c r="N2745" t="n">
        <v>0</v>
      </c>
      <c r="O2745" t="n">
        <v>0</v>
      </c>
      <c r="P2745" t="n">
        <v>0</v>
      </c>
      <c r="Q2745" t="n">
        <v>0</v>
      </c>
      <c r="R2745" t="n">
        <v>0</v>
      </c>
      <c r="S2745" t="n">
        <v>0</v>
      </c>
      <c r="T2745" t="n">
        <v>0</v>
      </c>
      <c r="U2745" t="n">
        <v>0</v>
      </c>
      <c r="V2745" s="2" t="inlineStr"/>
    </row>
    <row r="2746" ht="15" customHeight="1">
      <c r="A2746" t="inlineStr">
        <is>
          <t>A 34971-2022</t>
        </is>
      </c>
      <c r="B2746" t="inlineStr">
        <is>
          <t>avverkningsanmälan</t>
        </is>
      </c>
      <c r="C2746" t="inlineStr">
        <is>
          <t>Föryngringsavverkning</t>
        </is>
      </c>
      <c r="D2746" s="1" t="n">
        <v>44796</v>
      </c>
      <c r="E2746" s="1" t="n">
        <v>46309</v>
      </c>
      <c r="F2746" t="inlineStr">
        <is>
          <t>UPPSALA LÄN</t>
        </is>
      </c>
      <c r="G2746" t="inlineStr">
        <is>
          <t>ÖSTHAMMAR</t>
        </is>
      </c>
      <c r="H2746" t="inlineStr">
        <is>
          <t>Bergvik skog öst AB</t>
        </is>
      </c>
      <c r="I2746" t="n">
        <v>2.3</v>
      </c>
      <c r="J2746" t="n">
        <v>0</v>
      </c>
      <c r="K2746" t="n">
        <v>0</v>
      </c>
      <c r="L2746" t="n">
        <v>0</v>
      </c>
      <c r="M2746" t="n">
        <v>0</v>
      </c>
      <c r="N2746" t="n">
        <v>0</v>
      </c>
      <c r="O2746" t="n">
        <v>0</v>
      </c>
      <c r="P2746" t="n">
        <v>0</v>
      </c>
      <c r="Q2746" t="n">
        <v>0</v>
      </c>
      <c r="R2746" t="n">
        <v>0</v>
      </c>
      <c r="S2746" t="n">
        <v>0</v>
      </c>
      <c r="T2746" t="n">
        <v>0</v>
      </c>
      <c r="U2746" t="n">
        <v>0</v>
      </c>
      <c r="V2746" s="2" t="inlineStr"/>
    </row>
    <row r="2747" ht="15" customHeight="1">
      <c r="A2747" t="inlineStr">
        <is>
          <t>A 10550-2024</t>
        </is>
      </c>
      <c r="B2747" t="inlineStr">
        <is>
          <t>avverkningsanmälan</t>
        </is>
      </c>
      <c r="C2747" t="inlineStr">
        <is>
          <t>Föryngringsavverkning</t>
        </is>
      </c>
      <c r="D2747" s="1" t="n">
        <v>45366</v>
      </c>
      <c r="E2747" s="1" t="n">
        <v>46309</v>
      </c>
      <c r="F2747" t="inlineStr">
        <is>
          <t>UPPSALA LÄN</t>
        </is>
      </c>
      <c r="G2747" t="inlineStr">
        <is>
          <t>TIERP</t>
        </is>
      </c>
      <c r="I2747" t="n">
        <v>0.7</v>
      </c>
      <c r="J2747" t="n">
        <v>0</v>
      </c>
      <c r="K2747" t="n">
        <v>0</v>
      </c>
      <c r="L2747" t="n">
        <v>0</v>
      </c>
      <c r="M2747" t="n">
        <v>0</v>
      </c>
      <c r="N2747" t="n">
        <v>0</v>
      </c>
      <c r="O2747" t="n">
        <v>0</v>
      </c>
      <c r="P2747" t="n">
        <v>0</v>
      </c>
      <c r="Q2747" t="n">
        <v>0</v>
      </c>
      <c r="R2747" t="n">
        <v>0</v>
      </c>
      <c r="S2747" t="n">
        <v>0</v>
      </c>
      <c r="T2747" t="n">
        <v>0</v>
      </c>
      <c r="U2747" t="n">
        <v>0</v>
      </c>
      <c r="V2747" s="2" t="inlineStr"/>
    </row>
    <row r="2748" ht="15" customHeight="1">
      <c r="A2748" t="inlineStr">
        <is>
          <t>A 46113-2023</t>
        </is>
      </c>
      <c r="B2748" t="inlineStr">
        <is>
          <t>avverkningsanmälan</t>
        </is>
      </c>
      <c r="C2748" t="inlineStr">
        <is>
          <t>Föryngringsavverkning</t>
        </is>
      </c>
      <c r="D2748" s="1" t="n">
        <v>45196</v>
      </c>
      <c r="E2748" s="1" t="n">
        <v>46309</v>
      </c>
      <c r="F2748" t="inlineStr">
        <is>
          <t>UPPSALA LÄN</t>
        </is>
      </c>
      <c r="G2748" t="inlineStr">
        <is>
          <t>ÄLVKARLEBY</t>
        </is>
      </c>
      <c r="H2748" t="inlineStr">
        <is>
          <t>Bergvik skog väst AB</t>
        </is>
      </c>
      <c r="I2748" t="n">
        <v>0.6</v>
      </c>
      <c r="J2748" t="n">
        <v>0</v>
      </c>
      <c r="K2748" t="n">
        <v>0</v>
      </c>
      <c r="L2748" t="n">
        <v>0</v>
      </c>
      <c r="M2748" t="n">
        <v>0</v>
      </c>
      <c r="N2748" t="n">
        <v>0</v>
      </c>
      <c r="O2748" t="n">
        <v>0</v>
      </c>
      <c r="P2748" t="n">
        <v>0</v>
      </c>
      <c r="Q2748" t="n">
        <v>0</v>
      </c>
      <c r="R2748" t="n">
        <v>0</v>
      </c>
      <c r="S2748" t="n">
        <v>0</v>
      </c>
      <c r="T2748" t="n">
        <v>0</v>
      </c>
      <c r="U2748" t="n">
        <v>0</v>
      </c>
      <c r="V2748" s="2" t="inlineStr"/>
    </row>
    <row r="2749" ht="15" customHeight="1">
      <c r="A2749" t="inlineStr">
        <is>
          <t>A 28165-2026</t>
        </is>
      </c>
      <c r="B2749" t="inlineStr">
        <is>
          <t>avverkningsanmälan</t>
        </is>
      </c>
      <c r="C2749" t="inlineStr">
        <is>
          <t>Föryngringsavverkning</t>
        </is>
      </c>
      <c r="D2749" s="1" t="n">
        <v>46195</v>
      </c>
      <c r="E2749" s="1" t="n">
        <v>46309</v>
      </c>
      <c r="F2749" t="inlineStr">
        <is>
          <t>UPPSALA LÄN</t>
        </is>
      </c>
      <c r="G2749" t="inlineStr">
        <is>
          <t>UPPSALA</t>
        </is>
      </c>
      <c r="I2749" t="n">
        <v>0.7</v>
      </c>
      <c r="J2749" t="n">
        <v>0</v>
      </c>
      <c r="K2749" t="n">
        <v>0</v>
      </c>
      <c r="L2749" t="n">
        <v>0</v>
      </c>
      <c r="M2749" t="n">
        <v>0</v>
      </c>
      <c r="N2749" t="n">
        <v>0</v>
      </c>
      <c r="O2749" t="n">
        <v>0</v>
      </c>
      <c r="P2749" t="n">
        <v>0</v>
      </c>
      <c r="Q2749" t="n">
        <v>0</v>
      </c>
      <c r="R2749" t="n">
        <v>0</v>
      </c>
      <c r="S2749" t="n">
        <v>0</v>
      </c>
      <c r="T2749" t="n">
        <v>0</v>
      </c>
      <c r="U2749" t="n">
        <v>0</v>
      </c>
      <c r="V2749" s="2" t="inlineStr"/>
    </row>
    <row r="2750" ht="15" customHeight="1">
      <c r="A2750" t="inlineStr">
        <is>
          <t>A 2357-2024</t>
        </is>
      </c>
      <c r="B2750" t="inlineStr">
        <is>
          <t>avverkningsanmälan</t>
        </is>
      </c>
      <c r="C2750" t="inlineStr">
        <is>
          <t>Föryngringsavverkning</t>
        </is>
      </c>
      <c r="D2750" s="1" t="n">
        <v>45310</v>
      </c>
      <c r="E2750" s="1" t="n">
        <v>46309</v>
      </c>
      <c r="F2750" t="inlineStr">
        <is>
          <t>UPPSALA LÄN</t>
        </is>
      </c>
      <c r="G2750" t="inlineStr">
        <is>
          <t>UPPSALA</t>
        </is>
      </c>
      <c r="I2750" t="n">
        <v>0.5</v>
      </c>
      <c r="J2750" t="n">
        <v>0</v>
      </c>
      <c r="K2750" t="n">
        <v>0</v>
      </c>
      <c r="L2750" t="n">
        <v>0</v>
      </c>
      <c r="M2750" t="n">
        <v>0</v>
      </c>
      <c r="N2750" t="n">
        <v>0</v>
      </c>
      <c r="O2750" t="n">
        <v>0</v>
      </c>
      <c r="P2750" t="n">
        <v>0</v>
      </c>
      <c r="Q2750" t="n">
        <v>0</v>
      </c>
      <c r="R2750" t="n">
        <v>0</v>
      </c>
      <c r="S2750" t="n">
        <v>0</v>
      </c>
      <c r="T2750" t="n">
        <v>0</v>
      </c>
      <c r="U2750" t="n">
        <v>0</v>
      </c>
      <c r="V2750" s="2" t="inlineStr"/>
    </row>
    <row r="2751" ht="15" customHeight="1">
      <c r="A2751" t="inlineStr">
        <is>
          <t>A 28101-2026</t>
        </is>
      </c>
      <c r="B2751" t="inlineStr">
        <is>
          <t>avverkningsanmälan</t>
        </is>
      </c>
      <c r="C2751" t="inlineStr">
        <is>
          <t>Föryngringsavverkning</t>
        </is>
      </c>
      <c r="D2751" s="1" t="n">
        <v>46195</v>
      </c>
      <c r="E2751" s="1" t="n">
        <v>46309</v>
      </c>
      <c r="F2751" t="inlineStr">
        <is>
          <t>UPPSALA LÄN</t>
        </is>
      </c>
      <c r="G2751" t="inlineStr">
        <is>
          <t>TIERP</t>
        </is>
      </c>
      <c r="I2751" t="n">
        <v>0.8</v>
      </c>
      <c r="J2751" t="n">
        <v>0</v>
      </c>
      <c r="K2751" t="n">
        <v>0</v>
      </c>
      <c r="L2751" t="n">
        <v>0</v>
      </c>
      <c r="M2751" t="n">
        <v>0</v>
      </c>
      <c r="N2751" t="n">
        <v>0</v>
      </c>
      <c r="O2751" t="n">
        <v>0</v>
      </c>
      <c r="P2751" t="n">
        <v>0</v>
      </c>
      <c r="Q2751" t="n">
        <v>0</v>
      </c>
      <c r="R2751" t="n">
        <v>0</v>
      </c>
      <c r="S2751" t="n">
        <v>0</v>
      </c>
      <c r="T2751" t="n">
        <v>0</v>
      </c>
      <c r="U2751" t="n">
        <v>0</v>
      </c>
      <c r="V2751" s="2" t="inlineStr"/>
    </row>
    <row r="2752" ht="15" customHeight="1">
      <c r="A2752" t="inlineStr">
        <is>
          <t>A 28105-2026</t>
        </is>
      </c>
      <c r="B2752" t="inlineStr">
        <is>
          <t>avverkningsanmälan</t>
        </is>
      </c>
      <c r="C2752" t="inlineStr">
        <is>
          <t>Föryngringsavverkning</t>
        </is>
      </c>
      <c r="D2752" s="1" t="n">
        <v>46195</v>
      </c>
      <c r="E2752" s="1" t="n">
        <v>46309</v>
      </c>
      <c r="F2752" t="inlineStr">
        <is>
          <t>UPPSALA LÄN</t>
        </is>
      </c>
      <c r="G2752" t="inlineStr">
        <is>
          <t>TIERP</t>
        </is>
      </c>
      <c r="I2752" t="n">
        <v>0.6</v>
      </c>
      <c r="J2752" t="n">
        <v>0</v>
      </c>
      <c r="K2752" t="n">
        <v>0</v>
      </c>
      <c r="L2752" t="n">
        <v>0</v>
      </c>
      <c r="M2752" t="n">
        <v>0</v>
      </c>
      <c r="N2752" t="n">
        <v>0</v>
      </c>
      <c r="O2752" t="n">
        <v>0</v>
      </c>
      <c r="P2752" t="n">
        <v>0</v>
      </c>
      <c r="Q2752" t="n">
        <v>0</v>
      </c>
      <c r="R2752" t="n">
        <v>0</v>
      </c>
      <c r="S2752" t="n">
        <v>0</v>
      </c>
      <c r="T2752" t="n">
        <v>0</v>
      </c>
      <c r="U2752" t="n">
        <v>0</v>
      </c>
      <c r="V2752" s="2" t="inlineStr"/>
    </row>
    <row r="2753" ht="15" customHeight="1">
      <c r="A2753" t="inlineStr">
        <is>
          <t>A 28188-2026</t>
        </is>
      </c>
      <c r="B2753" t="inlineStr">
        <is>
          <t>avverkningsanmälan</t>
        </is>
      </c>
      <c r="C2753" t="inlineStr">
        <is>
          <t>Föryngringsavverkning</t>
        </is>
      </c>
      <c r="D2753" s="1" t="n">
        <v>46195</v>
      </c>
      <c r="E2753" s="1" t="n">
        <v>46309</v>
      </c>
      <c r="F2753" t="inlineStr">
        <is>
          <t>UPPSALA LÄN</t>
        </is>
      </c>
      <c r="G2753" t="inlineStr">
        <is>
          <t>TIERP</t>
        </is>
      </c>
      <c r="I2753" t="n">
        <v>0.7</v>
      </c>
      <c r="J2753" t="n">
        <v>0</v>
      </c>
      <c r="K2753" t="n">
        <v>0</v>
      </c>
      <c r="L2753" t="n">
        <v>0</v>
      </c>
      <c r="M2753" t="n">
        <v>0</v>
      </c>
      <c r="N2753" t="n">
        <v>0</v>
      </c>
      <c r="O2753" t="n">
        <v>0</v>
      </c>
      <c r="P2753" t="n">
        <v>0</v>
      </c>
      <c r="Q2753" t="n">
        <v>0</v>
      </c>
      <c r="R2753" t="n">
        <v>0</v>
      </c>
      <c r="S2753" t="n">
        <v>0</v>
      </c>
      <c r="T2753" t="n">
        <v>0</v>
      </c>
      <c r="U2753" t="n">
        <v>0</v>
      </c>
      <c r="V2753" s="2" t="inlineStr"/>
    </row>
    <row r="2754" ht="15" customHeight="1">
      <c r="A2754" t="inlineStr">
        <is>
          <t>A 28021-2026</t>
        </is>
      </c>
      <c r="B2754" t="inlineStr">
        <is>
          <t>avverkningsanmälan</t>
        </is>
      </c>
      <c r="C2754" t="inlineStr">
        <is>
          <t>Föryngringsavverkning</t>
        </is>
      </c>
      <c r="D2754" s="1" t="n">
        <v>46195</v>
      </c>
      <c r="E2754" s="1" t="n">
        <v>46309</v>
      </c>
      <c r="F2754" t="inlineStr">
        <is>
          <t>UPPSALA LÄN</t>
        </is>
      </c>
      <c r="G2754" t="inlineStr">
        <is>
          <t>ÖSTHAMMAR</t>
        </is>
      </c>
      <c r="H2754" t="inlineStr">
        <is>
          <t>Bergvik skog öst AB</t>
        </is>
      </c>
      <c r="I2754" t="n">
        <v>1.6</v>
      </c>
      <c r="J2754" t="n">
        <v>0</v>
      </c>
      <c r="K2754" t="n">
        <v>0</v>
      </c>
      <c r="L2754" t="n">
        <v>0</v>
      </c>
      <c r="M2754" t="n">
        <v>0</v>
      </c>
      <c r="N2754" t="n">
        <v>0</v>
      </c>
      <c r="O2754" t="n">
        <v>0</v>
      </c>
      <c r="P2754" t="n">
        <v>0</v>
      </c>
      <c r="Q2754" t="n">
        <v>0</v>
      </c>
      <c r="R2754" t="n">
        <v>0</v>
      </c>
      <c r="S2754" t="n">
        <v>0</v>
      </c>
      <c r="T2754" t="n">
        <v>0</v>
      </c>
      <c r="U2754" t="n">
        <v>0</v>
      </c>
      <c r="V2754" s="2" t="inlineStr"/>
    </row>
    <row r="2755" ht="15" customHeight="1">
      <c r="A2755" t="inlineStr">
        <is>
          <t>A 3550-2023</t>
        </is>
      </c>
      <c r="B2755" t="inlineStr">
        <is>
          <t>avverkningsanmälan</t>
        </is>
      </c>
      <c r="C2755" t="inlineStr">
        <is>
          <t>Föryngringsavverkning</t>
        </is>
      </c>
      <c r="D2755" s="1" t="n">
        <v>44950</v>
      </c>
      <c r="E2755" s="1" t="n">
        <v>46309</v>
      </c>
      <c r="F2755" t="inlineStr">
        <is>
          <t>UPPSALA LÄN</t>
        </is>
      </c>
      <c r="G2755" t="inlineStr">
        <is>
          <t>ENKÖPING</t>
        </is>
      </c>
      <c r="I2755" t="n">
        <v>0.9</v>
      </c>
      <c r="J2755" t="n">
        <v>0</v>
      </c>
      <c r="K2755" t="n">
        <v>0</v>
      </c>
      <c r="L2755" t="n">
        <v>0</v>
      </c>
      <c r="M2755" t="n">
        <v>0</v>
      </c>
      <c r="N2755" t="n">
        <v>0</v>
      </c>
      <c r="O2755" t="n">
        <v>0</v>
      </c>
      <c r="P2755" t="n">
        <v>0</v>
      </c>
      <c r="Q2755" t="n">
        <v>0</v>
      </c>
      <c r="R2755" t="n">
        <v>0</v>
      </c>
      <c r="S2755" t="n">
        <v>0</v>
      </c>
      <c r="T2755" t="n">
        <v>0</v>
      </c>
      <c r="U2755" t="n">
        <v>0</v>
      </c>
      <c r="V2755" s="2" t="inlineStr"/>
    </row>
    <row r="2756" ht="15" customHeight="1">
      <c r="A2756" t="inlineStr">
        <is>
          <t>A 29518-2026</t>
        </is>
      </c>
      <c r="B2756" t="inlineStr">
        <is>
          <t>avverkningsanmälan</t>
        </is>
      </c>
      <c r="C2756" t="inlineStr">
        <is>
          <t>Föryngringsavverkning</t>
        </is>
      </c>
      <c r="D2756" s="1" t="n">
        <v>46198</v>
      </c>
      <c r="E2756" s="1" t="n">
        <v>46309</v>
      </c>
      <c r="F2756" t="inlineStr">
        <is>
          <t>UPPSALA LÄN</t>
        </is>
      </c>
      <c r="G2756" t="inlineStr">
        <is>
          <t>HEBY</t>
        </is>
      </c>
      <c r="H2756" t="inlineStr">
        <is>
          <t>Bergvik skog väst AB</t>
        </is>
      </c>
      <c r="I2756" t="n">
        <v>1</v>
      </c>
      <c r="J2756" t="n">
        <v>0</v>
      </c>
      <c r="K2756" t="n">
        <v>0</v>
      </c>
      <c r="L2756" t="n">
        <v>0</v>
      </c>
      <c r="M2756" t="n">
        <v>0</v>
      </c>
      <c r="N2756" t="n">
        <v>0</v>
      </c>
      <c r="O2756" t="n">
        <v>0</v>
      </c>
      <c r="P2756" t="n">
        <v>0</v>
      </c>
      <c r="Q2756" t="n">
        <v>0</v>
      </c>
      <c r="R2756" t="n">
        <v>0</v>
      </c>
      <c r="S2756" t="n">
        <v>0</v>
      </c>
      <c r="T2756" t="n">
        <v>0</v>
      </c>
      <c r="U2756" t="n">
        <v>0</v>
      </c>
      <c r="V2756" s="2" t="inlineStr"/>
    </row>
    <row r="2757" ht="15" customHeight="1">
      <c r="A2757" t="inlineStr">
        <is>
          <t>A 28246-2026</t>
        </is>
      </c>
      <c r="B2757" t="inlineStr">
        <is>
          <t>avverkningsanmälan</t>
        </is>
      </c>
      <c r="C2757" t="inlineStr">
        <is>
          <t>Föryngringsavverkning</t>
        </is>
      </c>
      <c r="D2757" s="1" t="n">
        <v>46196</v>
      </c>
      <c r="E2757" s="1" t="n">
        <v>46309</v>
      </c>
      <c r="F2757" t="inlineStr">
        <is>
          <t>UPPSALA LÄN</t>
        </is>
      </c>
      <c r="G2757" t="inlineStr">
        <is>
          <t>TIERP</t>
        </is>
      </c>
      <c r="H2757" t="inlineStr">
        <is>
          <t>Bergvik skog väst AB</t>
        </is>
      </c>
      <c r="I2757" t="n">
        <v>1.1</v>
      </c>
      <c r="J2757" t="n">
        <v>0</v>
      </c>
      <c r="K2757" t="n">
        <v>0</v>
      </c>
      <c r="L2757" t="n">
        <v>0</v>
      </c>
      <c r="M2757" t="n">
        <v>0</v>
      </c>
      <c r="N2757" t="n">
        <v>0</v>
      </c>
      <c r="O2757" t="n">
        <v>0</v>
      </c>
      <c r="P2757" t="n">
        <v>0</v>
      </c>
      <c r="Q2757" t="n">
        <v>0</v>
      </c>
      <c r="R2757" t="n">
        <v>0</v>
      </c>
      <c r="S2757" t="n">
        <v>0</v>
      </c>
      <c r="T2757" t="n">
        <v>0</v>
      </c>
      <c r="U2757" t="n">
        <v>0</v>
      </c>
      <c r="V2757" s="2" t="inlineStr"/>
    </row>
    <row r="2758" ht="15" customHeight="1">
      <c r="A2758" t="inlineStr">
        <is>
          <t>A 28385-2026</t>
        </is>
      </c>
      <c r="B2758" t="inlineStr">
        <is>
          <t>avverkningsanmälan</t>
        </is>
      </c>
      <c r="C2758" t="inlineStr">
        <is>
          <t>Föryngringsavverkning</t>
        </is>
      </c>
      <c r="D2758" s="1" t="n">
        <v>46196</v>
      </c>
      <c r="E2758" s="1" t="n">
        <v>46309</v>
      </c>
      <c r="F2758" t="inlineStr">
        <is>
          <t>UPPSALA LÄN</t>
        </is>
      </c>
      <c r="G2758" t="inlineStr">
        <is>
          <t>ÖSTHAMMAR</t>
        </is>
      </c>
      <c r="H2758" t="inlineStr">
        <is>
          <t>Bergvik skog öst AB</t>
        </is>
      </c>
      <c r="I2758" t="n">
        <v>18.6</v>
      </c>
      <c r="J2758" t="n">
        <v>0</v>
      </c>
      <c r="K2758" t="n">
        <v>0</v>
      </c>
      <c r="L2758" t="n">
        <v>0</v>
      </c>
      <c r="M2758" t="n">
        <v>0</v>
      </c>
      <c r="N2758" t="n">
        <v>0</v>
      </c>
      <c r="O2758" t="n">
        <v>0</v>
      </c>
      <c r="P2758" t="n">
        <v>0</v>
      </c>
      <c r="Q2758" t="n">
        <v>0</v>
      </c>
      <c r="R2758" t="n">
        <v>0</v>
      </c>
      <c r="S2758" t="n">
        <v>0</v>
      </c>
      <c r="T2758" t="n">
        <v>0</v>
      </c>
      <c r="U2758" t="n">
        <v>0</v>
      </c>
      <c r="V2758" s="2" t="inlineStr"/>
    </row>
    <row r="2759" ht="15" customHeight="1">
      <c r="A2759" t="inlineStr">
        <is>
          <t>A 26323-2023</t>
        </is>
      </c>
      <c r="B2759" t="inlineStr">
        <is>
          <t>avverkningsanmälan</t>
        </is>
      </c>
      <c r="C2759" t="inlineStr">
        <is>
          <t>Föryngringsavverkning</t>
        </is>
      </c>
      <c r="D2759" s="1" t="n">
        <v>45091</v>
      </c>
      <c r="E2759" s="1" t="n">
        <v>46309</v>
      </c>
      <c r="F2759" t="inlineStr">
        <is>
          <t>UPPSALA LÄN</t>
        </is>
      </c>
      <c r="G2759" t="inlineStr">
        <is>
          <t>UPPSALA</t>
        </is>
      </c>
      <c r="I2759" t="n">
        <v>3.1</v>
      </c>
      <c r="J2759" t="n">
        <v>0</v>
      </c>
      <c r="K2759" t="n">
        <v>0</v>
      </c>
      <c r="L2759" t="n">
        <v>0</v>
      </c>
      <c r="M2759" t="n">
        <v>0</v>
      </c>
      <c r="N2759" t="n">
        <v>0</v>
      </c>
      <c r="O2759" t="n">
        <v>0</v>
      </c>
      <c r="P2759" t="n">
        <v>0</v>
      </c>
      <c r="Q2759" t="n">
        <v>0</v>
      </c>
      <c r="R2759" t="n">
        <v>0</v>
      </c>
      <c r="S2759" t="n">
        <v>0</v>
      </c>
      <c r="T2759" t="n">
        <v>0</v>
      </c>
      <c r="U2759" t="n">
        <v>0</v>
      </c>
      <c r="V2759" s="2" t="inlineStr"/>
    </row>
    <row r="2760" ht="15" customHeight="1">
      <c r="A2760" t="inlineStr">
        <is>
          <t>A 31903-2023</t>
        </is>
      </c>
      <c r="B2760" t="inlineStr">
        <is>
          <t>avverkningsanmälan</t>
        </is>
      </c>
      <c r="C2760" t="inlineStr">
        <is>
          <t>Föryngringsavverkning</t>
        </is>
      </c>
      <c r="D2760" s="1" t="n">
        <v>45118</v>
      </c>
      <c r="E2760" s="1" t="n">
        <v>46309</v>
      </c>
      <c r="F2760" t="inlineStr">
        <is>
          <t>UPPSALA LÄN</t>
        </is>
      </c>
      <c r="G2760" t="inlineStr">
        <is>
          <t>HEBY</t>
        </is>
      </c>
      <c r="I2760" t="n">
        <v>0.6</v>
      </c>
      <c r="J2760" t="n">
        <v>0</v>
      </c>
      <c r="K2760" t="n">
        <v>0</v>
      </c>
      <c r="L2760" t="n">
        <v>0</v>
      </c>
      <c r="M2760" t="n">
        <v>0</v>
      </c>
      <c r="N2760" t="n">
        <v>0</v>
      </c>
      <c r="O2760" t="n">
        <v>0</v>
      </c>
      <c r="P2760" t="n">
        <v>0</v>
      </c>
      <c r="Q2760" t="n">
        <v>0</v>
      </c>
      <c r="R2760" t="n">
        <v>0</v>
      </c>
      <c r="S2760" t="n">
        <v>0</v>
      </c>
      <c r="T2760" t="n">
        <v>0</v>
      </c>
      <c r="U2760" t="n">
        <v>0</v>
      </c>
      <c r="V2760" s="2" t="inlineStr"/>
    </row>
    <row r="2761" ht="15" customHeight="1">
      <c r="A2761" t="inlineStr">
        <is>
          <t>A 3503-2024</t>
        </is>
      </c>
      <c r="B2761" t="inlineStr">
        <is>
          <t>avverkningsanmälan</t>
        </is>
      </c>
      <c r="C2761" t="inlineStr">
        <is>
          <t>Föryngringsavverkning</t>
        </is>
      </c>
      <c r="D2761" s="1" t="n">
        <v>45320</v>
      </c>
      <c r="E2761" s="1" t="n">
        <v>46309</v>
      </c>
      <c r="F2761" t="inlineStr">
        <is>
          <t>UPPSALA LÄN</t>
        </is>
      </c>
      <c r="G2761" t="inlineStr">
        <is>
          <t>TIERP</t>
        </is>
      </c>
      <c r="I2761" t="n">
        <v>1.3</v>
      </c>
      <c r="J2761" t="n">
        <v>0</v>
      </c>
      <c r="K2761" t="n">
        <v>0</v>
      </c>
      <c r="L2761" t="n">
        <v>0</v>
      </c>
      <c r="M2761" t="n">
        <v>0</v>
      </c>
      <c r="N2761" t="n">
        <v>0</v>
      </c>
      <c r="O2761" t="n">
        <v>0</v>
      </c>
      <c r="P2761" t="n">
        <v>0</v>
      </c>
      <c r="Q2761" t="n">
        <v>0</v>
      </c>
      <c r="R2761" t="n">
        <v>0</v>
      </c>
      <c r="S2761" t="n">
        <v>0</v>
      </c>
      <c r="T2761" t="n">
        <v>0</v>
      </c>
      <c r="U2761" t="n">
        <v>0</v>
      </c>
      <c r="V2761" s="2" t="inlineStr"/>
    </row>
    <row r="2762" ht="15" customHeight="1">
      <c r="A2762" t="inlineStr">
        <is>
          <t>A 26292-2022</t>
        </is>
      </c>
      <c r="B2762" t="inlineStr">
        <is>
          <t>avverkningsanmälan</t>
        </is>
      </c>
      <c r="C2762" t="inlineStr">
        <is>
          <t>Föryngringsavverkning</t>
        </is>
      </c>
      <c r="D2762" s="1" t="n">
        <v>44735</v>
      </c>
      <c r="E2762" s="1" t="n">
        <v>46309</v>
      </c>
      <c r="F2762" t="inlineStr">
        <is>
          <t>UPPSALA LÄN</t>
        </is>
      </c>
      <c r="G2762" t="inlineStr">
        <is>
          <t>ENKÖPING</t>
        </is>
      </c>
      <c r="H2762" t="inlineStr">
        <is>
          <t>Kyrkan</t>
        </is>
      </c>
      <c r="I2762" t="n">
        <v>4.6</v>
      </c>
      <c r="J2762" t="n">
        <v>0</v>
      </c>
      <c r="K2762" t="n">
        <v>0</v>
      </c>
      <c r="L2762" t="n">
        <v>0</v>
      </c>
      <c r="M2762" t="n">
        <v>0</v>
      </c>
      <c r="N2762" t="n">
        <v>0</v>
      </c>
      <c r="O2762" t="n">
        <v>0</v>
      </c>
      <c r="P2762" t="n">
        <v>0</v>
      </c>
      <c r="Q2762" t="n">
        <v>0</v>
      </c>
      <c r="R2762" t="n">
        <v>0</v>
      </c>
      <c r="S2762" t="n">
        <v>0</v>
      </c>
      <c r="T2762" t="n">
        <v>0</v>
      </c>
      <c r="U2762" t="n">
        <v>0</v>
      </c>
      <c r="V2762" s="2" t="inlineStr"/>
    </row>
    <row r="2763" ht="15" customHeight="1">
      <c r="A2763" t="inlineStr">
        <is>
          <t>A 20038-2023</t>
        </is>
      </c>
      <c r="B2763" t="inlineStr">
        <is>
          <t>avverkningsanmälan</t>
        </is>
      </c>
      <c r="C2763" t="inlineStr">
        <is>
          <t>Föryngringsavverkning</t>
        </is>
      </c>
      <c r="D2763" s="1" t="n">
        <v>45054</v>
      </c>
      <c r="E2763" s="1" t="n">
        <v>46309</v>
      </c>
      <c r="F2763" t="inlineStr">
        <is>
          <t>UPPSALA LÄN</t>
        </is>
      </c>
      <c r="G2763" t="inlineStr">
        <is>
          <t>ÖSTHAMMAR</t>
        </is>
      </c>
      <c r="I2763" t="n">
        <v>0.4</v>
      </c>
      <c r="J2763" t="n">
        <v>0</v>
      </c>
      <c r="K2763" t="n">
        <v>0</v>
      </c>
      <c r="L2763" t="n">
        <v>0</v>
      </c>
      <c r="M2763" t="n">
        <v>0</v>
      </c>
      <c r="N2763" t="n">
        <v>0</v>
      </c>
      <c r="O2763" t="n">
        <v>0</v>
      </c>
      <c r="P2763" t="n">
        <v>0</v>
      </c>
      <c r="Q2763" t="n">
        <v>0</v>
      </c>
      <c r="R2763" t="n">
        <v>0</v>
      </c>
      <c r="S2763" t="n">
        <v>0</v>
      </c>
      <c r="T2763" t="n">
        <v>0</v>
      </c>
      <c r="U2763" t="n">
        <v>0</v>
      </c>
      <c r="V2763" s="2" t="inlineStr"/>
    </row>
    <row r="2764" ht="15" customHeight="1">
      <c r="A2764" t="inlineStr">
        <is>
          <t>A 28310-2026</t>
        </is>
      </c>
      <c r="B2764" t="inlineStr">
        <is>
          <t>avverkningsanmälan</t>
        </is>
      </c>
      <c r="C2764" t="inlineStr">
        <is>
          <t>Föryngringsavverkning</t>
        </is>
      </c>
      <c r="D2764" s="1" t="n">
        <v>46196</v>
      </c>
      <c r="E2764" s="1" t="n">
        <v>46309</v>
      </c>
      <c r="F2764" t="inlineStr">
        <is>
          <t>UPPSALA LÄN</t>
        </is>
      </c>
      <c r="G2764" t="inlineStr">
        <is>
          <t>TIERP</t>
        </is>
      </c>
      <c r="H2764" t="inlineStr">
        <is>
          <t>Övriga Aktiebolag</t>
        </is>
      </c>
      <c r="I2764" t="n">
        <v>2.6</v>
      </c>
      <c r="J2764" t="n">
        <v>0</v>
      </c>
      <c r="K2764" t="n">
        <v>0</v>
      </c>
      <c r="L2764" t="n">
        <v>0</v>
      </c>
      <c r="M2764" t="n">
        <v>0</v>
      </c>
      <c r="N2764" t="n">
        <v>0</v>
      </c>
      <c r="O2764" t="n">
        <v>0</v>
      </c>
      <c r="P2764" t="n">
        <v>0</v>
      </c>
      <c r="Q2764" t="n">
        <v>0</v>
      </c>
      <c r="R2764" t="n">
        <v>0</v>
      </c>
      <c r="S2764" t="n">
        <v>0</v>
      </c>
      <c r="T2764" t="n">
        <v>0</v>
      </c>
      <c r="U2764" t="n">
        <v>0</v>
      </c>
      <c r="V2764" s="2" t="inlineStr"/>
    </row>
    <row r="2765" ht="15" customHeight="1">
      <c r="A2765" t="inlineStr">
        <is>
          <t>A 28304-2026</t>
        </is>
      </c>
      <c r="B2765" t="inlineStr">
        <is>
          <t>avverkningsanmälan</t>
        </is>
      </c>
      <c r="C2765" t="inlineStr">
        <is>
          <t>Föryngringsavverkning</t>
        </is>
      </c>
      <c r="D2765" s="1" t="n">
        <v>46196</v>
      </c>
      <c r="E2765" s="1" t="n">
        <v>46309</v>
      </c>
      <c r="F2765" t="inlineStr">
        <is>
          <t>UPPSALA LÄN</t>
        </is>
      </c>
      <c r="G2765" t="inlineStr">
        <is>
          <t>TIERP</t>
        </is>
      </c>
      <c r="H2765" t="inlineStr">
        <is>
          <t>Bergvik skog öst AB</t>
        </is>
      </c>
      <c r="I2765" t="n">
        <v>2.9</v>
      </c>
      <c r="J2765" t="n">
        <v>0</v>
      </c>
      <c r="K2765" t="n">
        <v>0</v>
      </c>
      <c r="L2765" t="n">
        <v>0</v>
      </c>
      <c r="M2765" t="n">
        <v>0</v>
      </c>
      <c r="N2765" t="n">
        <v>0</v>
      </c>
      <c r="O2765" t="n">
        <v>0</v>
      </c>
      <c r="P2765" t="n">
        <v>0</v>
      </c>
      <c r="Q2765" t="n">
        <v>0</v>
      </c>
      <c r="R2765" t="n">
        <v>0</v>
      </c>
      <c r="S2765" t="n">
        <v>0</v>
      </c>
      <c r="T2765" t="n">
        <v>0</v>
      </c>
      <c r="U2765" t="n">
        <v>0</v>
      </c>
      <c r="V2765" s="2" t="inlineStr"/>
    </row>
    <row r="2766" ht="15" customHeight="1">
      <c r="A2766" t="inlineStr">
        <is>
          <t>A 6121-2024</t>
        </is>
      </c>
      <c r="B2766" t="inlineStr">
        <is>
          <t>avverkningsanmälan</t>
        </is>
      </c>
      <c r="C2766" t="inlineStr">
        <is>
          <t>Föryngringsavverkning</t>
        </is>
      </c>
      <c r="D2766" s="1" t="n">
        <v>45337</v>
      </c>
      <c r="E2766" s="1" t="n">
        <v>46309</v>
      </c>
      <c r="F2766" t="inlineStr">
        <is>
          <t>UPPSALA LÄN</t>
        </is>
      </c>
      <c r="G2766" t="inlineStr">
        <is>
          <t>ÖSTHAMMAR</t>
        </is>
      </c>
      <c r="I2766" t="n">
        <v>0.4</v>
      </c>
      <c r="J2766" t="n">
        <v>0</v>
      </c>
      <c r="K2766" t="n">
        <v>0</v>
      </c>
      <c r="L2766" t="n">
        <v>0</v>
      </c>
      <c r="M2766" t="n">
        <v>0</v>
      </c>
      <c r="N2766" t="n">
        <v>0</v>
      </c>
      <c r="O2766" t="n">
        <v>0</v>
      </c>
      <c r="P2766" t="n">
        <v>0</v>
      </c>
      <c r="Q2766" t="n">
        <v>0</v>
      </c>
      <c r="R2766" t="n">
        <v>0</v>
      </c>
      <c r="S2766" t="n">
        <v>0</v>
      </c>
      <c r="T2766" t="n">
        <v>0</v>
      </c>
      <c r="U2766" t="n">
        <v>0</v>
      </c>
      <c r="V2766" s="2" t="inlineStr"/>
    </row>
    <row r="2767" ht="15" customHeight="1">
      <c r="A2767" t="inlineStr">
        <is>
          <t>A 29518-2026</t>
        </is>
      </c>
      <c r="B2767" t="inlineStr">
        <is>
          <t>avverkningsanmälan</t>
        </is>
      </c>
      <c r="C2767" t="inlineStr">
        <is>
          <t>Föryngringsavverkning</t>
        </is>
      </c>
      <c r="D2767" s="1" t="n">
        <v>46198</v>
      </c>
      <c r="E2767" s="1" t="n">
        <v>46309</v>
      </c>
      <c r="F2767" t="inlineStr">
        <is>
          <t>UPPSALA LÄN</t>
        </is>
      </c>
      <c r="G2767" t="inlineStr">
        <is>
          <t>HEBY</t>
        </is>
      </c>
      <c r="H2767" t="inlineStr">
        <is>
          <t>Bergvik skog väst AB</t>
        </is>
      </c>
      <c r="I2767" t="n">
        <v>46.8</v>
      </c>
      <c r="J2767" t="n">
        <v>0</v>
      </c>
      <c r="K2767" t="n">
        <v>0</v>
      </c>
      <c r="L2767" t="n">
        <v>0</v>
      </c>
      <c r="M2767" t="n">
        <v>0</v>
      </c>
      <c r="N2767" t="n">
        <v>0</v>
      </c>
      <c r="O2767" t="n">
        <v>0</v>
      </c>
      <c r="P2767" t="n">
        <v>0</v>
      </c>
      <c r="Q2767" t="n">
        <v>0</v>
      </c>
      <c r="R2767" t="n">
        <v>0</v>
      </c>
      <c r="S2767" t="n">
        <v>0</v>
      </c>
      <c r="T2767" t="n">
        <v>0</v>
      </c>
      <c r="U2767" t="n">
        <v>0</v>
      </c>
      <c r="V2767" s="2" t="inlineStr"/>
    </row>
    <row r="2768" ht="15" customHeight="1">
      <c r="A2768" t="inlineStr">
        <is>
          <t>A 28279-2026</t>
        </is>
      </c>
      <c r="B2768" t="inlineStr">
        <is>
          <t>avverkningsanmälan</t>
        </is>
      </c>
      <c r="C2768" t="inlineStr">
        <is>
          <t>Föryngringsavverkning</t>
        </is>
      </c>
      <c r="D2768" s="1" t="n">
        <v>46196</v>
      </c>
      <c r="E2768" s="1" t="n">
        <v>46309</v>
      </c>
      <c r="F2768" t="inlineStr">
        <is>
          <t>UPPSALA LÄN</t>
        </is>
      </c>
      <c r="G2768" t="inlineStr">
        <is>
          <t>TIERP</t>
        </is>
      </c>
      <c r="H2768" t="inlineStr">
        <is>
          <t>Bergvik skog väst AB</t>
        </is>
      </c>
      <c r="I2768" t="n">
        <v>13.8</v>
      </c>
      <c r="J2768" t="n">
        <v>0</v>
      </c>
      <c r="K2768" t="n">
        <v>0</v>
      </c>
      <c r="L2768" t="n">
        <v>0</v>
      </c>
      <c r="M2768" t="n">
        <v>0</v>
      </c>
      <c r="N2768" t="n">
        <v>0</v>
      </c>
      <c r="O2768" t="n">
        <v>0</v>
      </c>
      <c r="P2768" t="n">
        <v>0</v>
      </c>
      <c r="Q2768" t="n">
        <v>0</v>
      </c>
      <c r="R2768" t="n">
        <v>0</v>
      </c>
      <c r="S2768" t="n">
        <v>0</v>
      </c>
      <c r="T2768" t="n">
        <v>0</v>
      </c>
      <c r="U2768" t="n">
        <v>0</v>
      </c>
      <c r="V2768" s="2" t="inlineStr"/>
    </row>
    <row r="2769" ht="15" customHeight="1">
      <c r="A2769" t="inlineStr">
        <is>
          <t>A 32190-2022</t>
        </is>
      </c>
      <c r="B2769" t="inlineStr">
        <is>
          <t>avverkningsanmälan</t>
        </is>
      </c>
      <c r="C2769" t="inlineStr">
        <is>
          <t>Föryngringsavverkning</t>
        </is>
      </c>
      <c r="D2769" s="1" t="n">
        <v>44781</v>
      </c>
      <c r="E2769" s="1" t="n">
        <v>46309</v>
      </c>
      <c r="F2769" t="inlineStr">
        <is>
          <t>UPPSALA LÄN</t>
        </is>
      </c>
      <c r="G2769" t="inlineStr">
        <is>
          <t>TIERP</t>
        </is>
      </c>
      <c r="I2769" t="n">
        <v>3.1</v>
      </c>
      <c r="J2769" t="n">
        <v>0</v>
      </c>
      <c r="K2769" t="n">
        <v>0</v>
      </c>
      <c r="L2769" t="n">
        <v>0</v>
      </c>
      <c r="M2769" t="n">
        <v>0</v>
      </c>
      <c r="N2769" t="n">
        <v>0</v>
      </c>
      <c r="O2769" t="n">
        <v>0</v>
      </c>
      <c r="P2769" t="n">
        <v>0</v>
      </c>
      <c r="Q2769" t="n">
        <v>0</v>
      </c>
      <c r="R2769" t="n">
        <v>0</v>
      </c>
      <c r="S2769" t="n">
        <v>0</v>
      </c>
      <c r="T2769" t="n">
        <v>0</v>
      </c>
      <c r="U2769" t="n">
        <v>0</v>
      </c>
      <c r="V2769" s="2" t="inlineStr"/>
    </row>
    <row r="2770" ht="15" customHeight="1">
      <c r="A2770" t="inlineStr">
        <is>
          <t>A 17-2024</t>
        </is>
      </c>
      <c r="B2770" t="inlineStr">
        <is>
          <t>avverkningsanmälan</t>
        </is>
      </c>
      <c r="C2770" t="inlineStr">
        <is>
          <t>Föryngringsavverkning</t>
        </is>
      </c>
      <c r="D2770" s="1" t="n">
        <v>45293</v>
      </c>
      <c r="E2770" s="1" t="n">
        <v>46309</v>
      </c>
      <c r="F2770" t="inlineStr">
        <is>
          <t>UPPSALA LÄN</t>
        </is>
      </c>
      <c r="G2770" t="inlineStr">
        <is>
          <t>HEBY</t>
        </is>
      </c>
      <c r="I2770" t="n">
        <v>0.6</v>
      </c>
      <c r="J2770" t="n">
        <v>0</v>
      </c>
      <c r="K2770" t="n">
        <v>0</v>
      </c>
      <c r="L2770" t="n">
        <v>0</v>
      </c>
      <c r="M2770" t="n">
        <v>0</v>
      </c>
      <c r="N2770" t="n">
        <v>0</v>
      </c>
      <c r="O2770" t="n">
        <v>0</v>
      </c>
      <c r="P2770" t="n">
        <v>0</v>
      </c>
      <c r="Q2770" t="n">
        <v>0</v>
      </c>
      <c r="R2770" t="n">
        <v>0</v>
      </c>
      <c r="S2770" t="n">
        <v>0</v>
      </c>
      <c r="T2770" t="n">
        <v>0</v>
      </c>
      <c r="U2770" t="n">
        <v>0</v>
      </c>
      <c r="V2770" s="2" t="inlineStr"/>
    </row>
    <row r="2771" ht="15" customHeight="1">
      <c r="A2771" t="inlineStr">
        <is>
          <t>A 63649-2023</t>
        </is>
      </c>
      <c r="B2771" t="inlineStr">
        <is>
          <t>avverkningsanmälan</t>
        </is>
      </c>
      <c r="C2771" t="inlineStr">
        <is>
          <t>Föryngringsavverkning</t>
        </is>
      </c>
      <c r="D2771" s="1" t="n">
        <v>45275</v>
      </c>
      <c r="E2771" s="1" t="n">
        <v>46309</v>
      </c>
      <c r="F2771" t="inlineStr">
        <is>
          <t>UPPSALA LÄN</t>
        </is>
      </c>
      <c r="G2771" t="inlineStr">
        <is>
          <t>TIERP</t>
        </is>
      </c>
      <c r="I2771" t="n">
        <v>1.4</v>
      </c>
      <c r="J2771" t="n">
        <v>0</v>
      </c>
      <c r="K2771" t="n">
        <v>0</v>
      </c>
      <c r="L2771" t="n">
        <v>0</v>
      </c>
      <c r="M2771" t="n">
        <v>0</v>
      </c>
      <c r="N2771" t="n">
        <v>0</v>
      </c>
      <c r="O2771" t="n">
        <v>0</v>
      </c>
      <c r="P2771" t="n">
        <v>0</v>
      </c>
      <c r="Q2771" t="n">
        <v>0</v>
      </c>
      <c r="R2771" t="n">
        <v>0</v>
      </c>
      <c r="S2771" t="n">
        <v>0</v>
      </c>
      <c r="T2771" t="n">
        <v>0</v>
      </c>
      <c r="U2771" t="n">
        <v>0</v>
      </c>
      <c r="V2771" s="2" t="inlineStr"/>
    </row>
    <row r="2772" ht="15" customHeight="1">
      <c r="A2772" t="inlineStr">
        <is>
          <t>A 13509-2025</t>
        </is>
      </c>
      <c r="B2772" t="inlineStr">
        <is>
          <t>avverkningsanmälan</t>
        </is>
      </c>
      <c r="C2772" t="inlineStr">
        <is>
          <t>Avverkning för annat ändamål</t>
        </is>
      </c>
      <c r="D2772" s="1" t="n">
        <v>45736</v>
      </c>
      <c r="E2772" s="1" t="n">
        <v>46309</v>
      </c>
      <c r="F2772" t="inlineStr">
        <is>
          <t>UPPSALA LÄN</t>
        </is>
      </c>
      <c r="G2772" t="inlineStr">
        <is>
          <t>TIERP</t>
        </is>
      </c>
      <c r="H2772" t="inlineStr">
        <is>
          <t>Bergvik skog väst AB</t>
        </is>
      </c>
      <c r="I2772" t="n">
        <v>0.3</v>
      </c>
      <c r="J2772" t="n">
        <v>0</v>
      </c>
      <c r="K2772" t="n">
        <v>0</v>
      </c>
      <c r="L2772" t="n">
        <v>0</v>
      </c>
      <c r="M2772" t="n">
        <v>0</v>
      </c>
      <c r="N2772" t="n">
        <v>0</v>
      </c>
      <c r="O2772" t="n">
        <v>0</v>
      </c>
      <c r="P2772" t="n">
        <v>0</v>
      </c>
      <c r="Q2772" t="n">
        <v>0</v>
      </c>
      <c r="R2772" t="n">
        <v>0</v>
      </c>
      <c r="S2772" t="n">
        <v>0</v>
      </c>
      <c r="T2772" t="n">
        <v>0</v>
      </c>
      <c r="U2772" t="n">
        <v>0</v>
      </c>
      <c r="V2772" s="2" t="inlineStr"/>
    </row>
    <row r="2773" ht="15" customHeight="1">
      <c r="A2773" t="inlineStr">
        <is>
          <t>A 28952-2026</t>
        </is>
      </c>
      <c r="B2773" t="inlineStr">
        <is>
          <t>avverkningsanmälan</t>
        </is>
      </c>
      <c r="C2773" t="inlineStr">
        <is>
          <t>Föryngringsavverkning</t>
        </is>
      </c>
      <c r="D2773" s="1" t="n">
        <v>46199</v>
      </c>
      <c r="E2773" s="1" t="n">
        <v>46309</v>
      </c>
      <c r="F2773" t="inlineStr">
        <is>
          <t>UPPSALA LÄN</t>
        </is>
      </c>
      <c r="G2773" t="inlineStr">
        <is>
          <t>TIERP</t>
        </is>
      </c>
      <c r="H2773" t="inlineStr">
        <is>
          <t>Bergvik skog väst AB</t>
        </is>
      </c>
      <c r="I2773" t="n">
        <v>1.5</v>
      </c>
      <c r="J2773" t="n">
        <v>0</v>
      </c>
      <c r="K2773" t="n">
        <v>0</v>
      </c>
      <c r="L2773" t="n">
        <v>0</v>
      </c>
      <c r="M2773" t="n">
        <v>0</v>
      </c>
      <c r="N2773" t="n">
        <v>0</v>
      </c>
      <c r="O2773" t="n">
        <v>0</v>
      </c>
      <c r="P2773" t="n">
        <v>0</v>
      </c>
      <c r="Q2773" t="n">
        <v>0</v>
      </c>
      <c r="R2773" t="n">
        <v>0</v>
      </c>
      <c r="S2773" t="n">
        <v>0</v>
      </c>
      <c r="T2773" t="n">
        <v>0</v>
      </c>
      <c r="U2773" t="n">
        <v>0</v>
      </c>
      <c r="V2773" s="2" t="inlineStr"/>
    </row>
    <row r="2774" ht="15" customHeight="1">
      <c r="A2774" t="inlineStr">
        <is>
          <t>A 28955-2026</t>
        </is>
      </c>
      <c r="B2774" t="inlineStr">
        <is>
          <t>avverkningsanmälan</t>
        </is>
      </c>
      <c r="C2774" t="inlineStr">
        <is>
          <t>Föryngringsavverkning</t>
        </is>
      </c>
      <c r="D2774" s="1" t="n">
        <v>46199</v>
      </c>
      <c r="E2774" s="1" t="n">
        <v>46309</v>
      </c>
      <c r="F2774" t="inlineStr">
        <is>
          <t>UPPSALA LÄN</t>
        </is>
      </c>
      <c r="G2774" t="inlineStr">
        <is>
          <t>UPPSALA</t>
        </is>
      </c>
      <c r="H2774" t="inlineStr">
        <is>
          <t>Holmen skog AB</t>
        </is>
      </c>
      <c r="I2774" t="n">
        <v>7.7</v>
      </c>
      <c r="J2774" t="n">
        <v>0</v>
      </c>
      <c r="K2774" t="n">
        <v>0</v>
      </c>
      <c r="L2774" t="n">
        <v>0</v>
      </c>
      <c r="M2774" t="n">
        <v>0</v>
      </c>
      <c r="N2774" t="n">
        <v>0</v>
      </c>
      <c r="O2774" t="n">
        <v>0</v>
      </c>
      <c r="P2774" t="n">
        <v>0</v>
      </c>
      <c r="Q2774" t="n">
        <v>0</v>
      </c>
      <c r="R2774" t="n">
        <v>0</v>
      </c>
      <c r="S2774" t="n">
        <v>0</v>
      </c>
      <c r="T2774" t="n">
        <v>0</v>
      </c>
      <c r="U2774" t="n">
        <v>0</v>
      </c>
      <c r="V2774" s="2" t="inlineStr"/>
    </row>
    <row r="2775" ht="15" customHeight="1">
      <c r="A2775" t="inlineStr">
        <is>
          <t>A 5633-2025</t>
        </is>
      </c>
      <c r="B2775" t="inlineStr">
        <is>
          <t>avverkningsanmälan</t>
        </is>
      </c>
      <c r="C2775" t="inlineStr">
        <is>
          <t>Föryngringsavverkning</t>
        </is>
      </c>
      <c r="D2775" s="1" t="n">
        <v>45693</v>
      </c>
      <c r="E2775" s="1" t="n">
        <v>46309</v>
      </c>
      <c r="F2775" t="inlineStr">
        <is>
          <t>UPPSALA LÄN</t>
        </is>
      </c>
      <c r="G2775" t="inlineStr">
        <is>
          <t>HEBY</t>
        </is>
      </c>
      <c r="I2775" t="n">
        <v>1.1</v>
      </c>
      <c r="J2775" t="n">
        <v>0</v>
      </c>
      <c r="K2775" t="n">
        <v>0</v>
      </c>
      <c r="L2775" t="n">
        <v>0</v>
      </c>
      <c r="M2775" t="n">
        <v>0</v>
      </c>
      <c r="N2775" t="n">
        <v>0</v>
      </c>
      <c r="O2775" t="n">
        <v>0</v>
      </c>
      <c r="P2775" t="n">
        <v>0</v>
      </c>
      <c r="Q2775" t="n">
        <v>0</v>
      </c>
      <c r="R2775" t="n">
        <v>0</v>
      </c>
      <c r="S2775" t="n">
        <v>0</v>
      </c>
      <c r="T2775" t="n">
        <v>0</v>
      </c>
      <c r="U2775" t="n">
        <v>0</v>
      </c>
      <c r="V2775" s="2" t="inlineStr"/>
    </row>
    <row r="2776" ht="15" customHeight="1">
      <c r="A2776" t="inlineStr">
        <is>
          <t>A 60555-2023</t>
        </is>
      </c>
      <c r="B2776" t="inlineStr">
        <is>
          <t>avverkningsanmälan</t>
        </is>
      </c>
      <c r="C2776" t="inlineStr">
        <is>
          <t>Föryngringsavverkning</t>
        </is>
      </c>
      <c r="D2776" s="1" t="n">
        <v>45259</v>
      </c>
      <c r="E2776" s="1" t="n">
        <v>46309</v>
      </c>
      <c r="F2776" t="inlineStr">
        <is>
          <t>UPPSALA LÄN</t>
        </is>
      </c>
      <c r="G2776" t="inlineStr">
        <is>
          <t>ÖSTHAMMAR</t>
        </is>
      </c>
      <c r="I2776" t="n">
        <v>2</v>
      </c>
      <c r="J2776" t="n">
        <v>0</v>
      </c>
      <c r="K2776" t="n">
        <v>0</v>
      </c>
      <c r="L2776" t="n">
        <v>0</v>
      </c>
      <c r="M2776" t="n">
        <v>0</v>
      </c>
      <c r="N2776" t="n">
        <v>0</v>
      </c>
      <c r="O2776" t="n">
        <v>0</v>
      </c>
      <c r="P2776" t="n">
        <v>0</v>
      </c>
      <c r="Q2776" t="n">
        <v>0</v>
      </c>
      <c r="R2776" t="n">
        <v>0</v>
      </c>
      <c r="S2776" t="n">
        <v>0</v>
      </c>
      <c r="T2776" t="n">
        <v>0</v>
      </c>
      <c r="U2776" t="n">
        <v>0</v>
      </c>
      <c r="V2776" s="2" t="inlineStr"/>
    </row>
    <row r="2777" ht="15" customHeight="1">
      <c r="A2777" t="inlineStr">
        <is>
          <t>A 29100-2026</t>
        </is>
      </c>
      <c r="B2777" t="inlineStr">
        <is>
          <t>avverkningsanmälan</t>
        </is>
      </c>
      <c r="C2777" t="inlineStr">
        <is>
          <t>Föryngringsavverkning</t>
        </is>
      </c>
      <c r="D2777" s="1" t="n">
        <v>46200</v>
      </c>
      <c r="E2777" s="1" t="n">
        <v>46309</v>
      </c>
      <c r="F2777" t="inlineStr">
        <is>
          <t>UPPSALA LÄN</t>
        </is>
      </c>
      <c r="G2777" t="inlineStr">
        <is>
          <t>ÖSTHAMMAR</t>
        </is>
      </c>
      <c r="H2777" t="inlineStr">
        <is>
          <t>Bergvik skog öst AB</t>
        </is>
      </c>
      <c r="I2777" t="n">
        <v>7</v>
      </c>
      <c r="J2777" t="n">
        <v>0</v>
      </c>
      <c r="K2777" t="n">
        <v>0</v>
      </c>
      <c r="L2777" t="n">
        <v>0</v>
      </c>
      <c r="M2777" t="n">
        <v>0</v>
      </c>
      <c r="N2777" t="n">
        <v>0</v>
      </c>
      <c r="O2777" t="n">
        <v>0</v>
      </c>
      <c r="P2777" t="n">
        <v>0</v>
      </c>
      <c r="Q2777" t="n">
        <v>0</v>
      </c>
      <c r="R2777" t="n">
        <v>0</v>
      </c>
      <c r="S2777" t="n">
        <v>0</v>
      </c>
      <c r="T2777" t="n">
        <v>0</v>
      </c>
      <c r="U2777" t="n">
        <v>0</v>
      </c>
      <c r="V2777" s="2" t="inlineStr"/>
    </row>
    <row r="2778" ht="15" customHeight="1">
      <c r="A2778" t="inlineStr">
        <is>
          <t>A 29101-2026</t>
        </is>
      </c>
      <c r="B2778" t="inlineStr">
        <is>
          <t>avverkningsanmälan</t>
        </is>
      </c>
      <c r="C2778" t="inlineStr">
        <is>
          <t>Föryngringsavverkning</t>
        </is>
      </c>
      <c r="D2778" s="1" t="n">
        <v>46200</v>
      </c>
      <c r="E2778" s="1" t="n">
        <v>46309</v>
      </c>
      <c r="F2778" t="inlineStr">
        <is>
          <t>UPPSALA LÄN</t>
        </is>
      </c>
      <c r="G2778" t="inlineStr">
        <is>
          <t>ÖSTHAMMAR</t>
        </is>
      </c>
      <c r="H2778" t="inlineStr">
        <is>
          <t>Bergvik skog öst AB</t>
        </is>
      </c>
      <c r="I2778" t="n">
        <v>0.3</v>
      </c>
      <c r="J2778" t="n">
        <v>0</v>
      </c>
      <c r="K2778" t="n">
        <v>0</v>
      </c>
      <c r="L2778" t="n">
        <v>0</v>
      </c>
      <c r="M2778" t="n">
        <v>0</v>
      </c>
      <c r="N2778" t="n">
        <v>0</v>
      </c>
      <c r="O2778" t="n">
        <v>0</v>
      </c>
      <c r="P2778" t="n">
        <v>0</v>
      </c>
      <c r="Q2778" t="n">
        <v>0</v>
      </c>
      <c r="R2778" t="n">
        <v>0</v>
      </c>
      <c r="S2778" t="n">
        <v>0</v>
      </c>
      <c r="T2778" t="n">
        <v>0</v>
      </c>
      <c r="U2778" t="n">
        <v>0</v>
      </c>
      <c r="V2778" s="2" t="inlineStr"/>
    </row>
    <row r="2779" ht="15" customHeight="1">
      <c r="A2779" t="inlineStr">
        <is>
          <t>A 60584-2021</t>
        </is>
      </c>
      <c r="B2779" t="inlineStr">
        <is>
          <t>avverkningsanmälan</t>
        </is>
      </c>
      <c r="C2779" t="inlineStr">
        <is>
          <t>Föryngringsavverkning</t>
        </is>
      </c>
      <c r="D2779" s="1" t="n">
        <v>44496</v>
      </c>
      <c r="E2779" s="1" t="n">
        <v>46309</v>
      </c>
      <c r="F2779" t="inlineStr">
        <is>
          <t>UPPSALA LÄN</t>
        </is>
      </c>
      <c r="G2779" t="inlineStr">
        <is>
          <t>ÖSTHAMMAR</t>
        </is>
      </c>
      <c r="I2779" t="n">
        <v>1.4</v>
      </c>
      <c r="J2779" t="n">
        <v>0</v>
      </c>
      <c r="K2779" t="n">
        <v>0</v>
      </c>
      <c r="L2779" t="n">
        <v>0</v>
      </c>
      <c r="M2779" t="n">
        <v>0</v>
      </c>
      <c r="N2779" t="n">
        <v>0</v>
      </c>
      <c r="O2779" t="n">
        <v>0</v>
      </c>
      <c r="P2779" t="n">
        <v>0</v>
      </c>
      <c r="Q2779" t="n">
        <v>0</v>
      </c>
      <c r="R2779" t="n">
        <v>0</v>
      </c>
      <c r="S2779" t="n">
        <v>0</v>
      </c>
      <c r="T2779" t="n">
        <v>0</v>
      </c>
      <c r="U2779" t="n">
        <v>0</v>
      </c>
      <c r="V2779" s="2" t="inlineStr"/>
    </row>
    <row r="2780" ht="15" customHeight="1">
      <c r="A2780" t="inlineStr">
        <is>
          <t>A 32245-2022</t>
        </is>
      </c>
      <c r="B2780" t="inlineStr">
        <is>
          <t>avverkningsanmälan</t>
        </is>
      </c>
      <c r="C2780" t="inlineStr">
        <is>
          <t>Föryngringsavverkning</t>
        </is>
      </c>
      <c r="D2780" s="1" t="n">
        <v>44781</v>
      </c>
      <c r="E2780" s="1" t="n">
        <v>46309</v>
      </c>
      <c r="F2780" t="inlineStr">
        <is>
          <t>UPPSALA LÄN</t>
        </is>
      </c>
      <c r="G2780" t="inlineStr">
        <is>
          <t>HEBY</t>
        </is>
      </c>
      <c r="I2780" t="n">
        <v>3.1</v>
      </c>
      <c r="J2780" t="n">
        <v>0</v>
      </c>
      <c r="K2780" t="n">
        <v>0</v>
      </c>
      <c r="L2780" t="n">
        <v>0</v>
      </c>
      <c r="M2780" t="n">
        <v>0</v>
      </c>
      <c r="N2780" t="n">
        <v>0</v>
      </c>
      <c r="O2780" t="n">
        <v>0</v>
      </c>
      <c r="P2780" t="n">
        <v>0</v>
      </c>
      <c r="Q2780" t="n">
        <v>0</v>
      </c>
      <c r="R2780" t="n">
        <v>0</v>
      </c>
      <c r="S2780" t="n">
        <v>0</v>
      </c>
      <c r="T2780" t="n">
        <v>0</v>
      </c>
      <c r="U2780" t="n">
        <v>0</v>
      </c>
      <c r="V2780" s="2" t="inlineStr"/>
    </row>
    <row r="2781" ht="15" customHeight="1">
      <c r="A2781" t="inlineStr">
        <is>
          <t>A 29106-2026</t>
        </is>
      </c>
      <c r="B2781" t="inlineStr">
        <is>
          <t>avverkningsanmälan</t>
        </is>
      </c>
      <c r="C2781" t="inlineStr">
        <is>
          <t>Föryngringsavverkning</t>
        </is>
      </c>
      <c r="D2781" s="1" t="n">
        <v>46200</v>
      </c>
      <c r="E2781" s="1" t="n">
        <v>46309</v>
      </c>
      <c r="F2781" t="inlineStr">
        <is>
          <t>UPPSALA LÄN</t>
        </is>
      </c>
      <c r="G2781" t="inlineStr">
        <is>
          <t>ÖSTHAMMAR</t>
        </is>
      </c>
      <c r="H2781" t="inlineStr">
        <is>
          <t>Bergvik skog öst AB</t>
        </is>
      </c>
      <c r="I2781" t="n">
        <v>3.1</v>
      </c>
      <c r="J2781" t="n">
        <v>0</v>
      </c>
      <c r="K2781" t="n">
        <v>0</v>
      </c>
      <c r="L2781" t="n">
        <v>0</v>
      </c>
      <c r="M2781" t="n">
        <v>0</v>
      </c>
      <c r="N2781" t="n">
        <v>0</v>
      </c>
      <c r="O2781" t="n">
        <v>0</v>
      </c>
      <c r="P2781" t="n">
        <v>0</v>
      </c>
      <c r="Q2781" t="n">
        <v>0</v>
      </c>
      <c r="R2781" t="n">
        <v>0</v>
      </c>
      <c r="S2781" t="n">
        <v>0</v>
      </c>
      <c r="T2781" t="n">
        <v>0</v>
      </c>
      <c r="U2781" t="n">
        <v>0</v>
      </c>
      <c r="V2781" s="2" t="inlineStr"/>
    </row>
    <row r="2782" ht="15" customHeight="1">
      <c r="A2782" t="inlineStr">
        <is>
          <t>A 46202-2024</t>
        </is>
      </c>
      <c r="B2782" t="inlineStr">
        <is>
          <t>avverkningsanmälan</t>
        </is>
      </c>
      <c r="C2782" t="inlineStr">
        <is>
          <t>Föryngringsavverkning</t>
        </is>
      </c>
      <c r="D2782" s="1" t="n">
        <v>45581</v>
      </c>
      <c r="E2782" s="1" t="n">
        <v>46309</v>
      </c>
      <c r="F2782" t="inlineStr">
        <is>
          <t>UPPSALA LÄN</t>
        </is>
      </c>
      <c r="G2782" t="inlineStr">
        <is>
          <t>UPPSALA</t>
        </is>
      </c>
      <c r="I2782" t="n">
        <v>3.2</v>
      </c>
      <c r="J2782" t="n">
        <v>0</v>
      </c>
      <c r="K2782" t="n">
        <v>0</v>
      </c>
      <c r="L2782" t="n">
        <v>0</v>
      </c>
      <c r="M2782" t="n">
        <v>0</v>
      </c>
      <c r="N2782" t="n">
        <v>0</v>
      </c>
      <c r="O2782" t="n">
        <v>0</v>
      </c>
      <c r="P2782" t="n">
        <v>0</v>
      </c>
      <c r="Q2782" t="n">
        <v>0</v>
      </c>
      <c r="R2782" t="n">
        <v>0</v>
      </c>
      <c r="S2782" t="n">
        <v>0</v>
      </c>
      <c r="T2782" t="n">
        <v>0</v>
      </c>
      <c r="U2782" t="n">
        <v>0</v>
      </c>
      <c r="V2782" s="2" t="inlineStr"/>
    </row>
    <row r="2783" ht="15" customHeight="1">
      <c r="A2783" t="inlineStr">
        <is>
          <t>A 46863-2025</t>
        </is>
      </c>
      <c r="B2783" t="inlineStr">
        <is>
          <t>avverkningsanmälan</t>
        </is>
      </c>
      <c r="C2783" t="inlineStr">
        <is>
          <t>Föryngringsavverkning</t>
        </is>
      </c>
      <c r="D2783" s="1" t="n">
        <v>45929</v>
      </c>
      <c r="E2783" s="1" t="n">
        <v>46309</v>
      </c>
      <c r="F2783" t="inlineStr">
        <is>
          <t>UPPSALA LÄN</t>
        </is>
      </c>
      <c r="G2783" t="inlineStr">
        <is>
          <t>HEBY</t>
        </is>
      </c>
      <c r="I2783" t="n">
        <v>3.2</v>
      </c>
      <c r="J2783" t="n">
        <v>0</v>
      </c>
      <c r="K2783" t="n">
        <v>0</v>
      </c>
      <c r="L2783" t="n">
        <v>0</v>
      </c>
      <c r="M2783" t="n">
        <v>0</v>
      </c>
      <c r="N2783" t="n">
        <v>0</v>
      </c>
      <c r="O2783" t="n">
        <v>0</v>
      </c>
      <c r="P2783" t="n">
        <v>0</v>
      </c>
      <c r="Q2783" t="n">
        <v>0</v>
      </c>
      <c r="R2783" t="n">
        <v>0</v>
      </c>
      <c r="S2783" t="n">
        <v>0</v>
      </c>
      <c r="T2783" t="n">
        <v>0</v>
      </c>
      <c r="U2783" t="n">
        <v>0</v>
      </c>
      <c r="V2783" s="2" t="inlineStr"/>
    </row>
    <row r="2784" ht="15" customHeight="1">
      <c r="A2784" t="inlineStr">
        <is>
          <t>A 33332-2022</t>
        </is>
      </c>
      <c r="B2784" t="inlineStr">
        <is>
          <t>avverkningsanmälan</t>
        </is>
      </c>
      <c r="C2784" t="inlineStr">
        <is>
          <t>Föryngringsavverkning</t>
        </is>
      </c>
      <c r="D2784" s="1" t="n">
        <v>44788</v>
      </c>
      <c r="E2784" s="1" t="n">
        <v>46309</v>
      </c>
      <c r="F2784" t="inlineStr">
        <is>
          <t>UPPSALA LÄN</t>
        </is>
      </c>
      <c r="G2784" t="inlineStr">
        <is>
          <t>UPPSALA</t>
        </is>
      </c>
      <c r="I2784" t="n">
        <v>1</v>
      </c>
      <c r="J2784" t="n">
        <v>0</v>
      </c>
      <c r="K2784" t="n">
        <v>0</v>
      </c>
      <c r="L2784" t="n">
        <v>0</v>
      </c>
      <c r="M2784" t="n">
        <v>0</v>
      </c>
      <c r="N2784" t="n">
        <v>0</v>
      </c>
      <c r="O2784" t="n">
        <v>0</v>
      </c>
      <c r="P2784" t="n">
        <v>0</v>
      </c>
      <c r="Q2784" t="n">
        <v>0</v>
      </c>
      <c r="R2784" t="n">
        <v>0</v>
      </c>
      <c r="S2784" t="n">
        <v>0</v>
      </c>
      <c r="T2784" t="n">
        <v>0</v>
      </c>
      <c r="U2784" t="n">
        <v>0</v>
      </c>
      <c r="V2784" s="2" t="inlineStr"/>
    </row>
    <row r="2785" ht="15" customHeight="1">
      <c r="A2785" t="inlineStr">
        <is>
          <t>A 28795-2026</t>
        </is>
      </c>
      <c r="B2785" t="inlineStr">
        <is>
          <t>avverkningsanmälan</t>
        </is>
      </c>
      <c r="C2785" t="inlineStr">
        <is>
          <t>Föryngringsavverkning</t>
        </is>
      </c>
      <c r="D2785" s="1" t="n">
        <v>46198</v>
      </c>
      <c r="E2785" s="1" t="n">
        <v>46309</v>
      </c>
      <c r="F2785" t="inlineStr">
        <is>
          <t>UPPSALA LÄN</t>
        </is>
      </c>
      <c r="G2785" t="inlineStr">
        <is>
          <t>UPPSALA</t>
        </is>
      </c>
      <c r="H2785" t="inlineStr">
        <is>
          <t>Holmen skog AB</t>
        </is>
      </c>
      <c r="I2785" t="n">
        <v>2.6</v>
      </c>
      <c r="J2785" t="n">
        <v>0</v>
      </c>
      <c r="K2785" t="n">
        <v>0</v>
      </c>
      <c r="L2785" t="n">
        <v>0</v>
      </c>
      <c r="M2785" t="n">
        <v>0</v>
      </c>
      <c r="N2785" t="n">
        <v>0</v>
      </c>
      <c r="O2785" t="n">
        <v>0</v>
      </c>
      <c r="P2785" t="n">
        <v>0</v>
      </c>
      <c r="Q2785" t="n">
        <v>0</v>
      </c>
      <c r="R2785" t="n">
        <v>0</v>
      </c>
      <c r="S2785" t="n">
        <v>0</v>
      </c>
      <c r="T2785" t="n">
        <v>0</v>
      </c>
      <c r="U2785" t="n">
        <v>0</v>
      </c>
      <c r="V2785" s="2" t="inlineStr"/>
    </row>
    <row r="2786" ht="15" customHeight="1">
      <c r="A2786" t="inlineStr">
        <is>
          <t>A 28938-2026</t>
        </is>
      </c>
      <c r="B2786" t="inlineStr">
        <is>
          <t>avverkningsanmälan</t>
        </is>
      </c>
      <c r="C2786" t="inlineStr">
        <is>
          <t>Föryngringsavverkning</t>
        </is>
      </c>
      <c r="D2786" s="1" t="n">
        <v>46199</v>
      </c>
      <c r="E2786" s="1" t="n">
        <v>46309</v>
      </c>
      <c r="F2786" t="inlineStr">
        <is>
          <t>UPPSALA LÄN</t>
        </is>
      </c>
      <c r="G2786" t="inlineStr">
        <is>
          <t>ÖSTHAMMAR</t>
        </is>
      </c>
      <c r="H2786" t="inlineStr">
        <is>
          <t>Övriga Aktiebolag</t>
        </is>
      </c>
      <c r="I2786" t="n">
        <v>3.6</v>
      </c>
      <c r="J2786" t="n">
        <v>0</v>
      </c>
      <c r="K2786" t="n">
        <v>0</v>
      </c>
      <c r="L2786" t="n">
        <v>0</v>
      </c>
      <c r="M2786" t="n">
        <v>0</v>
      </c>
      <c r="N2786" t="n">
        <v>0</v>
      </c>
      <c r="O2786" t="n">
        <v>0</v>
      </c>
      <c r="P2786" t="n">
        <v>0</v>
      </c>
      <c r="Q2786" t="n">
        <v>0</v>
      </c>
      <c r="R2786" t="n">
        <v>0</v>
      </c>
      <c r="S2786" t="n">
        <v>0</v>
      </c>
      <c r="T2786" t="n">
        <v>0</v>
      </c>
      <c r="U2786" t="n">
        <v>0</v>
      </c>
      <c r="V2786" s="2" t="inlineStr"/>
    </row>
    <row r="2787" ht="15" customHeight="1">
      <c r="A2787" t="inlineStr">
        <is>
          <t>A 28949-2026</t>
        </is>
      </c>
      <c r="B2787" t="inlineStr">
        <is>
          <t>avverkningsanmälan</t>
        </is>
      </c>
      <c r="C2787" t="inlineStr">
        <is>
          <t>Föryngringsavverkning</t>
        </is>
      </c>
      <c r="D2787" s="1" t="n">
        <v>46199</v>
      </c>
      <c r="E2787" s="1" t="n">
        <v>46309</v>
      </c>
      <c r="F2787" t="inlineStr">
        <is>
          <t>UPPSALA LÄN</t>
        </is>
      </c>
      <c r="G2787" t="inlineStr">
        <is>
          <t>ÖSTHAMMAR</t>
        </is>
      </c>
      <c r="H2787" t="inlineStr">
        <is>
          <t>Naturvårdsverket</t>
        </is>
      </c>
      <c r="I2787" t="n">
        <v>1.3</v>
      </c>
      <c r="J2787" t="n">
        <v>0</v>
      </c>
      <c r="K2787" t="n">
        <v>0</v>
      </c>
      <c r="L2787" t="n">
        <v>0</v>
      </c>
      <c r="M2787" t="n">
        <v>0</v>
      </c>
      <c r="N2787" t="n">
        <v>0</v>
      </c>
      <c r="O2787" t="n">
        <v>0</v>
      </c>
      <c r="P2787" t="n">
        <v>0</v>
      </c>
      <c r="Q2787" t="n">
        <v>0</v>
      </c>
      <c r="R2787" t="n">
        <v>0</v>
      </c>
      <c r="S2787" t="n">
        <v>0</v>
      </c>
      <c r="T2787" t="n">
        <v>0</v>
      </c>
      <c r="U2787" t="n">
        <v>0</v>
      </c>
      <c r="V2787" s="2" t="inlineStr"/>
    </row>
    <row r="2788" ht="15" customHeight="1">
      <c r="A2788" t="inlineStr">
        <is>
          <t>A 2628-2025</t>
        </is>
      </c>
      <c r="B2788" t="inlineStr">
        <is>
          <t>avverkningsanmälan</t>
        </is>
      </c>
      <c r="C2788" t="inlineStr">
        <is>
          <t>Föryngringsavverkning</t>
        </is>
      </c>
      <c r="D2788" s="1" t="n">
        <v>45675</v>
      </c>
      <c r="E2788" s="1" t="n">
        <v>46309</v>
      </c>
      <c r="F2788" t="inlineStr">
        <is>
          <t>UPPSALA LÄN</t>
        </is>
      </c>
      <c r="G2788" t="inlineStr">
        <is>
          <t>KNIVSTA</t>
        </is>
      </c>
      <c r="I2788" t="n">
        <v>2.9</v>
      </c>
      <c r="J2788" t="n">
        <v>0</v>
      </c>
      <c r="K2788" t="n">
        <v>0</v>
      </c>
      <c r="L2788" t="n">
        <v>0</v>
      </c>
      <c r="M2788" t="n">
        <v>0</v>
      </c>
      <c r="N2788" t="n">
        <v>0</v>
      </c>
      <c r="O2788" t="n">
        <v>0</v>
      </c>
      <c r="P2788" t="n">
        <v>0</v>
      </c>
      <c r="Q2788" t="n">
        <v>0</v>
      </c>
      <c r="R2788" t="n">
        <v>0</v>
      </c>
      <c r="S2788" t="n">
        <v>0</v>
      </c>
      <c r="T2788" t="n">
        <v>0</v>
      </c>
      <c r="U2788" t="n">
        <v>0</v>
      </c>
      <c r="V2788" s="2" t="inlineStr"/>
    </row>
    <row r="2789" ht="15" customHeight="1">
      <c r="A2789" t="inlineStr">
        <is>
          <t>A 408-2024</t>
        </is>
      </c>
      <c r="B2789" t="inlineStr">
        <is>
          <t>avverkningsanmälan</t>
        </is>
      </c>
      <c r="C2789" t="inlineStr">
        <is>
          <t>Föryngringsavverkning</t>
        </is>
      </c>
      <c r="D2789" s="1" t="n">
        <v>45296</v>
      </c>
      <c r="E2789" s="1" t="n">
        <v>46309</v>
      </c>
      <c r="F2789" t="inlineStr">
        <is>
          <t>UPPSALA LÄN</t>
        </is>
      </c>
      <c r="G2789" t="inlineStr">
        <is>
          <t>TIERP</t>
        </is>
      </c>
      <c r="I2789" t="n">
        <v>2</v>
      </c>
      <c r="J2789" t="n">
        <v>0</v>
      </c>
      <c r="K2789" t="n">
        <v>0</v>
      </c>
      <c r="L2789" t="n">
        <v>0</v>
      </c>
      <c r="M2789" t="n">
        <v>0</v>
      </c>
      <c r="N2789" t="n">
        <v>0</v>
      </c>
      <c r="O2789" t="n">
        <v>0</v>
      </c>
      <c r="P2789" t="n">
        <v>0</v>
      </c>
      <c r="Q2789" t="n">
        <v>0</v>
      </c>
      <c r="R2789" t="n">
        <v>0</v>
      </c>
      <c r="S2789" t="n">
        <v>0</v>
      </c>
      <c r="T2789" t="n">
        <v>0</v>
      </c>
      <c r="U2789" t="n">
        <v>0</v>
      </c>
      <c r="V2789" s="2" t="inlineStr"/>
    </row>
    <row r="2790" ht="15" customHeight="1">
      <c r="A2790" t="inlineStr">
        <is>
          <t>A 28958-2026</t>
        </is>
      </c>
      <c r="B2790" t="inlineStr">
        <is>
          <t>avverkningsanmälan</t>
        </is>
      </c>
      <c r="C2790" t="inlineStr">
        <is>
          <t>Föryngringsavverkning</t>
        </is>
      </c>
      <c r="D2790" s="1" t="n">
        <v>46199</v>
      </c>
      <c r="E2790" s="1" t="n">
        <v>46309</v>
      </c>
      <c r="F2790" t="inlineStr">
        <is>
          <t>UPPSALA LÄN</t>
        </is>
      </c>
      <c r="G2790" t="inlineStr">
        <is>
          <t>TIERP</t>
        </is>
      </c>
      <c r="H2790" t="inlineStr">
        <is>
          <t>Bergvik skog väst AB</t>
        </is>
      </c>
      <c r="I2790" t="n">
        <v>2.5</v>
      </c>
      <c r="J2790" t="n">
        <v>0</v>
      </c>
      <c r="K2790" t="n">
        <v>0</v>
      </c>
      <c r="L2790" t="n">
        <v>0</v>
      </c>
      <c r="M2790" t="n">
        <v>0</v>
      </c>
      <c r="N2790" t="n">
        <v>0</v>
      </c>
      <c r="O2790" t="n">
        <v>0</v>
      </c>
      <c r="P2790" t="n">
        <v>0</v>
      </c>
      <c r="Q2790" t="n">
        <v>0</v>
      </c>
      <c r="R2790" t="n">
        <v>0</v>
      </c>
      <c r="S2790" t="n">
        <v>0</v>
      </c>
      <c r="T2790" t="n">
        <v>0</v>
      </c>
      <c r="U2790" t="n">
        <v>0</v>
      </c>
      <c r="V2790" s="2" t="inlineStr"/>
    </row>
    <row r="2791" ht="15" customHeight="1">
      <c r="A2791" t="inlineStr">
        <is>
          <t>A 33385-2023</t>
        </is>
      </c>
      <c r="B2791" t="inlineStr">
        <is>
          <t>avverkningsanmälan</t>
        </is>
      </c>
      <c r="C2791" t="inlineStr">
        <is>
          <t>Föryngringsavverkning</t>
        </is>
      </c>
      <c r="D2791" s="1" t="n">
        <v>45128</v>
      </c>
      <c r="E2791" s="1" t="n">
        <v>46309</v>
      </c>
      <c r="F2791" t="inlineStr">
        <is>
          <t>UPPSALA LÄN</t>
        </is>
      </c>
      <c r="G2791" t="inlineStr">
        <is>
          <t>HEBY</t>
        </is>
      </c>
      <c r="I2791" t="n">
        <v>2.7</v>
      </c>
      <c r="J2791" t="n">
        <v>0</v>
      </c>
      <c r="K2791" t="n">
        <v>0</v>
      </c>
      <c r="L2791" t="n">
        <v>0</v>
      </c>
      <c r="M2791" t="n">
        <v>0</v>
      </c>
      <c r="N2791" t="n">
        <v>0</v>
      </c>
      <c r="O2791" t="n">
        <v>0</v>
      </c>
      <c r="P2791" t="n">
        <v>0</v>
      </c>
      <c r="Q2791" t="n">
        <v>0</v>
      </c>
      <c r="R2791" t="n">
        <v>0</v>
      </c>
      <c r="S2791" t="n">
        <v>0</v>
      </c>
      <c r="T2791" t="n">
        <v>0</v>
      </c>
      <c r="U2791" t="n">
        <v>0</v>
      </c>
      <c r="V2791" s="2" t="inlineStr"/>
    </row>
    <row r="2792" ht="15" customHeight="1">
      <c r="A2792" t="inlineStr">
        <is>
          <t>A 28673-2026</t>
        </is>
      </c>
      <c r="B2792" t="inlineStr">
        <is>
          <t>avverkningsanmälan</t>
        </is>
      </c>
      <c r="C2792" t="inlineStr">
        <is>
          <t>Föryngringsavverkning</t>
        </is>
      </c>
      <c r="D2792" s="1" t="n">
        <v>46198</v>
      </c>
      <c r="E2792" s="1" t="n">
        <v>46309</v>
      </c>
      <c r="F2792" t="inlineStr">
        <is>
          <t>UPPSALA LÄN</t>
        </is>
      </c>
      <c r="G2792" t="inlineStr">
        <is>
          <t>UPPSALA</t>
        </is>
      </c>
      <c r="I2792" t="n">
        <v>1.2</v>
      </c>
      <c r="J2792" t="n">
        <v>0</v>
      </c>
      <c r="K2792" t="n">
        <v>0</v>
      </c>
      <c r="L2792" t="n">
        <v>0</v>
      </c>
      <c r="M2792" t="n">
        <v>0</v>
      </c>
      <c r="N2792" t="n">
        <v>0</v>
      </c>
      <c r="O2792" t="n">
        <v>0</v>
      </c>
      <c r="P2792" t="n">
        <v>0</v>
      </c>
      <c r="Q2792" t="n">
        <v>0</v>
      </c>
      <c r="R2792" t="n">
        <v>0</v>
      </c>
      <c r="S2792" t="n">
        <v>0</v>
      </c>
      <c r="T2792" t="n">
        <v>0</v>
      </c>
      <c r="U2792" t="n">
        <v>0</v>
      </c>
      <c r="V2792" s="2" t="inlineStr"/>
    </row>
    <row r="2793" ht="15" customHeight="1">
      <c r="A2793" t="inlineStr">
        <is>
          <t>A 29282-2026</t>
        </is>
      </c>
      <c r="B2793" t="inlineStr">
        <is>
          <t>avverkningsanmälan</t>
        </is>
      </c>
      <c r="C2793" t="inlineStr">
        <is>
          <t>Föryngringsavverkning</t>
        </is>
      </c>
      <c r="D2793" s="1" t="n">
        <v>46202</v>
      </c>
      <c r="E2793" s="1" t="n">
        <v>46309</v>
      </c>
      <c r="F2793" t="inlineStr">
        <is>
          <t>UPPSALA LÄN</t>
        </is>
      </c>
      <c r="G2793" t="inlineStr">
        <is>
          <t>UPPSALA</t>
        </is>
      </c>
      <c r="I2793" t="n">
        <v>2.7</v>
      </c>
      <c r="J2793" t="n">
        <v>0</v>
      </c>
      <c r="K2793" t="n">
        <v>0</v>
      </c>
      <c r="L2793" t="n">
        <v>0</v>
      </c>
      <c r="M2793" t="n">
        <v>0</v>
      </c>
      <c r="N2793" t="n">
        <v>0</v>
      </c>
      <c r="O2793" t="n">
        <v>0</v>
      </c>
      <c r="P2793" t="n">
        <v>0</v>
      </c>
      <c r="Q2793" t="n">
        <v>0</v>
      </c>
      <c r="R2793" t="n">
        <v>0</v>
      </c>
      <c r="S2793" t="n">
        <v>0</v>
      </c>
      <c r="T2793" t="n">
        <v>0</v>
      </c>
      <c r="U2793" t="n">
        <v>0</v>
      </c>
      <c r="V2793" s="2" t="inlineStr"/>
    </row>
    <row r="2794" ht="15" customHeight="1">
      <c r="A2794" t="inlineStr">
        <is>
          <t>A 46430-2023</t>
        </is>
      </c>
      <c r="B2794" t="inlineStr">
        <is>
          <t>avverkningsanmälan</t>
        </is>
      </c>
      <c r="C2794" t="inlineStr">
        <is>
          <t>Föryngringsavverkning</t>
        </is>
      </c>
      <c r="D2794" s="1" t="n">
        <v>45197</v>
      </c>
      <c r="E2794" s="1" t="n">
        <v>46309</v>
      </c>
      <c r="F2794" t="inlineStr">
        <is>
          <t>UPPSALA LÄN</t>
        </is>
      </c>
      <c r="G2794" t="inlineStr">
        <is>
          <t>HEBY</t>
        </is>
      </c>
      <c r="I2794" t="n">
        <v>2.6</v>
      </c>
      <c r="J2794" t="n">
        <v>0</v>
      </c>
      <c r="K2794" t="n">
        <v>0</v>
      </c>
      <c r="L2794" t="n">
        <v>0</v>
      </c>
      <c r="M2794" t="n">
        <v>0</v>
      </c>
      <c r="N2794" t="n">
        <v>0</v>
      </c>
      <c r="O2794" t="n">
        <v>0</v>
      </c>
      <c r="P2794" t="n">
        <v>0</v>
      </c>
      <c r="Q2794" t="n">
        <v>0</v>
      </c>
      <c r="R2794" t="n">
        <v>0</v>
      </c>
      <c r="S2794" t="n">
        <v>0</v>
      </c>
      <c r="T2794" t="n">
        <v>0</v>
      </c>
      <c r="U2794" t="n">
        <v>0</v>
      </c>
      <c r="V2794" s="2" t="inlineStr"/>
    </row>
    <row r="2795" ht="15" customHeight="1">
      <c r="A2795" t="inlineStr">
        <is>
          <t>A 48719-2023</t>
        </is>
      </c>
      <c r="B2795" t="inlineStr">
        <is>
          <t>avverkningsanmälan</t>
        </is>
      </c>
      <c r="C2795" t="inlineStr">
        <is>
          <t>Föryngringsavverkning</t>
        </is>
      </c>
      <c r="D2795" s="1" t="n">
        <v>45208</v>
      </c>
      <c r="E2795" s="1" t="n">
        <v>46309</v>
      </c>
      <c r="F2795" t="inlineStr">
        <is>
          <t>UPPSALA LÄN</t>
        </is>
      </c>
      <c r="G2795" t="inlineStr">
        <is>
          <t>ÖSTHAMMAR</t>
        </is>
      </c>
      <c r="I2795" t="n">
        <v>0.6</v>
      </c>
      <c r="J2795" t="n">
        <v>0</v>
      </c>
      <c r="K2795" t="n">
        <v>0</v>
      </c>
      <c r="L2795" t="n">
        <v>0</v>
      </c>
      <c r="M2795" t="n">
        <v>0</v>
      </c>
      <c r="N2795" t="n">
        <v>0</v>
      </c>
      <c r="O2795" t="n">
        <v>0</v>
      </c>
      <c r="P2795" t="n">
        <v>0</v>
      </c>
      <c r="Q2795" t="n">
        <v>0</v>
      </c>
      <c r="R2795" t="n">
        <v>0</v>
      </c>
      <c r="S2795" t="n">
        <v>0</v>
      </c>
      <c r="T2795" t="n">
        <v>0</v>
      </c>
      <c r="U2795" t="n">
        <v>0</v>
      </c>
      <c r="V2795" s="2" t="inlineStr"/>
    </row>
    <row r="2796" ht="15" customHeight="1">
      <c r="A2796" t="inlineStr">
        <is>
          <t>A 39608-2022</t>
        </is>
      </c>
      <c r="B2796" t="inlineStr">
        <is>
          <t>avverkningsanmälan</t>
        </is>
      </c>
      <c r="C2796" t="inlineStr">
        <is>
          <t>Föryngringsavverkning</t>
        </is>
      </c>
      <c r="D2796" s="1" t="n">
        <v>44817</v>
      </c>
      <c r="E2796" s="1" t="n">
        <v>46309</v>
      </c>
      <c r="F2796" t="inlineStr">
        <is>
          <t>UPPSALA LÄN</t>
        </is>
      </c>
      <c r="G2796" t="inlineStr">
        <is>
          <t>UPPSALA</t>
        </is>
      </c>
      <c r="I2796" t="n">
        <v>2</v>
      </c>
      <c r="J2796" t="n">
        <v>0</v>
      </c>
      <c r="K2796" t="n">
        <v>0</v>
      </c>
      <c r="L2796" t="n">
        <v>0</v>
      </c>
      <c r="M2796" t="n">
        <v>0</v>
      </c>
      <c r="N2796" t="n">
        <v>0</v>
      </c>
      <c r="O2796" t="n">
        <v>0</v>
      </c>
      <c r="P2796" t="n">
        <v>0</v>
      </c>
      <c r="Q2796" t="n">
        <v>0</v>
      </c>
      <c r="R2796" t="n">
        <v>0</v>
      </c>
      <c r="S2796" t="n">
        <v>0</v>
      </c>
      <c r="T2796" t="n">
        <v>0</v>
      </c>
      <c r="U2796" t="n">
        <v>0</v>
      </c>
      <c r="V2796" s="2" t="inlineStr"/>
    </row>
    <row r="2797" ht="15" customHeight="1">
      <c r="A2797" t="inlineStr">
        <is>
          <t>A 10458-2022</t>
        </is>
      </c>
      <c r="B2797" t="inlineStr">
        <is>
          <t>avverkningsanmälan</t>
        </is>
      </c>
      <c r="C2797" t="inlineStr">
        <is>
          <t>Föryngringsavverkning</t>
        </is>
      </c>
      <c r="D2797" s="1" t="n">
        <v>44623</v>
      </c>
      <c r="E2797" s="1" t="n">
        <v>46309</v>
      </c>
      <c r="F2797" t="inlineStr">
        <is>
          <t>UPPSALA LÄN</t>
        </is>
      </c>
      <c r="G2797" t="inlineStr">
        <is>
          <t>ENKÖPING</t>
        </is>
      </c>
      <c r="I2797" t="n">
        <v>0.5</v>
      </c>
      <c r="J2797" t="n">
        <v>0</v>
      </c>
      <c r="K2797" t="n">
        <v>0</v>
      </c>
      <c r="L2797" t="n">
        <v>0</v>
      </c>
      <c r="M2797" t="n">
        <v>0</v>
      </c>
      <c r="N2797" t="n">
        <v>0</v>
      </c>
      <c r="O2797" t="n">
        <v>0</v>
      </c>
      <c r="P2797" t="n">
        <v>0</v>
      </c>
      <c r="Q2797" t="n">
        <v>0</v>
      </c>
      <c r="R2797" t="n">
        <v>0</v>
      </c>
      <c r="S2797" t="n">
        <v>0</v>
      </c>
      <c r="T2797" t="n">
        <v>0</v>
      </c>
      <c r="U2797" t="n">
        <v>0</v>
      </c>
      <c r="V2797" s="2" t="inlineStr"/>
    </row>
    <row r="2798" ht="15" customHeight="1">
      <c r="A2798" t="inlineStr">
        <is>
          <t>A 50267-2023</t>
        </is>
      </c>
      <c r="B2798" t="inlineStr">
        <is>
          <t>avverkningsanmälan</t>
        </is>
      </c>
      <c r="C2798" t="inlineStr">
        <is>
          <t>Föryngringsavverkning</t>
        </is>
      </c>
      <c r="D2798" s="1" t="n">
        <v>45216</v>
      </c>
      <c r="E2798" s="1" t="n">
        <v>46309</v>
      </c>
      <c r="F2798" t="inlineStr">
        <is>
          <t>UPPSALA LÄN</t>
        </is>
      </c>
      <c r="G2798" t="inlineStr">
        <is>
          <t>UPPSALA</t>
        </is>
      </c>
      <c r="I2798" t="n">
        <v>1</v>
      </c>
      <c r="J2798" t="n">
        <v>0</v>
      </c>
      <c r="K2798" t="n">
        <v>0</v>
      </c>
      <c r="L2798" t="n">
        <v>0</v>
      </c>
      <c r="M2798" t="n">
        <v>0</v>
      </c>
      <c r="N2798" t="n">
        <v>0</v>
      </c>
      <c r="O2798" t="n">
        <v>0</v>
      </c>
      <c r="P2798" t="n">
        <v>0</v>
      </c>
      <c r="Q2798" t="n">
        <v>0</v>
      </c>
      <c r="R2798" t="n">
        <v>0</v>
      </c>
      <c r="S2798" t="n">
        <v>0</v>
      </c>
      <c r="T2798" t="n">
        <v>0</v>
      </c>
      <c r="U2798" t="n">
        <v>0</v>
      </c>
      <c r="V2798" s="2" t="inlineStr"/>
    </row>
    <row r="2799" ht="15" customHeight="1">
      <c r="A2799" t="inlineStr">
        <is>
          <t>A 45142-2023</t>
        </is>
      </c>
      <c r="B2799" t="inlineStr">
        <is>
          <t>avverkningsanmälan</t>
        </is>
      </c>
      <c r="C2799" t="inlineStr">
        <is>
          <t>Avverkning för att bevara och utveckla /försöksver</t>
        </is>
      </c>
      <c r="D2799" s="1" t="n">
        <v>45191</v>
      </c>
      <c r="E2799" s="1" t="n">
        <v>46309</v>
      </c>
      <c r="F2799" t="inlineStr">
        <is>
          <t>UPPSALA LÄN</t>
        </is>
      </c>
      <c r="G2799" t="inlineStr">
        <is>
          <t>ENKÖPING</t>
        </is>
      </c>
      <c r="I2799" t="n">
        <v>1.8</v>
      </c>
      <c r="J2799" t="n">
        <v>0</v>
      </c>
      <c r="K2799" t="n">
        <v>0</v>
      </c>
      <c r="L2799" t="n">
        <v>0</v>
      </c>
      <c r="M2799" t="n">
        <v>0</v>
      </c>
      <c r="N2799" t="n">
        <v>0</v>
      </c>
      <c r="O2799" t="n">
        <v>0</v>
      </c>
      <c r="P2799" t="n">
        <v>0</v>
      </c>
      <c r="Q2799" t="n">
        <v>0</v>
      </c>
      <c r="R2799" t="n">
        <v>0</v>
      </c>
      <c r="S2799" t="n">
        <v>0</v>
      </c>
      <c r="T2799" t="n">
        <v>0</v>
      </c>
      <c r="U2799" t="n">
        <v>0</v>
      </c>
      <c r="V2799" s="2" t="inlineStr"/>
    </row>
    <row r="2800" ht="15" customHeight="1">
      <c r="A2800" t="inlineStr">
        <is>
          <t>A 59597-2024</t>
        </is>
      </c>
      <c r="B2800" t="inlineStr">
        <is>
          <t>avverkningsanmälan</t>
        </is>
      </c>
      <c r="C2800" t="inlineStr">
        <is>
          <t>Föryngringsavverkning</t>
        </is>
      </c>
      <c r="D2800" s="1" t="n">
        <v>45638</v>
      </c>
      <c r="E2800" s="1" t="n">
        <v>46309</v>
      </c>
      <c r="F2800" t="inlineStr">
        <is>
          <t>UPPSALA LÄN</t>
        </is>
      </c>
      <c r="G2800" t="inlineStr">
        <is>
          <t>TIERP</t>
        </is>
      </c>
      <c r="I2800" t="n">
        <v>0.5</v>
      </c>
      <c r="J2800" t="n">
        <v>0</v>
      </c>
      <c r="K2800" t="n">
        <v>0</v>
      </c>
      <c r="L2800" t="n">
        <v>0</v>
      </c>
      <c r="M2800" t="n">
        <v>0</v>
      </c>
      <c r="N2800" t="n">
        <v>0</v>
      </c>
      <c r="O2800" t="n">
        <v>0</v>
      </c>
      <c r="P2800" t="n">
        <v>0</v>
      </c>
      <c r="Q2800" t="n">
        <v>0</v>
      </c>
      <c r="R2800" t="n">
        <v>0</v>
      </c>
      <c r="S2800" t="n">
        <v>0</v>
      </c>
      <c r="T2800" t="n">
        <v>0</v>
      </c>
      <c r="U2800" t="n">
        <v>0</v>
      </c>
      <c r="V2800" s="2" t="inlineStr"/>
    </row>
    <row r="2801" ht="15" customHeight="1">
      <c r="A2801" t="inlineStr">
        <is>
          <t>A 29237-2026</t>
        </is>
      </c>
      <c r="B2801" t="inlineStr">
        <is>
          <t>avverkningsanmälan</t>
        </is>
      </c>
      <c r="C2801" t="inlineStr">
        <is>
          <t>Föryngringsavverkning</t>
        </is>
      </c>
      <c r="D2801" s="1" t="n">
        <v>46202</v>
      </c>
      <c r="E2801" s="1" t="n">
        <v>46309</v>
      </c>
      <c r="F2801" t="inlineStr">
        <is>
          <t>UPPSALA LÄN</t>
        </is>
      </c>
      <c r="G2801" t="inlineStr">
        <is>
          <t>TIERP</t>
        </is>
      </c>
      <c r="H2801" t="inlineStr">
        <is>
          <t>Bergvik skog öst AB</t>
        </is>
      </c>
      <c r="I2801" t="n">
        <v>2.9</v>
      </c>
      <c r="J2801" t="n">
        <v>0</v>
      </c>
      <c r="K2801" t="n">
        <v>0</v>
      </c>
      <c r="L2801" t="n">
        <v>0</v>
      </c>
      <c r="M2801" t="n">
        <v>0</v>
      </c>
      <c r="N2801" t="n">
        <v>0</v>
      </c>
      <c r="O2801" t="n">
        <v>0</v>
      </c>
      <c r="P2801" t="n">
        <v>0</v>
      </c>
      <c r="Q2801" t="n">
        <v>0</v>
      </c>
      <c r="R2801" t="n">
        <v>0</v>
      </c>
      <c r="S2801" t="n">
        <v>0</v>
      </c>
      <c r="T2801" t="n">
        <v>0</v>
      </c>
      <c r="U2801" t="n">
        <v>0</v>
      </c>
      <c r="V2801" s="2" t="inlineStr"/>
    </row>
    <row r="2802" ht="15" customHeight="1">
      <c r="A2802" t="inlineStr">
        <is>
          <t>A 13356-2024</t>
        </is>
      </c>
      <c r="B2802" t="inlineStr">
        <is>
          <t>avverkningsanmälan</t>
        </is>
      </c>
      <c r="C2802" t="inlineStr">
        <is>
          <t>Föryngringsavverkning</t>
        </is>
      </c>
      <c r="D2802" s="1" t="n">
        <v>45387</v>
      </c>
      <c r="E2802" s="1" t="n">
        <v>46309</v>
      </c>
      <c r="F2802" t="inlineStr">
        <is>
          <t>UPPSALA LÄN</t>
        </is>
      </c>
      <c r="G2802" t="inlineStr">
        <is>
          <t>TIERP</t>
        </is>
      </c>
      <c r="I2802" t="n">
        <v>1.9</v>
      </c>
      <c r="J2802" t="n">
        <v>0</v>
      </c>
      <c r="K2802" t="n">
        <v>0</v>
      </c>
      <c r="L2802" t="n">
        <v>0</v>
      </c>
      <c r="M2802" t="n">
        <v>0</v>
      </c>
      <c r="N2802" t="n">
        <v>0</v>
      </c>
      <c r="O2802" t="n">
        <v>0</v>
      </c>
      <c r="P2802" t="n">
        <v>0</v>
      </c>
      <c r="Q2802" t="n">
        <v>0</v>
      </c>
      <c r="R2802" t="n">
        <v>0</v>
      </c>
      <c r="S2802" t="n">
        <v>0</v>
      </c>
      <c r="T2802" t="n">
        <v>0</v>
      </c>
      <c r="U2802" t="n">
        <v>0</v>
      </c>
      <c r="V2802" s="2" t="inlineStr"/>
    </row>
    <row r="2803" ht="15" customHeight="1">
      <c r="A2803" t="inlineStr">
        <is>
          <t>A 57998-2024</t>
        </is>
      </c>
      <c r="B2803" t="inlineStr">
        <is>
          <t>avverkningsanmälan</t>
        </is>
      </c>
      <c r="C2803" t="inlineStr">
        <is>
          <t>Föryngringsavverkning</t>
        </is>
      </c>
      <c r="D2803" s="1" t="n">
        <v>45631</v>
      </c>
      <c r="E2803" s="1" t="n">
        <v>46309</v>
      </c>
      <c r="F2803" t="inlineStr">
        <is>
          <t>UPPSALA LÄN</t>
        </is>
      </c>
      <c r="G2803" t="inlineStr">
        <is>
          <t>ENKÖPING</t>
        </is>
      </c>
      <c r="I2803" t="n">
        <v>8.699999999999999</v>
      </c>
      <c r="J2803" t="n">
        <v>0</v>
      </c>
      <c r="K2803" t="n">
        <v>0</v>
      </c>
      <c r="L2803" t="n">
        <v>0</v>
      </c>
      <c r="M2803" t="n">
        <v>0</v>
      </c>
      <c r="N2803" t="n">
        <v>0</v>
      </c>
      <c r="O2803" t="n">
        <v>0</v>
      </c>
      <c r="P2803" t="n">
        <v>0</v>
      </c>
      <c r="Q2803" t="n">
        <v>0</v>
      </c>
      <c r="R2803" t="n">
        <v>0</v>
      </c>
      <c r="S2803" t="n">
        <v>0</v>
      </c>
      <c r="T2803" t="n">
        <v>0</v>
      </c>
      <c r="U2803" t="n">
        <v>0</v>
      </c>
      <c r="V2803" s="2" t="inlineStr"/>
    </row>
    <row r="2804" ht="15" customHeight="1">
      <c r="A2804" t="inlineStr">
        <is>
          <t>A 49946-2022</t>
        </is>
      </c>
      <c r="B2804" t="inlineStr">
        <is>
          <t>avverkningsanmälan</t>
        </is>
      </c>
      <c r="C2804" t="inlineStr">
        <is>
          <t>Föryngringsavverkning</t>
        </is>
      </c>
      <c r="D2804" s="1" t="n">
        <v>44865</v>
      </c>
      <c r="E2804" s="1" t="n">
        <v>46309</v>
      </c>
      <c r="F2804" t="inlineStr">
        <is>
          <t>UPPSALA LÄN</t>
        </is>
      </c>
      <c r="G2804" t="inlineStr">
        <is>
          <t>TIERP</t>
        </is>
      </c>
      <c r="I2804" t="n">
        <v>1</v>
      </c>
      <c r="J2804" t="n">
        <v>0</v>
      </c>
      <c r="K2804" t="n">
        <v>0</v>
      </c>
      <c r="L2804" t="n">
        <v>0</v>
      </c>
      <c r="M2804" t="n">
        <v>0</v>
      </c>
      <c r="N2804" t="n">
        <v>0</v>
      </c>
      <c r="O2804" t="n">
        <v>0</v>
      </c>
      <c r="P2804" t="n">
        <v>0</v>
      </c>
      <c r="Q2804" t="n">
        <v>0</v>
      </c>
      <c r="R2804" t="n">
        <v>0</v>
      </c>
      <c r="S2804" t="n">
        <v>0</v>
      </c>
      <c r="T2804" t="n">
        <v>0</v>
      </c>
      <c r="U2804" t="n">
        <v>0</v>
      </c>
      <c r="V2804" s="2" t="inlineStr"/>
    </row>
    <row r="2805" ht="15" customHeight="1">
      <c r="A2805" t="inlineStr">
        <is>
          <t>A 14332-2024</t>
        </is>
      </c>
      <c r="B2805" t="inlineStr">
        <is>
          <t>avverkningsanmälan</t>
        </is>
      </c>
      <c r="C2805" t="inlineStr">
        <is>
          <t>Föryngringsavverkning</t>
        </is>
      </c>
      <c r="D2805" s="1" t="n">
        <v>45393</v>
      </c>
      <c r="E2805" s="1" t="n">
        <v>46309</v>
      </c>
      <c r="F2805" t="inlineStr">
        <is>
          <t>UPPSALA LÄN</t>
        </is>
      </c>
      <c r="G2805" t="inlineStr">
        <is>
          <t>ENKÖPING</t>
        </is>
      </c>
      <c r="I2805" t="n">
        <v>0.9</v>
      </c>
      <c r="J2805" t="n">
        <v>0</v>
      </c>
      <c r="K2805" t="n">
        <v>0</v>
      </c>
      <c r="L2805" t="n">
        <v>0</v>
      </c>
      <c r="M2805" t="n">
        <v>0</v>
      </c>
      <c r="N2805" t="n">
        <v>0</v>
      </c>
      <c r="O2805" t="n">
        <v>0</v>
      </c>
      <c r="P2805" t="n">
        <v>0</v>
      </c>
      <c r="Q2805" t="n">
        <v>0</v>
      </c>
      <c r="R2805" t="n">
        <v>0</v>
      </c>
      <c r="S2805" t="n">
        <v>0</v>
      </c>
      <c r="T2805" t="n">
        <v>0</v>
      </c>
      <c r="U2805" t="n">
        <v>0</v>
      </c>
      <c r="V2805" s="2" t="inlineStr"/>
    </row>
    <row r="2806" ht="15" customHeight="1">
      <c r="A2806" t="inlineStr">
        <is>
          <t>A 26771-2024</t>
        </is>
      </c>
      <c r="B2806" t="inlineStr">
        <is>
          <t>avverkningsanmälan</t>
        </is>
      </c>
      <c r="C2806" t="inlineStr">
        <is>
          <t>Föryngringsavverkning</t>
        </is>
      </c>
      <c r="D2806" s="1" t="n">
        <v>45470</v>
      </c>
      <c r="E2806" s="1" t="n">
        <v>46309</v>
      </c>
      <c r="F2806" t="inlineStr">
        <is>
          <t>UPPSALA LÄN</t>
        </is>
      </c>
      <c r="G2806" t="inlineStr">
        <is>
          <t>TIERP</t>
        </is>
      </c>
      <c r="I2806" t="n">
        <v>1.2</v>
      </c>
      <c r="J2806" t="n">
        <v>0</v>
      </c>
      <c r="K2806" t="n">
        <v>0</v>
      </c>
      <c r="L2806" t="n">
        <v>0</v>
      </c>
      <c r="M2806" t="n">
        <v>0</v>
      </c>
      <c r="N2806" t="n">
        <v>0</v>
      </c>
      <c r="O2806" t="n">
        <v>0</v>
      </c>
      <c r="P2806" t="n">
        <v>0</v>
      </c>
      <c r="Q2806" t="n">
        <v>0</v>
      </c>
      <c r="R2806" t="n">
        <v>0</v>
      </c>
      <c r="S2806" t="n">
        <v>0</v>
      </c>
      <c r="T2806" t="n">
        <v>0</v>
      </c>
      <c r="U2806" t="n">
        <v>0</v>
      </c>
      <c r="V2806" s="2" t="inlineStr"/>
    </row>
    <row r="2807" ht="15" customHeight="1">
      <c r="A2807" t="inlineStr">
        <is>
          <t>A 29139-2026</t>
        </is>
      </c>
      <c r="B2807" t="inlineStr">
        <is>
          <t>avverkningsanmälan</t>
        </is>
      </c>
      <c r="C2807" t="inlineStr">
        <is>
          <t>Föryngringsavverkning</t>
        </is>
      </c>
      <c r="D2807" s="1" t="n">
        <v>46202</v>
      </c>
      <c r="E2807" s="1" t="n">
        <v>46309</v>
      </c>
      <c r="F2807" t="inlineStr">
        <is>
          <t>UPPSALA LÄN</t>
        </is>
      </c>
      <c r="G2807" t="inlineStr">
        <is>
          <t>UPPSALA</t>
        </is>
      </c>
      <c r="I2807" t="n">
        <v>3.5</v>
      </c>
      <c r="J2807" t="n">
        <v>0</v>
      </c>
      <c r="K2807" t="n">
        <v>0</v>
      </c>
      <c r="L2807" t="n">
        <v>0</v>
      </c>
      <c r="M2807" t="n">
        <v>0</v>
      </c>
      <c r="N2807" t="n">
        <v>0</v>
      </c>
      <c r="O2807" t="n">
        <v>0</v>
      </c>
      <c r="P2807" t="n">
        <v>0</v>
      </c>
      <c r="Q2807" t="n">
        <v>0</v>
      </c>
      <c r="R2807" t="n">
        <v>0</v>
      </c>
      <c r="S2807" t="n">
        <v>0</v>
      </c>
      <c r="T2807" t="n">
        <v>0</v>
      </c>
      <c r="U2807" t="n">
        <v>0</v>
      </c>
      <c r="V2807" s="2" t="inlineStr"/>
    </row>
    <row r="2808" ht="15" customHeight="1">
      <c r="A2808" t="inlineStr">
        <is>
          <t>A 48486-2022</t>
        </is>
      </c>
      <c r="B2808" t="inlineStr">
        <is>
          <t>avverkningsanmälan</t>
        </is>
      </c>
      <c r="C2808" t="inlineStr">
        <is>
          <t>Föryngringsavverkning</t>
        </is>
      </c>
      <c r="D2808" s="1" t="n">
        <v>44858</v>
      </c>
      <c r="E2808" s="1" t="n">
        <v>46309</v>
      </c>
      <c r="F2808" t="inlineStr">
        <is>
          <t>UPPSALA LÄN</t>
        </is>
      </c>
      <c r="G2808" t="inlineStr">
        <is>
          <t>TIERP</t>
        </is>
      </c>
      <c r="I2808" t="n">
        <v>1.4</v>
      </c>
      <c r="J2808" t="n">
        <v>0</v>
      </c>
      <c r="K2808" t="n">
        <v>0</v>
      </c>
      <c r="L2808" t="n">
        <v>0</v>
      </c>
      <c r="M2808" t="n">
        <v>0</v>
      </c>
      <c r="N2808" t="n">
        <v>0</v>
      </c>
      <c r="O2808" t="n">
        <v>0</v>
      </c>
      <c r="P2808" t="n">
        <v>0</v>
      </c>
      <c r="Q2808" t="n">
        <v>0</v>
      </c>
      <c r="R2808" t="n">
        <v>0</v>
      </c>
      <c r="S2808" t="n">
        <v>0</v>
      </c>
      <c r="T2808" t="n">
        <v>0</v>
      </c>
      <c r="U2808" t="n">
        <v>0</v>
      </c>
      <c r="V2808" s="2" t="inlineStr"/>
    </row>
    <row r="2809" ht="15" customHeight="1">
      <c r="A2809" t="inlineStr">
        <is>
          <t>A 33601-2024</t>
        </is>
      </c>
      <c r="B2809" t="inlineStr">
        <is>
          <t>avverkningsanmälan</t>
        </is>
      </c>
      <c r="C2809" t="inlineStr">
        <is>
          <t>Föryngringsavverkning</t>
        </is>
      </c>
      <c r="D2809" s="1" t="n">
        <v>45520</v>
      </c>
      <c r="E2809" s="1" t="n">
        <v>46309</v>
      </c>
      <c r="F2809" t="inlineStr">
        <is>
          <t>UPPSALA LÄN</t>
        </is>
      </c>
      <c r="G2809" t="inlineStr">
        <is>
          <t>ÖSTHAMMAR</t>
        </is>
      </c>
      <c r="H2809" t="inlineStr">
        <is>
          <t>Övriga Aktiebolag</t>
        </is>
      </c>
      <c r="I2809" t="n">
        <v>2.5</v>
      </c>
      <c r="J2809" t="n">
        <v>0</v>
      </c>
      <c r="K2809" t="n">
        <v>0</v>
      </c>
      <c r="L2809" t="n">
        <v>0</v>
      </c>
      <c r="M2809" t="n">
        <v>0</v>
      </c>
      <c r="N2809" t="n">
        <v>0</v>
      </c>
      <c r="O2809" t="n">
        <v>0</v>
      </c>
      <c r="P2809" t="n">
        <v>0</v>
      </c>
      <c r="Q2809" t="n">
        <v>0</v>
      </c>
      <c r="R2809" t="n">
        <v>0</v>
      </c>
      <c r="S2809" t="n">
        <v>0</v>
      </c>
      <c r="T2809" t="n">
        <v>0</v>
      </c>
      <c r="U2809" t="n">
        <v>0</v>
      </c>
      <c r="V2809" s="2" t="inlineStr"/>
    </row>
    <row r="2810" ht="15" customHeight="1">
      <c r="A2810" t="inlineStr">
        <is>
          <t>A 29363-2026</t>
        </is>
      </c>
      <c r="B2810" t="inlineStr">
        <is>
          <t>avverkningsanmälan</t>
        </is>
      </c>
      <c r="C2810" t="inlineStr">
        <is>
          <t>Föryngringsavverkning</t>
        </is>
      </c>
      <c r="D2810" s="1" t="n">
        <v>46203</v>
      </c>
      <c r="E2810" s="1" t="n">
        <v>46309</v>
      </c>
      <c r="F2810" t="inlineStr">
        <is>
          <t>UPPSALA LÄN</t>
        </is>
      </c>
      <c r="G2810" t="inlineStr">
        <is>
          <t>TIERP</t>
        </is>
      </c>
      <c r="I2810" t="n">
        <v>0.7</v>
      </c>
      <c r="J2810" t="n">
        <v>0</v>
      </c>
      <c r="K2810" t="n">
        <v>0</v>
      </c>
      <c r="L2810" t="n">
        <v>0</v>
      </c>
      <c r="M2810" t="n">
        <v>0</v>
      </c>
      <c r="N2810" t="n">
        <v>0</v>
      </c>
      <c r="O2810" t="n">
        <v>0</v>
      </c>
      <c r="P2810" t="n">
        <v>0</v>
      </c>
      <c r="Q2810" t="n">
        <v>0</v>
      </c>
      <c r="R2810" t="n">
        <v>0</v>
      </c>
      <c r="S2810" t="n">
        <v>0</v>
      </c>
      <c r="T2810" t="n">
        <v>0</v>
      </c>
      <c r="U2810" t="n">
        <v>0</v>
      </c>
      <c r="V2810" s="2" t="inlineStr"/>
    </row>
    <row r="2811" ht="15" customHeight="1">
      <c r="A2811" t="inlineStr">
        <is>
          <t>A 29361-2026</t>
        </is>
      </c>
      <c r="B2811" t="inlineStr">
        <is>
          <t>avverkningsanmälan</t>
        </is>
      </c>
      <c r="C2811" t="inlineStr">
        <is>
          <t>Föryngringsavverkning</t>
        </is>
      </c>
      <c r="D2811" s="1" t="n">
        <v>46203</v>
      </c>
      <c r="E2811" s="1" t="n">
        <v>46309</v>
      </c>
      <c r="F2811" t="inlineStr">
        <is>
          <t>UPPSALA LÄN</t>
        </is>
      </c>
      <c r="G2811" t="inlineStr">
        <is>
          <t>TIERP</t>
        </is>
      </c>
      <c r="I2811" t="n">
        <v>3</v>
      </c>
      <c r="J2811" t="n">
        <v>0</v>
      </c>
      <c r="K2811" t="n">
        <v>0</v>
      </c>
      <c r="L2811" t="n">
        <v>0</v>
      </c>
      <c r="M2811" t="n">
        <v>0</v>
      </c>
      <c r="N2811" t="n">
        <v>0</v>
      </c>
      <c r="O2811" t="n">
        <v>0</v>
      </c>
      <c r="P2811" t="n">
        <v>0</v>
      </c>
      <c r="Q2811" t="n">
        <v>0</v>
      </c>
      <c r="R2811" t="n">
        <v>0</v>
      </c>
      <c r="S2811" t="n">
        <v>0</v>
      </c>
      <c r="T2811" t="n">
        <v>0</v>
      </c>
      <c r="U2811" t="n">
        <v>0</v>
      </c>
      <c r="V2811" s="2" t="inlineStr"/>
    </row>
    <row r="2812" ht="15" customHeight="1">
      <c r="A2812" t="inlineStr">
        <is>
          <t>A 18831-2023</t>
        </is>
      </c>
      <c r="B2812" t="inlineStr">
        <is>
          <t>avverkningsanmälan</t>
        </is>
      </c>
      <c r="C2812" t="inlineStr">
        <is>
          <t>Föryngringsavverkning</t>
        </is>
      </c>
      <c r="D2812" s="1" t="n">
        <v>45044</v>
      </c>
      <c r="E2812" s="1" t="n">
        <v>46309</v>
      </c>
      <c r="F2812" t="inlineStr">
        <is>
          <t>UPPSALA LÄN</t>
        </is>
      </c>
      <c r="G2812" t="inlineStr">
        <is>
          <t>ENKÖPING</t>
        </is>
      </c>
      <c r="I2812" t="n">
        <v>4.3</v>
      </c>
      <c r="J2812" t="n">
        <v>0</v>
      </c>
      <c r="K2812" t="n">
        <v>0</v>
      </c>
      <c r="L2812" t="n">
        <v>0</v>
      </c>
      <c r="M2812" t="n">
        <v>0</v>
      </c>
      <c r="N2812" t="n">
        <v>0</v>
      </c>
      <c r="O2812" t="n">
        <v>0</v>
      </c>
      <c r="P2812" t="n">
        <v>0</v>
      </c>
      <c r="Q2812" t="n">
        <v>0</v>
      </c>
      <c r="R2812" t="n">
        <v>0</v>
      </c>
      <c r="S2812" t="n">
        <v>0</v>
      </c>
      <c r="T2812" t="n">
        <v>0</v>
      </c>
      <c r="U2812" t="n">
        <v>0</v>
      </c>
      <c r="V2812" s="2" t="inlineStr"/>
    </row>
    <row r="2813" ht="15" customHeight="1">
      <c r="A2813" t="inlineStr">
        <is>
          <t>A 25419-2022</t>
        </is>
      </c>
      <c r="B2813" t="inlineStr">
        <is>
          <t>avverkningsanmälan</t>
        </is>
      </c>
      <c r="C2813" t="inlineStr">
        <is>
          <t>Föryngringsavverkning</t>
        </is>
      </c>
      <c r="D2813" s="1" t="n">
        <v>44732</v>
      </c>
      <c r="E2813" s="1" t="n">
        <v>46309</v>
      </c>
      <c r="F2813" t="inlineStr">
        <is>
          <t>UPPSALA LÄN</t>
        </is>
      </c>
      <c r="G2813" t="inlineStr">
        <is>
          <t>HEBY</t>
        </is>
      </c>
      <c r="I2813" t="n">
        <v>1.2</v>
      </c>
      <c r="J2813" t="n">
        <v>0</v>
      </c>
      <c r="K2813" t="n">
        <v>0</v>
      </c>
      <c r="L2813" t="n">
        <v>0</v>
      </c>
      <c r="M2813" t="n">
        <v>0</v>
      </c>
      <c r="N2813" t="n">
        <v>0</v>
      </c>
      <c r="O2813" t="n">
        <v>0</v>
      </c>
      <c r="P2813" t="n">
        <v>0</v>
      </c>
      <c r="Q2813" t="n">
        <v>0</v>
      </c>
      <c r="R2813" t="n">
        <v>0</v>
      </c>
      <c r="S2813" t="n">
        <v>0</v>
      </c>
      <c r="T2813" t="n">
        <v>0</v>
      </c>
      <c r="U2813" t="n">
        <v>0</v>
      </c>
      <c r="V2813" s="2" t="inlineStr"/>
    </row>
    <row r="2814" ht="15" customHeight="1">
      <c r="A2814" t="inlineStr">
        <is>
          <t>A 29816-2026</t>
        </is>
      </c>
      <c r="B2814" t="inlineStr">
        <is>
          <t>avverkningsanmälan</t>
        </is>
      </c>
      <c r="C2814" t="inlineStr">
        <is>
          <t>Föryngringsavverkning</t>
        </is>
      </c>
      <c r="D2814" s="1" t="n">
        <v>46205</v>
      </c>
      <c r="E2814" s="1" t="n">
        <v>46309</v>
      </c>
      <c r="F2814" t="inlineStr">
        <is>
          <t>UPPSALA LÄN</t>
        </is>
      </c>
      <c r="G2814" t="inlineStr">
        <is>
          <t>HEBY</t>
        </is>
      </c>
      <c r="H2814" t="inlineStr">
        <is>
          <t>Kyrkan</t>
        </is>
      </c>
      <c r="I2814" t="n">
        <v>0.7</v>
      </c>
      <c r="J2814" t="n">
        <v>0</v>
      </c>
      <c r="K2814" t="n">
        <v>0</v>
      </c>
      <c r="L2814" t="n">
        <v>0</v>
      </c>
      <c r="M2814" t="n">
        <v>0</v>
      </c>
      <c r="N2814" t="n">
        <v>0</v>
      </c>
      <c r="O2814" t="n">
        <v>0</v>
      </c>
      <c r="P2814" t="n">
        <v>0</v>
      </c>
      <c r="Q2814" t="n">
        <v>0</v>
      </c>
      <c r="R2814" t="n">
        <v>0</v>
      </c>
      <c r="S2814" t="n">
        <v>0</v>
      </c>
      <c r="T2814" t="n">
        <v>0</v>
      </c>
      <c r="U2814" t="n">
        <v>0</v>
      </c>
      <c r="V2814" s="2" t="inlineStr"/>
    </row>
    <row r="2815" ht="15" customHeight="1">
      <c r="A2815" t="inlineStr">
        <is>
          <t>A 50037-2024</t>
        </is>
      </c>
      <c r="B2815" t="inlineStr">
        <is>
          <t>avverkningsanmälan</t>
        </is>
      </c>
      <c r="C2815" t="inlineStr">
        <is>
          <t>Föryngringsavverkning</t>
        </is>
      </c>
      <c r="D2815" s="1" t="n">
        <v>45599</v>
      </c>
      <c r="E2815" s="1" t="n">
        <v>46309</v>
      </c>
      <c r="F2815" t="inlineStr">
        <is>
          <t>UPPSALA LÄN</t>
        </is>
      </c>
      <c r="G2815" t="inlineStr">
        <is>
          <t>UPPSALA</t>
        </is>
      </c>
      <c r="I2815" t="n">
        <v>13.7</v>
      </c>
      <c r="J2815" t="n">
        <v>0</v>
      </c>
      <c r="K2815" t="n">
        <v>0</v>
      </c>
      <c r="L2815" t="n">
        <v>0</v>
      </c>
      <c r="M2815" t="n">
        <v>0</v>
      </c>
      <c r="N2815" t="n">
        <v>0</v>
      </c>
      <c r="O2815" t="n">
        <v>0</v>
      </c>
      <c r="P2815" t="n">
        <v>0</v>
      </c>
      <c r="Q2815" t="n">
        <v>0</v>
      </c>
      <c r="R2815" t="n">
        <v>0</v>
      </c>
      <c r="S2815" t="n">
        <v>0</v>
      </c>
      <c r="T2815" t="n">
        <v>0</v>
      </c>
      <c r="U2815" t="n">
        <v>0</v>
      </c>
      <c r="V2815" s="2" t="inlineStr"/>
    </row>
    <row r="2816" ht="15" customHeight="1">
      <c r="A2816" t="inlineStr">
        <is>
          <t>A 9820-2023</t>
        </is>
      </c>
      <c r="B2816" t="inlineStr">
        <is>
          <t>avverkningsanmälan</t>
        </is>
      </c>
      <c r="C2816" t="inlineStr">
        <is>
          <t>Föryngringsavverkning</t>
        </is>
      </c>
      <c r="D2816" s="1" t="n">
        <v>44984</v>
      </c>
      <c r="E2816" s="1" t="n">
        <v>46309</v>
      </c>
      <c r="F2816" t="inlineStr">
        <is>
          <t>UPPSALA LÄN</t>
        </is>
      </c>
      <c r="G2816" t="inlineStr">
        <is>
          <t>UPPSALA</t>
        </is>
      </c>
      <c r="H2816" t="inlineStr">
        <is>
          <t>Kyrkan</t>
        </is>
      </c>
      <c r="I2816" t="n">
        <v>2</v>
      </c>
      <c r="J2816" t="n">
        <v>0</v>
      </c>
      <c r="K2816" t="n">
        <v>0</v>
      </c>
      <c r="L2816" t="n">
        <v>0</v>
      </c>
      <c r="M2816" t="n">
        <v>0</v>
      </c>
      <c r="N2816" t="n">
        <v>0</v>
      </c>
      <c r="O2816" t="n">
        <v>0</v>
      </c>
      <c r="P2816" t="n">
        <v>0</v>
      </c>
      <c r="Q2816" t="n">
        <v>0</v>
      </c>
      <c r="R2816" t="n">
        <v>0</v>
      </c>
      <c r="S2816" t="n">
        <v>0</v>
      </c>
      <c r="T2816" t="n">
        <v>0</v>
      </c>
      <c r="U2816" t="n">
        <v>0</v>
      </c>
      <c r="V2816" s="2" t="inlineStr"/>
    </row>
    <row r="2817" ht="15" customHeight="1">
      <c r="A2817" t="inlineStr">
        <is>
          <t>A 30755-2024</t>
        </is>
      </c>
      <c r="B2817" t="inlineStr">
        <is>
          <t>avverkningsanmälan</t>
        </is>
      </c>
      <c r="C2817" t="inlineStr">
        <is>
          <t>Föryngringsavverkning</t>
        </is>
      </c>
      <c r="D2817" s="1" t="n">
        <v>45496</v>
      </c>
      <c r="E2817" s="1" t="n">
        <v>46309</v>
      </c>
      <c r="F2817" t="inlineStr">
        <is>
          <t>UPPSALA LÄN</t>
        </is>
      </c>
      <c r="G2817" t="inlineStr">
        <is>
          <t>ÖSTHAMMAR</t>
        </is>
      </c>
      <c r="H2817" t="inlineStr">
        <is>
          <t>Bergvik skog öst AB</t>
        </is>
      </c>
      <c r="I2817" t="n">
        <v>0.6</v>
      </c>
      <c r="J2817" t="n">
        <v>0</v>
      </c>
      <c r="K2817" t="n">
        <v>0</v>
      </c>
      <c r="L2817" t="n">
        <v>0</v>
      </c>
      <c r="M2817" t="n">
        <v>0</v>
      </c>
      <c r="N2817" t="n">
        <v>0</v>
      </c>
      <c r="O2817" t="n">
        <v>0</v>
      </c>
      <c r="P2817" t="n">
        <v>0</v>
      </c>
      <c r="Q2817" t="n">
        <v>0</v>
      </c>
      <c r="R2817" t="n">
        <v>0</v>
      </c>
      <c r="S2817" t="n">
        <v>0</v>
      </c>
      <c r="T2817" t="n">
        <v>0</v>
      </c>
      <c r="U2817" t="n">
        <v>0</v>
      </c>
      <c r="V2817" s="2" t="inlineStr"/>
    </row>
    <row r="2818" ht="15" customHeight="1">
      <c r="A2818" t="inlineStr">
        <is>
          <t>A 29649-2026</t>
        </is>
      </c>
      <c r="B2818" t="inlineStr">
        <is>
          <t>avverkningsanmälan</t>
        </is>
      </c>
      <c r="C2818" t="inlineStr">
        <is>
          <t>Föryngringsavverkning</t>
        </is>
      </c>
      <c r="D2818" s="1" t="n">
        <v>46204</v>
      </c>
      <c r="E2818" s="1" t="n">
        <v>46309</v>
      </c>
      <c r="F2818" t="inlineStr">
        <is>
          <t>UPPSALA LÄN</t>
        </is>
      </c>
      <c r="G2818" t="inlineStr">
        <is>
          <t>TIERP</t>
        </is>
      </c>
      <c r="H2818" t="inlineStr">
        <is>
          <t>Bergvik skog öst AB</t>
        </is>
      </c>
      <c r="I2818" t="n">
        <v>7.3</v>
      </c>
      <c r="J2818" t="n">
        <v>0</v>
      </c>
      <c r="K2818" t="n">
        <v>0</v>
      </c>
      <c r="L2818" t="n">
        <v>0</v>
      </c>
      <c r="M2818" t="n">
        <v>0</v>
      </c>
      <c r="N2818" t="n">
        <v>0</v>
      </c>
      <c r="O2818" t="n">
        <v>0</v>
      </c>
      <c r="P2818" t="n">
        <v>0</v>
      </c>
      <c r="Q2818" t="n">
        <v>0</v>
      </c>
      <c r="R2818" t="n">
        <v>0</v>
      </c>
      <c r="S2818" t="n">
        <v>0</v>
      </c>
      <c r="T2818" t="n">
        <v>0</v>
      </c>
      <c r="U2818" t="n">
        <v>0</v>
      </c>
      <c r="V2818" s="2" t="inlineStr"/>
    </row>
    <row r="2819" ht="15" customHeight="1">
      <c r="A2819" t="inlineStr">
        <is>
          <t>A 46408-2024</t>
        </is>
      </c>
      <c r="B2819" t="inlineStr">
        <is>
          <t>avverkningsanmälan</t>
        </is>
      </c>
      <c r="C2819" t="inlineStr">
        <is>
          <t>Föryngringsavverkning</t>
        </is>
      </c>
      <c r="D2819" s="1" t="n">
        <v>45582</v>
      </c>
      <c r="E2819" s="1" t="n">
        <v>46309</v>
      </c>
      <c r="F2819" t="inlineStr">
        <is>
          <t>UPPSALA LÄN</t>
        </is>
      </c>
      <c r="G2819" t="inlineStr">
        <is>
          <t>HEBY</t>
        </is>
      </c>
      <c r="H2819" t="inlineStr">
        <is>
          <t>Bergvik skog väst AB</t>
        </is>
      </c>
      <c r="I2819" t="n">
        <v>2.1</v>
      </c>
      <c r="J2819" t="n">
        <v>0</v>
      </c>
      <c r="K2819" t="n">
        <v>0</v>
      </c>
      <c r="L2819" t="n">
        <v>0</v>
      </c>
      <c r="M2819" t="n">
        <v>0</v>
      </c>
      <c r="N2819" t="n">
        <v>0</v>
      </c>
      <c r="O2819" t="n">
        <v>0</v>
      </c>
      <c r="P2819" t="n">
        <v>0</v>
      </c>
      <c r="Q2819" t="n">
        <v>0</v>
      </c>
      <c r="R2819" t="n">
        <v>0</v>
      </c>
      <c r="S2819" t="n">
        <v>0</v>
      </c>
      <c r="T2819" t="n">
        <v>0</v>
      </c>
      <c r="U2819" t="n">
        <v>0</v>
      </c>
      <c r="V2819" s="2" t="inlineStr"/>
    </row>
    <row r="2820" ht="15" customHeight="1">
      <c r="A2820" t="inlineStr">
        <is>
          <t>A 62132-2022</t>
        </is>
      </c>
      <c r="B2820" t="inlineStr">
        <is>
          <t>avverkningsanmälan</t>
        </is>
      </c>
      <c r="C2820" t="inlineStr">
        <is>
          <t>Föryngringsavverkning</t>
        </is>
      </c>
      <c r="D2820" s="1" t="n">
        <v>44914</v>
      </c>
      <c r="E2820" s="1" t="n">
        <v>46309</v>
      </c>
      <c r="F2820" t="inlineStr">
        <is>
          <t>UPPSALA LÄN</t>
        </is>
      </c>
      <c r="G2820" t="inlineStr">
        <is>
          <t>HEBY</t>
        </is>
      </c>
      <c r="I2820" t="n">
        <v>4.6</v>
      </c>
      <c r="J2820" t="n">
        <v>0</v>
      </c>
      <c r="K2820" t="n">
        <v>0</v>
      </c>
      <c r="L2820" t="n">
        <v>0</v>
      </c>
      <c r="M2820" t="n">
        <v>0</v>
      </c>
      <c r="N2820" t="n">
        <v>0</v>
      </c>
      <c r="O2820" t="n">
        <v>0</v>
      </c>
      <c r="P2820" t="n">
        <v>0</v>
      </c>
      <c r="Q2820" t="n">
        <v>0</v>
      </c>
      <c r="R2820" t="n">
        <v>0</v>
      </c>
      <c r="S2820" t="n">
        <v>0</v>
      </c>
      <c r="T2820" t="n">
        <v>0</v>
      </c>
      <c r="U2820" t="n">
        <v>0</v>
      </c>
      <c r="V2820" s="2" t="inlineStr"/>
    </row>
    <row r="2821" ht="15" customHeight="1">
      <c r="A2821" t="inlineStr">
        <is>
          <t>A 13799-2024</t>
        </is>
      </c>
      <c r="B2821" t="inlineStr">
        <is>
          <t>avverkningsanmälan</t>
        </is>
      </c>
      <c r="C2821" t="inlineStr">
        <is>
          <t>Föryngringsavverkning</t>
        </is>
      </c>
      <c r="D2821" s="1" t="n">
        <v>45391</v>
      </c>
      <c r="E2821" s="1" t="n">
        <v>46309</v>
      </c>
      <c r="F2821" t="inlineStr">
        <is>
          <t>UPPSALA LÄN</t>
        </is>
      </c>
      <c r="G2821" t="inlineStr">
        <is>
          <t>UPPSALA</t>
        </is>
      </c>
      <c r="I2821" t="n">
        <v>1.9</v>
      </c>
      <c r="J2821" t="n">
        <v>0</v>
      </c>
      <c r="K2821" t="n">
        <v>0</v>
      </c>
      <c r="L2821" t="n">
        <v>0</v>
      </c>
      <c r="M2821" t="n">
        <v>0</v>
      </c>
      <c r="N2821" t="n">
        <v>0</v>
      </c>
      <c r="O2821" t="n">
        <v>0</v>
      </c>
      <c r="P2821" t="n">
        <v>0</v>
      </c>
      <c r="Q2821" t="n">
        <v>0</v>
      </c>
      <c r="R2821" t="n">
        <v>0</v>
      </c>
      <c r="S2821" t="n">
        <v>0</v>
      </c>
      <c r="T2821" t="n">
        <v>0</v>
      </c>
      <c r="U2821" t="n">
        <v>0</v>
      </c>
      <c r="V2821" s="2" t="inlineStr"/>
    </row>
    <row r="2822" ht="15" customHeight="1">
      <c r="A2822" t="inlineStr">
        <is>
          <t>A 33581-2023</t>
        </is>
      </c>
      <c r="B2822" t="inlineStr">
        <is>
          <t>avverkningsanmälan</t>
        </is>
      </c>
      <c r="C2822" t="inlineStr">
        <is>
          <t>Föryngringsavverkning</t>
        </is>
      </c>
      <c r="D2822" s="1" t="n">
        <v>45131</v>
      </c>
      <c r="E2822" s="1" t="n">
        <v>46309</v>
      </c>
      <c r="F2822" t="inlineStr">
        <is>
          <t>UPPSALA LÄN</t>
        </is>
      </c>
      <c r="G2822" t="inlineStr">
        <is>
          <t>ENKÖPING</t>
        </is>
      </c>
      <c r="I2822" t="n">
        <v>3.5</v>
      </c>
      <c r="J2822" t="n">
        <v>0</v>
      </c>
      <c r="K2822" t="n">
        <v>0</v>
      </c>
      <c r="L2822" t="n">
        <v>0</v>
      </c>
      <c r="M2822" t="n">
        <v>0</v>
      </c>
      <c r="N2822" t="n">
        <v>0</v>
      </c>
      <c r="O2822" t="n">
        <v>0</v>
      </c>
      <c r="P2822" t="n">
        <v>0</v>
      </c>
      <c r="Q2822" t="n">
        <v>0</v>
      </c>
      <c r="R2822" t="n">
        <v>0</v>
      </c>
      <c r="S2822" t="n">
        <v>0</v>
      </c>
      <c r="T2822" t="n">
        <v>0</v>
      </c>
      <c r="U2822" t="n">
        <v>0</v>
      </c>
      <c r="V2822" s="2" t="inlineStr"/>
    </row>
    <row r="2823" ht="15" customHeight="1">
      <c r="A2823" t="inlineStr">
        <is>
          <t>A 29826-2026</t>
        </is>
      </c>
      <c r="B2823" t="inlineStr">
        <is>
          <t>avverkningsanmälan</t>
        </is>
      </c>
      <c r="C2823" t="inlineStr">
        <is>
          <t>Föryngringsavverkning</t>
        </is>
      </c>
      <c r="D2823" s="1" t="n">
        <v>46205</v>
      </c>
      <c r="E2823" s="1" t="n">
        <v>46309</v>
      </c>
      <c r="F2823" t="inlineStr">
        <is>
          <t>UPPSALA LÄN</t>
        </is>
      </c>
      <c r="G2823" t="inlineStr">
        <is>
          <t>HEBY</t>
        </is>
      </c>
      <c r="H2823" t="inlineStr">
        <is>
          <t>Kyrkan</t>
        </is>
      </c>
      <c r="I2823" t="n">
        <v>3.1</v>
      </c>
      <c r="J2823" t="n">
        <v>0</v>
      </c>
      <c r="K2823" t="n">
        <v>0</v>
      </c>
      <c r="L2823" t="n">
        <v>0</v>
      </c>
      <c r="M2823" t="n">
        <v>0</v>
      </c>
      <c r="N2823" t="n">
        <v>0</v>
      </c>
      <c r="O2823" t="n">
        <v>0</v>
      </c>
      <c r="P2823" t="n">
        <v>0</v>
      </c>
      <c r="Q2823" t="n">
        <v>0</v>
      </c>
      <c r="R2823" t="n">
        <v>0</v>
      </c>
      <c r="S2823" t="n">
        <v>0</v>
      </c>
      <c r="T2823" t="n">
        <v>0</v>
      </c>
      <c r="U2823" t="n">
        <v>0</v>
      </c>
      <c r="V2823" s="2" t="inlineStr"/>
    </row>
    <row r="2824" ht="15" customHeight="1">
      <c r="A2824" t="inlineStr">
        <is>
          <t>A 30427-2026</t>
        </is>
      </c>
      <c r="B2824" t="inlineStr">
        <is>
          <t>avverkningsanmälan</t>
        </is>
      </c>
      <c r="C2824" t="inlineStr">
        <is>
          <t>Föryngringsavverkning</t>
        </is>
      </c>
      <c r="D2824" s="1" t="n">
        <v>46209</v>
      </c>
      <c r="E2824" s="1" t="n">
        <v>46309</v>
      </c>
      <c r="F2824" t="inlineStr">
        <is>
          <t>UPPSALA LÄN</t>
        </is>
      </c>
      <c r="G2824" t="inlineStr">
        <is>
          <t>ÖSTHAMMAR</t>
        </is>
      </c>
      <c r="H2824" t="inlineStr">
        <is>
          <t>Bergvik skog öst AB</t>
        </is>
      </c>
      <c r="I2824" t="n">
        <v>1.3</v>
      </c>
      <c r="J2824" t="n">
        <v>0</v>
      </c>
      <c r="K2824" t="n">
        <v>0</v>
      </c>
      <c r="L2824" t="n">
        <v>0</v>
      </c>
      <c r="M2824" t="n">
        <v>0</v>
      </c>
      <c r="N2824" t="n">
        <v>0</v>
      </c>
      <c r="O2824" t="n">
        <v>0</v>
      </c>
      <c r="P2824" t="n">
        <v>0</v>
      </c>
      <c r="Q2824" t="n">
        <v>0</v>
      </c>
      <c r="R2824" t="n">
        <v>0</v>
      </c>
      <c r="S2824" t="n">
        <v>0</v>
      </c>
      <c r="T2824" t="n">
        <v>0</v>
      </c>
      <c r="U2824" t="n">
        <v>0</v>
      </c>
      <c r="V2824" s="2" t="inlineStr"/>
    </row>
    <row r="2825" ht="15" customHeight="1">
      <c r="A2825" t="inlineStr">
        <is>
          <t>A 30429-2026</t>
        </is>
      </c>
      <c r="B2825" t="inlineStr">
        <is>
          <t>avverkningsanmälan</t>
        </is>
      </c>
      <c r="C2825" t="inlineStr">
        <is>
          <t>Föryngringsavverkning</t>
        </is>
      </c>
      <c r="D2825" s="1" t="n">
        <v>46209</v>
      </c>
      <c r="E2825" s="1" t="n">
        <v>46309</v>
      </c>
      <c r="F2825" t="inlineStr">
        <is>
          <t>UPPSALA LÄN</t>
        </is>
      </c>
      <c r="G2825" t="inlineStr">
        <is>
          <t>ÖSTHAMMAR</t>
        </is>
      </c>
      <c r="H2825" t="inlineStr">
        <is>
          <t>Bergvik skog öst AB</t>
        </is>
      </c>
      <c r="I2825" t="n">
        <v>0.3</v>
      </c>
      <c r="J2825" t="n">
        <v>0</v>
      </c>
      <c r="K2825" t="n">
        <v>0</v>
      </c>
      <c r="L2825" t="n">
        <v>0</v>
      </c>
      <c r="M2825" t="n">
        <v>0</v>
      </c>
      <c r="N2825" t="n">
        <v>0</v>
      </c>
      <c r="O2825" t="n">
        <v>0</v>
      </c>
      <c r="P2825" t="n">
        <v>0</v>
      </c>
      <c r="Q2825" t="n">
        <v>0</v>
      </c>
      <c r="R2825" t="n">
        <v>0</v>
      </c>
      <c r="S2825" t="n">
        <v>0</v>
      </c>
      <c r="T2825" t="n">
        <v>0</v>
      </c>
      <c r="U2825" t="n">
        <v>0</v>
      </c>
      <c r="V2825" s="2" t="inlineStr"/>
    </row>
    <row r="2826" ht="15" customHeight="1">
      <c r="A2826" t="inlineStr">
        <is>
          <t>A 33760-2024</t>
        </is>
      </c>
      <c r="B2826" t="inlineStr">
        <is>
          <t>avverkningsanmälan</t>
        </is>
      </c>
      <c r="C2826" t="inlineStr">
        <is>
          <t>Föryngringsavverkning</t>
        </is>
      </c>
      <c r="D2826" s="1" t="n">
        <v>45520</v>
      </c>
      <c r="E2826" s="1" t="n">
        <v>46309</v>
      </c>
      <c r="F2826" t="inlineStr">
        <is>
          <t>UPPSALA LÄN</t>
        </is>
      </c>
      <c r="G2826" t="inlineStr">
        <is>
          <t>ÖSTHAMMAR</t>
        </is>
      </c>
      <c r="H2826" t="inlineStr">
        <is>
          <t>Övriga Aktiebolag</t>
        </is>
      </c>
      <c r="I2826" t="n">
        <v>0.7</v>
      </c>
      <c r="J2826" t="n">
        <v>0</v>
      </c>
      <c r="K2826" t="n">
        <v>0</v>
      </c>
      <c r="L2826" t="n">
        <v>0</v>
      </c>
      <c r="M2826" t="n">
        <v>0</v>
      </c>
      <c r="N2826" t="n">
        <v>0</v>
      </c>
      <c r="O2826" t="n">
        <v>0</v>
      </c>
      <c r="P2826" t="n">
        <v>0</v>
      </c>
      <c r="Q2826" t="n">
        <v>0</v>
      </c>
      <c r="R2826" t="n">
        <v>0</v>
      </c>
      <c r="S2826" t="n">
        <v>0</v>
      </c>
      <c r="T2826" t="n">
        <v>0</v>
      </c>
      <c r="U2826" t="n">
        <v>0</v>
      </c>
      <c r="V2826" s="2" t="inlineStr"/>
    </row>
    <row r="2827" ht="15" customHeight="1">
      <c r="A2827" t="inlineStr">
        <is>
          <t>A 33816-2024</t>
        </is>
      </c>
      <c r="B2827" t="inlineStr">
        <is>
          <t>avverkningsanmälan</t>
        </is>
      </c>
      <c r="C2827" t="inlineStr">
        <is>
          <t>Föryngringsavverkning</t>
        </is>
      </c>
      <c r="D2827" s="1" t="n">
        <v>45520</v>
      </c>
      <c r="E2827" s="1" t="n">
        <v>46309</v>
      </c>
      <c r="F2827" t="inlineStr">
        <is>
          <t>UPPSALA LÄN</t>
        </is>
      </c>
      <c r="G2827" t="inlineStr">
        <is>
          <t>UPPSALA</t>
        </is>
      </c>
      <c r="I2827" t="n">
        <v>1.1</v>
      </c>
      <c r="J2827" t="n">
        <v>0</v>
      </c>
      <c r="K2827" t="n">
        <v>0</v>
      </c>
      <c r="L2827" t="n">
        <v>0</v>
      </c>
      <c r="M2827" t="n">
        <v>0</v>
      </c>
      <c r="N2827" t="n">
        <v>0</v>
      </c>
      <c r="O2827" t="n">
        <v>0</v>
      </c>
      <c r="P2827" t="n">
        <v>0</v>
      </c>
      <c r="Q2827" t="n">
        <v>0</v>
      </c>
      <c r="R2827" t="n">
        <v>0</v>
      </c>
      <c r="S2827" t="n">
        <v>0</v>
      </c>
      <c r="T2827" t="n">
        <v>0</v>
      </c>
      <c r="U2827" t="n">
        <v>0</v>
      </c>
      <c r="V2827" s="2" t="inlineStr"/>
    </row>
    <row r="2828" ht="15" customHeight="1">
      <c r="A2828" t="inlineStr">
        <is>
          <t>A 2927-2022</t>
        </is>
      </c>
      <c r="B2828" t="inlineStr">
        <is>
          <t>avverkningsanmälan</t>
        </is>
      </c>
      <c r="C2828" t="inlineStr">
        <is>
          <t>Föryngringsavverkning</t>
        </is>
      </c>
      <c r="D2828" s="1" t="n">
        <v>44581</v>
      </c>
      <c r="E2828" s="1" t="n">
        <v>46309</v>
      </c>
      <c r="F2828" t="inlineStr">
        <is>
          <t>UPPSALA LÄN</t>
        </is>
      </c>
      <c r="G2828" t="inlineStr">
        <is>
          <t>UPPSALA</t>
        </is>
      </c>
      <c r="H2828" t="inlineStr">
        <is>
          <t>Holmen skog AB</t>
        </is>
      </c>
      <c r="I2828" t="n">
        <v>1.3</v>
      </c>
      <c r="J2828" t="n">
        <v>0</v>
      </c>
      <c r="K2828" t="n">
        <v>0</v>
      </c>
      <c r="L2828" t="n">
        <v>0</v>
      </c>
      <c r="M2828" t="n">
        <v>0</v>
      </c>
      <c r="N2828" t="n">
        <v>0</v>
      </c>
      <c r="O2828" t="n">
        <v>0</v>
      </c>
      <c r="P2828" t="n">
        <v>0</v>
      </c>
      <c r="Q2828" t="n">
        <v>0</v>
      </c>
      <c r="R2828" t="n">
        <v>0</v>
      </c>
      <c r="S2828" t="n">
        <v>0</v>
      </c>
      <c r="T2828" t="n">
        <v>0</v>
      </c>
      <c r="U2828" t="n">
        <v>0</v>
      </c>
      <c r="V2828" s="2" t="inlineStr"/>
    </row>
    <row r="2829" ht="15" customHeight="1">
      <c r="A2829" t="inlineStr">
        <is>
          <t>A 30244-2026</t>
        </is>
      </c>
      <c r="B2829" t="inlineStr">
        <is>
          <t>avverkningsanmälan</t>
        </is>
      </c>
      <c r="C2829" t="inlineStr">
        <is>
          <t>Föryngringsavverkning</t>
        </is>
      </c>
      <c r="D2829" s="1" t="n">
        <v>46206</v>
      </c>
      <c r="E2829" s="1" t="n">
        <v>46309</v>
      </c>
      <c r="F2829" t="inlineStr">
        <is>
          <t>UPPSALA LÄN</t>
        </is>
      </c>
      <c r="G2829" t="inlineStr">
        <is>
          <t>UPPSALA</t>
        </is>
      </c>
      <c r="H2829" t="inlineStr">
        <is>
          <t>Övriga Aktiebolag</t>
        </is>
      </c>
      <c r="I2829" t="n">
        <v>0.9</v>
      </c>
      <c r="J2829" t="n">
        <v>0</v>
      </c>
      <c r="K2829" t="n">
        <v>0</v>
      </c>
      <c r="L2829" t="n">
        <v>0</v>
      </c>
      <c r="M2829" t="n">
        <v>0</v>
      </c>
      <c r="N2829" t="n">
        <v>0</v>
      </c>
      <c r="O2829" t="n">
        <v>0</v>
      </c>
      <c r="P2829" t="n">
        <v>0</v>
      </c>
      <c r="Q2829" t="n">
        <v>0</v>
      </c>
      <c r="R2829" t="n">
        <v>0</v>
      </c>
      <c r="S2829" t="n">
        <v>0</v>
      </c>
      <c r="T2829" t="n">
        <v>0</v>
      </c>
      <c r="U2829" t="n">
        <v>0</v>
      </c>
      <c r="V2829" s="2" t="inlineStr"/>
    </row>
    <row r="2830" ht="15" customHeight="1">
      <c r="A2830" t="inlineStr">
        <is>
          <t>A 733-2022</t>
        </is>
      </c>
      <c r="B2830" t="inlineStr">
        <is>
          <t>avverkningsanmälan</t>
        </is>
      </c>
      <c r="C2830" t="inlineStr">
        <is>
          <t>Föryngringsavverkning</t>
        </is>
      </c>
      <c r="D2830" s="1" t="n">
        <v>44568</v>
      </c>
      <c r="E2830" s="1" t="n">
        <v>46309</v>
      </c>
      <c r="F2830" t="inlineStr">
        <is>
          <t>UPPSALA LÄN</t>
        </is>
      </c>
      <c r="G2830" t="inlineStr">
        <is>
          <t>UPPSALA</t>
        </is>
      </c>
      <c r="H2830" t="inlineStr">
        <is>
          <t>Holmen skog AB</t>
        </is>
      </c>
      <c r="I2830" t="n">
        <v>1.2</v>
      </c>
      <c r="J2830" t="n">
        <v>0</v>
      </c>
      <c r="K2830" t="n">
        <v>0</v>
      </c>
      <c r="L2830" t="n">
        <v>0</v>
      </c>
      <c r="M2830" t="n">
        <v>0</v>
      </c>
      <c r="N2830" t="n">
        <v>0</v>
      </c>
      <c r="O2830" t="n">
        <v>0</v>
      </c>
      <c r="P2830" t="n">
        <v>0</v>
      </c>
      <c r="Q2830" t="n">
        <v>0</v>
      </c>
      <c r="R2830" t="n">
        <v>0</v>
      </c>
      <c r="S2830" t="n">
        <v>0</v>
      </c>
      <c r="T2830" t="n">
        <v>0</v>
      </c>
      <c r="U2830" t="n">
        <v>0</v>
      </c>
      <c r="V2830" s="2" t="inlineStr"/>
    </row>
    <row r="2831" ht="15" customHeight="1">
      <c r="A2831" t="inlineStr">
        <is>
          <t>A 3725-2022</t>
        </is>
      </c>
      <c r="B2831" t="inlineStr">
        <is>
          <t>avverkningsanmälan</t>
        </is>
      </c>
      <c r="C2831" t="inlineStr">
        <is>
          <t>Avverkning för annat ändamål</t>
        </is>
      </c>
      <c r="D2831" s="1" t="n">
        <v>44586</v>
      </c>
      <c r="E2831" s="1" t="n">
        <v>46309</v>
      </c>
      <c r="F2831" t="inlineStr">
        <is>
          <t>UPPSALA LÄN</t>
        </is>
      </c>
      <c r="G2831" t="inlineStr">
        <is>
          <t>ÖSTHAMMAR</t>
        </is>
      </c>
      <c r="I2831" t="n">
        <v>2</v>
      </c>
      <c r="J2831" t="n">
        <v>0</v>
      </c>
      <c r="K2831" t="n">
        <v>0</v>
      </c>
      <c r="L2831" t="n">
        <v>0</v>
      </c>
      <c r="M2831" t="n">
        <v>0</v>
      </c>
      <c r="N2831" t="n">
        <v>0</v>
      </c>
      <c r="O2831" t="n">
        <v>0</v>
      </c>
      <c r="P2831" t="n">
        <v>0</v>
      </c>
      <c r="Q2831" t="n">
        <v>0</v>
      </c>
      <c r="R2831" t="n">
        <v>0</v>
      </c>
      <c r="S2831" t="n">
        <v>0</v>
      </c>
      <c r="T2831" t="n">
        <v>0</v>
      </c>
      <c r="U2831" t="n">
        <v>0</v>
      </c>
      <c r="V2831" s="2" t="inlineStr"/>
    </row>
    <row r="2832" ht="15" customHeight="1">
      <c r="A2832" t="inlineStr">
        <is>
          <t>A 37115-2024</t>
        </is>
      </c>
      <c r="B2832" t="inlineStr">
        <is>
          <t>avverkningsanmälan</t>
        </is>
      </c>
      <c r="C2832" t="inlineStr">
        <is>
          <t>Föryngringsavverkning</t>
        </is>
      </c>
      <c r="D2832" s="1" t="n">
        <v>45539</v>
      </c>
      <c r="E2832" s="1" t="n">
        <v>46309</v>
      </c>
      <c r="F2832" t="inlineStr">
        <is>
          <t>UPPSALA LÄN</t>
        </is>
      </c>
      <c r="G2832" t="inlineStr">
        <is>
          <t>ENKÖPING</t>
        </is>
      </c>
      <c r="I2832" t="n">
        <v>1.8</v>
      </c>
      <c r="J2832" t="n">
        <v>0</v>
      </c>
      <c r="K2832" t="n">
        <v>0</v>
      </c>
      <c r="L2832" t="n">
        <v>0</v>
      </c>
      <c r="M2832" t="n">
        <v>0</v>
      </c>
      <c r="N2832" t="n">
        <v>0</v>
      </c>
      <c r="O2832" t="n">
        <v>0</v>
      </c>
      <c r="P2832" t="n">
        <v>0</v>
      </c>
      <c r="Q2832" t="n">
        <v>0</v>
      </c>
      <c r="R2832" t="n">
        <v>0</v>
      </c>
      <c r="S2832" t="n">
        <v>0</v>
      </c>
      <c r="T2832" t="n">
        <v>0</v>
      </c>
      <c r="U2832" t="n">
        <v>0</v>
      </c>
      <c r="V2832" s="2" t="inlineStr"/>
    </row>
    <row r="2833" ht="15" customHeight="1">
      <c r="A2833" t="inlineStr">
        <is>
          <t>A 8006-2023</t>
        </is>
      </c>
      <c r="B2833" t="inlineStr">
        <is>
          <t>avverkningsanmälan</t>
        </is>
      </c>
      <c r="C2833" t="inlineStr">
        <is>
          <t>Föryngringsavverkning</t>
        </is>
      </c>
      <c r="D2833" s="1" t="n">
        <v>44973</v>
      </c>
      <c r="E2833" s="1" t="n">
        <v>46309</v>
      </c>
      <c r="F2833" t="inlineStr">
        <is>
          <t>UPPSALA LÄN</t>
        </is>
      </c>
      <c r="G2833" t="inlineStr">
        <is>
          <t>ÖSTHAMMAR</t>
        </is>
      </c>
      <c r="H2833" t="inlineStr">
        <is>
          <t>Bergvik skog öst AB</t>
        </is>
      </c>
      <c r="I2833" t="n">
        <v>0.6</v>
      </c>
      <c r="J2833" t="n">
        <v>0</v>
      </c>
      <c r="K2833" t="n">
        <v>0</v>
      </c>
      <c r="L2833" t="n">
        <v>0</v>
      </c>
      <c r="M2833" t="n">
        <v>0</v>
      </c>
      <c r="N2833" t="n">
        <v>0</v>
      </c>
      <c r="O2833" t="n">
        <v>0</v>
      </c>
      <c r="P2833" t="n">
        <v>0</v>
      </c>
      <c r="Q2833" t="n">
        <v>0</v>
      </c>
      <c r="R2833" t="n">
        <v>0</v>
      </c>
      <c r="S2833" t="n">
        <v>0</v>
      </c>
      <c r="T2833" t="n">
        <v>0</v>
      </c>
      <c r="U2833" t="n">
        <v>0</v>
      </c>
      <c r="V2833" s="2" t="inlineStr"/>
    </row>
    <row r="2834" ht="15" customHeight="1">
      <c r="A2834" t="inlineStr">
        <is>
          <t>A 11469-2023</t>
        </is>
      </c>
      <c r="B2834" t="inlineStr">
        <is>
          <t>avverkningsanmälan</t>
        </is>
      </c>
      <c r="C2834" t="inlineStr">
        <is>
          <t>Föryngringsavverkning</t>
        </is>
      </c>
      <c r="D2834" s="1" t="n">
        <v>44993</v>
      </c>
      <c r="E2834" s="1" t="n">
        <v>46309</v>
      </c>
      <c r="F2834" t="inlineStr">
        <is>
          <t>UPPSALA LÄN</t>
        </is>
      </c>
      <c r="G2834" t="inlineStr">
        <is>
          <t>ÖSTHAMMAR</t>
        </is>
      </c>
      <c r="H2834" t="inlineStr">
        <is>
          <t>Bergvik skog öst AB</t>
        </is>
      </c>
      <c r="I2834" t="n">
        <v>0.5</v>
      </c>
      <c r="J2834" t="n">
        <v>0</v>
      </c>
      <c r="K2834" t="n">
        <v>0</v>
      </c>
      <c r="L2834" t="n">
        <v>0</v>
      </c>
      <c r="M2834" t="n">
        <v>0</v>
      </c>
      <c r="N2834" t="n">
        <v>0</v>
      </c>
      <c r="O2834" t="n">
        <v>0</v>
      </c>
      <c r="P2834" t="n">
        <v>0</v>
      </c>
      <c r="Q2834" t="n">
        <v>0</v>
      </c>
      <c r="R2834" t="n">
        <v>0</v>
      </c>
      <c r="S2834" t="n">
        <v>0</v>
      </c>
      <c r="T2834" t="n">
        <v>0</v>
      </c>
      <c r="U2834" t="n">
        <v>0</v>
      </c>
      <c r="V2834" s="2" t="inlineStr"/>
    </row>
    <row r="2835" ht="15" customHeight="1">
      <c r="A2835" t="inlineStr">
        <is>
          <t>A 30195-2026</t>
        </is>
      </c>
      <c r="B2835" t="inlineStr">
        <is>
          <t>avverkningsanmälan</t>
        </is>
      </c>
      <c r="C2835" t="inlineStr">
        <is>
          <t>Föryngringsavverkning</t>
        </is>
      </c>
      <c r="D2835" s="1" t="n">
        <v>46206</v>
      </c>
      <c r="E2835" s="1" t="n">
        <v>46309</v>
      </c>
      <c r="F2835" t="inlineStr">
        <is>
          <t>UPPSALA LÄN</t>
        </is>
      </c>
      <c r="G2835" t="inlineStr">
        <is>
          <t>TIERP</t>
        </is>
      </c>
      <c r="H2835" t="inlineStr">
        <is>
          <t>Bergvik skog öst AB</t>
        </is>
      </c>
      <c r="I2835" t="n">
        <v>5.4</v>
      </c>
      <c r="J2835" t="n">
        <v>0</v>
      </c>
      <c r="K2835" t="n">
        <v>0</v>
      </c>
      <c r="L2835" t="n">
        <v>0</v>
      </c>
      <c r="M2835" t="n">
        <v>0</v>
      </c>
      <c r="N2835" t="n">
        <v>0</v>
      </c>
      <c r="O2835" t="n">
        <v>0</v>
      </c>
      <c r="P2835" t="n">
        <v>0</v>
      </c>
      <c r="Q2835" t="n">
        <v>0</v>
      </c>
      <c r="R2835" t="n">
        <v>0</v>
      </c>
      <c r="S2835" t="n">
        <v>0</v>
      </c>
      <c r="T2835" t="n">
        <v>0</v>
      </c>
      <c r="U2835" t="n">
        <v>0</v>
      </c>
      <c r="V2835" s="2" t="inlineStr"/>
    </row>
    <row r="2836" ht="15" customHeight="1">
      <c r="A2836" t="inlineStr">
        <is>
          <t>A 59719-2022</t>
        </is>
      </c>
      <c r="B2836" t="inlineStr">
        <is>
          <t>avverkningsanmälan</t>
        </is>
      </c>
      <c r="C2836" t="inlineStr">
        <is>
          <t>Föryngringsavverkning</t>
        </is>
      </c>
      <c r="D2836" s="1" t="n">
        <v>44908</v>
      </c>
      <c r="E2836" s="1" t="n">
        <v>46309</v>
      </c>
      <c r="F2836" t="inlineStr">
        <is>
          <t>UPPSALA LÄN</t>
        </is>
      </c>
      <c r="G2836" t="inlineStr">
        <is>
          <t>UPPSALA</t>
        </is>
      </c>
      <c r="I2836" t="n">
        <v>3.6</v>
      </c>
      <c r="J2836" t="n">
        <v>0</v>
      </c>
      <c r="K2836" t="n">
        <v>0</v>
      </c>
      <c r="L2836" t="n">
        <v>0</v>
      </c>
      <c r="M2836" t="n">
        <v>0</v>
      </c>
      <c r="N2836" t="n">
        <v>0</v>
      </c>
      <c r="O2836" t="n">
        <v>0</v>
      </c>
      <c r="P2836" t="n">
        <v>0</v>
      </c>
      <c r="Q2836" t="n">
        <v>0</v>
      </c>
      <c r="R2836" t="n">
        <v>0</v>
      </c>
      <c r="S2836" t="n">
        <v>0</v>
      </c>
      <c r="T2836" t="n">
        <v>0</v>
      </c>
      <c r="U2836" t="n">
        <v>0</v>
      </c>
      <c r="V2836" s="2" t="inlineStr"/>
    </row>
    <row r="2837" ht="15" customHeight="1">
      <c r="A2837" t="inlineStr">
        <is>
          <t>A 59731-2022</t>
        </is>
      </c>
      <c r="B2837" t="inlineStr">
        <is>
          <t>avverkningsanmälan</t>
        </is>
      </c>
      <c r="C2837" t="inlineStr">
        <is>
          <t>Avverkning för annat ändamål</t>
        </is>
      </c>
      <c r="D2837" s="1" t="n">
        <v>44908</v>
      </c>
      <c r="E2837" s="1" t="n">
        <v>46309</v>
      </c>
      <c r="F2837" t="inlineStr">
        <is>
          <t>UPPSALA LÄN</t>
        </is>
      </c>
      <c r="G2837" t="inlineStr">
        <is>
          <t>TIERP</t>
        </is>
      </c>
      <c r="H2837" t="inlineStr">
        <is>
          <t>Kyrkan</t>
        </is>
      </c>
      <c r="I2837" t="n">
        <v>0.4</v>
      </c>
      <c r="J2837" t="n">
        <v>0</v>
      </c>
      <c r="K2837" t="n">
        <v>0</v>
      </c>
      <c r="L2837" t="n">
        <v>0</v>
      </c>
      <c r="M2837" t="n">
        <v>0</v>
      </c>
      <c r="N2837" t="n">
        <v>0</v>
      </c>
      <c r="O2837" t="n">
        <v>0</v>
      </c>
      <c r="P2837" t="n">
        <v>0</v>
      </c>
      <c r="Q2837" t="n">
        <v>0</v>
      </c>
      <c r="R2837" t="n">
        <v>0</v>
      </c>
      <c r="S2837" t="n">
        <v>0</v>
      </c>
      <c r="T2837" t="n">
        <v>0</v>
      </c>
      <c r="U2837" t="n">
        <v>0</v>
      </c>
      <c r="V2837" s="2" t="inlineStr"/>
    </row>
    <row r="2838" ht="15" customHeight="1">
      <c r="A2838" t="inlineStr">
        <is>
          <t>A 30207-2026</t>
        </is>
      </c>
      <c r="B2838" t="inlineStr">
        <is>
          <t>avverkningsanmälan</t>
        </is>
      </c>
      <c r="C2838" t="inlineStr">
        <is>
          <t>Föryngringsavverkning</t>
        </is>
      </c>
      <c r="D2838" s="1" t="n">
        <v>46206</v>
      </c>
      <c r="E2838" s="1" t="n">
        <v>46309</v>
      </c>
      <c r="F2838" t="inlineStr">
        <is>
          <t>UPPSALA LÄN</t>
        </is>
      </c>
      <c r="G2838" t="inlineStr">
        <is>
          <t>ÖSTHAMMAR</t>
        </is>
      </c>
      <c r="I2838" t="n">
        <v>2.6</v>
      </c>
      <c r="J2838" t="n">
        <v>0</v>
      </c>
      <c r="K2838" t="n">
        <v>0</v>
      </c>
      <c r="L2838" t="n">
        <v>0</v>
      </c>
      <c r="M2838" t="n">
        <v>0</v>
      </c>
      <c r="N2838" t="n">
        <v>0</v>
      </c>
      <c r="O2838" t="n">
        <v>0</v>
      </c>
      <c r="P2838" t="n">
        <v>0</v>
      </c>
      <c r="Q2838" t="n">
        <v>0</v>
      </c>
      <c r="R2838" t="n">
        <v>0</v>
      </c>
      <c r="S2838" t="n">
        <v>0</v>
      </c>
      <c r="T2838" t="n">
        <v>0</v>
      </c>
      <c r="U2838" t="n">
        <v>0</v>
      </c>
      <c r="V2838" s="2" t="inlineStr"/>
    </row>
    <row r="2839" ht="15" customHeight="1">
      <c r="A2839" t="inlineStr">
        <is>
          <t>A 30234-2026</t>
        </is>
      </c>
      <c r="B2839" t="inlineStr">
        <is>
          <t>avverkningsanmälan</t>
        </is>
      </c>
      <c r="C2839" t="inlineStr">
        <is>
          <t>Föryngringsavverkning</t>
        </is>
      </c>
      <c r="D2839" s="1" t="n">
        <v>46206</v>
      </c>
      <c r="E2839" s="1" t="n">
        <v>46309</v>
      </c>
      <c r="F2839" t="inlineStr">
        <is>
          <t>UPPSALA LÄN</t>
        </is>
      </c>
      <c r="G2839" t="inlineStr">
        <is>
          <t>ÄLVKARLEBY</t>
        </is>
      </c>
      <c r="H2839" t="inlineStr">
        <is>
          <t>Bergvik skog öst AB</t>
        </is>
      </c>
      <c r="I2839" t="n">
        <v>3.6</v>
      </c>
      <c r="J2839" t="n">
        <v>0</v>
      </c>
      <c r="K2839" t="n">
        <v>0</v>
      </c>
      <c r="L2839" t="n">
        <v>0</v>
      </c>
      <c r="M2839" t="n">
        <v>0</v>
      </c>
      <c r="N2839" t="n">
        <v>0</v>
      </c>
      <c r="O2839" t="n">
        <v>0</v>
      </c>
      <c r="P2839" t="n">
        <v>0</v>
      </c>
      <c r="Q2839" t="n">
        <v>0</v>
      </c>
      <c r="R2839" t="n">
        <v>0</v>
      </c>
      <c r="S2839" t="n">
        <v>0</v>
      </c>
      <c r="T2839" t="n">
        <v>0</v>
      </c>
      <c r="U2839" t="n">
        <v>0</v>
      </c>
      <c r="V2839" s="2" t="inlineStr"/>
    </row>
    <row r="2840" ht="15" customHeight="1">
      <c r="A2840" t="inlineStr">
        <is>
          <t>A 30242-2026</t>
        </is>
      </c>
      <c r="B2840" t="inlineStr">
        <is>
          <t>avverkningsanmälan</t>
        </is>
      </c>
      <c r="C2840" t="inlineStr">
        <is>
          <t>Föryngringsavverkning</t>
        </is>
      </c>
      <c r="D2840" s="1" t="n">
        <v>46206</v>
      </c>
      <c r="E2840" s="1" t="n">
        <v>46309</v>
      </c>
      <c r="F2840" t="inlineStr">
        <is>
          <t>UPPSALA LÄN</t>
        </is>
      </c>
      <c r="G2840" t="inlineStr">
        <is>
          <t>ÖSTHAMMAR</t>
        </is>
      </c>
      <c r="I2840" t="n">
        <v>1.1</v>
      </c>
      <c r="J2840" t="n">
        <v>0</v>
      </c>
      <c r="K2840" t="n">
        <v>0</v>
      </c>
      <c r="L2840" t="n">
        <v>0</v>
      </c>
      <c r="M2840" t="n">
        <v>0</v>
      </c>
      <c r="N2840" t="n">
        <v>0</v>
      </c>
      <c r="O2840" t="n">
        <v>0</v>
      </c>
      <c r="P2840" t="n">
        <v>0</v>
      </c>
      <c r="Q2840" t="n">
        <v>0</v>
      </c>
      <c r="R2840" t="n">
        <v>0</v>
      </c>
      <c r="S2840" t="n">
        <v>0</v>
      </c>
      <c r="T2840" t="n">
        <v>0</v>
      </c>
      <c r="U2840" t="n">
        <v>0</v>
      </c>
      <c r="V2840" s="2" t="inlineStr"/>
    </row>
    <row r="2841" ht="15" customHeight="1">
      <c r="A2841" t="inlineStr">
        <is>
          <t>A 16167-2024</t>
        </is>
      </c>
      <c r="B2841" t="inlineStr">
        <is>
          <t>avverkningsanmälan</t>
        </is>
      </c>
      <c r="C2841" t="inlineStr">
        <is>
          <t>Föryngringsavverkning</t>
        </is>
      </c>
      <c r="D2841" s="1" t="n">
        <v>45406</v>
      </c>
      <c r="E2841" s="1" t="n">
        <v>46309</v>
      </c>
      <c r="F2841" t="inlineStr">
        <is>
          <t>UPPSALA LÄN</t>
        </is>
      </c>
      <c r="G2841" t="inlineStr">
        <is>
          <t>HEBY</t>
        </is>
      </c>
      <c r="I2841" t="n">
        <v>1.8</v>
      </c>
      <c r="J2841" t="n">
        <v>0</v>
      </c>
      <c r="K2841" t="n">
        <v>0</v>
      </c>
      <c r="L2841" t="n">
        <v>0</v>
      </c>
      <c r="M2841" t="n">
        <v>0</v>
      </c>
      <c r="N2841" t="n">
        <v>0</v>
      </c>
      <c r="O2841" t="n">
        <v>0</v>
      </c>
      <c r="P2841" t="n">
        <v>0</v>
      </c>
      <c r="Q2841" t="n">
        <v>0</v>
      </c>
      <c r="R2841" t="n">
        <v>0</v>
      </c>
      <c r="S2841" t="n">
        <v>0</v>
      </c>
      <c r="T2841" t="n">
        <v>0</v>
      </c>
      <c r="U2841" t="n">
        <v>0</v>
      </c>
      <c r="V2841" s="2" t="inlineStr"/>
    </row>
    <row r="2842" ht="15" customHeight="1">
      <c r="A2842" t="inlineStr">
        <is>
          <t>A 30420-2026</t>
        </is>
      </c>
      <c r="B2842" t="inlineStr">
        <is>
          <t>avverkningsanmälan</t>
        </is>
      </c>
      <c r="C2842" t="inlineStr">
        <is>
          <t>Föryngringsavverkning</t>
        </is>
      </c>
      <c r="D2842" s="1" t="n">
        <v>46209</v>
      </c>
      <c r="E2842" s="1" t="n">
        <v>46309</v>
      </c>
      <c r="F2842" t="inlineStr">
        <is>
          <t>UPPSALA LÄN</t>
        </is>
      </c>
      <c r="G2842" t="inlineStr">
        <is>
          <t>ÖSTHAMMAR</t>
        </is>
      </c>
      <c r="H2842" t="inlineStr">
        <is>
          <t>Bergvik skog öst AB</t>
        </is>
      </c>
      <c r="I2842" t="n">
        <v>0.6</v>
      </c>
      <c r="J2842" t="n">
        <v>0</v>
      </c>
      <c r="K2842" t="n">
        <v>0</v>
      </c>
      <c r="L2842" t="n">
        <v>0</v>
      </c>
      <c r="M2842" t="n">
        <v>0</v>
      </c>
      <c r="N2842" t="n">
        <v>0</v>
      </c>
      <c r="O2842" t="n">
        <v>0</v>
      </c>
      <c r="P2842" t="n">
        <v>0</v>
      </c>
      <c r="Q2842" t="n">
        <v>0</v>
      </c>
      <c r="R2842" t="n">
        <v>0</v>
      </c>
      <c r="S2842" t="n">
        <v>0</v>
      </c>
      <c r="T2842" t="n">
        <v>0</v>
      </c>
      <c r="U2842" t="n">
        <v>0</v>
      </c>
      <c r="V2842" s="2" t="inlineStr"/>
    </row>
    <row r="2843" ht="15" customHeight="1">
      <c r="A2843" t="inlineStr">
        <is>
          <t>A 11452-2023</t>
        </is>
      </c>
      <c r="B2843" t="inlineStr">
        <is>
          <t>avverkningsanmälan</t>
        </is>
      </c>
      <c r="C2843" t="inlineStr">
        <is>
          <t>Föryngringsavverkning</t>
        </is>
      </c>
      <c r="D2843" s="1" t="n">
        <v>44993</v>
      </c>
      <c r="E2843" s="1" t="n">
        <v>46309</v>
      </c>
      <c r="F2843" t="inlineStr">
        <is>
          <t>UPPSALA LÄN</t>
        </is>
      </c>
      <c r="G2843" t="inlineStr">
        <is>
          <t>KNIVSTA</t>
        </is>
      </c>
      <c r="I2843" t="n">
        <v>2.5</v>
      </c>
      <c r="J2843" t="n">
        <v>0</v>
      </c>
      <c r="K2843" t="n">
        <v>0</v>
      </c>
      <c r="L2843" t="n">
        <v>0</v>
      </c>
      <c r="M2843" t="n">
        <v>0</v>
      </c>
      <c r="N2843" t="n">
        <v>0</v>
      </c>
      <c r="O2843" t="n">
        <v>0</v>
      </c>
      <c r="P2843" t="n">
        <v>0</v>
      </c>
      <c r="Q2843" t="n">
        <v>0</v>
      </c>
      <c r="R2843" t="n">
        <v>0</v>
      </c>
      <c r="S2843" t="n">
        <v>0</v>
      </c>
      <c r="T2843" t="n">
        <v>0</v>
      </c>
      <c r="U2843" t="n">
        <v>0</v>
      </c>
      <c r="V2843" s="2" t="inlineStr"/>
    </row>
    <row r="2844" ht="15" customHeight="1">
      <c r="A2844" t="inlineStr">
        <is>
          <t>A 30421-2026</t>
        </is>
      </c>
      <c r="B2844" t="inlineStr">
        <is>
          <t>avverkningsanmälan</t>
        </is>
      </c>
      <c r="C2844" t="inlineStr">
        <is>
          <t>Föryngringsavverkning</t>
        </is>
      </c>
      <c r="D2844" s="1" t="n">
        <v>46209</v>
      </c>
      <c r="E2844" s="1" t="n">
        <v>46309</v>
      </c>
      <c r="F2844" t="inlineStr">
        <is>
          <t>UPPSALA LÄN</t>
        </is>
      </c>
      <c r="G2844" t="inlineStr">
        <is>
          <t>ÖSTHAMMAR</t>
        </is>
      </c>
      <c r="H2844" t="inlineStr">
        <is>
          <t>Bergvik skog öst AB</t>
        </is>
      </c>
      <c r="I2844" t="n">
        <v>5.3</v>
      </c>
      <c r="J2844" t="n">
        <v>0</v>
      </c>
      <c r="K2844" t="n">
        <v>0</v>
      </c>
      <c r="L2844" t="n">
        <v>0</v>
      </c>
      <c r="M2844" t="n">
        <v>0</v>
      </c>
      <c r="N2844" t="n">
        <v>0</v>
      </c>
      <c r="O2844" t="n">
        <v>0</v>
      </c>
      <c r="P2844" t="n">
        <v>0</v>
      </c>
      <c r="Q2844" t="n">
        <v>0</v>
      </c>
      <c r="R2844" t="n">
        <v>0</v>
      </c>
      <c r="S2844" t="n">
        <v>0</v>
      </c>
      <c r="T2844" t="n">
        <v>0</v>
      </c>
      <c r="U2844" t="n">
        <v>0</v>
      </c>
      <c r="V2844" s="2" t="inlineStr"/>
    </row>
    <row r="2845" ht="15" customHeight="1">
      <c r="A2845" t="inlineStr">
        <is>
          <t>A 30272-2026</t>
        </is>
      </c>
      <c r="B2845" t="inlineStr">
        <is>
          <t>avverkningsanmälan</t>
        </is>
      </c>
      <c r="C2845" t="inlineStr">
        <is>
          <t>Föryngringsavverkning</t>
        </is>
      </c>
      <c r="D2845" s="1" t="n">
        <v>46206</v>
      </c>
      <c r="E2845" s="1" t="n">
        <v>46309</v>
      </c>
      <c r="F2845" t="inlineStr">
        <is>
          <t>UPPSALA LÄN</t>
        </is>
      </c>
      <c r="G2845" t="inlineStr">
        <is>
          <t>UPPSALA</t>
        </is>
      </c>
      <c r="H2845" t="inlineStr">
        <is>
          <t>Övriga Aktiebolag</t>
        </is>
      </c>
      <c r="I2845" t="n">
        <v>1.4</v>
      </c>
      <c r="J2845" t="n">
        <v>0</v>
      </c>
      <c r="K2845" t="n">
        <v>0</v>
      </c>
      <c r="L2845" t="n">
        <v>0</v>
      </c>
      <c r="M2845" t="n">
        <v>0</v>
      </c>
      <c r="N2845" t="n">
        <v>0</v>
      </c>
      <c r="O2845" t="n">
        <v>0</v>
      </c>
      <c r="P2845" t="n">
        <v>0</v>
      </c>
      <c r="Q2845" t="n">
        <v>0</v>
      </c>
      <c r="R2845" t="n">
        <v>0</v>
      </c>
      <c r="S2845" t="n">
        <v>0</v>
      </c>
      <c r="T2845" t="n">
        <v>0</v>
      </c>
      <c r="U2845" t="n">
        <v>0</v>
      </c>
      <c r="V2845" s="2" t="inlineStr"/>
    </row>
    <row r="2846" ht="15" customHeight="1">
      <c r="A2846" t="inlineStr">
        <is>
          <t>A 7591-2023</t>
        </is>
      </c>
      <c r="B2846" t="inlineStr">
        <is>
          <t>avverkningsanmälan</t>
        </is>
      </c>
      <c r="C2846" t="inlineStr">
        <is>
          <t>Föryngringsavverkning</t>
        </is>
      </c>
      <c r="D2846" s="1" t="n">
        <v>44972</v>
      </c>
      <c r="E2846" s="1" t="n">
        <v>46309</v>
      </c>
      <c r="F2846" t="inlineStr">
        <is>
          <t>UPPSALA LÄN</t>
        </is>
      </c>
      <c r="G2846" t="inlineStr">
        <is>
          <t>TIERP</t>
        </is>
      </c>
      <c r="I2846" t="n">
        <v>0.7</v>
      </c>
      <c r="J2846" t="n">
        <v>0</v>
      </c>
      <c r="K2846" t="n">
        <v>0</v>
      </c>
      <c r="L2846" t="n">
        <v>0</v>
      </c>
      <c r="M2846" t="n">
        <v>0</v>
      </c>
      <c r="N2846" t="n">
        <v>0</v>
      </c>
      <c r="O2846" t="n">
        <v>0</v>
      </c>
      <c r="P2846" t="n">
        <v>0</v>
      </c>
      <c r="Q2846" t="n">
        <v>0</v>
      </c>
      <c r="R2846" t="n">
        <v>0</v>
      </c>
      <c r="S2846" t="n">
        <v>0</v>
      </c>
      <c r="T2846" t="n">
        <v>0</v>
      </c>
      <c r="U2846" t="n">
        <v>0</v>
      </c>
      <c r="V2846" s="2" t="inlineStr"/>
    </row>
    <row r="2847" ht="15" customHeight="1">
      <c r="A2847" t="inlineStr">
        <is>
          <t>A 65836-2021</t>
        </is>
      </c>
      <c r="B2847" t="inlineStr">
        <is>
          <t>avverkningsanmälan</t>
        </is>
      </c>
      <c r="C2847" t="inlineStr">
        <is>
          <t>Föryngringsavverkning</t>
        </is>
      </c>
      <c r="D2847" s="1" t="n">
        <v>44517</v>
      </c>
      <c r="E2847" s="1" t="n">
        <v>46309</v>
      </c>
      <c r="F2847" t="inlineStr">
        <is>
          <t>UPPSALA LÄN</t>
        </is>
      </c>
      <c r="G2847" t="inlineStr">
        <is>
          <t>HÅBO</t>
        </is>
      </c>
      <c r="I2847" t="n">
        <v>1.8</v>
      </c>
      <c r="J2847" t="n">
        <v>0</v>
      </c>
      <c r="K2847" t="n">
        <v>0</v>
      </c>
      <c r="L2847" t="n">
        <v>0</v>
      </c>
      <c r="M2847" t="n">
        <v>0</v>
      </c>
      <c r="N2847" t="n">
        <v>0</v>
      </c>
      <c r="O2847" t="n">
        <v>0</v>
      </c>
      <c r="P2847" t="n">
        <v>0</v>
      </c>
      <c r="Q2847" t="n">
        <v>0</v>
      </c>
      <c r="R2847" t="n">
        <v>0</v>
      </c>
      <c r="S2847" t="n">
        <v>0</v>
      </c>
      <c r="T2847" t="n">
        <v>0</v>
      </c>
      <c r="U2847" t="n">
        <v>0</v>
      </c>
      <c r="V2847" s="2" t="inlineStr"/>
    </row>
    <row r="2848" ht="15" customHeight="1">
      <c r="A2848" t="inlineStr">
        <is>
          <t>A 16851-2025</t>
        </is>
      </c>
      <c r="B2848" t="inlineStr">
        <is>
          <t>avverkningsanmälan</t>
        </is>
      </c>
      <c r="C2848" t="inlineStr">
        <is>
          <t>Föryngringsavverkning</t>
        </is>
      </c>
      <c r="D2848" s="1" t="n">
        <v>45754</v>
      </c>
      <c r="E2848" s="1" t="n">
        <v>46309</v>
      </c>
      <c r="F2848" t="inlineStr">
        <is>
          <t>UPPSALA LÄN</t>
        </is>
      </c>
      <c r="G2848" t="inlineStr">
        <is>
          <t>TIERP</t>
        </is>
      </c>
      <c r="I2848" t="n">
        <v>0.5</v>
      </c>
      <c r="J2848" t="n">
        <v>0</v>
      </c>
      <c r="K2848" t="n">
        <v>0</v>
      </c>
      <c r="L2848" t="n">
        <v>0</v>
      </c>
      <c r="M2848" t="n">
        <v>0</v>
      </c>
      <c r="N2848" t="n">
        <v>0</v>
      </c>
      <c r="O2848" t="n">
        <v>0</v>
      </c>
      <c r="P2848" t="n">
        <v>0</v>
      </c>
      <c r="Q2848" t="n">
        <v>0</v>
      </c>
      <c r="R2848" t="n">
        <v>0</v>
      </c>
      <c r="S2848" t="n">
        <v>0</v>
      </c>
      <c r="T2848" t="n">
        <v>0</v>
      </c>
      <c r="U2848" t="n">
        <v>0</v>
      </c>
      <c r="V2848" s="2" t="inlineStr"/>
    </row>
    <row r="2849" ht="15" customHeight="1">
      <c r="A2849" t="inlineStr">
        <is>
          <t>A 30095-2026</t>
        </is>
      </c>
      <c r="B2849" t="inlineStr">
        <is>
          <t>avverkningsanmälan</t>
        </is>
      </c>
      <c r="C2849" t="inlineStr">
        <is>
          <t>Föryngringsavverkning</t>
        </is>
      </c>
      <c r="D2849" s="1" t="n">
        <v>46206</v>
      </c>
      <c r="E2849" s="1" t="n">
        <v>46309</v>
      </c>
      <c r="F2849" t="inlineStr">
        <is>
          <t>UPPSALA LÄN</t>
        </is>
      </c>
      <c r="G2849" t="inlineStr">
        <is>
          <t>UPPSALA</t>
        </is>
      </c>
      <c r="I2849" t="n">
        <v>0.8</v>
      </c>
      <c r="J2849" t="n">
        <v>0</v>
      </c>
      <c r="K2849" t="n">
        <v>0</v>
      </c>
      <c r="L2849" t="n">
        <v>0</v>
      </c>
      <c r="M2849" t="n">
        <v>0</v>
      </c>
      <c r="N2849" t="n">
        <v>0</v>
      </c>
      <c r="O2849" t="n">
        <v>0</v>
      </c>
      <c r="P2849" t="n">
        <v>0</v>
      </c>
      <c r="Q2849" t="n">
        <v>0</v>
      </c>
      <c r="R2849" t="n">
        <v>0</v>
      </c>
      <c r="S2849" t="n">
        <v>0</v>
      </c>
      <c r="T2849" t="n">
        <v>0</v>
      </c>
      <c r="U2849" t="n">
        <v>0</v>
      </c>
      <c r="V2849" s="2" t="inlineStr"/>
    </row>
    <row r="2850" ht="15" customHeight="1">
      <c r="A2850" t="inlineStr">
        <is>
          <t>A 3353-2023</t>
        </is>
      </c>
      <c r="B2850" t="inlineStr">
        <is>
          <t>avverkningsanmälan</t>
        </is>
      </c>
      <c r="C2850" t="inlineStr">
        <is>
          <t>Föryngringsavverkning</t>
        </is>
      </c>
      <c r="D2850" s="1" t="n">
        <v>44949</v>
      </c>
      <c r="E2850" s="1" t="n">
        <v>46309</v>
      </c>
      <c r="F2850" t="inlineStr">
        <is>
          <t>UPPSALA LÄN</t>
        </is>
      </c>
      <c r="G2850" t="inlineStr">
        <is>
          <t>UPPSALA</t>
        </is>
      </c>
      <c r="I2850" t="n">
        <v>3</v>
      </c>
      <c r="J2850" t="n">
        <v>0</v>
      </c>
      <c r="K2850" t="n">
        <v>0</v>
      </c>
      <c r="L2850" t="n">
        <v>0</v>
      </c>
      <c r="M2850" t="n">
        <v>0</v>
      </c>
      <c r="N2850" t="n">
        <v>0</v>
      </c>
      <c r="O2850" t="n">
        <v>0</v>
      </c>
      <c r="P2850" t="n">
        <v>0</v>
      </c>
      <c r="Q2850" t="n">
        <v>0</v>
      </c>
      <c r="R2850" t="n">
        <v>0</v>
      </c>
      <c r="S2850" t="n">
        <v>0</v>
      </c>
      <c r="T2850" t="n">
        <v>0</v>
      </c>
      <c r="U2850" t="n">
        <v>0</v>
      </c>
      <c r="V2850" s="2" t="inlineStr"/>
    </row>
    <row r="2851" ht="15" customHeight="1">
      <c r="A2851" t="inlineStr">
        <is>
          <t>A 30338-2026</t>
        </is>
      </c>
      <c r="B2851" t="inlineStr">
        <is>
          <t>avverkningsanmälan</t>
        </is>
      </c>
      <c r="C2851" t="inlineStr">
        <is>
          <t>Föryngringsavverkning</t>
        </is>
      </c>
      <c r="D2851" s="1" t="n">
        <v>46209</v>
      </c>
      <c r="E2851" s="1" t="n">
        <v>46309</v>
      </c>
      <c r="F2851" t="inlineStr">
        <is>
          <t>UPPSALA LÄN</t>
        </is>
      </c>
      <c r="G2851" t="inlineStr">
        <is>
          <t>ÖSTHAMMAR</t>
        </is>
      </c>
      <c r="I2851" t="n">
        <v>0.7</v>
      </c>
      <c r="J2851" t="n">
        <v>0</v>
      </c>
      <c r="K2851" t="n">
        <v>0</v>
      </c>
      <c r="L2851" t="n">
        <v>0</v>
      </c>
      <c r="M2851" t="n">
        <v>0</v>
      </c>
      <c r="N2851" t="n">
        <v>0</v>
      </c>
      <c r="O2851" t="n">
        <v>0</v>
      </c>
      <c r="P2851" t="n">
        <v>0</v>
      </c>
      <c r="Q2851" t="n">
        <v>0</v>
      </c>
      <c r="R2851" t="n">
        <v>0</v>
      </c>
      <c r="S2851" t="n">
        <v>0</v>
      </c>
      <c r="T2851" t="n">
        <v>0</v>
      </c>
      <c r="U2851" t="n">
        <v>0</v>
      </c>
      <c r="V2851" s="2" t="inlineStr"/>
    </row>
    <row r="2852" ht="15" customHeight="1">
      <c r="A2852" t="inlineStr">
        <is>
          <t>A 1960-2022</t>
        </is>
      </c>
      <c r="B2852" t="inlineStr">
        <is>
          <t>avverkningsanmälan</t>
        </is>
      </c>
      <c r="C2852" t="inlineStr">
        <is>
          <t>Föryngringsavverkning</t>
        </is>
      </c>
      <c r="D2852" s="1" t="n">
        <v>44575</v>
      </c>
      <c r="E2852" s="1" t="n">
        <v>46309</v>
      </c>
      <c r="F2852" t="inlineStr">
        <is>
          <t>UPPSALA LÄN</t>
        </is>
      </c>
      <c r="G2852" t="inlineStr">
        <is>
          <t>ENKÖPING</t>
        </is>
      </c>
      <c r="I2852" t="n">
        <v>1.3</v>
      </c>
      <c r="J2852" t="n">
        <v>0</v>
      </c>
      <c r="K2852" t="n">
        <v>0</v>
      </c>
      <c r="L2852" t="n">
        <v>0</v>
      </c>
      <c r="M2852" t="n">
        <v>0</v>
      </c>
      <c r="N2852" t="n">
        <v>0</v>
      </c>
      <c r="O2852" t="n">
        <v>0</v>
      </c>
      <c r="P2852" t="n">
        <v>0</v>
      </c>
      <c r="Q2852" t="n">
        <v>0</v>
      </c>
      <c r="R2852" t="n">
        <v>0</v>
      </c>
      <c r="S2852" t="n">
        <v>0</v>
      </c>
      <c r="T2852" t="n">
        <v>0</v>
      </c>
      <c r="U2852" t="n">
        <v>0</v>
      </c>
      <c r="V2852" s="2" t="inlineStr"/>
    </row>
    <row r="2853" ht="15" customHeight="1">
      <c r="A2853" t="inlineStr">
        <is>
          <t>A 30189-2026</t>
        </is>
      </c>
      <c r="B2853" t="inlineStr">
        <is>
          <t>avverkningsanmälan</t>
        </is>
      </c>
      <c r="C2853" t="inlineStr">
        <is>
          <t>Föryngringsavverkning</t>
        </is>
      </c>
      <c r="D2853" s="1" t="n">
        <v>46206</v>
      </c>
      <c r="E2853" s="1" t="n">
        <v>46309</v>
      </c>
      <c r="F2853" t="inlineStr">
        <is>
          <t>UPPSALA LÄN</t>
        </is>
      </c>
      <c r="G2853" t="inlineStr">
        <is>
          <t>ÖSTHAMMAR</t>
        </is>
      </c>
      <c r="I2853" t="n">
        <v>0.9</v>
      </c>
      <c r="J2853" t="n">
        <v>0</v>
      </c>
      <c r="K2853" t="n">
        <v>0</v>
      </c>
      <c r="L2853" t="n">
        <v>0</v>
      </c>
      <c r="M2853" t="n">
        <v>0</v>
      </c>
      <c r="N2853" t="n">
        <v>0</v>
      </c>
      <c r="O2853" t="n">
        <v>0</v>
      </c>
      <c r="P2853" t="n">
        <v>0</v>
      </c>
      <c r="Q2853" t="n">
        <v>0</v>
      </c>
      <c r="R2853" t="n">
        <v>0</v>
      </c>
      <c r="S2853" t="n">
        <v>0</v>
      </c>
      <c r="T2853" t="n">
        <v>0</v>
      </c>
      <c r="U2853" t="n">
        <v>0</v>
      </c>
      <c r="V2853" s="2" t="inlineStr"/>
    </row>
    <row r="2854" ht="15" customHeight="1">
      <c r="A2854" t="inlineStr">
        <is>
          <t>A 18113-2023</t>
        </is>
      </c>
      <c r="B2854" t="inlineStr">
        <is>
          <t>avverkningsanmälan</t>
        </is>
      </c>
      <c r="C2854" t="inlineStr">
        <is>
          <t>Föryngringsavverkning</t>
        </is>
      </c>
      <c r="D2854" s="1" t="n">
        <v>45040</v>
      </c>
      <c r="E2854" s="1" t="n">
        <v>46309</v>
      </c>
      <c r="F2854" t="inlineStr">
        <is>
          <t>UPPSALA LÄN</t>
        </is>
      </c>
      <c r="G2854" t="inlineStr">
        <is>
          <t>ÖSTHAMMAR</t>
        </is>
      </c>
      <c r="I2854" t="n">
        <v>2.1</v>
      </c>
      <c r="J2854" t="n">
        <v>0</v>
      </c>
      <c r="K2854" t="n">
        <v>0</v>
      </c>
      <c r="L2854" t="n">
        <v>0</v>
      </c>
      <c r="M2854" t="n">
        <v>0</v>
      </c>
      <c r="N2854" t="n">
        <v>0</v>
      </c>
      <c r="O2854" t="n">
        <v>0</v>
      </c>
      <c r="P2854" t="n">
        <v>0</v>
      </c>
      <c r="Q2854" t="n">
        <v>0</v>
      </c>
      <c r="R2854" t="n">
        <v>0</v>
      </c>
      <c r="S2854" t="n">
        <v>0</v>
      </c>
      <c r="T2854" t="n">
        <v>0</v>
      </c>
      <c r="U2854" t="n">
        <v>0</v>
      </c>
      <c r="V2854" s="2" t="inlineStr"/>
    </row>
    <row r="2855" ht="15" customHeight="1">
      <c r="A2855" t="inlineStr">
        <is>
          <t>A 30054-2026</t>
        </is>
      </c>
      <c r="B2855" t="inlineStr">
        <is>
          <t>avverkningsanmälan</t>
        </is>
      </c>
      <c r="C2855" t="inlineStr">
        <is>
          <t>Föryngringsavverkning</t>
        </is>
      </c>
      <c r="D2855" s="1" t="n">
        <v>46206</v>
      </c>
      <c r="E2855" s="1" t="n">
        <v>46309</v>
      </c>
      <c r="F2855" t="inlineStr">
        <is>
          <t>UPPSALA LÄN</t>
        </is>
      </c>
      <c r="G2855" t="inlineStr">
        <is>
          <t>UPPSALA</t>
        </is>
      </c>
      <c r="H2855" t="inlineStr">
        <is>
          <t>Sveaskog</t>
        </is>
      </c>
      <c r="I2855" t="n">
        <v>1</v>
      </c>
      <c r="J2855" t="n">
        <v>0</v>
      </c>
      <c r="K2855" t="n">
        <v>0</v>
      </c>
      <c r="L2855" t="n">
        <v>0</v>
      </c>
      <c r="M2855" t="n">
        <v>0</v>
      </c>
      <c r="N2855" t="n">
        <v>0</v>
      </c>
      <c r="O2855" t="n">
        <v>0</v>
      </c>
      <c r="P2855" t="n">
        <v>0</v>
      </c>
      <c r="Q2855" t="n">
        <v>0</v>
      </c>
      <c r="R2855" t="n">
        <v>0</v>
      </c>
      <c r="S2855" t="n">
        <v>0</v>
      </c>
      <c r="T2855" t="n">
        <v>0</v>
      </c>
      <c r="U2855" t="n">
        <v>0</v>
      </c>
      <c r="V2855" s="2" t="inlineStr"/>
    </row>
    <row r="2856" ht="15" customHeight="1">
      <c r="A2856" t="inlineStr">
        <is>
          <t>A 3086-2023</t>
        </is>
      </c>
      <c r="B2856" t="inlineStr">
        <is>
          <t>avverkningsanmälan</t>
        </is>
      </c>
      <c r="C2856" t="inlineStr">
        <is>
          <t>Föryngringsavverkning</t>
        </is>
      </c>
      <c r="D2856" s="1" t="n">
        <v>44946</v>
      </c>
      <c r="E2856" s="1" t="n">
        <v>46309</v>
      </c>
      <c r="F2856" t="inlineStr">
        <is>
          <t>UPPSALA LÄN</t>
        </is>
      </c>
      <c r="G2856" t="inlineStr">
        <is>
          <t>UPPSALA</t>
        </is>
      </c>
      <c r="I2856" t="n">
        <v>2</v>
      </c>
      <c r="J2856" t="n">
        <v>0</v>
      </c>
      <c r="K2856" t="n">
        <v>0</v>
      </c>
      <c r="L2856" t="n">
        <v>0</v>
      </c>
      <c r="M2856" t="n">
        <v>0</v>
      </c>
      <c r="N2856" t="n">
        <v>0</v>
      </c>
      <c r="O2856" t="n">
        <v>0</v>
      </c>
      <c r="P2856" t="n">
        <v>0</v>
      </c>
      <c r="Q2856" t="n">
        <v>0</v>
      </c>
      <c r="R2856" t="n">
        <v>0</v>
      </c>
      <c r="S2856" t="n">
        <v>0</v>
      </c>
      <c r="T2856" t="n">
        <v>0</v>
      </c>
      <c r="U2856" t="n">
        <v>0</v>
      </c>
      <c r="V2856" s="2" t="inlineStr"/>
    </row>
    <row r="2857" ht="15" customHeight="1">
      <c r="A2857" t="inlineStr">
        <is>
          <t>A 30405-2026</t>
        </is>
      </c>
      <c r="B2857" t="inlineStr">
        <is>
          <t>avverkningsanmälan</t>
        </is>
      </c>
      <c r="C2857" t="inlineStr">
        <is>
          <t>Föryngringsavverkning</t>
        </is>
      </c>
      <c r="D2857" s="1" t="n">
        <v>46209</v>
      </c>
      <c r="E2857" s="1" t="n">
        <v>46309</v>
      </c>
      <c r="F2857" t="inlineStr">
        <is>
          <t>UPPSALA LÄN</t>
        </is>
      </c>
      <c r="G2857" t="inlineStr">
        <is>
          <t>ENKÖPING</t>
        </is>
      </c>
      <c r="I2857" t="n">
        <v>1.3</v>
      </c>
      <c r="J2857" t="n">
        <v>0</v>
      </c>
      <c r="K2857" t="n">
        <v>0</v>
      </c>
      <c r="L2857" t="n">
        <v>0</v>
      </c>
      <c r="M2857" t="n">
        <v>0</v>
      </c>
      <c r="N2857" t="n">
        <v>0</v>
      </c>
      <c r="O2857" t="n">
        <v>0</v>
      </c>
      <c r="P2857" t="n">
        <v>0</v>
      </c>
      <c r="Q2857" t="n">
        <v>0</v>
      </c>
      <c r="R2857" t="n">
        <v>0</v>
      </c>
      <c r="S2857" t="n">
        <v>0</v>
      </c>
      <c r="T2857" t="n">
        <v>0</v>
      </c>
      <c r="U2857" t="n">
        <v>0</v>
      </c>
      <c r="V2857" s="2" t="inlineStr"/>
    </row>
    <row r="2858" ht="15" customHeight="1">
      <c r="A2858" t="inlineStr">
        <is>
          <t>A 16811-2023</t>
        </is>
      </c>
      <c r="B2858" t="inlineStr">
        <is>
          <t>avverkningsanmälan</t>
        </is>
      </c>
      <c r="C2858" t="inlineStr">
        <is>
          <t>Föryngringsavverkning</t>
        </is>
      </c>
      <c r="D2858" s="1" t="n">
        <v>45033</v>
      </c>
      <c r="E2858" s="1" t="n">
        <v>46309</v>
      </c>
      <c r="F2858" t="inlineStr">
        <is>
          <t>UPPSALA LÄN</t>
        </is>
      </c>
      <c r="G2858" t="inlineStr">
        <is>
          <t>UPPSALA</t>
        </is>
      </c>
      <c r="I2858" t="n">
        <v>10.1</v>
      </c>
      <c r="J2858" t="n">
        <v>0</v>
      </c>
      <c r="K2858" t="n">
        <v>0</v>
      </c>
      <c r="L2858" t="n">
        <v>0</v>
      </c>
      <c r="M2858" t="n">
        <v>0</v>
      </c>
      <c r="N2858" t="n">
        <v>0</v>
      </c>
      <c r="O2858" t="n">
        <v>0</v>
      </c>
      <c r="P2858" t="n">
        <v>0</v>
      </c>
      <c r="Q2858" t="n">
        <v>0</v>
      </c>
      <c r="R2858" t="n">
        <v>0</v>
      </c>
      <c r="S2858" t="n">
        <v>0</v>
      </c>
      <c r="T2858" t="n">
        <v>0</v>
      </c>
      <c r="U2858" t="n">
        <v>0</v>
      </c>
      <c r="V2858" s="2" t="inlineStr"/>
    </row>
    <row r="2859" ht="15" customHeight="1">
      <c r="A2859" t="inlineStr">
        <is>
          <t>A 30424-2026</t>
        </is>
      </c>
      <c r="B2859" t="inlineStr">
        <is>
          <t>avverkningsanmälan</t>
        </is>
      </c>
      <c r="C2859" t="inlineStr">
        <is>
          <t>Föryngringsavverkning</t>
        </is>
      </c>
      <c r="D2859" s="1" t="n">
        <v>46209</v>
      </c>
      <c r="E2859" s="1" t="n">
        <v>46309</v>
      </c>
      <c r="F2859" t="inlineStr">
        <is>
          <t>UPPSALA LÄN</t>
        </is>
      </c>
      <c r="G2859" t="inlineStr">
        <is>
          <t>ÖSTHAMMAR</t>
        </is>
      </c>
      <c r="H2859" t="inlineStr">
        <is>
          <t>Bergvik skog öst AB</t>
        </is>
      </c>
      <c r="I2859" t="n">
        <v>2.5</v>
      </c>
      <c r="J2859" t="n">
        <v>0</v>
      </c>
      <c r="K2859" t="n">
        <v>0</v>
      </c>
      <c r="L2859" t="n">
        <v>0</v>
      </c>
      <c r="M2859" t="n">
        <v>0</v>
      </c>
      <c r="N2859" t="n">
        <v>0</v>
      </c>
      <c r="O2859" t="n">
        <v>0</v>
      </c>
      <c r="P2859" t="n">
        <v>0</v>
      </c>
      <c r="Q2859" t="n">
        <v>0</v>
      </c>
      <c r="R2859" t="n">
        <v>0</v>
      </c>
      <c r="S2859" t="n">
        <v>0</v>
      </c>
      <c r="T2859" t="n">
        <v>0</v>
      </c>
      <c r="U2859" t="n">
        <v>0</v>
      </c>
      <c r="V2859" s="2" t="inlineStr"/>
    </row>
    <row r="2860" ht="15" customHeight="1">
      <c r="A2860" t="inlineStr">
        <is>
          <t>A 18028-2023</t>
        </is>
      </c>
      <c r="B2860" t="inlineStr">
        <is>
          <t>avverkningsanmälan</t>
        </is>
      </c>
      <c r="C2860" t="inlineStr">
        <is>
          <t>Föryngringsavverkning</t>
        </is>
      </c>
      <c r="D2860" s="1" t="n">
        <v>45040</v>
      </c>
      <c r="E2860" s="1" t="n">
        <v>46309</v>
      </c>
      <c r="F2860" t="inlineStr">
        <is>
          <t>UPPSALA LÄN</t>
        </is>
      </c>
      <c r="G2860" t="inlineStr">
        <is>
          <t>ENKÖPING</t>
        </is>
      </c>
      <c r="I2860" t="n">
        <v>1.1</v>
      </c>
      <c r="J2860" t="n">
        <v>0</v>
      </c>
      <c r="K2860" t="n">
        <v>0</v>
      </c>
      <c r="L2860" t="n">
        <v>0</v>
      </c>
      <c r="M2860" t="n">
        <v>0</v>
      </c>
      <c r="N2860" t="n">
        <v>0</v>
      </c>
      <c r="O2860" t="n">
        <v>0</v>
      </c>
      <c r="P2860" t="n">
        <v>0</v>
      </c>
      <c r="Q2860" t="n">
        <v>0</v>
      </c>
      <c r="R2860" t="n">
        <v>0</v>
      </c>
      <c r="S2860" t="n">
        <v>0</v>
      </c>
      <c r="T2860" t="n">
        <v>0</v>
      </c>
      <c r="U2860" t="n">
        <v>0</v>
      </c>
      <c r="V2860" s="2" t="inlineStr"/>
    </row>
    <row r="2861" ht="15" customHeight="1">
      <c r="A2861" t="inlineStr">
        <is>
          <t>A 43908-2023</t>
        </is>
      </c>
      <c r="B2861" t="inlineStr">
        <is>
          <t>avverkningsanmälan</t>
        </is>
      </c>
      <c r="C2861" t="inlineStr">
        <is>
          <t>Föryngringsavverkning</t>
        </is>
      </c>
      <c r="D2861" s="1" t="n">
        <v>45187</v>
      </c>
      <c r="E2861" s="1" t="n">
        <v>46309</v>
      </c>
      <c r="F2861" t="inlineStr">
        <is>
          <t>UPPSALA LÄN</t>
        </is>
      </c>
      <c r="G2861" t="inlineStr">
        <is>
          <t>KNIVSTA</t>
        </is>
      </c>
      <c r="H2861" t="inlineStr">
        <is>
          <t>Kyrkan</t>
        </is>
      </c>
      <c r="I2861" t="n">
        <v>1.7</v>
      </c>
      <c r="J2861" t="n">
        <v>0</v>
      </c>
      <c r="K2861" t="n">
        <v>0</v>
      </c>
      <c r="L2861" t="n">
        <v>0</v>
      </c>
      <c r="M2861" t="n">
        <v>0</v>
      </c>
      <c r="N2861" t="n">
        <v>0</v>
      </c>
      <c r="O2861" t="n">
        <v>0</v>
      </c>
      <c r="P2861" t="n">
        <v>0</v>
      </c>
      <c r="Q2861" t="n">
        <v>0</v>
      </c>
      <c r="R2861" t="n">
        <v>0</v>
      </c>
      <c r="S2861" t="n">
        <v>0</v>
      </c>
      <c r="T2861" t="n">
        <v>0</v>
      </c>
      <c r="U2861" t="n">
        <v>0</v>
      </c>
      <c r="V2861" s="2" t="inlineStr"/>
    </row>
    <row r="2862" ht="15" customHeight="1">
      <c r="A2862" t="inlineStr">
        <is>
          <t>A 29103-2022</t>
        </is>
      </c>
      <c r="B2862" t="inlineStr">
        <is>
          <t>avverkningsanmälan</t>
        </is>
      </c>
      <c r="C2862" t="inlineStr">
        <is>
          <t>Föryngringsavverkning</t>
        </is>
      </c>
      <c r="D2862" s="1" t="n">
        <v>44750</v>
      </c>
      <c r="E2862" s="1" t="n">
        <v>46309</v>
      </c>
      <c r="F2862" t="inlineStr">
        <is>
          <t>UPPSALA LÄN</t>
        </is>
      </c>
      <c r="G2862" t="inlineStr">
        <is>
          <t>TIERP</t>
        </is>
      </c>
      <c r="H2862" t="inlineStr">
        <is>
          <t>Bergvik skog väst AB</t>
        </is>
      </c>
      <c r="I2862" t="n">
        <v>3.1</v>
      </c>
      <c r="J2862" t="n">
        <v>0</v>
      </c>
      <c r="K2862" t="n">
        <v>0</v>
      </c>
      <c r="L2862" t="n">
        <v>0</v>
      </c>
      <c r="M2862" t="n">
        <v>0</v>
      </c>
      <c r="N2862" t="n">
        <v>0</v>
      </c>
      <c r="O2862" t="n">
        <v>0</v>
      </c>
      <c r="P2862" t="n">
        <v>0</v>
      </c>
      <c r="Q2862" t="n">
        <v>0</v>
      </c>
      <c r="R2862" t="n">
        <v>0</v>
      </c>
      <c r="S2862" t="n">
        <v>0</v>
      </c>
      <c r="T2862" t="n">
        <v>0</v>
      </c>
      <c r="U2862" t="n">
        <v>0</v>
      </c>
      <c r="V2862" s="2" t="inlineStr"/>
    </row>
    <row r="2863" ht="15" customHeight="1">
      <c r="A2863" t="inlineStr">
        <is>
          <t>A 69436-2021</t>
        </is>
      </c>
      <c r="B2863" t="inlineStr">
        <is>
          <t>avverkningsanmälan</t>
        </is>
      </c>
      <c r="C2863" t="inlineStr">
        <is>
          <t>Föryngringsavverkning</t>
        </is>
      </c>
      <c r="D2863" s="1" t="n">
        <v>44531</v>
      </c>
      <c r="E2863" s="1" t="n">
        <v>46309</v>
      </c>
      <c r="F2863" t="inlineStr">
        <is>
          <t>UPPSALA LÄN</t>
        </is>
      </c>
      <c r="G2863" t="inlineStr">
        <is>
          <t>UPPSALA</t>
        </is>
      </c>
      <c r="I2863" t="n">
        <v>1.1</v>
      </c>
      <c r="J2863" t="n">
        <v>0</v>
      </c>
      <c r="K2863" t="n">
        <v>0</v>
      </c>
      <c r="L2863" t="n">
        <v>0</v>
      </c>
      <c r="M2863" t="n">
        <v>0</v>
      </c>
      <c r="N2863" t="n">
        <v>0</v>
      </c>
      <c r="O2863" t="n">
        <v>0</v>
      </c>
      <c r="P2863" t="n">
        <v>0</v>
      </c>
      <c r="Q2863" t="n">
        <v>0</v>
      </c>
      <c r="R2863" t="n">
        <v>0</v>
      </c>
      <c r="S2863" t="n">
        <v>0</v>
      </c>
      <c r="T2863" t="n">
        <v>0</v>
      </c>
      <c r="U2863" t="n">
        <v>0</v>
      </c>
      <c r="V2863" s="2" t="inlineStr"/>
    </row>
    <row r="2864" ht="15" customHeight="1">
      <c r="A2864" t="inlineStr">
        <is>
          <t>A 31103-2022</t>
        </is>
      </c>
      <c r="B2864" t="inlineStr">
        <is>
          <t>avverkningsanmälan</t>
        </is>
      </c>
      <c r="C2864" t="inlineStr">
        <is>
          <t>Föryngringsavverkning</t>
        </is>
      </c>
      <c r="D2864" s="1" t="n">
        <v>44769</v>
      </c>
      <c r="E2864" s="1" t="n">
        <v>46309</v>
      </c>
      <c r="F2864" t="inlineStr">
        <is>
          <t>UPPSALA LÄN</t>
        </is>
      </c>
      <c r="G2864" t="inlineStr">
        <is>
          <t>TIERP</t>
        </is>
      </c>
      <c r="I2864" t="n">
        <v>1.8</v>
      </c>
      <c r="J2864" t="n">
        <v>0</v>
      </c>
      <c r="K2864" t="n">
        <v>0</v>
      </c>
      <c r="L2864" t="n">
        <v>0</v>
      </c>
      <c r="M2864" t="n">
        <v>0</v>
      </c>
      <c r="N2864" t="n">
        <v>0</v>
      </c>
      <c r="O2864" t="n">
        <v>0</v>
      </c>
      <c r="P2864" t="n">
        <v>0</v>
      </c>
      <c r="Q2864" t="n">
        <v>0</v>
      </c>
      <c r="R2864" t="n">
        <v>0</v>
      </c>
      <c r="S2864" t="n">
        <v>0</v>
      </c>
      <c r="T2864" t="n">
        <v>0</v>
      </c>
      <c r="U2864" t="n">
        <v>0</v>
      </c>
      <c r="V2864" s="2" t="inlineStr"/>
    </row>
    <row r="2865" ht="15" customHeight="1">
      <c r="A2865" t="inlineStr">
        <is>
          <t>A 41276-2023</t>
        </is>
      </c>
      <c r="B2865" t="inlineStr">
        <is>
          <t>avverkningsanmälan</t>
        </is>
      </c>
      <c r="C2865" t="inlineStr">
        <is>
          <t>Föryngringsavverkning</t>
        </is>
      </c>
      <c r="D2865" s="1" t="n">
        <v>45174</v>
      </c>
      <c r="E2865" s="1" t="n">
        <v>46309</v>
      </c>
      <c r="F2865" t="inlineStr">
        <is>
          <t>UPPSALA LÄN</t>
        </is>
      </c>
      <c r="G2865" t="inlineStr">
        <is>
          <t>ÄLVKARLEBY</t>
        </is>
      </c>
      <c r="H2865" t="inlineStr">
        <is>
          <t>Bergvik skog väst AB</t>
        </is>
      </c>
      <c r="I2865" t="n">
        <v>0.3</v>
      </c>
      <c r="J2865" t="n">
        <v>0</v>
      </c>
      <c r="K2865" t="n">
        <v>0</v>
      </c>
      <c r="L2865" t="n">
        <v>0</v>
      </c>
      <c r="M2865" t="n">
        <v>0</v>
      </c>
      <c r="N2865" t="n">
        <v>0</v>
      </c>
      <c r="O2865" t="n">
        <v>0</v>
      </c>
      <c r="P2865" t="n">
        <v>0</v>
      </c>
      <c r="Q2865" t="n">
        <v>0</v>
      </c>
      <c r="R2865" t="n">
        <v>0</v>
      </c>
      <c r="S2865" t="n">
        <v>0</v>
      </c>
      <c r="T2865" t="n">
        <v>0</v>
      </c>
      <c r="U2865" t="n">
        <v>0</v>
      </c>
      <c r="V2865" s="2" t="inlineStr"/>
    </row>
    <row r="2866" ht="15" customHeight="1">
      <c r="A2866" t="inlineStr">
        <is>
          <t>A 60461-2022</t>
        </is>
      </c>
      <c r="B2866" t="inlineStr">
        <is>
          <t>avverkningsanmälan</t>
        </is>
      </c>
      <c r="C2866" t="inlineStr">
        <is>
          <t>Föryngringsavverkning</t>
        </is>
      </c>
      <c r="D2866" s="1" t="n">
        <v>44911</v>
      </c>
      <c r="E2866" s="1" t="n">
        <v>46309</v>
      </c>
      <c r="F2866" t="inlineStr">
        <is>
          <t>UPPSALA LÄN</t>
        </is>
      </c>
      <c r="G2866" t="inlineStr">
        <is>
          <t>HEBY</t>
        </is>
      </c>
      <c r="I2866" t="n">
        <v>4.2</v>
      </c>
      <c r="J2866" t="n">
        <v>0</v>
      </c>
      <c r="K2866" t="n">
        <v>0</v>
      </c>
      <c r="L2866" t="n">
        <v>0</v>
      </c>
      <c r="M2866" t="n">
        <v>0</v>
      </c>
      <c r="N2866" t="n">
        <v>0</v>
      </c>
      <c r="O2866" t="n">
        <v>0</v>
      </c>
      <c r="P2866" t="n">
        <v>0</v>
      </c>
      <c r="Q2866" t="n">
        <v>0</v>
      </c>
      <c r="R2866" t="n">
        <v>0</v>
      </c>
      <c r="S2866" t="n">
        <v>0</v>
      </c>
      <c r="T2866" t="n">
        <v>0</v>
      </c>
      <c r="U2866" t="n">
        <v>0</v>
      </c>
      <c r="V2866" s="2" t="inlineStr"/>
    </row>
    <row r="2867" ht="15" customHeight="1">
      <c r="A2867" t="inlineStr">
        <is>
          <t>A 52389-2022</t>
        </is>
      </c>
      <c r="B2867" t="inlineStr">
        <is>
          <t>avverkningsanmälan</t>
        </is>
      </c>
      <c r="C2867" t="inlineStr">
        <is>
          <t>Föryngringsavverkning</t>
        </is>
      </c>
      <c r="D2867" s="1" t="n">
        <v>44874</v>
      </c>
      <c r="E2867" s="1" t="n">
        <v>46309</v>
      </c>
      <c r="F2867" t="inlineStr">
        <is>
          <t>UPPSALA LÄN</t>
        </is>
      </c>
      <c r="G2867" t="inlineStr">
        <is>
          <t>ÖSTHAMMAR</t>
        </is>
      </c>
      <c r="I2867" t="n">
        <v>3.1</v>
      </c>
      <c r="J2867" t="n">
        <v>0</v>
      </c>
      <c r="K2867" t="n">
        <v>0</v>
      </c>
      <c r="L2867" t="n">
        <v>0</v>
      </c>
      <c r="M2867" t="n">
        <v>0</v>
      </c>
      <c r="N2867" t="n">
        <v>0</v>
      </c>
      <c r="O2867" t="n">
        <v>0</v>
      </c>
      <c r="P2867" t="n">
        <v>0</v>
      </c>
      <c r="Q2867" t="n">
        <v>0</v>
      </c>
      <c r="R2867" t="n">
        <v>0</v>
      </c>
      <c r="S2867" t="n">
        <v>0</v>
      </c>
      <c r="T2867" t="n">
        <v>0</v>
      </c>
      <c r="U2867" t="n">
        <v>0</v>
      </c>
      <c r="V2867" s="2" t="inlineStr"/>
    </row>
    <row r="2868" ht="15" customHeight="1">
      <c r="A2868" t="inlineStr">
        <is>
          <t>A 53224-2025</t>
        </is>
      </c>
      <c r="B2868" t="inlineStr">
        <is>
          <t>avverkningsanmälan</t>
        </is>
      </c>
      <c r="C2868" t="inlineStr">
        <is>
          <t>Föryngringsavverkning</t>
        </is>
      </c>
      <c r="D2868" s="1" t="n">
        <v>45958</v>
      </c>
      <c r="E2868" s="1" t="n">
        <v>46309</v>
      </c>
      <c r="F2868" t="inlineStr">
        <is>
          <t>UPPSALA LÄN</t>
        </is>
      </c>
      <c r="G2868" t="inlineStr">
        <is>
          <t>UPPSALA</t>
        </is>
      </c>
      <c r="H2868" t="inlineStr">
        <is>
          <t>Bergvik skog väst AB</t>
        </is>
      </c>
      <c r="I2868" t="n">
        <v>3.7</v>
      </c>
      <c r="J2868" t="n">
        <v>0</v>
      </c>
      <c r="K2868" t="n">
        <v>0</v>
      </c>
      <c r="L2868" t="n">
        <v>0</v>
      </c>
      <c r="M2868" t="n">
        <v>0</v>
      </c>
      <c r="N2868" t="n">
        <v>0</v>
      </c>
      <c r="O2868" t="n">
        <v>0</v>
      </c>
      <c r="P2868" t="n">
        <v>0</v>
      </c>
      <c r="Q2868" t="n">
        <v>0</v>
      </c>
      <c r="R2868" t="n">
        <v>0</v>
      </c>
      <c r="S2868" t="n">
        <v>0</v>
      </c>
      <c r="T2868" t="n">
        <v>0</v>
      </c>
      <c r="U2868" t="n">
        <v>0</v>
      </c>
      <c r="V2868" s="2" t="inlineStr"/>
    </row>
    <row r="2869" ht="15" customHeight="1">
      <c r="A2869" t="inlineStr">
        <is>
          <t>A 5918-2022</t>
        </is>
      </c>
      <c r="B2869" t="inlineStr">
        <is>
          <t>avverkningsanmälan</t>
        </is>
      </c>
      <c r="C2869" t="inlineStr">
        <is>
          <t>Föryngringsavverkning</t>
        </is>
      </c>
      <c r="D2869" s="1" t="n">
        <v>44597</v>
      </c>
      <c r="E2869" s="1" t="n">
        <v>46309</v>
      </c>
      <c r="F2869" t="inlineStr">
        <is>
          <t>UPPSALA LÄN</t>
        </is>
      </c>
      <c r="G2869" t="inlineStr">
        <is>
          <t>TIERP</t>
        </is>
      </c>
      <c r="I2869" t="n">
        <v>4.7</v>
      </c>
      <c r="J2869" t="n">
        <v>0</v>
      </c>
      <c r="K2869" t="n">
        <v>0</v>
      </c>
      <c r="L2869" t="n">
        <v>0</v>
      </c>
      <c r="M2869" t="n">
        <v>0</v>
      </c>
      <c r="N2869" t="n">
        <v>0</v>
      </c>
      <c r="O2869" t="n">
        <v>0</v>
      </c>
      <c r="P2869" t="n">
        <v>0</v>
      </c>
      <c r="Q2869" t="n">
        <v>0</v>
      </c>
      <c r="R2869" t="n">
        <v>0</v>
      </c>
      <c r="S2869" t="n">
        <v>0</v>
      </c>
      <c r="T2869" t="n">
        <v>0</v>
      </c>
      <c r="U2869" t="n">
        <v>0</v>
      </c>
      <c r="V2869" s="2" t="inlineStr"/>
    </row>
    <row r="2870" ht="15" customHeight="1">
      <c r="A2870" t="inlineStr">
        <is>
          <t>A 30634-2026</t>
        </is>
      </c>
      <c r="B2870" t="inlineStr">
        <is>
          <t>avverkningsanmälan</t>
        </is>
      </c>
      <c r="C2870" t="inlineStr">
        <is>
          <t>Föryngringsavverkning</t>
        </is>
      </c>
      <c r="D2870" s="1" t="n">
        <v>46211</v>
      </c>
      <c r="E2870" s="1" t="n">
        <v>46309</v>
      </c>
      <c r="F2870" t="inlineStr">
        <is>
          <t>UPPSALA LÄN</t>
        </is>
      </c>
      <c r="G2870" t="inlineStr">
        <is>
          <t>TIERP</t>
        </is>
      </c>
      <c r="H2870" t="inlineStr">
        <is>
          <t>Övriga Aktiebolag</t>
        </is>
      </c>
      <c r="I2870" t="n">
        <v>4.3</v>
      </c>
      <c r="J2870" t="n">
        <v>0</v>
      </c>
      <c r="K2870" t="n">
        <v>0</v>
      </c>
      <c r="L2870" t="n">
        <v>0</v>
      </c>
      <c r="M2870" t="n">
        <v>0</v>
      </c>
      <c r="N2870" t="n">
        <v>0</v>
      </c>
      <c r="O2870" t="n">
        <v>0</v>
      </c>
      <c r="P2870" t="n">
        <v>0</v>
      </c>
      <c r="Q2870" t="n">
        <v>0</v>
      </c>
      <c r="R2870" t="n">
        <v>0</v>
      </c>
      <c r="S2870" t="n">
        <v>0</v>
      </c>
      <c r="T2870" t="n">
        <v>0</v>
      </c>
      <c r="U2870" t="n">
        <v>0</v>
      </c>
      <c r="V2870" s="2" t="inlineStr"/>
    </row>
    <row r="2871" ht="15" customHeight="1">
      <c r="A2871" t="inlineStr">
        <is>
          <t>A 49568-2022</t>
        </is>
      </c>
      <c r="B2871" t="inlineStr">
        <is>
          <t>avverkningsanmälan</t>
        </is>
      </c>
      <c r="C2871" t="inlineStr">
        <is>
          <t>Föryngringsavverkning</t>
        </is>
      </c>
      <c r="D2871" s="1" t="n">
        <v>44862</v>
      </c>
      <c r="E2871" s="1" t="n">
        <v>46309</v>
      </c>
      <c r="F2871" t="inlineStr">
        <is>
          <t>UPPSALA LÄN</t>
        </is>
      </c>
      <c r="G2871" t="inlineStr">
        <is>
          <t>ENKÖPING</t>
        </is>
      </c>
      <c r="I2871" t="n">
        <v>0.9</v>
      </c>
      <c r="J2871" t="n">
        <v>0</v>
      </c>
      <c r="K2871" t="n">
        <v>0</v>
      </c>
      <c r="L2871" t="n">
        <v>0</v>
      </c>
      <c r="M2871" t="n">
        <v>0</v>
      </c>
      <c r="N2871" t="n">
        <v>0</v>
      </c>
      <c r="O2871" t="n">
        <v>0</v>
      </c>
      <c r="P2871" t="n">
        <v>0</v>
      </c>
      <c r="Q2871" t="n">
        <v>0</v>
      </c>
      <c r="R2871" t="n">
        <v>0</v>
      </c>
      <c r="S2871" t="n">
        <v>0</v>
      </c>
      <c r="T2871" t="n">
        <v>0</v>
      </c>
      <c r="U2871" t="n">
        <v>0</v>
      </c>
      <c r="V2871" s="2" t="inlineStr"/>
    </row>
    <row r="2872" ht="15" customHeight="1">
      <c r="A2872" t="inlineStr">
        <is>
          <t>A 19721-2022</t>
        </is>
      </c>
      <c r="B2872" t="inlineStr">
        <is>
          <t>avverkningsanmälan</t>
        </is>
      </c>
      <c r="C2872" t="inlineStr">
        <is>
          <t>Föryngringsavverkning</t>
        </is>
      </c>
      <c r="D2872" s="1" t="n">
        <v>44694</v>
      </c>
      <c r="E2872" s="1" t="n">
        <v>46309</v>
      </c>
      <c r="F2872" t="inlineStr">
        <is>
          <t>UPPSALA LÄN</t>
        </is>
      </c>
      <c r="G2872" t="inlineStr">
        <is>
          <t>HEBY</t>
        </is>
      </c>
      <c r="H2872" t="inlineStr">
        <is>
          <t>Bergvik skog väst AB</t>
        </is>
      </c>
      <c r="I2872" t="n">
        <v>1.5</v>
      </c>
      <c r="J2872" t="n">
        <v>0</v>
      </c>
      <c r="K2872" t="n">
        <v>0</v>
      </c>
      <c r="L2872" t="n">
        <v>0</v>
      </c>
      <c r="M2872" t="n">
        <v>0</v>
      </c>
      <c r="N2872" t="n">
        <v>0</v>
      </c>
      <c r="O2872" t="n">
        <v>0</v>
      </c>
      <c r="P2872" t="n">
        <v>0</v>
      </c>
      <c r="Q2872" t="n">
        <v>0</v>
      </c>
      <c r="R2872" t="n">
        <v>0</v>
      </c>
      <c r="S2872" t="n">
        <v>0</v>
      </c>
      <c r="T2872" t="n">
        <v>0</v>
      </c>
      <c r="U2872" t="n">
        <v>0</v>
      </c>
      <c r="V2872" s="2" t="inlineStr"/>
    </row>
    <row r="2873" ht="15" customHeight="1">
      <c r="A2873" t="inlineStr">
        <is>
          <t>A 42459-2024</t>
        </is>
      </c>
      <c r="B2873" t="inlineStr">
        <is>
          <t>avverkningsanmälan</t>
        </is>
      </c>
      <c r="C2873" t="inlineStr">
        <is>
          <t>Föryngringsavverkning</t>
        </is>
      </c>
      <c r="D2873" s="1" t="n">
        <v>45565</v>
      </c>
      <c r="E2873" s="1" t="n">
        <v>46309</v>
      </c>
      <c r="F2873" t="inlineStr">
        <is>
          <t>UPPSALA LÄN</t>
        </is>
      </c>
      <c r="G2873" t="inlineStr">
        <is>
          <t>ENKÖPING</t>
        </is>
      </c>
      <c r="I2873" t="n">
        <v>3.6</v>
      </c>
      <c r="J2873" t="n">
        <v>0</v>
      </c>
      <c r="K2873" t="n">
        <v>0</v>
      </c>
      <c r="L2873" t="n">
        <v>0</v>
      </c>
      <c r="M2873" t="n">
        <v>0</v>
      </c>
      <c r="N2873" t="n">
        <v>0</v>
      </c>
      <c r="O2873" t="n">
        <v>0</v>
      </c>
      <c r="P2873" t="n">
        <v>0</v>
      </c>
      <c r="Q2873" t="n">
        <v>0</v>
      </c>
      <c r="R2873" t="n">
        <v>0</v>
      </c>
      <c r="S2873" t="n">
        <v>0</v>
      </c>
      <c r="T2873" t="n">
        <v>0</v>
      </c>
      <c r="U2873" t="n">
        <v>0</v>
      </c>
      <c r="V2873" s="2" t="inlineStr"/>
    </row>
    <row r="2874" ht="15" customHeight="1">
      <c r="A2874" t="inlineStr">
        <is>
          <t>A 1238-2022</t>
        </is>
      </c>
      <c r="B2874" t="inlineStr">
        <is>
          <t>avverkningsanmälan</t>
        </is>
      </c>
      <c r="C2874" t="inlineStr">
        <is>
          <t>Föryngringsavverkning</t>
        </is>
      </c>
      <c r="D2874" s="1" t="n">
        <v>44572</v>
      </c>
      <c r="E2874" s="1" t="n">
        <v>46309</v>
      </c>
      <c r="F2874" t="inlineStr">
        <is>
          <t>UPPSALA LÄN</t>
        </is>
      </c>
      <c r="G2874" t="inlineStr">
        <is>
          <t>ÖSTHAMMAR</t>
        </is>
      </c>
      <c r="I2874" t="n">
        <v>1.1</v>
      </c>
      <c r="J2874" t="n">
        <v>0</v>
      </c>
      <c r="K2874" t="n">
        <v>0</v>
      </c>
      <c r="L2874" t="n">
        <v>0</v>
      </c>
      <c r="M2874" t="n">
        <v>0</v>
      </c>
      <c r="N2874" t="n">
        <v>0</v>
      </c>
      <c r="O2874" t="n">
        <v>0</v>
      </c>
      <c r="P2874" t="n">
        <v>0</v>
      </c>
      <c r="Q2874" t="n">
        <v>0</v>
      </c>
      <c r="R2874" t="n">
        <v>0</v>
      </c>
      <c r="S2874" t="n">
        <v>0</v>
      </c>
      <c r="T2874" t="n">
        <v>0</v>
      </c>
      <c r="U2874" t="n">
        <v>0</v>
      </c>
      <c r="V2874" s="2" t="inlineStr"/>
    </row>
    <row r="2875" ht="15" customHeight="1">
      <c r="A2875" t="inlineStr">
        <is>
          <t>A 5104-2026</t>
        </is>
      </c>
      <c r="B2875" t="inlineStr">
        <is>
          <t>avverkningsanmälan</t>
        </is>
      </c>
      <c r="C2875" t="inlineStr">
        <is>
          <t>Föryngringsavverkning</t>
        </is>
      </c>
      <c r="D2875" s="1" t="n">
        <v>46049</v>
      </c>
      <c r="E2875" s="1" t="n">
        <v>46309</v>
      </c>
      <c r="F2875" t="inlineStr">
        <is>
          <t>UPPSALA LÄN</t>
        </is>
      </c>
      <c r="G2875" t="inlineStr">
        <is>
          <t>ENKÖPING</t>
        </is>
      </c>
      <c r="I2875" t="n">
        <v>2.3</v>
      </c>
      <c r="J2875" t="n">
        <v>0</v>
      </c>
      <c r="K2875" t="n">
        <v>0</v>
      </c>
      <c r="L2875" t="n">
        <v>0</v>
      </c>
      <c r="M2875" t="n">
        <v>0</v>
      </c>
      <c r="N2875" t="n">
        <v>0</v>
      </c>
      <c r="O2875" t="n">
        <v>0</v>
      </c>
      <c r="P2875" t="n">
        <v>0</v>
      </c>
      <c r="Q2875" t="n">
        <v>0</v>
      </c>
      <c r="R2875" t="n">
        <v>0</v>
      </c>
      <c r="S2875" t="n">
        <v>0</v>
      </c>
      <c r="T2875" t="n">
        <v>0</v>
      </c>
      <c r="U2875" t="n">
        <v>0</v>
      </c>
      <c r="V2875" s="2" t="inlineStr"/>
    </row>
    <row r="2876" ht="15" customHeight="1">
      <c r="A2876" t="inlineStr">
        <is>
          <t>A 30680-2026</t>
        </is>
      </c>
      <c r="B2876" t="inlineStr">
        <is>
          <t>avverkningsanmälan</t>
        </is>
      </c>
      <c r="C2876" t="inlineStr">
        <is>
          <t>Föryngringsavverkning</t>
        </is>
      </c>
      <c r="D2876" s="1" t="n">
        <v>46211</v>
      </c>
      <c r="E2876" s="1" t="n">
        <v>46309</v>
      </c>
      <c r="F2876" t="inlineStr">
        <is>
          <t>UPPSALA LÄN</t>
        </is>
      </c>
      <c r="G2876" t="inlineStr">
        <is>
          <t>ÖSTHAMMAR</t>
        </is>
      </c>
      <c r="I2876" t="n">
        <v>0.6</v>
      </c>
      <c r="J2876" t="n">
        <v>0</v>
      </c>
      <c r="K2876" t="n">
        <v>0</v>
      </c>
      <c r="L2876" t="n">
        <v>0</v>
      </c>
      <c r="M2876" t="n">
        <v>0</v>
      </c>
      <c r="N2876" t="n">
        <v>0</v>
      </c>
      <c r="O2876" t="n">
        <v>0</v>
      </c>
      <c r="P2876" t="n">
        <v>0</v>
      </c>
      <c r="Q2876" t="n">
        <v>0</v>
      </c>
      <c r="R2876" t="n">
        <v>0</v>
      </c>
      <c r="S2876" t="n">
        <v>0</v>
      </c>
      <c r="T2876" t="n">
        <v>0</v>
      </c>
      <c r="U2876" t="n">
        <v>0</v>
      </c>
      <c r="V2876" s="2" t="inlineStr"/>
    </row>
    <row r="2877" ht="15" customHeight="1">
      <c r="A2877" t="inlineStr">
        <is>
          <t>A 30725-2026</t>
        </is>
      </c>
      <c r="B2877" t="inlineStr">
        <is>
          <t>avverkningsanmälan</t>
        </is>
      </c>
      <c r="C2877" t="inlineStr">
        <is>
          <t>Avverkning för annat ändamål</t>
        </is>
      </c>
      <c r="D2877" s="1" t="n">
        <v>46211</v>
      </c>
      <c r="E2877" s="1" t="n">
        <v>46309</v>
      </c>
      <c r="F2877" t="inlineStr">
        <is>
          <t>UPPSALA LÄN</t>
        </is>
      </c>
      <c r="G2877" t="inlineStr">
        <is>
          <t>ENKÖPING</t>
        </is>
      </c>
      <c r="I2877" t="n">
        <v>0.9</v>
      </c>
      <c r="J2877" t="n">
        <v>0</v>
      </c>
      <c r="K2877" t="n">
        <v>0</v>
      </c>
      <c r="L2877" t="n">
        <v>0</v>
      </c>
      <c r="M2877" t="n">
        <v>0</v>
      </c>
      <c r="N2877" t="n">
        <v>0</v>
      </c>
      <c r="O2877" t="n">
        <v>0</v>
      </c>
      <c r="P2877" t="n">
        <v>0</v>
      </c>
      <c r="Q2877" t="n">
        <v>0</v>
      </c>
      <c r="R2877" t="n">
        <v>0</v>
      </c>
      <c r="S2877" t="n">
        <v>0</v>
      </c>
      <c r="T2877" t="n">
        <v>0</v>
      </c>
      <c r="U2877" t="n">
        <v>0</v>
      </c>
      <c r="V2877" s="2" t="inlineStr"/>
    </row>
    <row r="2878" ht="15" customHeight="1">
      <c r="A2878" t="inlineStr">
        <is>
          <t>A 8790-2023</t>
        </is>
      </c>
      <c r="B2878" t="inlineStr">
        <is>
          <t>avverkningsanmälan</t>
        </is>
      </c>
      <c r="C2878" t="inlineStr">
        <is>
          <t>Föryngringsavverkning</t>
        </is>
      </c>
      <c r="D2878" s="1" t="n">
        <v>44978</v>
      </c>
      <c r="E2878" s="1" t="n">
        <v>46309</v>
      </c>
      <c r="F2878" t="inlineStr">
        <is>
          <t>UPPSALA LÄN</t>
        </is>
      </c>
      <c r="G2878" t="inlineStr">
        <is>
          <t>HEBY</t>
        </is>
      </c>
      <c r="I2878" t="n">
        <v>1</v>
      </c>
      <c r="J2878" t="n">
        <v>0</v>
      </c>
      <c r="K2878" t="n">
        <v>0</v>
      </c>
      <c r="L2878" t="n">
        <v>0</v>
      </c>
      <c r="M2878" t="n">
        <v>0</v>
      </c>
      <c r="N2878" t="n">
        <v>0</v>
      </c>
      <c r="O2878" t="n">
        <v>0</v>
      </c>
      <c r="P2878" t="n">
        <v>0</v>
      </c>
      <c r="Q2878" t="n">
        <v>0</v>
      </c>
      <c r="R2878" t="n">
        <v>0</v>
      </c>
      <c r="S2878" t="n">
        <v>0</v>
      </c>
      <c r="T2878" t="n">
        <v>0</v>
      </c>
      <c r="U2878" t="n">
        <v>0</v>
      </c>
      <c r="V2878" s="2" t="inlineStr"/>
    </row>
    <row r="2879" ht="15" customHeight="1">
      <c r="A2879" t="inlineStr">
        <is>
          <t>A 30575-2026</t>
        </is>
      </c>
      <c r="B2879" t="inlineStr">
        <is>
          <t>avverkningsanmälan</t>
        </is>
      </c>
      <c r="C2879" t="inlineStr">
        <is>
          <t>Föryngringsavverkning</t>
        </is>
      </c>
      <c r="D2879" s="1" t="n">
        <v>46210</v>
      </c>
      <c r="E2879" s="1" t="n">
        <v>46309</v>
      </c>
      <c r="F2879" t="inlineStr">
        <is>
          <t>UPPSALA LÄN</t>
        </is>
      </c>
      <c r="G2879" t="inlineStr">
        <is>
          <t>TIERP</t>
        </is>
      </c>
      <c r="H2879" t="inlineStr">
        <is>
          <t>Bergvik skog öst AB</t>
        </is>
      </c>
      <c r="I2879" t="n">
        <v>2.4</v>
      </c>
      <c r="J2879" t="n">
        <v>0</v>
      </c>
      <c r="K2879" t="n">
        <v>0</v>
      </c>
      <c r="L2879" t="n">
        <v>0</v>
      </c>
      <c r="M2879" t="n">
        <v>0</v>
      </c>
      <c r="N2879" t="n">
        <v>0</v>
      </c>
      <c r="O2879" t="n">
        <v>0</v>
      </c>
      <c r="P2879" t="n">
        <v>0</v>
      </c>
      <c r="Q2879" t="n">
        <v>0</v>
      </c>
      <c r="R2879" t="n">
        <v>0</v>
      </c>
      <c r="S2879" t="n">
        <v>0</v>
      </c>
      <c r="T2879" t="n">
        <v>0</v>
      </c>
      <c r="U2879" t="n">
        <v>0</v>
      </c>
      <c r="V2879" s="2" t="inlineStr"/>
    </row>
    <row r="2880" ht="15" customHeight="1">
      <c r="A2880" t="inlineStr">
        <is>
          <t>A 30728-2026</t>
        </is>
      </c>
      <c r="B2880" t="inlineStr">
        <is>
          <t>avverkningsanmälan</t>
        </is>
      </c>
      <c r="C2880" t="inlineStr">
        <is>
          <t>Föryngringsavverkning</t>
        </is>
      </c>
      <c r="D2880" s="1" t="n">
        <v>46211</v>
      </c>
      <c r="E2880" s="1" t="n">
        <v>46309</v>
      </c>
      <c r="F2880" t="inlineStr">
        <is>
          <t>UPPSALA LÄN</t>
        </is>
      </c>
      <c r="G2880" t="inlineStr">
        <is>
          <t>ÖSTHAMMAR</t>
        </is>
      </c>
      <c r="H2880" t="inlineStr">
        <is>
          <t>Övriga Aktiebolag</t>
        </is>
      </c>
      <c r="I2880" t="n">
        <v>4.1</v>
      </c>
      <c r="J2880" t="n">
        <v>0</v>
      </c>
      <c r="K2880" t="n">
        <v>0</v>
      </c>
      <c r="L2880" t="n">
        <v>0</v>
      </c>
      <c r="M2880" t="n">
        <v>0</v>
      </c>
      <c r="N2880" t="n">
        <v>0</v>
      </c>
      <c r="O2880" t="n">
        <v>0</v>
      </c>
      <c r="P2880" t="n">
        <v>0</v>
      </c>
      <c r="Q2880" t="n">
        <v>0</v>
      </c>
      <c r="R2880" t="n">
        <v>0</v>
      </c>
      <c r="S2880" t="n">
        <v>0</v>
      </c>
      <c r="T2880" t="n">
        <v>0</v>
      </c>
      <c r="U2880" t="n">
        <v>0</v>
      </c>
      <c r="V2880" s="2" t="inlineStr"/>
    </row>
    <row r="2881" ht="15" customHeight="1">
      <c r="A2881" t="inlineStr">
        <is>
          <t>A 48864-2022</t>
        </is>
      </c>
      <c r="B2881" t="inlineStr">
        <is>
          <t>avverkningsanmälan</t>
        </is>
      </c>
      <c r="C2881" t="inlineStr">
        <is>
          <t>Föryngringsavverkning</t>
        </is>
      </c>
      <c r="D2881" s="1" t="n">
        <v>44859</v>
      </c>
      <c r="E2881" s="1" t="n">
        <v>46309</v>
      </c>
      <c r="F2881" t="inlineStr">
        <is>
          <t>UPPSALA LÄN</t>
        </is>
      </c>
      <c r="G2881" t="inlineStr">
        <is>
          <t>ENKÖPING</t>
        </is>
      </c>
      <c r="I2881" t="n">
        <v>0.5</v>
      </c>
      <c r="J2881" t="n">
        <v>0</v>
      </c>
      <c r="K2881" t="n">
        <v>0</v>
      </c>
      <c r="L2881" t="n">
        <v>0</v>
      </c>
      <c r="M2881" t="n">
        <v>0</v>
      </c>
      <c r="N2881" t="n">
        <v>0</v>
      </c>
      <c r="O2881" t="n">
        <v>0</v>
      </c>
      <c r="P2881" t="n">
        <v>0</v>
      </c>
      <c r="Q2881" t="n">
        <v>0</v>
      </c>
      <c r="R2881" t="n">
        <v>0</v>
      </c>
      <c r="S2881" t="n">
        <v>0</v>
      </c>
      <c r="T2881" t="n">
        <v>0</v>
      </c>
      <c r="U2881" t="n">
        <v>0</v>
      </c>
      <c r="V2881" s="2" t="inlineStr"/>
    </row>
    <row r="2882" ht="15" customHeight="1">
      <c r="A2882" t="inlineStr">
        <is>
          <t>A 31622-2022</t>
        </is>
      </c>
      <c r="B2882" t="inlineStr">
        <is>
          <t>avverkningsanmälan</t>
        </is>
      </c>
      <c r="C2882" t="inlineStr">
        <is>
          <t>Föryngringsavverkning</t>
        </is>
      </c>
      <c r="D2882" s="1" t="n">
        <v>44775</v>
      </c>
      <c r="E2882" s="1" t="n">
        <v>46309</v>
      </c>
      <c r="F2882" t="inlineStr">
        <is>
          <t>UPPSALA LÄN</t>
        </is>
      </c>
      <c r="G2882" t="inlineStr">
        <is>
          <t>ENKÖPING</t>
        </is>
      </c>
      <c r="I2882" t="n">
        <v>1.5</v>
      </c>
      <c r="J2882" t="n">
        <v>0</v>
      </c>
      <c r="K2882" t="n">
        <v>0</v>
      </c>
      <c r="L2882" t="n">
        <v>0</v>
      </c>
      <c r="M2882" t="n">
        <v>0</v>
      </c>
      <c r="N2882" t="n">
        <v>0</v>
      </c>
      <c r="O2882" t="n">
        <v>0</v>
      </c>
      <c r="P2882" t="n">
        <v>0</v>
      </c>
      <c r="Q2882" t="n">
        <v>0</v>
      </c>
      <c r="R2882" t="n">
        <v>0</v>
      </c>
      <c r="S2882" t="n">
        <v>0</v>
      </c>
      <c r="T2882" t="n">
        <v>0</v>
      </c>
      <c r="U2882" t="n">
        <v>0</v>
      </c>
      <c r="V2882" s="2" t="inlineStr"/>
    </row>
    <row r="2883" ht="15" customHeight="1">
      <c r="A2883" t="inlineStr">
        <is>
          <t>A 30932-2026</t>
        </is>
      </c>
      <c r="B2883" t="inlineStr">
        <is>
          <t>avverkningsanmälan</t>
        </is>
      </c>
      <c r="C2883" t="inlineStr">
        <is>
          <t>Föryngringsavverkning</t>
        </is>
      </c>
      <c r="D2883" s="1" t="n">
        <v>46213</v>
      </c>
      <c r="E2883" s="1" t="n">
        <v>46309</v>
      </c>
      <c r="F2883" t="inlineStr">
        <is>
          <t>UPPSALA LÄN</t>
        </is>
      </c>
      <c r="G2883" t="inlineStr">
        <is>
          <t>TIERP</t>
        </is>
      </c>
      <c r="H2883" t="inlineStr">
        <is>
          <t>Bergvik skog väst AB</t>
        </is>
      </c>
      <c r="I2883" t="n">
        <v>4.2</v>
      </c>
      <c r="J2883" t="n">
        <v>0</v>
      </c>
      <c r="K2883" t="n">
        <v>0</v>
      </c>
      <c r="L2883" t="n">
        <v>0</v>
      </c>
      <c r="M2883" t="n">
        <v>0</v>
      </c>
      <c r="N2883" t="n">
        <v>0</v>
      </c>
      <c r="O2883" t="n">
        <v>0</v>
      </c>
      <c r="P2883" t="n">
        <v>0</v>
      </c>
      <c r="Q2883" t="n">
        <v>0</v>
      </c>
      <c r="R2883" t="n">
        <v>0</v>
      </c>
      <c r="S2883" t="n">
        <v>0</v>
      </c>
      <c r="T2883" t="n">
        <v>0</v>
      </c>
      <c r="U2883" t="n">
        <v>0</v>
      </c>
      <c r="V2883" s="2" t="inlineStr"/>
    </row>
    <row r="2884" ht="15" customHeight="1">
      <c r="A2884" t="inlineStr">
        <is>
          <t>A 5678-2023</t>
        </is>
      </c>
      <c r="B2884" t="inlineStr">
        <is>
          <t>avverkningsanmälan</t>
        </is>
      </c>
      <c r="C2884" t="inlineStr">
        <is>
          <t>Föryngringsavverkning</t>
        </is>
      </c>
      <c r="D2884" s="1" t="n">
        <v>44960</v>
      </c>
      <c r="E2884" s="1" t="n">
        <v>46309</v>
      </c>
      <c r="F2884" t="inlineStr">
        <is>
          <t>UPPSALA LÄN</t>
        </is>
      </c>
      <c r="G2884" t="inlineStr">
        <is>
          <t>UPPSALA</t>
        </is>
      </c>
      <c r="I2884" t="n">
        <v>0.5</v>
      </c>
      <c r="J2884" t="n">
        <v>0</v>
      </c>
      <c r="K2884" t="n">
        <v>0</v>
      </c>
      <c r="L2884" t="n">
        <v>0</v>
      </c>
      <c r="M2884" t="n">
        <v>0</v>
      </c>
      <c r="N2884" t="n">
        <v>0</v>
      </c>
      <c r="O2884" t="n">
        <v>0</v>
      </c>
      <c r="P2884" t="n">
        <v>0</v>
      </c>
      <c r="Q2884" t="n">
        <v>0</v>
      </c>
      <c r="R2884" t="n">
        <v>0</v>
      </c>
      <c r="S2884" t="n">
        <v>0</v>
      </c>
      <c r="T2884" t="n">
        <v>0</v>
      </c>
      <c r="U2884" t="n">
        <v>0</v>
      </c>
      <c r="V2884" s="2" t="inlineStr"/>
    </row>
    <row r="2885" ht="15" customHeight="1">
      <c r="A2885" t="inlineStr">
        <is>
          <t>A 60295-2021</t>
        </is>
      </c>
      <c r="B2885" t="inlineStr">
        <is>
          <t>avverkningsanmälan</t>
        </is>
      </c>
      <c r="C2885" t="inlineStr">
        <is>
          <t>Föryngringsavverkning</t>
        </is>
      </c>
      <c r="D2885" s="1" t="n">
        <v>44495</v>
      </c>
      <c r="E2885" s="1" t="n">
        <v>46309</v>
      </c>
      <c r="F2885" t="inlineStr">
        <is>
          <t>UPPSALA LÄN</t>
        </is>
      </c>
      <c r="G2885" t="inlineStr">
        <is>
          <t>HEBY</t>
        </is>
      </c>
      <c r="I2885" t="n">
        <v>1.7</v>
      </c>
      <c r="J2885" t="n">
        <v>0</v>
      </c>
      <c r="K2885" t="n">
        <v>0</v>
      </c>
      <c r="L2885" t="n">
        <v>0</v>
      </c>
      <c r="M2885" t="n">
        <v>0</v>
      </c>
      <c r="N2885" t="n">
        <v>0</v>
      </c>
      <c r="O2885" t="n">
        <v>0</v>
      </c>
      <c r="P2885" t="n">
        <v>0</v>
      </c>
      <c r="Q2885" t="n">
        <v>0</v>
      </c>
      <c r="R2885" t="n">
        <v>0</v>
      </c>
      <c r="S2885" t="n">
        <v>0</v>
      </c>
      <c r="T2885" t="n">
        <v>0</v>
      </c>
      <c r="U2885" t="n">
        <v>0</v>
      </c>
      <c r="V2885" s="2" t="inlineStr"/>
    </row>
    <row r="2886" ht="15" customHeight="1">
      <c r="A2886" t="inlineStr">
        <is>
          <t>A 30794-2026</t>
        </is>
      </c>
      <c r="B2886" t="inlineStr">
        <is>
          <t>avverkningsanmälan</t>
        </is>
      </c>
      <c r="C2886" t="inlineStr">
        <is>
          <t>Föryngringsavverkning</t>
        </is>
      </c>
      <c r="D2886" s="1" t="n">
        <v>46212</v>
      </c>
      <c r="E2886" s="1" t="n">
        <v>46309</v>
      </c>
      <c r="F2886" t="inlineStr">
        <is>
          <t>UPPSALA LÄN</t>
        </is>
      </c>
      <c r="G2886" t="inlineStr">
        <is>
          <t>TIERP</t>
        </is>
      </c>
      <c r="H2886" t="inlineStr">
        <is>
          <t>Övriga Aktiebolag</t>
        </is>
      </c>
      <c r="I2886" t="n">
        <v>1.4</v>
      </c>
      <c r="J2886" t="n">
        <v>0</v>
      </c>
      <c r="K2886" t="n">
        <v>0</v>
      </c>
      <c r="L2886" t="n">
        <v>0</v>
      </c>
      <c r="M2886" t="n">
        <v>0</v>
      </c>
      <c r="N2886" t="n">
        <v>0</v>
      </c>
      <c r="O2886" t="n">
        <v>0</v>
      </c>
      <c r="P2886" t="n">
        <v>0</v>
      </c>
      <c r="Q2886" t="n">
        <v>0</v>
      </c>
      <c r="R2886" t="n">
        <v>0</v>
      </c>
      <c r="S2886" t="n">
        <v>0</v>
      </c>
      <c r="T2886" t="n">
        <v>0</v>
      </c>
      <c r="U2886" t="n">
        <v>0</v>
      </c>
      <c r="V2886" s="2" t="inlineStr"/>
    </row>
    <row r="2887" ht="15" customHeight="1">
      <c r="A2887" t="inlineStr">
        <is>
          <t>A 5028-2022</t>
        </is>
      </c>
      <c r="B2887" t="inlineStr">
        <is>
          <t>avverkningsanmälan</t>
        </is>
      </c>
      <c r="C2887" t="inlineStr">
        <is>
          <t>Föryngringsavverkning</t>
        </is>
      </c>
      <c r="D2887" s="1" t="n">
        <v>44593</v>
      </c>
      <c r="E2887" s="1" t="n">
        <v>46309</v>
      </c>
      <c r="F2887" t="inlineStr">
        <is>
          <t>UPPSALA LÄN</t>
        </is>
      </c>
      <c r="G2887" t="inlineStr">
        <is>
          <t>UPPSALA</t>
        </is>
      </c>
      <c r="H2887" t="inlineStr">
        <is>
          <t>Holmen skog AB</t>
        </is>
      </c>
      <c r="I2887" t="n">
        <v>1.6</v>
      </c>
      <c r="J2887" t="n">
        <v>0</v>
      </c>
      <c r="K2887" t="n">
        <v>0</v>
      </c>
      <c r="L2887" t="n">
        <v>0</v>
      </c>
      <c r="M2887" t="n">
        <v>0</v>
      </c>
      <c r="N2887" t="n">
        <v>0</v>
      </c>
      <c r="O2887" t="n">
        <v>0</v>
      </c>
      <c r="P2887" t="n">
        <v>0</v>
      </c>
      <c r="Q2887" t="n">
        <v>0</v>
      </c>
      <c r="R2887" t="n">
        <v>0</v>
      </c>
      <c r="S2887" t="n">
        <v>0</v>
      </c>
      <c r="T2887" t="n">
        <v>0</v>
      </c>
      <c r="U2887" t="n">
        <v>0</v>
      </c>
      <c r="V2887" s="2" t="inlineStr"/>
    </row>
    <row r="2888" ht="15" customHeight="1">
      <c r="A2888" t="inlineStr">
        <is>
          <t>A 30979-2026</t>
        </is>
      </c>
      <c r="B2888" t="inlineStr">
        <is>
          <t>avverkningsanmälan</t>
        </is>
      </c>
      <c r="C2888" t="inlineStr">
        <is>
          <t>Föryngringsavverkning</t>
        </is>
      </c>
      <c r="D2888" s="1" t="n">
        <v>46213</v>
      </c>
      <c r="E2888" s="1" t="n">
        <v>46309</v>
      </c>
      <c r="F2888" t="inlineStr">
        <is>
          <t>UPPSALA LÄN</t>
        </is>
      </c>
      <c r="G2888" t="inlineStr">
        <is>
          <t>TIERP</t>
        </is>
      </c>
      <c r="H2888" t="inlineStr">
        <is>
          <t>Bergvik skog öst AB</t>
        </is>
      </c>
      <c r="I2888" t="n">
        <v>6.4</v>
      </c>
      <c r="J2888" t="n">
        <v>0</v>
      </c>
      <c r="K2888" t="n">
        <v>0</v>
      </c>
      <c r="L2888" t="n">
        <v>0</v>
      </c>
      <c r="M2888" t="n">
        <v>0</v>
      </c>
      <c r="N2888" t="n">
        <v>0</v>
      </c>
      <c r="O2888" t="n">
        <v>0</v>
      </c>
      <c r="P2888" t="n">
        <v>0</v>
      </c>
      <c r="Q2888" t="n">
        <v>0</v>
      </c>
      <c r="R2888" t="n">
        <v>0</v>
      </c>
      <c r="S2888" t="n">
        <v>0</v>
      </c>
      <c r="T2888" t="n">
        <v>0</v>
      </c>
      <c r="U2888" t="n">
        <v>0</v>
      </c>
      <c r="V2888" s="2" t="inlineStr"/>
    </row>
    <row r="2889" ht="15" customHeight="1">
      <c r="A2889" t="inlineStr">
        <is>
          <t>A 179-2023</t>
        </is>
      </c>
      <c r="B2889" t="inlineStr">
        <is>
          <t>avverkningsanmälan</t>
        </is>
      </c>
      <c r="C2889" t="inlineStr">
        <is>
          <t>Föryngringsavverkning</t>
        </is>
      </c>
      <c r="D2889" s="1" t="n">
        <v>44928</v>
      </c>
      <c r="E2889" s="1" t="n">
        <v>46309</v>
      </c>
      <c r="F2889" t="inlineStr">
        <is>
          <t>UPPSALA LÄN</t>
        </is>
      </c>
      <c r="G2889" t="inlineStr">
        <is>
          <t>UPPSALA</t>
        </is>
      </c>
      <c r="H2889" t="inlineStr">
        <is>
          <t>Kommuner</t>
        </is>
      </c>
      <c r="I2889" t="n">
        <v>1.4</v>
      </c>
      <c r="J2889" t="n">
        <v>0</v>
      </c>
      <c r="K2889" t="n">
        <v>0</v>
      </c>
      <c r="L2889" t="n">
        <v>0</v>
      </c>
      <c r="M2889" t="n">
        <v>0</v>
      </c>
      <c r="N2889" t="n">
        <v>0</v>
      </c>
      <c r="O2889" t="n">
        <v>0</v>
      </c>
      <c r="P2889" t="n">
        <v>0</v>
      </c>
      <c r="Q2889" t="n">
        <v>0</v>
      </c>
      <c r="R2889" t="n">
        <v>0</v>
      </c>
      <c r="S2889" t="n">
        <v>0</v>
      </c>
      <c r="T2889" t="n">
        <v>0</v>
      </c>
      <c r="U2889" t="n">
        <v>0</v>
      </c>
      <c r="V2889" s="2" t="inlineStr"/>
    </row>
    <row r="2890" ht="15" customHeight="1">
      <c r="A2890" t="inlineStr">
        <is>
          <t>A 44093-2024</t>
        </is>
      </c>
      <c r="B2890" t="inlineStr">
        <is>
          <t>avverkningsanmälan</t>
        </is>
      </c>
      <c r="C2890" t="inlineStr">
        <is>
          <t>Föryngringsavverkning</t>
        </is>
      </c>
      <c r="D2890" s="1" t="n">
        <v>45572</v>
      </c>
      <c r="E2890" s="1" t="n">
        <v>46309</v>
      </c>
      <c r="F2890" t="inlineStr">
        <is>
          <t>UPPSALA LÄN</t>
        </is>
      </c>
      <c r="G2890" t="inlineStr">
        <is>
          <t>HEBY</t>
        </is>
      </c>
      <c r="I2890" t="n">
        <v>0.7</v>
      </c>
      <c r="J2890" t="n">
        <v>0</v>
      </c>
      <c r="K2890" t="n">
        <v>0</v>
      </c>
      <c r="L2890" t="n">
        <v>0</v>
      </c>
      <c r="M2890" t="n">
        <v>0</v>
      </c>
      <c r="N2890" t="n">
        <v>0</v>
      </c>
      <c r="O2890" t="n">
        <v>0</v>
      </c>
      <c r="P2890" t="n">
        <v>0</v>
      </c>
      <c r="Q2890" t="n">
        <v>0</v>
      </c>
      <c r="R2890" t="n">
        <v>0</v>
      </c>
      <c r="S2890" t="n">
        <v>0</v>
      </c>
      <c r="T2890" t="n">
        <v>0</v>
      </c>
      <c r="U2890" t="n">
        <v>0</v>
      </c>
      <c r="V2890" s="2" t="inlineStr"/>
    </row>
    <row r="2891" ht="15" customHeight="1">
      <c r="A2891" t="inlineStr">
        <is>
          <t>A 30977-2026</t>
        </is>
      </c>
      <c r="B2891" t="inlineStr">
        <is>
          <t>avverkningsanmälan</t>
        </is>
      </c>
      <c r="C2891" t="inlineStr">
        <is>
          <t>Föryngringsavverkning</t>
        </is>
      </c>
      <c r="D2891" s="1" t="n">
        <v>46213</v>
      </c>
      <c r="E2891" s="1" t="n">
        <v>46309</v>
      </c>
      <c r="F2891" t="inlineStr">
        <is>
          <t>UPPSALA LÄN</t>
        </is>
      </c>
      <c r="G2891" t="inlineStr">
        <is>
          <t>TIERP</t>
        </is>
      </c>
      <c r="I2891" t="n">
        <v>0.8</v>
      </c>
      <c r="J2891" t="n">
        <v>0</v>
      </c>
      <c r="K2891" t="n">
        <v>0</v>
      </c>
      <c r="L2891" t="n">
        <v>0</v>
      </c>
      <c r="M2891" t="n">
        <v>0</v>
      </c>
      <c r="N2891" t="n">
        <v>0</v>
      </c>
      <c r="O2891" t="n">
        <v>0</v>
      </c>
      <c r="P2891" t="n">
        <v>0</v>
      </c>
      <c r="Q2891" t="n">
        <v>0</v>
      </c>
      <c r="R2891" t="n">
        <v>0</v>
      </c>
      <c r="S2891" t="n">
        <v>0</v>
      </c>
      <c r="T2891" t="n">
        <v>0</v>
      </c>
      <c r="U2891" t="n">
        <v>0</v>
      </c>
      <c r="V2891" s="2" t="inlineStr"/>
    </row>
    <row r="2892" ht="15" customHeight="1">
      <c r="A2892" t="inlineStr">
        <is>
          <t>A 12154-2023</t>
        </is>
      </c>
      <c r="B2892" t="inlineStr">
        <is>
          <t>avverkningsanmälan</t>
        </is>
      </c>
      <c r="C2892" t="inlineStr">
        <is>
          <t>Föryngringsavverkning</t>
        </is>
      </c>
      <c r="D2892" s="1" t="n">
        <v>44998</v>
      </c>
      <c r="E2892" s="1" t="n">
        <v>46309</v>
      </c>
      <c r="F2892" t="inlineStr">
        <is>
          <t>UPPSALA LÄN</t>
        </is>
      </c>
      <c r="G2892" t="inlineStr">
        <is>
          <t>HÅBO</t>
        </is>
      </c>
      <c r="I2892" t="n">
        <v>2.7</v>
      </c>
      <c r="J2892" t="n">
        <v>0</v>
      </c>
      <c r="K2892" t="n">
        <v>0</v>
      </c>
      <c r="L2892" t="n">
        <v>0</v>
      </c>
      <c r="M2892" t="n">
        <v>0</v>
      </c>
      <c r="N2892" t="n">
        <v>0</v>
      </c>
      <c r="O2892" t="n">
        <v>0</v>
      </c>
      <c r="P2892" t="n">
        <v>0</v>
      </c>
      <c r="Q2892" t="n">
        <v>0</v>
      </c>
      <c r="R2892" t="n">
        <v>0</v>
      </c>
      <c r="S2892" t="n">
        <v>0</v>
      </c>
      <c r="T2892" t="n">
        <v>0</v>
      </c>
      <c r="U2892" t="n">
        <v>0</v>
      </c>
      <c r="V2892" s="2" t="inlineStr"/>
    </row>
    <row r="2893" ht="15" customHeight="1">
      <c r="A2893" t="inlineStr">
        <is>
          <t>A 3327-2023</t>
        </is>
      </c>
      <c r="B2893" t="inlineStr">
        <is>
          <t>avverkningsanmälan</t>
        </is>
      </c>
      <c r="C2893" t="inlineStr">
        <is>
          <t>Föryngringsavverkning</t>
        </is>
      </c>
      <c r="D2893" s="1" t="n">
        <v>44949</v>
      </c>
      <c r="E2893" s="1" t="n">
        <v>46309</v>
      </c>
      <c r="F2893" t="inlineStr">
        <is>
          <t>UPPSALA LÄN</t>
        </is>
      </c>
      <c r="G2893" t="inlineStr">
        <is>
          <t>ÖSTHAMMAR</t>
        </is>
      </c>
      <c r="I2893" t="n">
        <v>1.1</v>
      </c>
      <c r="J2893" t="n">
        <v>0</v>
      </c>
      <c r="K2893" t="n">
        <v>0</v>
      </c>
      <c r="L2893" t="n">
        <v>0</v>
      </c>
      <c r="M2893" t="n">
        <v>0</v>
      </c>
      <c r="N2893" t="n">
        <v>0</v>
      </c>
      <c r="O2893" t="n">
        <v>0</v>
      </c>
      <c r="P2893" t="n">
        <v>0</v>
      </c>
      <c r="Q2893" t="n">
        <v>0</v>
      </c>
      <c r="R2893" t="n">
        <v>0</v>
      </c>
      <c r="S2893" t="n">
        <v>0</v>
      </c>
      <c r="T2893" t="n">
        <v>0</v>
      </c>
      <c r="U2893" t="n">
        <v>0</v>
      </c>
      <c r="V2893" s="2" t="inlineStr"/>
    </row>
    <row r="2894" ht="15" customHeight="1">
      <c r="A2894" t="inlineStr">
        <is>
          <t>A 4233-2023</t>
        </is>
      </c>
      <c r="B2894" t="inlineStr">
        <is>
          <t>avverkningsanmälan</t>
        </is>
      </c>
      <c r="C2894" t="inlineStr">
        <is>
          <t>Föryngringsavverkning</t>
        </is>
      </c>
      <c r="D2894" s="1" t="n">
        <v>44953</v>
      </c>
      <c r="E2894" s="1" t="n">
        <v>46309</v>
      </c>
      <c r="F2894" t="inlineStr">
        <is>
          <t>UPPSALA LÄN</t>
        </is>
      </c>
      <c r="G2894" t="inlineStr">
        <is>
          <t>ÖSTHAMMAR</t>
        </is>
      </c>
      <c r="I2894" t="n">
        <v>0.9</v>
      </c>
      <c r="J2894" t="n">
        <v>0</v>
      </c>
      <c r="K2894" t="n">
        <v>0</v>
      </c>
      <c r="L2894" t="n">
        <v>0</v>
      </c>
      <c r="M2894" t="n">
        <v>0</v>
      </c>
      <c r="N2894" t="n">
        <v>0</v>
      </c>
      <c r="O2894" t="n">
        <v>0</v>
      </c>
      <c r="P2894" t="n">
        <v>0</v>
      </c>
      <c r="Q2894" t="n">
        <v>0</v>
      </c>
      <c r="R2894" t="n">
        <v>0</v>
      </c>
      <c r="S2894" t="n">
        <v>0</v>
      </c>
      <c r="T2894" t="n">
        <v>0</v>
      </c>
      <c r="U2894" t="n">
        <v>0</v>
      </c>
      <c r="V2894" s="2" t="inlineStr"/>
    </row>
    <row r="2895" ht="15" customHeight="1">
      <c r="A2895" t="inlineStr">
        <is>
          <t>A 30811-2023</t>
        </is>
      </c>
      <c r="B2895" t="inlineStr">
        <is>
          <t>avverkningsanmälan</t>
        </is>
      </c>
      <c r="C2895" t="inlineStr">
        <is>
          <t>Föryngringsavverkning</t>
        </is>
      </c>
      <c r="D2895" s="1" t="n">
        <v>45112</v>
      </c>
      <c r="E2895" s="1" t="n">
        <v>46309</v>
      </c>
      <c r="F2895" t="inlineStr">
        <is>
          <t>UPPSALA LÄN</t>
        </is>
      </c>
      <c r="G2895" t="inlineStr">
        <is>
          <t>ÖSTHAMMAR</t>
        </is>
      </c>
      <c r="H2895" t="inlineStr">
        <is>
          <t>Bergvik skog öst AB</t>
        </is>
      </c>
      <c r="I2895" t="n">
        <v>0.7</v>
      </c>
      <c r="J2895" t="n">
        <v>0</v>
      </c>
      <c r="K2895" t="n">
        <v>0</v>
      </c>
      <c r="L2895" t="n">
        <v>0</v>
      </c>
      <c r="M2895" t="n">
        <v>0</v>
      </c>
      <c r="N2895" t="n">
        <v>0</v>
      </c>
      <c r="O2895" t="n">
        <v>0</v>
      </c>
      <c r="P2895" t="n">
        <v>0</v>
      </c>
      <c r="Q2895" t="n">
        <v>0</v>
      </c>
      <c r="R2895" t="n">
        <v>0</v>
      </c>
      <c r="S2895" t="n">
        <v>0</v>
      </c>
      <c r="T2895" t="n">
        <v>0</v>
      </c>
      <c r="U2895" t="n">
        <v>0</v>
      </c>
      <c r="V2895" s="2" t="inlineStr"/>
    </row>
    <row r="2896" ht="15" customHeight="1">
      <c r="A2896" t="inlineStr">
        <is>
          <t>A 15326-2022</t>
        </is>
      </c>
      <c r="B2896" t="inlineStr">
        <is>
          <t>avverkningsanmälan</t>
        </is>
      </c>
      <c r="C2896" t="inlineStr">
        <is>
          <t>Föryngringsavverkning</t>
        </is>
      </c>
      <c r="D2896" s="1" t="n">
        <v>44659</v>
      </c>
      <c r="E2896" s="1" t="n">
        <v>46309</v>
      </c>
      <c r="F2896" t="inlineStr">
        <is>
          <t>UPPSALA LÄN</t>
        </is>
      </c>
      <c r="G2896" t="inlineStr">
        <is>
          <t>HEBY</t>
        </is>
      </c>
      <c r="I2896" t="n">
        <v>1.1</v>
      </c>
      <c r="J2896" t="n">
        <v>0</v>
      </c>
      <c r="K2896" t="n">
        <v>0</v>
      </c>
      <c r="L2896" t="n">
        <v>0</v>
      </c>
      <c r="M2896" t="n">
        <v>0</v>
      </c>
      <c r="N2896" t="n">
        <v>0</v>
      </c>
      <c r="O2896" t="n">
        <v>0</v>
      </c>
      <c r="P2896" t="n">
        <v>0</v>
      </c>
      <c r="Q2896" t="n">
        <v>0</v>
      </c>
      <c r="R2896" t="n">
        <v>0</v>
      </c>
      <c r="S2896" t="n">
        <v>0</v>
      </c>
      <c r="T2896" t="n">
        <v>0</v>
      </c>
      <c r="U2896" t="n">
        <v>0</v>
      </c>
      <c r="V2896" s="2" t="inlineStr"/>
    </row>
    <row r="2897" ht="15" customHeight="1">
      <c r="A2897" t="inlineStr">
        <is>
          <t>A 22636-2024</t>
        </is>
      </c>
      <c r="B2897" t="inlineStr">
        <is>
          <t>avverkningsanmälan</t>
        </is>
      </c>
      <c r="C2897" t="inlineStr">
        <is>
          <t>Föryngringsavverkning</t>
        </is>
      </c>
      <c r="D2897" s="1" t="n">
        <v>45447</v>
      </c>
      <c r="E2897" s="1" t="n">
        <v>46309</v>
      </c>
      <c r="F2897" t="inlineStr">
        <is>
          <t>UPPSALA LÄN</t>
        </is>
      </c>
      <c r="G2897" t="inlineStr">
        <is>
          <t>TIERP</t>
        </is>
      </c>
      <c r="I2897" t="n">
        <v>0.5</v>
      </c>
      <c r="J2897" t="n">
        <v>0</v>
      </c>
      <c r="K2897" t="n">
        <v>0</v>
      </c>
      <c r="L2897" t="n">
        <v>0</v>
      </c>
      <c r="M2897" t="n">
        <v>0</v>
      </c>
      <c r="N2897" t="n">
        <v>0</v>
      </c>
      <c r="O2897" t="n">
        <v>0</v>
      </c>
      <c r="P2897" t="n">
        <v>0</v>
      </c>
      <c r="Q2897" t="n">
        <v>0</v>
      </c>
      <c r="R2897" t="n">
        <v>0</v>
      </c>
      <c r="S2897" t="n">
        <v>0</v>
      </c>
      <c r="T2897" t="n">
        <v>0</v>
      </c>
      <c r="U2897" t="n">
        <v>0</v>
      </c>
      <c r="V2897" s="2" t="inlineStr"/>
    </row>
    <row r="2898" ht="15" customHeight="1">
      <c r="A2898" t="inlineStr">
        <is>
          <t>A 60154-2022</t>
        </is>
      </c>
      <c r="B2898" t="inlineStr">
        <is>
          <t>avverkningsanmälan</t>
        </is>
      </c>
      <c r="C2898" t="inlineStr">
        <is>
          <t>Föryngringsavverkning</t>
        </is>
      </c>
      <c r="D2898" s="1" t="n">
        <v>44909</v>
      </c>
      <c r="E2898" s="1" t="n">
        <v>46309</v>
      </c>
      <c r="F2898" t="inlineStr">
        <is>
          <t>UPPSALA LÄN</t>
        </is>
      </c>
      <c r="G2898" t="inlineStr">
        <is>
          <t>TIERP</t>
        </is>
      </c>
      <c r="I2898" t="n">
        <v>6</v>
      </c>
      <c r="J2898" t="n">
        <v>0</v>
      </c>
      <c r="K2898" t="n">
        <v>0</v>
      </c>
      <c r="L2898" t="n">
        <v>0</v>
      </c>
      <c r="M2898" t="n">
        <v>0</v>
      </c>
      <c r="N2898" t="n">
        <v>0</v>
      </c>
      <c r="O2898" t="n">
        <v>0</v>
      </c>
      <c r="P2898" t="n">
        <v>0</v>
      </c>
      <c r="Q2898" t="n">
        <v>0</v>
      </c>
      <c r="R2898" t="n">
        <v>0</v>
      </c>
      <c r="S2898" t="n">
        <v>0</v>
      </c>
      <c r="T2898" t="n">
        <v>0</v>
      </c>
      <c r="U2898" t="n">
        <v>0</v>
      </c>
      <c r="V2898" s="2" t="inlineStr"/>
    </row>
    <row r="2899" ht="15" customHeight="1">
      <c r="A2899" t="inlineStr">
        <is>
          <t>A 26557-2022</t>
        </is>
      </c>
      <c r="B2899" t="inlineStr">
        <is>
          <t>avverkningsanmälan</t>
        </is>
      </c>
      <c r="C2899" t="inlineStr">
        <is>
          <t>Föryngringsavverkning</t>
        </is>
      </c>
      <c r="D2899" s="1" t="n">
        <v>44739</v>
      </c>
      <c r="E2899" s="1" t="n">
        <v>46309</v>
      </c>
      <c r="F2899" t="inlineStr">
        <is>
          <t>UPPSALA LÄN</t>
        </is>
      </c>
      <c r="G2899" t="inlineStr">
        <is>
          <t>ÖSTHAMMAR</t>
        </is>
      </c>
      <c r="H2899" t="inlineStr">
        <is>
          <t>Övriga statliga verk och myndigheter</t>
        </is>
      </c>
      <c r="I2899" t="n">
        <v>1.7</v>
      </c>
      <c r="J2899" t="n">
        <v>0</v>
      </c>
      <c r="K2899" t="n">
        <v>0</v>
      </c>
      <c r="L2899" t="n">
        <v>0</v>
      </c>
      <c r="M2899" t="n">
        <v>0</v>
      </c>
      <c r="N2899" t="n">
        <v>0</v>
      </c>
      <c r="O2899" t="n">
        <v>0</v>
      </c>
      <c r="P2899" t="n">
        <v>0</v>
      </c>
      <c r="Q2899" t="n">
        <v>0</v>
      </c>
      <c r="R2899" t="n">
        <v>0</v>
      </c>
      <c r="S2899" t="n">
        <v>0</v>
      </c>
      <c r="T2899" t="n">
        <v>0</v>
      </c>
      <c r="U2899" t="n">
        <v>0</v>
      </c>
      <c r="V2899" s="2" t="inlineStr"/>
    </row>
    <row r="2900" ht="15" customHeight="1">
      <c r="A2900" t="inlineStr">
        <is>
          <t>A 64128-2023</t>
        </is>
      </c>
      <c r="B2900" t="inlineStr">
        <is>
          <t>avverkningsanmälan</t>
        </is>
      </c>
      <c r="C2900" t="inlineStr">
        <is>
          <t>Föryngringsavverkning</t>
        </is>
      </c>
      <c r="D2900" s="1" t="n">
        <v>45279</v>
      </c>
      <c r="E2900" s="1" t="n">
        <v>46309</v>
      </c>
      <c r="F2900" t="inlineStr">
        <is>
          <t>UPPSALA LÄN</t>
        </is>
      </c>
      <c r="G2900" t="inlineStr">
        <is>
          <t>TIERP</t>
        </is>
      </c>
      <c r="I2900" t="n">
        <v>1.6</v>
      </c>
      <c r="J2900" t="n">
        <v>0</v>
      </c>
      <c r="K2900" t="n">
        <v>0</v>
      </c>
      <c r="L2900" t="n">
        <v>0</v>
      </c>
      <c r="M2900" t="n">
        <v>0</v>
      </c>
      <c r="N2900" t="n">
        <v>0</v>
      </c>
      <c r="O2900" t="n">
        <v>0</v>
      </c>
      <c r="P2900" t="n">
        <v>0</v>
      </c>
      <c r="Q2900" t="n">
        <v>0</v>
      </c>
      <c r="R2900" t="n">
        <v>0</v>
      </c>
      <c r="S2900" t="n">
        <v>0</v>
      </c>
      <c r="T2900" t="n">
        <v>0</v>
      </c>
      <c r="U2900" t="n">
        <v>0</v>
      </c>
      <c r="V2900" s="2" t="inlineStr"/>
    </row>
    <row r="2901" ht="15" customHeight="1">
      <c r="A2901" t="inlineStr">
        <is>
          <t>A 39795-2022</t>
        </is>
      </c>
      <c r="B2901" t="inlineStr">
        <is>
          <t>avverkningsanmälan</t>
        </is>
      </c>
      <c r="C2901" t="inlineStr">
        <is>
          <t>Föryngringsavverkning</t>
        </is>
      </c>
      <c r="D2901" s="1" t="n">
        <v>44819</v>
      </c>
      <c r="E2901" s="1" t="n">
        <v>46309</v>
      </c>
      <c r="F2901" t="inlineStr">
        <is>
          <t>UPPSALA LÄN</t>
        </is>
      </c>
      <c r="G2901" t="inlineStr">
        <is>
          <t>UPPSALA</t>
        </is>
      </c>
      <c r="H2901" t="inlineStr">
        <is>
          <t>Övriga Aktiebolag</t>
        </is>
      </c>
      <c r="I2901" t="n">
        <v>3.5</v>
      </c>
      <c r="J2901" t="n">
        <v>0</v>
      </c>
      <c r="K2901" t="n">
        <v>0</v>
      </c>
      <c r="L2901" t="n">
        <v>0</v>
      </c>
      <c r="M2901" t="n">
        <v>0</v>
      </c>
      <c r="N2901" t="n">
        <v>0</v>
      </c>
      <c r="O2901" t="n">
        <v>0</v>
      </c>
      <c r="P2901" t="n">
        <v>0</v>
      </c>
      <c r="Q2901" t="n">
        <v>0</v>
      </c>
      <c r="R2901" t="n">
        <v>0</v>
      </c>
      <c r="S2901" t="n">
        <v>0</v>
      </c>
      <c r="T2901" t="n">
        <v>0</v>
      </c>
      <c r="U2901" t="n">
        <v>0</v>
      </c>
      <c r="V2901" s="2" t="inlineStr"/>
    </row>
    <row r="2902" ht="15" customHeight="1">
      <c r="A2902" t="inlineStr">
        <is>
          <t>A 9206-2022</t>
        </is>
      </c>
      <c r="B2902" t="inlineStr">
        <is>
          <t>avverkningsanmälan</t>
        </is>
      </c>
      <c r="C2902" t="inlineStr">
        <is>
          <t>Föryngringsavverkning</t>
        </is>
      </c>
      <c r="D2902" s="1" t="n">
        <v>44616</v>
      </c>
      <c r="E2902" s="1" t="n">
        <v>46309</v>
      </c>
      <c r="F2902" t="inlineStr">
        <is>
          <t>UPPSALA LÄN</t>
        </is>
      </c>
      <c r="G2902" t="inlineStr">
        <is>
          <t>UPPSALA</t>
        </is>
      </c>
      <c r="I2902" t="n">
        <v>1.7</v>
      </c>
      <c r="J2902" t="n">
        <v>0</v>
      </c>
      <c r="K2902" t="n">
        <v>0</v>
      </c>
      <c r="L2902" t="n">
        <v>0</v>
      </c>
      <c r="M2902" t="n">
        <v>0</v>
      </c>
      <c r="N2902" t="n">
        <v>0</v>
      </c>
      <c r="O2902" t="n">
        <v>0</v>
      </c>
      <c r="P2902" t="n">
        <v>0</v>
      </c>
      <c r="Q2902" t="n">
        <v>0</v>
      </c>
      <c r="R2902" t="n">
        <v>0</v>
      </c>
      <c r="S2902" t="n">
        <v>0</v>
      </c>
      <c r="T2902" t="n">
        <v>0</v>
      </c>
      <c r="U2902" t="n">
        <v>0</v>
      </c>
      <c r="V2902" s="2" t="inlineStr"/>
    </row>
    <row r="2903" ht="15" customHeight="1">
      <c r="A2903" t="inlineStr">
        <is>
          <t>A 45848-2024</t>
        </is>
      </c>
      <c r="B2903" t="inlineStr">
        <is>
          <t>avverkningsanmälan</t>
        </is>
      </c>
      <c r="C2903" t="inlineStr">
        <is>
          <t>Föryngringsavverkning</t>
        </is>
      </c>
      <c r="D2903" s="1" t="n">
        <v>45580</v>
      </c>
      <c r="E2903" s="1" t="n">
        <v>46309</v>
      </c>
      <c r="F2903" t="inlineStr">
        <is>
          <t>UPPSALA LÄN</t>
        </is>
      </c>
      <c r="G2903" t="inlineStr">
        <is>
          <t>TIERP</t>
        </is>
      </c>
      <c r="I2903" t="n">
        <v>6.4</v>
      </c>
      <c r="J2903" t="n">
        <v>0</v>
      </c>
      <c r="K2903" t="n">
        <v>0</v>
      </c>
      <c r="L2903" t="n">
        <v>0</v>
      </c>
      <c r="M2903" t="n">
        <v>0</v>
      </c>
      <c r="N2903" t="n">
        <v>0</v>
      </c>
      <c r="O2903" t="n">
        <v>0</v>
      </c>
      <c r="P2903" t="n">
        <v>0</v>
      </c>
      <c r="Q2903" t="n">
        <v>0</v>
      </c>
      <c r="R2903" t="n">
        <v>0</v>
      </c>
      <c r="S2903" t="n">
        <v>0</v>
      </c>
      <c r="T2903" t="n">
        <v>0</v>
      </c>
      <c r="U2903" t="n">
        <v>0</v>
      </c>
      <c r="V2903" s="2" t="inlineStr"/>
    </row>
    <row r="2904" ht="15" customHeight="1">
      <c r="A2904" t="inlineStr">
        <is>
          <t>A 31210-2026</t>
        </is>
      </c>
      <c r="B2904" t="inlineStr">
        <is>
          <t>avverkningsanmälan</t>
        </is>
      </c>
      <c r="C2904" t="inlineStr">
        <is>
          <t>Avverkning för att bevara och utveckla /försöksver</t>
        </is>
      </c>
      <c r="D2904" s="1" t="n">
        <v>46217</v>
      </c>
      <c r="E2904" s="1" t="n">
        <v>46309</v>
      </c>
      <c r="F2904" t="inlineStr">
        <is>
          <t>UPPSALA LÄN</t>
        </is>
      </c>
      <c r="G2904" t="inlineStr">
        <is>
          <t>UPPSALA</t>
        </is>
      </c>
      <c r="I2904" t="n">
        <v>2.2</v>
      </c>
      <c r="J2904" t="n">
        <v>0</v>
      </c>
      <c r="K2904" t="n">
        <v>0</v>
      </c>
      <c r="L2904" t="n">
        <v>0</v>
      </c>
      <c r="M2904" t="n">
        <v>0</v>
      </c>
      <c r="N2904" t="n">
        <v>0</v>
      </c>
      <c r="O2904" t="n">
        <v>0</v>
      </c>
      <c r="P2904" t="n">
        <v>0</v>
      </c>
      <c r="Q2904" t="n">
        <v>0</v>
      </c>
      <c r="R2904" t="n">
        <v>0</v>
      </c>
      <c r="S2904" t="n">
        <v>0</v>
      </c>
      <c r="T2904" t="n">
        <v>0</v>
      </c>
      <c r="U2904" t="n">
        <v>0</v>
      </c>
      <c r="V2904" s="2" t="inlineStr"/>
    </row>
    <row r="2905" ht="15" customHeight="1">
      <c r="A2905" t="inlineStr">
        <is>
          <t>A 7127-2024</t>
        </is>
      </c>
      <c r="B2905" t="inlineStr">
        <is>
          <t>avverkningsanmälan</t>
        </is>
      </c>
      <c r="C2905" t="inlineStr">
        <is>
          <t>Föryngringsavverkning</t>
        </is>
      </c>
      <c r="D2905" s="1" t="n">
        <v>45344</v>
      </c>
      <c r="E2905" s="1" t="n">
        <v>46309</v>
      </c>
      <c r="F2905" t="inlineStr">
        <is>
          <t>UPPSALA LÄN</t>
        </is>
      </c>
      <c r="G2905" t="inlineStr">
        <is>
          <t>TIERP</t>
        </is>
      </c>
      <c r="I2905" t="n">
        <v>1.3</v>
      </c>
      <c r="J2905" t="n">
        <v>0</v>
      </c>
      <c r="K2905" t="n">
        <v>0</v>
      </c>
      <c r="L2905" t="n">
        <v>0</v>
      </c>
      <c r="M2905" t="n">
        <v>0</v>
      </c>
      <c r="N2905" t="n">
        <v>0</v>
      </c>
      <c r="O2905" t="n">
        <v>0</v>
      </c>
      <c r="P2905" t="n">
        <v>0</v>
      </c>
      <c r="Q2905" t="n">
        <v>0</v>
      </c>
      <c r="R2905" t="n">
        <v>0</v>
      </c>
      <c r="S2905" t="n">
        <v>0</v>
      </c>
      <c r="T2905" t="n">
        <v>0</v>
      </c>
      <c r="U2905" t="n">
        <v>0</v>
      </c>
      <c r="V2905" s="2" t="inlineStr"/>
    </row>
    <row r="2906" ht="15" customHeight="1">
      <c r="A2906" t="inlineStr">
        <is>
          <t>A 15574-2024</t>
        </is>
      </c>
      <c r="B2906" t="inlineStr">
        <is>
          <t>avverkningsanmälan</t>
        </is>
      </c>
      <c r="C2906" t="inlineStr">
        <is>
          <t>Föryngringsavverkning</t>
        </is>
      </c>
      <c r="D2906" s="1" t="n">
        <v>45401</v>
      </c>
      <c r="E2906" s="1" t="n">
        <v>46309</v>
      </c>
      <c r="F2906" t="inlineStr">
        <is>
          <t>UPPSALA LÄN</t>
        </is>
      </c>
      <c r="G2906" t="inlineStr">
        <is>
          <t>TIERP</t>
        </is>
      </c>
      <c r="H2906" t="inlineStr">
        <is>
          <t>Bergvik skog väst AB</t>
        </is>
      </c>
      <c r="I2906" t="n">
        <v>2.6</v>
      </c>
      <c r="J2906" t="n">
        <v>0</v>
      </c>
      <c r="K2906" t="n">
        <v>0</v>
      </c>
      <c r="L2906" t="n">
        <v>0</v>
      </c>
      <c r="M2906" t="n">
        <v>0</v>
      </c>
      <c r="N2906" t="n">
        <v>0</v>
      </c>
      <c r="O2906" t="n">
        <v>0</v>
      </c>
      <c r="P2906" t="n">
        <v>0</v>
      </c>
      <c r="Q2906" t="n">
        <v>0</v>
      </c>
      <c r="R2906" t="n">
        <v>0</v>
      </c>
      <c r="S2906" t="n">
        <v>0</v>
      </c>
      <c r="T2906" t="n">
        <v>0</v>
      </c>
      <c r="U2906" t="n">
        <v>0</v>
      </c>
      <c r="V2906" s="2" t="inlineStr"/>
    </row>
    <row r="2907" ht="15" customHeight="1">
      <c r="A2907" t="inlineStr">
        <is>
          <t>A 8708-2022</t>
        </is>
      </c>
      <c r="B2907" t="inlineStr">
        <is>
          <t>avverkningsanmälan</t>
        </is>
      </c>
      <c r="C2907" t="inlineStr">
        <is>
          <t>Föryngringsavverkning</t>
        </is>
      </c>
      <c r="D2907" s="1" t="n">
        <v>44613</v>
      </c>
      <c r="E2907" s="1" t="n">
        <v>46309</v>
      </c>
      <c r="F2907" t="inlineStr">
        <is>
          <t>UPPSALA LÄN</t>
        </is>
      </c>
      <c r="G2907" t="inlineStr">
        <is>
          <t>ÖSTHAMMAR</t>
        </is>
      </c>
      <c r="I2907" t="n">
        <v>4.3</v>
      </c>
      <c r="J2907" t="n">
        <v>0</v>
      </c>
      <c r="K2907" t="n">
        <v>0</v>
      </c>
      <c r="L2907" t="n">
        <v>0</v>
      </c>
      <c r="M2907" t="n">
        <v>0</v>
      </c>
      <c r="N2907" t="n">
        <v>0</v>
      </c>
      <c r="O2907" t="n">
        <v>0</v>
      </c>
      <c r="P2907" t="n">
        <v>0</v>
      </c>
      <c r="Q2907" t="n">
        <v>0</v>
      </c>
      <c r="R2907" t="n">
        <v>0</v>
      </c>
      <c r="S2907" t="n">
        <v>0</v>
      </c>
      <c r="T2907" t="n">
        <v>0</v>
      </c>
      <c r="U2907" t="n">
        <v>0</v>
      </c>
      <c r="V2907" s="2" t="inlineStr"/>
    </row>
    <row r="2908" ht="15" customHeight="1">
      <c r="A2908" t="inlineStr">
        <is>
          <t>A 8856-2022</t>
        </is>
      </c>
      <c r="B2908" t="inlineStr">
        <is>
          <t>avverkningsanmälan</t>
        </is>
      </c>
      <c r="C2908" t="inlineStr">
        <is>
          <t>Föryngringsavverkning</t>
        </is>
      </c>
      <c r="D2908" s="1" t="n">
        <v>44614</v>
      </c>
      <c r="E2908" s="1" t="n">
        <v>46309</v>
      </c>
      <c r="F2908" t="inlineStr">
        <is>
          <t>UPPSALA LÄN</t>
        </is>
      </c>
      <c r="G2908" t="inlineStr">
        <is>
          <t>HEBY</t>
        </is>
      </c>
      <c r="I2908" t="n">
        <v>2.1</v>
      </c>
      <c r="J2908" t="n">
        <v>0</v>
      </c>
      <c r="K2908" t="n">
        <v>0</v>
      </c>
      <c r="L2908" t="n">
        <v>0</v>
      </c>
      <c r="M2908" t="n">
        <v>0</v>
      </c>
      <c r="N2908" t="n">
        <v>0</v>
      </c>
      <c r="O2908" t="n">
        <v>0</v>
      </c>
      <c r="P2908" t="n">
        <v>0</v>
      </c>
      <c r="Q2908" t="n">
        <v>0</v>
      </c>
      <c r="R2908" t="n">
        <v>0</v>
      </c>
      <c r="S2908" t="n">
        <v>0</v>
      </c>
      <c r="T2908" t="n">
        <v>0</v>
      </c>
      <c r="U2908" t="n">
        <v>0</v>
      </c>
      <c r="V2908" s="2" t="inlineStr"/>
    </row>
    <row r="2909" ht="15" customHeight="1">
      <c r="A2909" t="inlineStr">
        <is>
          <t>A 23411-2024</t>
        </is>
      </c>
      <c r="B2909" t="inlineStr">
        <is>
          <t>avverkningsanmälan</t>
        </is>
      </c>
      <c r="C2909" t="inlineStr">
        <is>
          <t>Föryngringsavverkning</t>
        </is>
      </c>
      <c r="D2909" s="1" t="n">
        <v>45453</v>
      </c>
      <c r="E2909" s="1" t="n">
        <v>46309</v>
      </c>
      <c r="F2909" t="inlineStr">
        <is>
          <t>UPPSALA LÄN</t>
        </is>
      </c>
      <c r="G2909" t="inlineStr">
        <is>
          <t>HEBY</t>
        </is>
      </c>
      <c r="I2909" t="n">
        <v>2.5</v>
      </c>
      <c r="J2909" t="n">
        <v>0</v>
      </c>
      <c r="K2909" t="n">
        <v>0</v>
      </c>
      <c r="L2909" t="n">
        <v>0</v>
      </c>
      <c r="M2909" t="n">
        <v>0</v>
      </c>
      <c r="N2909" t="n">
        <v>0</v>
      </c>
      <c r="O2909" t="n">
        <v>0</v>
      </c>
      <c r="P2909" t="n">
        <v>0</v>
      </c>
      <c r="Q2909" t="n">
        <v>0</v>
      </c>
      <c r="R2909" t="n">
        <v>0</v>
      </c>
      <c r="S2909" t="n">
        <v>0</v>
      </c>
      <c r="T2909" t="n">
        <v>0</v>
      </c>
      <c r="U2909" t="n">
        <v>0</v>
      </c>
      <c r="V2909" s="2" t="inlineStr"/>
    </row>
    <row r="2910" ht="15" customHeight="1">
      <c r="A2910" t="inlineStr">
        <is>
          <t>A 74495-2021</t>
        </is>
      </c>
      <c r="B2910" t="inlineStr">
        <is>
          <t>avverkningsanmälan</t>
        </is>
      </c>
      <c r="C2910" t="inlineStr">
        <is>
          <t>Föryngringsavverkning</t>
        </is>
      </c>
      <c r="D2910" s="1" t="n">
        <v>44560</v>
      </c>
      <c r="E2910" s="1" t="n">
        <v>46309</v>
      </c>
      <c r="F2910" t="inlineStr">
        <is>
          <t>UPPSALA LÄN</t>
        </is>
      </c>
      <c r="G2910" t="inlineStr">
        <is>
          <t>UPPSALA</t>
        </is>
      </c>
      <c r="I2910" t="n">
        <v>1.9</v>
      </c>
      <c r="J2910" t="n">
        <v>0</v>
      </c>
      <c r="K2910" t="n">
        <v>0</v>
      </c>
      <c r="L2910" t="n">
        <v>0</v>
      </c>
      <c r="M2910" t="n">
        <v>0</v>
      </c>
      <c r="N2910" t="n">
        <v>0</v>
      </c>
      <c r="O2910" t="n">
        <v>0</v>
      </c>
      <c r="P2910" t="n">
        <v>0</v>
      </c>
      <c r="Q2910" t="n">
        <v>0</v>
      </c>
      <c r="R2910" t="n">
        <v>0</v>
      </c>
      <c r="S2910" t="n">
        <v>0</v>
      </c>
      <c r="T2910" t="n">
        <v>0</v>
      </c>
      <c r="U2910" t="n">
        <v>0</v>
      </c>
      <c r="V2910" s="2" t="inlineStr"/>
    </row>
    <row r="2911" ht="15" customHeight="1">
      <c r="A2911" t="inlineStr">
        <is>
          <t>A 22759-2024</t>
        </is>
      </c>
      <c r="B2911" t="inlineStr">
        <is>
          <t>avverkningsanmälan</t>
        </is>
      </c>
      <c r="C2911" t="inlineStr">
        <is>
          <t>Föryngringsavverkning</t>
        </is>
      </c>
      <c r="D2911" s="1" t="n">
        <v>45448</v>
      </c>
      <c r="E2911" s="1" t="n">
        <v>46309</v>
      </c>
      <c r="F2911" t="inlineStr">
        <is>
          <t>UPPSALA LÄN</t>
        </is>
      </c>
      <c r="G2911" t="inlineStr">
        <is>
          <t>TIERP</t>
        </is>
      </c>
      <c r="I2911" t="n">
        <v>6.9</v>
      </c>
      <c r="J2911" t="n">
        <v>0</v>
      </c>
      <c r="K2911" t="n">
        <v>0</v>
      </c>
      <c r="L2911" t="n">
        <v>0</v>
      </c>
      <c r="M2911" t="n">
        <v>0</v>
      </c>
      <c r="N2911" t="n">
        <v>0</v>
      </c>
      <c r="O2911" t="n">
        <v>0</v>
      </c>
      <c r="P2911" t="n">
        <v>0</v>
      </c>
      <c r="Q2911" t="n">
        <v>0</v>
      </c>
      <c r="R2911" t="n">
        <v>0</v>
      </c>
      <c r="S2911" t="n">
        <v>0</v>
      </c>
      <c r="T2911" t="n">
        <v>0</v>
      </c>
      <c r="U2911" t="n">
        <v>0</v>
      </c>
      <c r="V2911" s="2" t="inlineStr"/>
    </row>
    <row r="2912" ht="15" customHeight="1">
      <c r="A2912" t="inlineStr">
        <is>
          <t>A 31240-2026</t>
        </is>
      </c>
      <c r="B2912" t="inlineStr">
        <is>
          <t>avverkningsanmälan</t>
        </is>
      </c>
      <c r="C2912" t="inlineStr">
        <is>
          <t>Föryngringsavverkning</t>
        </is>
      </c>
      <c r="D2912" s="1" t="n">
        <v>46217</v>
      </c>
      <c r="E2912" s="1" t="n">
        <v>46309</v>
      </c>
      <c r="F2912" t="inlineStr">
        <is>
          <t>UPPSALA LÄN</t>
        </is>
      </c>
      <c r="G2912" t="inlineStr">
        <is>
          <t>ÖSTHAMMAR</t>
        </is>
      </c>
      <c r="H2912" t="inlineStr">
        <is>
          <t>Bergvik skog öst AB</t>
        </is>
      </c>
      <c r="I2912" t="n">
        <v>0.8</v>
      </c>
      <c r="J2912" t="n">
        <v>0</v>
      </c>
      <c r="K2912" t="n">
        <v>0</v>
      </c>
      <c r="L2912" t="n">
        <v>0</v>
      </c>
      <c r="M2912" t="n">
        <v>0</v>
      </c>
      <c r="N2912" t="n">
        <v>0</v>
      </c>
      <c r="O2912" t="n">
        <v>0</v>
      </c>
      <c r="P2912" t="n">
        <v>0</v>
      </c>
      <c r="Q2912" t="n">
        <v>0</v>
      </c>
      <c r="R2912" t="n">
        <v>0</v>
      </c>
      <c r="S2912" t="n">
        <v>0</v>
      </c>
      <c r="T2912" t="n">
        <v>0</v>
      </c>
      <c r="U2912" t="n">
        <v>0</v>
      </c>
      <c r="V2912" s="2" t="inlineStr"/>
    </row>
    <row r="2913" ht="15" customHeight="1">
      <c r="A2913" t="inlineStr">
        <is>
          <t>A 59585-2023</t>
        </is>
      </c>
      <c r="B2913" t="inlineStr">
        <is>
          <t>avverkningsanmälan</t>
        </is>
      </c>
      <c r="C2913" t="inlineStr">
        <is>
          <t>Föryngringsavverkning</t>
        </is>
      </c>
      <c r="D2913" s="1" t="n">
        <v>45254</v>
      </c>
      <c r="E2913" s="1" t="n">
        <v>46309</v>
      </c>
      <c r="F2913" t="inlineStr">
        <is>
          <t>UPPSALA LÄN</t>
        </is>
      </c>
      <c r="G2913" t="inlineStr">
        <is>
          <t>UPPSALA</t>
        </is>
      </c>
      <c r="I2913" t="n">
        <v>4.4</v>
      </c>
      <c r="J2913" t="n">
        <v>0</v>
      </c>
      <c r="K2913" t="n">
        <v>0</v>
      </c>
      <c r="L2913" t="n">
        <v>0</v>
      </c>
      <c r="M2913" t="n">
        <v>0</v>
      </c>
      <c r="N2913" t="n">
        <v>0</v>
      </c>
      <c r="O2913" t="n">
        <v>0</v>
      </c>
      <c r="P2913" t="n">
        <v>0</v>
      </c>
      <c r="Q2913" t="n">
        <v>0</v>
      </c>
      <c r="R2913" t="n">
        <v>0</v>
      </c>
      <c r="S2913" t="n">
        <v>0</v>
      </c>
      <c r="T2913" t="n">
        <v>0</v>
      </c>
      <c r="U2913" t="n">
        <v>0</v>
      </c>
      <c r="V2913" s="2" t="inlineStr"/>
    </row>
    <row r="2914" ht="15" customHeight="1">
      <c r="A2914" t="inlineStr">
        <is>
          <t>A 2212-2023</t>
        </is>
      </c>
      <c r="B2914" t="inlineStr">
        <is>
          <t>avverkningsanmälan</t>
        </is>
      </c>
      <c r="C2914" t="inlineStr">
        <is>
          <t>Föryngringsavverkning</t>
        </is>
      </c>
      <c r="D2914" s="1" t="n">
        <v>44942</v>
      </c>
      <c r="E2914" s="1" t="n">
        <v>46309</v>
      </c>
      <c r="F2914" t="inlineStr">
        <is>
          <t>UPPSALA LÄN</t>
        </is>
      </c>
      <c r="G2914" t="inlineStr">
        <is>
          <t>HEBY</t>
        </is>
      </c>
      <c r="I2914" t="n">
        <v>0.6</v>
      </c>
      <c r="J2914" t="n">
        <v>0</v>
      </c>
      <c r="K2914" t="n">
        <v>0</v>
      </c>
      <c r="L2914" t="n">
        <v>0</v>
      </c>
      <c r="M2914" t="n">
        <v>0</v>
      </c>
      <c r="N2914" t="n">
        <v>0</v>
      </c>
      <c r="O2914" t="n">
        <v>0</v>
      </c>
      <c r="P2914" t="n">
        <v>0</v>
      </c>
      <c r="Q2914" t="n">
        <v>0</v>
      </c>
      <c r="R2914" t="n">
        <v>0</v>
      </c>
      <c r="S2914" t="n">
        <v>0</v>
      </c>
      <c r="T2914" t="n">
        <v>0</v>
      </c>
      <c r="U2914" t="n">
        <v>0</v>
      </c>
      <c r="V2914" s="2" t="inlineStr"/>
    </row>
    <row r="2915" ht="15" customHeight="1">
      <c r="A2915" t="inlineStr">
        <is>
          <t>A 15851-2023</t>
        </is>
      </c>
      <c r="B2915" t="inlineStr">
        <is>
          <t>avverkningsanmälan</t>
        </is>
      </c>
      <c r="C2915" t="inlineStr">
        <is>
          <t>Föryngringsavverkning</t>
        </is>
      </c>
      <c r="D2915" s="1" t="n">
        <v>45022</v>
      </c>
      <c r="E2915" s="1" t="n">
        <v>46309</v>
      </c>
      <c r="F2915" t="inlineStr">
        <is>
          <t>UPPSALA LÄN</t>
        </is>
      </c>
      <c r="G2915" t="inlineStr">
        <is>
          <t>TIERP</t>
        </is>
      </c>
      <c r="I2915" t="n">
        <v>2.1</v>
      </c>
      <c r="J2915" t="n">
        <v>0</v>
      </c>
      <c r="K2915" t="n">
        <v>0</v>
      </c>
      <c r="L2915" t="n">
        <v>0</v>
      </c>
      <c r="M2915" t="n">
        <v>0</v>
      </c>
      <c r="N2915" t="n">
        <v>0</v>
      </c>
      <c r="O2915" t="n">
        <v>0</v>
      </c>
      <c r="P2915" t="n">
        <v>0</v>
      </c>
      <c r="Q2915" t="n">
        <v>0</v>
      </c>
      <c r="R2915" t="n">
        <v>0</v>
      </c>
      <c r="S2915" t="n">
        <v>0</v>
      </c>
      <c r="T2915" t="n">
        <v>0</v>
      </c>
      <c r="U2915" t="n">
        <v>0</v>
      </c>
      <c r="V2915" s="2" t="inlineStr"/>
    </row>
    <row r="2916" ht="15" customHeight="1">
      <c r="A2916" t="inlineStr">
        <is>
          <t>A 2227-2023</t>
        </is>
      </c>
      <c r="B2916" t="inlineStr">
        <is>
          <t>avverkningsanmälan</t>
        </is>
      </c>
      <c r="C2916" t="inlineStr">
        <is>
          <t>Föryngringsavverkning</t>
        </is>
      </c>
      <c r="D2916" s="1" t="n">
        <v>44942</v>
      </c>
      <c r="E2916" s="1" t="n">
        <v>46309</v>
      </c>
      <c r="F2916" t="inlineStr">
        <is>
          <t>UPPSALA LÄN</t>
        </is>
      </c>
      <c r="G2916" t="inlineStr">
        <is>
          <t>HEBY</t>
        </is>
      </c>
      <c r="I2916" t="n">
        <v>1.6</v>
      </c>
      <c r="J2916" t="n">
        <v>0</v>
      </c>
      <c r="K2916" t="n">
        <v>0</v>
      </c>
      <c r="L2916" t="n">
        <v>0</v>
      </c>
      <c r="M2916" t="n">
        <v>0</v>
      </c>
      <c r="N2916" t="n">
        <v>0</v>
      </c>
      <c r="O2916" t="n">
        <v>0</v>
      </c>
      <c r="P2916" t="n">
        <v>0</v>
      </c>
      <c r="Q2916" t="n">
        <v>0</v>
      </c>
      <c r="R2916" t="n">
        <v>0</v>
      </c>
      <c r="S2916" t="n">
        <v>0</v>
      </c>
      <c r="T2916" t="n">
        <v>0</v>
      </c>
      <c r="U2916" t="n">
        <v>0</v>
      </c>
      <c r="V2916" s="2" t="inlineStr"/>
    </row>
    <row r="2917" ht="15" customHeight="1">
      <c r="A2917" t="inlineStr">
        <is>
          <t>A 6408-2022</t>
        </is>
      </c>
      <c r="B2917" t="inlineStr">
        <is>
          <t>avverkningsanmälan</t>
        </is>
      </c>
      <c r="C2917" t="inlineStr">
        <is>
          <t>Avverkning för att bevara och utveckla /försöksver</t>
        </is>
      </c>
      <c r="D2917" s="1" t="n">
        <v>44600</v>
      </c>
      <c r="E2917" s="1" t="n">
        <v>46309</v>
      </c>
      <c r="F2917" t="inlineStr">
        <is>
          <t>UPPSALA LÄN</t>
        </is>
      </c>
      <c r="G2917" t="inlineStr">
        <is>
          <t>UPPSALA</t>
        </is>
      </c>
      <c r="H2917" t="inlineStr">
        <is>
          <t>Bergvik skog öst AB</t>
        </is>
      </c>
      <c r="I2917" t="n">
        <v>1.8</v>
      </c>
      <c r="J2917" t="n">
        <v>0</v>
      </c>
      <c r="K2917" t="n">
        <v>0</v>
      </c>
      <c r="L2917" t="n">
        <v>0</v>
      </c>
      <c r="M2917" t="n">
        <v>0</v>
      </c>
      <c r="N2917" t="n">
        <v>0</v>
      </c>
      <c r="O2917" t="n">
        <v>0</v>
      </c>
      <c r="P2917" t="n">
        <v>0</v>
      </c>
      <c r="Q2917" t="n">
        <v>0</v>
      </c>
      <c r="R2917" t="n">
        <v>0</v>
      </c>
      <c r="S2917" t="n">
        <v>0</v>
      </c>
      <c r="T2917" t="n">
        <v>0</v>
      </c>
      <c r="U2917" t="n">
        <v>0</v>
      </c>
      <c r="V2917" s="2" t="inlineStr"/>
    </row>
    <row r="2918" ht="15" customHeight="1">
      <c r="A2918" t="inlineStr">
        <is>
          <t>A 10383-2022</t>
        </is>
      </c>
      <c r="B2918" t="inlineStr">
        <is>
          <t>avverkningsanmälan</t>
        </is>
      </c>
      <c r="C2918" t="inlineStr">
        <is>
          <t>Föryngringsavverkning</t>
        </is>
      </c>
      <c r="D2918" s="1" t="n">
        <v>44623</v>
      </c>
      <c r="E2918" s="1" t="n">
        <v>46309</v>
      </c>
      <c r="F2918" t="inlineStr">
        <is>
          <t>UPPSALA LÄN</t>
        </is>
      </c>
      <c r="G2918" t="inlineStr">
        <is>
          <t>UPPSALA</t>
        </is>
      </c>
      <c r="H2918" t="inlineStr">
        <is>
          <t>Övriga Aktiebolag</t>
        </is>
      </c>
      <c r="I2918" t="n">
        <v>2.8</v>
      </c>
      <c r="J2918" t="n">
        <v>0</v>
      </c>
      <c r="K2918" t="n">
        <v>0</v>
      </c>
      <c r="L2918" t="n">
        <v>0</v>
      </c>
      <c r="M2918" t="n">
        <v>0</v>
      </c>
      <c r="N2918" t="n">
        <v>0</v>
      </c>
      <c r="O2918" t="n">
        <v>0</v>
      </c>
      <c r="P2918" t="n">
        <v>0</v>
      </c>
      <c r="Q2918" t="n">
        <v>0</v>
      </c>
      <c r="R2918" t="n">
        <v>0</v>
      </c>
      <c r="S2918" t="n">
        <v>0</v>
      </c>
      <c r="T2918" t="n">
        <v>0</v>
      </c>
      <c r="U2918" t="n">
        <v>0</v>
      </c>
      <c r="V2918" s="2" t="inlineStr"/>
    </row>
    <row r="2919" ht="15" customHeight="1">
      <c r="A2919" t="inlineStr">
        <is>
          <t>A 10456-2022</t>
        </is>
      </c>
      <c r="B2919" t="inlineStr">
        <is>
          <t>avverkningsanmälan</t>
        </is>
      </c>
      <c r="C2919" t="inlineStr">
        <is>
          <t>Föryngringsavverkning</t>
        </is>
      </c>
      <c r="D2919" s="1" t="n">
        <v>44623</v>
      </c>
      <c r="E2919" s="1" t="n">
        <v>46309</v>
      </c>
      <c r="F2919" t="inlineStr">
        <is>
          <t>UPPSALA LÄN</t>
        </is>
      </c>
      <c r="G2919" t="inlineStr">
        <is>
          <t>UPPSALA</t>
        </is>
      </c>
      <c r="H2919" t="inlineStr">
        <is>
          <t>Övriga Aktiebolag</t>
        </is>
      </c>
      <c r="I2919" t="n">
        <v>12.6</v>
      </c>
      <c r="J2919" t="n">
        <v>0</v>
      </c>
      <c r="K2919" t="n">
        <v>0</v>
      </c>
      <c r="L2919" t="n">
        <v>0</v>
      </c>
      <c r="M2919" t="n">
        <v>0</v>
      </c>
      <c r="N2919" t="n">
        <v>0</v>
      </c>
      <c r="O2919" t="n">
        <v>0</v>
      </c>
      <c r="P2919" t="n">
        <v>0</v>
      </c>
      <c r="Q2919" t="n">
        <v>0</v>
      </c>
      <c r="R2919" t="n">
        <v>0</v>
      </c>
      <c r="S2919" t="n">
        <v>0</v>
      </c>
      <c r="T2919" t="n">
        <v>0</v>
      </c>
      <c r="U2919" t="n">
        <v>0</v>
      </c>
      <c r="V2919" s="2" t="inlineStr"/>
    </row>
    <row r="2920" ht="15" customHeight="1">
      <c r="A2920" t="inlineStr">
        <is>
          <t>A 46681-2022</t>
        </is>
      </c>
      <c r="B2920" t="inlineStr">
        <is>
          <t>avverkningsanmälan</t>
        </is>
      </c>
      <c r="C2920" t="inlineStr">
        <is>
          <t>Föryngringsavverkning</t>
        </is>
      </c>
      <c r="D2920" s="1" t="n">
        <v>44843</v>
      </c>
      <c r="E2920" s="1" t="n">
        <v>46309</v>
      </c>
      <c r="F2920" t="inlineStr">
        <is>
          <t>UPPSALA LÄN</t>
        </is>
      </c>
      <c r="G2920" t="inlineStr">
        <is>
          <t>TIERP</t>
        </is>
      </c>
      <c r="I2920" t="n">
        <v>5.9</v>
      </c>
      <c r="J2920" t="n">
        <v>0</v>
      </c>
      <c r="K2920" t="n">
        <v>0</v>
      </c>
      <c r="L2920" t="n">
        <v>0</v>
      </c>
      <c r="M2920" t="n">
        <v>0</v>
      </c>
      <c r="N2920" t="n">
        <v>0</v>
      </c>
      <c r="O2920" t="n">
        <v>0</v>
      </c>
      <c r="P2920" t="n">
        <v>0</v>
      </c>
      <c r="Q2920" t="n">
        <v>0</v>
      </c>
      <c r="R2920" t="n">
        <v>0</v>
      </c>
      <c r="S2920" t="n">
        <v>0</v>
      </c>
      <c r="T2920" t="n">
        <v>0</v>
      </c>
      <c r="U2920" t="n">
        <v>0</v>
      </c>
      <c r="V2920" s="2" t="inlineStr"/>
    </row>
    <row r="2921" ht="15" customHeight="1">
      <c r="A2921" t="inlineStr">
        <is>
          <t>A 6356-2022</t>
        </is>
      </c>
      <c r="B2921" t="inlineStr">
        <is>
          <t>avverkningsanmälan</t>
        </is>
      </c>
      <c r="C2921" t="inlineStr">
        <is>
          <t>Föryngringsavverkning</t>
        </is>
      </c>
      <c r="D2921" s="1" t="n">
        <v>44600</v>
      </c>
      <c r="E2921" s="1" t="n">
        <v>46309</v>
      </c>
      <c r="F2921" t="inlineStr">
        <is>
          <t>UPPSALA LÄN</t>
        </is>
      </c>
      <c r="G2921" t="inlineStr">
        <is>
          <t>ENKÖPING</t>
        </is>
      </c>
      <c r="I2921" t="n">
        <v>1.2</v>
      </c>
      <c r="J2921" t="n">
        <v>0</v>
      </c>
      <c r="K2921" t="n">
        <v>0</v>
      </c>
      <c r="L2921" t="n">
        <v>0</v>
      </c>
      <c r="M2921" t="n">
        <v>0</v>
      </c>
      <c r="N2921" t="n">
        <v>0</v>
      </c>
      <c r="O2921" t="n">
        <v>0</v>
      </c>
      <c r="P2921" t="n">
        <v>0</v>
      </c>
      <c r="Q2921" t="n">
        <v>0</v>
      </c>
      <c r="R2921" t="n">
        <v>0</v>
      </c>
      <c r="S2921" t="n">
        <v>0</v>
      </c>
      <c r="T2921" t="n">
        <v>0</v>
      </c>
      <c r="U2921" t="n">
        <v>0</v>
      </c>
      <c r="V2921" s="2" t="inlineStr"/>
    </row>
    <row r="2922" ht="15" customHeight="1">
      <c r="A2922" t="inlineStr">
        <is>
          <t>A 39548-2023</t>
        </is>
      </c>
      <c r="B2922" t="inlineStr">
        <is>
          <t>avverkningsanmälan</t>
        </is>
      </c>
      <c r="C2922" t="inlineStr">
        <is>
          <t>Föryngringsavverkning</t>
        </is>
      </c>
      <c r="D2922" s="1" t="n">
        <v>45167</v>
      </c>
      <c r="E2922" s="1" t="n">
        <v>46309</v>
      </c>
      <c r="F2922" t="inlineStr">
        <is>
          <t>UPPSALA LÄN</t>
        </is>
      </c>
      <c r="G2922" t="inlineStr">
        <is>
          <t>UPPSALA</t>
        </is>
      </c>
      <c r="I2922" t="n">
        <v>3.4</v>
      </c>
      <c r="J2922" t="n">
        <v>0</v>
      </c>
      <c r="K2922" t="n">
        <v>0</v>
      </c>
      <c r="L2922" t="n">
        <v>0</v>
      </c>
      <c r="M2922" t="n">
        <v>0</v>
      </c>
      <c r="N2922" t="n">
        <v>0</v>
      </c>
      <c r="O2922" t="n">
        <v>0</v>
      </c>
      <c r="P2922" t="n">
        <v>0</v>
      </c>
      <c r="Q2922" t="n">
        <v>0</v>
      </c>
      <c r="R2922" t="n">
        <v>0</v>
      </c>
      <c r="S2922" t="n">
        <v>0</v>
      </c>
      <c r="T2922" t="n">
        <v>0</v>
      </c>
      <c r="U2922" t="n">
        <v>0</v>
      </c>
      <c r="V2922" s="2" t="inlineStr"/>
    </row>
    <row r="2923" ht="15" customHeight="1">
      <c r="A2923" t="inlineStr">
        <is>
          <t>A 31241-2026</t>
        </is>
      </c>
      <c r="B2923" t="inlineStr">
        <is>
          <t>avverkningsanmälan</t>
        </is>
      </c>
      <c r="C2923" t="inlineStr">
        <is>
          <t>Föryngringsavverkning</t>
        </is>
      </c>
      <c r="D2923" s="1" t="n">
        <v>46217</v>
      </c>
      <c r="E2923" s="1" t="n">
        <v>46309</v>
      </c>
      <c r="F2923" t="inlineStr">
        <is>
          <t>UPPSALA LÄN</t>
        </is>
      </c>
      <c r="G2923" t="inlineStr">
        <is>
          <t>ÖSTHAMMAR</t>
        </is>
      </c>
      <c r="H2923" t="inlineStr">
        <is>
          <t>Bergvik skog öst AB</t>
        </is>
      </c>
      <c r="I2923" t="n">
        <v>8.9</v>
      </c>
      <c r="J2923" t="n">
        <v>0</v>
      </c>
      <c r="K2923" t="n">
        <v>0</v>
      </c>
      <c r="L2923" t="n">
        <v>0</v>
      </c>
      <c r="M2923" t="n">
        <v>0</v>
      </c>
      <c r="N2923" t="n">
        <v>0</v>
      </c>
      <c r="O2923" t="n">
        <v>0</v>
      </c>
      <c r="P2923" t="n">
        <v>0</v>
      </c>
      <c r="Q2923" t="n">
        <v>0</v>
      </c>
      <c r="R2923" t="n">
        <v>0</v>
      </c>
      <c r="S2923" t="n">
        <v>0</v>
      </c>
      <c r="T2923" t="n">
        <v>0</v>
      </c>
      <c r="U2923" t="n">
        <v>0</v>
      </c>
      <c r="V2923" s="2" t="inlineStr"/>
    </row>
    <row r="2924" ht="15" customHeight="1">
      <c r="A2924" t="inlineStr">
        <is>
          <t>A 31304-2026</t>
        </is>
      </c>
      <c r="B2924" t="inlineStr">
        <is>
          <t>avverkningsanmälan</t>
        </is>
      </c>
      <c r="C2924" t="inlineStr">
        <is>
          <t>Föryngringsavverkning</t>
        </is>
      </c>
      <c r="D2924" s="1" t="n">
        <v>46218</v>
      </c>
      <c r="E2924" s="1" t="n">
        <v>46309</v>
      </c>
      <c r="F2924" t="inlineStr">
        <is>
          <t>UPPSALA LÄN</t>
        </is>
      </c>
      <c r="G2924" t="inlineStr">
        <is>
          <t>UPPSALA</t>
        </is>
      </c>
      <c r="H2924" t="inlineStr">
        <is>
          <t>Bergvik skog öst AB</t>
        </is>
      </c>
      <c r="I2924" t="n">
        <v>12.1</v>
      </c>
      <c r="J2924" t="n">
        <v>0</v>
      </c>
      <c r="K2924" t="n">
        <v>0</v>
      </c>
      <c r="L2924" t="n">
        <v>0</v>
      </c>
      <c r="M2924" t="n">
        <v>0</v>
      </c>
      <c r="N2924" t="n">
        <v>0</v>
      </c>
      <c r="O2924" t="n">
        <v>0</v>
      </c>
      <c r="P2924" t="n">
        <v>0</v>
      </c>
      <c r="Q2924" t="n">
        <v>0</v>
      </c>
      <c r="R2924" t="n">
        <v>0</v>
      </c>
      <c r="S2924" t="n">
        <v>0</v>
      </c>
      <c r="T2924" t="n">
        <v>0</v>
      </c>
      <c r="U2924" t="n">
        <v>0</v>
      </c>
      <c r="V2924" s="2" t="inlineStr"/>
    </row>
    <row r="2925" ht="15" customHeight="1">
      <c r="A2925" t="inlineStr">
        <is>
          <t>A 31330-2026</t>
        </is>
      </c>
      <c r="B2925" t="inlineStr">
        <is>
          <t>avverkningsanmälan</t>
        </is>
      </c>
      <c r="C2925" t="inlineStr">
        <is>
          <t>Föryngringsavverkning</t>
        </is>
      </c>
      <c r="D2925" s="1" t="n">
        <v>46219</v>
      </c>
      <c r="E2925" s="1" t="n">
        <v>46309</v>
      </c>
      <c r="F2925" t="inlineStr">
        <is>
          <t>UPPSALA LÄN</t>
        </is>
      </c>
      <c r="G2925" t="inlineStr">
        <is>
          <t>ÖSTHAMMAR</t>
        </is>
      </c>
      <c r="I2925" t="n">
        <v>2.4</v>
      </c>
      <c r="J2925" t="n">
        <v>0</v>
      </c>
      <c r="K2925" t="n">
        <v>0</v>
      </c>
      <c r="L2925" t="n">
        <v>0</v>
      </c>
      <c r="M2925" t="n">
        <v>0</v>
      </c>
      <c r="N2925" t="n">
        <v>0</v>
      </c>
      <c r="O2925" t="n">
        <v>0</v>
      </c>
      <c r="P2925" t="n">
        <v>0</v>
      </c>
      <c r="Q2925" t="n">
        <v>0</v>
      </c>
      <c r="R2925" t="n">
        <v>0</v>
      </c>
      <c r="S2925" t="n">
        <v>0</v>
      </c>
      <c r="T2925" t="n">
        <v>0</v>
      </c>
      <c r="U2925" t="n">
        <v>0</v>
      </c>
      <c r="V2925" s="2" t="inlineStr"/>
    </row>
    <row r="2926" ht="15" customHeight="1">
      <c r="A2926" t="inlineStr">
        <is>
          <t>A 31372-2026</t>
        </is>
      </c>
      <c r="B2926" t="inlineStr">
        <is>
          <t>avverkningsanmälan</t>
        </is>
      </c>
      <c r="C2926" t="inlineStr">
        <is>
          <t>Föryngringsavverkning</t>
        </is>
      </c>
      <c r="D2926" s="1" t="n">
        <v>46219</v>
      </c>
      <c r="E2926" s="1" t="n">
        <v>46309</v>
      </c>
      <c r="F2926" t="inlineStr">
        <is>
          <t>UPPSALA LÄN</t>
        </is>
      </c>
      <c r="G2926" t="inlineStr">
        <is>
          <t>ÖSTHAMMAR</t>
        </is>
      </c>
      <c r="H2926" t="inlineStr">
        <is>
          <t>Bergvik skog öst AB</t>
        </is>
      </c>
      <c r="I2926" t="n">
        <v>0.4</v>
      </c>
      <c r="J2926" t="n">
        <v>0</v>
      </c>
      <c r="K2926" t="n">
        <v>0</v>
      </c>
      <c r="L2926" t="n">
        <v>0</v>
      </c>
      <c r="M2926" t="n">
        <v>0</v>
      </c>
      <c r="N2926" t="n">
        <v>0</v>
      </c>
      <c r="O2926" t="n">
        <v>0</v>
      </c>
      <c r="P2926" t="n">
        <v>0</v>
      </c>
      <c r="Q2926" t="n">
        <v>0</v>
      </c>
      <c r="R2926" t="n">
        <v>0</v>
      </c>
      <c r="S2926" t="n">
        <v>0</v>
      </c>
      <c r="T2926" t="n">
        <v>0</v>
      </c>
      <c r="U2926" t="n">
        <v>0</v>
      </c>
      <c r="V2926" s="2" t="inlineStr"/>
    </row>
    <row r="2927" ht="15" customHeight="1">
      <c r="A2927" t="inlineStr">
        <is>
          <t>A 25269-2024</t>
        </is>
      </c>
      <c r="B2927" t="inlineStr">
        <is>
          <t>avverkningsanmälan</t>
        </is>
      </c>
      <c r="C2927" t="inlineStr">
        <is>
          <t>Föryngringsavverkning</t>
        </is>
      </c>
      <c r="D2927" s="1" t="n">
        <v>45462</v>
      </c>
      <c r="E2927" s="1" t="n">
        <v>46309</v>
      </c>
      <c r="F2927" t="inlineStr">
        <is>
          <t>UPPSALA LÄN</t>
        </is>
      </c>
      <c r="G2927" t="inlineStr">
        <is>
          <t>ÖSTHAMMAR</t>
        </is>
      </c>
      <c r="H2927" t="inlineStr">
        <is>
          <t>Bergvik skog öst AB</t>
        </is>
      </c>
      <c r="I2927" t="n">
        <v>0.5</v>
      </c>
      <c r="J2927" t="n">
        <v>0</v>
      </c>
      <c r="K2927" t="n">
        <v>0</v>
      </c>
      <c r="L2927" t="n">
        <v>0</v>
      </c>
      <c r="M2927" t="n">
        <v>0</v>
      </c>
      <c r="N2927" t="n">
        <v>0</v>
      </c>
      <c r="O2927" t="n">
        <v>0</v>
      </c>
      <c r="P2927" t="n">
        <v>0</v>
      </c>
      <c r="Q2927" t="n">
        <v>0</v>
      </c>
      <c r="R2927" t="n">
        <v>0</v>
      </c>
      <c r="S2927" t="n">
        <v>0</v>
      </c>
      <c r="T2927" t="n">
        <v>0</v>
      </c>
      <c r="U2927" t="n">
        <v>0</v>
      </c>
      <c r="V2927" s="2" t="inlineStr"/>
    </row>
    <row r="2928" ht="15" customHeight="1">
      <c r="A2928" t="inlineStr">
        <is>
          <t>A 6422-2023</t>
        </is>
      </c>
      <c r="B2928" t="inlineStr">
        <is>
          <t>avverkningsanmälan</t>
        </is>
      </c>
      <c r="C2928" t="inlineStr">
        <is>
          <t>Föryngringsavverkning</t>
        </is>
      </c>
      <c r="D2928" s="1" t="n">
        <v>44965</v>
      </c>
      <c r="E2928" s="1" t="n">
        <v>46309</v>
      </c>
      <c r="F2928" t="inlineStr">
        <is>
          <t>UPPSALA LÄN</t>
        </is>
      </c>
      <c r="G2928" t="inlineStr">
        <is>
          <t>UPPSALA</t>
        </is>
      </c>
      <c r="I2928" t="n">
        <v>3.1</v>
      </c>
      <c r="J2928" t="n">
        <v>0</v>
      </c>
      <c r="K2928" t="n">
        <v>0</v>
      </c>
      <c r="L2928" t="n">
        <v>0</v>
      </c>
      <c r="M2928" t="n">
        <v>0</v>
      </c>
      <c r="N2928" t="n">
        <v>0</v>
      </c>
      <c r="O2928" t="n">
        <v>0</v>
      </c>
      <c r="P2928" t="n">
        <v>0</v>
      </c>
      <c r="Q2928" t="n">
        <v>0</v>
      </c>
      <c r="R2928" t="n">
        <v>0</v>
      </c>
      <c r="S2928" t="n">
        <v>0</v>
      </c>
      <c r="T2928" t="n">
        <v>0</v>
      </c>
      <c r="U2928" t="n">
        <v>0</v>
      </c>
      <c r="V2928" s="2" t="inlineStr"/>
    </row>
    <row r="2929" ht="15" customHeight="1">
      <c r="A2929" t="inlineStr">
        <is>
          <t>A 6423-2023</t>
        </is>
      </c>
      <c r="B2929" t="inlineStr">
        <is>
          <t>avverkningsanmälan</t>
        </is>
      </c>
      <c r="C2929" t="inlineStr">
        <is>
          <t>Föryngringsavverkning</t>
        </is>
      </c>
      <c r="D2929" s="1" t="n">
        <v>44965</v>
      </c>
      <c r="E2929" s="1" t="n">
        <v>46309</v>
      </c>
      <c r="F2929" t="inlineStr">
        <is>
          <t>UPPSALA LÄN</t>
        </is>
      </c>
      <c r="G2929" t="inlineStr">
        <is>
          <t>UPPSALA</t>
        </is>
      </c>
      <c r="I2929" t="n">
        <v>8.800000000000001</v>
      </c>
      <c r="J2929" t="n">
        <v>0</v>
      </c>
      <c r="K2929" t="n">
        <v>0</v>
      </c>
      <c r="L2929" t="n">
        <v>0</v>
      </c>
      <c r="M2929" t="n">
        <v>0</v>
      </c>
      <c r="N2929" t="n">
        <v>0</v>
      </c>
      <c r="O2929" t="n">
        <v>0</v>
      </c>
      <c r="P2929" t="n">
        <v>0</v>
      </c>
      <c r="Q2929" t="n">
        <v>0</v>
      </c>
      <c r="R2929" t="n">
        <v>0</v>
      </c>
      <c r="S2929" t="n">
        <v>0</v>
      </c>
      <c r="T2929" t="n">
        <v>0</v>
      </c>
      <c r="U2929" t="n">
        <v>0</v>
      </c>
      <c r="V2929" s="2" t="inlineStr"/>
    </row>
    <row r="2930" ht="15" customHeight="1">
      <c r="A2930" t="inlineStr">
        <is>
          <t>A 25983-2026</t>
        </is>
      </c>
      <c r="B2930" t="inlineStr">
        <is>
          <t>avverkningsanmälan</t>
        </is>
      </c>
      <c r="C2930" t="inlineStr">
        <is>
          <t>Avverkning för annat ändamål</t>
        </is>
      </c>
      <c r="D2930" s="1" t="n">
        <v>46181</v>
      </c>
      <c r="E2930" s="1" t="n">
        <v>46309</v>
      </c>
      <c r="F2930" t="inlineStr">
        <is>
          <t>UPPSALA LÄN</t>
        </is>
      </c>
      <c r="G2930" t="inlineStr">
        <is>
          <t>ÖSTHAMMAR</t>
        </is>
      </c>
      <c r="I2930" t="n">
        <v>2</v>
      </c>
      <c r="J2930" t="n">
        <v>0</v>
      </c>
      <c r="K2930" t="n">
        <v>0</v>
      </c>
      <c r="L2930" t="n">
        <v>0</v>
      </c>
      <c r="M2930" t="n">
        <v>0</v>
      </c>
      <c r="N2930" t="n">
        <v>0</v>
      </c>
      <c r="O2930" t="n">
        <v>0</v>
      </c>
      <c r="P2930" t="n">
        <v>0</v>
      </c>
      <c r="Q2930" t="n">
        <v>0</v>
      </c>
      <c r="R2930" t="n">
        <v>0</v>
      </c>
      <c r="S2930" t="n">
        <v>0</v>
      </c>
      <c r="T2930" t="n">
        <v>0</v>
      </c>
      <c r="U2930" t="n">
        <v>0</v>
      </c>
      <c r="V2930" s="2" t="inlineStr"/>
    </row>
    <row r="2931" ht="15" customHeight="1">
      <c r="A2931" t="inlineStr">
        <is>
          <t>A 1994-2024</t>
        </is>
      </c>
      <c r="B2931" t="inlineStr">
        <is>
          <t>avverkningsanmälan</t>
        </is>
      </c>
      <c r="C2931" t="inlineStr">
        <is>
          <t>Föryngringsavverkning</t>
        </is>
      </c>
      <c r="D2931" s="1" t="n">
        <v>45308</v>
      </c>
      <c r="E2931" s="1" t="n">
        <v>46309</v>
      </c>
      <c r="F2931" t="inlineStr">
        <is>
          <t>UPPSALA LÄN</t>
        </is>
      </c>
      <c r="G2931" t="inlineStr">
        <is>
          <t>UPPSALA</t>
        </is>
      </c>
      <c r="I2931" t="n">
        <v>1.6</v>
      </c>
      <c r="J2931" t="n">
        <v>0</v>
      </c>
      <c r="K2931" t="n">
        <v>0</v>
      </c>
      <c r="L2931" t="n">
        <v>0</v>
      </c>
      <c r="M2931" t="n">
        <v>0</v>
      </c>
      <c r="N2931" t="n">
        <v>0</v>
      </c>
      <c r="O2931" t="n">
        <v>0</v>
      </c>
      <c r="P2931" t="n">
        <v>0</v>
      </c>
      <c r="Q2931" t="n">
        <v>0</v>
      </c>
      <c r="R2931" t="n">
        <v>0</v>
      </c>
      <c r="S2931" t="n">
        <v>0</v>
      </c>
      <c r="T2931" t="n">
        <v>0</v>
      </c>
      <c r="U2931" t="n">
        <v>0</v>
      </c>
      <c r="V2931" s="2" t="inlineStr"/>
    </row>
    <row r="2932" ht="15" customHeight="1">
      <c r="A2932" t="inlineStr">
        <is>
          <t>A 31522-2026</t>
        </is>
      </c>
      <c r="B2932" t="inlineStr">
        <is>
          <t>avverkningsanmälan</t>
        </is>
      </c>
      <c r="C2932" t="inlineStr">
        <is>
          <t>Föryngringsavverkning</t>
        </is>
      </c>
      <c r="D2932" s="1" t="n">
        <v>46220</v>
      </c>
      <c r="E2932" s="1" t="n">
        <v>46309</v>
      </c>
      <c r="F2932" t="inlineStr">
        <is>
          <t>UPPSALA LÄN</t>
        </is>
      </c>
      <c r="G2932" t="inlineStr">
        <is>
          <t>HEBY</t>
        </is>
      </c>
      <c r="H2932" t="inlineStr">
        <is>
          <t>Bergvik skog väst AB</t>
        </is>
      </c>
      <c r="I2932" t="n">
        <v>55.9</v>
      </c>
      <c r="J2932" t="n">
        <v>0</v>
      </c>
      <c r="K2932" t="n">
        <v>0</v>
      </c>
      <c r="L2932" t="n">
        <v>0</v>
      </c>
      <c r="M2932" t="n">
        <v>0</v>
      </c>
      <c r="N2932" t="n">
        <v>0</v>
      </c>
      <c r="O2932" t="n">
        <v>0</v>
      </c>
      <c r="P2932" t="n">
        <v>0</v>
      </c>
      <c r="Q2932" t="n">
        <v>0</v>
      </c>
      <c r="R2932" t="n">
        <v>0</v>
      </c>
      <c r="S2932" t="n">
        <v>0</v>
      </c>
      <c r="T2932" t="n">
        <v>0</v>
      </c>
      <c r="U2932" t="n">
        <v>0</v>
      </c>
      <c r="V2932" s="2" t="inlineStr"/>
    </row>
    <row r="2933" ht="15" customHeight="1">
      <c r="A2933" t="inlineStr">
        <is>
          <t>A 16494-2025</t>
        </is>
      </c>
      <c r="B2933" t="inlineStr">
        <is>
          <t>avverkningsanmälan</t>
        </is>
      </c>
      <c r="C2933" t="inlineStr">
        <is>
          <t>Föryngringsavverkning</t>
        </is>
      </c>
      <c r="D2933" s="1" t="n">
        <v>45751</v>
      </c>
      <c r="E2933" s="1" t="n">
        <v>46309</v>
      </c>
      <c r="F2933" t="inlineStr">
        <is>
          <t>UPPSALA LÄN</t>
        </is>
      </c>
      <c r="G2933" t="inlineStr">
        <is>
          <t>TIERP</t>
        </is>
      </c>
      <c r="H2933" t="inlineStr">
        <is>
          <t>Bergvik skog väst AB</t>
        </is>
      </c>
      <c r="I2933" t="n">
        <v>0.8</v>
      </c>
      <c r="J2933" t="n">
        <v>0</v>
      </c>
      <c r="K2933" t="n">
        <v>0</v>
      </c>
      <c r="L2933" t="n">
        <v>0</v>
      </c>
      <c r="M2933" t="n">
        <v>0</v>
      </c>
      <c r="N2933" t="n">
        <v>0</v>
      </c>
      <c r="O2933" t="n">
        <v>0</v>
      </c>
      <c r="P2933" t="n">
        <v>0</v>
      </c>
      <c r="Q2933" t="n">
        <v>0</v>
      </c>
      <c r="R2933" t="n">
        <v>0</v>
      </c>
      <c r="S2933" t="n">
        <v>0</v>
      </c>
      <c r="T2933" t="n">
        <v>0</v>
      </c>
      <c r="U2933" t="n">
        <v>0</v>
      </c>
      <c r="V2933" s="2" t="inlineStr"/>
    </row>
    <row r="2934" ht="15" customHeight="1">
      <c r="A2934" t="inlineStr">
        <is>
          <t>A 31333-2026</t>
        </is>
      </c>
      <c r="B2934" t="inlineStr">
        <is>
          <t>avverkningsanmälan</t>
        </is>
      </c>
      <c r="C2934" t="inlineStr">
        <is>
          <t>Föryngringsavverkning</t>
        </is>
      </c>
      <c r="D2934" s="1" t="n">
        <v>46219</v>
      </c>
      <c r="E2934" s="1" t="n">
        <v>46309</v>
      </c>
      <c r="F2934" t="inlineStr">
        <is>
          <t>UPPSALA LÄN</t>
        </is>
      </c>
      <c r="G2934" t="inlineStr">
        <is>
          <t>ÖSTHAMMAR</t>
        </is>
      </c>
      <c r="I2934" t="n">
        <v>1.4</v>
      </c>
      <c r="J2934" t="n">
        <v>0</v>
      </c>
      <c r="K2934" t="n">
        <v>0</v>
      </c>
      <c r="L2934" t="n">
        <v>0</v>
      </c>
      <c r="M2934" t="n">
        <v>0</v>
      </c>
      <c r="N2934" t="n">
        <v>0</v>
      </c>
      <c r="O2934" t="n">
        <v>0</v>
      </c>
      <c r="P2934" t="n">
        <v>0</v>
      </c>
      <c r="Q2934" t="n">
        <v>0</v>
      </c>
      <c r="R2934" t="n">
        <v>0</v>
      </c>
      <c r="S2934" t="n">
        <v>0</v>
      </c>
      <c r="T2934" t="n">
        <v>0</v>
      </c>
      <c r="U2934" t="n">
        <v>0</v>
      </c>
      <c r="V2934" s="2" t="inlineStr"/>
    </row>
    <row r="2935" ht="15" customHeight="1">
      <c r="A2935" t="inlineStr">
        <is>
          <t>A 478-2025</t>
        </is>
      </c>
      <c r="B2935" t="inlineStr">
        <is>
          <t>avverkningsanmälan</t>
        </is>
      </c>
      <c r="C2935" t="inlineStr">
        <is>
          <t>Föryngringsavverkning</t>
        </is>
      </c>
      <c r="D2935" s="1" t="n">
        <v>45664</v>
      </c>
      <c r="E2935" s="1" t="n">
        <v>46309</v>
      </c>
      <c r="F2935" t="inlineStr">
        <is>
          <t>UPPSALA LÄN</t>
        </is>
      </c>
      <c r="G2935" t="inlineStr">
        <is>
          <t>HEBY</t>
        </is>
      </c>
      <c r="I2935" t="n">
        <v>0.7</v>
      </c>
      <c r="J2935" t="n">
        <v>0</v>
      </c>
      <c r="K2935" t="n">
        <v>0</v>
      </c>
      <c r="L2935" t="n">
        <v>0</v>
      </c>
      <c r="M2935" t="n">
        <v>0</v>
      </c>
      <c r="N2935" t="n">
        <v>0</v>
      </c>
      <c r="O2935" t="n">
        <v>0</v>
      </c>
      <c r="P2935" t="n">
        <v>0</v>
      </c>
      <c r="Q2935" t="n">
        <v>0</v>
      </c>
      <c r="R2935" t="n">
        <v>0</v>
      </c>
      <c r="S2935" t="n">
        <v>0</v>
      </c>
      <c r="T2935" t="n">
        <v>0</v>
      </c>
      <c r="U2935" t="n">
        <v>0</v>
      </c>
      <c r="V2935" s="2" t="inlineStr"/>
    </row>
    <row r="2936" ht="15" customHeight="1">
      <c r="A2936" t="inlineStr">
        <is>
          <t>A 49682-2023</t>
        </is>
      </c>
      <c r="B2936" t="inlineStr">
        <is>
          <t>avverkningsanmälan</t>
        </is>
      </c>
      <c r="C2936" t="inlineStr">
        <is>
          <t>Föryngringsavverkning</t>
        </is>
      </c>
      <c r="D2936" s="1" t="n">
        <v>45212</v>
      </c>
      <c r="E2936" s="1" t="n">
        <v>46309</v>
      </c>
      <c r="F2936" t="inlineStr">
        <is>
          <t>UPPSALA LÄN</t>
        </is>
      </c>
      <c r="G2936" t="inlineStr">
        <is>
          <t>UPPSALA</t>
        </is>
      </c>
      <c r="I2936" t="n">
        <v>2.2</v>
      </c>
      <c r="J2936" t="n">
        <v>0</v>
      </c>
      <c r="K2936" t="n">
        <v>0</v>
      </c>
      <c r="L2936" t="n">
        <v>0</v>
      </c>
      <c r="M2936" t="n">
        <v>0</v>
      </c>
      <c r="N2936" t="n">
        <v>0</v>
      </c>
      <c r="O2936" t="n">
        <v>0</v>
      </c>
      <c r="P2936" t="n">
        <v>0</v>
      </c>
      <c r="Q2936" t="n">
        <v>0</v>
      </c>
      <c r="R2936" t="n">
        <v>0</v>
      </c>
      <c r="S2936" t="n">
        <v>0</v>
      </c>
      <c r="T2936" t="n">
        <v>0</v>
      </c>
      <c r="U2936" t="n">
        <v>0</v>
      </c>
      <c r="V2936" s="2" t="inlineStr"/>
    </row>
    <row r="2937" ht="15" customHeight="1">
      <c r="A2937" t="inlineStr">
        <is>
          <t>A 55073-2022</t>
        </is>
      </c>
      <c r="B2937" t="inlineStr">
        <is>
          <t>avverkningsanmälan</t>
        </is>
      </c>
      <c r="C2937" t="inlineStr">
        <is>
          <t>Föryngringsavverkning</t>
        </is>
      </c>
      <c r="D2937" s="1" t="n">
        <v>44886</v>
      </c>
      <c r="E2937" s="1" t="n">
        <v>46309</v>
      </c>
      <c r="F2937" t="inlineStr">
        <is>
          <t>UPPSALA LÄN</t>
        </is>
      </c>
      <c r="G2937" t="inlineStr">
        <is>
          <t>UPPSALA</t>
        </is>
      </c>
      <c r="I2937" t="n">
        <v>1</v>
      </c>
      <c r="J2937" t="n">
        <v>0</v>
      </c>
      <c r="K2937" t="n">
        <v>0</v>
      </c>
      <c r="L2937" t="n">
        <v>0</v>
      </c>
      <c r="M2937" t="n">
        <v>0</v>
      </c>
      <c r="N2937" t="n">
        <v>0</v>
      </c>
      <c r="O2937" t="n">
        <v>0</v>
      </c>
      <c r="P2937" t="n">
        <v>0</v>
      </c>
      <c r="Q2937" t="n">
        <v>0</v>
      </c>
      <c r="R2937" t="n">
        <v>0</v>
      </c>
      <c r="S2937" t="n">
        <v>0</v>
      </c>
      <c r="T2937" t="n">
        <v>0</v>
      </c>
      <c r="U2937" t="n">
        <v>0</v>
      </c>
      <c r="V2937" s="2" t="inlineStr"/>
    </row>
    <row r="2938" ht="15" customHeight="1">
      <c r="A2938" t="inlineStr">
        <is>
          <t>A 34078-2022</t>
        </is>
      </c>
      <c r="B2938" t="inlineStr">
        <is>
          <t>avverkningsanmälan</t>
        </is>
      </c>
      <c r="C2938" t="inlineStr">
        <is>
          <t>Föryngringsavverkning</t>
        </is>
      </c>
      <c r="D2938" s="1" t="n">
        <v>44791</v>
      </c>
      <c r="E2938" s="1" t="n">
        <v>46309</v>
      </c>
      <c r="F2938" t="inlineStr">
        <is>
          <t>UPPSALA LÄN</t>
        </is>
      </c>
      <c r="G2938" t="inlineStr">
        <is>
          <t>KNIVSTA</t>
        </is>
      </c>
      <c r="H2938" t="inlineStr">
        <is>
          <t>Övriga statliga verk och myndigheter</t>
        </is>
      </c>
      <c r="I2938" t="n">
        <v>1.8</v>
      </c>
      <c r="J2938" t="n">
        <v>0</v>
      </c>
      <c r="K2938" t="n">
        <v>0</v>
      </c>
      <c r="L2938" t="n">
        <v>0</v>
      </c>
      <c r="M2938" t="n">
        <v>0</v>
      </c>
      <c r="N2938" t="n">
        <v>0</v>
      </c>
      <c r="O2938" t="n">
        <v>0</v>
      </c>
      <c r="P2938" t="n">
        <v>0</v>
      </c>
      <c r="Q2938" t="n">
        <v>0</v>
      </c>
      <c r="R2938" t="n">
        <v>0</v>
      </c>
      <c r="S2938" t="n">
        <v>0</v>
      </c>
      <c r="T2938" t="n">
        <v>0</v>
      </c>
      <c r="U2938" t="n">
        <v>0</v>
      </c>
      <c r="V2938" s="2" t="inlineStr"/>
    </row>
    <row r="2939" ht="15" customHeight="1">
      <c r="A2939" t="inlineStr">
        <is>
          <t>A 31328-2026</t>
        </is>
      </c>
      <c r="B2939" t="inlineStr">
        <is>
          <t>avverkningsanmälan</t>
        </is>
      </c>
      <c r="C2939" t="inlineStr">
        <is>
          <t>Föryngringsavverkning</t>
        </is>
      </c>
      <c r="D2939" s="1" t="n">
        <v>46219</v>
      </c>
      <c r="E2939" s="1" t="n">
        <v>46309</v>
      </c>
      <c r="F2939" t="inlineStr">
        <is>
          <t>UPPSALA LÄN</t>
        </is>
      </c>
      <c r="G2939" t="inlineStr">
        <is>
          <t>TIERP</t>
        </is>
      </c>
      <c r="H2939" t="inlineStr">
        <is>
          <t>Bergvik skog öst AB</t>
        </is>
      </c>
      <c r="I2939" t="n">
        <v>15.2</v>
      </c>
      <c r="J2939" t="n">
        <v>0</v>
      </c>
      <c r="K2939" t="n">
        <v>0</v>
      </c>
      <c r="L2939" t="n">
        <v>0</v>
      </c>
      <c r="M2939" t="n">
        <v>0</v>
      </c>
      <c r="N2939" t="n">
        <v>0</v>
      </c>
      <c r="O2939" t="n">
        <v>0</v>
      </c>
      <c r="P2939" t="n">
        <v>0</v>
      </c>
      <c r="Q2939" t="n">
        <v>0</v>
      </c>
      <c r="R2939" t="n">
        <v>0</v>
      </c>
      <c r="S2939" t="n">
        <v>0</v>
      </c>
      <c r="T2939" t="n">
        <v>0</v>
      </c>
      <c r="U2939" t="n">
        <v>0</v>
      </c>
      <c r="V2939" s="2" t="inlineStr"/>
    </row>
    <row r="2940" ht="15" customHeight="1">
      <c r="A2940" t="inlineStr">
        <is>
          <t>A 31560-2026</t>
        </is>
      </c>
      <c r="B2940" t="inlineStr">
        <is>
          <t>avverkningsanmälan</t>
        </is>
      </c>
      <c r="C2940" t="inlineStr">
        <is>
          <t>Föryngringsavverkning</t>
        </is>
      </c>
      <c r="D2940" s="1" t="n">
        <v>46223</v>
      </c>
      <c r="E2940" s="1" t="n">
        <v>46309</v>
      </c>
      <c r="F2940" t="inlineStr">
        <is>
          <t>UPPSALA LÄN</t>
        </is>
      </c>
      <c r="G2940" t="inlineStr">
        <is>
          <t>HEBY</t>
        </is>
      </c>
      <c r="H2940" t="inlineStr">
        <is>
          <t>Bergvik skog väst AB</t>
        </is>
      </c>
      <c r="I2940" t="n">
        <v>1.2</v>
      </c>
      <c r="J2940" t="n">
        <v>0</v>
      </c>
      <c r="K2940" t="n">
        <v>0</v>
      </c>
      <c r="L2940" t="n">
        <v>0</v>
      </c>
      <c r="M2940" t="n">
        <v>0</v>
      </c>
      <c r="N2940" t="n">
        <v>0</v>
      </c>
      <c r="O2940" t="n">
        <v>0</v>
      </c>
      <c r="P2940" t="n">
        <v>0</v>
      </c>
      <c r="Q2940" t="n">
        <v>0</v>
      </c>
      <c r="R2940" t="n">
        <v>0</v>
      </c>
      <c r="S2940" t="n">
        <v>0</v>
      </c>
      <c r="T2940" t="n">
        <v>0</v>
      </c>
      <c r="U2940" t="n">
        <v>0</v>
      </c>
      <c r="V2940" s="2" t="inlineStr"/>
    </row>
    <row r="2941" ht="15" customHeight="1">
      <c r="A2941" t="inlineStr">
        <is>
          <t>A 29902-2026</t>
        </is>
      </c>
      <c r="B2941" t="inlineStr">
        <is>
          <t>avverkningsanmälan</t>
        </is>
      </c>
      <c r="C2941" t="inlineStr">
        <is>
          <t>Föryngringsavverkning</t>
        </is>
      </c>
      <c r="D2941" s="1" t="n">
        <v>46205</v>
      </c>
      <c r="E2941" s="1" t="n">
        <v>46309</v>
      </c>
      <c r="F2941" t="inlineStr">
        <is>
          <t>UPPSALA LÄN</t>
        </is>
      </c>
      <c r="G2941" t="inlineStr">
        <is>
          <t>UPPSALA</t>
        </is>
      </c>
      <c r="I2941" t="n">
        <v>3.4</v>
      </c>
      <c r="J2941" t="n">
        <v>0</v>
      </c>
      <c r="K2941" t="n">
        <v>0</v>
      </c>
      <c r="L2941" t="n">
        <v>0</v>
      </c>
      <c r="M2941" t="n">
        <v>0</v>
      </c>
      <c r="N2941" t="n">
        <v>0</v>
      </c>
      <c r="O2941" t="n">
        <v>0</v>
      </c>
      <c r="P2941" t="n">
        <v>0</v>
      </c>
      <c r="Q2941" t="n">
        <v>0</v>
      </c>
      <c r="R2941" t="n">
        <v>0</v>
      </c>
      <c r="S2941" t="n">
        <v>0</v>
      </c>
      <c r="T2941" t="n">
        <v>0</v>
      </c>
      <c r="U2941" t="n">
        <v>0</v>
      </c>
      <c r="V2941" s="2" t="inlineStr"/>
    </row>
    <row r="2942" ht="15" customHeight="1">
      <c r="A2942" t="inlineStr">
        <is>
          <t>A 59382-2022</t>
        </is>
      </c>
      <c r="B2942" t="inlineStr">
        <is>
          <t>avverkningsanmälan</t>
        </is>
      </c>
      <c r="C2942" t="inlineStr">
        <is>
          <t>Föryngringsavverkning</t>
        </is>
      </c>
      <c r="D2942" s="1" t="n">
        <v>44905</v>
      </c>
      <c r="E2942" s="1" t="n">
        <v>46309</v>
      </c>
      <c r="F2942" t="inlineStr">
        <is>
          <t>UPPSALA LÄN</t>
        </is>
      </c>
      <c r="G2942" t="inlineStr">
        <is>
          <t>ÖSTHAMMAR</t>
        </is>
      </c>
      <c r="I2942" t="n">
        <v>2.9</v>
      </c>
      <c r="J2942" t="n">
        <v>0</v>
      </c>
      <c r="K2942" t="n">
        <v>0</v>
      </c>
      <c r="L2942" t="n">
        <v>0</v>
      </c>
      <c r="M2942" t="n">
        <v>0</v>
      </c>
      <c r="N2942" t="n">
        <v>0</v>
      </c>
      <c r="O2942" t="n">
        <v>0</v>
      </c>
      <c r="P2942" t="n">
        <v>0</v>
      </c>
      <c r="Q2942" t="n">
        <v>0</v>
      </c>
      <c r="R2942" t="n">
        <v>0</v>
      </c>
      <c r="S2942" t="n">
        <v>0</v>
      </c>
      <c r="T2942" t="n">
        <v>0</v>
      </c>
      <c r="U2942" t="n">
        <v>0</v>
      </c>
      <c r="V2942" s="2" t="inlineStr"/>
    </row>
    <row r="2943" ht="15" customHeight="1">
      <c r="A2943" t="inlineStr">
        <is>
          <t>A 25969-2023</t>
        </is>
      </c>
      <c r="B2943" t="inlineStr">
        <is>
          <t>avverkningsanmälan</t>
        </is>
      </c>
      <c r="C2943" t="inlineStr">
        <is>
          <t>Föryngringsavverkning</t>
        </is>
      </c>
      <c r="D2943" s="1" t="n">
        <v>45090</v>
      </c>
      <c r="E2943" s="1" t="n">
        <v>46309</v>
      </c>
      <c r="F2943" t="inlineStr">
        <is>
          <t>UPPSALA LÄN</t>
        </is>
      </c>
      <c r="G2943" t="inlineStr">
        <is>
          <t>ÖSTHAMMAR</t>
        </is>
      </c>
      <c r="H2943" t="inlineStr">
        <is>
          <t>Sveaskog</t>
        </is>
      </c>
      <c r="I2943" t="n">
        <v>0.8</v>
      </c>
      <c r="J2943" t="n">
        <v>0</v>
      </c>
      <c r="K2943" t="n">
        <v>0</v>
      </c>
      <c r="L2943" t="n">
        <v>0</v>
      </c>
      <c r="M2943" t="n">
        <v>0</v>
      </c>
      <c r="N2943" t="n">
        <v>0</v>
      </c>
      <c r="O2943" t="n">
        <v>0</v>
      </c>
      <c r="P2943" t="n">
        <v>0</v>
      </c>
      <c r="Q2943" t="n">
        <v>0</v>
      </c>
      <c r="R2943" t="n">
        <v>0</v>
      </c>
      <c r="S2943" t="n">
        <v>0</v>
      </c>
      <c r="T2943" t="n">
        <v>0</v>
      </c>
      <c r="U2943" t="n">
        <v>0</v>
      </c>
      <c r="V2943" s="2" t="inlineStr"/>
    </row>
    <row r="2944" ht="15" customHeight="1">
      <c r="A2944" t="inlineStr">
        <is>
          <t>A 42681-2023</t>
        </is>
      </c>
      <c r="B2944" t="inlineStr">
        <is>
          <t>avverkningsanmälan</t>
        </is>
      </c>
      <c r="C2944" t="inlineStr">
        <is>
          <t>Föryngringsavverkning</t>
        </is>
      </c>
      <c r="D2944" s="1" t="n">
        <v>45181</v>
      </c>
      <c r="E2944" s="1" t="n">
        <v>46309</v>
      </c>
      <c r="F2944" t="inlineStr">
        <is>
          <t>UPPSALA LÄN</t>
        </is>
      </c>
      <c r="G2944" t="inlineStr">
        <is>
          <t>UPPSALA</t>
        </is>
      </c>
      <c r="H2944" t="inlineStr">
        <is>
          <t>Bergvik skog öst AB</t>
        </is>
      </c>
      <c r="I2944" t="n">
        <v>3.1</v>
      </c>
      <c r="J2944" t="n">
        <v>0</v>
      </c>
      <c r="K2944" t="n">
        <v>0</v>
      </c>
      <c r="L2944" t="n">
        <v>0</v>
      </c>
      <c r="M2944" t="n">
        <v>0</v>
      </c>
      <c r="N2944" t="n">
        <v>0</v>
      </c>
      <c r="O2944" t="n">
        <v>0</v>
      </c>
      <c r="P2944" t="n">
        <v>0</v>
      </c>
      <c r="Q2944" t="n">
        <v>0</v>
      </c>
      <c r="R2944" t="n">
        <v>0</v>
      </c>
      <c r="S2944" t="n">
        <v>0</v>
      </c>
      <c r="T2944" t="n">
        <v>0</v>
      </c>
      <c r="U2944" t="n">
        <v>0</v>
      </c>
      <c r="V2944" s="2" t="inlineStr"/>
    </row>
    <row r="2945" ht="15" customHeight="1">
      <c r="A2945" t="inlineStr">
        <is>
          <t>A 41929-2024</t>
        </is>
      </c>
      <c r="B2945" t="inlineStr">
        <is>
          <t>avverkningsanmälan</t>
        </is>
      </c>
      <c r="C2945" t="inlineStr">
        <is>
          <t>Föryngringsavverkning</t>
        </is>
      </c>
      <c r="D2945" s="1" t="n">
        <v>45561</v>
      </c>
      <c r="E2945" s="1" t="n">
        <v>46309</v>
      </c>
      <c r="F2945" t="inlineStr">
        <is>
          <t>UPPSALA LÄN</t>
        </is>
      </c>
      <c r="G2945" t="inlineStr">
        <is>
          <t>ÄLVKARLEBY</t>
        </is>
      </c>
      <c r="H2945" t="inlineStr">
        <is>
          <t>Bergvik skog väst AB</t>
        </is>
      </c>
      <c r="I2945" t="n">
        <v>4.9</v>
      </c>
      <c r="J2945" t="n">
        <v>0</v>
      </c>
      <c r="K2945" t="n">
        <v>0</v>
      </c>
      <c r="L2945" t="n">
        <v>0</v>
      </c>
      <c r="M2945" t="n">
        <v>0</v>
      </c>
      <c r="N2945" t="n">
        <v>0</v>
      </c>
      <c r="O2945" t="n">
        <v>0</v>
      </c>
      <c r="P2945" t="n">
        <v>0</v>
      </c>
      <c r="Q2945" t="n">
        <v>0</v>
      </c>
      <c r="R2945" t="n">
        <v>0</v>
      </c>
      <c r="S2945" t="n">
        <v>0</v>
      </c>
      <c r="T2945" t="n">
        <v>0</v>
      </c>
      <c r="U2945" t="n">
        <v>0</v>
      </c>
      <c r="V2945" s="2" t="inlineStr"/>
    </row>
    <row r="2946" ht="15" customHeight="1">
      <c r="A2946" t="inlineStr">
        <is>
          <t>A 56903-2023</t>
        </is>
      </c>
      <c r="B2946" t="inlineStr">
        <is>
          <t>avverkningsanmälan</t>
        </is>
      </c>
      <c r="C2946" t="inlineStr">
        <is>
          <t>Föryngringsavverkning</t>
        </is>
      </c>
      <c r="D2946" s="1" t="n">
        <v>45244</v>
      </c>
      <c r="E2946" s="1" t="n">
        <v>46309</v>
      </c>
      <c r="F2946" t="inlineStr">
        <is>
          <t>UPPSALA LÄN</t>
        </is>
      </c>
      <c r="G2946" t="inlineStr">
        <is>
          <t>ÖSTHAMMAR</t>
        </is>
      </c>
      <c r="I2946" t="n">
        <v>3.1</v>
      </c>
      <c r="J2946" t="n">
        <v>0</v>
      </c>
      <c r="K2946" t="n">
        <v>0</v>
      </c>
      <c r="L2946" t="n">
        <v>0</v>
      </c>
      <c r="M2946" t="n">
        <v>0</v>
      </c>
      <c r="N2946" t="n">
        <v>0</v>
      </c>
      <c r="O2946" t="n">
        <v>0</v>
      </c>
      <c r="P2946" t="n">
        <v>0</v>
      </c>
      <c r="Q2946" t="n">
        <v>0</v>
      </c>
      <c r="R2946" t="n">
        <v>0</v>
      </c>
      <c r="S2946" t="n">
        <v>0</v>
      </c>
      <c r="T2946" t="n">
        <v>0</v>
      </c>
      <c r="U2946" t="n">
        <v>0</v>
      </c>
      <c r="V2946" s="2" t="inlineStr"/>
    </row>
    <row r="2947" ht="15" customHeight="1">
      <c r="A2947" t="inlineStr">
        <is>
          <t>A 6866-2022</t>
        </is>
      </c>
      <c r="B2947" t="inlineStr">
        <is>
          <t>avverkningsanmälan</t>
        </is>
      </c>
      <c r="C2947" t="inlineStr">
        <is>
          <t>Föryngringsavverkning</t>
        </is>
      </c>
      <c r="D2947" s="1" t="n">
        <v>44602</v>
      </c>
      <c r="E2947" s="1" t="n">
        <v>46309</v>
      </c>
      <c r="F2947" t="inlineStr">
        <is>
          <t>UPPSALA LÄN</t>
        </is>
      </c>
      <c r="G2947" t="inlineStr">
        <is>
          <t>HEBY</t>
        </is>
      </c>
      <c r="I2947" t="n">
        <v>1.4</v>
      </c>
      <c r="J2947" t="n">
        <v>0</v>
      </c>
      <c r="K2947" t="n">
        <v>0</v>
      </c>
      <c r="L2947" t="n">
        <v>0</v>
      </c>
      <c r="M2947" t="n">
        <v>0</v>
      </c>
      <c r="N2947" t="n">
        <v>0</v>
      </c>
      <c r="O2947" t="n">
        <v>0</v>
      </c>
      <c r="P2947" t="n">
        <v>0</v>
      </c>
      <c r="Q2947" t="n">
        <v>0</v>
      </c>
      <c r="R2947" t="n">
        <v>0</v>
      </c>
      <c r="S2947" t="n">
        <v>0</v>
      </c>
      <c r="T2947" t="n">
        <v>0</v>
      </c>
      <c r="U2947" t="n">
        <v>0</v>
      </c>
      <c r="V2947" s="2" t="inlineStr"/>
    </row>
    <row r="2948" ht="15" customHeight="1">
      <c r="A2948" t="inlineStr">
        <is>
          <t>A 30901-2023</t>
        </is>
      </c>
      <c r="B2948" t="inlineStr">
        <is>
          <t>avverkningsanmälan</t>
        </is>
      </c>
      <c r="C2948" t="inlineStr">
        <is>
          <t>Föryngringsavverkning</t>
        </is>
      </c>
      <c r="D2948" s="1" t="n">
        <v>45113</v>
      </c>
      <c r="E2948" s="1" t="n">
        <v>46309</v>
      </c>
      <c r="F2948" t="inlineStr">
        <is>
          <t>UPPSALA LÄN</t>
        </is>
      </c>
      <c r="G2948" t="inlineStr">
        <is>
          <t>HEBY</t>
        </is>
      </c>
      <c r="I2948" t="n">
        <v>0.7</v>
      </c>
      <c r="J2948" t="n">
        <v>0</v>
      </c>
      <c r="K2948" t="n">
        <v>0</v>
      </c>
      <c r="L2948" t="n">
        <v>0</v>
      </c>
      <c r="M2948" t="n">
        <v>0</v>
      </c>
      <c r="N2948" t="n">
        <v>0</v>
      </c>
      <c r="O2948" t="n">
        <v>0</v>
      </c>
      <c r="P2948" t="n">
        <v>0</v>
      </c>
      <c r="Q2948" t="n">
        <v>0</v>
      </c>
      <c r="R2948" t="n">
        <v>0</v>
      </c>
      <c r="S2948" t="n">
        <v>0</v>
      </c>
      <c r="T2948" t="n">
        <v>0</v>
      </c>
      <c r="U2948" t="n">
        <v>0</v>
      </c>
      <c r="V2948" s="2" t="inlineStr"/>
    </row>
    <row r="2949" ht="15" customHeight="1">
      <c r="A2949" t="inlineStr">
        <is>
          <t>A 67151-2021</t>
        </is>
      </c>
      <c r="B2949" t="inlineStr">
        <is>
          <t>avverkningsanmälan</t>
        </is>
      </c>
      <c r="C2949" t="inlineStr">
        <is>
          <t>Föryngringsavverkning</t>
        </is>
      </c>
      <c r="D2949" s="1" t="n">
        <v>44523</v>
      </c>
      <c r="E2949" s="1" t="n">
        <v>46309</v>
      </c>
      <c r="F2949" t="inlineStr">
        <is>
          <t>UPPSALA LÄN</t>
        </is>
      </c>
      <c r="G2949" t="inlineStr">
        <is>
          <t>ÖSTHAMMAR</t>
        </is>
      </c>
      <c r="I2949" t="n">
        <v>2.4</v>
      </c>
      <c r="J2949" t="n">
        <v>0</v>
      </c>
      <c r="K2949" t="n">
        <v>0</v>
      </c>
      <c r="L2949" t="n">
        <v>0</v>
      </c>
      <c r="M2949" t="n">
        <v>0</v>
      </c>
      <c r="N2949" t="n">
        <v>0</v>
      </c>
      <c r="O2949" t="n">
        <v>0</v>
      </c>
      <c r="P2949" t="n">
        <v>0</v>
      </c>
      <c r="Q2949" t="n">
        <v>0</v>
      </c>
      <c r="R2949" t="n">
        <v>0</v>
      </c>
      <c r="S2949" t="n">
        <v>0</v>
      </c>
      <c r="T2949" t="n">
        <v>0</v>
      </c>
      <c r="U2949" t="n">
        <v>0</v>
      </c>
      <c r="V2949" s="2" t="inlineStr"/>
    </row>
    <row r="2950" ht="15" customHeight="1">
      <c r="A2950" t="inlineStr">
        <is>
          <t>A 29824-2023</t>
        </is>
      </c>
      <c r="B2950" t="inlineStr">
        <is>
          <t>avverkningsanmälan</t>
        </is>
      </c>
      <c r="C2950" t="inlineStr">
        <is>
          <t>Föryngringsavverkning</t>
        </is>
      </c>
      <c r="D2950" s="1" t="n">
        <v>45107</v>
      </c>
      <c r="E2950" s="1" t="n">
        <v>46309</v>
      </c>
      <c r="F2950" t="inlineStr">
        <is>
          <t>UPPSALA LÄN</t>
        </is>
      </c>
      <c r="G2950" t="inlineStr">
        <is>
          <t>ÖSTHAMMAR</t>
        </is>
      </c>
      <c r="H2950" t="inlineStr">
        <is>
          <t>Naturvårdsverket</t>
        </is>
      </c>
      <c r="I2950" t="n">
        <v>1.6</v>
      </c>
      <c r="J2950" t="n">
        <v>0</v>
      </c>
      <c r="K2950" t="n">
        <v>0</v>
      </c>
      <c r="L2950" t="n">
        <v>0</v>
      </c>
      <c r="M2950" t="n">
        <v>0</v>
      </c>
      <c r="N2950" t="n">
        <v>0</v>
      </c>
      <c r="O2950" t="n">
        <v>0</v>
      </c>
      <c r="P2950" t="n">
        <v>0</v>
      </c>
      <c r="Q2950" t="n">
        <v>0</v>
      </c>
      <c r="R2950" t="n">
        <v>0</v>
      </c>
      <c r="S2950" t="n">
        <v>0</v>
      </c>
      <c r="T2950" t="n">
        <v>0</v>
      </c>
      <c r="U2950" t="n">
        <v>0</v>
      </c>
      <c r="V2950" s="2" t="inlineStr"/>
    </row>
    <row r="2951" ht="15" customHeight="1">
      <c r="A2951" t="inlineStr">
        <is>
          <t>A 18148-2022</t>
        </is>
      </c>
      <c r="B2951" t="inlineStr">
        <is>
          <t>avverkningsanmälan</t>
        </is>
      </c>
      <c r="C2951" t="inlineStr">
        <is>
          <t>Föryngringsavverkning</t>
        </is>
      </c>
      <c r="D2951" s="1" t="n">
        <v>44684</v>
      </c>
      <c r="E2951" s="1" t="n">
        <v>46309</v>
      </c>
      <c r="F2951" t="inlineStr">
        <is>
          <t>UPPSALA LÄN</t>
        </is>
      </c>
      <c r="G2951" t="inlineStr">
        <is>
          <t>HEBY</t>
        </is>
      </c>
      <c r="H2951" t="inlineStr">
        <is>
          <t>Bergvik skog väst AB</t>
        </is>
      </c>
      <c r="I2951" t="n">
        <v>41.8</v>
      </c>
      <c r="J2951" t="n">
        <v>0</v>
      </c>
      <c r="K2951" t="n">
        <v>0</v>
      </c>
      <c r="L2951" t="n">
        <v>0</v>
      </c>
      <c r="M2951" t="n">
        <v>0</v>
      </c>
      <c r="N2951" t="n">
        <v>0</v>
      </c>
      <c r="O2951" t="n">
        <v>0</v>
      </c>
      <c r="P2951" t="n">
        <v>0</v>
      </c>
      <c r="Q2951" t="n">
        <v>0</v>
      </c>
      <c r="R2951" t="n">
        <v>0</v>
      </c>
      <c r="S2951" t="n">
        <v>0</v>
      </c>
      <c r="T2951" t="n">
        <v>0</v>
      </c>
      <c r="U2951" t="n">
        <v>0</v>
      </c>
      <c r="V2951" s="2" t="inlineStr"/>
    </row>
    <row r="2952" ht="15" customHeight="1">
      <c r="A2952" t="inlineStr">
        <is>
          <t>A 31561-2026</t>
        </is>
      </c>
      <c r="B2952" t="inlineStr">
        <is>
          <t>avverkningsanmälan</t>
        </is>
      </c>
      <c r="C2952" t="inlineStr">
        <is>
          <t>Föryngringsavverkning</t>
        </is>
      </c>
      <c r="D2952" s="1" t="n">
        <v>46223</v>
      </c>
      <c r="E2952" s="1" t="n">
        <v>46309</v>
      </c>
      <c r="F2952" t="inlineStr">
        <is>
          <t>UPPSALA LÄN</t>
        </is>
      </c>
      <c r="G2952" t="inlineStr">
        <is>
          <t>HEBY</t>
        </is>
      </c>
      <c r="H2952" t="inlineStr">
        <is>
          <t>Bergvik skog väst AB</t>
        </is>
      </c>
      <c r="I2952" t="n">
        <v>4.4</v>
      </c>
      <c r="J2952" t="n">
        <v>0</v>
      </c>
      <c r="K2952" t="n">
        <v>0</v>
      </c>
      <c r="L2952" t="n">
        <v>0</v>
      </c>
      <c r="M2952" t="n">
        <v>0</v>
      </c>
      <c r="N2952" t="n">
        <v>0</v>
      </c>
      <c r="O2952" t="n">
        <v>0</v>
      </c>
      <c r="P2952" t="n">
        <v>0</v>
      </c>
      <c r="Q2952" t="n">
        <v>0</v>
      </c>
      <c r="R2952" t="n">
        <v>0</v>
      </c>
      <c r="S2952" t="n">
        <v>0</v>
      </c>
      <c r="T2952" t="n">
        <v>0</v>
      </c>
      <c r="U2952" t="n">
        <v>0</v>
      </c>
      <c r="V2952" s="2" t="inlineStr"/>
    </row>
    <row r="2953" ht="15" customHeight="1">
      <c r="A2953" t="inlineStr">
        <is>
          <t>A 66873-2021</t>
        </is>
      </c>
      <c r="B2953" t="inlineStr">
        <is>
          <t>avverkningsanmälan</t>
        </is>
      </c>
      <c r="C2953" t="inlineStr">
        <is>
          <t>Föryngringsavverkning</t>
        </is>
      </c>
      <c r="D2953" s="1" t="n">
        <v>44522</v>
      </c>
      <c r="E2953" s="1" t="n">
        <v>46309</v>
      </c>
      <c r="F2953" t="inlineStr">
        <is>
          <t>UPPSALA LÄN</t>
        </is>
      </c>
      <c r="G2953" t="inlineStr">
        <is>
          <t>HEBY</t>
        </is>
      </c>
      <c r="I2953" t="n">
        <v>1.3</v>
      </c>
      <c r="J2953" t="n">
        <v>0</v>
      </c>
      <c r="K2953" t="n">
        <v>0</v>
      </c>
      <c r="L2953" t="n">
        <v>0</v>
      </c>
      <c r="M2953" t="n">
        <v>0</v>
      </c>
      <c r="N2953" t="n">
        <v>0</v>
      </c>
      <c r="O2953" t="n">
        <v>0</v>
      </c>
      <c r="P2953" t="n">
        <v>0</v>
      </c>
      <c r="Q2953" t="n">
        <v>0</v>
      </c>
      <c r="R2953" t="n">
        <v>0</v>
      </c>
      <c r="S2953" t="n">
        <v>0</v>
      </c>
      <c r="T2953" t="n">
        <v>0</v>
      </c>
      <c r="U2953" t="n">
        <v>0</v>
      </c>
      <c r="V2953" s="2" t="inlineStr"/>
    </row>
    <row r="2954" ht="15" customHeight="1">
      <c r="A2954" t="inlineStr">
        <is>
          <t>A 31604-2026</t>
        </is>
      </c>
      <c r="B2954" t="inlineStr">
        <is>
          <t>avverkningsanmälan</t>
        </is>
      </c>
      <c r="C2954" t="inlineStr">
        <is>
          <t>Föryngringsavverkning</t>
        </is>
      </c>
      <c r="D2954" s="1" t="n">
        <v>46224</v>
      </c>
      <c r="E2954" s="1" t="n">
        <v>46309</v>
      </c>
      <c r="F2954" t="inlineStr">
        <is>
          <t>UPPSALA LÄN</t>
        </is>
      </c>
      <c r="G2954" t="inlineStr">
        <is>
          <t>HEBY</t>
        </is>
      </c>
      <c r="H2954" t="inlineStr">
        <is>
          <t>Bergvik skog väst AB</t>
        </is>
      </c>
      <c r="I2954" t="n">
        <v>6.9</v>
      </c>
      <c r="J2954" t="n">
        <v>0</v>
      </c>
      <c r="K2954" t="n">
        <v>0</v>
      </c>
      <c r="L2954" t="n">
        <v>0</v>
      </c>
      <c r="M2954" t="n">
        <v>0</v>
      </c>
      <c r="N2954" t="n">
        <v>0</v>
      </c>
      <c r="O2954" t="n">
        <v>0</v>
      </c>
      <c r="P2954" t="n">
        <v>0</v>
      </c>
      <c r="Q2954" t="n">
        <v>0</v>
      </c>
      <c r="R2954" t="n">
        <v>0</v>
      </c>
      <c r="S2954" t="n">
        <v>0</v>
      </c>
      <c r="T2954" t="n">
        <v>0</v>
      </c>
      <c r="U2954" t="n">
        <v>0</v>
      </c>
      <c r="V2954" s="2" t="inlineStr"/>
    </row>
    <row r="2955" ht="15" customHeight="1">
      <c r="A2955" t="inlineStr">
        <is>
          <t>A 20021-2025</t>
        </is>
      </c>
      <c r="B2955" t="inlineStr">
        <is>
          <t>avverkningsanmälan</t>
        </is>
      </c>
      <c r="C2955" t="inlineStr">
        <is>
          <t>Avverkning för annat ändamål</t>
        </is>
      </c>
      <c r="D2955" s="1" t="n">
        <v>45772</v>
      </c>
      <c r="E2955" s="1" t="n">
        <v>46309</v>
      </c>
      <c r="F2955" t="inlineStr">
        <is>
          <t>UPPSALA LÄN</t>
        </is>
      </c>
      <c r="G2955" t="inlineStr">
        <is>
          <t>TIERP</t>
        </is>
      </c>
      <c r="H2955" t="inlineStr">
        <is>
          <t>Kyrkan</t>
        </is>
      </c>
      <c r="I2955" t="n">
        <v>0.5</v>
      </c>
      <c r="J2955" t="n">
        <v>0</v>
      </c>
      <c r="K2955" t="n">
        <v>0</v>
      </c>
      <c r="L2955" t="n">
        <v>0</v>
      </c>
      <c r="M2955" t="n">
        <v>0</v>
      </c>
      <c r="N2955" t="n">
        <v>0</v>
      </c>
      <c r="O2955" t="n">
        <v>0</v>
      </c>
      <c r="P2955" t="n">
        <v>0</v>
      </c>
      <c r="Q2955" t="n">
        <v>0</v>
      </c>
      <c r="R2955" t="n">
        <v>0</v>
      </c>
      <c r="S2955" t="n">
        <v>0</v>
      </c>
      <c r="T2955" t="n">
        <v>0</v>
      </c>
      <c r="U2955" t="n">
        <v>0</v>
      </c>
      <c r="V2955" s="2" t="inlineStr"/>
    </row>
    <row r="2956" ht="15" customHeight="1">
      <c r="A2956" t="inlineStr">
        <is>
          <t>A 47909-2024</t>
        </is>
      </c>
      <c r="B2956" t="inlineStr">
        <is>
          <t>avverkningsanmälan</t>
        </is>
      </c>
      <c r="C2956" t="inlineStr">
        <is>
          <t>Föryngringsavverkning</t>
        </is>
      </c>
      <c r="D2956" s="1" t="n">
        <v>45589</v>
      </c>
      <c r="E2956" s="1" t="n">
        <v>46309</v>
      </c>
      <c r="F2956" t="inlineStr">
        <is>
          <t>UPPSALA LÄN</t>
        </is>
      </c>
      <c r="G2956" t="inlineStr">
        <is>
          <t>ENKÖPING</t>
        </is>
      </c>
      <c r="I2956" t="n">
        <v>0.5</v>
      </c>
      <c r="J2956" t="n">
        <v>0</v>
      </c>
      <c r="K2956" t="n">
        <v>0</v>
      </c>
      <c r="L2956" t="n">
        <v>0</v>
      </c>
      <c r="M2956" t="n">
        <v>0</v>
      </c>
      <c r="N2956" t="n">
        <v>0</v>
      </c>
      <c r="O2956" t="n">
        <v>0</v>
      </c>
      <c r="P2956" t="n">
        <v>0</v>
      </c>
      <c r="Q2956" t="n">
        <v>0</v>
      </c>
      <c r="R2956" t="n">
        <v>0</v>
      </c>
      <c r="S2956" t="n">
        <v>0</v>
      </c>
      <c r="T2956" t="n">
        <v>0</v>
      </c>
      <c r="U2956" t="n">
        <v>0</v>
      </c>
      <c r="V2956" s="2" t="inlineStr"/>
    </row>
    <row r="2957" ht="15" customHeight="1">
      <c r="A2957" t="inlineStr">
        <is>
          <t>A 27543-2022</t>
        </is>
      </c>
      <c r="B2957" t="inlineStr">
        <is>
          <t>avverkningsanmälan</t>
        </is>
      </c>
      <c r="C2957" t="inlineStr">
        <is>
          <t>Föryngringsavverkning</t>
        </is>
      </c>
      <c r="D2957" s="1" t="n">
        <v>44742</v>
      </c>
      <c r="E2957" s="1" t="n">
        <v>46309</v>
      </c>
      <c r="F2957" t="inlineStr">
        <is>
          <t>UPPSALA LÄN</t>
        </is>
      </c>
      <c r="G2957" t="inlineStr">
        <is>
          <t>UPPSALA</t>
        </is>
      </c>
      <c r="H2957" t="inlineStr">
        <is>
          <t>Kyrkan</t>
        </is>
      </c>
      <c r="I2957" t="n">
        <v>2.6</v>
      </c>
      <c r="J2957" t="n">
        <v>0</v>
      </c>
      <c r="K2957" t="n">
        <v>0</v>
      </c>
      <c r="L2957" t="n">
        <v>0</v>
      </c>
      <c r="M2957" t="n">
        <v>0</v>
      </c>
      <c r="N2957" t="n">
        <v>0</v>
      </c>
      <c r="O2957" t="n">
        <v>0</v>
      </c>
      <c r="P2957" t="n">
        <v>0</v>
      </c>
      <c r="Q2957" t="n">
        <v>0</v>
      </c>
      <c r="R2957" t="n">
        <v>0</v>
      </c>
      <c r="S2957" t="n">
        <v>0</v>
      </c>
      <c r="T2957" t="n">
        <v>0</v>
      </c>
      <c r="U2957" t="n">
        <v>0</v>
      </c>
      <c r="V2957" s="2" t="inlineStr"/>
    </row>
    <row r="2958" ht="15" customHeight="1">
      <c r="A2958" t="inlineStr">
        <is>
          <t>A 29387-2022</t>
        </is>
      </c>
      <c r="B2958" t="inlineStr">
        <is>
          <t>avverkningsanmälan</t>
        </is>
      </c>
      <c r="C2958" t="inlineStr">
        <is>
          <t>Föryngringsavverkning</t>
        </is>
      </c>
      <c r="D2958" s="1" t="n">
        <v>44753</v>
      </c>
      <c r="E2958" s="1" t="n">
        <v>46309</v>
      </c>
      <c r="F2958" t="inlineStr">
        <is>
          <t>UPPSALA LÄN</t>
        </is>
      </c>
      <c r="G2958" t="inlineStr">
        <is>
          <t>HEBY</t>
        </is>
      </c>
      <c r="I2958" t="n">
        <v>2.1</v>
      </c>
      <c r="J2958" t="n">
        <v>0</v>
      </c>
      <c r="K2958" t="n">
        <v>0</v>
      </c>
      <c r="L2958" t="n">
        <v>0</v>
      </c>
      <c r="M2958" t="n">
        <v>0</v>
      </c>
      <c r="N2958" t="n">
        <v>0</v>
      </c>
      <c r="O2958" t="n">
        <v>0</v>
      </c>
      <c r="P2958" t="n">
        <v>0</v>
      </c>
      <c r="Q2958" t="n">
        <v>0</v>
      </c>
      <c r="R2958" t="n">
        <v>0</v>
      </c>
      <c r="S2958" t="n">
        <v>0</v>
      </c>
      <c r="T2958" t="n">
        <v>0</v>
      </c>
      <c r="U2958" t="n">
        <v>0</v>
      </c>
      <c r="V2958" s="2" t="inlineStr"/>
    </row>
    <row r="2959" ht="15" customHeight="1">
      <c r="A2959" t="inlineStr">
        <is>
          <t>A 28346-2022</t>
        </is>
      </c>
      <c r="B2959" t="inlineStr">
        <is>
          <t>avverkningsanmälan</t>
        </is>
      </c>
      <c r="C2959" t="inlineStr">
        <is>
          <t>Föryngringsavverkning</t>
        </is>
      </c>
      <c r="D2959" s="1" t="n">
        <v>44747</v>
      </c>
      <c r="E2959" s="1" t="n">
        <v>46309</v>
      </c>
      <c r="F2959" t="inlineStr">
        <is>
          <t>UPPSALA LÄN</t>
        </is>
      </c>
      <c r="G2959" t="inlineStr">
        <is>
          <t>TIERP</t>
        </is>
      </c>
      <c r="H2959" t="inlineStr">
        <is>
          <t>Bergvik skog väst AB</t>
        </is>
      </c>
      <c r="I2959" t="n">
        <v>1.5</v>
      </c>
      <c r="J2959" t="n">
        <v>0</v>
      </c>
      <c r="K2959" t="n">
        <v>0</v>
      </c>
      <c r="L2959" t="n">
        <v>0</v>
      </c>
      <c r="M2959" t="n">
        <v>0</v>
      </c>
      <c r="N2959" t="n">
        <v>0</v>
      </c>
      <c r="O2959" t="n">
        <v>0</v>
      </c>
      <c r="P2959" t="n">
        <v>0</v>
      </c>
      <c r="Q2959" t="n">
        <v>0</v>
      </c>
      <c r="R2959" t="n">
        <v>0</v>
      </c>
      <c r="S2959" t="n">
        <v>0</v>
      </c>
      <c r="T2959" t="n">
        <v>0</v>
      </c>
      <c r="U2959" t="n">
        <v>0</v>
      </c>
      <c r="V2959" s="2" t="inlineStr"/>
    </row>
    <row r="2960" ht="15" customHeight="1">
      <c r="A2960" t="inlineStr">
        <is>
          <t>A 64586-2021</t>
        </is>
      </c>
      <c r="B2960" t="inlineStr">
        <is>
          <t>avverkningsanmälan</t>
        </is>
      </c>
      <c r="C2960" t="inlineStr">
        <is>
          <t>Föryngringsavverkning</t>
        </is>
      </c>
      <c r="D2960" s="1" t="n">
        <v>44511</v>
      </c>
      <c r="E2960" s="1" t="n">
        <v>46309</v>
      </c>
      <c r="F2960" t="inlineStr">
        <is>
          <t>UPPSALA LÄN</t>
        </is>
      </c>
      <c r="G2960" t="inlineStr">
        <is>
          <t>ÖSTHAMMAR</t>
        </is>
      </c>
      <c r="I2960" t="n">
        <v>2</v>
      </c>
      <c r="J2960" t="n">
        <v>0</v>
      </c>
      <c r="K2960" t="n">
        <v>0</v>
      </c>
      <c r="L2960" t="n">
        <v>0</v>
      </c>
      <c r="M2960" t="n">
        <v>0</v>
      </c>
      <c r="N2960" t="n">
        <v>0</v>
      </c>
      <c r="O2960" t="n">
        <v>0</v>
      </c>
      <c r="P2960" t="n">
        <v>0</v>
      </c>
      <c r="Q2960" t="n">
        <v>0</v>
      </c>
      <c r="R2960" t="n">
        <v>0</v>
      </c>
      <c r="S2960" t="n">
        <v>0</v>
      </c>
      <c r="T2960" t="n">
        <v>0</v>
      </c>
      <c r="U2960" t="n">
        <v>0</v>
      </c>
      <c r="V2960" s="2" t="inlineStr"/>
    </row>
    <row r="2961" ht="15" customHeight="1">
      <c r="A2961" t="inlineStr">
        <is>
          <t>A 13634-2023</t>
        </is>
      </c>
      <c r="B2961" t="inlineStr">
        <is>
          <t>avverkningsanmälan</t>
        </is>
      </c>
      <c r="C2961" t="inlineStr">
        <is>
          <t>Föryngringsavverkning</t>
        </is>
      </c>
      <c r="D2961" s="1" t="n">
        <v>45006</v>
      </c>
      <c r="E2961" s="1" t="n">
        <v>46309</v>
      </c>
      <c r="F2961" t="inlineStr">
        <is>
          <t>UPPSALA LÄN</t>
        </is>
      </c>
      <c r="G2961" t="inlineStr">
        <is>
          <t>HEBY</t>
        </is>
      </c>
      <c r="I2961" t="n">
        <v>1.9</v>
      </c>
      <c r="J2961" t="n">
        <v>0</v>
      </c>
      <c r="K2961" t="n">
        <v>0</v>
      </c>
      <c r="L2961" t="n">
        <v>0</v>
      </c>
      <c r="M2961" t="n">
        <v>0</v>
      </c>
      <c r="N2961" t="n">
        <v>0</v>
      </c>
      <c r="O2961" t="n">
        <v>0</v>
      </c>
      <c r="P2961" t="n">
        <v>0</v>
      </c>
      <c r="Q2961" t="n">
        <v>0</v>
      </c>
      <c r="R2961" t="n">
        <v>0</v>
      </c>
      <c r="S2961" t="n">
        <v>0</v>
      </c>
      <c r="T2961" t="n">
        <v>0</v>
      </c>
      <c r="U2961" t="n">
        <v>0</v>
      </c>
      <c r="V2961" s="2" t="inlineStr"/>
    </row>
    <row r="2962" ht="15" customHeight="1">
      <c r="A2962" t="inlineStr">
        <is>
          <t>A 36337-2026</t>
        </is>
      </c>
      <c r="B2962" t="inlineStr">
        <is>
          <t>avverkningsanmälan</t>
        </is>
      </c>
      <c r="C2962" t="inlineStr">
        <is>
          <t>Föryngringsavverkning</t>
        </is>
      </c>
      <c r="D2962" s="1" t="n">
        <v>46268</v>
      </c>
      <c r="E2962" s="1" t="n">
        <v>46309</v>
      </c>
      <c r="F2962" t="inlineStr">
        <is>
          <t>UPPSALA LÄN</t>
        </is>
      </c>
      <c r="G2962" t="inlineStr">
        <is>
          <t>TIERP</t>
        </is>
      </c>
      <c r="I2962" t="n">
        <v>4</v>
      </c>
      <c r="J2962" t="n">
        <v>0</v>
      </c>
      <c r="K2962" t="n">
        <v>0</v>
      </c>
      <c r="L2962" t="n">
        <v>0</v>
      </c>
      <c r="M2962" t="n">
        <v>0</v>
      </c>
      <c r="N2962" t="n">
        <v>0</v>
      </c>
      <c r="O2962" t="n">
        <v>0</v>
      </c>
      <c r="P2962" t="n">
        <v>0</v>
      </c>
      <c r="Q2962" t="n">
        <v>0</v>
      </c>
      <c r="R2962" t="n">
        <v>0</v>
      </c>
      <c r="S2962" t="n">
        <v>0</v>
      </c>
      <c r="T2962" t="n">
        <v>0</v>
      </c>
      <c r="U2962" t="n">
        <v>0</v>
      </c>
      <c r="V2962" s="2" t="inlineStr"/>
    </row>
    <row r="2963" ht="15" customHeight="1">
      <c r="A2963" t="inlineStr">
        <is>
          <t>A 36186-2026</t>
        </is>
      </c>
      <c r="B2963" t="inlineStr">
        <is>
          <t>avverkningsanmälan</t>
        </is>
      </c>
      <c r="C2963" t="inlineStr">
        <is>
          <t>Föryngringsavverkning</t>
        </is>
      </c>
      <c r="D2963" s="1" t="n">
        <v>46267</v>
      </c>
      <c r="E2963" s="1" t="n">
        <v>46309</v>
      </c>
      <c r="F2963" t="inlineStr">
        <is>
          <t>UPPSALA LÄN</t>
        </is>
      </c>
      <c r="G2963" t="inlineStr">
        <is>
          <t>ÖSTHAMMAR</t>
        </is>
      </c>
      <c r="H2963" t="inlineStr">
        <is>
          <t>Övriga Aktiebolag</t>
        </is>
      </c>
      <c r="I2963" t="n">
        <v>21.5</v>
      </c>
      <c r="J2963" t="n">
        <v>0</v>
      </c>
      <c r="K2963" t="n">
        <v>0</v>
      </c>
      <c r="L2963" t="n">
        <v>0</v>
      </c>
      <c r="M2963" t="n">
        <v>0</v>
      </c>
      <c r="N2963" t="n">
        <v>0</v>
      </c>
      <c r="O2963" t="n">
        <v>0</v>
      </c>
      <c r="P2963" t="n">
        <v>0</v>
      </c>
      <c r="Q2963" t="n">
        <v>0</v>
      </c>
      <c r="R2963" t="n">
        <v>0</v>
      </c>
      <c r="S2963" t="n">
        <v>0</v>
      </c>
      <c r="T2963" t="n">
        <v>0</v>
      </c>
      <c r="U2963" t="n">
        <v>0</v>
      </c>
      <c r="V2963" s="2" t="inlineStr"/>
    </row>
    <row r="2964" ht="15" customHeight="1">
      <c r="A2964" t="inlineStr">
        <is>
          <t>A 52005-2024</t>
        </is>
      </c>
      <c r="B2964" t="inlineStr">
        <is>
          <t>avverkningsanmälan</t>
        </is>
      </c>
      <c r="C2964" t="inlineStr">
        <is>
          <t>Föryngringsavverkning</t>
        </is>
      </c>
      <c r="D2964" s="1" t="n">
        <v>45607</v>
      </c>
      <c r="E2964" s="1" t="n">
        <v>46309</v>
      </c>
      <c r="F2964" t="inlineStr">
        <is>
          <t>UPPSALA LÄN</t>
        </is>
      </c>
      <c r="G2964" t="inlineStr">
        <is>
          <t>ENKÖPING</t>
        </is>
      </c>
      <c r="I2964" t="n">
        <v>0.5</v>
      </c>
      <c r="J2964" t="n">
        <v>0</v>
      </c>
      <c r="K2964" t="n">
        <v>0</v>
      </c>
      <c r="L2964" t="n">
        <v>0</v>
      </c>
      <c r="M2964" t="n">
        <v>0</v>
      </c>
      <c r="N2964" t="n">
        <v>0</v>
      </c>
      <c r="O2964" t="n">
        <v>0</v>
      </c>
      <c r="P2964" t="n">
        <v>0</v>
      </c>
      <c r="Q2964" t="n">
        <v>0</v>
      </c>
      <c r="R2964" t="n">
        <v>0</v>
      </c>
      <c r="S2964" t="n">
        <v>0</v>
      </c>
      <c r="T2964" t="n">
        <v>0</v>
      </c>
      <c r="U2964" t="n">
        <v>0</v>
      </c>
      <c r="V2964" s="2" t="inlineStr"/>
    </row>
    <row r="2965" ht="15" customHeight="1">
      <c r="A2965" t="inlineStr">
        <is>
          <t>A 36074-2026</t>
        </is>
      </c>
      <c r="B2965" t="inlineStr">
        <is>
          <t>avverkningsanmälan</t>
        </is>
      </c>
      <c r="C2965" t="inlineStr">
        <is>
          <t>Föryngringsavverkning</t>
        </is>
      </c>
      <c r="D2965" s="1" t="n">
        <v>46267</v>
      </c>
      <c r="E2965" s="1" t="n">
        <v>46309</v>
      </c>
      <c r="F2965" t="inlineStr">
        <is>
          <t>UPPSALA LÄN</t>
        </is>
      </c>
      <c r="G2965" t="inlineStr">
        <is>
          <t>UPPSALA</t>
        </is>
      </c>
      <c r="H2965" t="inlineStr">
        <is>
          <t>Övriga Aktiebolag</t>
        </is>
      </c>
      <c r="I2965" t="n">
        <v>4.6</v>
      </c>
      <c r="J2965" t="n">
        <v>0</v>
      </c>
      <c r="K2965" t="n">
        <v>0</v>
      </c>
      <c r="L2965" t="n">
        <v>0</v>
      </c>
      <c r="M2965" t="n">
        <v>0</v>
      </c>
      <c r="N2965" t="n">
        <v>0</v>
      </c>
      <c r="O2965" t="n">
        <v>0</v>
      </c>
      <c r="P2965" t="n">
        <v>0</v>
      </c>
      <c r="Q2965" t="n">
        <v>0</v>
      </c>
      <c r="R2965" t="n">
        <v>0</v>
      </c>
      <c r="S2965" t="n">
        <v>0</v>
      </c>
      <c r="T2965" t="n">
        <v>0</v>
      </c>
      <c r="U2965" t="n">
        <v>0</v>
      </c>
      <c r="V2965" s="2" t="inlineStr"/>
    </row>
    <row r="2966" ht="15" customHeight="1">
      <c r="A2966" t="inlineStr">
        <is>
          <t>A 36072-2026</t>
        </is>
      </c>
      <c r="B2966" t="inlineStr">
        <is>
          <t>avverkningsanmälan</t>
        </is>
      </c>
      <c r="C2966" t="inlineStr">
        <is>
          <t>Föryngringsavverkning</t>
        </is>
      </c>
      <c r="D2966" s="1" t="n">
        <v>46267</v>
      </c>
      <c r="E2966" s="1" t="n">
        <v>46309</v>
      </c>
      <c r="F2966" t="inlineStr">
        <is>
          <t>UPPSALA LÄN</t>
        </is>
      </c>
      <c r="G2966" t="inlineStr">
        <is>
          <t>UPPSALA</t>
        </is>
      </c>
      <c r="I2966" t="n">
        <v>2.3</v>
      </c>
      <c r="J2966" t="n">
        <v>0</v>
      </c>
      <c r="K2966" t="n">
        <v>0</v>
      </c>
      <c r="L2966" t="n">
        <v>0</v>
      </c>
      <c r="M2966" t="n">
        <v>0</v>
      </c>
      <c r="N2966" t="n">
        <v>0</v>
      </c>
      <c r="O2966" t="n">
        <v>0</v>
      </c>
      <c r="P2966" t="n">
        <v>0</v>
      </c>
      <c r="Q2966" t="n">
        <v>0</v>
      </c>
      <c r="R2966" t="n">
        <v>0</v>
      </c>
      <c r="S2966" t="n">
        <v>0</v>
      </c>
      <c r="T2966" t="n">
        <v>0</v>
      </c>
      <c r="U2966" t="n">
        <v>0</v>
      </c>
      <c r="V2966" s="2" t="inlineStr"/>
    </row>
    <row r="2967" ht="15" customHeight="1">
      <c r="A2967" t="inlineStr">
        <is>
          <t>A 25995-2022</t>
        </is>
      </c>
      <c r="B2967" t="inlineStr">
        <is>
          <t>avverkningsanmälan</t>
        </is>
      </c>
      <c r="C2967" t="inlineStr">
        <is>
          <t>Föryngringsavverkning</t>
        </is>
      </c>
      <c r="D2967" s="1" t="n">
        <v>44734</v>
      </c>
      <c r="E2967" s="1" t="n">
        <v>46309</v>
      </c>
      <c r="F2967" t="inlineStr">
        <is>
          <t>UPPSALA LÄN</t>
        </is>
      </c>
      <c r="G2967" t="inlineStr">
        <is>
          <t>HEBY</t>
        </is>
      </c>
      <c r="I2967" t="n">
        <v>3.6</v>
      </c>
      <c r="J2967" t="n">
        <v>0</v>
      </c>
      <c r="K2967" t="n">
        <v>0</v>
      </c>
      <c r="L2967" t="n">
        <v>0</v>
      </c>
      <c r="M2967" t="n">
        <v>0</v>
      </c>
      <c r="N2967" t="n">
        <v>0</v>
      </c>
      <c r="O2967" t="n">
        <v>0</v>
      </c>
      <c r="P2967" t="n">
        <v>0</v>
      </c>
      <c r="Q2967" t="n">
        <v>0</v>
      </c>
      <c r="R2967" t="n">
        <v>0</v>
      </c>
      <c r="S2967" t="n">
        <v>0</v>
      </c>
      <c r="T2967" t="n">
        <v>0</v>
      </c>
      <c r="U2967" t="n">
        <v>0</v>
      </c>
      <c r="V2967" s="2" t="inlineStr"/>
    </row>
    <row r="2968" ht="15" customHeight="1">
      <c r="A2968" t="inlineStr">
        <is>
          <t>A 6679-2024</t>
        </is>
      </c>
      <c r="B2968" t="inlineStr">
        <is>
          <t>avverkningsanmälan</t>
        </is>
      </c>
      <c r="C2968" t="inlineStr">
        <is>
          <t>Föryngringsavverkning</t>
        </is>
      </c>
      <c r="D2968" s="1" t="n">
        <v>45341</v>
      </c>
      <c r="E2968" s="1" t="n">
        <v>46309</v>
      </c>
      <c r="F2968" t="inlineStr">
        <is>
          <t>UPPSALA LÄN</t>
        </is>
      </c>
      <c r="G2968" t="inlineStr">
        <is>
          <t>UPPSALA</t>
        </is>
      </c>
      <c r="H2968" t="inlineStr">
        <is>
          <t>Bergvik skog öst AB</t>
        </is>
      </c>
      <c r="I2968" t="n">
        <v>0.4</v>
      </c>
      <c r="J2968" t="n">
        <v>0</v>
      </c>
      <c r="K2968" t="n">
        <v>0</v>
      </c>
      <c r="L2968" t="n">
        <v>0</v>
      </c>
      <c r="M2968" t="n">
        <v>0</v>
      </c>
      <c r="N2968" t="n">
        <v>0</v>
      </c>
      <c r="O2968" t="n">
        <v>0</v>
      </c>
      <c r="P2968" t="n">
        <v>0</v>
      </c>
      <c r="Q2968" t="n">
        <v>0</v>
      </c>
      <c r="R2968" t="n">
        <v>0</v>
      </c>
      <c r="S2968" t="n">
        <v>0</v>
      </c>
      <c r="T2968" t="n">
        <v>0</v>
      </c>
      <c r="U2968" t="n">
        <v>0</v>
      </c>
      <c r="V2968" s="2" t="inlineStr"/>
    </row>
    <row r="2969" ht="15" customHeight="1">
      <c r="A2969" t="inlineStr">
        <is>
          <t>A 36359-2026</t>
        </is>
      </c>
      <c r="B2969" t="inlineStr">
        <is>
          <t>avverkningsanmälan</t>
        </is>
      </c>
      <c r="C2969" t="inlineStr">
        <is>
          <t>Föryngringsavverkning</t>
        </is>
      </c>
      <c r="D2969" s="1" t="n">
        <v>46268</v>
      </c>
      <c r="E2969" s="1" t="n">
        <v>46309</v>
      </c>
      <c r="F2969" t="inlineStr">
        <is>
          <t>UPPSALA LÄN</t>
        </is>
      </c>
      <c r="G2969" t="inlineStr">
        <is>
          <t>HEBY</t>
        </is>
      </c>
      <c r="H2969" t="inlineStr">
        <is>
          <t>Kyrkan</t>
        </is>
      </c>
      <c r="I2969" t="n">
        <v>0.7</v>
      </c>
      <c r="J2969" t="n">
        <v>0</v>
      </c>
      <c r="K2969" t="n">
        <v>0</v>
      </c>
      <c r="L2969" t="n">
        <v>0</v>
      </c>
      <c r="M2969" t="n">
        <v>0</v>
      </c>
      <c r="N2969" t="n">
        <v>0</v>
      </c>
      <c r="O2969" t="n">
        <v>0</v>
      </c>
      <c r="P2969" t="n">
        <v>0</v>
      </c>
      <c r="Q2969" t="n">
        <v>0</v>
      </c>
      <c r="R2969" t="n">
        <v>0</v>
      </c>
      <c r="S2969" t="n">
        <v>0</v>
      </c>
      <c r="T2969" t="n">
        <v>0</v>
      </c>
      <c r="U2969" t="n">
        <v>0</v>
      </c>
      <c r="V2969" s="2" t="inlineStr"/>
    </row>
    <row r="2970" ht="15" customHeight="1">
      <c r="A2970" t="inlineStr">
        <is>
          <t>A 31607-2026</t>
        </is>
      </c>
      <c r="B2970" t="inlineStr">
        <is>
          <t>avverkningsanmälan</t>
        </is>
      </c>
      <c r="C2970" t="inlineStr">
        <is>
          <t>Föryngringsavverkning</t>
        </is>
      </c>
      <c r="D2970" s="1" t="n">
        <v>46224</v>
      </c>
      <c r="E2970" s="1" t="n">
        <v>46309</v>
      </c>
      <c r="F2970" t="inlineStr">
        <is>
          <t>UPPSALA LÄN</t>
        </is>
      </c>
      <c r="G2970" t="inlineStr">
        <is>
          <t>UPPSALA</t>
        </is>
      </c>
      <c r="H2970" t="inlineStr">
        <is>
          <t>Bergvik skog öst AB</t>
        </is>
      </c>
      <c r="I2970" t="n">
        <v>4.6</v>
      </c>
      <c r="J2970" t="n">
        <v>0</v>
      </c>
      <c r="K2970" t="n">
        <v>0</v>
      </c>
      <c r="L2970" t="n">
        <v>0</v>
      </c>
      <c r="M2970" t="n">
        <v>0</v>
      </c>
      <c r="N2970" t="n">
        <v>0</v>
      </c>
      <c r="O2970" t="n">
        <v>0</v>
      </c>
      <c r="P2970" t="n">
        <v>0</v>
      </c>
      <c r="Q2970" t="n">
        <v>0</v>
      </c>
      <c r="R2970" t="n">
        <v>0</v>
      </c>
      <c r="S2970" t="n">
        <v>0</v>
      </c>
      <c r="T2970" t="n">
        <v>0</v>
      </c>
      <c r="U2970" t="n">
        <v>0</v>
      </c>
      <c r="V2970" s="2" t="inlineStr"/>
    </row>
    <row r="2971" ht="15" customHeight="1">
      <c r="A2971" t="inlineStr">
        <is>
          <t>A 24558-2023</t>
        </is>
      </c>
      <c r="B2971" t="inlineStr">
        <is>
          <t>avverkningsanmälan</t>
        </is>
      </c>
      <c r="C2971" t="inlineStr">
        <is>
          <t>Föryngringsavverkning</t>
        </is>
      </c>
      <c r="D2971" s="1" t="n">
        <v>45083</v>
      </c>
      <c r="E2971" s="1" t="n">
        <v>46309</v>
      </c>
      <c r="F2971" t="inlineStr">
        <is>
          <t>UPPSALA LÄN</t>
        </is>
      </c>
      <c r="G2971" t="inlineStr">
        <is>
          <t>HEBY</t>
        </is>
      </c>
      <c r="I2971" t="n">
        <v>2.3</v>
      </c>
      <c r="J2971" t="n">
        <v>0</v>
      </c>
      <c r="K2971" t="n">
        <v>0</v>
      </c>
      <c r="L2971" t="n">
        <v>0</v>
      </c>
      <c r="M2971" t="n">
        <v>0</v>
      </c>
      <c r="N2971" t="n">
        <v>0</v>
      </c>
      <c r="O2971" t="n">
        <v>0</v>
      </c>
      <c r="P2971" t="n">
        <v>0</v>
      </c>
      <c r="Q2971" t="n">
        <v>0</v>
      </c>
      <c r="R2971" t="n">
        <v>0</v>
      </c>
      <c r="S2971" t="n">
        <v>0</v>
      </c>
      <c r="T2971" t="n">
        <v>0</v>
      </c>
      <c r="U2971" t="n">
        <v>0</v>
      </c>
      <c r="V2971" s="2" t="inlineStr"/>
    </row>
    <row r="2972" ht="15" customHeight="1">
      <c r="A2972" t="inlineStr">
        <is>
          <t>A 36338-2026</t>
        </is>
      </c>
      <c r="B2972" t="inlineStr">
        <is>
          <t>avverkningsanmälan</t>
        </is>
      </c>
      <c r="C2972" t="inlineStr">
        <is>
          <t>Föryngringsavverkning</t>
        </is>
      </c>
      <c r="D2972" s="1" t="n">
        <v>46268</v>
      </c>
      <c r="E2972" s="1" t="n">
        <v>46309</v>
      </c>
      <c r="F2972" t="inlineStr">
        <is>
          <t>UPPSALA LÄN</t>
        </is>
      </c>
      <c r="G2972" t="inlineStr">
        <is>
          <t>TIERP</t>
        </is>
      </c>
      <c r="I2972" t="n">
        <v>1.1</v>
      </c>
      <c r="J2972" t="n">
        <v>0</v>
      </c>
      <c r="K2972" t="n">
        <v>0</v>
      </c>
      <c r="L2972" t="n">
        <v>0</v>
      </c>
      <c r="M2972" t="n">
        <v>0</v>
      </c>
      <c r="N2972" t="n">
        <v>0</v>
      </c>
      <c r="O2972" t="n">
        <v>0</v>
      </c>
      <c r="P2972" t="n">
        <v>0</v>
      </c>
      <c r="Q2972" t="n">
        <v>0</v>
      </c>
      <c r="R2972" t="n">
        <v>0</v>
      </c>
      <c r="S2972" t="n">
        <v>0</v>
      </c>
      <c r="T2972" t="n">
        <v>0</v>
      </c>
      <c r="U2972" t="n">
        <v>0</v>
      </c>
      <c r="V2972" s="2" t="inlineStr"/>
    </row>
    <row r="2973" ht="15" customHeight="1">
      <c r="A2973" t="inlineStr">
        <is>
          <t>A 6203-2023</t>
        </is>
      </c>
      <c r="B2973" t="inlineStr">
        <is>
          <t>avverkningsanmälan</t>
        </is>
      </c>
      <c r="C2973" t="inlineStr">
        <is>
          <t>Föryngringsavverkning</t>
        </is>
      </c>
      <c r="D2973" s="1" t="n">
        <v>44964</v>
      </c>
      <c r="E2973" s="1" t="n">
        <v>46309</v>
      </c>
      <c r="F2973" t="inlineStr">
        <is>
          <t>UPPSALA LÄN</t>
        </is>
      </c>
      <c r="G2973" t="inlineStr">
        <is>
          <t>HEBY</t>
        </is>
      </c>
      <c r="I2973" t="n">
        <v>1.7</v>
      </c>
      <c r="J2973" t="n">
        <v>0</v>
      </c>
      <c r="K2973" t="n">
        <v>0</v>
      </c>
      <c r="L2973" t="n">
        <v>0</v>
      </c>
      <c r="M2973" t="n">
        <v>0</v>
      </c>
      <c r="N2973" t="n">
        <v>0</v>
      </c>
      <c r="O2973" t="n">
        <v>0</v>
      </c>
      <c r="P2973" t="n">
        <v>0</v>
      </c>
      <c r="Q2973" t="n">
        <v>0</v>
      </c>
      <c r="R2973" t="n">
        <v>0</v>
      </c>
      <c r="S2973" t="n">
        <v>0</v>
      </c>
      <c r="T2973" t="n">
        <v>0</v>
      </c>
      <c r="U2973" t="n">
        <v>0</v>
      </c>
      <c r="V2973" s="2" t="inlineStr"/>
    </row>
    <row r="2974" ht="15" customHeight="1">
      <c r="A2974" t="inlineStr">
        <is>
          <t>A 20882-2022</t>
        </is>
      </c>
      <c r="B2974" t="inlineStr">
        <is>
          <t>avverkningsanmälan</t>
        </is>
      </c>
      <c r="C2974" t="inlineStr">
        <is>
          <t>Föryngringsavverkning</t>
        </is>
      </c>
      <c r="D2974" s="1" t="n">
        <v>44701</v>
      </c>
      <c r="E2974" s="1" t="n">
        <v>46309</v>
      </c>
      <c r="F2974" t="inlineStr">
        <is>
          <t>UPPSALA LÄN</t>
        </is>
      </c>
      <c r="G2974" t="inlineStr">
        <is>
          <t>HEBY</t>
        </is>
      </c>
      <c r="I2974" t="n">
        <v>0.5</v>
      </c>
      <c r="J2974" t="n">
        <v>0</v>
      </c>
      <c r="K2974" t="n">
        <v>0</v>
      </c>
      <c r="L2974" t="n">
        <v>0</v>
      </c>
      <c r="M2974" t="n">
        <v>0</v>
      </c>
      <c r="N2974" t="n">
        <v>0</v>
      </c>
      <c r="O2974" t="n">
        <v>0</v>
      </c>
      <c r="P2974" t="n">
        <v>0</v>
      </c>
      <c r="Q2974" t="n">
        <v>0</v>
      </c>
      <c r="R2974" t="n">
        <v>0</v>
      </c>
      <c r="S2974" t="n">
        <v>0</v>
      </c>
      <c r="T2974" t="n">
        <v>0</v>
      </c>
      <c r="U2974" t="n">
        <v>0</v>
      </c>
      <c r="V2974" s="2" t="inlineStr"/>
    </row>
    <row r="2975" ht="15" customHeight="1">
      <c r="A2975" t="inlineStr">
        <is>
          <t>A 36367-2026</t>
        </is>
      </c>
      <c r="B2975" t="inlineStr">
        <is>
          <t>avverkningsanmälan</t>
        </is>
      </c>
      <c r="C2975" t="inlineStr">
        <is>
          <t>Föryngringsavverkning</t>
        </is>
      </c>
      <c r="D2975" s="1" t="n">
        <v>46268</v>
      </c>
      <c r="E2975" s="1" t="n">
        <v>46309</v>
      </c>
      <c r="F2975" t="inlineStr">
        <is>
          <t>UPPSALA LÄN</t>
        </is>
      </c>
      <c r="G2975" t="inlineStr">
        <is>
          <t>HEBY</t>
        </is>
      </c>
      <c r="H2975" t="inlineStr">
        <is>
          <t>Kyrkan</t>
        </is>
      </c>
      <c r="I2975" t="n">
        <v>2</v>
      </c>
      <c r="J2975" t="n">
        <v>0</v>
      </c>
      <c r="K2975" t="n">
        <v>0</v>
      </c>
      <c r="L2975" t="n">
        <v>0</v>
      </c>
      <c r="M2975" t="n">
        <v>0</v>
      </c>
      <c r="N2975" t="n">
        <v>0</v>
      </c>
      <c r="O2975" t="n">
        <v>0</v>
      </c>
      <c r="P2975" t="n">
        <v>0</v>
      </c>
      <c r="Q2975" t="n">
        <v>0</v>
      </c>
      <c r="R2975" t="n">
        <v>0</v>
      </c>
      <c r="S2975" t="n">
        <v>0</v>
      </c>
      <c r="T2975" t="n">
        <v>0</v>
      </c>
      <c r="U2975" t="n">
        <v>0</v>
      </c>
      <c r="V2975" s="2" t="inlineStr"/>
    </row>
    <row r="2976" ht="15" customHeight="1">
      <c r="A2976" t="inlineStr">
        <is>
          <t>A 55423-2022</t>
        </is>
      </c>
      <c r="B2976" t="inlineStr">
        <is>
          <t>avverkningsanmälan</t>
        </is>
      </c>
      <c r="C2976" t="inlineStr">
        <is>
          <t>Föryngringsavverkning</t>
        </is>
      </c>
      <c r="D2976" s="1" t="n">
        <v>44887</v>
      </c>
      <c r="E2976" s="1" t="n">
        <v>46309</v>
      </c>
      <c r="F2976" t="inlineStr">
        <is>
          <t>UPPSALA LÄN</t>
        </is>
      </c>
      <c r="G2976" t="inlineStr">
        <is>
          <t>TIERP</t>
        </is>
      </c>
      <c r="I2976" t="n">
        <v>1.3</v>
      </c>
      <c r="J2976" t="n">
        <v>0</v>
      </c>
      <c r="K2976" t="n">
        <v>0</v>
      </c>
      <c r="L2976" t="n">
        <v>0</v>
      </c>
      <c r="M2976" t="n">
        <v>0</v>
      </c>
      <c r="N2976" t="n">
        <v>0</v>
      </c>
      <c r="O2976" t="n">
        <v>0</v>
      </c>
      <c r="P2976" t="n">
        <v>0</v>
      </c>
      <c r="Q2976" t="n">
        <v>0</v>
      </c>
      <c r="R2976" t="n">
        <v>0</v>
      </c>
      <c r="S2976" t="n">
        <v>0</v>
      </c>
      <c r="T2976" t="n">
        <v>0</v>
      </c>
      <c r="U2976" t="n">
        <v>0</v>
      </c>
      <c r="V2976" s="2" t="inlineStr"/>
    </row>
    <row r="2977" ht="15" customHeight="1">
      <c r="A2977" t="inlineStr">
        <is>
          <t>A 36139-2026</t>
        </is>
      </c>
      <c r="B2977" t="inlineStr">
        <is>
          <t>avverkningsanmälan</t>
        </is>
      </c>
      <c r="C2977" t="inlineStr">
        <is>
          <t>Föryngringsavverkning</t>
        </is>
      </c>
      <c r="D2977" s="1" t="n">
        <v>46267</v>
      </c>
      <c r="E2977" s="1" t="n">
        <v>46309</v>
      </c>
      <c r="F2977" t="inlineStr">
        <is>
          <t>UPPSALA LÄN</t>
        </is>
      </c>
      <c r="G2977" t="inlineStr">
        <is>
          <t>UPPSALA</t>
        </is>
      </c>
      <c r="I2977" t="n">
        <v>0.8</v>
      </c>
      <c r="J2977" t="n">
        <v>0</v>
      </c>
      <c r="K2977" t="n">
        <v>0</v>
      </c>
      <c r="L2977" t="n">
        <v>0</v>
      </c>
      <c r="M2977" t="n">
        <v>0</v>
      </c>
      <c r="N2977" t="n">
        <v>0</v>
      </c>
      <c r="O2977" t="n">
        <v>0</v>
      </c>
      <c r="P2977" t="n">
        <v>0</v>
      </c>
      <c r="Q2977" t="n">
        <v>0</v>
      </c>
      <c r="R2977" t="n">
        <v>0</v>
      </c>
      <c r="S2977" t="n">
        <v>0</v>
      </c>
      <c r="T2977" t="n">
        <v>0</v>
      </c>
      <c r="U2977" t="n">
        <v>0</v>
      </c>
      <c r="V2977" s="2" t="inlineStr"/>
    </row>
    <row r="2978" ht="15" customHeight="1">
      <c r="A2978" t="inlineStr">
        <is>
          <t>A 36147-2026</t>
        </is>
      </c>
      <c r="B2978" t="inlineStr">
        <is>
          <t>avverkningsanmälan</t>
        </is>
      </c>
      <c r="C2978" t="inlineStr">
        <is>
          <t>Föryngringsavverkning</t>
        </is>
      </c>
      <c r="D2978" s="1" t="n">
        <v>46267</v>
      </c>
      <c r="E2978" s="1" t="n">
        <v>46309</v>
      </c>
      <c r="F2978" t="inlineStr">
        <is>
          <t>UPPSALA LÄN</t>
        </is>
      </c>
      <c r="G2978" t="inlineStr">
        <is>
          <t>UPPSALA</t>
        </is>
      </c>
      <c r="I2978" t="n">
        <v>1.7</v>
      </c>
      <c r="J2978" t="n">
        <v>0</v>
      </c>
      <c r="K2978" t="n">
        <v>0</v>
      </c>
      <c r="L2978" t="n">
        <v>0</v>
      </c>
      <c r="M2978" t="n">
        <v>0</v>
      </c>
      <c r="N2978" t="n">
        <v>0</v>
      </c>
      <c r="O2978" t="n">
        <v>0</v>
      </c>
      <c r="P2978" t="n">
        <v>0</v>
      </c>
      <c r="Q2978" t="n">
        <v>0</v>
      </c>
      <c r="R2978" t="n">
        <v>0</v>
      </c>
      <c r="S2978" t="n">
        <v>0</v>
      </c>
      <c r="T2978" t="n">
        <v>0</v>
      </c>
      <c r="U2978" t="n">
        <v>0</v>
      </c>
      <c r="V2978" s="2" t="inlineStr"/>
    </row>
    <row r="2979" ht="15" customHeight="1">
      <c r="A2979" t="inlineStr">
        <is>
          <t>A 14585-2023</t>
        </is>
      </c>
      <c r="B2979" t="inlineStr">
        <is>
          <t>avverkningsanmälan</t>
        </is>
      </c>
      <c r="C2979" t="inlineStr">
        <is>
          <t>Föryngringsavverkning</t>
        </is>
      </c>
      <c r="D2979" s="1" t="n">
        <v>45013</v>
      </c>
      <c r="E2979" s="1" t="n">
        <v>46309</v>
      </c>
      <c r="F2979" t="inlineStr">
        <is>
          <t>UPPSALA LÄN</t>
        </is>
      </c>
      <c r="G2979" t="inlineStr">
        <is>
          <t>HEBY</t>
        </is>
      </c>
      <c r="I2979" t="n">
        <v>0.7</v>
      </c>
      <c r="J2979" t="n">
        <v>0</v>
      </c>
      <c r="K2979" t="n">
        <v>0</v>
      </c>
      <c r="L2979" t="n">
        <v>0</v>
      </c>
      <c r="M2979" t="n">
        <v>0</v>
      </c>
      <c r="N2979" t="n">
        <v>0</v>
      </c>
      <c r="O2979" t="n">
        <v>0</v>
      </c>
      <c r="P2979" t="n">
        <v>0</v>
      </c>
      <c r="Q2979" t="n">
        <v>0</v>
      </c>
      <c r="R2979" t="n">
        <v>0</v>
      </c>
      <c r="S2979" t="n">
        <v>0</v>
      </c>
      <c r="T2979" t="n">
        <v>0</v>
      </c>
      <c r="U2979" t="n">
        <v>0</v>
      </c>
      <c r="V2979" s="2" t="inlineStr"/>
    </row>
    <row r="2980" ht="15" customHeight="1">
      <c r="A2980" t="inlineStr">
        <is>
          <t>A 781-2024</t>
        </is>
      </c>
      <c r="B2980" t="inlineStr">
        <is>
          <t>avverkningsanmälan</t>
        </is>
      </c>
      <c r="C2980" t="inlineStr">
        <is>
          <t>Föryngringsavverkning</t>
        </is>
      </c>
      <c r="D2980" s="1" t="n">
        <v>45300</v>
      </c>
      <c r="E2980" s="1" t="n">
        <v>46309</v>
      </c>
      <c r="F2980" t="inlineStr">
        <is>
          <t>UPPSALA LÄN</t>
        </is>
      </c>
      <c r="G2980" t="inlineStr">
        <is>
          <t>UPPSALA</t>
        </is>
      </c>
      <c r="I2980" t="n">
        <v>6.3</v>
      </c>
      <c r="J2980" t="n">
        <v>0</v>
      </c>
      <c r="K2980" t="n">
        <v>0</v>
      </c>
      <c r="L2980" t="n">
        <v>0</v>
      </c>
      <c r="M2980" t="n">
        <v>0</v>
      </c>
      <c r="N2980" t="n">
        <v>0</v>
      </c>
      <c r="O2980" t="n">
        <v>0</v>
      </c>
      <c r="P2980" t="n">
        <v>0</v>
      </c>
      <c r="Q2980" t="n">
        <v>0</v>
      </c>
      <c r="R2980" t="n">
        <v>0</v>
      </c>
      <c r="S2980" t="n">
        <v>0</v>
      </c>
      <c r="T2980" t="n">
        <v>0</v>
      </c>
      <c r="U2980" t="n">
        <v>0</v>
      </c>
      <c r="V2980" s="2" t="inlineStr"/>
    </row>
    <row r="2981" ht="15" customHeight="1">
      <c r="A2981" t="inlineStr">
        <is>
          <t>A 46275-2022</t>
        </is>
      </c>
      <c r="B2981" t="inlineStr">
        <is>
          <t>avverkningsanmälan</t>
        </is>
      </c>
      <c r="C2981" t="inlineStr">
        <is>
          <t>Föryngringsavverkning</t>
        </is>
      </c>
      <c r="D2981" s="1" t="n">
        <v>44847</v>
      </c>
      <c r="E2981" s="1" t="n">
        <v>46309</v>
      </c>
      <c r="F2981" t="inlineStr">
        <is>
          <t>UPPSALA LÄN</t>
        </is>
      </c>
      <c r="G2981" t="inlineStr">
        <is>
          <t>TIERP</t>
        </is>
      </c>
      <c r="I2981" t="n">
        <v>1.5</v>
      </c>
      <c r="J2981" t="n">
        <v>0</v>
      </c>
      <c r="K2981" t="n">
        <v>0</v>
      </c>
      <c r="L2981" t="n">
        <v>0</v>
      </c>
      <c r="M2981" t="n">
        <v>0</v>
      </c>
      <c r="N2981" t="n">
        <v>0</v>
      </c>
      <c r="O2981" t="n">
        <v>0</v>
      </c>
      <c r="P2981" t="n">
        <v>0</v>
      </c>
      <c r="Q2981" t="n">
        <v>0</v>
      </c>
      <c r="R2981" t="n">
        <v>0</v>
      </c>
      <c r="S2981" t="n">
        <v>0</v>
      </c>
      <c r="T2981" t="n">
        <v>0</v>
      </c>
      <c r="U2981" t="n">
        <v>0</v>
      </c>
      <c r="V2981" s="2" t="inlineStr"/>
    </row>
    <row r="2982" ht="15" customHeight="1">
      <c r="A2982" t="inlineStr">
        <is>
          <t>A 8768-2023</t>
        </is>
      </c>
      <c r="B2982" t="inlineStr">
        <is>
          <t>avverkningsanmälan</t>
        </is>
      </c>
      <c r="C2982" t="inlineStr">
        <is>
          <t>Föryngringsavverkning</t>
        </is>
      </c>
      <c r="D2982" s="1" t="n">
        <v>44978</v>
      </c>
      <c r="E2982" s="1" t="n">
        <v>46309</v>
      </c>
      <c r="F2982" t="inlineStr">
        <is>
          <t>UPPSALA LÄN</t>
        </is>
      </c>
      <c r="G2982" t="inlineStr">
        <is>
          <t>TIERP</t>
        </is>
      </c>
      <c r="I2982" t="n">
        <v>1.2</v>
      </c>
      <c r="J2982" t="n">
        <v>0</v>
      </c>
      <c r="K2982" t="n">
        <v>0</v>
      </c>
      <c r="L2982" t="n">
        <v>0</v>
      </c>
      <c r="M2982" t="n">
        <v>0</v>
      </c>
      <c r="N2982" t="n">
        <v>0</v>
      </c>
      <c r="O2982" t="n">
        <v>0</v>
      </c>
      <c r="P2982" t="n">
        <v>0</v>
      </c>
      <c r="Q2982" t="n">
        <v>0</v>
      </c>
      <c r="R2982" t="n">
        <v>0</v>
      </c>
      <c r="S2982" t="n">
        <v>0</v>
      </c>
      <c r="T2982" t="n">
        <v>0</v>
      </c>
      <c r="U2982" t="n">
        <v>0</v>
      </c>
      <c r="V2982" s="2" t="inlineStr"/>
    </row>
    <row r="2983" ht="15" customHeight="1">
      <c r="A2983" t="inlineStr">
        <is>
          <t>A 55678-2024</t>
        </is>
      </c>
      <c r="B2983" t="inlineStr">
        <is>
          <t>avverkningsanmälan</t>
        </is>
      </c>
      <c r="C2983" t="inlineStr">
        <is>
          <t>Föryngringsavverkning</t>
        </is>
      </c>
      <c r="D2983" s="1" t="n">
        <v>45622</v>
      </c>
      <c r="E2983" s="1" t="n">
        <v>46309</v>
      </c>
      <c r="F2983" t="inlineStr">
        <is>
          <t>UPPSALA LÄN</t>
        </is>
      </c>
      <c r="G2983" t="inlineStr">
        <is>
          <t>TIERP</t>
        </is>
      </c>
      <c r="I2983" t="n">
        <v>8.4</v>
      </c>
      <c r="J2983" t="n">
        <v>0</v>
      </c>
      <c r="K2983" t="n">
        <v>0</v>
      </c>
      <c r="L2983" t="n">
        <v>0</v>
      </c>
      <c r="M2983" t="n">
        <v>0</v>
      </c>
      <c r="N2983" t="n">
        <v>0</v>
      </c>
      <c r="O2983" t="n">
        <v>0</v>
      </c>
      <c r="P2983" t="n">
        <v>0</v>
      </c>
      <c r="Q2983" t="n">
        <v>0</v>
      </c>
      <c r="R2983" t="n">
        <v>0</v>
      </c>
      <c r="S2983" t="n">
        <v>0</v>
      </c>
      <c r="T2983" t="n">
        <v>0</v>
      </c>
      <c r="U2983" t="n">
        <v>0</v>
      </c>
      <c r="V2983" s="2" t="inlineStr"/>
    </row>
    <row r="2984" ht="15" customHeight="1">
      <c r="A2984" t="inlineStr">
        <is>
          <t>A 64774-2023</t>
        </is>
      </c>
      <c r="B2984" t="inlineStr">
        <is>
          <t>avverkningsanmälan</t>
        </is>
      </c>
      <c r="C2984" t="inlineStr">
        <is>
          <t>Avverkning för annat ändamål</t>
        </is>
      </c>
      <c r="D2984" s="1" t="n">
        <v>45282</v>
      </c>
      <c r="E2984" s="1" t="n">
        <v>46309</v>
      </c>
      <c r="F2984" t="inlineStr">
        <is>
          <t>UPPSALA LÄN</t>
        </is>
      </c>
      <c r="G2984" t="inlineStr">
        <is>
          <t>ÖSTHAMMAR</t>
        </is>
      </c>
      <c r="H2984" t="inlineStr">
        <is>
          <t>Övriga Aktiebolag</t>
        </is>
      </c>
      <c r="I2984" t="n">
        <v>3.7</v>
      </c>
      <c r="J2984" t="n">
        <v>0</v>
      </c>
      <c r="K2984" t="n">
        <v>0</v>
      </c>
      <c r="L2984" t="n">
        <v>0</v>
      </c>
      <c r="M2984" t="n">
        <v>0</v>
      </c>
      <c r="N2984" t="n">
        <v>0</v>
      </c>
      <c r="O2984" t="n">
        <v>0</v>
      </c>
      <c r="P2984" t="n">
        <v>0</v>
      </c>
      <c r="Q2984" t="n">
        <v>0</v>
      </c>
      <c r="R2984" t="n">
        <v>0</v>
      </c>
      <c r="S2984" t="n">
        <v>0</v>
      </c>
      <c r="T2984" t="n">
        <v>0</v>
      </c>
      <c r="U2984" t="n">
        <v>0</v>
      </c>
      <c r="V2984" s="2" t="inlineStr"/>
    </row>
    <row r="2985" ht="15" customHeight="1">
      <c r="A2985" t="inlineStr">
        <is>
          <t>A 27599-2023</t>
        </is>
      </c>
      <c r="B2985" t="inlineStr">
        <is>
          <t>avverkningsanmälan</t>
        </is>
      </c>
      <c r="C2985" t="inlineStr">
        <is>
          <t>Föryngringsavverkning</t>
        </is>
      </c>
      <c r="D2985" s="1" t="n">
        <v>45097</v>
      </c>
      <c r="E2985" s="1" t="n">
        <v>46309</v>
      </c>
      <c r="F2985" t="inlineStr">
        <is>
          <t>UPPSALA LÄN</t>
        </is>
      </c>
      <c r="G2985" t="inlineStr">
        <is>
          <t>UPPSALA</t>
        </is>
      </c>
      <c r="I2985" t="n">
        <v>1</v>
      </c>
      <c r="J2985" t="n">
        <v>0</v>
      </c>
      <c r="K2985" t="n">
        <v>0</v>
      </c>
      <c r="L2985" t="n">
        <v>0</v>
      </c>
      <c r="M2985" t="n">
        <v>0</v>
      </c>
      <c r="N2985" t="n">
        <v>0</v>
      </c>
      <c r="O2985" t="n">
        <v>0</v>
      </c>
      <c r="P2985" t="n">
        <v>0</v>
      </c>
      <c r="Q2985" t="n">
        <v>0</v>
      </c>
      <c r="R2985" t="n">
        <v>0</v>
      </c>
      <c r="S2985" t="n">
        <v>0</v>
      </c>
      <c r="T2985" t="n">
        <v>0</v>
      </c>
      <c r="U2985" t="n">
        <v>0</v>
      </c>
      <c r="V2985" s="2" t="inlineStr"/>
    </row>
    <row r="2986" ht="15" customHeight="1">
      <c r="A2986" t="inlineStr">
        <is>
          <t>A 65020-2021</t>
        </is>
      </c>
      <c r="B2986" t="inlineStr">
        <is>
          <t>avverkningsanmälan</t>
        </is>
      </c>
      <c r="C2986" t="inlineStr">
        <is>
          <t>Avverkning för att bevara och utveckla /försöksver</t>
        </is>
      </c>
      <c r="D2986" s="1" t="n">
        <v>44515</v>
      </c>
      <c r="E2986" s="1" t="n">
        <v>46309</v>
      </c>
      <c r="F2986" t="inlineStr">
        <is>
          <t>UPPSALA LÄN</t>
        </is>
      </c>
      <c r="G2986" t="inlineStr">
        <is>
          <t>ÖSTHAMMAR</t>
        </is>
      </c>
      <c r="H2986" t="inlineStr">
        <is>
          <t>Sveaskog</t>
        </is>
      </c>
      <c r="I2986" t="n">
        <v>4.7</v>
      </c>
      <c r="J2986" t="n">
        <v>0</v>
      </c>
      <c r="K2986" t="n">
        <v>0</v>
      </c>
      <c r="L2986" t="n">
        <v>0</v>
      </c>
      <c r="M2986" t="n">
        <v>0</v>
      </c>
      <c r="N2986" t="n">
        <v>0</v>
      </c>
      <c r="O2986" t="n">
        <v>0</v>
      </c>
      <c r="P2986" t="n">
        <v>0</v>
      </c>
      <c r="Q2986" t="n">
        <v>0</v>
      </c>
      <c r="R2986" t="n">
        <v>0</v>
      </c>
      <c r="S2986" t="n">
        <v>0</v>
      </c>
      <c r="T2986" t="n">
        <v>0</v>
      </c>
      <c r="U2986" t="n">
        <v>0</v>
      </c>
      <c r="V2986" s="2" t="inlineStr"/>
    </row>
    <row r="2987" ht="15" customHeight="1">
      <c r="A2987" t="inlineStr">
        <is>
          <t>A 9767-2023</t>
        </is>
      </c>
      <c r="B2987" t="inlineStr">
        <is>
          <t>avverkningsanmälan</t>
        </is>
      </c>
      <c r="C2987" t="inlineStr">
        <is>
          <t>Föryngringsavverkning</t>
        </is>
      </c>
      <c r="D2987" s="1" t="n">
        <v>44984</v>
      </c>
      <c r="E2987" s="1" t="n">
        <v>46309</v>
      </c>
      <c r="F2987" t="inlineStr">
        <is>
          <t>UPPSALA LÄN</t>
        </is>
      </c>
      <c r="G2987" t="inlineStr">
        <is>
          <t>HEBY</t>
        </is>
      </c>
      <c r="I2987" t="n">
        <v>1.3</v>
      </c>
      <c r="J2987" t="n">
        <v>0</v>
      </c>
      <c r="K2987" t="n">
        <v>0</v>
      </c>
      <c r="L2987" t="n">
        <v>0</v>
      </c>
      <c r="M2987" t="n">
        <v>0</v>
      </c>
      <c r="N2987" t="n">
        <v>0</v>
      </c>
      <c r="O2987" t="n">
        <v>0</v>
      </c>
      <c r="P2987" t="n">
        <v>0</v>
      </c>
      <c r="Q2987" t="n">
        <v>0</v>
      </c>
      <c r="R2987" t="n">
        <v>0</v>
      </c>
      <c r="S2987" t="n">
        <v>0</v>
      </c>
      <c r="T2987" t="n">
        <v>0</v>
      </c>
      <c r="U2987" t="n">
        <v>0</v>
      </c>
      <c r="V2987" s="2" t="inlineStr"/>
    </row>
    <row r="2988" ht="15" customHeight="1">
      <c r="A2988" t="inlineStr">
        <is>
          <t>A 36832-2026</t>
        </is>
      </c>
      <c r="B2988" t="inlineStr">
        <is>
          <t>avverkningsanmälan</t>
        </is>
      </c>
      <c r="C2988" t="inlineStr">
        <is>
          <t>Föryngringsavverkning</t>
        </is>
      </c>
      <c r="D2988" s="1" t="n">
        <v>46272</v>
      </c>
      <c r="E2988" s="1" t="n">
        <v>46309</v>
      </c>
      <c r="F2988" t="inlineStr">
        <is>
          <t>UPPSALA LÄN</t>
        </is>
      </c>
      <c r="G2988" t="inlineStr">
        <is>
          <t>UPPSALA</t>
        </is>
      </c>
      <c r="I2988" t="n">
        <v>1.2</v>
      </c>
      <c r="J2988" t="n">
        <v>0</v>
      </c>
      <c r="K2988" t="n">
        <v>0</v>
      </c>
      <c r="L2988" t="n">
        <v>0</v>
      </c>
      <c r="M2988" t="n">
        <v>0</v>
      </c>
      <c r="N2988" t="n">
        <v>0</v>
      </c>
      <c r="O2988" t="n">
        <v>0</v>
      </c>
      <c r="P2988" t="n">
        <v>0</v>
      </c>
      <c r="Q2988" t="n">
        <v>0</v>
      </c>
      <c r="R2988" t="n">
        <v>0</v>
      </c>
      <c r="S2988" t="n">
        <v>0</v>
      </c>
      <c r="T2988" t="n">
        <v>0</v>
      </c>
      <c r="U2988" t="n">
        <v>0</v>
      </c>
      <c r="V2988" s="2" t="inlineStr"/>
    </row>
    <row r="2989" ht="15" customHeight="1">
      <c r="A2989" t="inlineStr">
        <is>
          <t>A 7058-2023</t>
        </is>
      </c>
      <c r="B2989" t="inlineStr">
        <is>
          <t>avverkningsanmälan</t>
        </is>
      </c>
      <c r="C2989" t="inlineStr">
        <is>
          <t>Föryngringsavverkning</t>
        </is>
      </c>
      <c r="D2989" s="1" t="n">
        <v>44969</v>
      </c>
      <c r="E2989" s="1" t="n">
        <v>46309</v>
      </c>
      <c r="F2989" t="inlineStr">
        <is>
          <t>UPPSALA LÄN</t>
        </is>
      </c>
      <c r="G2989" t="inlineStr">
        <is>
          <t>UPPSALA</t>
        </is>
      </c>
      <c r="I2989" t="n">
        <v>8.199999999999999</v>
      </c>
      <c r="J2989" t="n">
        <v>0</v>
      </c>
      <c r="K2989" t="n">
        <v>0</v>
      </c>
      <c r="L2989" t="n">
        <v>0</v>
      </c>
      <c r="M2989" t="n">
        <v>0</v>
      </c>
      <c r="N2989" t="n">
        <v>0</v>
      </c>
      <c r="O2989" t="n">
        <v>0</v>
      </c>
      <c r="P2989" t="n">
        <v>0</v>
      </c>
      <c r="Q2989" t="n">
        <v>0</v>
      </c>
      <c r="R2989" t="n">
        <v>0</v>
      </c>
      <c r="S2989" t="n">
        <v>0</v>
      </c>
      <c r="T2989" t="n">
        <v>0</v>
      </c>
      <c r="U2989" t="n">
        <v>0</v>
      </c>
      <c r="V2989" s="2" t="inlineStr"/>
    </row>
    <row r="2990" ht="15" customHeight="1">
      <c r="A2990" t="inlineStr">
        <is>
          <t>A 51521-2023</t>
        </is>
      </c>
      <c r="B2990" t="inlineStr">
        <is>
          <t>avverkningsanmälan</t>
        </is>
      </c>
      <c r="C2990" t="inlineStr">
        <is>
          <t>Föryngringsavverkning</t>
        </is>
      </c>
      <c r="D2990" s="1" t="n">
        <v>45215</v>
      </c>
      <c r="E2990" s="1" t="n">
        <v>46309</v>
      </c>
      <c r="F2990" t="inlineStr">
        <is>
          <t>UPPSALA LÄN</t>
        </is>
      </c>
      <c r="G2990" t="inlineStr">
        <is>
          <t>HEBY</t>
        </is>
      </c>
      <c r="I2990" t="n">
        <v>2.1</v>
      </c>
      <c r="J2990" t="n">
        <v>0</v>
      </c>
      <c r="K2990" t="n">
        <v>0</v>
      </c>
      <c r="L2990" t="n">
        <v>0</v>
      </c>
      <c r="M2990" t="n">
        <v>0</v>
      </c>
      <c r="N2990" t="n">
        <v>0</v>
      </c>
      <c r="O2990" t="n">
        <v>0</v>
      </c>
      <c r="P2990" t="n">
        <v>0</v>
      </c>
      <c r="Q2990" t="n">
        <v>0</v>
      </c>
      <c r="R2990" t="n">
        <v>0</v>
      </c>
      <c r="S2990" t="n">
        <v>0</v>
      </c>
      <c r="T2990" t="n">
        <v>0</v>
      </c>
      <c r="U2990" t="n">
        <v>0</v>
      </c>
      <c r="V2990" s="2" t="inlineStr"/>
    </row>
    <row r="2991" ht="15" customHeight="1">
      <c r="A2991" t="inlineStr">
        <is>
          <t>A 9769-2023</t>
        </is>
      </c>
      <c r="B2991" t="inlineStr">
        <is>
          <t>avverkningsanmälan</t>
        </is>
      </c>
      <c r="C2991" t="inlineStr">
        <is>
          <t>Föryngringsavverkning</t>
        </is>
      </c>
      <c r="D2991" s="1" t="n">
        <v>44984</v>
      </c>
      <c r="E2991" s="1" t="n">
        <v>46309</v>
      </c>
      <c r="F2991" t="inlineStr">
        <is>
          <t>UPPSALA LÄN</t>
        </is>
      </c>
      <c r="G2991" t="inlineStr">
        <is>
          <t>HEBY</t>
        </is>
      </c>
      <c r="I2991" t="n">
        <v>0.6</v>
      </c>
      <c r="J2991" t="n">
        <v>0</v>
      </c>
      <c r="K2991" t="n">
        <v>0</v>
      </c>
      <c r="L2991" t="n">
        <v>0</v>
      </c>
      <c r="M2991" t="n">
        <v>0</v>
      </c>
      <c r="N2991" t="n">
        <v>0</v>
      </c>
      <c r="O2991" t="n">
        <v>0</v>
      </c>
      <c r="P2991" t="n">
        <v>0</v>
      </c>
      <c r="Q2991" t="n">
        <v>0</v>
      </c>
      <c r="R2991" t="n">
        <v>0</v>
      </c>
      <c r="S2991" t="n">
        <v>0</v>
      </c>
      <c r="T2991" t="n">
        <v>0</v>
      </c>
      <c r="U2991" t="n">
        <v>0</v>
      </c>
      <c r="V2991" s="2" t="inlineStr"/>
    </row>
    <row r="2992" ht="15" customHeight="1">
      <c r="A2992" t="inlineStr">
        <is>
          <t>A 3214-2023</t>
        </is>
      </c>
      <c r="B2992" t="inlineStr">
        <is>
          <t>avverkningsanmälan</t>
        </is>
      </c>
      <c r="C2992" t="inlineStr">
        <is>
          <t>Avverkning för annat ändamål</t>
        </is>
      </c>
      <c r="D2992" s="1" t="n">
        <v>44944</v>
      </c>
      <c r="E2992" s="1" t="n">
        <v>46309</v>
      </c>
      <c r="F2992" t="inlineStr">
        <is>
          <t>UPPSALA LÄN</t>
        </is>
      </c>
      <c r="G2992" t="inlineStr">
        <is>
          <t>UPPSALA</t>
        </is>
      </c>
      <c r="I2992" t="n">
        <v>4.1</v>
      </c>
      <c r="J2992" t="n">
        <v>0</v>
      </c>
      <c r="K2992" t="n">
        <v>0</v>
      </c>
      <c r="L2992" t="n">
        <v>0</v>
      </c>
      <c r="M2992" t="n">
        <v>0</v>
      </c>
      <c r="N2992" t="n">
        <v>0</v>
      </c>
      <c r="O2992" t="n">
        <v>0</v>
      </c>
      <c r="P2992" t="n">
        <v>0</v>
      </c>
      <c r="Q2992" t="n">
        <v>0</v>
      </c>
      <c r="R2992" t="n">
        <v>0</v>
      </c>
      <c r="S2992" t="n">
        <v>0</v>
      </c>
      <c r="T2992" t="n">
        <v>0</v>
      </c>
      <c r="U2992" t="n">
        <v>0</v>
      </c>
      <c r="V2992" s="2" t="inlineStr"/>
    </row>
    <row r="2993" ht="15" customHeight="1">
      <c r="A2993" t="inlineStr">
        <is>
          <t>A 50669-2024</t>
        </is>
      </c>
      <c r="B2993" t="inlineStr">
        <is>
          <t>avverkningsanmälan</t>
        </is>
      </c>
      <c r="C2993" t="inlineStr">
        <is>
          <t>Föryngringsavverkning</t>
        </is>
      </c>
      <c r="D2993" s="1" t="n">
        <v>45601</v>
      </c>
      <c r="E2993" s="1" t="n">
        <v>46309</v>
      </c>
      <c r="F2993" t="inlineStr">
        <is>
          <t>UPPSALA LÄN</t>
        </is>
      </c>
      <c r="G2993" t="inlineStr">
        <is>
          <t>UPPSALA</t>
        </is>
      </c>
      <c r="I2993" t="n">
        <v>1.2</v>
      </c>
      <c r="J2993" t="n">
        <v>0</v>
      </c>
      <c r="K2993" t="n">
        <v>0</v>
      </c>
      <c r="L2993" t="n">
        <v>0</v>
      </c>
      <c r="M2993" t="n">
        <v>0</v>
      </c>
      <c r="N2993" t="n">
        <v>0</v>
      </c>
      <c r="O2993" t="n">
        <v>0</v>
      </c>
      <c r="P2993" t="n">
        <v>0</v>
      </c>
      <c r="Q2993" t="n">
        <v>0</v>
      </c>
      <c r="R2993" t="n">
        <v>0</v>
      </c>
      <c r="S2993" t="n">
        <v>0</v>
      </c>
      <c r="T2993" t="n">
        <v>0</v>
      </c>
      <c r="U2993" t="n">
        <v>0</v>
      </c>
      <c r="V2993" s="2" t="inlineStr"/>
    </row>
    <row r="2994" ht="15" customHeight="1">
      <c r="A2994" t="inlineStr">
        <is>
          <t>A 36754-2026</t>
        </is>
      </c>
      <c r="B2994" t="inlineStr">
        <is>
          <t>avverkningsanmälan</t>
        </is>
      </c>
      <c r="C2994" t="inlineStr">
        <is>
          <t>Föryngringsavverkning</t>
        </is>
      </c>
      <c r="D2994" s="1" t="n">
        <v>46272</v>
      </c>
      <c r="E2994" s="1" t="n">
        <v>46309</v>
      </c>
      <c r="F2994" t="inlineStr">
        <is>
          <t>UPPSALA LÄN</t>
        </is>
      </c>
      <c r="G2994" t="inlineStr">
        <is>
          <t>HEBY</t>
        </is>
      </c>
      <c r="H2994" t="inlineStr">
        <is>
          <t>Bergvik skog väst AB</t>
        </is>
      </c>
      <c r="I2994" t="n">
        <v>1.6</v>
      </c>
      <c r="J2994" t="n">
        <v>0</v>
      </c>
      <c r="K2994" t="n">
        <v>0</v>
      </c>
      <c r="L2994" t="n">
        <v>0</v>
      </c>
      <c r="M2994" t="n">
        <v>0</v>
      </c>
      <c r="N2994" t="n">
        <v>0</v>
      </c>
      <c r="O2994" t="n">
        <v>0</v>
      </c>
      <c r="P2994" t="n">
        <v>0</v>
      </c>
      <c r="Q2994" t="n">
        <v>0</v>
      </c>
      <c r="R2994" t="n">
        <v>0</v>
      </c>
      <c r="S2994" t="n">
        <v>0</v>
      </c>
      <c r="T2994" t="n">
        <v>0</v>
      </c>
      <c r="U2994" t="n">
        <v>0</v>
      </c>
      <c r="V2994" s="2" t="inlineStr"/>
    </row>
    <row r="2995" ht="15" customHeight="1">
      <c r="A2995" t="inlineStr">
        <is>
          <t>A 36782-2023</t>
        </is>
      </c>
      <c r="B2995" t="inlineStr">
        <is>
          <t>avverkningsanmälan</t>
        </is>
      </c>
      <c r="C2995" t="inlineStr">
        <is>
          <t>Föryngringsavverkning</t>
        </is>
      </c>
      <c r="D2995" s="1" t="n">
        <v>45154</v>
      </c>
      <c r="E2995" s="1" t="n">
        <v>46309</v>
      </c>
      <c r="F2995" t="inlineStr">
        <is>
          <t>UPPSALA LÄN</t>
        </is>
      </c>
      <c r="G2995" t="inlineStr">
        <is>
          <t>UPPSALA</t>
        </is>
      </c>
      <c r="I2995" t="n">
        <v>0.9</v>
      </c>
      <c r="J2995" t="n">
        <v>0</v>
      </c>
      <c r="K2995" t="n">
        <v>0</v>
      </c>
      <c r="L2995" t="n">
        <v>0</v>
      </c>
      <c r="M2995" t="n">
        <v>0</v>
      </c>
      <c r="N2995" t="n">
        <v>0</v>
      </c>
      <c r="O2995" t="n">
        <v>0</v>
      </c>
      <c r="P2995" t="n">
        <v>0</v>
      </c>
      <c r="Q2995" t="n">
        <v>0</v>
      </c>
      <c r="R2995" t="n">
        <v>0</v>
      </c>
      <c r="S2995" t="n">
        <v>0</v>
      </c>
      <c r="T2995" t="n">
        <v>0</v>
      </c>
      <c r="U2995" t="n">
        <v>0</v>
      </c>
      <c r="V2995" s="2" t="inlineStr"/>
    </row>
    <row r="2996" ht="15" customHeight="1">
      <c r="A2996" t="inlineStr">
        <is>
          <t>A 36684-2026</t>
        </is>
      </c>
      <c r="B2996" t="inlineStr">
        <is>
          <t>avverkningsanmälan</t>
        </is>
      </c>
      <c r="C2996" t="inlineStr">
        <is>
          <t>Föryngringsavverkning</t>
        </is>
      </c>
      <c r="D2996" s="1" t="n">
        <v>46272</v>
      </c>
      <c r="E2996" s="1" t="n">
        <v>46309</v>
      </c>
      <c r="F2996" t="inlineStr">
        <is>
          <t>UPPSALA LÄN</t>
        </is>
      </c>
      <c r="G2996" t="inlineStr">
        <is>
          <t>HEBY</t>
        </is>
      </c>
      <c r="I2996" t="n">
        <v>5.1</v>
      </c>
      <c r="J2996" t="n">
        <v>0</v>
      </c>
      <c r="K2996" t="n">
        <v>0</v>
      </c>
      <c r="L2996" t="n">
        <v>0</v>
      </c>
      <c r="M2996" t="n">
        <v>0</v>
      </c>
      <c r="N2996" t="n">
        <v>0</v>
      </c>
      <c r="O2996" t="n">
        <v>0</v>
      </c>
      <c r="P2996" t="n">
        <v>0</v>
      </c>
      <c r="Q2996" t="n">
        <v>0</v>
      </c>
      <c r="R2996" t="n">
        <v>0</v>
      </c>
      <c r="S2996" t="n">
        <v>0</v>
      </c>
      <c r="T2996" t="n">
        <v>0</v>
      </c>
      <c r="U2996" t="n">
        <v>0</v>
      </c>
      <c r="V2996" s="2" t="inlineStr"/>
    </row>
    <row r="2997" ht="15" customHeight="1">
      <c r="A2997" t="inlineStr">
        <is>
          <t>A 14337-2022</t>
        </is>
      </c>
      <c r="B2997" t="inlineStr">
        <is>
          <t>avverkningsanmälan</t>
        </is>
      </c>
      <c r="C2997" t="inlineStr">
        <is>
          <t>Föryngringsavverkning</t>
        </is>
      </c>
      <c r="D2997" s="1" t="n">
        <v>44652</v>
      </c>
      <c r="E2997" s="1" t="n">
        <v>46309</v>
      </c>
      <c r="F2997" t="inlineStr">
        <is>
          <t>UPPSALA LÄN</t>
        </is>
      </c>
      <c r="G2997" t="inlineStr">
        <is>
          <t>UPPSALA</t>
        </is>
      </c>
      <c r="I2997" t="n">
        <v>1.5</v>
      </c>
      <c r="J2997" t="n">
        <v>0</v>
      </c>
      <c r="K2997" t="n">
        <v>0</v>
      </c>
      <c r="L2997" t="n">
        <v>0</v>
      </c>
      <c r="M2997" t="n">
        <v>0</v>
      </c>
      <c r="N2997" t="n">
        <v>0</v>
      </c>
      <c r="O2997" t="n">
        <v>0</v>
      </c>
      <c r="P2997" t="n">
        <v>0</v>
      </c>
      <c r="Q2997" t="n">
        <v>0</v>
      </c>
      <c r="R2997" t="n">
        <v>0</v>
      </c>
      <c r="S2997" t="n">
        <v>0</v>
      </c>
      <c r="T2997" t="n">
        <v>0</v>
      </c>
      <c r="U2997" t="n">
        <v>0</v>
      </c>
      <c r="V2997" s="2" t="inlineStr"/>
    </row>
    <row r="2998" ht="15" customHeight="1">
      <c r="A2998" t="inlineStr">
        <is>
          <t>A 2980-2025</t>
        </is>
      </c>
      <c r="B2998" t="inlineStr">
        <is>
          <t>avverkningsanmälan</t>
        </is>
      </c>
      <c r="C2998" t="inlineStr">
        <is>
          <t>Avverkning för att bevara och utveckla /försöksver</t>
        </is>
      </c>
      <c r="D2998" s="1" t="n">
        <v>45678</v>
      </c>
      <c r="E2998" s="1" t="n">
        <v>46309</v>
      </c>
      <c r="F2998" t="inlineStr">
        <is>
          <t>UPPSALA LÄN</t>
        </is>
      </c>
      <c r="G2998" t="inlineStr">
        <is>
          <t>UPPSALA</t>
        </is>
      </c>
      <c r="I2998" t="n">
        <v>5</v>
      </c>
      <c r="J2998" t="n">
        <v>0</v>
      </c>
      <c r="K2998" t="n">
        <v>0</v>
      </c>
      <c r="L2998" t="n">
        <v>0</v>
      </c>
      <c r="M2998" t="n">
        <v>0</v>
      </c>
      <c r="N2998" t="n">
        <v>0</v>
      </c>
      <c r="O2998" t="n">
        <v>0</v>
      </c>
      <c r="P2998" t="n">
        <v>0</v>
      </c>
      <c r="Q2998" t="n">
        <v>0</v>
      </c>
      <c r="R2998" t="n">
        <v>0</v>
      </c>
      <c r="S2998" t="n">
        <v>0</v>
      </c>
      <c r="T2998" t="n">
        <v>0</v>
      </c>
      <c r="U2998" t="n">
        <v>0</v>
      </c>
      <c r="V2998" s="2" t="inlineStr"/>
    </row>
    <row r="2999" ht="15" customHeight="1">
      <c r="A2999" t="inlineStr">
        <is>
          <t>A 43492-2023</t>
        </is>
      </c>
      <c r="B2999" t="inlineStr">
        <is>
          <t>avverkningsanmälan</t>
        </is>
      </c>
      <c r="C2999" t="inlineStr">
        <is>
          <t>Föryngringsavverkning</t>
        </is>
      </c>
      <c r="D2999" s="1" t="n">
        <v>45181</v>
      </c>
      <c r="E2999" s="1" t="n">
        <v>46309</v>
      </c>
      <c r="F2999" t="inlineStr">
        <is>
          <t>UPPSALA LÄN</t>
        </is>
      </c>
      <c r="G2999" t="inlineStr">
        <is>
          <t>ENKÖPING</t>
        </is>
      </c>
      <c r="I2999" t="n">
        <v>1.6</v>
      </c>
      <c r="J2999" t="n">
        <v>0</v>
      </c>
      <c r="K2999" t="n">
        <v>0</v>
      </c>
      <c r="L2999" t="n">
        <v>0</v>
      </c>
      <c r="M2999" t="n">
        <v>0</v>
      </c>
      <c r="N2999" t="n">
        <v>0</v>
      </c>
      <c r="O2999" t="n">
        <v>0</v>
      </c>
      <c r="P2999" t="n">
        <v>0</v>
      </c>
      <c r="Q2999" t="n">
        <v>0</v>
      </c>
      <c r="R2999" t="n">
        <v>0</v>
      </c>
      <c r="S2999" t="n">
        <v>0</v>
      </c>
      <c r="T2999" t="n">
        <v>0</v>
      </c>
      <c r="U2999" t="n">
        <v>0</v>
      </c>
      <c r="V2999" s="2" t="inlineStr"/>
    </row>
    <row r="3000" ht="15" customHeight="1">
      <c r="A3000" t="inlineStr">
        <is>
          <t>A 2085-2022</t>
        </is>
      </c>
      <c r="B3000" t="inlineStr">
        <is>
          <t>avverkningsanmälan</t>
        </is>
      </c>
      <c r="C3000" t="inlineStr">
        <is>
          <t>Föryngringsavverkning</t>
        </is>
      </c>
      <c r="D3000" s="1" t="n">
        <v>44576</v>
      </c>
      <c r="E3000" s="1" t="n">
        <v>46309</v>
      </c>
      <c r="F3000" t="inlineStr">
        <is>
          <t>UPPSALA LÄN</t>
        </is>
      </c>
      <c r="G3000" t="inlineStr">
        <is>
          <t>ÖSTHAMMAR</t>
        </is>
      </c>
      <c r="H3000" t="inlineStr">
        <is>
          <t>Bergvik skog öst AB</t>
        </is>
      </c>
      <c r="I3000" t="n">
        <v>1.6</v>
      </c>
      <c r="J3000" t="n">
        <v>0</v>
      </c>
      <c r="K3000" t="n">
        <v>0</v>
      </c>
      <c r="L3000" t="n">
        <v>0</v>
      </c>
      <c r="M3000" t="n">
        <v>0</v>
      </c>
      <c r="N3000" t="n">
        <v>0</v>
      </c>
      <c r="O3000" t="n">
        <v>0</v>
      </c>
      <c r="P3000" t="n">
        <v>0</v>
      </c>
      <c r="Q3000" t="n">
        <v>0</v>
      </c>
      <c r="R3000" t="n">
        <v>0</v>
      </c>
      <c r="S3000" t="n">
        <v>0</v>
      </c>
      <c r="T3000" t="n">
        <v>0</v>
      </c>
      <c r="U3000" t="n">
        <v>0</v>
      </c>
      <c r="V3000" s="2" t="inlineStr"/>
    </row>
    <row r="3001" ht="15" customHeight="1">
      <c r="A3001" t="inlineStr">
        <is>
          <t>A 17448-2022</t>
        </is>
      </c>
      <c r="B3001" t="inlineStr">
        <is>
          <t>avverkningsanmälan</t>
        </is>
      </c>
      <c r="C3001" t="inlineStr">
        <is>
          <t>Föryngringsavverkning</t>
        </is>
      </c>
      <c r="D3001" s="1" t="n">
        <v>44679</v>
      </c>
      <c r="E3001" s="1" t="n">
        <v>46309</v>
      </c>
      <c r="F3001" t="inlineStr">
        <is>
          <t>UPPSALA LÄN</t>
        </is>
      </c>
      <c r="G3001" t="inlineStr">
        <is>
          <t>UPPSALA</t>
        </is>
      </c>
      <c r="I3001" t="n">
        <v>2.7</v>
      </c>
      <c r="J3001" t="n">
        <v>0</v>
      </c>
      <c r="K3001" t="n">
        <v>0</v>
      </c>
      <c r="L3001" t="n">
        <v>0</v>
      </c>
      <c r="M3001" t="n">
        <v>0</v>
      </c>
      <c r="N3001" t="n">
        <v>0</v>
      </c>
      <c r="O3001" t="n">
        <v>0</v>
      </c>
      <c r="P3001" t="n">
        <v>0</v>
      </c>
      <c r="Q3001" t="n">
        <v>0</v>
      </c>
      <c r="R3001" t="n">
        <v>0</v>
      </c>
      <c r="S3001" t="n">
        <v>0</v>
      </c>
      <c r="T3001" t="n">
        <v>0</v>
      </c>
      <c r="U3001" t="n">
        <v>0</v>
      </c>
      <c r="V3001" s="2" t="inlineStr"/>
    </row>
    <row r="3002" ht="15" customHeight="1">
      <c r="A3002" t="inlineStr">
        <is>
          <t>A 14671-2022</t>
        </is>
      </c>
      <c r="B3002" t="inlineStr">
        <is>
          <t>avverkningsanmälan</t>
        </is>
      </c>
      <c r="C3002" t="inlineStr">
        <is>
          <t>Föryngringsavverkning</t>
        </is>
      </c>
      <c r="D3002" s="1" t="n">
        <v>44655</v>
      </c>
      <c r="E3002" s="1" t="n">
        <v>46309</v>
      </c>
      <c r="F3002" t="inlineStr">
        <is>
          <t>UPPSALA LÄN</t>
        </is>
      </c>
      <c r="G3002" t="inlineStr">
        <is>
          <t>ÖSTHAMMAR</t>
        </is>
      </c>
      <c r="I3002" t="n">
        <v>1.9</v>
      </c>
      <c r="J3002" t="n">
        <v>0</v>
      </c>
      <c r="K3002" t="n">
        <v>0</v>
      </c>
      <c r="L3002" t="n">
        <v>0</v>
      </c>
      <c r="M3002" t="n">
        <v>0</v>
      </c>
      <c r="N3002" t="n">
        <v>0</v>
      </c>
      <c r="O3002" t="n">
        <v>0</v>
      </c>
      <c r="P3002" t="n">
        <v>0</v>
      </c>
      <c r="Q3002" t="n">
        <v>0</v>
      </c>
      <c r="R3002" t="n">
        <v>0</v>
      </c>
      <c r="S3002" t="n">
        <v>0</v>
      </c>
      <c r="T3002" t="n">
        <v>0</v>
      </c>
      <c r="U3002" t="n">
        <v>0</v>
      </c>
      <c r="V3002" s="2" t="inlineStr"/>
    </row>
    <row r="3003" ht="15" customHeight="1">
      <c r="A3003" t="inlineStr">
        <is>
          <t>A 36496-2026</t>
        </is>
      </c>
      <c r="B3003" t="inlineStr">
        <is>
          <t>avverkningsanmälan</t>
        </is>
      </c>
      <c r="C3003" t="inlineStr">
        <is>
          <t>Föryngringsavverkning</t>
        </is>
      </c>
      <c r="D3003" s="1" t="n">
        <v>46269</v>
      </c>
      <c r="E3003" s="1" t="n">
        <v>46309</v>
      </c>
      <c r="F3003" t="inlineStr">
        <is>
          <t>UPPSALA LÄN</t>
        </is>
      </c>
      <c r="G3003" t="inlineStr">
        <is>
          <t>ENKÖPING</t>
        </is>
      </c>
      <c r="H3003" t="inlineStr">
        <is>
          <t>Allmännings- och besparingsskogar</t>
        </is>
      </c>
      <c r="I3003" t="n">
        <v>4.7</v>
      </c>
      <c r="J3003" t="n">
        <v>0</v>
      </c>
      <c r="K3003" t="n">
        <v>0</v>
      </c>
      <c r="L3003" t="n">
        <v>0</v>
      </c>
      <c r="M3003" t="n">
        <v>0</v>
      </c>
      <c r="N3003" t="n">
        <v>0</v>
      </c>
      <c r="O3003" t="n">
        <v>0</v>
      </c>
      <c r="P3003" t="n">
        <v>0</v>
      </c>
      <c r="Q3003" t="n">
        <v>0</v>
      </c>
      <c r="R3003" t="n">
        <v>0</v>
      </c>
      <c r="S3003" t="n">
        <v>0</v>
      </c>
      <c r="T3003" t="n">
        <v>0</v>
      </c>
      <c r="U3003" t="n">
        <v>0</v>
      </c>
      <c r="V3003" s="2" t="inlineStr"/>
    </row>
    <row r="3004" ht="15" customHeight="1">
      <c r="A3004" t="inlineStr">
        <is>
          <t>A 13243-2022</t>
        </is>
      </c>
      <c r="B3004" t="inlineStr">
        <is>
          <t>avverkningsanmälan</t>
        </is>
      </c>
      <c r="C3004" t="inlineStr">
        <is>
          <t>Föryngringsavverkning</t>
        </is>
      </c>
      <c r="D3004" s="1" t="n">
        <v>44644</v>
      </c>
      <c r="E3004" s="1" t="n">
        <v>46309</v>
      </c>
      <c r="F3004" t="inlineStr">
        <is>
          <t>UPPSALA LÄN</t>
        </is>
      </c>
      <c r="G3004" t="inlineStr">
        <is>
          <t>HEBY</t>
        </is>
      </c>
      <c r="I3004" t="n">
        <v>1</v>
      </c>
      <c r="J3004" t="n">
        <v>0</v>
      </c>
      <c r="K3004" t="n">
        <v>0</v>
      </c>
      <c r="L3004" t="n">
        <v>0</v>
      </c>
      <c r="M3004" t="n">
        <v>0</v>
      </c>
      <c r="N3004" t="n">
        <v>0</v>
      </c>
      <c r="O3004" t="n">
        <v>0</v>
      </c>
      <c r="P3004" t="n">
        <v>0</v>
      </c>
      <c r="Q3004" t="n">
        <v>0</v>
      </c>
      <c r="R3004" t="n">
        <v>0</v>
      </c>
      <c r="S3004" t="n">
        <v>0</v>
      </c>
      <c r="T3004" t="n">
        <v>0</v>
      </c>
      <c r="U3004" t="n">
        <v>0</v>
      </c>
      <c r="V3004" s="2" t="inlineStr"/>
    </row>
    <row r="3005" ht="15" customHeight="1">
      <c r="A3005" t="inlineStr">
        <is>
          <t>A 1536-2024</t>
        </is>
      </c>
      <c r="B3005" t="inlineStr">
        <is>
          <t>avverkningsanmälan</t>
        </is>
      </c>
      <c r="C3005" t="inlineStr">
        <is>
          <t>Föryngringsavverkning</t>
        </is>
      </c>
      <c r="D3005" s="1" t="n">
        <v>45306</v>
      </c>
      <c r="E3005" s="1" t="n">
        <v>46309</v>
      </c>
      <c r="F3005" t="inlineStr">
        <is>
          <t>UPPSALA LÄN</t>
        </is>
      </c>
      <c r="G3005" t="inlineStr">
        <is>
          <t>ENKÖPING</t>
        </is>
      </c>
      <c r="H3005" t="inlineStr">
        <is>
          <t>Kyrkan</t>
        </is>
      </c>
      <c r="I3005" t="n">
        <v>5.6</v>
      </c>
      <c r="J3005" t="n">
        <v>0</v>
      </c>
      <c r="K3005" t="n">
        <v>0</v>
      </c>
      <c r="L3005" t="n">
        <v>0</v>
      </c>
      <c r="M3005" t="n">
        <v>0</v>
      </c>
      <c r="N3005" t="n">
        <v>0</v>
      </c>
      <c r="O3005" t="n">
        <v>0</v>
      </c>
      <c r="P3005" t="n">
        <v>0</v>
      </c>
      <c r="Q3005" t="n">
        <v>0</v>
      </c>
      <c r="R3005" t="n">
        <v>0</v>
      </c>
      <c r="S3005" t="n">
        <v>0</v>
      </c>
      <c r="T3005" t="n">
        <v>0</v>
      </c>
      <c r="U3005" t="n">
        <v>0</v>
      </c>
      <c r="V3005" s="2" t="inlineStr"/>
    </row>
    <row r="3006" ht="15" customHeight="1">
      <c r="A3006" t="inlineStr">
        <is>
          <t>A 36729-2026</t>
        </is>
      </c>
      <c r="B3006" t="inlineStr">
        <is>
          <t>avverkningsanmälan</t>
        </is>
      </c>
      <c r="C3006" t="inlineStr">
        <is>
          <t>Föryngringsavverkning</t>
        </is>
      </c>
      <c r="D3006" s="1" t="n">
        <v>46272</v>
      </c>
      <c r="E3006" s="1" t="n">
        <v>46309</v>
      </c>
      <c r="F3006" t="inlineStr">
        <is>
          <t>UPPSALA LÄN</t>
        </is>
      </c>
      <c r="G3006" t="inlineStr">
        <is>
          <t>TIERP</t>
        </is>
      </c>
      <c r="H3006" t="inlineStr">
        <is>
          <t>Övriga Aktiebolag</t>
        </is>
      </c>
      <c r="I3006" t="n">
        <v>0.8</v>
      </c>
      <c r="J3006" t="n">
        <v>0</v>
      </c>
      <c r="K3006" t="n">
        <v>0</v>
      </c>
      <c r="L3006" t="n">
        <v>0</v>
      </c>
      <c r="M3006" t="n">
        <v>0</v>
      </c>
      <c r="N3006" t="n">
        <v>0</v>
      </c>
      <c r="O3006" t="n">
        <v>0</v>
      </c>
      <c r="P3006" t="n">
        <v>0</v>
      </c>
      <c r="Q3006" t="n">
        <v>0</v>
      </c>
      <c r="R3006" t="n">
        <v>0</v>
      </c>
      <c r="S3006" t="n">
        <v>0</v>
      </c>
      <c r="T3006" t="n">
        <v>0</v>
      </c>
      <c r="U3006" t="n">
        <v>0</v>
      </c>
      <c r="V3006" s="2" t="inlineStr"/>
    </row>
    <row r="3007" ht="15" customHeight="1">
      <c r="A3007" t="inlineStr">
        <is>
          <t>A 36738-2026</t>
        </is>
      </c>
      <c r="B3007" t="inlineStr">
        <is>
          <t>avverkningsanmälan</t>
        </is>
      </c>
      <c r="C3007" t="inlineStr">
        <is>
          <t>Föryngringsavverkning</t>
        </is>
      </c>
      <c r="D3007" s="1" t="n">
        <v>46272</v>
      </c>
      <c r="E3007" s="1" t="n">
        <v>46309</v>
      </c>
      <c r="F3007" t="inlineStr">
        <is>
          <t>UPPSALA LÄN</t>
        </is>
      </c>
      <c r="G3007" t="inlineStr">
        <is>
          <t>HEBY</t>
        </is>
      </c>
      <c r="H3007" t="inlineStr">
        <is>
          <t>Bergvik skog väst AB</t>
        </is>
      </c>
      <c r="I3007" t="n">
        <v>1</v>
      </c>
      <c r="J3007" t="n">
        <v>0</v>
      </c>
      <c r="K3007" t="n">
        <v>0</v>
      </c>
      <c r="L3007" t="n">
        <v>0</v>
      </c>
      <c r="M3007" t="n">
        <v>0</v>
      </c>
      <c r="N3007" t="n">
        <v>0</v>
      </c>
      <c r="O3007" t="n">
        <v>0</v>
      </c>
      <c r="P3007" t="n">
        <v>0</v>
      </c>
      <c r="Q3007" t="n">
        <v>0</v>
      </c>
      <c r="R3007" t="n">
        <v>0</v>
      </c>
      <c r="S3007" t="n">
        <v>0</v>
      </c>
      <c r="T3007" t="n">
        <v>0</v>
      </c>
      <c r="U3007" t="n">
        <v>0</v>
      </c>
      <c r="V3007" s="2" t="inlineStr"/>
    </row>
    <row r="3008" ht="15" customHeight="1">
      <c r="A3008" t="inlineStr">
        <is>
          <t>A 28668-2026</t>
        </is>
      </c>
      <c r="B3008" t="inlineStr">
        <is>
          <t>avverkningsanmälan</t>
        </is>
      </c>
      <c r="C3008" t="inlineStr">
        <is>
          <t>Avverkning för annat ändamål</t>
        </is>
      </c>
      <c r="D3008" s="1" t="n">
        <v>46193</v>
      </c>
      <c r="E3008" s="1" t="n">
        <v>46309</v>
      </c>
      <c r="F3008" t="inlineStr">
        <is>
          <t>UPPSALA LÄN</t>
        </is>
      </c>
      <c r="G3008" t="inlineStr">
        <is>
          <t>KNIVSTA</t>
        </is>
      </c>
      <c r="I3008" t="n">
        <v>7.4</v>
      </c>
      <c r="J3008" t="n">
        <v>0</v>
      </c>
      <c r="K3008" t="n">
        <v>0</v>
      </c>
      <c r="L3008" t="n">
        <v>0</v>
      </c>
      <c r="M3008" t="n">
        <v>0</v>
      </c>
      <c r="N3008" t="n">
        <v>0</v>
      </c>
      <c r="O3008" t="n">
        <v>0</v>
      </c>
      <c r="P3008" t="n">
        <v>0</v>
      </c>
      <c r="Q3008" t="n">
        <v>0</v>
      </c>
      <c r="R3008" t="n">
        <v>0</v>
      </c>
      <c r="S3008" t="n">
        <v>0</v>
      </c>
      <c r="T3008" t="n">
        <v>0</v>
      </c>
      <c r="U3008" t="n">
        <v>0</v>
      </c>
      <c r="V3008" s="2" t="inlineStr"/>
    </row>
    <row r="3009" ht="15" customHeight="1">
      <c r="A3009" t="inlineStr">
        <is>
          <t>A 12215-2023</t>
        </is>
      </c>
      <c r="B3009" t="inlineStr">
        <is>
          <t>avverkningsanmälan</t>
        </is>
      </c>
      <c r="C3009" t="inlineStr">
        <is>
          <t>Föryngringsavverkning</t>
        </is>
      </c>
      <c r="D3009" s="1" t="n">
        <v>44998</v>
      </c>
      <c r="E3009" s="1" t="n">
        <v>46309</v>
      </c>
      <c r="F3009" t="inlineStr">
        <is>
          <t>UPPSALA LÄN</t>
        </is>
      </c>
      <c r="G3009" t="inlineStr">
        <is>
          <t>ÖSTHAMMAR</t>
        </is>
      </c>
      <c r="I3009" t="n">
        <v>5.1</v>
      </c>
      <c r="J3009" t="n">
        <v>0</v>
      </c>
      <c r="K3009" t="n">
        <v>0</v>
      </c>
      <c r="L3009" t="n">
        <v>0</v>
      </c>
      <c r="M3009" t="n">
        <v>0</v>
      </c>
      <c r="N3009" t="n">
        <v>0</v>
      </c>
      <c r="O3009" t="n">
        <v>0</v>
      </c>
      <c r="P3009" t="n">
        <v>0</v>
      </c>
      <c r="Q3009" t="n">
        <v>0</v>
      </c>
      <c r="R3009" t="n">
        <v>0</v>
      </c>
      <c r="S3009" t="n">
        <v>0</v>
      </c>
      <c r="T3009" t="n">
        <v>0</v>
      </c>
      <c r="U3009" t="n">
        <v>0</v>
      </c>
      <c r="V3009" s="2" t="inlineStr"/>
    </row>
    <row r="3010" ht="15" customHeight="1">
      <c r="A3010" t="inlineStr">
        <is>
          <t>A 36454-2026</t>
        </is>
      </c>
      <c r="B3010" t="inlineStr">
        <is>
          <t>avverkningsanmälan</t>
        </is>
      </c>
      <c r="C3010" t="inlineStr">
        <is>
          <t>Föryngringsavverkning</t>
        </is>
      </c>
      <c r="D3010" s="1" t="n">
        <v>46269</v>
      </c>
      <c r="E3010" s="1" t="n">
        <v>46309</v>
      </c>
      <c r="F3010" t="inlineStr">
        <is>
          <t>UPPSALA LÄN</t>
        </is>
      </c>
      <c r="G3010" t="inlineStr">
        <is>
          <t>HEBY</t>
        </is>
      </c>
      <c r="I3010" t="n">
        <v>8</v>
      </c>
      <c r="J3010" t="n">
        <v>0</v>
      </c>
      <c r="K3010" t="n">
        <v>0</v>
      </c>
      <c r="L3010" t="n">
        <v>0</v>
      </c>
      <c r="M3010" t="n">
        <v>0</v>
      </c>
      <c r="N3010" t="n">
        <v>0</v>
      </c>
      <c r="O3010" t="n">
        <v>0</v>
      </c>
      <c r="P3010" t="n">
        <v>0</v>
      </c>
      <c r="Q3010" t="n">
        <v>0</v>
      </c>
      <c r="R3010" t="n">
        <v>0</v>
      </c>
      <c r="S3010" t="n">
        <v>0</v>
      </c>
      <c r="T3010" t="n">
        <v>0</v>
      </c>
      <c r="U3010" t="n">
        <v>0</v>
      </c>
      <c r="V3010" s="2" t="inlineStr"/>
    </row>
    <row r="3011" ht="15" customHeight="1">
      <c r="A3011" t="inlineStr">
        <is>
          <t>A 41996-2024</t>
        </is>
      </c>
      <c r="B3011" t="inlineStr">
        <is>
          <t>avverkningsanmälan</t>
        </is>
      </c>
      <c r="C3011" t="inlineStr">
        <is>
          <t>Föryngringsavverkning</t>
        </is>
      </c>
      <c r="D3011" s="1" t="n">
        <v>45561</v>
      </c>
      <c r="E3011" s="1" t="n">
        <v>46309</v>
      </c>
      <c r="F3011" t="inlineStr">
        <is>
          <t>UPPSALA LÄN</t>
        </is>
      </c>
      <c r="G3011" t="inlineStr">
        <is>
          <t>ÖSTHAMMAR</t>
        </is>
      </c>
      <c r="H3011" t="inlineStr">
        <is>
          <t>Bergvik skog öst AB</t>
        </is>
      </c>
      <c r="I3011" t="n">
        <v>0.9</v>
      </c>
      <c r="J3011" t="n">
        <v>0</v>
      </c>
      <c r="K3011" t="n">
        <v>0</v>
      </c>
      <c r="L3011" t="n">
        <v>0</v>
      </c>
      <c r="M3011" t="n">
        <v>0</v>
      </c>
      <c r="N3011" t="n">
        <v>0</v>
      </c>
      <c r="O3011" t="n">
        <v>0</v>
      </c>
      <c r="P3011" t="n">
        <v>0</v>
      </c>
      <c r="Q3011" t="n">
        <v>0</v>
      </c>
      <c r="R3011" t="n">
        <v>0</v>
      </c>
      <c r="S3011" t="n">
        <v>0</v>
      </c>
      <c r="T3011" t="n">
        <v>0</v>
      </c>
      <c r="U3011" t="n">
        <v>0</v>
      </c>
      <c r="V3011" s="2" t="inlineStr"/>
    </row>
    <row r="3012" ht="15" customHeight="1">
      <c r="A3012" t="inlineStr">
        <is>
          <t>A 15449-2022</t>
        </is>
      </c>
      <c r="B3012" t="inlineStr">
        <is>
          <t>avverkningsanmälan</t>
        </is>
      </c>
      <c r="C3012" t="inlineStr">
        <is>
          <t>Föryngringsavverkning</t>
        </is>
      </c>
      <c r="D3012" s="1" t="n">
        <v>44660</v>
      </c>
      <c r="E3012" s="1" t="n">
        <v>46309</v>
      </c>
      <c r="F3012" t="inlineStr">
        <is>
          <t>UPPSALA LÄN</t>
        </is>
      </c>
      <c r="G3012" t="inlineStr">
        <is>
          <t>ÖSTHAMMAR</t>
        </is>
      </c>
      <c r="H3012" t="inlineStr">
        <is>
          <t>Bergvik skog öst AB</t>
        </is>
      </c>
      <c r="I3012" t="n">
        <v>2</v>
      </c>
      <c r="J3012" t="n">
        <v>0</v>
      </c>
      <c r="K3012" t="n">
        <v>0</v>
      </c>
      <c r="L3012" t="n">
        <v>0</v>
      </c>
      <c r="M3012" t="n">
        <v>0</v>
      </c>
      <c r="N3012" t="n">
        <v>0</v>
      </c>
      <c r="O3012" t="n">
        <v>0</v>
      </c>
      <c r="P3012" t="n">
        <v>0</v>
      </c>
      <c r="Q3012" t="n">
        <v>0</v>
      </c>
      <c r="R3012" t="n">
        <v>0</v>
      </c>
      <c r="S3012" t="n">
        <v>0</v>
      </c>
      <c r="T3012" t="n">
        <v>0</v>
      </c>
      <c r="U3012" t="n">
        <v>0</v>
      </c>
      <c r="V3012" s="2" t="inlineStr"/>
    </row>
    <row r="3013" ht="15" customHeight="1">
      <c r="A3013" t="inlineStr">
        <is>
          <t>A 5884-2023</t>
        </is>
      </c>
      <c r="B3013" t="inlineStr">
        <is>
          <t>avverkningsanmälan</t>
        </is>
      </c>
      <c r="C3013" t="inlineStr">
        <is>
          <t>Föryngringsavverkning</t>
        </is>
      </c>
      <c r="D3013" s="1" t="n">
        <v>44963</v>
      </c>
      <c r="E3013" s="1" t="n">
        <v>46309</v>
      </c>
      <c r="F3013" t="inlineStr">
        <is>
          <t>UPPSALA LÄN</t>
        </is>
      </c>
      <c r="G3013" t="inlineStr">
        <is>
          <t>ÖSTHAMMAR</t>
        </is>
      </c>
      <c r="I3013" t="n">
        <v>0.6</v>
      </c>
      <c r="J3013" t="n">
        <v>0</v>
      </c>
      <c r="K3013" t="n">
        <v>0</v>
      </c>
      <c r="L3013" t="n">
        <v>0</v>
      </c>
      <c r="M3013" t="n">
        <v>0</v>
      </c>
      <c r="N3013" t="n">
        <v>0</v>
      </c>
      <c r="O3013" t="n">
        <v>0</v>
      </c>
      <c r="P3013" t="n">
        <v>0</v>
      </c>
      <c r="Q3013" t="n">
        <v>0</v>
      </c>
      <c r="R3013" t="n">
        <v>0</v>
      </c>
      <c r="S3013" t="n">
        <v>0</v>
      </c>
      <c r="T3013" t="n">
        <v>0</v>
      </c>
      <c r="U3013" t="n">
        <v>0</v>
      </c>
      <c r="V3013" s="2" t="inlineStr"/>
    </row>
    <row r="3014" ht="15" customHeight="1">
      <c r="A3014" t="inlineStr">
        <is>
          <t>A 36948-2026</t>
        </is>
      </c>
      <c r="B3014" t="inlineStr">
        <is>
          <t>avverkningsanmälan</t>
        </is>
      </c>
      <c r="C3014" t="inlineStr">
        <is>
          <t>Föryngringsavverkning</t>
        </is>
      </c>
      <c r="D3014" s="1" t="n">
        <v>46273</v>
      </c>
      <c r="E3014" s="1" t="n">
        <v>46309</v>
      </c>
      <c r="F3014" t="inlineStr">
        <is>
          <t>UPPSALA LÄN</t>
        </is>
      </c>
      <c r="G3014" t="inlineStr">
        <is>
          <t>UPPSALA</t>
        </is>
      </c>
      <c r="H3014" t="inlineStr">
        <is>
          <t>Övriga statliga verk och myndigheter</t>
        </is>
      </c>
      <c r="I3014" t="n">
        <v>2</v>
      </c>
      <c r="J3014" t="n">
        <v>0</v>
      </c>
      <c r="K3014" t="n">
        <v>0</v>
      </c>
      <c r="L3014" t="n">
        <v>0</v>
      </c>
      <c r="M3014" t="n">
        <v>0</v>
      </c>
      <c r="N3014" t="n">
        <v>0</v>
      </c>
      <c r="O3014" t="n">
        <v>0</v>
      </c>
      <c r="P3014" t="n">
        <v>0</v>
      </c>
      <c r="Q3014" t="n">
        <v>0</v>
      </c>
      <c r="R3014" t="n">
        <v>0</v>
      </c>
      <c r="S3014" t="n">
        <v>0</v>
      </c>
      <c r="T3014" t="n">
        <v>0</v>
      </c>
      <c r="U3014" t="n">
        <v>0</v>
      </c>
      <c r="V3014" s="2" t="inlineStr"/>
    </row>
    <row r="3015" ht="15" customHeight="1">
      <c r="A3015" t="inlineStr">
        <is>
          <t>A 16916-2023</t>
        </is>
      </c>
      <c r="B3015" t="inlineStr">
        <is>
          <t>avverkningsanmälan</t>
        </is>
      </c>
      <c r="C3015" t="inlineStr">
        <is>
          <t>Föryngringsavverkning</t>
        </is>
      </c>
      <c r="D3015" s="1" t="n">
        <v>45033</v>
      </c>
      <c r="E3015" s="1" t="n">
        <v>46309</v>
      </c>
      <c r="F3015" t="inlineStr">
        <is>
          <t>UPPSALA LÄN</t>
        </is>
      </c>
      <c r="G3015" t="inlineStr">
        <is>
          <t>ENKÖPING</t>
        </is>
      </c>
      <c r="I3015" t="n">
        <v>0.5</v>
      </c>
      <c r="J3015" t="n">
        <v>0</v>
      </c>
      <c r="K3015" t="n">
        <v>0</v>
      </c>
      <c r="L3015" t="n">
        <v>0</v>
      </c>
      <c r="M3015" t="n">
        <v>0</v>
      </c>
      <c r="N3015" t="n">
        <v>0</v>
      </c>
      <c r="O3015" t="n">
        <v>0</v>
      </c>
      <c r="P3015" t="n">
        <v>0</v>
      </c>
      <c r="Q3015" t="n">
        <v>0</v>
      </c>
      <c r="R3015" t="n">
        <v>0</v>
      </c>
      <c r="S3015" t="n">
        <v>0</v>
      </c>
      <c r="T3015" t="n">
        <v>0</v>
      </c>
      <c r="U3015" t="n">
        <v>0</v>
      </c>
      <c r="V3015" s="2" t="inlineStr"/>
    </row>
    <row r="3016" ht="15" customHeight="1">
      <c r="A3016" t="inlineStr">
        <is>
          <t>A 59489-2023</t>
        </is>
      </c>
      <c r="B3016" t="inlineStr">
        <is>
          <t>avverkningsanmälan</t>
        </is>
      </c>
      <c r="C3016" t="inlineStr">
        <is>
          <t>Föryngringsavverkning</t>
        </is>
      </c>
      <c r="D3016" s="1" t="n">
        <v>45254</v>
      </c>
      <c r="E3016" s="1" t="n">
        <v>46309</v>
      </c>
      <c r="F3016" t="inlineStr">
        <is>
          <t>UPPSALA LÄN</t>
        </is>
      </c>
      <c r="G3016" t="inlineStr">
        <is>
          <t>UPPSALA</t>
        </is>
      </c>
      <c r="I3016" t="n">
        <v>6.5</v>
      </c>
      <c r="J3016" t="n">
        <v>0</v>
      </c>
      <c r="K3016" t="n">
        <v>0</v>
      </c>
      <c r="L3016" t="n">
        <v>0</v>
      </c>
      <c r="M3016" t="n">
        <v>0</v>
      </c>
      <c r="N3016" t="n">
        <v>0</v>
      </c>
      <c r="O3016" t="n">
        <v>0</v>
      </c>
      <c r="P3016" t="n">
        <v>0</v>
      </c>
      <c r="Q3016" t="n">
        <v>0</v>
      </c>
      <c r="R3016" t="n">
        <v>0</v>
      </c>
      <c r="S3016" t="n">
        <v>0</v>
      </c>
      <c r="T3016" t="n">
        <v>0</v>
      </c>
      <c r="U3016" t="n">
        <v>0</v>
      </c>
      <c r="V3016" s="2" t="inlineStr"/>
    </row>
    <row r="3017" ht="15" customHeight="1">
      <c r="A3017" t="inlineStr">
        <is>
          <t>A 31890-2026</t>
        </is>
      </c>
      <c r="B3017" t="inlineStr">
        <is>
          <t>avverkningsanmälan</t>
        </is>
      </c>
      <c r="C3017" t="inlineStr">
        <is>
          <t>Föryngringsavverkning</t>
        </is>
      </c>
      <c r="D3017" s="1" t="n">
        <v>46231</v>
      </c>
      <c r="E3017" s="1" t="n">
        <v>46309</v>
      </c>
      <c r="F3017" t="inlineStr">
        <is>
          <t>UPPSALA LÄN</t>
        </is>
      </c>
      <c r="G3017" t="inlineStr">
        <is>
          <t>HEBY</t>
        </is>
      </c>
      <c r="I3017" t="n">
        <v>3.9</v>
      </c>
      <c r="J3017" t="n">
        <v>0</v>
      </c>
      <c r="K3017" t="n">
        <v>0</v>
      </c>
      <c r="L3017" t="n">
        <v>0</v>
      </c>
      <c r="M3017" t="n">
        <v>0</v>
      </c>
      <c r="N3017" t="n">
        <v>0</v>
      </c>
      <c r="O3017" t="n">
        <v>0</v>
      </c>
      <c r="P3017" t="n">
        <v>0</v>
      </c>
      <c r="Q3017" t="n">
        <v>0</v>
      </c>
      <c r="R3017" t="n">
        <v>0</v>
      </c>
      <c r="S3017" t="n">
        <v>0</v>
      </c>
      <c r="T3017" t="n">
        <v>0</v>
      </c>
      <c r="U3017" t="n">
        <v>0</v>
      </c>
      <c r="V3017" s="2" t="inlineStr"/>
    </row>
    <row r="3018" ht="15" customHeight="1">
      <c r="A3018" t="inlineStr">
        <is>
          <t>A 5722-2025</t>
        </is>
      </c>
      <c r="B3018" t="inlineStr">
        <is>
          <t>avverkningsanmälan</t>
        </is>
      </c>
      <c r="C3018" t="inlineStr">
        <is>
          <t>Föryngringsavverkning</t>
        </is>
      </c>
      <c r="D3018" s="1" t="n">
        <v>45694</v>
      </c>
      <c r="E3018" s="1" t="n">
        <v>46309</v>
      </c>
      <c r="F3018" t="inlineStr">
        <is>
          <t>UPPSALA LÄN</t>
        </is>
      </c>
      <c r="G3018" t="inlineStr">
        <is>
          <t>UPPSALA</t>
        </is>
      </c>
      <c r="I3018" t="n">
        <v>2</v>
      </c>
      <c r="J3018" t="n">
        <v>0</v>
      </c>
      <c r="K3018" t="n">
        <v>0</v>
      </c>
      <c r="L3018" t="n">
        <v>0</v>
      </c>
      <c r="M3018" t="n">
        <v>0</v>
      </c>
      <c r="N3018" t="n">
        <v>0</v>
      </c>
      <c r="O3018" t="n">
        <v>0</v>
      </c>
      <c r="P3018" t="n">
        <v>0</v>
      </c>
      <c r="Q3018" t="n">
        <v>0</v>
      </c>
      <c r="R3018" t="n">
        <v>0</v>
      </c>
      <c r="S3018" t="n">
        <v>0</v>
      </c>
      <c r="T3018" t="n">
        <v>0</v>
      </c>
      <c r="U3018" t="n">
        <v>0</v>
      </c>
      <c r="V3018" s="2" t="inlineStr"/>
    </row>
    <row r="3019" ht="15" customHeight="1">
      <c r="A3019" t="inlineStr">
        <is>
          <t>A 5215-2025</t>
        </is>
      </c>
      <c r="B3019" t="inlineStr">
        <is>
          <t>avverkningsanmälan</t>
        </is>
      </c>
      <c r="C3019" t="inlineStr">
        <is>
          <t>Föryngringsavverkning</t>
        </is>
      </c>
      <c r="D3019" s="1" t="n">
        <v>45691</v>
      </c>
      <c r="E3019" s="1" t="n">
        <v>46309</v>
      </c>
      <c r="F3019" t="inlineStr">
        <is>
          <t>UPPSALA LÄN</t>
        </is>
      </c>
      <c r="G3019" t="inlineStr">
        <is>
          <t>ÖSTHAMMAR</t>
        </is>
      </c>
      <c r="I3019" t="n">
        <v>0.5</v>
      </c>
      <c r="J3019" t="n">
        <v>0</v>
      </c>
      <c r="K3019" t="n">
        <v>0</v>
      </c>
      <c r="L3019" t="n">
        <v>0</v>
      </c>
      <c r="M3019" t="n">
        <v>0</v>
      </c>
      <c r="N3019" t="n">
        <v>0</v>
      </c>
      <c r="O3019" t="n">
        <v>0</v>
      </c>
      <c r="P3019" t="n">
        <v>0</v>
      </c>
      <c r="Q3019" t="n">
        <v>0</v>
      </c>
      <c r="R3019" t="n">
        <v>0</v>
      </c>
      <c r="S3019" t="n">
        <v>0</v>
      </c>
      <c r="T3019" t="n">
        <v>0</v>
      </c>
      <c r="U3019" t="n">
        <v>0</v>
      </c>
      <c r="V3019" s="2" t="inlineStr"/>
    </row>
    <row r="3020" ht="15" customHeight="1">
      <c r="A3020" t="inlineStr">
        <is>
          <t>A 17407-2023</t>
        </is>
      </c>
      <c r="B3020" t="inlineStr">
        <is>
          <t>avverkningsanmälan</t>
        </is>
      </c>
      <c r="C3020" t="inlineStr">
        <is>
          <t>Föryngringsavverkning</t>
        </is>
      </c>
      <c r="D3020" s="1" t="n">
        <v>45035</v>
      </c>
      <c r="E3020" s="1" t="n">
        <v>46309</v>
      </c>
      <c r="F3020" t="inlineStr">
        <is>
          <t>UPPSALA LÄN</t>
        </is>
      </c>
      <c r="G3020" t="inlineStr">
        <is>
          <t>HEBY</t>
        </is>
      </c>
      <c r="I3020" t="n">
        <v>0.5</v>
      </c>
      <c r="J3020" t="n">
        <v>0</v>
      </c>
      <c r="K3020" t="n">
        <v>0</v>
      </c>
      <c r="L3020" t="n">
        <v>0</v>
      </c>
      <c r="M3020" t="n">
        <v>0</v>
      </c>
      <c r="N3020" t="n">
        <v>0</v>
      </c>
      <c r="O3020" t="n">
        <v>0</v>
      </c>
      <c r="P3020" t="n">
        <v>0</v>
      </c>
      <c r="Q3020" t="n">
        <v>0</v>
      </c>
      <c r="R3020" t="n">
        <v>0</v>
      </c>
      <c r="S3020" t="n">
        <v>0</v>
      </c>
      <c r="T3020" t="n">
        <v>0</v>
      </c>
      <c r="U3020" t="n">
        <v>0</v>
      </c>
      <c r="V3020" s="2" t="inlineStr"/>
    </row>
    <row r="3021" ht="15" customHeight="1">
      <c r="A3021" t="inlineStr">
        <is>
          <t>A 37316-2022</t>
        </is>
      </c>
      <c r="B3021" t="inlineStr">
        <is>
          <t>avverkningsanmälan</t>
        </is>
      </c>
      <c r="C3021" t="inlineStr">
        <is>
          <t>Föryngringsavverkning</t>
        </is>
      </c>
      <c r="D3021" s="1" t="n">
        <v>44806</v>
      </c>
      <c r="E3021" s="1" t="n">
        <v>46309</v>
      </c>
      <c r="F3021" t="inlineStr">
        <is>
          <t>UPPSALA LÄN</t>
        </is>
      </c>
      <c r="G3021" t="inlineStr">
        <is>
          <t>UPPSALA</t>
        </is>
      </c>
      <c r="I3021" t="n">
        <v>10.6</v>
      </c>
      <c r="J3021" t="n">
        <v>0</v>
      </c>
      <c r="K3021" t="n">
        <v>0</v>
      </c>
      <c r="L3021" t="n">
        <v>0</v>
      </c>
      <c r="M3021" t="n">
        <v>0</v>
      </c>
      <c r="N3021" t="n">
        <v>0</v>
      </c>
      <c r="O3021" t="n">
        <v>0</v>
      </c>
      <c r="P3021" t="n">
        <v>0</v>
      </c>
      <c r="Q3021" t="n">
        <v>0</v>
      </c>
      <c r="R3021" t="n">
        <v>0</v>
      </c>
      <c r="S3021" t="n">
        <v>0</v>
      </c>
      <c r="T3021" t="n">
        <v>0</v>
      </c>
      <c r="U3021" t="n">
        <v>0</v>
      </c>
      <c r="V3021" s="2" t="inlineStr"/>
    </row>
    <row r="3022" ht="15" customHeight="1">
      <c r="A3022" t="inlineStr">
        <is>
          <t>A 31888-2026</t>
        </is>
      </c>
      <c r="B3022" t="inlineStr">
        <is>
          <t>avverkningsanmälan</t>
        </is>
      </c>
      <c r="C3022" t="inlineStr">
        <is>
          <t>Föryngringsavverkning</t>
        </is>
      </c>
      <c r="D3022" s="1" t="n">
        <v>46231</v>
      </c>
      <c r="E3022" s="1" t="n">
        <v>46309</v>
      </c>
      <c r="F3022" t="inlineStr">
        <is>
          <t>UPPSALA LÄN</t>
        </is>
      </c>
      <c r="G3022" t="inlineStr">
        <is>
          <t>HEBY</t>
        </is>
      </c>
      <c r="I3022" t="n">
        <v>2</v>
      </c>
      <c r="J3022" t="n">
        <v>0</v>
      </c>
      <c r="K3022" t="n">
        <v>0</v>
      </c>
      <c r="L3022" t="n">
        <v>0</v>
      </c>
      <c r="M3022" t="n">
        <v>0</v>
      </c>
      <c r="N3022" t="n">
        <v>0</v>
      </c>
      <c r="O3022" t="n">
        <v>0</v>
      </c>
      <c r="P3022" t="n">
        <v>0</v>
      </c>
      <c r="Q3022" t="n">
        <v>0</v>
      </c>
      <c r="R3022" t="n">
        <v>0</v>
      </c>
      <c r="S3022" t="n">
        <v>0</v>
      </c>
      <c r="T3022" t="n">
        <v>0</v>
      </c>
      <c r="U3022" t="n">
        <v>0</v>
      </c>
      <c r="V3022" s="2" t="inlineStr"/>
    </row>
    <row r="3023" ht="15" customHeight="1">
      <c r="A3023" t="inlineStr">
        <is>
          <t>A 37091-2026</t>
        </is>
      </c>
      <c r="B3023" t="inlineStr">
        <is>
          <t>avverkningsanmälan</t>
        </is>
      </c>
      <c r="C3023" t="inlineStr">
        <is>
          <t>Föryngringsavverkning</t>
        </is>
      </c>
      <c r="D3023" s="1" t="n">
        <v>46273</v>
      </c>
      <c r="E3023" s="1" t="n">
        <v>46309</v>
      </c>
      <c r="F3023" t="inlineStr">
        <is>
          <t>UPPSALA LÄN</t>
        </is>
      </c>
      <c r="G3023" t="inlineStr">
        <is>
          <t>HEBY</t>
        </is>
      </c>
      <c r="H3023" t="inlineStr">
        <is>
          <t>Bergvik skog väst AB</t>
        </is>
      </c>
      <c r="I3023" t="n">
        <v>1.3</v>
      </c>
      <c r="J3023" t="n">
        <v>0</v>
      </c>
      <c r="K3023" t="n">
        <v>0</v>
      </c>
      <c r="L3023" t="n">
        <v>0</v>
      </c>
      <c r="M3023" t="n">
        <v>0</v>
      </c>
      <c r="N3023" t="n">
        <v>0</v>
      </c>
      <c r="O3023" t="n">
        <v>0</v>
      </c>
      <c r="P3023" t="n">
        <v>0</v>
      </c>
      <c r="Q3023" t="n">
        <v>0</v>
      </c>
      <c r="R3023" t="n">
        <v>0</v>
      </c>
      <c r="S3023" t="n">
        <v>0</v>
      </c>
      <c r="T3023" t="n">
        <v>0</v>
      </c>
      <c r="U3023" t="n">
        <v>0</v>
      </c>
      <c r="V3023" s="2" t="inlineStr"/>
    </row>
    <row r="3024" ht="15" customHeight="1">
      <c r="A3024" t="inlineStr">
        <is>
          <t>A 65028-2021</t>
        </is>
      </c>
      <c r="B3024" t="inlineStr">
        <is>
          <t>avverkningsanmälan</t>
        </is>
      </c>
      <c r="C3024" t="inlineStr">
        <is>
          <t>Avverkning för att bevara och utveckla /försöksver</t>
        </is>
      </c>
      <c r="D3024" s="1" t="n">
        <v>44515</v>
      </c>
      <c r="E3024" s="1" t="n">
        <v>46309</v>
      </c>
      <c r="F3024" t="inlineStr">
        <is>
          <t>UPPSALA LÄN</t>
        </is>
      </c>
      <c r="G3024" t="inlineStr">
        <is>
          <t>ÖSTHAMMAR</t>
        </is>
      </c>
      <c r="H3024" t="inlineStr">
        <is>
          <t>Sveaskog</t>
        </is>
      </c>
      <c r="I3024" t="n">
        <v>1</v>
      </c>
      <c r="J3024" t="n">
        <v>0</v>
      </c>
      <c r="K3024" t="n">
        <v>0</v>
      </c>
      <c r="L3024" t="n">
        <v>0</v>
      </c>
      <c r="M3024" t="n">
        <v>0</v>
      </c>
      <c r="N3024" t="n">
        <v>0</v>
      </c>
      <c r="O3024" t="n">
        <v>0</v>
      </c>
      <c r="P3024" t="n">
        <v>0</v>
      </c>
      <c r="Q3024" t="n">
        <v>0</v>
      </c>
      <c r="R3024" t="n">
        <v>0</v>
      </c>
      <c r="S3024" t="n">
        <v>0</v>
      </c>
      <c r="T3024" t="n">
        <v>0</v>
      </c>
      <c r="U3024" t="n">
        <v>0</v>
      </c>
      <c r="V3024" s="2" t="inlineStr"/>
    </row>
    <row r="3025" ht="15" customHeight="1">
      <c r="A3025" t="inlineStr">
        <is>
          <t>A 66241-2021</t>
        </is>
      </c>
      <c r="B3025" t="inlineStr">
        <is>
          <t>avverkningsanmälan</t>
        </is>
      </c>
      <c r="C3025" t="inlineStr">
        <is>
          <t>Föryngringsavverkning</t>
        </is>
      </c>
      <c r="D3025" s="1" t="n">
        <v>44518</v>
      </c>
      <c r="E3025" s="1" t="n">
        <v>46309</v>
      </c>
      <c r="F3025" t="inlineStr">
        <is>
          <t>UPPSALA LÄN</t>
        </is>
      </c>
      <c r="G3025" t="inlineStr">
        <is>
          <t>TIERP</t>
        </is>
      </c>
      <c r="I3025" t="n">
        <v>1.5</v>
      </c>
      <c r="J3025" t="n">
        <v>0</v>
      </c>
      <c r="K3025" t="n">
        <v>0</v>
      </c>
      <c r="L3025" t="n">
        <v>0</v>
      </c>
      <c r="M3025" t="n">
        <v>0</v>
      </c>
      <c r="N3025" t="n">
        <v>0</v>
      </c>
      <c r="O3025" t="n">
        <v>0</v>
      </c>
      <c r="P3025" t="n">
        <v>0</v>
      </c>
      <c r="Q3025" t="n">
        <v>0</v>
      </c>
      <c r="R3025" t="n">
        <v>0</v>
      </c>
      <c r="S3025" t="n">
        <v>0</v>
      </c>
      <c r="T3025" t="n">
        <v>0</v>
      </c>
      <c r="U3025" t="n">
        <v>0</v>
      </c>
      <c r="V3025" s="2" t="inlineStr"/>
    </row>
    <row r="3026" ht="15" customHeight="1">
      <c r="A3026" t="inlineStr">
        <is>
          <t>A 16920-2023</t>
        </is>
      </c>
      <c r="B3026" t="inlineStr">
        <is>
          <t>avverkningsanmälan</t>
        </is>
      </c>
      <c r="C3026" t="inlineStr">
        <is>
          <t>Föryngringsavverkning</t>
        </is>
      </c>
      <c r="D3026" s="1" t="n">
        <v>45033</v>
      </c>
      <c r="E3026" s="1" t="n">
        <v>46309</v>
      </c>
      <c r="F3026" t="inlineStr">
        <is>
          <t>UPPSALA LÄN</t>
        </is>
      </c>
      <c r="G3026" t="inlineStr">
        <is>
          <t>ENKÖPING</t>
        </is>
      </c>
      <c r="I3026" t="n">
        <v>0.6</v>
      </c>
      <c r="J3026" t="n">
        <v>0</v>
      </c>
      <c r="K3026" t="n">
        <v>0</v>
      </c>
      <c r="L3026" t="n">
        <v>0</v>
      </c>
      <c r="M3026" t="n">
        <v>0</v>
      </c>
      <c r="N3026" t="n">
        <v>0</v>
      </c>
      <c r="O3026" t="n">
        <v>0</v>
      </c>
      <c r="P3026" t="n">
        <v>0</v>
      </c>
      <c r="Q3026" t="n">
        <v>0</v>
      </c>
      <c r="R3026" t="n">
        <v>0</v>
      </c>
      <c r="S3026" t="n">
        <v>0</v>
      </c>
      <c r="T3026" t="n">
        <v>0</v>
      </c>
      <c r="U3026" t="n">
        <v>0</v>
      </c>
      <c r="V3026" s="2" t="inlineStr"/>
    </row>
    <row r="3027" ht="15" customHeight="1">
      <c r="A3027" t="inlineStr">
        <is>
          <t>A 37225-2026</t>
        </is>
      </c>
      <c r="B3027" t="inlineStr">
        <is>
          <t>avverkningsanmälan</t>
        </is>
      </c>
      <c r="C3027" t="inlineStr">
        <is>
          <t>Föryngringsavverkning</t>
        </is>
      </c>
      <c r="D3027" s="1" t="n">
        <v>46274</v>
      </c>
      <c r="E3027" s="1" t="n">
        <v>46309</v>
      </c>
      <c r="F3027" t="inlineStr">
        <is>
          <t>UPPSALA LÄN</t>
        </is>
      </c>
      <c r="G3027" t="inlineStr">
        <is>
          <t>ÖSTHAMMAR</t>
        </is>
      </c>
      <c r="H3027" t="inlineStr">
        <is>
          <t>Bergvik skog öst AB</t>
        </is>
      </c>
      <c r="I3027" t="n">
        <v>5.9</v>
      </c>
      <c r="J3027" t="n">
        <v>0</v>
      </c>
      <c r="K3027" t="n">
        <v>0</v>
      </c>
      <c r="L3027" t="n">
        <v>0</v>
      </c>
      <c r="M3027" t="n">
        <v>0</v>
      </c>
      <c r="N3027" t="n">
        <v>0</v>
      </c>
      <c r="O3027" t="n">
        <v>0</v>
      </c>
      <c r="P3027" t="n">
        <v>0</v>
      </c>
      <c r="Q3027" t="n">
        <v>0</v>
      </c>
      <c r="R3027" t="n">
        <v>0</v>
      </c>
      <c r="S3027" t="n">
        <v>0</v>
      </c>
      <c r="T3027" t="n">
        <v>0</v>
      </c>
      <c r="U3027" t="n">
        <v>0</v>
      </c>
      <c r="V3027" s="2" t="inlineStr"/>
    </row>
    <row r="3028" ht="15" customHeight="1">
      <c r="A3028" t="inlineStr">
        <is>
          <t>A 19380-2023</t>
        </is>
      </c>
      <c r="B3028" t="inlineStr">
        <is>
          <t>avverkningsanmälan</t>
        </is>
      </c>
      <c r="C3028" t="inlineStr">
        <is>
          <t>Föryngringsavverkning</t>
        </is>
      </c>
      <c r="D3028" s="1" t="n">
        <v>45049</v>
      </c>
      <c r="E3028" s="1" t="n">
        <v>46309</v>
      </c>
      <c r="F3028" t="inlineStr">
        <is>
          <t>UPPSALA LÄN</t>
        </is>
      </c>
      <c r="G3028" t="inlineStr">
        <is>
          <t>UPPSALA</t>
        </is>
      </c>
      <c r="I3028" t="n">
        <v>1</v>
      </c>
      <c r="J3028" t="n">
        <v>0</v>
      </c>
      <c r="K3028" t="n">
        <v>0</v>
      </c>
      <c r="L3028" t="n">
        <v>0</v>
      </c>
      <c r="M3028" t="n">
        <v>0</v>
      </c>
      <c r="N3028" t="n">
        <v>0</v>
      </c>
      <c r="O3028" t="n">
        <v>0</v>
      </c>
      <c r="P3028" t="n">
        <v>0</v>
      </c>
      <c r="Q3028" t="n">
        <v>0</v>
      </c>
      <c r="R3028" t="n">
        <v>0</v>
      </c>
      <c r="S3028" t="n">
        <v>0</v>
      </c>
      <c r="T3028" t="n">
        <v>0</v>
      </c>
      <c r="U3028" t="n">
        <v>0</v>
      </c>
      <c r="V3028" s="2" t="inlineStr"/>
    </row>
    <row r="3029" ht="15" customHeight="1">
      <c r="A3029" t="inlineStr">
        <is>
          <t>A 36777-2026</t>
        </is>
      </c>
      <c r="B3029" t="inlineStr">
        <is>
          <t>avverkningsanmälan</t>
        </is>
      </c>
      <c r="C3029" t="inlineStr">
        <is>
          <t>Föryngringsavverkning</t>
        </is>
      </c>
      <c r="D3029" s="1" t="n">
        <v>46272</v>
      </c>
      <c r="E3029" s="1" t="n">
        <v>46309</v>
      </c>
      <c r="F3029" t="inlineStr">
        <is>
          <t>UPPSALA LÄN</t>
        </is>
      </c>
      <c r="G3029" t="inlineStr">
        <is>
          <t>HEBY</t>
        </is>
      </c>
      <c r="H3029" t="inlineStr">
        <is>
          <t>Bergvik skog väst AB</t>
        </is>
      </c>
      <c r="I3029" t="n">
        <v>0.5</v>
      </c>
      <c r="J3029" t="n">
        <v>0</v>
      </c>
      <c r="K3029" t="n">
        <v>0</v>
      </c>
      <c r="L3029" t="n">
        <v>0</v>
      </c>
      <c r="M3029" t="n">
        <v>0</v>
      </c>
      <c r="N3029" t="n">
        <v>0</v>
      </c>
      <c r="O3029" t="n">
        <v>0</v>
      </c>
      <c r="P3029" t="n">
        <v>0</v>
      </c>
      <c r="Q3029" t="n">
        <v>0</v>
      </c>
      <c r="R3029" t="n">
        <v>0</v>
      </c>
      <c r="S3029" t="n">
        <v>0</v>
      </c>
      <c r="T3029" t="n">
        <v>0</v>
      </c>
      <c r="U3029" t="n">
        <v>0</v>
      </c>
      <c r="V3029" s="2" t="inlineStr"/>
    </row>
    <row r="3030" ht="15" customHeight="1">
      <c r="A3030" t="inlineStr">
        <is>
          <t>A 8030-2026</t>
        </is>
      </c>
      <c r="B3030" t="inlineStr">
        <is>
          <t>avverkningsanmälan</t>
        </is>
      </c>
      <c r="C3030" t="inlineStr">
        <is>
          <t>Föryngringsavverkning</t>
        </is>
      </c>
      <c r="D3030" s="1" t="n">
        <v>46063</v>
      </c>
      <c r="E3030" s="1" t="n">
        <v>46309</v>
      </c>
      <c r="F3030" t="inlineStr">
        <is>
          <t>UPPSALA LÄN</t>
        </is>
      </c>
      <c r="G3030" t="inlineStr">
        <is>
          <t>ÖSTHAMMAR</t>
        </is>
      </c>
      <c r="I3030" t="n">
        <v>1.1</v>
      </c>
      <c r="J3030" t="n">
        <v>0</v>
      </c>
      <c r="K3030" t="n">
        <v>0</v>
      </c>
      <c r="L3030" t="n">
        <v>0</v>
      </c>
      <c r="M3030" t="n">
        <v>0</v>
      </c>
      <c r="N3030" t="n">
        <v>0</v>
      </c>
      <c r="O3030" t="n">
        <v>0</v>
      </c>
      <c r="P3030" t="n">
        <v>0</v>
      </c>
      <c r="Q3030" t="n">
        <v>0</v>
      </c>
      <c r="R3030" t="n">
        <v>0</v>
      </c>
      <c r="S3030" t="n">
        <v>0</v>
      </c>
      <c r="T3030" t="n">
        <v>0</v>
      </c>
      <c r="U3030" t="n">
        <v>0</v>
      </c>
      <c r="V3030" s="2" t="inlineStr"/>
    </row>
    <row r="3031" ht="15" customHeight="1">
      <c r="A3031" t="inlineStr">
        <is>
          <t>A 13343-2022</t>
        </is>
      </c>
      <c r="B3031" t="inlineStr">
        <is>
          <t>avverkningsanmälan</t>
        </is>
      </c>
      <c r="C3031" t="inlineStr">
        <is>
          <t>Föryngringsavverkning</t>
        </is>
      </c>
      <c r="D3031" s="1" t="n">
        <v>44645</v>
      </c>
      <c r="E3031" s="1" t="n">
        <v>46309</v>
      </c>
      <c r="F3031" t="inlineStr">
        <is>
          <t>UPPSALA LÄN</t>
        </is>
      </c>
      <c r="G3031" t="inlineStr">
        <is>
          <t>UPPSALA</t>
        </is>
      </c>
      <c r="H3031" t="inlineStr">
        <is>
          <t>Övriga Aktiebolag</t>
        </is>
      </c>
      <c r="I3031" t="n">
        <v>1.9</v>
      </c>
      <c r="J3031" t="n">
        <v>0</v>
      </c>
      <c r="K3031" t="n">
        <v>0</v>
      </c>
      <c r="L3031" t="n">
        <v>0</v>
      </c>
      <c r="M3031" t="n">
        <v>0</v>
      </c>
      <c r="N3031" t="n">
        <v>0</v>
      </c>
      <c r="O3031" t="n">
        <v>0</v>
      </c>
      <c r="P3031" t="n">
        <v>0</v>
      </c>
      <c r="Q3031" t="n">
        <v>0</v>
      </c>
      <c r="R3031" t="n">
        <v>0</v>
      </c>
      <c r="S3031" t="n">
        <v>0</v>
      </c>
      <c r="T3031" t="n">
        <v>0</v>
      </c>
      <c r="U3031" t="n">
        <v>0</v>
      </c>
      <c r="V3031" s="2" t="inlineStr"/>
    </row>
    <row r="3032" ht="15" customHeight="1">
      <c r="A3032" t="inlineStr">
        <is>
          <t>A 60925-2021</t>
        </is>
      </c>
      <c r="B3032" t="inlineStr">
        <is>
          <t>avverkningsanmälan</t>
        </is>
      </c>
      <c r="C3032" t="inlineStr">
        <is>
          <t>Föryngringsavverkning</t>
        </is>
      </c>
      <c r="D3032" s="1" t="n">
        <v>44497</v>
      </c>
      <c r="E3032" s="1" t="n">
        <v>46309</v>
      </c>
      <c r="F3032" t="inlineStr">
        <is>
          <t>UPPSALA LÄN</t>
        </is>
      </c>
      <c r="G3032" t="inlineStr">
        <is>
          <t>UPPSALA</t>
        </is>
      </c>
      <c r="I3032" t="n">
        <v>3.7</v>
      </c>
      <c r="J3032" t="n">
        <v>0</v>
      </c>
      <c r="K3032" t="n">
        <v>0</v>
      </c>
      <c r="L3032" t="n">
        <v>0</v>
      </c>
      <c r="M3032" t="n">
        <v>0</v>
      </c>
      <c r="N3032" t="n">
        <v>0</v>
      </c>
      <c r="O3032" t="n">
        <v>0</v>
      </c>
      <c r="P3032" t="n">
        <v>0</v>
      </c>
      <c r="Q3032" t="n">
        <v>0</v>
      </c>
      <c r="R3032" t="n">
        <v>0</v>
      </c>
      <c r="S3032" t="n">
        <v>0</v>
      </c>
      <c r="T3032" t="n">
        <v>0</v>
      </c>
      <c r="U3032" t="n">
        <v>0</v>
      </c>
      <c r="V3032" s="2" t="inlineStr"/>
    </row>
    <row r="3033" ht="15" customHeight="1">
      <c r="A3033" t="inlineStr">
        <is>
          <t>A 36857-2023</t>
        </is>
      </c>
      <c r="B3033" t="inlineStr">
        <is>
          <t>avverkningsanmälan</t>
        </is>
      </c>
      <c r="C3033" t="inlineStr">
        <is>
          <t>Föryngringsavverkning</t>
        </is>
      </c>
      <c r="D3033" s="1" t="n">
        <v>45154</v>
      </c>
      <c r="E3033" s="1" t="n">
        <v>46309</v>
      </c>
      <c r="F3033" t="inlineStr">
        <is>
          <t>UPPSALA LÄN</t>
        </is>
      </c>
      <c r="G3033" t="inlineStr">
        <is>
          <t>ÖSTHAMMAR</t>
        </is>
      </c>
      <c r="I3033" t="n">
        <v>0.5</v>
      </c>
      <c r="J3033" t="n">
        <v>0</v>
      </c>
      <c r="K3033" t="n">
        <v>0</v>
      </c>
      <c r="L3033" t="n">
        <v>0</v>
      </c>
      <c r="M3033" t="n">
        <v>0</v>
      </c>
      <c r="N3033" t="n">
        <v>0</v>
      </c>
      <c r="O3033" t="n">
        <v>0</v>
      </c>
      <c r="P3033" t="n">
        <v>0</v>
      </c>
      <c r="Q3033" t="n">
        <v>0</v>
      </c>
      <c r="R3033" t="n">
        <v>0</v>
      </c>
      <c r="S3033" t="n">
        <v>0</v>
      </c>
      <c r="T3033" t="n">
        <v>0</v>
      </c>
      <c r="U3033" t="n">
        <v>0</v>
      </c>
      <c r="V3033" s="2" t="inlineStr"/>
    </row>
    <row r="3034" ht="15" customHeight="1">
      <c r="A3034" t="inlineStr">
        <is>
          <t>A 52388-2024</t>
        </is>
      </c>
      <c r="B3034" t="inlineStr">
        <is>
          <t>avverkningsanmälan</t>
        </is>
      </c>
      <c r="C3034" t="inlineStr">
        <is>
          <t>Föryngringsavverkning</t>
        </is>
      </c>
      <c r="D3034" s="1" t="n">
        <v>45609</v>
      </c>
      <c r="E3034" s="1" t="n">
        <v>46309</v>
      </c>
      <c r="F3034" t="inlineStr">
        <is>
          <t>UPPSALA LÄN</t>
        </is>
      </c>
      <c r="G3034" t="inlineStr">
        <is>
          <t>ENKÖPING</t>
        </is>
      </c>
      <c r="I3034" t="n">
        <v>1.8</v>
      </c>
      <c r="J3034" t="n">
        <v>0</v>
      </c>
      <c r="K3034" t="n">
        <v>0</v>
      </c>
      <c r="L3034" t="n">
        <v>0</v>
      </c>
      <c r="M3034" t="n">
        <v>0</v>
      </c>
      <c r="N3034" t="n">
        <v>0</v>
      </c>
      <c r="O3034" t="n">
        <v>0</v>
      </c>
      <c r="P3034" t="n">
        <v>0</v>
      </c>
      <c r="Q3034" t="n">
        <v>0</v>
      </c>
      <c r="R3034" t="n">
        <v>0</v>
      </c>
      <c r="S3034" t="n">
        <v>0</v>
      </c>
      <c r="T3034" t="n">
        <v>0</v>
      </c>
      <c r="U3034" t="n">
        <v>0</v>
      </c>
      <c r="V3034" s="2" t="inlineStr"/>
    </row>
    <row r="3035" ht="15" customHeight="1">
      <c r="A3035" t="inlineStr">
        <is>
          <t>A 6143-2022</t>
        </is>
      </c>
      <c r="B3035" t="inlineStr">
        <is>
          <t>avverkningsanmälan</t>
        </is>
      </c>
      <c r="C3035" t="inlineStr">
        <is>
          <t>Föryngringsavverkning</t>
        </is>
      </c>
      <c r="D3035" s="1" t="n">
        <v>44599</v>
      </c>
      <c r="E3035" s="1" t="n">
        <v>46309</v>
      </c>
      <c r="F3035" t="inlineStr">
        <is>
          <t>UPPSALA LÄN</t>
        </is>
      </c>
      <c r="G3035" t="inlineStr">
        <is>
          <t>ÖSTHAMMAR</t>
        </is>
      </c>
      <c r="I3035" t="n">
        <v>3.4</v>
      </c>
      <c r="J3035" t="n">
        <v>0</v>
      </c>
      <c r="K3035" t="n">
        <v>0</v>
      </c>
      <c r="L3035" t="n">
        <v>0</v>
      </c>
      <c r="M3035" t="n">
        <v>0</v>
      </c>
      <c r="N3035" t="n">
        <v>0</v>
      </c>
      <c r="O3035" t="n">
        <v>0</v>
      </c>
      <c r="P3035" t="n">
        <v>0</v>
      </c>
      <c r="Q3035" t="n">
        <v>0</v>
      </c>
      <c r="R3035" t="n">
        <v>0</v>
      </c>
      <c r="S3035" t="n">
        <v>0</v>
      </c>
      <c r="T3035" t="n">
        <v>0</v>
      </c>
      <c r="U3035" t="n">
        <v>0</v>
      </c>
      <c r="V3035" s="2" t="inlineStr"/>
    </row>
    <row r="3036" ht="15" customHeight="1">
      <c r="A3036" t="inlineStr">
        <is>
          <t>A 37175-2026</t>
        </is>
      </c>
      <c r="B3036" t="inlineStr">
        <is>
          <t>avverkningsanmälan</t>
        </is>
      </c>
      <c r="C3036" t="inlineStr">
        <is>
          <t>Föryngringsavverkning</t>
        </is>
      </c>
      <c r="D3036" s="1" t="n">
        <v>46274</v>
      </c>
      <c r="E3036" s="1" t="n">
        <v>46309</v>
      </c>
      <c r="F3036" t="inlineStr">
        <is>
          <t>UPPSALA LÄN</t>
        </is>
      </c>
      <c r="G3036" t="inlineStr">
        <is>
          <t>ÖSTHAMMAR</t>
        </is>
      </c>
      <c r="H3036" t="inlineStr">
        <is>
          <t>Bergvik skog öst AB</t>
        </is>
      </c>
      <c r="I3036" t="n">
        <v>5.9</v>
      </c>
      <c r="J3036" t="n">
        <v>0</v>
      </c>
      <c r="K3036" t="n">
        <v>0</v>
      </c>
      <c r="L3036" t="n">
        <v>0</v>
      </c>
      <c r="M3036" t="n">
        <v>0</v>
      </c>
      <c r="N3036" t="n">
        <v>0</v>
      </c>
      <c r="O3036" t="n">
        <v>0</v>
      </c>
      <c r="P3036" t="n">
        <v>0</v>
      </c>
      <c r="Q3036" t="n">
        <v>0</v>
      </c>
      <c r="R3036" t="n">
        <v>0</v>
      </c>
      <c r="S3036" t="n">
        <v>0</v>
      </c>
      <c r="T3036" t="n">
        <v>0</v>
      </c>
      <c r="U3036" t="n">
        <v>0</v>
      </c>
      <c r="V3036" s="2" t="inlineStr"/>
    </row>
    <row r="3037" ht="15" customHeight="1">
      <c r="A3037" t="inlineStr">
        <is>
          <t>A 37207-2026</t>
        </is>
      </c>
      <c r="B3037" t="inlineStr">
        <is>
          <t>avverkningsanmälan</t>
        </is>
      </c>
      <c r="C3037" t="inlineStr">
        <is>
          <t>Föryngringsavverkning</t>
        </is>
      </c>
      <c r="D3037" s="1" t="n">
        <v>46274</v>
      </c>
      <c r="E3037" s="1" t="n">
        <v>46309</v>
      </c>
      <c r="F3037" t="inlineStr">
        <is>
          <t>UPPSALA LÄN</t>
        </is>
      </c>
      <c r="G3037" t="inlineStr">
        <is>
          <t>UPPSALA</t>
        </is>
      </c>
      <c r="H3037" t="inlineStr">
        <is>
          <t>Sveaskog</t>
        </is>
      </c>
      <c r="I3037" t="n">
        <v>6.2</v>
      </c>
      <c r="J3037" t="n">
        <v>0</v>
      </c>
      <c r="K3037" t="n">
        <v>0</v>
      </c>
      <c r="L3037" t="n">
        <v>0</v>
      </c>
      <c r="M3037" t="n">
        <v>0</v>
      </c>
      <c r="N3037" t="n">
        <v>0</v>
      </c>
      <c r="O3037" t="n">
        <v>0</v>
      </c>
      <c r="P3037" t="n">
        <v>0</v>
      </c>
      <c r="Q3037" t="n">
        <v>0</v>
      </c>
      <c r="R3037" t="n">
        <v>0</v>
      </c>
      <c r="S3037" t="n">
        <v>0</v>
      </c>
      <c r="T3037" t="n">
        <v>0</v>
      </c>
      <c r="U3037" t="n">
        <v>0</v>
      </c>
      <c r="V3037" s="2" t="inlineStr"/>
    </row>
    <row r="3038" ht="15" customHeight="1">
      <c r="A3038" t="inlineStr">
        <is>
          <t>A 3514-2023</t>
        </is>
      </c>
      <c r="B3038" t="inlineStr">
        <is>
          <t>avverkningsanmälan</t>
        </is>
      </c>
      <c r="C3038" t="inlineStr">
        <is>
          <t>Föryngringsavverkning</t>
        </is>
      </c>
      <c r="D3038" s="1" t="n">
        <v>44950</v>
      </c>
      <c r="E3038" s="1" t="n">
        <v>46309</v>
      </c>
      <c r="F3038" t="inlineStr">
        <is>
          <t>UPPSALA LÄN</t>
        </is>
      </c>
      <c r="G3038" t="inlineStr">
        <is>
          <t>ÖSTHAMMAR</t>
        </is>
      </c>
      <c r="H3038" t="inlineStr">
        <is>
          <t>Övriga Aktiebolag</t>
        </is>
      </c>
      <c r="I3038" t="n">
        <v>1.9</v>
      </c>
      <c r="J3038" t="n">
        <v>0</v>
      </c>
      <c r="K3038" t="n">
        <v>0</v>
      </c>
      <c r="L3038" t="n">
        <v>0</v>
      </c>
      <c r="M3038" t="n">
        <v>0</v>
      </c>
      <c r="N3038" t="n">
        <v>0</v>
      </c>
      <c r="O3038" t="n">
        <v>0</v>
      </c>
      <c r="P3038" t="n">
        <v>0</v>
      </c>
      <c r="Q3038" t="n">
        <v>0</v>
      </c>
      <c r="R3038" t="n">
        <v>0</v>
      </c>
      <c r="S3038" t="n">
        <v>0</v>
      </c>
      <c r="T3038" t="n">
        <v>0</v>
      </c>
      <c r="U3038" t="n">
        <v>0</v>
      </c>
      <c r="V3038" s="2" t="inlineStr"/>
    </row>
    <row r="3039" ht="15" customHeight="1">
      <c r="A3039" t="inlineStr">
        <is>
          <t>A 31803-2026</t>
        </is>
      </c>
      <c r="B3039" t="inlineStr">
        <is>
          <t>avverkningsanmälan</t>
        </is>
      </c>
      <c r="C3039" t="inlineStr">
        <is>
          <t>Avverkning för annat ändamål</t>
        </is>
      </c>
      <c r="D3039" s="1" t="n">
        <v>46230</v>
      </c>
      <c r="E3039" s="1" t="n">
        <v>46309</v>
      </c>
      <c r="F3039" t="inlineStr">
        <is>
          <t>UPPSALA LÄN</t>
        </is>
      </c>
      <c r="G3039" t="inlineStr">
        <is>
          <t>TIERP</t>
        </is>
      </c>
      <c r="I3039" t="n">
        <v>3</v>
      </c>
      <c r="J3039" t="n">
        <v>0</v>
      </c>
      <c r="K3039" t="n">
        <v>0</v>
      </c>
      <c r="L3039" t="n">
        <v>0</v>
      </c>
      <c r="M3039" t="n">
        <v>0</v>
      </c>
      <c r="N3039" t="n">
        <v>0</v>
      </c>
      <c r="O3039" t="n">
        <v>0</v>
      </c>
      <c r="P3039" t="n">
        <v>0</v>
      </c>
      <c r="Q3039" t="n">
        <v>0</v>
      </c>
      <c r="R3039" t="n">
        <v>0</v>
      </c>
      <c r="S3039" t="n">
        <v>0</v>
      </c>
      <c r="T3039" t="n">
        <v>0</v>
      </c>
      <c r="U3039" t="n">
        <v>0</v>
      </c>
      <c r="V3039" s="2" t="inlineStr"/>
    </row>
    <row r="3040" ht="15" customHeight="1">
      <c r="A3040" t="inlineStr">
        <is>
          <t>A 61717-2022</t>
        </is>
      </c>
      <c r="B3040" t="inlineStr">
        <is>
          <t>avverkningsanmälan</t>
        </is>
      </c>
      <c r="C3040" t="inlineStr">
        <is>
          <t>Avverkning för annat ändamål</t>
        </is>
      </c>
      <c r="D3040" s="1" t="n">
        <v>44917</v>
      </c>
      <c r="E3040" s="1" t="n">
        <v>46309</v>
      </c>
      <c r="F3040" t="inlineStr">
        <is>
          <t>UPPSALA LÄN</t>
        </is>
      </c>
      <c r="G3040" t="inlineStr">
        <is>
          <t>TIERP</t>
        </is>
      </c>
      <c r="I3040" t="n">
        <v>3.2</v>
      </c>
      <c r="J3040" t="n">
        <v>0</v>
      </c>
      <c r="K3040" t="n">
        <v>0</v>
      </c>
      <c r="L3040" t="n">
        <v>0</v>
      </c>
      <c r="M3040" t="n">
        <v>0</v>
      </c>
      <c r="N3040" t="n">
        <v>0</v>
      </c>
      <c r="O3040" t="n">
        <v>0</v>
      </c>
      <c r="P3040" t="n">
        <v>0</v>
      </c>
      <c r="Q3040" t="n">
        <v>0</v>
      </c>
      <c r="R3040" t="n">
        <v>0</v>
      </c>
      <c r="S3040" t="n">
        <v>0</v>
      </c>
      <c r="T3040" t="n">
        <v>0</v>
      </c>
      <c r="U3040" t="n">
        <v>0</v>
      </c>
      <c r="V3040" s="2" t="inlineStr"/>
    </row>
    <row r="3041" ht="15" customHeight="1">
      <c r="A3041" t="inlineStr">
        <is>
          <t>A 37176-2026</t>
        </is>
      </c>
      <c r="B3041" t="inlineStr">
        <is>
          <t>avverkningsanmälan</t>
        </is>
      </c>
      <c r="C3041" t="inlineStr">
        <is>
          <t>Föryngringsavverkning</t>
        </is>
      </c>
      <c r="D3041" s="1" t="n">
        <v>46274</v>
      </c>
      <c r="E3041" s="1" t="n">
        <v>46309</v>
      </c>
      <c r="F3041" t="inlineStr">
        <is>
          <t>UPPSALA LÄN</t>
        </is>
      </c>
      <c r="G3041" t="inlineStr">
        <is>
          <t>ÖSTHAMMAR</t>
        </is>
      </c>
      <c r="H3041" t="inlineStr">
        <is>
          <t>Bergvik skog öst AB</t>
        </is>
      </c>
      <c r="I3041" t="n">
        <v>1.5</v>
      </c>
      <c r="J3041" t="n">
        <v>0</v>
      </c>
      <c r="K3041" t="n">
        <v>0</v>
      </c>
      <c r="L3041" t="n">
        <v>0</v>
      </c>
      <c r="M3041" t="n">
        <v>0</v>
      </c>
      <c r="N3041" t="n">
        <v>0</v>
      </c>
      <c r="O3041" t="n">
        <v>0</v>
      </c>
      <c r="P3041" t="n">
        <v>0</v>
      </c>
      <c r="Q3041" t="n">
        <v>0</v>
      </c>
      <c r="R3041" t="n">
        <v>0</v>
      </c>
      <c r="S3041" t="n">
        <v>0</v>
      </c>
      <c r="T3041" t="n">
        <v>0</v>
      </c>
      <c r="U3041" t="n">
        <v>0</v>
      </c>
      <c r="V3041" s="2" t="inlineStr"/>
    </row>
    <row r="3042" ht="15" customHeight="1">
      <c r="A3042" t="inlineStr">
        <is>
          <t>A 36392-2023</t>
        </is>
      </c>
      <c r="B3042" t="inlineStr">
        <is>
          <t>avverkningsanmälan</t>
        </is>
      </c>
      <c r="C3042" t="inlineStr">
        <is>
          <t>Föryngringsavverkning</t>
        </is>
      </c>
      <c r="D3042" s="1" t="n">
        <v>45152</v>
      </c>
      <c r="E3042" s="1" t="n">
        <v>46309</v>
      </c>
      <c r="F3042" t="inlineStr">
        <is>
          <t>UPPSALA LÄN</t>
        </is>
      </c>
      <c r="G3042" t="inlineStr">
        <is>
          <t>UPPSALA</t>
        </is>
      </c>
      <c r="I3042" t="n">
        <v>9.800000000000001</v>
      </c>
      <c r="J3042" t="n">
        <v>0</v>
      </c>
      <c r="K3042" t="n">
        <v>0</v>
      </c>
      <c r="L3042" t="n">
        <v>0</v>
      </c>
      <c r="M3042" t="n">
        <v>0</v>
      </c>
      <c r="N3042" t="n">
        <v>0</v>
      </c>
      <c r="O3042" t="n">
        <v>0</v>
      </c>
      <c r="P3042" t="n">
        <v>0</v>
      </c>
      <c r="Q3042" t="n">
        <v>0</v>
      </c>
      <c r="R3042" t="n">
        <v>0</v>
      </c>
      <c r="S3042" t="n">
        <v>0</v>
      </c>
      <c r="T3042" t="n">
        <v>0</v>
      </c>
      <c r="U3042" t="n">
        <v>0</v>
      </c>
      <c r="V3042" s="2" t="inlineStr"/>
    </row>
    <row r="3043" ht="15" customHeight="1">
      <c r="A3043" t="inlineStr">
        <is>
          <t>A 37173-2026</t>
        </is>
      </c>
      <c r="B3043" t="inlineStr">
        <is>
          <t>avverkningsanmälan</t>
        </is>
      </c>
      <c r="C3043" t="inlineStr">
        <is>
          <t>Föryngringsavverkning</t>
        </is>
      </c>
      <c r="D3043" s="1" t="n">
        <v>46274</v>
      </c>
      <c r="E3043" s="1" t="n">
        <v>46309</v>
      </c>
      <c r="F3043" t="inlineStr">
        <is>
          <t>UPPSALA LÄN</t>
        </is>
      </c>
      <c r="G3043" t="inlineStr">
        <is>
          <t>UPPSALA</t>
        </is>
      </c>
      <c r="H3043" t="inlineStr">
        <is>
          <t>Sveaskog</t>
        </is>
      </c>
      <c r="I3043" t="n">
        <v>2.8</v>
      </c>
      <c r="J3043" t="n">
        <v>0</v>
      </c>
      <c r="K3043" t="n">
        <v>0</v>
      </c>
      <c r="L3043" t="n">
        <v>0</v>
      </c>
      <c r="M3043" t="n">
        <v>0</v>
      </c>
      <c r="N3043" t="n">
        <v>0</v>
      </c>
      <c r="O3043" t="n">
        <v>0</v>
      </c>
      <c r="P3043" t="n">
        <v>0</v>
      </c>
      <c r="Q3043" t="n">
        <v>0</v>
      </c>
      <c r="R3043" t="n">
        <v>0</v>
      </c>
      <c r="S3043" t="n">
        <v>0</v>
      </c>
      <c r="T3043" t="n">
        <v>0</v>
      </c>
      <c r="U3043" t="n">
        <v>0</v>
      </c>
      <c r="V3043" s="2" t="inlineStr"/>
    </row>
    <row r="3044" ht="15" customHeight="1">
      <c r="A3044" t="inlineStr">
        <is>
          <t>A 37190-2026</t>
        </is>
      </c>
      <c r="B3044" t="inlineStr">
        <is>
          <t>avverkningsanmälan</t>
        </is>
      </c>
      <c r="C3044" t="inlineStr">
        <is>
          <t>Föryngringsavverkning</t>
        </is>
      </c>
      <c r="D3044" s="1" t="n">
        <v>46274</v>
      </c>
      <c r="E3044" s="1" t="n">
        <v>46309</v>
      </c>
      <c r="F3044" t="inlineStr">
        <is>
          <t>UPPSALA LÄN</t>
        </is>
      </c>
      <c r="G3044" t="inlineStr">
        <is>
          <t>ÖSTHAMMAR</t>
        </is>
      </c>
      <c r="H3044" t="inlineStr">
        <is>
          <t>Bergvik skog öst AB</t>
        </is>
      </c>
      <c r="I3044" t="n">
        <v>6.5</v>
      </c>
      <c r="J3044" t="n">
        <v>0</v>
      </c>
      <c r="K3044" t="n">
        <v>0</v>
      </c>
      <c r="L3044" t="n">
        <v>0</v>
      </c>
      <c r="M3044" t="n">
        <v>0</v>
      </c>
      <c r="N3044" t="n">
        <v>0</v>
      </c>
      <c r="O3044" t="n">
        <v>0</v>
      </c>
      <c r="P3044" t="n">
        <v>0</v>
      </c>
      <c r="Q3044" t="n">
        <v>0</v>
      </c>
      <c r="R3044" t="n">
        <v>0</v>
      </c>
      <c r="S3044" t="n">
        <v>0</v>
      </c>
      <c r="T3044" t="n">
        <v>0</v>
      </c>
      <c r="U3044" t="n">
        <v>0</v>
      </c>
      <c r="V3044" s="2" t="inlineStr"/>
    </row>
    <row r="3045" ht="15" customHeight="1">
      <c r="A3045" t="inlineStr">
        <is>
          <t>A 59858-2024</t>
        </is>
      </c>
      <c r="B3045" t="inlineStr">
        <is>
          <t>avverkningsanmälan</t>
        </is>
      </c>
      <c r="C3045" t="inlineStr">
        <is>
          <t>Föryngringsavverkning</t>
        </is>
      </c>
      <c r="D3045" s="1" t="n">
        <v>45639</v>
      </c>
      <c r="E3045" s="1" t="n">
        <v>46309</v>
      </c>
      <c r="F3045" t="inlineStr">
        <is>
          <t>UPPSALA LÄN</t>
        </is>
      </c>
      <c r="G3045" t="inlineStr">
        <is>
          <t>HEBY</t>
        </is>
      </c>
      <c r="I3045" t="n">
        <v>1.9</v>
      </c>
      <c r="J3045" t="n">
        <v>0</v>
      </c>
      <c r="K3045" t="n">
        <v>0</v>
      </c>
      <c r="L3045" t="n">
        <v>0</v>
      </c>
      <c r="M3045" t="n">
        <v>0</v>
      </c>
      <c r="N3045" t="n">
        <v>0</v>
      </c>
      <c r="O3045" t="n">
        <v>0</v>
      </c>
      <c r="P3045" t="n">
        <v>0</v>
      </c>
      <c r="Q3045" t="n">
        <v>0</v>
      </c>
      <c r="R3045" t="n">
        <v>0</v>
      </c>
      <c r="S3045" t="n">
        <v>0</v>
      </c>
      <c r="T3045" t="n">
        <v>0</v>
      </c>
      <c r="U3045" t="n">
        <v>0</v>
      </c>
      <c r="V3045" s="2" t="inlineStr"/>
    </row>
    <row r="3046" ht="15" customHeight="1">
      <c r="A3046" t="inlineStr">
        <is>
          <t>A 29136-2026</t>
        </is>
      </c>
      <c r="B3046" t="inlineStr">
        <is>
          <t>avverkningsanmälan</t>
        </is>
      </c>
      <c r="C3046" t="inlineStr">
        <is>
          <t>Föryngringsavverkning</t>
        </is>
      </c>
      <c r="D3046" s="1" t="n">
        <v>46202</v>
      </c>
      <c r="E3046" s="1" t="n">
        <v>46309</v>
      </c>
      <c r="F3046" t="inlineStr">
        <is>
          <t>UPPSALA LÄN</t>
        </is>
      </c>
      <c r="G3046" t="inlineStr">
        <is>
          <t>UPPSALA</t>
        </is>
      </c>
      <c r="I3046" t="n">
        <v>2</v>
      </c>
      <c r="J3046" t="n">
        <v>0</v>
      </c>
      <c r="K3046" t="n">
        <v>0</v>
      </c>
      <c r="L3046" t="n">
        <v>0</v>
      </c>
      <c r="M3046" t="n">
        <v>0</v>
      </c>
      <c r="N3046" t="n">
        <v>0</v>
      </c>
      <c r="O3046" t="n">
        <v>0</v>
      </c>
      <c r="P3046" t="n">
        <v>0</v>
      </c>
      <c r="Q3046" t="n">
        <v>0</v>
      </c>
      <c r="R3046" t="n">
        <v>0</v>
      </c>
      <c r="S3046" t="n">
        <v>0</v>
      </c>
      <c r="T3046" t="n">
        <v>0</v>
      </c>
      <c r="U3046" t="n">
        <v>0</v>
      </c>
      <c r="V3046" s="2" t="inlineStr"/>
    </row>
    <row r="3047" ht="15" customHeight="1">
      <c r="A3047" t="inlineStr">
        <is>
          <t>A 6155-2023</t>
        </is>
      </c>
      <c r="B3047" t="inlineStr">
        <is>
          <t>avverkningsanmälan</t>
        </is>
      </c>
      <c r="C3047" t="inlineStr">
        <is>
          <t>Föryngringsavverkning</t>
        </is>
      </c>
      <c r="D3047" s="1" t="n">
        <v>44964</v>
      </c>
      <c r="E3047" s="1" t="n">
        <v>46309</v>
      </c>
      <c r="F3047" t="inlineStr">
        <is>
          <t>UPPSALA LÄN</t>
        </is>
      </c>
      <c r="G3047" t="inlineStr">
        <is>
          <t>UPPSALA</t>
        </is>
      </c>
      <c r="I3047" t="n">
        <v>0.5</v>
      </c>
      <c r="J3047" t="n">
        <v>0</v>
      </c>
      <c r="K3047" t="n">
        <v>0</v>
      </c>
      <c r="L3047" t="n">
        <v>0</v>
      </c>
      <c r="M3047" t="n">
        <v>0</v>
      </c>
      <c r="N3047" t="n">
        <v>0</v>
      </c>
      <c r="O3047" t="n">
        <v>0</v>
      </c>
      <c r="P3047" t="n">
        <v>0</v>
      </c>
      <c r="Q3047" t="n">
        <v>0</v>
      </c>
      <c r="R3047" t="n">
        <v>0</v>
      </c>
      <c r="S3047" t="n">
        <v>0</v>
      </c>
      <c r="T3047" t="n">
        <v>0</v>
      </c>
      <c r="U3047" t="n">
        <v>0</v>
      </c>
      <c r="V3047" s="2" t="inlineStr"/>
    </row>
    <row r="3048" ht="15" customHeight="1">
      <c r="A3048" t="inlineStr">
        <is>
          <t>A 26182-2022</t>
        </is>
      </c>
      <c r="B3048" t="inlineStr">
        <is>
          <t>avverkningsanmälan</t>
        </is>
      </c>
      <c r="C3048" t="inlineStr">
        <is>
          <t>Föryngringsavverkning</t>
        </is>
      </c>
      <c r="D3048" s="1" t="n">
        <v>44735</v>
      </c>
      <c r="E3048" s="1" t="n">
        <v>46309</v>
      </c>
      <c r="F3048" t="inlineStr">
        <is>
          <t>UPPSALA LÄN</t>
        </is>
      </c>
      <c r="G3048" t="inlineStr">
        <is>
          <t>KNIVSTA</t>
        </is>
      </c>
      <c r="I3048" t="n">
        <v>3.8</v>
      </c>
      <c r="J3048" t="n">
        <v>0</v>
      </c>
      <c r="K3048" t="n">
        <v>0</v>
      </c>
      <c r="L3048" t="n">
        <v>0</v>
      </c>
      <c r="M3048" t="n">
        <v>0</v>
      </c>
      <c r="N3048" t="n">
        <v>0</v>
      </c>
      <c r="O3048" t="n">
        <v>0</v>
      </c>
      <c r="P3048" t="n">
        <v>0</v>
      </c>
      <c r="Q3048" t="n">
        <v>0</v>
      </c>
      <c r="R3048" t="n">
        <v>0</v>
      </c>
      <c r="S3048" t="n">
        <v>0</v>
      </c>
      <c r="T3048" t="n">
        <v>0</v>
      </c>
      <c r="U3048" t="n">
        <v>0</v>
      </c>
      <c r="V3048" s="2" t="inlineStr"/>
    </row>
    <row r="3049" ht="15" customHeight="1">
      <c r="A3049" t="inlineStr">
        <is>
          <t>A 45561-2023</t>
        </is>
      </c>
      <c r="B3049" t="inlineStr">
        <is>
          <t>avverkningsanmälan</t>
        </is>
      </c>
      <c r="C3049" t="inlineStr">
        <is>
          <t>Föryngringsavverkning</t>
        </is>
      </c>
      <c r="D3049" s="1" t="n">
        <v>45194</v>
      </c>
      <c r="E3049" s="1" t="n">
        <v>46309</v>
      </c>
      <c r="F3049" t="inlineStr">
        <is>
          <t>UPPSALA LÄN</t>
        </is>
      </c>
      <c r="G3049" t="inlineStr">
        <is>
          <t>ÖSTHAMMAR</t>
        </is>
      </c>
      <c r="H3049" t="inlineStr">
        <is>
          <t>Bergvik skog öst AB</t>
        </is>
      </c>
      <c r="I3049" t="n">
        <v>0.7</v>
      </c>
      <c r="J3049" t="n">
        <v>0</v>
      </c>
      <c r="K3049" t="n">
        <v>0</v>
      </c>
      <c r="L3049" t="n">
        <v>0</v>
      </c>
      <c r="M3049" t="n">
        <v>0</v>
      </c>
      <c r="N3049" t="n">
        <v>0</v>
      </c>
      <c r="O3049" t="n">
        <v>0</v>
      </c>
      <c r="P3049" t="n">
        <v>0</v>
      </c>
      <c r="Q3049" t="n">
        <v>0</v>
      </c>
      <c r="R3049" t="n">
        <v>0</v>
      </c>
      <c r="S3049" t="n">
        <v>0</v>
      </c>
      <c r="T3049" t="n">
        <v>0</v>
      </c>
      <c r="U3049" t="n">
        <v>0</v>
      </c>
      <c r="V3049" s="2" t="inlineStr"/>
    </row>
    <row r="3050" ht="15" customHeight="1">
      <c r="A3050" t="inlineStr">
        <is>
          <t>A 37413-2026</t>
        </is>
      </c>
      <c r="B3050" t="inlineStr">
        <is>
          <t>avverkningsanmälan</t>
        </is>
      </c>
      <c r="C3050" t="inlineStr">
        <is>
          <t>Föryngringsavverkning</t>
        </is>
      </c>
      <c r="D3050" s="1" t="n">
        <v>46275</v>
      </c>
      <c r="E3050" s="1" t="n">
        <v>46309</v>
      </c>
      <c r="F3050" t="inlineStr">
        <is>
          <t>UPPSALA LÄN</t>
        </is>
      </c>
      <c r="G3050" t="inlineStr">
        <is>
          <t>KNIVSTA</t>
        </is>
      </c>
      <c r="H3050" t="inlineStr">
        <is>
          <t>Holmen skog AB</t>
        </is>
      </c>
      <c r="I3050" t="n">
        <v>1.4</v>
      </c>
      <c r="J3050" t="n">
        <v>0</v>
      </c>
      <c r="K3050" t="n">
        <v>0</v>
      </c>
      <c r="L3050" t="n">
        <v>0</v>
      </c>
      <c r="M3050" t="n">
        <v>0</v>
      </c>
      <c r="N3050" t="n">
        <v>0</v>
      </c>
      <c r="O3050" t="n">
        <v>0</v>
      </c>
      <c r="P3050" t="n">
        <v>0</v>
      </c>
      <c r="Q3050" t="n">
        <v>0</v>
      </c>
      <c r="R3050" t="n">
        <v>0</v>
      </c>
      <c r="S3050" t="n">
        <v>0</v>
      </c>
      <c r="T3050" t="n">
        <v>0</v>
      </c>
      <c r="U3050" t="n">
        <v>0</v>
      </c>
      <c r="V3050" s="2" t="inlineStr"/>
    </row>
    <row r="3051" ht="15" customHeight="1">
      <c r="A3051" t="inlineStr">
        <is>
          <t>A 37437-2026</t>
        </is>
      </c>
      <c r="B3051" t="inlineStr">
        <is>
          <t>avverkningsanmälan</t>
        </is>
      </c>
      <c r="C3051" t="inlineStr">
        <is>
          <t>Föryngringsavverkning</t>
        </is>
      </c>
      <c r="D3051" s="1" t="n">
        <v>46275</v>
      </c>
      <c r="E3051" s="1" t="n">
        <v>46309</v>
      </c>
      <c r="F3051" t="inlineStr">
        <is>
          <t>UPPSALA LÄN</t>
        </is>
      </c>
      <c r="G3051" t="inlineStr">
        <is>
          <t>KNIVSTA</t>
        </is>
      </c>
      <c r="H3051" t="inlineStr">
        <is>
          <t>Holmen skog AB</t>
        </is>
      </c>
      <c r="I3051" t="n">
        <v>3.4</v>
      </c>
      <c r="J3051" t="n">
        <v>0</v>
      </c>
      <c r="K3051" t="n">
        <v>0</v>
      </c>
      <c r="L3051" t="n">
        <v>0</v>
      </c>
      <c r="M3051" t="n">
        <v>0</v>
      </c>
      <c r="N3051" t="n">
        <v>0</v>
      </c>
      <c r="O3051" t="n">
        <v>0</v>
      </c>
      <c r="P3051" t="n">
        <v>0</v>
      </c>
      <c r="Q3051" t="n">
        <v>0</v>
      </c>
      <c r="R3051" t="n">
        <v>0</v>
      </c>
      <c r="S3051" t="n">
        <v>0</v>
      </c>
      <c r="T3051" t="n">
        <v>0</v>
      </c>
      <c r="U3051" t="n">
        <v>0</v>
      </c>
      <c r="V3051" s="2" t="inlineStr"/>
    </row>
    <row r="3052" ht="15" customHeight="1">
      <c r="A3052" t="inlineStr">
        <is>
          <t>A 9497-2023</t>
        </is>
      </c>
      <c r="B3052" t="inlineStr">
        <is>
          <t>avverkningsanmälan</t>
        </is>
      </c>
      <c r="C3052" t="inlineStr">
        <is>
          <t>Föryngringsavverkning</t>
        </is>
      </c>
      <c r="D3052" s="1" t="n">
        <v>44981</v>
      </c>
      <c r="E3052" s="1" t="n">
        <v>46309</v>
      </c>
      <c r="F3052" t="inlineStr">
        <is>
          <t>UPPSALA LÄN</t>
        </is>
      </c>
      <c r="G3052" t="inlineStr">
        <is>
          <t>HEBY</t>
        </is>
      </c>
      <c r="I3052" t="n">
        <v>1.7</v>
      </c>
      <c r="J3052" t="n">
        <v>0</v>
      </c>
      <c r="K3052" t="n">
        <v>0</v>
      </c>
      <c r="L3052" t="n">
        <v>0</v>
      </c>
      <c r="M3052" t="n">
        <v>0</v>
      </c>
      <c r="N3052" t="n">
        <v>0</v>
      </c>
      <c r="O3052" t="n">
        <v>0</v>
      </c>
      <c r="P3052" t="n">
        <v>0</v>
      </c>
      <c r="Q3052" t="n">
        <v>0</v>
      </c>
      <c r="R3052" t="n">
        <v>0</v>
      </c>
      <c r="S3052" t="n">
        <v>0</v>
      </c>
      <c r="T3052" t="n">
        <v>0</v>
      </c>
      <c r="U3052" t="n">
        <v>0</v>
      </c>
      <c r="V3052" s="2" t="inlineStr"/>
    </row>
    <row r="3053" ht="15" customHeight="1">
      <c r="A3053" t="inlineStr">
        <is>
          <t>A 6009-2022</t>
        </is>
      </c>
      <c r="B3053" t="inlineStr">
        <is>
          <t>avverkningsanmälan</t>
        </is>
      </c>
      <c r="C3053" t="inlineStr">
        <is>
          <t>Föryngringsavverkning</t>
        </is>
      </c>
      <c r="D3053" s="1" t="n">
        <v>44599</v>
      </c>
      <c r="E3053" s="1" t="n">
        <v>46309</v>
      </c>
      <c r="F3053" t="inlineStr">
        <is>
          <t>UPPSALA LÄN</t>
        </is>
      </c>
      <c r="G3053" t="inlineStr">
        <is>
          <t>UPPSALA</t>
        </is>
      </c>
      <c r="I3053" t="n">
        <v>0.9</v>
      </c>
      <c r="J3053" t="n">
        <v>0</v>
      </c>
      <c r="K3053" t="n">
        <v>0</v>
      </c>
      <c r="L3053" t="n">
        <v>0</v>
      </c>
      <c r="M3053" t="n">
        <v>0</v>
      </c>
      <c r="N3053" t="n">
        <v>0</v>
      </c>
      <c r="O3053" t="n">
        <v>0</v>
      </c>
      <c r="P3053" t="n">
        <v>0</v>
      </c>
      <c r="Q3053" t="n">
        <v>0</v>
      </c>
      <c r="R3053" t="n">
        <v>0</v>
      </c>
      <c r="S3053" t="n">
        <v>0</v>
      </c>
      <c r="T3053" t="n">
        <v>0</v>
      </c>
      <c r="U3053" t="n">
        <v>0</v>
      </c>
      <c r="V3053" s="2" t="inlineStr"/>
    </row>
    <row r="3054" ht="15" customHeight="1">
      <c r="A3054" t="inlineStr">
        <is>
          <t>A 1992-2022</t>
        </is>
      </c>
      <c r="B3054" t="inlineStr">
        <is>
          <t>avverkningsanmälan</t>
        </is>
      </c>
      <c r="C3054" t="inlineStr">
        <is>
          <t>Föryngringsavverkning</t>
        </is>
      </c>
      <c r="D3054" s="1" t="n">
        <v>44575</v>
      </c>
      <c r="E3054" s="1" t="n">
        <v>46309</v>
      </c>
      <c r="F3054" t="inlineStr">
        <is>
          <t>UPPSALA LÄN</t>
        </is>
      </c>
      <c r="G3054" t="inlineStr">
        <is>
          <t>ENKÖPING</t>
        </is>
      </c>
      <c r="I3054" t="n">
        <v>2.8</v>
      </c>
      <c r="J3054" t="n">
        <v>0</v>
      </c>
      <c r="K3054" t="n">
        <v>0</v>
      </c>
      <c r="L3054" t="n">
        <v>0</v>
      </c>
      <c r="M3054" t="n">
        <v>0</v>
      </c>
      <c r="N3054" t="n">
        <v>0</v>
      </c>
      <c r="O3054" t="n">
        <v>0</v>
      </c>
      <c r="P3054" t="n">
        <v>0</v>
      </c>
      <c r="Q3054" t="n">
        <v>0</v>
      </c>
      <c r="R3054" t="n">
        <v>0</v>
      </c>
      <c r="S3054" t="n">
        <v>0</v>
      </c>
      <c r="T3054" t="n">
        <v>0</v>
      </c>
      <c r="U3054" t="n">
        <v>0</v>
      </c>
      <c r="V3054" s="2" t="inlineStr"/>
    </row>
    <row r="3055" ht="15" customHeight="1">
      <c r="A3055" t="inlineStr">
        <is>
          <t>A 6626-2023</t>
        </is>
      </c>
      <c r="B3055" t="inlineStr">
        <is>
          <t>avverkningsanmälan</t>
        </is>
      </c>
      <c r="C3055" t="inlineStr">
        <is>
          <t>Föryngringsavverkning</t>
        </is>
      </c>
      <c r="D3055" s="1" t="n">
        <v>44966</v>
      </c>
      <c r="E3055" s="1" t="n">
        <v>46309</v>
      </c>
      <c r="F3055" t="inlineStr">
        <is>
          <t>UPPSALA LÄN</t>
        </is>
      </c>
      <c r="G3055" t="inlineStr">
        <is>
          <t>ENKÖPING</t>
        </is>
      </c>
      <c r="I3055" t="n">
        <v>0.5</v>
      </c>
      <c r="J3055" t="n">
        <v>0</v>
      </c>
      <c r="K3055" t="n">
        <v>0</v>
      </c>
      <c r="L3055" t="n">
        <v>0</v>
      </c>
      <c r="M3055" t="n">
        <v>0</v>
      </c>
      <c r="N3055" t="n">
        <v>0</v>
      </c>
      <c r="O3055" t="n">
        <v>0</v>
      </c>
      <c r="P3055" t="n">
        <v>0</v>
      </c>
      <c r="Q3055" t="n">
        <v>0</v>
      </c>
      <c r="R3055" t="n">
        <v>0</v>
      </c>
      <c r="S3055" t="n">
        <v>0</v>
      </c>
      <c r="T3055" t="n">
        <v>0</v>
      </c>
      <c r="U3055" t="n">
        <v>0</v>
      </c>
      <c r="V3055" s="2" t="inlineStr"/>
    </row>
    <row r="3056" ht="15" customHeight="1">
      <c r="A3056" t="inlineStr">
        <is>
          <t>A 37521-2026</t>
        </is>
      </c>
      <c r="B3056" t="inlineStr">
        <is>
          <t>avverkningsanmälan</t>
        </is>
      </c>
      <c r="C3056" t="inlineStr">
        <is>
          <t>Föryngringsavverkning</t>
        </is>
      </c>
      <c r="D3056" s="1" t="n">
        <v>46276</v>
      </c>
      <c r="E3056" s="1" t="n">
        <v>46309</v>
      </c>
      <c r="F3056" t="inlineStr">
        <is>
          <t>UPPSALA LÄN</t>
        </is>
      </c>
      <c r="G3056" t="inlineStr">
        <is>
          <t>ÖSTHAMMAR</t>
        </is>
      </c>
      <c r="H3056" t="inlineStr">
        <is>
          <t>Bergvik skog öst AB</t>
        </is>
      </c>
      <c r="I3056" t="n">
        <v>3.2</v>
      </c>
      <c r="J3056" t="n">
        <v>0</v>
      </c>
      <c r="K3056" t="n">
        <v>0</v>
      </c>
      <c r="L3056" t="n">
        <v>0</v>
      </c>
      <c r="M3056" t="n">
        <v>0</v>
      </c>
      <c r="N3056" t="n">
        <v>0</v>
      </c>
      <c r="O3056" t="n">
        <v>0</v>
      </c>
      <c r="P3056" t="n">
        <v>0</v>
      </c>
      <c r="Q3056" t="n">
        <v>0</v>
      </c>
      <c r="R3056" t="n">
        <v>0</v>
      </c>
      <c r="S3056" t="n">
        <v>0</v>
      </c>
      <c r="T3056" t="n">
        <v>0</v>
      </c>
      <c r="U3056" t="n">
        <v>0</v>
      </c>
      <c r="V3056" s="2" t="inlineStr"/>
    </row>
    <row r="3057" ht="15" customHeight="1">
      <c r="A3057" t="inlineStr">
        <is>
          <t>A 37343-2026</t>
        </is>
      </c>
      <c r="B3057" t="inlineStr">
        <is>
          <t>avverkningsanmälan</t>
        </is>
      </c>
      <c r="C3057" t="inlineStr">
        <is>
          <t>Föryngringsavverkning</t>
        </is>
      </c>
      <c r="D3057" s="1" t="n">
        <v>46275</v>
      </c>
      <c r="E3057" s="1" t="n">
        <v>46309</v>
      </c>
      <c r="F3057" t="inlineStr">
        <is>
          <t>UPPSALA LÄN</t>
        </is>
      </c>
      <c r="G3057" t="inlineStr">
        <is>
          <t>TIERP</t>
        </is>
      </c>
      <c r="I3057" t="n">
        <v>2.1</v>
      </c>
      <c r="J3057" t="n">
        <v>0</v>
      </c>
      <c r="K3057" t="n">
        <v>0</v>
      </c>
      <c r="L3057" t="n">
        <v>0</v>
      </c>
      <c r="M3057" t="n">
        <v>0</v>
      </c>
      <c r="N3057" t="n">
        <v>0</v>
      </c>
      <c r="O3057" t="n">
        <v>0</v>
      </c>
      <c r="P3057" t="n">
        <v>0</v>
      </c>
      <c r="Q3057" t="n">
        <v>0</v>
      </c>
      <c r="R3057" t="n">
        <v>0</v>
      </c>
      <c r="S3057" t="n">
        <v>0</v>
      </c>
      <c r="T3057" t="n">
        <v>0</v>
      </c>
      <c r="U3057" t="n">
        <v>0</v>
      </c>
      <c r="V3057" s="2" t="inlineStr"/>
    </row>
    <row r="3058" ht="15" customHeight="1">
      <c r="A3058" t="inlineStr">
        <is>
          <t>A 48843-2023</t>
        </is>
      </c>
      <c r="B3058" t="inlineStr">
        <is>
          <t>avverkningsanmälan</t>
        </is>
      </c>
      <c r="C3058" t="inlineStr">
        <is>
          <t>Föryngringsavverkning</t>
        </is>
      </c>
      <c r="D3058" s="1" t="n">
        <v>45209</v>
      </c>
      <c r="E3058" s="1" t="n">
        <v>46309</v>
      </c>
      <c r="F3058" t="inlineStr">
        <is>
          <t>UPPSALA LÄN</t>
        </is>
      </c>
      <c r="G3058" t="inlineStr">
        <is>
          <t>ENKÖPING</t>
        </is>
      </c>
      <c r="I3058" t="n">
        <v>1.3</v>
      </c>
      <c r="J3058" t="n">
        <v>0</v>
      </c>
      <c r="K3058" t="n">
        <v>0</v>
      </c>
      <c r="L3058" t="n">
        <v>0</v>
      </c>
      <c r="M3058" t="n">
        <v>0</v>
      </c>
      <c r="N3058" t="n">
        <v>0</v>
      </c>
      <c r="O3058" t="n">
        <v>0</v>
      </c>
      <c r="P3058" t="n">
        <v>0</v>
      </c>
      <c r="Q3058" t="n">
        <v>0</v>
      </c>
      <c r="R3058" t="n">
        <v>0</v>
      </c>
      <c r="S3058" t="n">
        <v>0</v>
      </c>
      <c r="T3058" t="n">
        <v>0</v>
      </c>
      <c r="U3058" t="n">
        <v>0</v>
      </c>
      <c r="V3058" s="2" t="inlineStr"/>
    </row>
    <row r="3059" ht="15" customHeight="1">
      <c r="A3059" t="inlineStr">
        <is>
          <t>A 12606-2023</t>
        </is>
      </c>
      <c r="B3059" t="inlineStr">
        <is>
          <t>avverkningsanmälan</t>
        </is>
      </c>
      <c r="C3059" t="inlineStr">
        <is>
          <t>Föryngringsavverkning</t>
        </is>
      </c>
      <c r="D3059" s="1" t="n">
        <v>45000</v>
      </c>
      <c r="E3059" s="1" t="n">
        <v>46309</v>
      </c>
      <c r="F3059" t="inlineStr">
        <is>
          <t>UPPSALA LÄN</t>
        </is>
      </c>
      <c r="G3059" t="inlineStr">
        <is>
          <t>UPPSALA</t>
        </is>
      </c>
      <c r="I3059" t="n">
        <v>0.5</v>
      </c>
      <c r="J3059" t="n">
        <v>0</v>
      </c>
      <c r="K3059" t="n">
        <v>0</v>
      </c>
      <c r="L3059" t="n">
        <v>0</v>
      </c>
      <c r="M3059" t="n">
        <v>0</v>
      </c>
      <c r="N3059" t="n">
        <v>0</v>
      </c>
      <c r="O3059" t="n">
        <v>0</v>
      </c>
      <c r="P3059" t="n">
        <v>0</v>
      </c>
      <c r="Q3059" t="n">
        <v>0</v>
      </c>
      <c r="R3059" t="n">
        <v>0</v>
      </c>
      <c r="S3059" t="n">
        <v>0</v>
      </c>
      <c r="T3059" t="n">
        <v>0</v>
      </c>
      <c r="U3059" t="n">
        <v>0</v>
      </c>
      <c r="V3059" s="2" t="inlineStr"/>
    </row>
    <row r="3060" ht="15" customHeight="1">
      <c r="A3060" t="inlineStr">
        <is>
          <t>A 60788-2022</t>
        </is>
      </c>
      <c r="B3060" t="inlineStr">
        <is>
          <t>avverkningsanmälan</t>
        </is>
      </c>
      <c r="C3060" t="inlineStr">
        <is>
          <t>Föryngringsavverkning</t>
        </is>
      </c>
      <c r="D3060" s="1" t="n">
        <v>44914</v>
      </c>
      <c r="E3060" s="1" t="n">
        <v>46309</v>
      </c>
      <c r="F3060" t="inlineStr">
        <is>
          <t>UPPSALA LÄN</t>
        </is>
      </c>
      <c r="G3060" t="inlineStr">
        <is>
          <t>HEBY</t>
        </is>
      </c>
      <c r="I3060" t="n">
        <v>1.2</v>
      </c>
      <c r="J3060" t="n">
        <v>0</v>
      </c>
      <c r="K3060" t="n">
        <v>0</v>
      </c>
      <c r="L3060" t="n">
        <v>0</v>
      </c>
      <c r="M3060" t="n">
        <v>0</v>
      </c>
      <c r="N3060" t="n">
        <v>0</v>
      </c>
      <c r="O3060" t="n">
        <v>0</v>
      </c>
      <c r="P3060" t="n">
        <v>0</v>
      </c>
      <c r="Q3060" t="n">
        <v>0</v>
      </c>
      <c r="R3060" t="n">
        <v>0</v>
      </c>
      <c r="S3060" t="n">
        <v>0</v>
      </c>
      <c r="T3060" t="n">
        <v>0</v>
      </c>
      <c r="U3060" t="n">
        <v>0</v>
      </c>
      <c r="V3060" s="2" t="inlineStr"/>
    </row>
    <row r="3061" ht="15" customHeight="1">
      <c r="A3061" t="inlineStr">
        <is>
          <t>A 2301-2024</t>
        </is>
      </c>
      <c r="B3061" t="inlineStr">
        <is>
          <t>avverkningsanmälan</t>
        </is>
      </c>
      <c r="C3061" t="inlineStr">
        <is>
          <t>Föryngringsavverkning</t>
        </is>
      </c>
      <c r="D3061" s="1" t="n">
        <v>45310</v>
      </c>
      <c r="E3061" s="1" t="n">
        <v>46309</v>
      </c>
      <c r="F3061" t="inlineStr">
        <is>
          <t>UPPSALA LÄN</t>
        </is>
      </c>
      <c r="G3061" t="inlineStr">
        <is>
          <t>TIERP</t>
        </is>
      </c>
      <c r="I3061" t="n">
        <v>0.4</v>
      </c>
      <c r="J3061" t="n">
        <v>0</v>
      </c>
      <c r="K3061" t="n">
        <v>0</v>
      </c>
      <c r="L3061" t="n">
        <v>0</v>
      </c>
      <c r="M3061" t="n">
        <v>0</v>
      </c>
      <c r="N3061" t="n">
        <v>0</v>
      </c>
      <c r="O3061" t="n">
        <v>0</v>
      </c>
      <c r="P3061" t="n">
        <v>0</v>
      </c>
      <c r="Q3061" t="n">
        <v>0</v>
      </c>
      <c r="R3061" t="n">
        <v>0</v>
      </c>
      <c r="S3061" t="n">
        <v>0</v>
      </c>
      <c r="T3061" t="n">
        <v>0</v>
      </c>
      <c r="U3061" t="n">
        <v>0</v>
      </c>
      <c r="V3061" s="2" t="inlineStr"/>
    </row>
    <row r="3062" ht="15" customHeight="1">
      <c r="A3062" t="inlineStr">
        <is>
          <t>A 37652-2026</t>
        </is>
      </c>
      <c r="B3062" t="inlineStr">
        <is>
          <t>avverkningsanmälan</t>
        </is>
      </c>
      <c r="C3062" t="inlineStr">
        <is>
          <t>Föryngringsavverkning</t>
        </is>
      </c>
      <c r="D3062" s="1" t="n">
        <v>46276</v>
      </c>
      <c r="E3062" s="1" t="n">
        <v>46309</v>
      </c>
      <c r="F3062" t="inlineStr">
        <is>
          <t>UPPSALA LÄN</t>
        </is>
      </c>
      <c r="G3062" t="inlineStr">
        <is>
          <t>UPPSALA</t>
        </is>
      </c>
      <c r="H3062" t="inlineStr">
        <is>
          <t>Bergvik skog öst AB</t>
        </is>
      </c>
      <c r="I3062" t="n">
        <v>1.8</v>
      </c>
      <c r="J3062" t="n">
        <v>0</v>
      </c>
      <c r="K3062" t="n">
        <v>0</v>
      </c>
      <c r="L3062" t="n">
        <v>0</v>
      </c>
      <c r="M3062" t="n">
        <v>0</v>
      </c>
      <c r="N3062" t="n">
        <v>0</v>
      </c>
      <c r="O3062" t="n">
        <v>0</v>
      </c>
      <c r="P3062" t="n">
        <v>0</v>
      </c>
      <c r="Q3062" t="n">
        <v>0</v>
      </c>
      <c r="R3062" t="n">
        <v>0</v>
      </c>
      <c r="S3062" t="n">
        <v>0</v>
      </c>
      <c r="T3062" t="n">
        <v>0</v>
      </c>
      <c r="U3062" t="n">
        <v>0</v>
      </c>
      <c r="V3062" s="2" t="inlineStr"/>
    </row>
    <row r="3063" ht="15" customHeight="1">
      <c r="A3063" t="inlineStr">
        <is>
          <t>A 37654-2026</t>
        </is>
      </c>
      <c r="B3063" t="inlineStr">
        <is>
          <t>avverkningsanmälan</t>
        </is>
      </c>
      <c r="C3063" t="inlineStr">
        <is>
          <t>Föryngringsavverkning</t>
        </is>
      </c>
      <c r="D3063" s="1" t="n">
        <v>46276</v>
      </c>
      <c r="E3063" s="1" t="n">
        <v>46309</v>
      </c>
      <c r="F3063" t="inlineStr">
        <is>
          <t>UPPSALA LÄN</t>
        </is>
      </c>
      <c r="G3063" t="inlineStr">
        <is>
          <t>UPPSALA</t>
        </is>
      </c>
      <c r="H3063" t="inlineStr">
        <is>
          <t>Bergvik skog öst AB</t>
        </is>
      </c>
      <c r="I3063" t="n">
        <v>1.1</v>
      </c>
      <c r="J3063" t="n">
        <v>0</v>
      </c>
      <c r="K3063" t="n">
        <v>0</v>
      </c>
      <c r="L3063" t="n">
        <v>0</v>
      </c>
      <c r="M3063" t="n">
        <v>0</v>
      </c>
      <c r="N3063" t="n">
        <v>0</v>
      </c>
      <c r="O3063" t="n">
        <v>0</v>
      </c>
      <c r="P3063" t="n">
        <v>0</v>
      </c>
      <c r="Q3063" t="n">
        <v>0</v>
      </c>
      <c r="R3063" t="n">
        <v>0</v>
      </c>
      <c r="S3063" t="n">
        <v>0</v>
      </c>
      <c r="T3063" t="n">
        <v>0</v>
      </c>
      <c r="U3063" t="n">
        <v>0</v>
      </c>
      <c r="V3063" s="2" t="inlineStr"/>
    </row>
    <row r="3064" ht="15" customHeight="1">
      <c r="A3064" t="inlineStr">
        <is>
          <t>A 57940-2022</t>
        </is>
      </c>
      <c r="B3064" t="inlineStr">
        <is>
          <t>avverkningsanmälan</t>
        </is>
      </c>
      <c r="C3064" t="inlineStr">
        <is>
          <t>Föryngringsavverkning</t>
        </is>
      </c>
      <c r="D3064" s="1" t="n">
        <v>44900</v>
      </c>
      <c r="E3064" s="1" t="n">
        <v>46309</v>
      </c>
      <c r="F3064" t="inlineStr">
        <is>
          <t>UPPSALA LÄN</t>
        </is>
      </c>
      <c r="G3064" t="inlineStr">
        <is>
          <t>ENKÖPING</t>
        </is>
      </c>
      <c r="I3064" t="n">
        <v>1.9</v>
      </c>
      <c r="J3064" t="n">
        <v>0</v>
      </c>
      <c r="K3064" t="n">
        <v>0</v>
      </c>
      <c r="L3064" t="n">
        <v>0</v>
      </c>
      <c r="M3064" t="n">
        <v>0</v>
      </c>
      <c r="N3064" t="n">
        <v>0</v>
      </c>
      <c r="O3064" t="n">
        <v>0</v>
      </c>
      <c r="P3064" t="n">
        <v>0</v>
      </c>
      <c r="Q3064" t="n">
        <v>0</v>
      </c>
      <c r="R3064" t="n">
        <v>0</v>
      </c>
      <c r="S3064" t="n">
        <v>0</v>
      </c>
      <c r="T3064" t="n">
        <v>0</v>
      </c>
      <c r="U3064" t="n">
        <v>0</v>
      </c>
      <c r="V3064" s="2" t="inlineStr"/>
    </row>
    <row r="3065" ht="15" customHeight="1">
      <c r="A3065" t="inlineStr">
        <is>
          <t>A 43439-2024</t>
        </is>
      </c>
      <c r="B3065" t="inlineStr">
        <is>
          <t>avverkningsanmälan</t>
        </is>
      </c>
      <c r="C3065" t="inlineStr">
        <is>
          <t>Föryngringsavverkning</t>
        </is>
      </c>
      <c r="D3065" s="1" t="n">
        <v>45568</v>
      </c>
      <c r="E3065" s="1" t="n">
        <v>46309</v>
      </c>
      <c r="F3065" t="inlineStr">
        <is>
          <t>UPPSALA LÄN</t>
        </is>
      </c>
      <c r="G3065" t="inlineStr">
        <is>
          <t>ÖSTHAMMAR</t>
        </is>
      </c>
      <c r="I3065" t="n">
        <v>1</v>
      </c>
      <c r="J3065" t="n">
        <v>0</v>
      </c>
      <c r="K3065" t="n">
        <v>0</v>
      </c>
      <c r="L3065" t="n">
        <v>0</v>
      </c>
      <c r="M3065" t="n">
        <v>0</v>
      </c>
      <c r="N3065" t="n">
        <v>0</v>
      </c>
      <c r="O3065" t="n">
        <v>0</v>
      </c>
      <c r="P3065" t="n">
        <v>0</v>
      </c>
      <c r="Q3065" t="n">
        <v>0</v>
      </c>
      <c r="R3065" t="n">
        <v>0</v>
      </c>
      <c r="S3065" t="n">
        <v>0</v>
      </c>
      <c r="T3065" t="n">
        <v>0</v>
      </c>
      <c r="U3065" t="n">
        <v>0</v>
      </c>
      <c r="V3065" s="2" t="inlineStr"/>
    </row>
    <row r="3066" ht="15" customHeight="1">
      <c r="A3066" t="inlineStr">
        <is>
          <t>A 37374-2026</t>
        </is>
      </c>
      <c r="B3066" t="inlineStr">
        <is>
          <t>avverkningsanmälan</t>
        </is>
      </c>
      <c r="C3066" t="inlineStr">
        <is>
          <t>Föryngringsavverkning</t>
        </is>
      </c>
      <c r="D3066" s="1" t="n">
        <v>46275</v>
      </c>
      <c r="E3066" s="1" t="n">
        <v>46309</v>
      </c>
      <c r="F3066" t="inlineStr">
        <is>
          <t>UPPSALA LÄN</t>
        </is>
      </c>
      <c r="G3066" t="inlineStr">
        <is>
          <t>UPPSALA</t>
        </is>
      </c>
      <c r="H3066" t="inlineStr">
        <is>
          <t>Bergvik skog öst AB</t>
        </is>
      </c>
      <c r="I3066" t="n">
        <v>2.4</v>
      </c>
      <c r="J3066" t="n">
        <v>0</v>
      </c>
      <c r="K3066" t="n">
        <v>0</v>
      </c>
      <c r="L3066" t="n">
        <v>0</v>
      </c>
      <c r="M3066" t="n">
        <v>0</v>
      </c>
      <c r="N3066" t="n">
        <v>0</v>
      </c>
      <c r="O3066" t="n">
        <v>0</v>
      </c>
      <c r="P3066" t="n">
        <v>0</v>
      </c>
      <c r="Q3066" t="n">
        <v>0</v>
      </c>
      <c r="R3066" t="n">
        <v>0</v>
      </c>
      <c r="S3066" t="n">
        <v>0</v>
      </c>
      <c r="T3066" t="n">
        <v>0</v>
      </c>
      <c r="U3066" t="n">
        <v>0</v>
      </c>
      <c r="V3066" s="2" t="inlineStr"/>
    </row>
    <row r="3067" ht="15" customHeight="1">
      <c r="A3067" t="inlineStr">
        <is>
          <t>A 18410-2025</t>
        </is>
      </c>
      <c r="B3067" t="inlineStr">
        <is>
          <t>avverkningsanmälan</t>
        </is>
      </c>
      <c r="C3067" t="inlineStr">
        <is>
          <t>Föryngringsavverkning</t>
        </is>
      </c>
      <c r="D3067" s="1" t="n">
        <v>45762</v>
      </c>
      <c r="E3067" s="1" t="n">
        <v>46309</v>
      </c>
      <c r="F3067" t="inlineStr">
        <is>
          <t>UPPSALA LÄN</t>
        </is>
      </c>
      <c r="G3067" t="inlineStr">
        <is>
          <t>UPPSALA</t>
        </is>
      </c>
      <c r="I3067" t="n">
        <v>0.9</v>
      </c>
      <c r="J3067" t="n">
        <v>0</v>
      </c>
      <c r="K3067" t="n">
        <v>0</v>
      </c>
      <c r="L3067" t="n">
        <v>0</v>
      </c>
      <c r="M3067" t="n">
        <v>0</v>
      </c>
      <c r="N3067" t="n">
        <v>0</v>
      </c>
      <c r="O3067" t="n">
        <v>0</v>
      </c>
      <c r="P3067" t="n">
        <v>0</v>
      </c>
      <c r="Q3067" t="n">
        <v>0</v>
      </c>
      <c r="R3067" t="n">
        <v>0</v>
      </c>
      <c r="S3067" t="n">
        <v>0</v>
      </c>
      <c r="T3067" t="n">
        <v>0</v>
      </c>
      <c r="U3067" t="n">
        <v>0</v>
      </c>
      <c r="V3067" s="2" t="inlineStr"/>
    </row>
    <row r="3068" ht="15" customHeight="1">
      <c r="A3068" t="inlineStr">
        <is>
          <t>A 35079-2024</t>
        </is>
      </c>
      <c r="B3068" t="inlineStr">
        <is>
          <t>avverkningsanmälan</t>
        </is>
      </c>
      <c r="C3068" t="inlineStr">
        <is>
          <t>Föryngringsavverkning</t>
        </is>
      </c>
      <c r="D3068" s="1" t="n">
        <v>45527</v>
      </c>
      <c r="E3068" s="1" t="n">
        <v>46309</v>
      </c>
      <c r="F3068" t="inlineStr">
        <is>
          <t>UPPSALA LÄN</t>
        </is>
      </c>
      <c r="G3068" t="inlineStr">
        <is>
          <t>ENKÖPING</t>
        </is>
      </c>
      <c r="I3068" t="n">
        <v>0.5</v>
      </c>
      <c r="J3068" t="n">
        <v>0</v>
      </c>
      <c r="K3068" t="n">
        <v>0</v>
      </c>
      <c r="L3068" t="n">
        <v>0</v>
      </c>
      <c r="M3068" t="n">
        <v>0</v>
      </c>
      <c r="N3068" t="n">
        <v>0</v>
      </c>
      <c r="O3068" t="n">
        <v>0</v>
      </c>
      <c r="P3068" t="n">
        <v>0</v>
      </c>
      <c r="Q3068" t="n">
        <v>0</v>
      </c>
      <c r="R3068" t="n">
        <v>0</v>
      </c>
      <c r="S3068" t="n">
        <v>0</v>
      </c>
      <c r="T3068" t="n">
        <v>0</v>
      </c>
      <c r="U3068" t="n">
        <v>0</v>
      </c>
      <c r="V3068" s="2" t="inlineStr"/>
    </row>
    <row r="3069" ht="15" customHeight="1">
      <c r="A3069" t="inlineStr">
        <is>
          <t>A 11835-2024</t>
        </is>
      </c>
      <c r="B3069" t="inlineStr">
        <is>
          <t>avverkningsanmälan</t>
        </is>
      </c>
      <c r="C3069" t="inlineStr">
        <is>
          <t>Föryngringsavverkning</t>
        </is>
      </c>
      <c r="D3069" s="1" t="n">
        <v>45376</v>
      </c>
      <c r="E3069" s="1" t="n">
        <v>46309</v>
      </c>
      <c r="F3069" t="inlineStr">
        <is>
          <t>UPPSALA LÄN</t>
        </is>
      </c>
      <c r="G3069" t="inlineStr">
        <is>
          <t>HEBY</t>
        </is>
      </c>
      <c r="I3069" t="n">
        <v>2.9</v>
      </c>
      <c r="J3069" t="n">
        <v>0</v>
      </c>
      <c r="K3069" t="n">
        <v>0</v>
      </c>
      <c r="L3069" t="n">
        <v>0</v>
      </c>
      <c r="M3069" t="n">
        <v>0</v>
      </c>
      <c r="N3069" t="n">
        <v>0</v>
      </c>
      <c r="O3069" t="n">
        <v>0</v>
      </c>
      <c r="P3069" t="n">
        <v>0</v>
      </c>
      <c r="Q3069" t="n">
        <v>0</v>
      </c>
      <c r="R3069" t="n">
        <v>0</v>
      </c>
      <c r="S3069" t="n">
        <v>0</v>
      </c>
      <c r="T3069" t="n">
        <v>0</v>
      </c>
      <c r="U3069" t="n">
        <v>0</v>
      </c>
      <c r="V3069" s="2" t="inlineStr"/>
    </row>
    <row r="3070" ht="15" customHeight="1">
      <c r="A3070" t="inlineStr">
        <is>
          <t>A 8774-2023</t>
        </is>
      </c>
      <c r="B3070" t="inlineStr">
        <is>
          <t>avverkningsanmälan</t>
        </is>
      </c>
      <c r="C3070" t="inlineStr">
        <is>
          <t>Föryngringsavverkning</t>
        </is>
      </c>
      <c r="D3070" s="1" t="n">
        <v>44978</v>
      </c>
      <c r="E3070" s="1" t="n">
        <v>46309</v>
      </c>
      <c r="F3070" t="inlineStr">
        <is>
          <t>UPPSALA LÄN</t>
        </is>
      </c>
      <c r="G3070" t="inlineStr">
        <is>
          <t>TIERP</t>
        </is>
      </c>
      <c r="I3070" t="n">
        <v>0.9</v>
      </c>
      <c r="J3070" t="n">
        <v>0</v>
      </c>
      <c r="K3070" t="n">
        <v>0</v>
      </c>
      <c r="L3070" t="n">
        <v>0</v>
      </c>
      <c r="M3070" t="n">
        <v>0</v>
      </c>
      <c r="N3070" t="n">
        <v>0</v>
      </c>
      <c r="O3070" t="n">
        <v>0</v>
      </c>
      <c r="P3070" t="n">
        <v>0</v>
      </c>
      <c r="Q3070" t="n">
        <v>0</v>
      </c>
      <c r="R3070" t="n">
        <v>0</v>
      </c>
      <c r="S3070" t="n">
        <v>0</v>
      </c>
      <c r="T3070" t="n">
        <v>0</v>
      </c>
      <c r="U3070" t="n">
        <v>0</v>
      </c>
      <c r="V3070" s="2" t="inlineStr"/>
    </row>
    <row r="3071" ht="15" customHeight="1">
      <c r="A3071" t="inlineStr">
        <is>
          <t>A 53595-2023</t>
        </is>
      </c>
      <c r="B3071" t="inlineStr">
        <is>
          <t>avverkningsanmälan</t>
        </is>
      </c>
      <c r="C3071" t="inlineStr">
        <is>
          <t>Föryngringsavverkning</t>
        </is>
      </c>
      <c r="D3071" s="1" t="n">
        <v>45223</v>
      </c>
      <c r="E3071" s="1" t="n">
        <v>46309</v>
      </c>
      <c r="F3071" t="inlineStr">
        <is>
          <t>UPPSALA LÄN</t>
        </is>
      </c>
      <c r="G3071" t="inlineStr">
        <is>
          <t>ENKÖPING</t>
        </is>
      </c>
      <c r="I3071" t="n">
        <v>2.6</v>
      </c>
      <c r="J3071" t="n">
        <v>0</v>
      </c>
      <c r="K3071" t="n">
        <v>0</v>
      </c>
      <c r="L3071" t="n">
        <v>0</v>
      </c>
      <c r="M3071" t="n">
        <v>0</v>
      </c>
      <c r="N3071" t="n">
        <v>0</v>
      </c>
      <c r="O3071" t="n">
        <v>0</v>
      </c>
      <c r="P3071" t="n">
        <v>0</v>
      </c>
      <c r="Q3071" t="n">
        <v>0</v>
      </c>
      <c r="R3071" t="n">
        <v>0</v>
      </c>
      <c r="S3071" t="n">
        <v>0</v>
      </c>
      <c r="T3071" t="n">
        <v>0</v>
      </c>
      <c r="U3071" t="n">
        <v>0</v>
      </c>
      <c r="V3071" s="2" t="inlineStr"/>
    </row>
    <row r="3072" ht="15" customHeight="1">
      <c r="A3072" t="inlineStr">
        <is>
          <t>A 37409-2026</t>
        </is>
      </c>
      <c r="B3072" t="inlineStr">
        <is>
          <t>avverkningsanmälan</t>
        </is>
      </c>
      <c r="C3072" t="inlineStr">
        <is>
          <t>Föryngringsavverkning</t>
        </is>
      </c>
      <c r="D3072" s="1" t="n">
        <v>46275</v>
      </c>
      <c r="E3072" s="1" t="n">
        <v>46309</v>
      </c>
      <c r="F3072" t="inlineStr">
        <is>
          <t>UPPSALA LÄN</t>
        </is>
      </c>
      <c r="G3072" t="inlineStr">
        <is>
          <t>ENKÖPING</t>
        </is>
      </c>
      <c r="I3072" t="n">
        <v>0.6</v>
      </c>
      <c r="J3072" t="n">
        <v>0</v>
      </c>
      <c r="K3072" t="n">
        <v>0</v>
      </c>
      <c r="L3072" t="n">
        <v>0</v>
      </c>
      <c r="M3072" t="n">
        <v>0</v>
      </c>
      <c r="N3072" t="n">
        <v>0</v>
      </c>
      <c r="O3072" t="n">
        <v>0</v>
      </c>
      <c r="P3072" t="n">
        <v>0</v>
      </c>
      <c r="Q3072" t="n">
        <v>0</v>
      </c>
      <c r="R3072" t="n">
        <v>0</v>
      </c>
      <c r="S3072" t="n">
        <v>0</v>
      </c>
      <c r="T3072" t="n">
        <v>0</v>
      </c>
      <c r="U3072" t="n">
        <v>0</v>
      </c>
      <c r="V3072" s="2" t="inlineStr"/>
    </row>
    <row r="3073" ht="15" customHeight="1">
      <c r="A3073" t="inlineStr">
        <is>
          <t>A 37518-2026</t>
        </is>
      </c>
      <c r="B3073" t="inlineStr">
        <is>
          <t>avverkningsanmälan</t>
        </is>
      </c>
      <c r="C3073" t="inlineStr">
        <is>
          <t>Föryngringsavverkning</t>
        </is>
      </c>
      <c r="D3073" s="1" t="n">
        <v>46276</v>
      </c>
      <c r="E3073" s="1" t="n">
        <v>46309</v>
      </c>
      <c r="F3073" t="inlineStr">
        <is>
          <t>UPPSALA LÄN</t>
        </is>
      </c>
      <c r="G3073" t="inlineStr">
        <is>
          <t>ÖSTHAMMAR</t>
        </is>
      </c>
      <c r="H3073" t="inlineStr">
        <is>
          <t>Bergvik skog öst AB</t>
        </is>
      </c>
      <c r="I3073" t="n">
        <v>9.699999999999999</v>
      </c>
      <c r="J3073" t="n">
        <v>0</v>
      </c>
      <c r="K3073" t="n">
        <v>0</v>
      </c>
      <c r="L3073" t="n">
        <v>0</v>
      </c>
      <c r="M3073" t="n">
        <v>0</v>
      </c>
      <c r="N3073" t="n">
        <v>0</v>
      </c>
      <c r="O3073" t="n">
        <v>0</v>
      </c>
      <c r="P3073" t="n">
        <v>0</v>
      </c>
      <c r="Q3073" t="n">
        <v>0</v>
      </c>
      <c r="R3073" t="n">
        <v>0</v>
      </c>
      <c r="S3073" t="n">
        <v>0</v>
      </c>
      <c r="T3073" t="n">
        <v>0</v>
      </c>
      <c r="U3073" t="n">
        <v>0</v>
      </c>
      <c r="V3073" s="2" t="inlineStr"/>
    </row>
    <row r="3074" ht="15" customHeight="1">
      <c r="A3074" t="inlineStr">
        <is>
          <t>A 59880-2022</t>
        </is>
      </c>
      <c r="B3074" t="inlineStr">
        <is>
          <t>avverkningsanmälan</t>
        </is>
      </c>
      <c r="C3074" t="inlineStr">
        <is>
          <t>Föryngringsavverkning</t>
        </is>
      </c>
      <c r="D3074" s="1" t="n">
        <v>44908</v>
      </c>
      <c r="E3074" s="1" t="n">
        <v>46309</v>
      </c>
      <c r="F3074" t="inlineStr">
        <is>
          <t>UPPSALA LÄN</t>
        </is>
      </c>
      <c r="G3074" t="inlineStr">
        <is>
          <t>ÖSTHAMMAR</t>
        </is>
      </c>
      <c r="I3074" t="n">
        <v>1.4</v>
      </c>
      <c r="J3074" t="n">
        <v>0</v>
      </c>
      <c r="K3074" t="n">
        <v>0</v>
      </c>
      <c r="L3074" t="n">
        <v>0</v>
      </c>
      <c r="M3074" t="n">
        <v>0</v>
      </c>
      <c r="N3074" t="n">
        <v>0</v>
      </c>
      <c r="O3074" t="n">
        <v>0</v>
      </c>
      <c r="P3074" t="n">
        <v>0</v>
      </c>
      <c r="Q3074" t="n">
        <v>0</v>
      </c>
      <c r="R3074" t="n">
        <v>0</v>
      </c>
      <c r="S3074" t="n">
        <v>0</v>
      </c>
      <c r="T3074" t="n">
        <v>0</v>
      </c>
      <c r="U3074" t="n">
        <v>0</v>
      </c>
      <c r="V3074" s="2" t="inlineStr"/>
    </row>
    <row r="3075" ht="15" customHeight="1">
      <c r="A3075" t="inlineStr">
        <is>
          <t>A 59207-2023</t>
        </is>
      </c>
      <c r="B3075" t="inlineStr">
        <is>
          <t>avverkningsanmälan</t>
        </is>
      </c>
      <c r="C3075" t="inlineStr">
        <is>
          <t>Föryngringsavverkning</t>
        </is>
      </c>
      <c r="D3075" s="1" t="n">
        <v>45252</v>
      </c>
      <c r="E3075" s="1" t="n">
        <v>46309</v>
      </c>
      <c r="F3075" t="inlineStr">
        <is>
          <t>UPPSALA LÄN</t>
        </is>
      </c>
      <c r="G3075" t="inlineStr">
        <is>
          <t>HEBY</t>
        </is>
      </c>
      <c r="H3075" t="inlineStr">
        <is>
          <t>Bergvik skog väst AB</t>
        </is>
      </c>
      <c r="I3075" t="n">
        <v>1.4</v>
      </c>
      <c r="J3075" t="n">
        <v>0</v>
      </c>
      <c r="K3075" t="n">
        <v>0</v>
      </c>
      <c r="L3075" t="n">
        <v>0</v>
      </c>
      <c r="M3075" t="n">
        <v>0</v>
      </c>
      <c r="N3075" t="n">
        <v>0</v>
      </c>
      <c r="O3075" t="n">
        <v>0</v>
      </c>
      <c r="P3075" t="n">
        <v>0</v>
      </c>
      <c r="Q3075" t="n">
        <v>0</v>
      </c>
      <c r="R3075" t="n">
        <v>0</v>
      </c>
      <c r="S3075" t="n">
        <v>0</v>
      </c>
      <c r="T3075" t="n">
        <v>0</v>
      </c>
      <c r="U3075" t="n">
        <v>0</v>
      </c>
      <c r="V3075" s="2" t="inlineStr"/>
    </row>
    <row r="3076" ht="15" customHeight="1">
      <c r="A3076" t="inlineStr">
        <is>
          <t>A 30433-2023</t>
        </is>
      </c>
      <c r="B3076" t="inlineStr">
        <is>
          <t>avverkningsanmälan</t>
        </is>
      </c>
      <c r="C3076" t="inlineStr">
        <is>
          <t>Föryngringsavverkning</t>
        </is>
      </c>
      <c r="D3076" s="1" t="n">
        <v>45111</v>
      </c>
      <c r="E3076" s="1" t="n">
        <v>46309</v>
      </c>
      <c r="F3076" t="inlineStr">
        <is>
          <t>UPPSALA LÄN</t>
        </is>
      </c>
      <c r="G3076" t="inlineStr">
        <is>
          <t>HEBY</t>
        </is>
      </c>
      <c r="I3076" t="n">
        <v>3</v>
      </c>
      <c r="J3076" t="n">
        <v>0</v>
      </c>
      <c r="K3076" t="n">
        <v>0</v>
      </c>
      <c r="L3076" t="n">
        <v>0</v>
      </c>
      <c r="M3076" t="n">
        <v>0</v>
      </c>
      <c r="N3076" t="n">
        <v>0</v>
      </c>
      <c r="O3076" t="n">
        <v>0</v>
      </c>
      <c r="P3076" t="n">
        <v>0</v>
      </c>
      <c r="Q3076" t="n">
        <v>0</v>
      </c>
      <c r="R3076" t="n">
        <v>0</v>
      </c>
      <c r="S3076" t="n">
        <v>0</v>
      </c>
      <c r="T3076" t="n">
        <v>0</v>
      </c>
      <c r="U3076" t="n">
        <v>0</v>
      </c>
      <c r="V3076" s="2" t="inlineStr"/>
    </row>
    <row r="3077" ht="15" customHeight="1">
      <c r="A3077" t="inlineStr">
        <is>
          <t>A 32292-2026</t>
        </is>
      </c>
      <c r="B3077" t="inlineStr">
        <is>
          <t>avverkningsanmälan</t>
        </is>
      </c>
      <c r="C3077" t="inlineStr">
        <is>
          <t>Föryngringsavverkning</t>
        </is>
      </c>
      <c r="D3077" s="1" t="n">
        <v>46237</v>
      </c>
      <c r="E3077" s="1" t="n">
        <v>46309</v>
      </c>
      <c r="F3077" t="inlineStr">
        <is>
          <t>UPPSALA LÄN</t>
        </is>
      </c>
      <c r="G3077" t="inlineStr">
        <is>
          <t>HEBY</t>
        </is>
      </c>
      <c r="I3077" t="n">
        <v>3.3</v>
      </c>
      <c r="J3077" t="n">
        <v>0</v>
      </c>
      <c r="K3077" t="n">
        <v>0</v>
      </c>
      <c r="L3077" t="n">
        <v>0</v>
      </c>
      <c r="M3077" t="n">
        <v>0</v>
      </c>
      <c r="N3077" t="n">
        <v>0</v>
      </c>
      <c r="O3077" t="n">
        <v>0</v>
      </c>
      <c r="P3077" t="n">
        <v>0</v>
      </c>
      <c r="Q3077" t="n">
        <v>0</v>
      </c>
      <c r="R3077" t="n">
        <v>0</v>
      </c>
      <c r="S3077" t="n">
        <v>0</v>
      </c>
      <c r="T3077" t="n">
        <v>0</v>
      </c>
      <c r="U3077" t="n">
        <v>0</v>
      </c>
      <c r="V3077" s="2" t="inlineStr"/>
    </row>
    <row r="3078" ht="15" customHeight="1">
      <c r="A3078" t="inlineStr">
        <is>
          <t>A 32312-2026</t>
        </is>
      </c>
      <c r="B3078" t="inlineStr">
        <is>
          <t>avverkningsanmälan</t>
        </is>
      </c>
      <c r="C3078" t="inlineStr">
        <is>
          <t>Föryngringsavverkning</t>
        </is>
      </c>
      <c r="D3078" s="1" t="n">
        <v>46237</v>
      </c>
      <c r="E3078" s="1" t="n">
        <v>46309</v>
      </c>
      <c r="F3078" t="inlineStr">
        <is>
          <t>UPPSALA LÄN</t>
        </is>
      </c>
      <c r="G3078" t="inlineStr">
        <is>
          <t>UPPSALA</t>
        </is>
      </c>
      <c r="H3078" t="inlineStr">
        <is>
          <t>Bergvik skog öst AB</t>
        </is>
      </c>
      <c r="I3078" t="n">
        <v>3.4</v>
      </c>
      <c r="J3078" t="n">
        <v>0</v>
      </c>
      <c r="K3078" t="n">
        <v>0</v>
      </c>
      <c r="L3078" t="n">
        <v>0</v>
      </c>
      <c r="M3078" t="n">
        <v>0</v>
      </c>
      <c r="N3078" t="n">
        <v>0</v>
      </c>
      <c r="O3078" t="n">
        <v>0</v>
      </c>
      <c r="P3078" t="n">
        <v>0</v>
      </c>
      <c r="Q3078" t="n">
        <v>0</v>
      </c>
      <c r="R3078" t="n">
        <v>0</v>
      </c>
      <c r="S3078" t="n">
        <v>0</v>
      </c>
      <c r="T3078" t="n">
        <v>0</v>
      </c>
      <c r="U3078" t="n">
        <v>0</v>
      </c>
      <c r="V3078" s="2" t="inlineStr"/>
    </row>
    <row r="3079" ht="15" customHeight="1">
      <c r="A3079" t="inlineStr">
        <is>
          <t>A 8672-2024</t>
        </is>
      </c>
      <c r="B3079" t="inlineStr">
        <is>
          <t>avverkningsanmälan</t>
        </is>
      </c>
      <c r="C3079" t="inlineStr">
        <is>
          <t>Avverkning för annat ändamål</t>
        </is>
      </c>
      <c r="D3079" s="1" t="n">
        <v>45352</v>
      </c>
      <c r="E3079" s="1" t="n">
        <v>46309</v>
      </c>
      <c r="F3079" t="inlineStr">
        <is>
          <t>UPPSALA LÄN</t>
        </is>
      </c>
      <c r="G3079" t="inlineStr">
        <is>
          <t>UPPSALA</t>
        </is>
      </c>
      <c r="I3079" t="n">
        <v>2.3</v>
      </c>
      <c r="J3079" t="n">
        <v>0</v>
      </c>
      <c r="K3079" t="n">
        <v>0</v>
      </c>
      <c r="L3079" t="n">
        <v>0</v>
      </c>
      <c r="M3079" t="n">
        <v>0</v>
      </c>
      <c r="N3079" t="n">
        <v>0</v>
      </c>
      <c r="O3079" t="n">
        <v>0</v>
      </c>
      <c r="P3079" t="n">
        <v>0</v>
      </c>
      <c r="Q3079" t="n">
        <v>0</v>
      </c>
      <c r="R3079" t="n">
        <v>0</v>
      </c>
      <c r="S3079" t="n">
        <v>0</v>
      </c>
      <c r="T3079" t="n">
        <v>0</v>
      </c>
      <c r="U3079" t="n">
        <v>0</v>
      </c>
      <c r="V3079" s="2" t="inlineStr"/>
    </row>
    <row r="3080" ht="15" customHeight="1">
      <c r="A3080" t="inlineStr">
        <is>
          <t>A 4562-2022</t>
        </is>
      </c>
      <c r="B3080" t="inlineStr">
        <is>
          <t>avverkningsanmälan</t>
        </is>
      </c>
      <c r="C3080" t="inlineStr">
        <is>
          <t>Föryngringsavverkning</t>
        </is>
      </c>
      <c r="D3080" s="1" t="n">
        <v>44591</v>
      </c>
      <c r="E3080" s="1" t="n">
        <v>46309</v>
      </c>
      <c r="F3080" t="inlineStr">
        <is>
          <t>UPPSALA LÄN</t>
        </is>
      </c>
      <c r="G3080" t="inlineStr">
        <is>
          <t>ÖSTHAMMAR</t>
        </is>
      </c>
      <c r="I3080" t="n">
        <v>3.4</v>
      </c>
      <c r="J3080" t="n">
        <v>0</v>
      </c>
      <c r="K3080" t="n">
        <v>0</v>
      </c>
      <c r="L3080" t="n">
        <v>0</v>
      </c>
      <c r="M3080" t="n">
        <v>0</v>
      </c>
      <c r="N3080" t="n">
        <v>0</v>
      </c>
      <c r="O3080" t="n">
        <v>0</v>
      </c>
      <c r="P3080" t="n">
        <v>0</v>
      </c>
      <c r="Q3080" t="n">
        <v>0</v>
      </c>
      <c r="R3080" t="n">
        <v>0</v>
      </c>
      <c r="S3080" t="n">
        <v>0</v>
      </c>
      <c r="T3080" t="n">
        <v>0</v>
      </c>
      <c r="U3080" t="n">
        <v>0</v>
      </c>
      <c r="V3080" s="2" t="inlineStr"/>
    </row>
    <row r="3081" ht="15" customHeight="1">
      <c r="A3081" t="inlineStr">
        <is>
          <t>A 38039-2026</t>
        </is>
      </c>
      <c r="B3081" t="inlineStr">
        <is>
          <t>avverkningsanmälan</t>
        </is>
      </c>
      <c r="C3081" t="inlineStr">
        <is>
          <t>Föryngringsavverkning</t>
        </is>
      </c>
      <c r="D3081" s="1" t="n">
        <v>46280</v>
      </c>
      <c r="E3081" s="1" t="n">
        <v>46309</v>
      </c>
      <c r="F3081" t="inlineStr">
        <is>
          <t>UPPSALA LÄN</t>
        </is>
      </c>
      <c r="G3081" t="inlineStr">
        <is>
          <t>HEBY</t>
        </is>
      </c>
      <c r="H3081" t="inlineStr">
        <is>
          <t>Sveaskog</t>
        </is>
      </c>
      <c r="I3081" t="n">
        <v>1</v>
      </c>
      <c r="J3081" t="n">
        <v>0</v>
      </c>
      <c r="K3081" t="n">
        <v>0</v>
      </c>
      <c r="L3081" t="n">
        <v>0</v>
      </c>
      <c r="M3081" t="n">
        <v>0</v>
      </c>
      <c r="N3081" t="n">
        <v>0</v>
      </c>
      <c r="O3081" t="n">
        <v>0</v>
      </c>
      <c r="P3081" t="n">
        <v>0</v>
      </c>
      <c r="Q3081" t="n">
        <v>0</v>
      </c>
      <c r="R3081" t="n">
        <v>0</v>
      </c>
      <c r="S3081" t="n">
        <v>0</v>
      </c>
      <c r="T3081" t="n">
        <v>0</v>
      </c>
      <c r="U3081" t="n">
        <v>0</v>
      </c>
      <c r="V3081" s="2" t="inlineStr"/>
    </row>
    <row r="3082" ht="15" customHeight="1">
      <c r="A3082" t="inlineStr">
        <is>
          <t>A 37856-2026</t>
        </is>
      </c>
      <c r="B3082" t="inlineStr">
        <is>
          <t>avverkningsanmälan</t>
        </is>
      </c>
      <c r="C3082" t="inlineStr">
        <is>
          <t>Föryngringsavverkning</t>
        </is>
      </c>
      <c r="D3082" s="1" t="n">
        <v>46279</v>
      </c>
      <c r="E3082" s="1" t="n">
        <v>46309</v>
      </c>
      <c r="F3082" t="inlineStr">
        <is>
          <t>UPPSALA LÄN</t>
        </is>
      </c>
      <c r="G3082" t="inlineStr">
        <is>
          <t>ÖSTHAMMAR</t>
        </is>
      </c>
      <c r="H3082" t="inlineStr">
        <is>
          <t>Bergvik skog öst AB</t>
        </is>
      </c>
      <c r="I3082" t="n">
        <v>0.7</v>
      </c>
      <c r="J3082" t="n">
        <v>0</v>
      </c>
      <c r="K3082" t="n">
        <v>0</v>
      </c>
      <c r="L3082" t="n">
        <v>0</v>
      </c>
      <c r="M3082" t="n">
        <v>0</v>
      </c>
      <c r="N3082" t="n">
        <v>0</v>
      </c>
      <c r="O3082" t="n">
        <v>0</v>
      </c>
      <c r="P3082" t="n">
        <v>0</v>
      </c>
      <c r="Q3082" t="n">
        <v>0</v>
      </c>
      <c r="R3082" t="n">
        <v>0</v>
      </c>
      <c r="S3082" t="n">
        <v>0</v>
      </c>
      <c r="T3082" t="n">
        <v>0</v>
      </c>
      <c r="U3082" t="n">
        <v>0</v>
      </c>
      <c r="V3082" s="2" t="inlineStr"/>
    </row>
    <row r="3083" ht="15" customHeight="1">
      <c r="A3083" t="inlineStr">
        <is>
          <t>A 5362-2023</t>
        </is>
      </c>
      <c r="B3083" t="inlineStr">
        <is>
          <t>avverkningsanmälan</t>
        </is>
      </c>
      <c r="C3083" t="inlineStr">
        <is>
          <t>Avverkning för annat ändamål</t>
        </is>
      </c>
      <c r="D3083" s="1" t="n">
        <v>44944</v>
      </c>
      <c r="E3083" s="1" t="n">
        <v>46309</v>
      </c>
      <c r="F3083" t="inlineStr">
        <is>
          <t>UPPSALA LÄN</t>
        </is>
      </c>
      <c r="G3083" t="inlineStr">
        <is>
          <t>UPPSALA</t>
        </is>
      </c>
      <c r="I3083" t="n">
        <v>2.3</v>
      </c>
      <c r="J3083" t="n">
        <v>0</v>
      </c>
      <c r="K3083" t="n">
        <v>0</v>
      </c>
      <c r="L3083" t="n">
        <v>0</v>
      </c>
      <c r="M3083" t="n">
        <v>0</v>
      </c>
      <c r="N3083" t="n">
        <v>0</v>
      </c>
      <c r="O3083" t="n">
        <v>0</v>
      </c>
      <c r="P3083" t="n">
        <v>0</v>
      </c>
      <c r="Q3083" t="n">
        <v>0</v>
      </c>
      <c r="R3083" t="n">
        <v>0</v>
      </c>
      <c r="S3083" t="n">
        <v>0</v>
      </c>
      <c r="T3083" t="n">
        <v>0</v>
      </c>
      <c r="U3083" t="n">
        <v>0</v>
      </c>
      <c r="V3083" s="2" t="inlineStr"/>
    </row>
    <row r="3084" ht="15" customHeight="1">
      <c r="A3084" t="inlineStr">
        <is>
          <t>A 34140-2023</t>
        </is>
      </c>
      <c r="B3084" t="inlineStr">
        <is>
          <t>avverkningsanmälan</t>
        </is>
      </c>
      <c r="C3084" t="inlineStr">
        <is>
          <t>Föryngringsavverkning</t>
        </is>
      </c>
      <c r="D3084" s="1" t="n">
        <v>45135</v>
      </c>
      <c r="E3084" s="1" t="n">
        <v>46309</v>
      </c>
      <c r="F3084" t="inlineStr">
        <is>
          <t>UPPSALA LÄN</t>
        </is>
      </c>
      <c r="G3084" t="inlineStr">
        <is>
          <t>HEBY</t>
        </is>
      </c>
      <c r="I3084" t="n">
        <v>5.4</v>
      </c>
      <c r="J3084" t="n">
        <v>0</v>
      </c>
      <c r="K3084" t="n">
        <v>0</v>
      </c>
      <c r="L3084" t="n">
        <v>0</v>
      </c>
      <c r="M3084" t="n">
        <v>0</v>
      </c>
      <c r="N3084" t="n">
        <v>0</v>
      </c>
      <c r="O3084" t="n">
        <v>0</v>
      </c>
      <c r="P3084" t="n">
        <v>0</v>
      </c>
      <c r="Q3084" t="n">
        <v>0</v>
      </c>
      <c r="R3084" t="n">
        <v>0</v>
      </c>
      <c r="S3084" t="n">
        <v>0</v>
      </c>
      <c r="T3084" t="n">
        <v>0</v>
      </c>
      <c r="U3084" t="n">
        <v>0</v>
      </c>
      <c r="V3084" s="2" t="inlineStr"/>
    </row>
    <row r="3085" ht="15" customHeight="1">
      <c r="A3085" t="inlineStr">
        <is>
          <t>A 60533-2021</t>
        </is>
      </c>
      <c r="B3085" t="inlineStr">
        <is>
          <t>avverkningsanmälan</t>
        </is>
      </c>
      <c r="C3085" t="inlineStr">
        <is>
          <t>Föryngringsavverkning</t>
        </is>
      </c>
      <c r="D3085" s="1" t="n">
        <v>44496</v>
      </c>
      <c r="E3085" s="1" t="n">
        <v>46309</v>
      </c>
      <c r="F3085" t="inlineStr">
        <is>
          <t>UPPSALA LÄN</t>
        </is>
      </c>
      <c r="G3085" t="inlineStr">
        <is>
          <t>ENKÖPING</t>
        </is>
      </c>
      <c r="I3085" t="n">
        <v>2.2</v>
      </c>
      <c r="J3085" t="n">
        <v>0</v>
      </c>
      <c r="K3085" t="n">
        <v>0</v>
      </c>
      <c r="L3085" t="n">
        <v>0</v>
      </c>
      <c r="M3085" t="n">
        <v>0</v>
      </c>
      <c r="N3085" t="n">
        <v>0</v>
      </c>
      <c r="O3085" t="n">
        <v>0</v>
      </c>
      <c r="P3085" t="n">
        <v>0</v>
      </c>
      <c r="Q3085" t="n">
        <v>0</v>
      </c>
      <c r="R3085" t="n">
        <v>0</v>
      </c>
      <c r="S3085" t="n">
        <v>0</v>
      </c>
      <c r="T3085" t="n">
        <v>0</v>
      </c>
      <c r="U3085" t="n">
        <v>0</v>
      </c>
      <c r="V3085" s="2" t="inlineStr"/>
    </row>
    <row r="3086" ht="15" customHeight="1">
      <c r="A3086" t="inlineStr">
        <is>
          <t>A 38036-2026</t>
        </is>
      </c>
      <c r="B3086" t="inlineStr">
        <is>
          <t>avverkningsanmälan</t>
        </is>
      </c>
      <c r="C3086" t="inlineStr">
        <is>
          <t>Föryngringsavverkning</t>
        </is>
      </c>
      <c r="D3086" s="1" t="n">
        <v>46280</v>
      </c>
      <c r="E3086" s="1" t="n">
        <v>46309</v>
      </c>
      <c r="F3086" t="inlineStr">
        <is>
          <t>UPPSALA LÄN</t>
        </is>
      </c>
      <c r="G3086" t="inlineStr">
        <is>
          <t>HEBY</t>
        </is>
      </c>
      <c r="H3086" t="inlineStr">
        <is>
          <t>Sveaskog</t>
        </is>
      </c>
      <c r="I3086" t="n">
        <v>4.2</v>
      </c>
      <c r="J3086" t="n">
        <v>0</v>
      </c>
      <c r="K3086" t="n">
        <v>0</v>
      </c>
      <c r="L3086" t="n">
        <v>0</v>
      </c>
      <c r="M3086" t="n">
        <v>0</v>
      </c>
      <c r="N3086" t="n">
        <v>0</v>
      </c>
      <c r="O3086" t="n">
        <v>0</v>
      </c>
      <c r="P3086" t="n">
        <v>0</v>
      </c>
      <c r="Q3086" t="n">
        <v>0</v>
      </c>
      <c r="R3086" t="n">
        <v>0</v>
      </c>
      <c r="S3086" t="n">
        <v>0</v>
      </c>
      <c r="T3086" t="n">
        <v>0</v>
      </c>
      <c r="U3086" t="n">
        <v>0</v>
      </c>
      <c r="V3086" s="2" t="inlineStr"/>
    </row>
    <row r="3087" ht="15" customHeight="1">
      <c r="A3087" t="inlineStr">
        <is>
          <t>A 38038-2026</t>
        </is>
      </c>
      <c r="B3087" t="inlineStr">
        <is>
          <t>avverkningsanmälan</t>
        </is>
      </c>
      <c r="C3087" t="inlineStr">
        <is>
          <t>Föryngringsavverkning</t>
        </is>
      </c>
      <c r="D3087" s="1" t="n">
        <v>46280</v>
      </c>
      <c r="E3087" s="1" t="n">
        <v>46309</v>
      </c>
      <c r="F3087" t="inlineStr">
        <is>
          <t>UPPSALA LÄN</t>
        </is>
      </c>
      <c r="G3087" t="inlineStr">
        <is>
          <t>HEBY</t>
        </is>
      </c>
      <c r="H3087" t="inlineStr">
        <is>
          <t>Sveaskog</t>
        </is>
      </c>
      <c r="I3087" t="n">
        <v>0.8</v>
      </c>
      <c r="J3087" t="n">
        <v>0</v>
      </c>
      <c r="K3087" t="n">
        <v>0</v>
      </c>
      <c r="L3087" t="n">
        <v>0</v>
      </c>
      <c r="M3087" t="n">
        <v>0</v>
      </c>
      <c r="N3087" t="n">
        <v>0</v>
      </c>
      <c r="O3087" t="n">
        <v>0</v>
      </c>
      <c r="P3087" t="n">
        <v>0</v>
      </c>
      <c r="Q3087" t="n">
        <v>0</v>
      </c>
      <c r="R3087" t="n">
        <v>0</v>
      </c>
      <c r="S3087" t="n">
        <v>0</v>
      </c>
      <c r="T3087" t="n">
        <v>0</v>
      </c>
      <c r="U3087" t="n">
        <v>0</v>
      </c>
      <c r="V3087" s="2" t="inlineStr"/>
    </row>
    <row r="3088" ht="15" customHeight="1">
      <c r="A3088" t="inlineStr">
        <is>
          <t>A 37971-2026</t>
        </is>
      </c>
      <c r="B3088" t="inlineStr">
        <is>
          <t>avverkningsanmälan</t>
        </is>
      </c>
      <c r="C3088" t="inlineStr">
        <is>
          <t>Föryngringsavverkning</t>
        </is>
      </c>
      <c r="D3088" s="1" t="n">
        <v>46280</v>
      </c>
      <c r="E3088" s="1" t="n">
        <v>46309</v>
      </c>
      <c r="F3088" t="inlineStr">
        <is>
          <t>UPPSALA LÄN</t>
        </is>
      </c>
      <c r="G3088" t="inlineStr">
        <is>
          <t>TIERP</t>
        </is>
      </c>
      <c r="H3088" t="inlineStr">
        <is>
          <t>Bergvik skog öst AB</t>
        </is>
      </c>
      <c r="I3088" t="n">
        <v>1</v>
      </c>
      <c r="J3088" t="n">
        <v>0</v>
      </c>
      <c r="K3088" t="n">
        <v>0</v>
      </c>
      <c r="L3088" t="n">
        <v>0</v>
      </c>
      <c r="M3088" t="n">
        <v>0</v>
      </c>
      <c r="N3088" t="n">
        <v>0</v>
      </c>
      <c r="O3088" t="n">
        <v>0</v>
      </c>
      <c r="P3088" t="n">
        <v>0</v>
      </c>
      <c r="Q3088" t="n">
        <v>0</v>
      </c>
      <c r="R3088" t="n">
        <v>0</v>
      </c>
      <c r="S3088" t="n">
        <v>0</v>
      </c>
      <c r="T3088" t="n">
        <v>0</v>
      </c>
      <c r="U3088" t="n">
        <v>0</v>
      </c>
      <c r="V3088" s="2" t="inlineStr"/>
    </row>
    <row r="3089" ht="15" customHeight="1">
      <c r="A3089" t="inlineStr">
        <is>
          <t>A 15757-2023</t>
        </is>
      </c>
      <c r="B3089" t="inlineStr">
        <is>
          <t>avverkningsanmälan</t>
        </is>
      </c>
      <c r="C3089" t="inlineStr">
        <is>
          <t>Föryngringsavverkning</t>
        </is>
      </c>
      <c r="D3089" s="1" t="n">
        <v>45021</v>
      </c>
      <c r="E3089" s="1" t="n">
        <v>46309</v>
      </c>
      <c r="F3089" t="inlineStr">
        <is>
          <t>UPPSALA LÄN</t>
        </is>
      </c>
      <c r="G3089" t="inlineStr">
        <is>
          <t>ENKÖPING</t>
        </is>
      </c>
      <c r="I3089" t="n">
        <v>3</v>
      </c>
      <c r="J3089" t="n">
        <v>0</v>
      </c>
      <c r="K3089" t="n">
        <v>0</v>
      </c>
      <c r="L3089" t="n">
        <v>0</v>
      </c>
      <c r="M3089" t="n">
        <v>0</v>
      </c>
      <c r="N3089" t="n">
        <v>0</v>
      </c>
      <c r="O3089" t="n">
        <v>0</v>
      </c>
      <c r="P3089" t="n">
        <v>0</v>
      </c>
      <c r="Q3089" t="n">
        <v>0</v>
      </c>
      <c r="R3089" t="n">
        <v>0</v>
      </c>
      <c r="S3089" t="n">
        <v>0</v>
      </c>
      <c r="T3089" t="n">
        <v>0</v>
      </c>
      <c r="U3089" t="n">
        <v>0</v>
      </c>
      <c r="V3089" s="2" t="inlineStr"/>
    </row>
    <row r="3090" ht="15" customHeight="1">
      <c r="A3090" t="inlineStr">
        <is>
          <t>A 12146-2023</t>
        </is>
      </c>
      <c r="B3090" t="inlineStr">
        <is>
          <t>avverkningsanmälan</t>
        </is>
      </c>
      <c r="C3090" t="inlineStr">
        <is>
          <t>Föryngringsavverkning</t>
        </is>
      </c>
      <c r="D3090" s="1" t="n">
        <v>44998</v>
      </c>
      <c r="E3090" s="1" t="n">
        <v>46309</v>
      </c>
      <c r="F3090" t="inlineStr">
        <is>
          <t>UPPSALA LÄN</t>
        </is>
      </c>
      <c r="G3090" t="inlineStr">
        <is>
          <t>HÅBO</t>
        </is>
      </c>
      <c r="I3090" t="n">
        <v>3.1</v>
      </c>
      <c r="J3090" t="n">
        <v>0</v>
      </c>
      <c r="K3090" t="n">
        <v>0</v>
      </c>
      <c r="L3090" t="n">
        <v>0</v>
      </c>
      <c r="M3090" t="n">
        <v>0</v>
      </c>
      <c r="N3090" t="n">
        <v>0</v>
      </c>
      <c r="O3090" t="n">
        <v>0</v>
      </c>
      <c r="P3090" t="n">
        <v>0</v>
      </c>
      <c r="Q3090" t="n">
        <v>0</v>
      </c>
      <c r="R3090" t="n">
        <v>0</v>
      </c>
      <c r="S3090" t="n">
        <v>0</v>
      </c>
      <c r="T3090" t="n">
        <v>0</v>
      </c>
      <c r="U3090" t="n">
        <v>0</v>
      </c>
      <c r="V3090" s="2" t="inlineStr"/>
    </row>
    <row r="3091" ht="15" customHeight="1">
      <c r="A3091" t="inlineStr">
        <is>
          <t>A 43230-2023</t>
        </is>
      </c>
      <c r="B3091" t="inlineStr">
        <is>
          <t>avverkningsanmälan</t>
        </is>
      </c>
      <c r="C3091" t="inlineStr">
        <is>
          <t>Föryngringsavverkning</t>
        </is>
      </c>
      <c r="D3091" s="1" t="n">
        <v>45183</v>
      </c>
      <c r="E3091" s="1" t="n">
        <v>46309</v>
      </c>
      <c r="F3091" t="inlineStr">
        <is>
          <t>UPPSALA LÄN</t>
        </is>
      </c>
      <c r="G3091" t="inlineStr">
        <is>
          <t>ENKÖPING</t>
        </is>
      </c>
      <c r="I3091" t="n">
        <v>2.1</v>
      </c>
      <c r="J3091" t="n">
        <v>0</v>
      </c>
      <c r="K3091" t="n">
        <v>0</v>
      </c>
      <c r="L3091" t="n">
        <v>0</v>
      </c>
      <c r="M3091" t="n">
        <v>0</v>
      </c>
      <c r="N3091" t="n">
        <v>0</v>
      </c>
      <c r="O3091" t="n">
        <v>0</v>
      </c>
      <c r="P3091" t="n">
        <v>0</v>
      </c>
      <c r="Q3091" t="n">
        <v>0</v>
      </c>
      <c r="R3091" t="n">
        <v>0</v>
      </c>
      <c r="S3091" t="n">
        <v>0</v>
      </c>
      <c r="T3091" t="n">
        <v>0</v>
      </c>
      <c r="U3091" t="n">
        <v>0</v>
      </c>
      <c r="V3091" s="2" t="inlineStr"/>
    </row>
    <row r="3092" ht="15" customHeight="1">
      <c r="A3092" t="inlineStr">
        <is>
          <t>A 32288-2026</t>
        </is>
      </c>
      <c r="B3092" t="inlineStr">
        <is>
          <t>avverkningsanmälan</t>
        </is>
      </c>
      <c r="C3092" t="inlineStr">
        <is>
          <t>Föryngringsavverkning</t>
        </is>
      </c>
      <c r="D3092" s="1" t="n">
        <v>46237</v>
      </c>
      <c r="E3092" s="1" t="n">
        <v>46309</v>
      </c>
      <c r="F3092" t="inlineStr">
        <is>
          <t>UPPSALA LÄN</t>
        </is>
      </c>
      <c r="G3092" t="inlineStr">
        <is>
          <t>HEBY</t>
        </is>
      </c>
      <c r="I3092" t="n">
        <v>1.7</v>
      </c>
      <c r="J3092" t="n">
        <v>0</v>
      </c>
      <c r="K3092" t="n">
        <v>0</v>
      </c>
      <c r="L3092" t="n">
        <v>0</v>
      </c>
      <c r="M3092" t="n">
        <v>0</v>
      </c>
      <c r="N3092" t="n">
        <v>0</v>
      </c>
      <c r="O3092" t="n">
        <v>0</v>
      </c>
      <c r="P3092" t="n">
        <v>0</v>
      </c>
      <c r="Q3092" t="n">
        <v>0</v>
      </c>
      <c r="R3092" t="n">
        <v>0</v>
      </c>
      <c r="S3092" t="n">
        <v>0</v>
      </c>
      <c r="T3092" t="n">
        <v>0</v>
      </c>
      <c r="U3092" t="n">
        <v>0</v>
      </c>
      <c r="V3092" s="2" t="inlineStr"/>
    </row>
    <row r="3093" ht="15" customHeight="1">
      <c r="A3093" t="inlineStr">
        <is>
          <t>A 32290-2026</t>
        </is>
      </c>
      <c r="B3093" t="inlineStr">
        <is>
          <t>avverkningsanmälan</t>
        </is>
      </c>
      <c r="C3093" t="inlineStr">
        <is>
          <t>Föryngringsavverkning</t>
        </is>
      </c>
      <c r="D3093" s="1" t="n">
        <v>46237</v>
      </c>
      <c r="E3093" s="1" t="n">
        <v>46309</v>
      </c>
      <c r="F3093" t="inlineStr">
        <is>
          <t>UPPSALA LÄN</t>
        </is>
      </c>
      <c r="G3093" t="inlineStr">
        <is>
          <t>HEBY</t>
        </is>
      </c>
      <c r="I3093" t="n">
        <v>1.2</v>
      </c>
      <c r="J3093" t="n">
        <v>0</v>
      </c>
      <c r="K3093" t="n">
        <v>0</v>
      </c>
      <c r="L3093" t="n">
        <v>0</v>
      </c>
      <c r="M3093" t="n">
        <v>0</v>
      </c>
      <c r="N3093" t="n">
        <v>0</v>
      </c>
      <c r="O3093" t="n">
        <v>0</v>
      </c>
      <c r="P3093" t="n">
        <v>0</v>
      </c>
      <c r="Q3093" t="n">
        <v>0</v>
      </c>
      <c r="R3093" t="n">
        <v>0</v>
      </c>
      <c r="S3093" t="n">
        <v>0</v>
      </c>
      <c r="T3093" t="n">
        <v>0</v>
      </c>
      <c r="U3093" t="n">
        <v>0</v>
      </c>
      <c r="V3093" s="2" t="inlineStr"/>
    </row>
    <row r="3094" ht="15" customHeight="1">
      <c r="A3094" t="inlineStr">
        <is>
          <t>A 61947-2023</t>
        </is>
      </c>
      <c r="B3094" t="inlineStr">
        <is>
          <t>avverkningsanmälan</t>
        </is>
      </c>
      <c r="C3094" t="inlineStr">
        <is>
          <t>Avverkning för annat ändamål</t>
        </is>
      </c>
      <c r="D3094" s="1" t="n">
        <v>45266</v>
      </c>
      <c r="E3094" s="1" t="n">
        <v>46309</v>
      </c>
      <c r="F3094" t="inlineStr">
        <is>
          <t>UPPSALA LÄN</t>
        </is>
      </c>
      <c r="G3094" t="inlineStr">
        <is>
          <t>UPPSALA</t>
        </is>
      </c>
      <c r="I3094" t="n">
        <v>1</v>
      </c>
      <c r="J3094" t="n">
        <v>0</v>
      </c>
      <c r="K3094" t="n">
        <v>0</v>
      </c>
      <c r="L3094" t="n">
        <v>0</v>
      </c>
      <c r="M3094" t="n">
        <v>0</v>
      </c>
      <c r="N3094" t="n">
        <v>0</v>
      </c>
      <c r="O3094" t="n">
        <v>0</v>
      </c>
      <c r="P3094" t="n">
        <v>0</v>
      </c>
      <c r="Q3094" t="n">
        <v>0</v>
      </c>
      <c r="R3094" t="n">
        <v>0</v>
      </c>
      <c r="S3094" t="n">
        <v>0</v>
      </c>
      <c r="T3094" t="n">
        <v>0</v>
      </c>
      <c r="U3094" t="n">
        <v>0</v>
      </c>
      <c r="V3094" s="2" t="inlineStr"/>
    </row>
    <row r="3095" ht="15" customHeight="1">
      <c r="A3095" t="inlineStr">
        <is>
          <t>A 2454-2024</t>
        </is>
      </c>
      <c r="B3095" t="inlineStr">
        <is>
          <t>avverkningsanmälan</t>
        </is>
      </c>
      <c r="C3095" t="inlineStr">
        <is>
          <t>Föryngringsavverkning</t>
        </is>
      </c>
      <c r="D3095" s="1" t="n">
        <v>45312</v>
      </c>
      <c r="E3095" s="1" t="n">
        <v>46309</v>
      </c>
      <c r="F3095" t="inlineStr">
        <is>
          <t>UPPSALA LÄN</t>
        </is>
      </c>
      <c r="G3095" t="inlineStr">
        <is>
          <t>TIERP</t>
        </is>
      </c>
      <c r="I3095" t="n">
        <v>2.4</v>
      </c>
      <c r="J3095" t="n">
        <v>0</v>
      </c>
      <c r="K3095" t="n">
        <v>0</v>
      </c>
      <c r="L3095" t="n">
        <v>0</v>
      </c>
      <c r="M3095" t="n">
        <v>0</v>
      </c>
      <c r="N3095" t="n">
        <v>0</v>
      </c>
      <c r="O3095" t="n">
        <v>0</v>
      </c>
      <c r="P3095" t="n">
        <v>0</v>
      </c>
      <c r="Q3095" t="n">
        <v>0</v>
      </c>
      <c r="R3095" t="n">
        <v>0</v>
      </c>
      <c r="S3095" t="n">
        <v>0</v>
      </c>
      <c r="T3095" t="n">
        <v>0</v>
      </c>
      <c r="U3095" t="n">
        <v>0</v>
      </c>
      <c r="V3095" s="2" t="inlineStr"/>
    </row>
    <row r="3096" ht="15" customHeight="1">
      <c r="A3096" t="inlineStr">
        <is>
          <t>A 51661-2022</t>
        </is>
      </c>
      <c r="B3096" t="inlineStr">
        <is>
          <t>avverkningsanmälan</t>
        </is>
      </c>
      <c r="C3096" t="inlineStr">
        <is>
          <t>Föryngringsavverkning</t>
        </is>
      </c>
      <c r="D3096" s="1" t="n">
        <v>44872</v>
      </c>
      <c r="E3096" s="1" t="n">
        <v>46309</v>
      </c>
      <c r="F3096" t="inlineStr">
        <is>
          <t>UPPSALA LÄN</t>
        </is>
      </c>
      <c r="G3096" t="inlineStr">
        <is>
          <t>UPPSALA</t>
        </is>
      </c>
      <c r="I3096" t="n">
        <v>8.9</v>
      </c>
      <c r="J3096" t="n">
        <v>0</v>
      </c>
      <c r="K3096" t="n">
        <v>0</v>
      </c>
      <c r="L3096" t="n">
        <v>0</v>
      </c>
      <c r="M3096" t="n">
        <v>0</v>
      </c>
      <c r="N3096" t="n">
        <v>0</v>
      </c>
      <c r="O3096" t="n">
        <v>0</v>
      </c>
      <c r="P3096" t="n">
        <v>0</v>
      </c>
      <c r="Q3096" t="n">
        <v>0</v>
      </c>
      <c r="R3096" t="n">
        <v>0</v>
      </c>
      <c r="S3096" t="n">
        <v>0</v>
      </c>
      <c r="T3096" t="n">
        <v>0</v>
      </c>
      <c r="U3096" t="n">
        <v>0</v>
      </c>
      <c r="V3096" s="2" t="inlineStr"/>
    </row>
    <row r="3097" ht="15" customHeight="1">
      <c r="A3097" t="inlineStr">
        <is>
          <t>A 32315-2026</t>
        </is>
      </c>
      <c r="B3097" t="inlineStr">
        <is>
          <t>avverkningsanmälan</t>
        </is>
      </c>
      <c r="C3097" t="inlineStr">
        <is>
          <t>Föryngringsavverkning</t>
        </is>
      </c>
      <c r="D3097" s="1" t="n">
        <v>46237</v>
      </c>
      <c r="E3097" s="1" t="n">
        <v>46309</v>
      </c>
      <c r="F3097" t="inlineStr">
        <is>
          <t>UPPSALA LÄN</t>
        </is>
      </c>
      <c r="G3097" t="inlineStr">
        <is>
          <t>UPPSALA</t>
        </is>
      </c>
      <c r="H3097" t="inlineStr">
        <is>
          <t>Bergvik skog öst AB</t>
        </is>
      </c>
      <c r="I3097" t="n">
        <v>4</v>
      </c>
      <c r="J3097" t="n">
        <v>0</v>
      </c>
      <c r="K3097" t="n">
        <v>0</v>
      </c>
      <c r="L3097" t="n">
        <v>0</v>
      </c>
      <c r="M3097" t="n">
        <v>0</v>
      </c>
      <c r="N3097" t="n">
        <v>0</v>
      </c>
      <c r="O3097" t="n">
        <v>0</v>
      </c>
      <c r="P3097" t="n">
        <v>0</v>
      </c>
      <c r="Q3097" t="n">
        <v>0</v>
      </c>
      <c r="R3097" t="n">
        <v>0</v>
      </c>
      <c r="S3097" t="n">
        <v>0</v>
      </c>
      <c r="T3097" t="n">
        <v>0</v>
      </c>
      <c r="U3097" t="n">
        <v>0</v>
      </c>
      <c r="V3097" s="2" t="inlineStr"/>
    </row>
    <row r="3098" ht="15" customHeight="1">
      <c r="A3098" t="inlineStr">
        <is>
          <t>A 56886-2023</t>
        </is>
      </c>
      <c r="B3098" t="inlineStr">
        <is>
          <t>avverkningsanmälan</t>
        </is>
      </c>
      <c r="C3098" t="inlineStr">
        <is>
          <t>Avverkning för annat ändamål</t>
        </is>
      </c>
      <c r="D3098" s="1" t="n">
        <v>45239</v>
      </c>
      <c r="E3098" s="1" t="n">
        <v>46309</v>
      </c>
      <c r="F3098" t="inlineStr">
        <is>
          <t>UPPSALA LÄN</t>
        </is>
      </c>
      <c r="G3098" t="inlineStr">
        <is>
          <t>ENKÖPING</t>
        </is>
      </c>
      <c r="I3098" t="n">
        <v>2</v>
      </c>
      <c r="J3098" t="n">
        <v>0</v>
      </c>
      <c r="K3098" t="n">
        <v>0</v>
      </c>
      <c r="L3098" t="n">
        <v>0</v>
      </c>
      <c r="M3098" t="n">
        <v>0</v>
      </c>
      <c r="N3098" t="n">
        <v>0</v>
      </c>
      <c r="O3098" t="n">
        <v>0</v>
      </c>
      <c r="P3098" t="n">
        <v>0</v>
      </c>
      <c r="Q3098" t="n">
        <v>0</v>
      </c>
      <c r="R3098" t="n">
        <v>0</v>
      </c>
      <c r="S3098" t="n">
        <v>0</v>
      </c>
      <c r="T3098" t="n">
        <v>0</v>
      </c>
      <c r="U3098" t="n">
        <v>0</v>
      </c>
      <c r="V3098" s="2" t="inlineStr"/>
    </row>
    <row r="3099" ht="15" customHeight="1">
      <c r="A3099" t="inlineStr">
        <is>
          <t>A 33703-2023</t>
        </is>
      </c>
      <c r="B3099" t="inlineStr">
        <is>
          <t>avverkningsanmälan</t>
        </is>
      </c>
      <c r="C3099" t="inlineStr">
        <is>
          <t>Föryngringsavverkning</t>
        </is>
      </c>
      <c r="D3099" s="1" t="n">
        <v>45132</v>
      </c>
      <c r="E3099" s="1" t="n">
        <v>46309</v>
      </c>
      <c r="F3099" t="inlineStr">
        <is>
          <t>UPPSALA LÄN</t>
        </is>
      </c>
      <c r="G3099" t="inlineStr">
        <is>
          <t>HEBY</t>
        </is>
      </c>
      <c r="I3099" t="n">
        <v>2.7</v>
      </c>
      <c r="J3099" t="n">
        <v>0</v>
      </c>
      <c r="K3099" t="n">
        <v>0</v>
      </c>
      <c r="L3099" t="n">
        <v>0</v>
      </c>
      <c r="M3099" t="n">
        <v>0</v>
      </c>
      <c r="N3099" t="n">
        <v>0</v>
      </c>
      <c r="O3099" t="n">
        <v>0</v>
      </c>
      <c r="P3099" t="n">
        <v>0</v>
      </c>
      <c r="Q3099" t="n">
        <v>0</v>
      </c>
      <c r="R3099" t="n">
        <v>0</v>
      </c>
      <c r="S3099" t="n">
        <v>0</v>
      </c>
      <c r="T3099" t="n">
        <v>0</v>
      </c>
      <c r="U3099" t="n">
        <v>0</v>
      </c>
      <c r="V3099" s="2" t="inlineStr"/>
    </row>
    <row r="3100" ht="15" customHeight="1">
      <c r="A3100" t="inlineStr">
        <is>
          <t>A 37748-2026</t>
        </is>
      </c>
      <c r="B3100" t="inlineStr">
        <is>
          <t>avverkningsanmälan</t>
        </is>
      </c>
      <c r="C3100" t="inlineStr">
        <is>
          <t>Föryngringsavverkning</t>
        </is>
      </c>
      <c r="D3100" s="1" t="n">
        <v>46279</v>
      </c>
      <c r="E3100" s="1" t="n">
        <v>46309</v>
      </c>
      <c r="F3100" t="inlineStr">
        <is>
          <t>UPPSALA LÄN</t>
        </is>
      </c>
      <c r="G3100" t="inlineStr">
        <is>
          <t>HEBY</t>
        </is>
      </c>
      <c r="I3100" t="n">
        <v>1.5</v>
      </c>
      <c r="J3100" t="n">
        <v>0</v>
      </c>
      <c r="K3100" t="n">
        <v>0</v>
      </c>
      <c r="L3100" t="n">
        <v>0</v>
      </c>
      <c r="M3100" t="n">
        <v>0</v>
      </c>
      <c r="N3100" t="n">
        <v>0</v>
      </c>
      <c r="O3100" t="n">
        <v>0</v>
      </c>
      <c r="P3100" t="n">
        <v>0</v>
      </c>
      <c r="Q3100" t="n">
        <v>0</v>
      </c>
      <c r="R3100" t="n">
        <v>0</v>
      </c>
      <c r="S3100" t="n">
        <v>0</v>
      </c>
      <c r="T3100" t="n">
        <v>0</v>
      </c>
      <c r="U3100" t="n">
        <v>0</v>
      </c>
      <c r="V3100" s="2" t="inlineStr"/>
    </row>
    <row r="3101" ht="15" customHeight="1">
      <c r="A3101" t="inlineStr">
        <is>
          <t>A 37766-2026</t>
        </is>
      </c>
      <c r="B3101" t="inlineStr">
        <is>
          <t>avverkningsanmälan</t>
        </is>
      </c>
      <c r="C3101" t="inlineStr">
        <is>
          <t>Föryngringsavverkning</t>
        </is>
      </c>
      <c r="D3101" s="1" t="n">
        <v>46279</v>
      </c>
      <c r="E3101" s="1" t="n">
        <v>46309</v>
      </c>
      <c r="F3101" t="inlineStr">
        <is>
          <t>UPPSALA LÄN</t>
        </is>
      </c>
      <c r="G3101" t="inlineStr">
        <is>
          <t>ENKÖPING</t>
        </is>
      </c>
      <c r="I3101" t="n">
        <v>3.2</v>
      </c>
      <c r="J3101" t="n">
        <v>0</v>
      </c>
      <c r="K3101" t="n">
        <v>0</v>
      </c>
      <c r="L3101" t="n">
        <v>0</v>
      </c>
      <c r="M3101" t="n">
        <v>0</v>
      </c>
      <c r="N3101" t="n">
        <v>0</v>
      </c>
      <c r="O3101" t="n">
        <v>0</v>
      </c>
      <c r="P3101" t="n">
        <v>0</v>
      </c>
      <c r="Q3101" t="n">
        <v>0</v>
      </c>
      <c r="R3101" t="n">
        <v>0</v>
      </c>
      <c r="S3101" t="n">
        <v>0</v>
      </c>
      <c r="T3101" t="n">
        <v>0</v>
      </c>
      <c r="U3101" t="n">
        <v>0</v>
      </c>
      <c r="V3101" s="2" t="inlineStr"/>
    </row>
    <row r="3102" ht="15" customHeight="1">
      <c r="A3102" t="inlineStr">
        <is>
          <t>A 37770-2026</t>
        </is>
      </c>
      <c r="B3102" t="inlineStr">
        <is>
          <t>avverkningsanmälan</t>
        </is>
      </c>
      <c r="C3102" t="inlineStr">
        <is>
          <t>Föryngringsavverkning</t>
        </is>
      </c>
      <c r="D3102" s="1" t="n">
        <v>46279</v>
      </c>
      <c r="E3102" s="1" t="n">
        <v>46309</v>
      </c>
      <c r="F3102" t="inlineStr">
        <is>
          <t>UPPSALA LÄN</t>
        </is>
      </c>
      <c r="G3102" t="inlineStr">
        <is>
          <t>ENKÖPING</t>
        </is>
      </c>
      <c r="I3102" t="n">
        <v>1.9</v>
      </c>
      <c r="J3102" t="n">
        <v>0</v>
      </c>
      <c r="K3102" t="n">
        <v>0</v>
      </c>
      <c r="L3102" t="n">
        <v>0</v>
      </c>
      <c r="M3102" t="n">
        <v>0</v>
      </c>
      <c r="N3102" t="n">
        <v>0</v>
      </c>
      <c r="O3102" t="n">
        <v>0</v>
      </c>
      <c r="P3102" t="n">
        <v>0</v>
      </c>
      <c r="Q3102" t="n">
        <v>0</v>
      </c>
      <c r="R3102" t="n">
        <v>0</v>
      </c>
      <c r="S3102" t="n">
        <v>0</v>
      </c>
      <c r="T3102" t="n">
        <v>0</v>
      </c>
      <c r="U3102" t="n">
        <v>0</v>
      </c>
      <c r="V3102" s="2" t="inlineStr"/>
    </row>
    <row r="3103" ht="15" customHeight="1">
      <c r="A3103" t="inlineStr">
        <is>
          <t>A 37794-2026</t>
        </is>
      </c>
      <c r="B3103" t="inlineStr">
        <is>
          <t>avverkningsanmälan</t>
        </is>
      </c>
      <c r="C3103" t="inlineStr">
        <is>
          <t>Föryngringsavverkning</t>
        </is>
      </c>
      <c r="D3103" s="1" t="n">
        <v>46278</v>
      </c>
      <c r="E3103" s="1" t="n">
        <v>46309</v>
      </c>
      <c r="F3103" t="inlineStr">
        <is>
          <t>UPPSALA LÄN</t>
        </is>
      </c>
      <c r="G3103" t="inlineStr">
        <is>
          <t>HEBY</t>
        </is>
      </c>
      <c r="H3103" t="inlineStr">
        <is>
          <t>Bergvik skog väst AB</t>
        </is>
      </c>
      <c r="I3103" t="n">
        <v>0.8</v>
      </c>
      <c r="J3103" t="n">
        <v>0</v>
      </c>
      <c r="K3103" t="n">
        <v>0</v>
      </c>
      <c r="L3103" t="n">
        <v>0</v>
      </c>
      <c r="M3103" t="n">
        <v>0</v>
      </c>
      <c r="N3103" t="n">
        <v>0</v>
      </c>
      <c r="O3103" t="n">
        <v>0</v>
      </c>
      <c r="P3103" t="n">
        <v>0</v>
      </c>
      <c r="Q3103" t="n">
        <v>0</v>
      </c>
      <c r="R3103" t="n">
        <v>0</v>
      </c>
      <c r="S3103" t="n">
        <v>0</v>
      </c>
      <c r="T3103" t="n">
        <v>0</v>
      </c>
      <c r="U3103" t="n">
        <v>0</v>
      </c>
      <c r="V3103" s="2" t="inlineStr"/>
    </row>
    <row r="3104" ht="15" customHeight="1">
      <c r="A3104" t="inlineStr">
        <is>
          <t>A 31564-2023</t>
        </is>
      </c>
      <c r="B3104" t="inlineStr">
        <is>
          <t>avverkningsanmälan</t>
        </is>
      </c>
      <c r="C3104" t="inlineStr">
        <is>
          <t>Föryngringsavverkning</t>
        </is>
      </c>
      <c r="D3104" s="1" t="n">
        <v>45117</v>
      </c>
      <c r="E3104" s="1" t="n">
        <v>46309</v>
      </c>
      <c r="F3104" t="inlineStr">
        <is>
          <t>UPPSALA LÄN</t>
        </is>
      </c>
      <c r="G3104" t="inlineStr">
        <is>
          <t>HEBY</t>
        </is>
      </c>
      <c r="I3104" t="n">
        <v>1.6</v>
      </c>
      <c r="J3104" t="n">
        <v>0</v>
      </c>
      <c r="K3104" t="n">
        <v>0</v>
      </c>
      <c r="L3104" t="n">
        <v>0</v>
      </c>
      <c r="M3104" t="n">
        <v>0</v>
      </c>
      <c r="N3104" t="n">
        <v>0</v>
      </c>
      <c r="O3104" t="n">
        <v>0</v>
      </c>
      <c r="P3104" t="n">
        <v>0</v>
      </c>
      <c r="Q3104" t="n">
        <v>0</v>
      </c>
      <c r="R3104" t="n">
        <v>0</v>
      </c>
      <c r="S3104" t="n">
        <v>0</v>
      </c>
      <c r="T3104" t="n">
        <v>0</v>
      </c>
      <c r="U3104" t="n">
        <v>0</v>
      </c>
      <c r="V3104" s="2" t="inlineStr"/>
    </row>
    <row r="3105" ht="15" customHeight="1">
      <c r="A3105" t="inlineStr">
        <is>
          <t>A 37784-2026</t>
        </is>
      </c>
      <c r="B3105" t="inlineStr">
        <is>
          <t>avverkningsanmälan</t>
        </is>
      </c>
      <c r="C3105" t="inlineStr">
        <is>
          <t>Föryngringsavverkning</t>
        </is>
      </c>
      <c r="D3105" s="1" t="n">
        <v>46279</v>
      </c>
      <c r="E3105" s="1" t="n">
        <v>46309</v>
      </c>
      <c r="F3105" t="inlineStr">
        <is>
          <t>UPPSALA LÄN</t>
        </is>
      </c>
      <c r="G3105" t="inlineStr">
        <is>
          <t>HEBY</t>
        </is>
      </c>
      <c r="I3105" t="n">
        <v>3.9</v>
      </c>
      <c r="J3105" t="n">
        <v>0</v>
      </c>
      <c r="K3105" t="n">
        <v>0</v>
      </c>
      <c r="L3105" t="n">
        <v>0</v>
      </c>
      <c r="M3105" t="n">
        <v>0</v>
      </c>
      <c r="N3105" t="n">
        <v>0</v>
      </c>
      <c r="O3105" t="n">
        <v>0</v>
      </c>
      <c r="P3105" t="n">
        <v>0</v>
      </c>
      <c r="Q3105" t="n">
        <v>0</v>
      </c>
      <c r="R3105" t="n">
        <v>0</v>
      </c>
      <c r="S3105" t="n">
        <v>0</v>
      </c>
      <c r="T3105" t="n">
        <v>0</v>
      </c>
      <c r="U3105" t="n">
        <v>0</v>
      </c>
      <c r="V3105" s="2" t="inlineStr"/>
    </row>
    <row r="3106" ht="15" customHeight="1">
      <c r="A3106" t="inlineStr">
        <is>
          <t>A 13447-2023</t>
        </is>
      </c>
      <c r="B3106" t="inlineStr">
        <is>
          <t>avverkningsanmälan</t>
        </is>
      </c>
      <c r="C3106" t="inlineStr">
        <is>
          <t>Föryngringsavverkning</t>
        </is>
      </c>
      <c r="D3106" s="1" t="n">
        <v>45005</v>
      </c>
      <c r="E3106" s="1" t="n">
        <v>46309</v>
      </c>
      <c r="F3106" t="inlineStr">
        <is>
          <t>UPPSALA LÄN</t>
        </is>
      </c>
      <c r="G3106" t="inlineStr">
        <is>
          <t>TIERP</t>
        </is>
      </c>
      <c r="I3106" t="n">
        <v>1.4</v>
      </c>
      <c r="J3106" t="n">
        <v>0</v>
      </c>
      <c r="K3106" t="n">
        <v>0</v>
      </c>
      <c r="L3106" t="n">
        <v>0</v>
      </c>
      <c r="M3106" t="n">
        <v>0</v>
      </c>
      <c r="N3106" t="n">
        <v>0</v>
      </c>
      <c r="O3106" t="n">
        <v>0</v>
      </c>
      <c r="P3106" t="n">
        <v>0</v>
      </c>
      <c r="Q3106" t="n">
        <v>0</v>
      </c>
      <c r="R3106" t="n">
        <v>0</v>
      </c>
      <c r="S3106" t="n">
        <v>0</v>
      </c>
      <c r="T3106" t="n">
        <v>0</v>
      </c>
      <c r="U3106" t="n">
        <v>0</v>
      </c>
      <c r="V3106" s="2" t="inlineStr"/>
    </row>
    <row r="3107" ht="15" customHeight="1">
      <c r="A3107" t="inlineStr">
        <is>
          <t>A 38264-2026</t>
        </is>
      </c>
      <c r="B3107" t="inlineStr">
        <is>
          <t>avverkningsanmälan</t>
        </is>
      </c>
      <c r="C3107" t="inlineStr">
        <is>
          <t>Föryngringsavverkning</t>
        </is>
      </c>
      <c r="D3107" s="1" t="n">
        <v>46281</v>
      </c>
      <c r="E3107" s="1" t="n">
        <v>46309</v>
      </c>
      <c r="F3107" t="inlineStr">
        <is>
          <t>UPPSALA LÄN</t>
        </is>
      </c>
      <c r="G3107" t="inlineStr">
        <is>
          <t>ENKÖPING</t>
        </is>
      </c>
      <c r="I3107" t="n">
        <v>6.9</v>
      </c>
      <c r="J3107" t="n">
        <v>0</v>
      </c>
      <c r="K3107" t="n">
        <v>0</v>
      </c>
      <c r="L3107" t="n">
        <v>0</v>
      </c>
      <c r="M3107" t="n">
        <v>0</v>
      </c>
      <c r="N3107" t="n">
        <v>0</v>
      </c>
      <c r="O3107" t="n">
        <v>0</v>
      </c>
      <c r="P3107" t="n">
        <v>0</v>
      </c>
      <c r="Q3107" t="n">
        <v>0</v>
      </c>
      <c r="R3107" t="n">
        <v>0</v>
      </c>
      <c r="S3107" t="n">
        <v>0</v>
      </c>
      <c r="T3107" t="n">
        <v>0</v>
      </c>
      <c r="U3107" t="n">
        <v>0</v>
      </c>
      <c r="V3107" s="2" t="inlineStr"/>
    </row>
    <row r="3108" ht="15" customHeight="1">
      <c r="A3108" t="inlineStr">
        <is>
          <t>A 52252-2024</t>
        </is>
      </c>
      <c r="B3108" t="inlineStr">
        <is>
          <t>avverkningsanmälan</t>
        </is>
      </c>
      <c r="C3108" t="inlineStr">
        <is>
          <t>Föryngringsavverkning</t>
        </is>
      </c>
      <c r="D3108" s="1" t="n">
        <v>45607</v>
      </c>
      <c r="E3108" s="1" t="n">
        <v>46309</v>
      </c>
      <c r="F3108" t="inlineStr">
        <is>
          <t>UPPSALA LÄN</t>
        </is>
      </c>
      <c r="G3108" t="inlineStr">
        <is>
          <t>HEBY</t>
        </is>
      </c>
      <c r="H3108" t="inlineStr">
        <is>
          <t>Bergvik skog väst AB</t>
        </is>
      </c>
      <c r="I3108" t="n">
        <v>5.4</v>
      </c>
      <c r="J3108" t="n">
        <v>0</v>
      </c>
      <c r="K3108" t="n">
        <v>0</v>
      </c>
      <c r="L3108" t="n">
        <v>0</v>
      </c>
      <c r="M3108" t="n">
        <v>0</v>
      </c>
      <c r="N3108" t="n">
        <v>0</v>
      </c>
      <c r="O3108" t="n">
        <v>0</v>
      </c>
      <c r="P3108" t="n">
        <v>0</v>
      </c>
      <c r="Q3108" t="n">
        <v>0</v>
      </c>
      <c r="R3108" t="n">
        <v>0</v>
      </c>
      <c r="S3108" t="n">
        <v>0</v>
      </c>
      <c r="T3108" t="n">
        <v>0</v>
      </c>
      <c r="U3108" t="n">
        <v>0</v>
      </c>
      <c r="V3108" s="2" t="inlineStr"/>
    </row>
    <row r="3109" ht="15" customHeight="1">
      <c r="A3109" t="inlineStr">
        <is>
          <t>A 2629-2025</t>
        </is>
      </c>
      <c r="B3109" t="inlineStr">
        <is>
          <t>avverkningsanmälan</t>
        </is>
      </c>
      <c r="C3109" t="inlineStr">
        <is>
          <t>Föryngringsavverkning</t>
        </is>
      </c>
      <c r="D3109" s="1" t="n">
        <v>45675</v>
      </c>
      <c r="E3109" s="1" t="n">
        <v>46309</v>
      </c>
      <c r="F3109" t="inlineStr">
        <is>
          <t>UPPSALA LÄN</t>
        </is>
      </c>
      <c r="G3109" t="inlineStr">
        <is>
          <t>KNIVSTA</t>
        </is>
      </c>
      <c r="I3109" t="n">
        <v>1.1</v>
      </c>
      <c r="J3109" t="n">
        <v>0</v>
      </c>
      <c r="K3109" t="n">
        <v>0</v>
      </c>
      <c r="L3109" t="n">
        <v>0</v>
      </c>
      <c r="M3109" t="n">
        <v>0</v>
      </c>
      <c r="N3109" t="n">
        <v>0</v>
      </c>
      <c r="O3109" t="n">
        <v>0</v>
      </c>
      <c r="P3109" t="n">
        <v>0</v>
      </c>
      <c r="Q3109" t="n">
        <v>0</v>
      </c>
      <c r="R3109" t="n">
        <v>0</v>
      </c>
      <c r="S3109" t="n">
        <v>0</v>
      </c>
      <c r="T3109" t="n">
        <v>0</v>
      </c>
      <c r="U3109" t="n">
        <v>0</v>
      </c>
      <c r="V3109" s="2" t="inlineStr"/>
    </row>
    <row r="3110" ht="15" customHeight="1">
      <c r="A3110" t="inlineStr">
        <is>
          <t>A 36301-2023</t>
        </is>
      </c>
      <c r="B3110" t="inlineStr">
        <is>
          <t>avverkningsanmälan</t>
        </is>
      </c>
      <c r="C3110" t="inlineStr">
        <is>
          <t>Föryngringsavverkning</t>
        </is>
      </c>
      <c r="D3110" s="1" t="n">
        <v>45152</v>
      </c>
      <c r="E3110" s="1" t="n">
        <v>46309</v>
      </c>
      <c r="F3110" t="inlineStr">
        <is>
          <t>UPPSALA LÄN</t>
        </is>
      </c>
      <c r="G3110" t="inlineStr">
        <is>
          <t>ÖSTHAMMAR</t>
        </is>
      </c>
      <c r="I3110" t="n">
        <v>0.9</v>
      </c>
      <c r="J3110" t="n">
        <v>0</v>
      </c>
      <c r="K3110" t="n">
        <v>0</v>
      </c>
      <c r="L3110" t="n">
        <v>0</v>
      </c>
      <c r="M3110" t="n">
        <v>0</v>
      </c>
      <c r="N3110" t="n">
        <v>0</v>
      </c>
      <c r="O3110" t="n">
        <v>0</v>
      </c>
      <c r="P3110" t="n">
        <v>0</v>
      </c>
      <c r="Q3110" t="n">
        <v>0</v>
      </c>
      <c r="R3110" t="n">
        <v>0</v>
      </c>
      <c r="S3110" t="n">
        <v>0</v>
      </c>
      <c r="T3110" t="n">
        <v>0</v>
      </c>
      <c r="U3110" t="n">
        <v>0</v>
      </c>
      <c r="V3110" s="2" t="inlineStr"/>
    </row>
    <row r="3111" ht="15" customHeight="1">
      <c r="A3111" t="inlineStr">
        <is>
          <t>A 32514-2026</t>
        </is>
      </c>
      <c r="B3111" t="inlineStr">
        <is>
          <t>avverkningsanmälan</t>
        </is>
      </c>
      <c r="C3111" t="inlineStr">
        <is>
          <t>Föryngringsavverkning</t>
        </is>
      </c>
      <c r="D3111" s="1" t="n">
        <v>46239</v>
      </c>
      <c r="E3111" s="1" t="n">
        <v>46309</v>
      </c>
      <c r="F3111" t="inlineStr">
        <is>
          <t>UPPSALA LÄN</t>
        </is>
      </c>
      <c r="G3111" t="inlineStr">
        <is>
          <t>ÖSTHAMMAR</t>
        </is>
      </c>
      <c r="H3111" t="inlineStr">
        <is>
          <t>Bergvik skog öst AB</t>
        </is>
      </c>
      <c r="I3111" t="n">
        <v>6.1</v>
      </c>
      <c r="J3111" t="n">
        <v>0</v>
      </c>
      <c r="K3111" t="n">
        <v>0</v>
      </c>
      <c r="L3111" t="n">
        <v>0</v>
      </c>
      <c r="M3111" t="n">
        <v>0</v>
      </c>
      <c r="N3111" t="n">
        <v>0</v>
      </c>
      <c r="O3111" t="n">
        <v>0</v>
      </c>
      <c r="P3111" t="n">
        <v>0</v>
      </c>
      <c r="Q3111" t="n">
        <v>0</v>
      </c>
      <c r="R3111" t="n">
        <v>0</v>
      </c>
      <c r="S3111" t="n">
        <v>0</v>
      </c>
      <c r="T3111" t="n">
        <v>0</v>
      </c>
      <c r="U3111" t="n">
        <v>0</v>
      </c>
      <c r="V3111" s="2" t="inlineStr"/>
    </row>
    <row r="3112" ht="15" customHeight="1">
      <c r="A3112" t="inlineStr">
        <is>
          <t>A 32553-2024</t>
        </is>
      </c>
      <c r="B3112" t="inlineStr">
        <is>
          <t>avverkningsanmälan</t>
        </is>
      </c>
      <c r="C3112" t="inlineStr">
        <is>
          <t>Föryngringsavverkning</t>
        </is>
      </c>
      <c r="D3112" s="1" t="n">
        <v>45513</v>
      </c>
      <c r="E3112" s="1" t="n">
        <v>46309</v>
      </c>
      <c r="F3112" t="inlineStr">
        <is>
          <t>UPPSALA LÄN</t>
        </is>
      </c>
      <c r="G3112" t="inlineStr">
        <is>
          <t>UPPSALA</t>
        </is>
      </c>
      <c r="H3112" t="inlineStr">
        <is>
          <t>Bergvik skog öst AB</t>
        </is>
      </c>
      <c r="I3112" t="n">
        <v>4.1</v>
      </c>
      <c r="J3112" t="n">
        <v>0</v>
      </c>
      <c r="K3112" t="n">
        <v>0</v>
      </c>
      <c r="L3112" t="n">
        <v>0</v>
      </c>
      <c r="M3112" t="n">
        <v>0</v>
      </c>
      <c r="N3112" t="n">
        <v>0</v>
      </c>
      <c r="O3112" t="n">
        <v>0</v>
      </c>
      <c r="P3112" t="n">
        <v>0</v>
      </c>
      <c r="Q3112" t="n">
        <v>0</v>
      </c>
      <c r="R3112" t="n">
        <v>0</v>
      </c>
      <c r="S3112" t="n">
        <v>0</v>
      </c>
      <c r="T3112" t="n">
        <v>0</v>
      </c>
      <c r="U3112" t="n">
        <v>0</v>
      </c>
      <c r="V3112" s="2" t="inlineStr"/>
    </row>
    <row r="3113" ht="15" customHeight="1">
      <c r="A3113" t="inlineStr">
        <is>
          <t>A 34837-2024</t>
        </is>
      </c>
      <c r="B3113" t="inlineStr">
        <is>
          <t>avverkningsanmälan</t>
        </is>
      </c>
      <c r="C3113" t="inlineStr">
        <is>
          <t>Föryngringsavverkning</t>
        </is>
      </c>
      <c r="D3113" s="1" t="n">
        <v>45526</v>
      </c>
      <c r="E3113" s="1" t="n">
        <v>46309</v>
      </c>
      <c r="F3113" t="inlineStr">
        <is>
          <t>UPPSALA LÄN</t>
        </is>
      </c>
      <c r="G3113" t="inlineStr">
        <is>
          <t>TIERP</t>
        </is>
      </c>
      <c r="I3113" t="n">
        <v>1.1</v>
      </c>
      <c r="J3113" t="n">
        <v>0</v>
      </c>
      <c r="K3113" t="n">
        <v>0</v>
      </c>
      <c r="L3113" t="n">
        <v>0</v>
      </c>
      <c r="M3113" t="n">
        <v>0</v>
      </c>
      <c r="N3113" t="n">
        <v>0</v>
      </c>
      <c r="O3113" t="n">
        <v>0</v>
      </c>
      <c r="P3113" t="n">
        <v>0</v>
      </c>
      <c r="Q3113" t="n">
        <v>0</v>
      </c>
      <c r="R3113" t="n">
        <v>0</v>
      </c>
      <c r="S3113" t="n">
        <v>0</v>
      </c>
      <c r="T3113" t="n">
        <v>0</v>
      </c>
      <c r="U3113" t="n">
        <v>0</v>
      </c>
      <c r="V3113" s="2" t="inlineStr"/>
    </row>
    <row r="3114" ht="15" customHeight="1">
      <c r="A3114" t="inlineStr">
        <is>
          <t>A 12102-2024</t>
        </is>
      </c>
      <c r="B3114" t="inlineStr">
        <is>
          <t>avverkningsanmälan</t>
        </is>
      </c>
      <c r="C3114" t="inlineStr">
        <is>
          <t>Föryngringsavverkning</t>
        </is>
      </c>
      <c r="D3114" s="1" t="n">
        <v>45377</v>
      </c>
      <c r="E3114" s="1" t="n">
        <v>46309</v>
      </c>
      <c r="F3114" t="inlineStr">
        <is>
          <t>UPPSALA LÄN</t>
        </is>
      </c>
      <c r="G3114" t="inlineStr">
        <is>
          <t>ENKÖPING</t>
        </is>
      </c>
      <c r="I3114" t="n">
        <v>0.6</v>
      </c>
      <c r="J3114" t="n">
        <v>0</v>
      </c>
      <c r="K3114" t="n">
        <v>0</v>
      </c>
      <c r="L3114" t="n">
        <v>0</v>
      </c>
      <c r="M3114" t="n">
        <v>0</v>
      </c>
      <c r="N3114" t="n">
        <v>0</v>
      </c>
      <c r="O3114" t="n">
        <v>0</v>
      </c>
      <c r="P3114" t="n">
        <v>0</v>
      </c>
      <c r="Q3114" t="n">
        <v>0</v>
      </c>
      <c r="R3114" t="n">
        <v>0</v>
      </c>
      <c r="S3114" t="n">
        <v>0</v>
      </c>
      <c r="T3114" t="n">
        <v>0</v>
      </c>
      <c r="U3114" t="n">
        <v>0</v>
      </c>
      <c r="V3114" s="2" t="inlineStr"/>
    </row>
    <row r="3115" ht="15" customHeight="1">
      <c r="A3115" t="inlineStr">
        <is>
          <t>A 20496-2023</t>
        </is>
      </c>
      <c r="B3115" t="inlineStr">
        <is>
          <t>avverkningsanmälan</t>
        </is>
      </c>
      <c r="C3115" t="inlineStr">
        <is>
          <t>Föryngringsavverkning</t>
        </is>
      </c>
      <c r="D3115" s="1" t="n">
        <v>45057</v>
      </c>
      <c r="E3115" s="1" t="n">
        <v>46309</v>
      </c>
      <c r="F3115" t="inlineStr">
        <is>
          <t>UPPSALA LÄN</t>
        </is>
      </c>
      <c r="G3115" t="inlineStr">
        <is>
          <t>TIERP</t>
        </is>
      </c>
      <c r="I3115" t="n">
        <v>0.9</v>
      </c>
      <c r="J3115" t="n">
        <v>0</v>
      </c>
      <c r="K3115" t="n">
        <v>0</v>
      </c>
      <c r="L3115" t="n">
        <v>0</v>
      </c>
      <c r="M3115" t="n">
        <v>0</v>
      </c>
      <c r="N3115" t="n">
        <v>0</v>
      </c>
      <c r="O3115" t="n">
        <v>0</v>
      </c>
      <c r="P3115" t="n">
        <v>0</v>
      </c>
      <c r="Q3115" t="n">
        <v>0</v>
      </c>
      <c r="R3115" t="n">
        <v>0</v>
      </c>
      <c r="S3115" t="n">
        <v>0</v>
      </c>
      <c r="T3115" t="n">
        <v>0</v>
      </c>
      <c r="U3115" t="n">
        <v>0</v>
      </c>
      <c r="V3115" s="2" t="inlineStr"/>
    </row>
    <row r="3116" ht="15" customHeight="1">
      <c r="A3116" t="inlineStr">
        <is>
          <t>A 19276-2023</t>
        </is>
      </c>
      <c r="B3116" t="inlineStr">
        <is>
          <t>avverkningsanmälan</t>
        </is>
      </c>
      <c r="C3116" t="inlineStr">
        <is>
          <t>Föryngringsavverkning</t>
        </is>
      </c>
      <c r="D3116" s="1" t="n">
        <v>45049</v>
      </c>
      <c r="E3116" s="1" t="n">
        <v>46309</v>
      </c>
      <c r="F3116" t="inlineStr">
        <is>
          <t>UPPSALA LÄN</t>
        </is>
      </c>
      <c r="G3116" t="inlineStr">
        <is>
          <t>UPPSALA</t>
        </is>
      </c>
      <c r="I3116" t="n">
        <v>1.8</v>
      </c>
      <c r="J3116" t="n">
        <v>0</v>
      </c>
      <c r="K3116" t="n">
        <v>0</v>
      </c>
      <c r="L3116" t="n">
        <v>0</v>
      </c>
      <c r="M3116" t="n">
        <v>0</v>
      </c>
      <c r="N3116" t="n">
        <v>0</v>
      </c>
      <c r="O3116" t="n">
        <v>0</v>
      </c>
      <c r="P3116" t="n">
        <v>0</v>
      </c>
      <c r="Q3116" t="n">
        <v>0</v>
      </c>
      <c r="R3116" t="n">
        <v>0</v>
      </c>
      <c r="S3116" t="n">
        <v>0</v>
      </c>
      <c r="T3116" t="n">
        <v>0</v>
      </c>
      <c r="U3116" t="n">
        <v>0</v>
      </c>
      <c r="V3116" s="2" t="inlineStr"/>
    </row>
    <row r="3117" ht="15" customHeight="1">
      <c r="A3117" t="inlineStr">
        <is>
          <t>A 5974-2024</t>
        </is>
      </c>
      <c r="B3117" t="inlineStr">
        <is>
          <t>avverkningsanmälan</t>
        </is>
      </c>
      <c r="C3117" t="inlineStr">
        <is>
          <t>Föryngringsavverkning</t>
        </is>
      </c>
      <c r="D3117" s="1" t="n">
        <v>45336</v>
      </c>
      <c r="E3117" s="1" t="n">
        <v>46309</v>
      </c>
      <c r="F3117" t="inlineStr">
        <is>
          <t>UPPSALA LÄN</t>
        </is>
      </c>
      <c r="G3117" t="inlineStr">
        <is>
          <t>UPPSALA</t>
        </is>
      </c>
      <c r="I3117" t="n">
        <v>2.2</v>
      </c>
      <c r="J3117" t="n">
        <v>0</v>
      </c>
      <c r="K3117" t="n">
        <v>0</v>
      </c>
      <c r="L3117" t="n">
        <v>0</v>
      </c>
      <c r="M3117" t="n">
        <v>0</v>
      </c>
      <c r="N3117" t="n">
        <v>0</v>
      </c>
      <c r="O3117" t="n">
        <v>0</v>
      </c>
      <c r="P3117" t="n">
        <v>0</v>
      </c>
      <c r="Q3117" t="n">
        <v>0</v>
      </c>
      <c r="R3117" t="n">
        <v>0</v>
      </c>
      <c r="S3117" t="n">
        <v>0</v>
      </c>
      <c r="T3117" t="n">
        <v>0</v>
      </c>
      <c r="U3117" t="n">
        <v>0</v>
      </c>
      <c r="V3117" s="2" t="inlineStr"/>
    </row>
    <row r="3118" ht="15" customHeight="1">
      <c r="A3118" t="inlineStr">
        <is>
          <t>A 5320-2023</t>
        </is>
      </c>
      <c r="B3118" t="inlineStr">
        <is>
          <t>avverkningsanmälan</t>
        </is>
      </c>
      <c r="C3118" t="inlineStr">
        <is>
          <t>Föryngringsavverkning</t>
        </is>
      </c>
      <c r="D3118" s="1" t="n">
        <v>44959</v>
      </c>
      <c r="E3118" s="1" t="n">
        <v>46309</v>
      </c>
      <c r="F3118" t="inlineStr">
        <is>
          <t>UPPSALA LÄN</t>
        </is>
      </c>
      <c r="G3118" t="inlineStr">
        <is>
          <t>KNIVSTA</t>
        </is>
      </c>
      <c r="I3118" t="n">
        <v>1.5</v>
      </c>
      <c r="J3118" t="n">
        <v>0</v>
      </c>
      <c r="K3118" t="n">
        <v>0</v>
      </c>
      <c r="L3118" t="n">
        <v>0</v>
      </c>
      <c r="M3118" t="n">
        <v>0</v>
      </c>
      <c r="N3118" t="n">
        <v>0</v>
      </c>
      <c r="O3118" t="n">
        <v>0</v>
      </c>
      <c r="P3118" t="n">
        <v>0</v>
      </c>
      <c r="Q3118" t="n">
        <v>0</v>
      </c>
      <c r="R3118" t="n">
        <v>0</v>
      </c>
      <c r="S3118" t="n">
        <v>0</v>
      </c>
      <c r="T3118" t="n">
        <v>0</v>
      </c>
      <c r="U3118" t="n">
        <v>0</v>
      </c>
      <c r="V3118" s="2" t="inlineStr"/>
    </row>
    <row r="3119" ht="15" customHeight="1">
      <c r="A3119" t="inlineStr">
        <is>
          <t>A 38254-2026</t>
        </is>
      </c>
      <c r="B3119" t="inlineStr">
        <is>
          <t>avverkningsanmälan</t>
        </is>
      </c>
      <c r="C3119" t="inlineStr">
        <is>
          <t>Föryngringsavverkning</t>
        </is>
      </c>
      <c r="D3119" s="1" t="n">
        <v>46281</v>
      </c>
      <c r="E3119" s="1" t="n">
        <v>46309</v>
      </c>
      <c r="F3119" t="inlineStr">
        <is>
          <t>UPPSALA LÄN</t>
        </is>
      </c>
      <c r="G3119" t="inlineStr">
        <is>
          <t>ÖSTHAMMAR</t>
        </is>
      </c>
      <c r="H3119" t="inlineStr">
        <is>
          <t>Bergvik skog öst AB</t>
        </is>
      </c>
      <c r="I3119" t="n">
        <v>1.1</v>
      </c>
      <c r="J3119" t="n">
        <v>0</v>
      </c>
      <c r="K3119" t="n">
        <v>0</v>
      </c>
      <c r="L3119" t="n">
        <v>0</v>
      </c>
      <c r="M3119" t="n">
        <v>0</v>
      </c>
      <c r="N3119" t="n">
        <v>0</v>
      </c>
      <c r="O3119" t="n">
        <v>0</v>
      </c>
      <c r="P3119" t="n">
        <v>0</v>
      </c>
      <c r="Q3119" t="n">
        <v>0</v>
      </c>
      <c r="R3119" t="n">
        <v>0</v>
      </c>
      <c r="S3119" t="n">
        <v>0</v>
      </c>
      <c r="T3119" t="n">
        <v>0</v>
      </c>
      <c r="U3119" t="n">
        <v>0</v>
      </c>
      <c r="V3119" s="2" t="inlineStr"/>
    </row>
    <row r="3120" ht="15" customHeight="1">
      <c r="A3120" t="inlineStr">
        <is>
          <t>A 38257-2026</t>
        </is>
      </c>
      <c r="B3120" t="inlineStr">
        <is>
          <t>avverkningsanmälan</t>
        </is>
      </c>
      <c r="C3120" t="inlineStr">
        <is>
          <t>Föryngringsavverkning</t>
        </is>
      </c>
      <c r="D3120" s="1" t="n">
        <v>46281</v>
      </c>
      <c r="E3120" s="1" t="n">
        <v>46309</v>
      </c>
      <c r="F3120" t="inlineStr">
        <is>
          <t>UPPSALA LÄN</t>
        </is>
      </c>
      <c r="G3120" t="inlineStr">
        <is>
          <t>ÖSTHAMMAR</t>
        </is>
      </c>
      <c r="H3120" t="inlineStr">
        <is>
          <t>Bergvik skog öst AB</t>
        </is>
      </c>
      <c r="I3120" t="n">
        <v>2</v>
      </c>
      <c r="J3120" t="n">
        <v>0</v>
      </c>
      <c r="K3120" t="n">
        <v>0</v>
      </c>
      <c r="L3120" t="n">
        <v>0</v>
      </c>
      <c r="M3120" t="n">
        <v>0</v>
      </c>
      <c r="N3120" t="n">
        <v>0</v>
      </c>
      <c r="O3120" t="n">
        <v>0</v>
      </c>
      <c r="P3120" t="n">
        <v>0</v>
      </c>
      <c r="Q3120" t="n">
        <v>0</v>
      </c>
      <c r="R3120" t="n">
        <v>0</v>
      </c>
      <c r="S3120" t="n">
        <v>0</v>
      </c>
      <c r="T3120" t="n">
        <v>0</v>
      </c>
      <c r="U3120" t="n">
        <v>0</v>
      </c>
      <c r="V3120" s="2" t="inlineStr"/>
    </row>
    <row r="3121" ht="15" customHeight="1">
      <c r="A3121" t="inlineStr">
        <is>
          <t>A 38260-2026</t>
        </is>
      </c>
      <c r="B3121" t="inlineStr">
        <is>
          <t>avverkningsanmälan</t>
        </is>
      </c>
      <c r="C3121" t="inlineStr">
        <is>
          <t>Föryngringsavverkning</t>
        </is>
      </c>
      <c r="D3121" s="1" t="n">
        <v>46281</v>
      </c>
      <c r="E3121" s="1" t="n">
        <v>46309</v>
      </c>
      <c r="F3121" t="inlineStr">
        <is>
          <t>UPPSALA LÄN</t>
        </is>
      </c>
      <c r="G3121" t="inlineStr">
        <is>
          <t>HEBY</t>
        </is>
      </c>
      <c r="I3121" t="n">
        <v>4.1</v>
      </c>
      <c r="J3121" t="n">
        <v>0</v>
      </c>
      <c r="K3121" t="n">
        <v>0</v>
      </c>
      <c r="L3121" t="n">
        <v>0</v>
      </c>
      <c r="M3121" t="n">
        <v>0</v>
      </c>
      <c r="N3121" t="n">
        <v>0</v>
      </c>
      <c r="O3121" t="n">
        <v>0</v>
      </c>
      <c r="P3121" t="n">
        <v>0</v>
      </c>
      <c r="Q3121" t="n">
        <v>0</v>
      </c>
      <c r="R3121" t="n">
        <v>0</v>
      </c>
      <c r="S3121" t="n">
        <v>0</v>
      </c>
      <c r="T3121" t="n">
        <v>0</v>
      </c>
      <c r="U3121" t="n">
        <v>0</v>
      </c>
      <c r="V3121" s="2" t="inlineStr"/>
    </row>
    <row r="3122" ht="15" customHeight="1">
      <c r="A3122" t="inlineStr">
        <is>
          <t>A 32417-2026</t>
        </is>
      </c>
      <c r="B3122" t="inlineStr">
        <is>
          <t>avverkningsanmälan</t>
        </is>
      </c>
      <c r="C3122" t="inlineStr">
        <is>
          <t>Föryngringsavverkning</t>
        </is>
      </c>
      <c r="D3122" s="1" t="n">
        <v>46238</v>
      </c>
      <c r="E3122" s="1" t="n">
        <v>46309</v>
      </c>
      <c r="F3122" t="inlineStr">
        <is>
          <t>UPPSALA LÄN</t>
        </is>
      </c>
      <c r="G3122" t="inlineStr">
        <is>
          <t>HEBY</t>
        </is>
      </c>
      <c r="H3122" t="inlineStr">
        <is>
          <t>Kyrkan</t>
        </is>
      </c>
      <c r="I3122" t="n">
        <v>2.4</v>
      </c>
      <c r="J3122" t="n">
        <v>0</v>
      </c>
      <c r="K3122" t="n">
        <v>0</v>
      </c>
      <c r="L3122" t="n">
        <v>0</v>
      </c>
      <c r="M3122" t="n">
        <v>0</v>
      </c>
      <c r="N3122" t="n">
        <v>0</v>
      </c>
      <c r="O3122" t="n">
        <v>0</v>
      </c>
      <c r="P3122" t="n">
        <v>0</v>
      </c>
      <c r="Q3122" t="n">
        <v>0</v>
      </c>
      <c r="R3122" t="n">
        <v>0</v>
      </c>
      <c r="S3122" t="n">
        <v>0</v>
      </c>
      <c r="T3122" t="n">
        <v>0</v>
      </c>
      <c r="U3122" t="n">
        <v>0</v>
      </c>
      <c r="V3122" s="2" t="inlineStr"/>
    </row>
    <row r="3123" ht="15" customHeight="1">
      <c r="A3123" t="inlineStr">
        <is>
          <t>A 32347-2026</t>
        </is>
      </c>
      <c r="B3123" t="inlineStr">
        <is>
          <t>avverkningsanmälan</t>
        </is>
      </c>
      <c r="C3123" t="inlineStr">
        <is>
          <t>Föryngringsavverkning</t>
        </is>
      </c>
      <c r="D3123" s="1" t="n">
        <v>46238</v>
      </c>
      <c r="E3123" s="1" t="n">
        <v>46309</v>
      </c>
      <c r="F3123" t="inlineStr">
        <is>
          <t>UPPSALA LÄN</t>
        </is>
      </c>
      <c r="G3123" t="inlineStr">
        <is>
          <t>HEBY</t>
        </is>
      </c>
      <c r="I3123" t="n">
        <v>2.4</v>
      </c>
      <c r="J3123" t="n">
        <v>0</v>
      </c>
      <c r="K3123" t="n">
        <v>0</v>
      </c>
      <c r="L3123" t="n">
        <v>0</v>
      </c>
      <c r="M3123" t="n">
        <v>0</v>
      </c>
      <c r="N3123" t="n">
        <v>0</v>
      </c>
      <c r="O3123" t="n">
        <v>0</v>
      </c>
      <c r="P3123" t="n">
        <v>0</v>
      </c>
      <c r="Q3123" t="n">
        <v>0</v>
      </c>
      <c r="R3123" t="n">
        <v>0</v>
      </c>
      <c r="S3123" t="n">
        <v>0</v>
      </c>
      <c r="T3123" t="n">
        <v>0</v>
      </c>
      <c r="U3123" t="n">
        <v>0</v>
      </c>
      <c r="V3123" s="2" t="inlineStr"/>
    </row>
    <row r="3124" ht="15" customHeight="1">
      <c r="A3124" t="inlineStr">
        <is>
          <t>A 45283-2022</t>
        </is>
      </c>
      <c r="B3124" t="inlineStr">
        <is>
          <t>avverkningsanmälan</t>
        </is>
      </c>
      <c r="C3124" t="inlineStr">
        <is>
          <t>Föryngringsavverkning</t>
        </is>
      </c>
      <c r="D3124" s="1" t="n">
        <v>44844</v>
      </c>
      <c r="E3124" s="1" t="n">
        <v>46309</v>
      </c>
      <c r="F3124" t="inlineStr">
        <is>
          <t>UPPSALA LÄN</t>
        </is>
      </c>
      <c r="G3124" t="inlineStr">
        <is>
          <t>ENKÖPING</t>
        </is>
      </c>
      <c r="I3124" t="n">
        <v>5.9</v>
      </c>
      <c r="J3124" t="n">
        <v>0</v>
      </c>
      <c r="K3124" t="n">
        <v>0</v>
      </c>
      <c r="L3124" t="n">
        <v>0</v>
      </c>
      <c r="M3124" t="n">
        <v>0</v>
      </c>
      <c r="N3124" t="n">
        <v>0</v>
      </c>
      <c r="O3124" t="n">
        <v>0</v>
      </c>
      <c r="P3124" t="n">
        <v>0</v>
      </c>
      <c r="Q3124" t="n">
        <v>0</v>
      </c>
      <c r="R3124" t="n">
        <v>0</v>
      </c>
      <c r="S3124" t="n">
        <v>0</v>
      </c>
      <c r="T3124" t="n">
        <v>0</v>
      </c>
      <c r="U3124" t="n">
        <v>0</v>
      </c>
      <c r="V3124" s="2" t="inlineStr"/>
    </row>
    <row r="3125" ht="15" customHeight="1">
      <c r="A3125" t="inlineStr">
        <is>
          <t>A 28429-2023</t>
        </is>
      </c>
      <c r="B3125" t="inlineStr">
        <is>
          <t>avverkningsanmälan</t>
        </is>
      </c>
      <c r="C3125" t="inlineStr">
        <is>
          <t>Föryngringsavverkning</t>
        </is>
      </c>
      <c r="D3125" s="1" t="n">
        <v>45102</v>
      </c>
      <c r="E3125" s="1" t="n">
        <v>46309</v>
      </c>
      <c r="F3125" t="inlineStr">
        <is>
          <t>UPPSALA LÄN</t>
        </is>
      </c>
      <c r="G3125" t="inlineStr">
        <is>
          <t>ÖSTHAMMAR</t>
        </is>
      </c>
      <c r="H3125" t="inlineStr">
        <is>
          <t>Bergvik skog öst AB</t>
        </is>
      </c>
      <c r="I3125" t="n">
        <v>0.9</v>
      </c>
      <c r="J3125" t="n">
        <v>0</v>
      </c>
      <c r="K3125" t="n">
        <v>0</v>
      </c>
      <c r="L3125" t="n">
        <v>0</v>
      </c>
      <c r="M3125" t="n">
        <v>0</v>
      </c>
      <c r="N3125" t="n">
        <v>0</v>
      </c>
      <c r="O3125" t="n">
        <v>0</v>
      </c>
      <c r="P3125" t="n">
        <v>0</v>
      </c>
      <c r="Q3125" t="n">
        <v>0</v>
      </c>
      <c r="R3125" t="n">
        <v>0</v>
      </c>
      <c r="S3125" t="n">
        <v>0</v>
      </c>
      <c r="T3125" t="n">
        <v>0</v>
      </c>
      <c r="U3125" t="n">
        <v>0</v>
      </c>
      <c r="V3125" s="2" t="inlineStr"/>
    </row>
    <row r="3126" ht="15" customHeight="1">
      <c r="A3126" t="inlineStr">
        <is>
          <t>A 32510-2026</t>
        </is>
      </c>
      <c r="B3126" t="inlineStr">
        <is>
          <t>avverkningsanmälan</t>
        </is>
      </c>
      <c r="C3126" t="inlineStr">
        <is>
          <t>Föryngringsavverkning</t>
        </is>
      </c>
      <c r="D3126" s="1" t="n">
        <v>46239</v>
      </c>
      <c r="E3126" s="1" t="n">
        <v>46309</v>
      </c>
      <c r="F3126" t="inlineStr">
        <is>
          <t>UPPSALA LÄN</t>
        </is>
      </c>
      <c r="G3126" t="inlineStr">
        <is>
          <t>TIERP</t>
        </is>
      </c>
      <c r="H3126" t="inlineStr">
        <is>
          <t>Bergvik skog väst AB</t>
        </is>
      </c>
      <c r="I3126" t="n">
        <v>11.5</v>
      </c>
      <c r="J3126" t="n">
        <v>0</v>
      </c>
      <c r="K3126" t="n">
        <v>0</v>
      </c>
      <c r="L3126" t="n">
        <v>0</v>
      </c>
      <c r="M3126" t="n">
        <v>0</v>
      </c>
      <c r="N3126" t="n">
        <v>0</v>
      </c>
      <c r="O3126" t="n">
        <v>0</v>
      </c>
      <c r="P3126" t="n">
        <v>0</v>
      </c>
      <c r="Q3126" t="n">
        <v>0</v>
      </c>
      <c r="R3126" t="n">
        <v>0</v>
      </c>
      <c r="S3126" t="n">
        <v>0</v>
      </c>
      <c r="T3126" t="n">
        <v>0</v>
      </c>
      <c r="U3126" t="n">
        <v>0</v>
      </c>
      <c r="V3126" s="2" t="inlineStr"/>
    </row>
    <row r="3127" ht="15" customHeight="1">
      <c r="A3127" t="inlineStr">
        <is>
          <t>A 38180-2026</t>
        </is>
      </c>
      <c r="B3127" t="inlineStr">
        <is>
          <t>avverkningsanmälan</t>
        </is>
      </c>
      <c r="C3127" t="inlineStr">
        <is>
          <t>Föryngringsavverkning</t>
        </is>
      </c>
      <c r="D3127" s="1" t="n">
        <v>46281</v>
      </c>
      <c r="E3127" s="1" t="n">
        <v>46309</v>
      </c>
      <c r="F3127" t="inlineStr">
        <is>
          <t>UPPSALA LÄN</t>
        </is>
      </c>
      <c r="G3127" t="inlineStr">
        <is>
          <t>ENKÖPING</t>
        </is>
      </c>
      <c r="I3127" t="n">
        <v>0.7</v>
      </c>
      <c r="J3127" t="n">
        <v>0</v>
      </c>
      <c r="K3127" t="n">
        <v>0</v>
      </c>
      <c r="L3127" t="n">
        <v>0</v>
      </c>
      <c r="M3127" t="n">
        <v>0</v>
      </c>
      <c r="N3127" t="n">
        <v>0</v>
      </c>
      <c r="O3127" t="n">
        <v>0</v>
      </c>
      <c r="P3127" t="n">
        <v>0</v>
      </c>
      <c r="Q3127" t="n">
        <v>0</v>
      </c>
      <c r="R3127" t="n">
        <v>0</v>
      </c>
      <c r="S3127" t="n">
        <v>0</v>
      </c>
      <c r="T3127" t="n">
        <v>0</v>
      </c>
      <c r="U3127" t="n">
        <v>0</v>
      </c>
      <c r="V3127" s="2" t="inlineStr"/>
    </row>
    <row r="3128" ht="15" customHeight="1">
      <c r="A3128" t="inlineStr">
        <is>
          <t>A 50172-2024</t>
        </is>
      </c>
      <c r="B3128" t="inlineStr">
        <is>
          <t>avverkningsanmälan</t>
        </is>
      </c>
      <c r="C3128" t="inlineStr">
        <is>
          <t>Föryngringsavverkning</t>
        </is>
      </c>
      <c r="D3128" s="1" t="n">
        <v>45599</v>
      </c>
      <c r="E3128" s="1" t="n">
        <v>46309</v>
      </c>
      <c r="F3128" t="inlineStr">
        <is>
          <t>UPPSALA LÄN</t>
        </is>
      </c>
      <c r="G3128" t="inlineStr">
        <is>
          <t>HEBY</t>
        </is>
      </c>
      <c r="H3128" t="inlineStr">
        <is>
          <t>Bergvik skog väst AB</t>
        </is>
      </c>
      <c r="I3128" t="n">
        <v>1</v>
      </c>
      <c r="J3128" t="n">
        <v>0</v>
      </c>
      <c r="K3128" t="n">
        <v>0</v>
      </c>
      <c r="L3128" t="n">
        <v>0</v>
      </c>
      <c r="M3128" t="n">
        <v>0</v>
      </c>
      <c r="N3128" t="n">
        <v>0</v>
      </c>
      <c r="O3128" t="n">
        <v>0</v>
      </c>
      <c r="P3128" t="n">
        <v>0</v>
      </c>
      <c r="Q3128" t="n">
        <v>0</v>
      </c>
      <c r="R3128" t="n">
        <v>0</v>
      </c>
      <c r="S3128" t="n">
        <v>0</v>
      </c>
      <c r="T3128" t="n">
        <v>0</v>
      </c>
      <c r="U3128" t="n">
        <v>0</v>
      </c>
      <c r="V3128" s="2" t="inlineStr"/>
    </row>
    <row r="3129" ht="15" customHeight="1">
      <c r="A3129" t="inlineStr">
        <is>
          <t>A 29115-2023</t>
        </is>
      </c>
      <c r="B3129" t="inlineStr">
        <is>
          <t>avverkningsanmälan</t>
        </is>
      </c>
      <c r="C3129" t="inlineStr">
        <is>
          <t>Föryngringsavverkning</t>
        </is>
      </c>
      <c r="D3129" s="1" t="n">
        <v>45105</v>
      </c>
      <c r="E3129" s="1" t="n">
        <v>46309</v>
      </c>
      <c r="F3129" t="inlineStr">
        <is>
          <t>UPPSALA LÄN</t>
        </is>
      </c>
      <c r="G3129" t="inlineStr">
        <is>
          <t>TIERP</t>
        </is>
      </c>
      <c r="I3129" t="n">
        <v>3.1</v>
      </c>
      <c r="J3129" t="n">
        <v>0</v>
      </c>
      <c r="K3129" t="n">
        <v>0</v>
      </c>
      <c r="L3129" t="n">
        <v>0</v>
      </c>
      <c r="M3129" t="n">
        <v>0</v>
      </c>
      <c r="N3129" t="n">
        <v>0</v>
      </c>
      <c r="O3129" t="n">
        <v>0</v>
      </c>
      <c r="P3129" t="n">
        <v>0</v>
      </c>
      <c r="Q3129" t="n">
        <v>0</v>
      </c>
      <c r="R3129" t="n">
        <v>0</v>
      </c>
      <c r="S3129" t="n">
        <v>0</v>
      </c>
      <c r="T3129" t="n">
        <v>0</v>
      </c>
      <c r="U3129" t="n">
        <v>0</v>
      </c>
      <c r="V3129" s="2" t="inlineStr"/>
    </row>
    <row r="3130" ht="15" customHeight="1">
      <c r="A3130" t="inlineStr">
        <is>
          <t>A 67199-2021</t>
        </is>
      </c>
      <c r="B3130" t="inlineStr">
        <is>
          <t>avverkningsanmälan</t>
        </is>
      </c>
      <c r="C3130" t="inlineStr">
        <is>
          <t>Föryngringsavverkning</t>
        </is>
      </c>
      <c r="D3130" s="1" t="n">
        <v>44523</v>
      </c>
      <c r="E3130" s="1" t="n">
        <v>46309</v>
      </c>
      <c r="F3130" t="inlineStr">
        <is>
          <t>UPPSALA LÄN</t>
        </is>
      </c>
      <c r="G3130" t="inlineStr">
        <is>
          <t>ÖSTHAMMAR</t>
        </is>
      </c>
      <c r="I3130" t="n">
        <v>2.3</v>
      </c>
      <c r="J3130" t="n">
        <v>0</v>
      </c>
      <c r="K3130" t="n">
        <v>0</v>
      </c>
      <c r="L3130" t="n">
        <v>0</v>
      </c>
      <c r="M3130" t="n">
        <v>0</v>
      </c>
      <c r="N3130" t="n">
        <v>0</v>
      </c>
      <c r="O3130" t="n">
        <v>0</v>
      </c>
      <c r="P3130" t="n">
        <v>0</v>
      </c>
      <c r="Q3130" t="n">
        <v>0</v>
      </c>
      <c r="R3130" t="n">
        <v>0</v>
      </c>
      <c r="S3130" t="n">
        <v>0</v>
      </c>
      <c r="T3130" t="n">
        <v>0</v>
      </c>
      <c r="U3130" t="n">
        <v>0</v>
      </c>
      <c r="V3130" s="2" t="inlineStr"/>
    </row>
    <row r="3131" ht="15" customHeight="1">
      <c r="A3131" t="inlineStr">
        <is>
          <t>A 7173-2024</t>
        </is>
      </c>
      <c r="B3131" t="inlineStr">
        <is>
          <t>avverkningsanmälan</t>
        </is>
      </c>
      <c r="C3131" t="inlineStr">
        <is>
          <t>Föryngringsavverkning</t>
        </is>
      </c>
      <c r="D3131" s="1" t="n">
        <v>45344</v>
      </c>
      <c r="E3131" s="1" t="n">
        <v>46309</v>
      </c>
      <c r="F3131" t="inlineStr">
        <is>
          <t>UPPSALA LÄN</t>
        </is>
      </c>
      <c r="G3131" t="inlineStr">
        <is>
          <t>HEBY</t>
        </is>
      </c>
      <c r="I3131" t="n">
        <v>0.5</v>
      </c>
      <c r="J3131" t="n">
        <v>0</v>
      </c>
      <c r="K3131" t="n">
        <v>0</v>
      </c>
      <c r="L3131" t="n">
        <v>0</v>
      </c>
      <c r="M3131" t="n">
        <v>0</v>
      </c>
      <c r="N3131" t="n">
        <v>0</v>
      </c>
      <c r="O3131" t="n">
        <v>0</v>
      </c>
      <c r="P3131" t="n">
        <v>0</v>
      </c>
      <c r="Q3131" t="n">
        <v>0</v>
      </c>
      <c r="R3131" t="n">
        <v>0</v>
      </c>
      <c r="S3131" t="n">
        <v>0</v>
      </c>
      <c r="T3131" t="n">
        <v>0</v>
      </c>
      <c r="U3131" t="n">
        <v>0</v>
      </c>
      <c r="V3131" s="2" t="inlineStr"/>
    </row>
    <row r="3132" ht="15" customHeight="1">
      <c r="A3132" t="inlineStr">
        <is>
          <t>A 38085-2026</t>
        </is>
      </c>
      <c r="B3132" t="inlineStr">
        <is>
          <t>avverkningsanmälan</t>
        </is>
      </c>
      <c r="C3132" t="inlineStr">
        <is>
          <t>Föryngringsavverkning</t>
        </is>
      </c>
      <c r="D3132" s="1" t="n">
        <v>46281</v>
      </c>
      <c r="E3132" s="1" t="n">
        <v>46309</v>
      </c>
      <c r="F3132" t="inlineStr">
        <is>
          <t>UPPSALA LÄN</t>
        </is>
      </c>
      <c r="G3132" t="inlineStr">
        <is>
          <t>UPPSALA</t>
        </is>
      </c>
      <c r="H3132" t="inlineStr">
        <is>
          <t>Bergvik skog öst AB</t>
        </is>
      </c>
      <c r="I3132" t="n">
        <v>2.1</v>
      </c>
      <c r="J3132" t="n">
        <v>0</v>
      </c>
      <c r="K3132" t="n">
        <v>0</v>
      </c>
      <c r="L3132" t="n">
        <v>0</v>
      </c>
      <c r="M3132" t="n">
        <v>0</v>
      </c>
      <c r="N3132" t="n">
        <v>0</v>
      </c>
      <c r="O3132" t="n">
        <v>0</v>
      </c>
      <c r="P3132" t="n">
        <v>0</v>
      </c>
      <c r="Q3132" t="n">
        <v>0</v>
      </c>
      <c r="R3132" t="n">
        <v>0</v>
      </c>
      <c r="S3132" t="n">
        <v>0</v>
      </c>
      <c r="T3132" t="n">
        <v>0</v>
      </c>
      <c r="U3132" t="n">
        <v>0</v>
      </c>
      <c r="V3132" s="2" t="inlineStr"/>
    </row>
    <row r="3133" ht="15" customHeight="1">
      <c r="A3133" t="inlineStr">
        <is>
          <t>A 38324-2026</t>
        </is>
      </c>
      <c r="B3133" t="inlineStr">
        <is>
          <t>avverkningsanmälan</t>
        </is>
      </c>
      <c r="C3133" t="inlineStr">
        <is>
          <t>Föryngringsavverkning</t>
        </is>
      </c>
      <c r="D3133" s="1" t="n">
        <v>46282</v>
      </c>
      <c r="E3133" s="1" t="n">
        <v>46309</v>
      </c>
      <c r="F3133" t="inlineStr">
        <is>
          <t>UPPSALA LÄN</t>
        </is>
      </c>
      <c r="G3133" t="inlineStr">
        <is>
          <t>ÖSTHAMMAR</t>
        </is>
      </c>
      <c r="H3133" t="inlineStr">
        <is>
          <t>Kyrkan</t>
        </is>
      </c>
      <c r="I3133" t="n">
        <v>1.9</v>
      </c>
      <c r="J3133" t="n">
        <v>0</v>
      </c>
      <c r="K3133" t="n">
        <v>0</v>
      </c>
      <c r="L3133" t="n">
        <v>0</v>
      </c>
      <c r="M3133" t="n">
        <v>0</v>
      </c>
      <c r="N3133" t="n">
        <v>0</v>
      </c>
      <c r="O3133" t="n">
        <v>0</v>
      </c>
      <c r="P3133" t="n">
        <v>0</v>
      </c>
      <c r="Q3133" t="n">
        <v>0</v>
      </c>
      <c r="R3133" t="n">
        <v>0</v>
      </c>
      <c r="S3133" t="n">
        <v>0</v>
      </c>
      <c r="T3133" t="n">
        <v>0</v>
      </c>
      <c r="U3133" t="n">
        <v>0</v>
      </c>
      <c r="V3133" s="2" t="inlineStr"/>
    </row>
    <row r="3134" ht="15" customHeight="1">
      <c r="A3134" t="inlineStr">
        <is>
          <t>A 32109-2026</t>
        </is>
      </c>
      <c r="B3134" t="inlineStr">
        <is>
          <t>avverkningsanmälan</t>
        </is>
      </c>
      <c r="C3134" t="inlineStr">
        <is>
          <t>Föryngringsavverkning</t>
        </is>
      </c>
      <c r="D3134" s="1" t="n">
        <v>46234</v>
      </c>
      <c r="E3134" s="1" t="n">
        <v>46309</v>
      </c>
      <c r="F3134" t="inlineStr">
        <is>
          <t>UPPSALA LÄN</t>
        </is>
      </c>
      <c r="G3134" t="inlineStr">
        <is>
          <t>UPPSALA</t>
        </is>
      </c>
      <c r="I3134" t="n">
        <v>2.3</v>
      </c>
      <c r="J3134" t="n">
        <v>0</v>
      </c>
      <c r="K3134" t="n">
        <v>0</v>
      </c>
      <c r="L3134" t="n">
        <v>0</v>
      </c>
      <c r="M3134" t="n">
        <v>0</v>
      </c>
      <c r="N3134" t="n">
        <v>0</v>
      </c>
      <c r="O3134" t="n">
        <v>0</v>
      </c>
      <c r="P3134" t="n">
        <v>0</v>
      </c>
      <c r="Q3134" t="n">
        <v>0</v>
      </c>
      <c r="R3134" t="n">
        <v>0</v>
      </c>
      <c r="S3134" t="n">
        <v>0</v>
      </c>
      <c r="T3134" t="n">
        <v>0</v>
      </c>
      <c r="U3134" t="n">
        <v>0</v>
      </c>
      <c r="V3134" s="2" t="inlineStr"/>
    </row>
    <row r="3135" ht="15" customHeight="1">
      <c r="A3135" t="inlineStr">
        <is>
          <t>A 24259-2022</t>
        </is>
      </c>
      <c r="B3135" t="inlineStr">
        <is>
          <t>avverkningsanmälan</t>
        </is>
      </c>
      <c r="C3135" t="inlineStr">
        <is>
          <t>Föryngringsavverkning</t>
        </is>
      </c>
      <c r="D3135" s="1" t="n">
        <v>44725</v>
      </c>
      <c r="E3135" s="1" t="n">
        <v>46309</v>
      </c>
      <c r="F3135" t="inlineStr">
        <is>
          <t>UPPSALA LÄN</t>
        </is>
      </c>
      <c r="G3135" t="inlineStr">
        <is>
          <t>ÖSTHAMMAR</t>
        </is>
      </c>
      <c r="I3135" t="n">
        <v>2.4</v>
      </c>
      <c r="J3135" t="n">
        <v>0</v>
      </c>
      <c r="K3135" t="n">
        <v>0</v>
      </c>
      <c r="L3135" t="n">
        <v>0</v>
      </c>
      <c r="M3135" t="n">
        <v>0</v>
      </c>
      <c r="N3135" t="n">
        <v>0</v>
      </c>
      <c r="O3135" t="n">
        <v>0</v>
      </c>
      <c r="P3135" t="n">
        <v>0</v>
      </c>
      <c r="Q3135" t="n">
        <v>0</v>
      </c>
      <c r="R3135" t="n">
        <v>0</v>
      </c>
      <c r="S3135" t="n">
        <v>0</v>
      </c>
      <c r="T3135" t="n">
        <v>0</v>
      </c>
      <c r="U3135" t="n">
        <v>0</v>
      </c>
      <c r="V3135" s="2" t="inlineStr"/>
    </row>
    <row r="3136" ht="15" customHeight="1">
      <c r="A3136" t="inlineStr">
        <is>
          <t>A 24341-2022</t>
        </is>
      </c>
      <c r="B3136" t="inlineStr">
        <is>
          <t>avverkningsanmälan</t>
        </is>
      </c>
      <c r="C3136" t="inlineStr">
        <is>
          <t>Föryngringsavverkning</t>
        </is>
      </c>
      <c r="D3136" s="1" t="n">
        <v>44726</v>
      </c>
      <c r="E3136" s="1" t="n">
        <v>46309</v>
      </c>
      <c r="F3136" t="inlineStr">
        <is>
          <t>UPPSALA LÄN</t>
        </is>
      </c>
      <c r="G3136" t="inlineStr">
        <is>
          <t>TIERP</t>
        </is>
      </c>
      <c r="H3136" t="inlineStr">
        <is>
          <t>Bergvik skog väst AB</t>
        </is>
      </c>
      <c r="I3136" t="n">
        <v>8.4</v>
      </c>
      <c r="J3136" t="n">
        <v>0</v>
      </c>
      <c r="K3136" t="n">
        <v>0</v>
      </c>
      <c r="L3136" t="n">
        <v>0</v>
      </c>
      <c r="M3136" t="n">
        <v>0</v>
      </c>
      <c r="N3136" t="n">
        <v>0</v>
      </c>
      <c r="O3136" t="n">
        <v>0</v>
      </c>
      <c r="P3136" t="n">
        <v>0</v>
      </c>
      <c r="Q3136" t="n">
        <v>0</v>
      </c>
      <c r="R3136" t="n">
        <v>0</v>
      </c>
      <c r="S3136" t="n">
        <v>0</v>
      </c>
      <c r="T3136" t="n">
        <v>0</v>
      </c>
      <c r="U3136" t="n">
        <v>0</v>
      </c>
      <c r="V3136" s="2" t="inlineStr"/>
    </row>
    <row r="3137" ht="15" customHeight="1">
      <c r="A3137" t="inlineStr">
        <is>
          <t>A 24367-2022</t>
        </is>
      </c>
      <c r="B3137" t="inlineStr">
        <is>
          <t>avverkningsanmälan</t>
        </is>
      </c>
      <c r="C3137" t="inlineStr">
        <is>
          <t>Föryngringsavverkning</t>
        </is>
      </c>
      <c r="D3137" s="1" t="n">
        <v>44726</v>
      </c>
      <c r="E3137" s="1" t="n">
        <v>46309</v>
      </c>
      <c r="F3137" t="inlineStr">
        <is>
          <t>UPPSALA LÄN</t>
        </is>
      </c>
      <c r="G3137" t="inlineStr">
        <is>
          <t>ÖSTHAMMAR</t>
        </is>
      </c>
      <c r="I3137" t="n">
        <v>2.7</v>
      </c>
      <c r="J3137" t="n">
        <v>0</v>
      </c>
      <c r="K3137" t="n">
        <v>0</v>
      </c>
      <c r="L3137" t="n">
        <v>0</v>
      </c>
      <c r="M3137" t="n">
        <v>0</v>
      </c>
      <c r="N3137" t="n">
        <v>0</v>
      </c>
      <c r="O3137" t="n">
        <v>0</v>
      </c>
      <c r="P3137" t="n">
        <v>0</v>
      </c>
      <c r="Q3137" t="n">
        <v>0</v>
      </c>
      <c r="R3137" t="n">
        <v>0</v>
      </c>
      <c r="S3137" t="n">
        <v>0</v>
      </c>
      <c r="T3137" t="n">
        <v>0</v>
      </c>
      <c r="U3137" t="n">
        <v>0</v>
      </c>
      <c r="V3137" s="2" t="inlineStr"/>
    </row>
    <row r="3138" ht="15" customHeight="1">
      <c r="A3138" t="inlineStr">
        <is>
          <t>A 32515-2026</t>
        </is>
      </c>
      <c r="B3138" t="inlineStr">
        <is>
          <t>avverkningsanmälan</t>
        </is>
      </c>
      <c r="C3138" t="inlineStr">
        <is>
          <t>Föryngringsavverkning</t>
        </is>
      </c>
      <c r="D3138" s="1" t="n">
        <v>46239</v>
      </c>
      <c r="E3138" s="1" t="n">
        <v>46309</v>
      </c>
      <c r="F3138" t="inlineStr">
        <is>
          <t>UPPSALA LÄN</t>
        </is>
      </c>
      <c r="G3138" t="inlineStr">
        <is>
          <t>ÖSTHAMMAR</t>
        </is>
      </c>
      <c r="H3138" t="inlineStr">
        <is>
          <t>Bergvik skog öst AB</t>
        </is>
      </c>
      <c r="I3138" t="n">
        <v>1.8</v>
      </c>
      <c r="J3138" t="n">
        <v>0</v>
      </c>
      <c r="K3138" t="n">
        <v>0</v>
      </c>
      <c r="L3138" t="n">
        <v>0</v>
      </c>
      <c r="M3138" t="n">
        <v>0</v>
      </c>
      <c r="N3138" t="n">
        <v>0</v>
      </c>
      <c r="O3138" t="n">
        <v>0</v>
      </c>
      <c r="P3138" t="n">
        <v>0</v>
      </c>
      <c r="Q3138" t="n">
        <v>0</v>
      </c>
      <c r="R3138" t="n">
        <v>0</v>
      </c>
      <c r="S3138" t="n">
        <v>0</v>
      </c>
      <c r="T3138" t="n">
        <v>0</v>
      </c>
      <c r="U3138" t="n">
        <v>0</v>
      </c>
      <c r="V3138" s="2" t="inlineStr"/>
    </row>
    <row r="3139" ht="15" customHeight="1">
      <c r="A3139" t="inlineStr">
        <is>
          <t>A 49897-2023</t>
        </is>
      </c>
      <c r="B3139" t="inlineStr">
        <is>
          <t>avverkningsanmälan</t>
        </is>
      </c>
      <c r="C3139" t="inlineStr">
        <is>
          <t>Avverkning för att bevara och utveckla /försöksver</t>
        </is>
      </c>
      <c r="D3139" s="1" t="n">
        <v>45213</v>
      </c>
      <c r="E3139" s="1" t="n">
        <v>46309</v>
      </c>
      <c r="F3139" t="inlineStr">
        <is>
          <t>UPPSALA LÄN</t>
        </is>
      </c>
      <c r="G3139" t="inlineStr">
        <is>
          <t>ÖSTHAMMAR</t>
        </is>
      </c>
      <c r="I3139" t="n">
        <v>9.199999999999999</v>
      </c>
      <c r="J3139" t="n">
        <v>0</v>
      </c>
      <c r="K3139" t="n">
        <v>0</v>
      </c>
      <c r="L3139" t="n">
        <v>0</v>
      </c>
      <c r="M3139" t="n">
        <v>0</v>
      </c>
      <c r="N3139" t="n">
        <v>0</v>
      </c>
      <c r="O3139" t="n">
        <v>0</v>
      </c>
      <c r="P3139" t="n">
        <v>0</v>
      </c>
      <c r="Q3139" t="n">
        <v>0</v>
      </c>
      <c r="R3139" t="n">
        <v>0</v>
      </c>
      <c r="S3139" t="n">
        <v>0</v>
      </c>
      <c r="T3139" t="n">
        <v>0</v>
      </c>
      <c r="U3139" t="n">
        <v>0</v>
      </c>
      <c r="V3139" s="2" t="inlineStr"/>
    </row>
    <row r="3140" ht="15" customHeight="1">
      <c r="A3140" t="inlineStr">
        <is>
          <t>A 34922-2023</t>
        </is>
      </c>
      <c r="B3140" t="inlineStr">
        <is>
          <t>avverkningsanmälan</t>
        </is>
      </c>
      <c r="C3140" t="inlineStr">
        <is>
          <t>Föryngringsavverkning</t>
        </is>
      </c>
      <c r="D3140" s="1" t="n">
        <v>45142</v>
      </c>
      <c r="E3140" s="1" t="n">
        <v>46309</v>
      </c>
      <c r="F3140" t="inlineStr">
        <is>
          <t>UPPSALA LÄN</t>
        </is>
      </c>
      <c r="G3140" t="inlineStr">
        <is>
          <t>ÖSTHAMMAR</t>
        </is>
      </c>
      <c r="H3140" t="inlineStr">
        <is>
          <t>Bergvik skog öst AB</t>
        </is>
      </c>
      <c r="I3140" t="n">
        <v>0.5</v>
      </c>
      <c r="J3140" t="n">
        <v>0</v>
      </c>
      <c r="K3140" t="n">
        <v>0</v>
      </c>
      <c r="L3140" t="n">
        <v>0</v>
      </c>
      <c r="M3140" t="n">
        <v>0</v>
      </c>
      <c r="N3140" t="n">
        <v>0</v>
      </c>
      <c r="O3140" t="n">
        <v>0</v>
      </c>
      <c r="P3140" t="n">
        <v>0</v>
      </c>
      <c r="Q3140" t="n">
        <v>0</v>
      </c>
      <c r="R3140" t="n">
        <v>0</v>
      </c>
      <c r="S3140" t="n">
        <v>0</v>
      </c>
      <c r="T3140" t="n">
        <v>0</v>
      </c>
      <c r="U3140" t="n">
        <v>0</v>
      </c>
      <c r="V3140" s="2" t="inlineStr"/>
    </row>
    <row r="3141" ht="15" customHeight="1">
      <c r="A3141" t="inlineStr">
        <is>
          <t>A 38636-2026</t>
        </is>
      </c>
      <c r="B3141" t="inlineStr">
        <is>
          <t>avverkningsanmälan</t>
        </is>
      </c>
      <c r="C3141" t="inlineStr">
        <is>
          <t>Föryngringsavverkning</t>
        </is>
      </c>
      <c r="D3141" s="1" t="n">
        <v>46283</v>
      </c>
      <c r="E3141" s="1" t="n">
        <v>46309</v>
      </c>
      <c r="F3141" t="inlineStr">
        <is>
          <t>UPPSALA LÄN</t>
        </is>
      </c>
      <c r="G3141" t="inlineStr">
        <is>
          <t>ÄLVKARLEBY</t>
        </is>
      </c>
      <c r="H3141" t="inlineStr">
        <is>
          <t>Bergvik skog väst AB</t>
        </is>
      </c>
      <c r="I3141" t="n">
        <v>1</v>
      </c>
      <c r="J3141" t="n">
        <v>0</v>
      </c>
      <c r="K3141" t="n">
        <v>0</v>
      </c>
      <c r="L3141" t="n">
        <v>0</v>
      </c>
      <c r="M3141" t="n">
        <v>0</v>
      </c>
      <c r="N3141" t="n">
        <v>0</v>
      </c>
      <c r="O3141" t="n">
        <v>0</v>
      </c>
      <c r="P3141" t="n">
        <v>0</v>
      </c>
      <c r="Q3141" t="n">
        <v>0</v>
      </c>
      <c r="R3141" t="n">
        <v>0</v>
      </c>
      <c r="S3141" t="n">
        <v>0</v>
      </c>
      <c r="T3141" t="n">
        <v>0</v>
      </c>
      <c r="U3141" t="n">
        <v>0</v>
      </c>
      <c r="V3141" s="2" t="inlineStr"/>
    </row>
    <row r="3142" ht="15" customHeight="1">
      <c r="A3142" t="inlineStr">
        <is>
          <t>A 26404-2024</t>
        </is>
      </c>
      <c r="B3142" t="inlineStr">
        <is>
          <t>avverkningsanmälan</t>
        </is>
      </c>
      <c r="C3142" t="inlineStr">
        <is>
          <t>Föryngringsavverkning</t>
        </is>
      </c>
      <c r="D3142" s="1" t="n">
        <v>45469</v>
      </c>
      <c r="E3142" s="1" t="n">
        <v>46309</v>
      </c>
      <c r="F3142" t="inlineStr">
        <is>
          <t>UPPSALA LÄN</t>
        </is>
      </c>
      <c r="G3142" t="inlineStr">
        <is>
          <t>TIERP</t>
        </is>
      </c>
      <c r="I3142" t="n">
        <v>3.4</v>
      </c>
      <c r="J3142" t="n">
        <v>0</v>
      </c>
      <c r="K3142" t="n">
        <v>0</v>
      </c>
      <c r="L3142" t="n">
        <v>0</v>
      </c>
      <c r="M3142" t="n">
        <v>0</v>
      </c>
      <c r="N3142" t="n">
        <v>0</v>
      </c>
      <c r="O3142" t="n">
        <v>0</v>
      </c>
      <c r="P3142" t="n">
        <v>0</v>
      </c>
      <c r="Q3142" t="n">
        <v>0</v>
      </c>
      <c r="R3142" t="n">
        <v>0</v>
      </c>
      <c r="S3142" t="n">
        <v>0</v>
      </c>
      <c r="T3142" t="n">
        <v>0</v>
      </c>
      <c r="U3142" t="n">
        <v>0</v>
      </c>
      <c r="V3142" s="2" t="inlineStr"/>
    </row>
    <row r="3143" ht="15" customHeight="1">
      <c r="A3143" t="inlineStr">
        <is>
          <t>A 32593-2026</t>
        </is>
      </c>
      <c r="B3143" t="inlineStr">
        <is>
          <t>avverkningsanmälan</t>
        </is>
      </c>
      <c r="C3143" t="inlineStr">
        <is>
          <t>Föryngringsavverkning</t>
        </is>
      </c>
      <c r="D3143" s="1" t="n">
        <v>46240</v>
      </c>
      <c r="E3143" s="1" t="n">
        <v>46309</v>
      </c>
      <c r="F3143" t="inlineStr">
        <is>
          <t>UPPSALA LÄN</t>
        </is>
      </c>
      <c r="G3143" t="inlineStr">
        <is>
          <t>ÖSTHAMMAR</t>
        </is>
      </c>
      <c r="I3143" t="n">
        <v>0.9</v>
      </c>
      <c r="J3143" t="n">
        <v>0</v>
      </c>
      <c r="K3143" t="n">
        <v>0</v>
      </c>
      <c r="L3143" t="n">
        <v>0</v>
      </c>
      <c r="M3143" t="n">
        <v>0</v>
      </c>
      <c r="N3143" t="n">
        <v>0</v>
      </c>
      <c r="O3143" t="n">
        <v>0</v>
      </c>
      <c r="P3143" t="n">
        <v>0</v>
      </c>
      <c r="Q3143" t="n">
        <v>0</v>
      </c>
      <c r="R3143" t="n">
        <v>0</v>
      </c>
      <c r="S3143" t="n">
        <v>0</v>
      </c>
      <c r="T3143" t="n">
        <v>0</v>
      </c>
      <c r="U3143" t="n">
        <v>0</v>
      </c>
      <c r="V3143" s="2" t="inlineStr"/>
    </row>
    <row r="3144" ht="15" customHeight="1">
      <c r="A3144" t="inlineStr">
        <is>
          <t>A 40325-2023</t>
        </is>
      </c>
      <c r="B3144" t="inlineStr">
        <is>
          <t>avverkningsanmälan</t>
        </is>
      </c>
      <c r="C3144" t="inlineStr">
        <is>
          <t>Föryngringsavverkning</t>
        </is>
      </c>
      <c r="D3144" s="1" t="n">
        <v>45169</v>
      </c>
      <c r="E3144" s="1" t="n">
        <v>46309</v>
      </c>
      <c r="F3144" t="inlineStr">
        <is>
          <t>UPPSALA LÄN</t>
        </is>
      </c>
      <c r="G3144" t="inlineStr">
        <is>
          <t>UPPSALA</t>
        </is>
      </c>
      <c r="H3144" t="inlineStr">
        <is>
          <t>Kommuner</t>
        </is>
      </c>
      <c r="I3144" t="n">
        <v>1.3</v>
      </c>
      <c r="J3144" t="n">
        <v>0</v>
      </c>
      <c r="K3144" t="n">
        <v>0</v>
      </c>
      <c r="L3144" t="n">
        <v>0</v>
      </c>
      <c r="M3144" t="n">
        <v>0</v>
      </c>
      <c r="N3144" t="n">
        <v>0</v>
      </c>
      <c r="O3144" t="n">
        <v>0</v>
      </c>
      <c r="P3144" t="n">
        <v>0</v>
      </c>
      <c r="Q3144" t="n">
        <v>0</v>
      </c>
      <c r="R3144" t="n">
        <v>0</v>
      </c>
      <c r="S3144" t="n">
        <v>0</v>
      </c>
      <c r="T3144" t="n">
        <v>0</v>
      </c>
      <c r="U3144" t="n">
        <v>0</v>
      </c>
      <c r="V3144" s="2" t="inlineStr"/>
    </row>
    <row r="3145" ht="15" customHeight="1">
      <c r="A3145" t="inlineStr">
        <is>
          <t>A 38464-2023</t>
        </is>
      </c>
      <c r="B3145" t="inlineStr">
        <is>
          <t>avverkningsanmälan</t>
        </is>
      </c>
      <c r="C3145" t="inlineStr">
        <is>
          <t>Föryngringsavverkning</t>
        </is>
      </c>
      <c r="D3145" s="1" t="n">
        <v>45162</v>
      </c>
      <c r="E3145" s="1" t="n">
        <v>46309</v>
      </c>
      <c r="F3145" t="inlineStr">
        <is>
          <t>UPPSALA LÄN</t>
        </is>
      </c>
      <c r="G3145" t="inlineStr">
        <is>
          <t>TIERP</t>
        </is>
      </c>
      <c r="I3145" t="n">
        <v>1.4</v>
      </c>
      <c r="J3145" t="n">
        <v>0</v>
      </c>
      <c r="K3145" t="n">
        <v>0</v>
      </c>
      <c r="L3145" t="n">
        <v>0</v>
      </c>
      <c r="M3145" t="n">
        <v>0</v>
      </c>
      <c r="N3145" t="n">
        <v>0</v>
      </c>
      <c r="O3145" t="n">
        <v>0</v>
      </c>
      <c r="P3145" t="n">
        <v>0</v>
      </c>
      <c r="Q3145" t="n">
        <v>0</v>
      </c>
      <c r="R3145" t="n">
        <v>0</v>
      </c>
      <c r="S3145" t="n">
        <v>0</v>
      </c>
      <c r="T3145" t="n">
        <v>0</v>
      </c>
      <c r="U3145" t="n">
        <v>0</v>
      </c>
      <c r="V3145" s="2" t="inlineStr"/>
    </row>
    <row r="3146" ht="15" customHeight="1">
      <c r="A3146" t="inlineStr">
        <is>
          <t>A 38761-2026</t>
        </is>
      </c>
      <c r="B3146" t="inlineStr">
        <is>
          <t>avverkningsanmälan</t>
        </is>
      </c>
      <c r="C3146" t="inlineStr">
        <is>
          <t>Föryngringsavverkning</t>
        </is>
      </c>
      <c r="D3146" s="1" t="n">
        <v>46286</v>
      </c>
      <c r="E3146" s="1" t="n">
        <v>46309</v>
      </c>
      <c r="F3146" t="inlineStr">
        <is>
          <t>UPPSALA LÄN</t>
        </is>
      </c>
      <c r="G3146" t="inlineStr">
        <is>
          <t>TIERP</t>
        </is>
      </c>
      <c r="H3146" t="inlineStr">
        <is>
          <t>Bergvik skog öst AB</t>
        </is>
      </c>
      <c r="I3146" t="n">
        <v>1.3</v>
      </c>
      <c r="J3146" t="n">
        <v>0</v>
      </c>
      <c r="K3146" t="n">
        <v>0</v>
      </c>
      <c r="L3146" t="n">
        <v>0</v>
      </c>
      <c r="M3146" t="n">
        <v>0</v>
      </c>
      <c r="N3146" t="n">
        <v>0</v>
      </c>
      <c r="O3146" t="n">
        <v>0</v>
      </c>
      <c r="P3146" t="n">
        <v>0</v>
      </c>
      <c r="Q3146" t="n">
        <v>0</v>
      </c>
      <c r="R3146" t="n">
        <v>0</v>
      </c>
      <c r="S3146" t="n">
        <v>0</v>
      </c>
      <c r="T3146" t="n">
        <v>0</v>
      </c>
      <c r="U3146" t="n">
        <v>0</v>
      </c>
      <c r="V3146" s="2" t="inlineStr"/>
    </row>
    <row r="3147" ht="15" customHeight="1">
      <c r="A3147" t="inlineStr">
        <is>
          <t>A 32703-2026</t>
        </is>
      </c>
      <c r="B3147" t="inlineStr">
        <is>
          <t>avverkningsanmälan</t>
        </is>
      </c>
      <c r="C3147" t="inlineStr">
        <is>
          <t>Föryngringsavverkning</t>
        </is>
      </c>
      <c r="D3147" s="1" t="n">
        <v>46240</v>
      </c>
      <c r="E3147" s="1" t="n">
        <v>46309</v>
      </c>
      <c r="F3147" t="inlineStr">
        <is>
          <t>UPPSALA LÄN</t>
        </is>
      </c>
      <c r="G3147" t="inlineStr">
        <is>
          <t>UPPSALA</t>
        </is>
      </c>
      <c r="I3147" t="n">
        <v>0.8</v>
      </c>
      <c r="J3147" t="n">
        <v>0</v>
      </c>
      <c r="K3147" t="n">
        <v>0</v>
      </c>
      <c r="L3147" t="n">
        <v>0</v>
      </c>
      <c r="M3147" t="n">
        <v>0</v>
      </c>
      <c r="N3147" t="n">
        <v>0</v>
      </c>
      <c r="O3147" t="n">
        <v>0</v>
      </c>
      <c r="P3147" t="n">
        <v>0</v>
      </c>
      <c r="Q3147" t="n">
        <v>0</v>
      </c>
      <c r="R3147" t="n">
        <v>0</v>
      </c>
      <c r="S3147" t="n">
        <v>0</v>
      </c>
      <c r="T3147" t="n">
        <v>0</v>
      </c>
      <c r="U3147" t="n">
        <v>0</v>
      </c>
      <c r="V3147" s="2" t="inlineStr"/>
    </row>
    <row r="3148" ht="15" customHeight="1">
      <c r="A3148" t="inlineStr">
        <is>
          <t>A 50998-2023</t>
        </is>
      </c>
      <c r="B3148" t="inlineStr">
        <is>
          <t>avverkningsanmälan</t>
        </is>
      </c>
      <c r="C3148" t="inlineStr">
        <is>
          <t>Föryngringsavverkning</t>
        </is>
      </c>
      <c r="D3148" s="1" t="n">
        <v>45218</v>
      </c>
      <c r="E3148" s="1" t="n">
        <v>46309</v>
      </c>
      <c r="F3148" t="inlineStr">
        <is>
          <t>UPPSALA LÄN</t>
        </is>
      </c>
      <c r="G3148" t="inlineStr">
        <is>
          <t>ÖSTHAMMAR</t>
        </is>
      </c>
      <c r="I3148" t="n">
        <v>3.6</v>
      </c>
      <c r="J3148" t="n">
        <v>0</v>
      </c>
      <c r="K3148" t="n">
        <v>0</v>
      </c>
      <c r="L3148" t="n">
        <v>0</v>
      </c>
      <c r="M3148" t="n">
        <v>0</v>
      </c>
      <c r="N3148" t="n">
        <v>0</v>
      </c>
      <c r="O3148" t="n">
        <v>0</v>
      </c>
      <c r="P3148" t="n">
        <v>0</v>
      </c>
      <c r="Q3148" t="n">
        <v>0</v>
      </c>
      <c r="R3148" t="n">
        <v>0</v>
      </c>
      <c r="S3148" t="n">
        <v>0</v>
      </c>
      <c r="T3148" t="n">
        <v>0</v>
      </c>
      <c r="U3148" t="n">
        <v>0</v>
      </c>
      <c r="V3148" s="2" t="inlineStr"/>
    </row>
    <row r="3149" ht="15" customHeight="1">
      <c r="A3149" t="inlineStr">
        <is>
          <t>A 38964-2026</t>
        </is>
      </c>
      <c r="B3149" t="inlineStr">
        <is>
          <t>avverkningsanmälan</t>
        </is>
      </c>
      <c r="C3149" t="inlineStr">
        <is>
          <t>Föryngringsavverkning</t>
        </is>
      </c>
      <c r="D3149" s="1" t="n">
        <v>46286</v>
      </c>
      <c r="E3149" s="1" t="n">
        <v>46309</v>
      </c>
      <c r="F3149" t="inlineStr">
        <is>
          <t>UPPSALA LÄN</t>
        </is>
      </c>
      <c r="G3149" t="inlineStr">
        <is>
          <t>ÖSTHAMMAR</t>
        </is>
      </c>
      <c r="I3149" t="n">
        <v>12.8</v>
      </c>
      <c r="J3149" t="n">
        <v>0</v>
      </c>
      <c r="K3149" t="n">
        <v>0</v>
      </c>
      <c r="L3149" t="n">
        <v>0</v>
      </c>
      <c r="M3149" t="n">
        <v>0</v>
      </c>
      <c r="N3149" t="n">
        <v>0</v>
      </c>
      <c r="O3149" t="n">
        <v>0</v>
      </c>
      <c r="P3149" t="n">
        <v>0</v>
      </c>
      <c r="Q3149" t="n">
        <v>0</v>
      </c>
      <c r="R3149" t="n">
        <v>0</v>
      </c>
      <c r="S3149" t="n">
        <v>0</v>
      </c>
      <c r="T3149" t="n">
        <v>0</v>
      </c>
      <c r="U3149" t="n">
        <v>0</v>
      </c>
      <c r="V3149" s="2" t="inlineStr"/>
    </row>
    <row r="3150" ht="15" customHeight="1">
      <c r="A3150" t="inlineStr">
        <is>
          <t>A 56872-2023</t>
        </is>
      </c>
      <c r="B3150" t="inlineStr">
        <is>
          <t>avverkningsanmälan</t>
        </is>
      </c>
      <c r="C3150" t="inlineStr">
        <is>
          <t>Föryngringsavverkning</t>
        </is>
      </c>
      <c r="D3150" s="1" t="n">
        <v>45244</v>
      </c>
      <c r="E3150" s="1" t="n">
        <v>46309</v>
      </c>
      <c r="F3150" t="inlineStr">
        <is>
          <t>UPPSALA LÄN</t>
        </is>
      </c>
      <c r="G3150" t="inlineStr">
        <is>
          <t>UPPSALA</t>
        </is>
      </c>
      <c r="H3150" t="inlineStr">
        <is>
          <t>Holmen skog AB</t>
        </is>
      </c>
      <c r="I3150" t="n">
        <v>3.5</v>
      </c>
      <c r="J3150" t="n">
        <v>0</v>
      </c>
      <c r="K3150" t="n">
        <v>0</v>
      </c>
      <c r="L3150" t="n">
        <v>0</v>
      </c>
      <c r="M3150" t="n">
        <v>0</v>
      </c>
      <c r="N3150" t="n">
        <v>0</v>
      </c>
      <c r="O3150" t="n">
        <v>0</v>
      </c>
      <c r="P3150" t="n">
        <v>0</v>
      </c>
      <c r="Q3150" t="n">
        <v>0</v>
      </c>
      <c r="R3150" t="n">
        <v>0</v>
      </c>
      <c r="S3150" t="n">
        <v>0</v>
      </c>
      <c r="T3150" t="n">
        <v>0</v>
      </c>
      <c r="U3150" t="n">
        <v>0</v>
      </c>
      <c r="V3150" s="2" t="inlineStr"/>
    </row>
    <row r="3151" ht="15" customHeight="1">
      <c r="A3151" t="inlineStr">
        <is>
          <t>A 20301-2024</t>
        </is>
      </c>
      <c r="B3151" t="inlineStr">
        <is>
          <t>avverkningsanmälan</t>
        </is>
      </c>
      <c r="C3151" t="inlineStr">
        <is>
          <t>Föryngringsavverkning</t>
        </is>
      </c>
      <c r="D3151" s="1" t="n">
        <v>45435</v>
      </c>
      <c r="E3151" s="1" t="n">
        <v>46309</v>
      </c>
      <c r="F3151" t="inlineStr">
        <is>
          <t>UPPSALA LÄN</t>
        </is>
      </c>
      <c r="G3151" t="inlineStr">
        <is>
          <t>UPPSALA</t>
        </is>
      </c>
      <c r="H3151" t="inlineStr">
        <is>
          <t>Kyrkan</t>
        </is>
      </c>
      <c r="I3151" t="n">
        <v>2.8</v>
      </c>
      <c r="J3151" t="n">
        <v>0</v>
      </c>
      <c r="K3151" t="n">
        <v>0</v>
      </c>
      <c r="L3151" t="n">
        <v>0</v>
      </c>
      <c r="M3151" t="n">
        <v>0</v>
      </c>
      <c r="N3151" t="n">
        <v>0</v>
      </c>
      <c r="O3151" t="n">
        <v>0</v>
      </c>
      <c r="P3151" t="n">
        <v>0</v>
      </c>
      <c r="Q3151" t="n">
        <v>0</v>
      </c>
      <c r="R3151" t="n">
        <v>0</v>
      </c>
      <c r="S3151" t="n">
        <v>0</v>
      </c>
      <c r="T3151" t="n">
        <v>0</v>
      </c>
      <c r="U3151" t="n">
        <v>0</v>
      </c>
      <c r="V3151" s="2" t="inlineStr"/>
    </row>
    <row r="3152" ht="15" customHeight="1">
      <c r="A3152" t="inlineStr">
        <is>
          <t>A 18805-2025</t>
        </is>
      </c>
      <c r="B3152" t="inlineStr">
        <is>
          <t>avverkningsanmälan</t>
        </is>
      </c>
      <c r="C3152" t="inlineStr">
        <is>
          <t>Föryngringsavverkning</t>
        </is>
      </c>
      <c r="D3152" s="1" t="n">
        <v>45763</v>
      </c>
      <c r="E3152" s="1" t="n">
        <v>46309</v>
      </c>
      <c r="F3152" t="inlineStr">
        <is>
          <t>UPPSALA LÄN</t>
        </is>
      </c>
      <c r="G3152" t="inlineStr">
        <is>
          <t>UPPSALA</t>
        </is>
      </c>
      <c r="I3152" t="n">
        <v>0.8</v>
      </c>
      <c r="J3152" t="n">
        <v>0</v>
      </c>
      <c r="K3152" t="n">
        <v>0</v>
      </c>
      <c r="L3152" t="n">
        <v>0</v>
      </c>
      <c r="M3152" t="n">
        <v>0</v>
      </c>
      <c r="N3152" t="n">
        <v>0</v>
      </c>
      <c r="O3152" t="n">
        <v>0</v>
      </c>
      <c r="P3152" t="n">
        <v>0</v>
      </c>
      <c r="Q3152" t="n">
        <v>0</v>
      </c>
      <c r="R3152" t="n">
        <v>0</v>
      </c>
      <c r="S3152" t="n">
        <v>0</v>
      </c>
      <c r="T3152" t="n">
        <v>0</v>
      </c>
      <c r="U3152" t="n">
        <v>0</v>
      </c>
      <c r="V3152" s="2" t="inlineStr"/>
    </row>
    <row r="3153" ht="15" customHeight="1">
      <c r="A3153" t="inlineStr">
        <is>
          <t>A 60456-2022</t>
        </is>
      </c>
      <c r="B3153" t="inlineStr">
        <is>
          <t>avverkningsanmälan</t>
        </is>
      </c>
      <c r="C3153" t="inlineStr">
        <is>
          <t>Föryngringsavverkning</t>
        </is>
      </c>
      <c r="D3153" s="1" t="n">
        <v>44911</v>
      </c>
      <c r="E3153" s="1" t="n">
        <v>46309</v>
      </c>
      <c r="F3153" t="inlineStr">
        <is>
          <t>UPPSALA LÄN</t>
        </is>
      </c>
      <c r="G3153" t="inlineStr">
        <is>
          <t>HEBY</t>
        </is>
      </c>
      <c r="I3153" t="n">
        <v>2.2</v>
      </c>
      <c r="J3153" t="n">
        <v>0</v>
      </c>
      <c r="K3153" t="n">
        <v>0</v>
      </c>
      <c r="L3153" t="n">
        <v>0</v>
      </c>
      <c r="M3153" t="n">
        <v>0</v>
      </c>
      <c r="N3153" t="n">
        <v>0</v>
      </c>
      <c r="O3153" t="n">
        <v>0</v>
      </c>
      <c r="P3153" t="n">
        <v>0</v>
      </c>
      <c r="Q3153" t="n">
        <v>0</v>
      </c>
      <c r="R3153" t="n">
        <v>0</v>
      </c>
      <c r="S3153" t="n">
        <v>0</v>
      </c>
      <c r="T3153" t="n">
        <v>0</v>
      </c>
      <c r="U3153" t="n">
        <v>0</v>
      </c>
      <c r="V3153" s="2" t="inlineStr"/>
    </row>
    <row r="3154" ht="15" customHeight="1">
      <c r="A3154" t="inlineStr">
        <is>
          <t>A 38696-2026</t>
        </is>
      </c>
      <c r="B3154" t="inlineStr">
        <is>
          <t>avverkningsanmälan</t>
        </is>
      </c>
      <c r="C3154" t="inlineStr">
        <is>
          <t>Avverkning för annat ändamål</t>
        </is>
      </c>
      <c r="D3154" s="1" t="n">
        <v>46283</v>
      </c>
      <c r="E3154" s="1" t="n">
        <v>46309</v>
      </c>
      <c r="F3154" t="inlineStr">
        <is>
          <t>UPPSALA LÄN</t>
        </is>
      </c>
      <c r="G3154" t="inlineStr">
        <is>
          <t>UPPSALA</t>
        </is>
      </c>
      <c r="I3154" t="n">
        <v>2.1</v>
      </c>
      <c r="J3154" t="n">
        <v>0</v>
      </c>
      <c r="K3154" t="n">
        <v>0</v>
      </c>
      <c r="L3154" t="n">
        <v>0</v>
      </c>
      <c r="M3154" t="n">
        <v>0</v>
      </c>
      <c r="N3154" t="n">
        <v>0</v>
      </c>
      <c r="O3154" t="n">
        <v>0</v>
      </c>
      <c r="P3154" t="n">
        <v>0</v>
      </c>
      <c r="Q3154" t="n">
        <v>0</v>
      </c>
      <c r="R3154" t="n">
        <v>0</v>
      </c>
      <c r="S3154" t="n">
        <v>0</v>
      </c>
      <c r="T3154" t="n">
        <v>0</v>
      </c>
      <c r="U3154" t="n">
        <v>0</v>
      </c>
      <c r="V3154" s="2" t="inlineStr"/>
    </row>
    <row r="3155" ht="15" customHeight="1">
      <c r="A3155" t="inlineStr">
        <is>
          <t>A 58147-2024</t>
        </is>
      </c>
      <c r="B3155" t="inlineStr">
        <is>
          <t>avverkningsanmälan</t>
        </is>
      </c>
      <c r="C3155" t="inlineStr">
        <is>
          <t>Föryngringsavverkning</t>
        </is>
      </c>
      <c r="D3155" s="1" t="n">
        <v>45632</v>
      </c>
      <c r="E3155" s="1" t="n">
        <v>46309</v>
      </c>
      <c r="F3155" t="inlineStr">
        <is>
          <t>UPPSALA LÄN</t>
        </is>
      </c>
      <c r="G3155" t="inlineStr">
        <is>
          <t>ENKÖPING</t>
        </is>
      </c>
      <c r="I3155" t="n">
        <v>3</v>
      </c>
      <c r="J3155" t="n">
        <v>0</v>
      </c>
      <c r="K3155" t="n">
        <v>0</v>
      </c>
      <c r="L3155" t="n">
        <v>0</v>
      </c>
      <c r="M3155" t="n">
        <v>0</v>
      </c>
      <c r="N3155" t="n">
        <v>0</v>
      </c>
      <c r="O3155" t="n">
        <v>0</v>
      </c>
      <c r="P3155" t="n">
        <v>0</v>
      </c>
      <c r="Q3155" t="n">
        <v>0</v>
      </c>
      <c r="R3155" t="n">
        <v>0</v>
      </c>
      <c r="S3155" t="n">
        <v>0</v>
      </c>
      <c r="T3155" t="n">
        <v>0</v>
      </c>
      <c r="U3155" t="n">
        <v>0</v>
      </c>
      <c r="V3155" s="2" t="inlineStr"/>
    </row>
    <row r="3156" ht="15" customHeight="1">
      <c r="A3156" t="inlineStr">
        <is>
          <t>A 31669-2022</t>
        </is>
      </c>
      <c r="B3156" t="inlineStr">
        <is>
          <t>avverkningsanmälan</t>
        </is>
      </c>
      <c r="C3156" t="inlineStr">
        <is>
          <t>Föryngringsavverkning</t>
        </is>
      </c>
      <c r="D3156" s="1" t="n">
        <v>44775</v>
      </c>
      <c r="E3156" s="1" t="n">
        <v>46309</v>
      </c>
      <c r="F3156" t="inlineStr">
        <is>
          <t>UPPSALA LÄN</t>
        </is>
      </c>
      <c r="G3156" t="inlineStr">
        <is>
          <t>ÖSTHAMMAR</t>
        </is>
      </c>
      <c r="I3156" t="n">
        <v>6</v>
      </c>
      <c r="J3156" t="n">
        <v>0</v>
      </c>
      <c r="K3156" t="n">
        <v>0</v>
      </c>
      <c r="L3156" t="n">
        <v>0</v>
      </c>
      <c r="M3156" t="n">
        <v>0</v>
      </c>
      <c r="N3156" t="n">
        <v>0</v>
      </c>
      <c r="O3156" t="n">
        <v>0</v>
      </c>
      <c r="P3156" t="n">
        <v>0</v>
      </c>
      <c r="Q3156" t="n">
        <v>0</v>
      </c>
      <c r="R3156" t="n">
        <v>0</v>
      </c>
      <c r="S3156" t="n">
        <v>0</v>
      </c>
      <c r="T3156" t="n">
        <v>0</v>
      </c>
      <c r="U3156" t="n">
        <v>0</v>
      </c>
      <c r="V3156" s="2" t="inlineStr"/>
    </row>
    <row r="3157" ht="15" customHeight="1">
      <c r="A3157" t="inlineStr">
        <is>
          <t>A 32694-2026</t>
        </is>
      </c>
      <c r="B3157" t="inlineStr">
        <is>
          <t>avverkningsanmälan</t>
        </is>
      </c>
      <c r="C3157" t="inlineStr">
        <is>
          <t>Föryngringsavverkning</t>
        </is>
      </c>
      <c r="D3157" s="1" t="n">
        <v>46240</v>
      </c>
      <c r="E3157" s="1" t="n">
        <v>46309</v>
      </c>
      <c r="F3157" t="inlineStr">
        <is>
          <t>UPPSALA LÄN</t>
        </is>
      </c>
      <c r="G3157" t="inlineStr">
        <is>
          <t>ÖSTHAMMAR</t>
        </is>
      </c>
      <c r="H3157" t="inlineStr">
        <is>
          <t>Bergvik skog öst AB</t>
        </is>
      </c>
      <c r="I3157" t="n">
        <v>1.9</v>
      </c>
      <c r="J3157" t="n">
        <v>0</v>
      </c>
      <c r="K3157" t="n">
        <v>0</v>
      </c>
      <c r="L3157" t="n">
        <v>0</v>
      </c>
      <c r="M3157" t="n">
        <v>0</v>
      </c>
      <c r="N3157" t="n">
        <v>0</v>
      </c>
      <c r="O3157" t="n">
        <v>0</v>
      </c>
      <c r="P3157" t="n">
        <v>0</v>
      </c>
      <c r="Q3157" t="n">
        <v>0</v>
      </c>
      <c r="R3157" t="n">
        <v>0</v>
      </c>
      <c r="S3157" t="n">
        <v>0</v>
      </c>
      <c r="T3157" t="n">
        <v>0</v>
      </c>
      <c r="U3157" t="n">
        <v>0</v>
      </c>
      <c r="V3157" s="2" t="inlineStr"/>
    </row>
    <row r="3158" ht="15" customHeight="1">
      <c r="A3158" t="inlineStr">
        <is>
          <t>A 32696-2026</t>
        </is>
      </c>
      <c r="B3158" t="inlineStr">
        <is>
          <t>avverkningsanmälan</t>
        </is>
      </c>
      <c r="C3158" t="inlineStr">
        <is>
          <t>Föryngringsavverkning</t>
        </is>
      </c>
      <c r="D3158" s="1" t="n">
        <v>46240</v>
      </c>
      <c r="E3158" s="1" t="n">
        <v>46309</v>
      </c>
      <c r="F3158" t="inlineStr">
        <is>
          <t>UPPSALA LÄN</t>
        </is>
      </c>
      <c r="G3158" t="inlineStr">
        <is>
          <t>ÖSTHAMMAR</t>
        </is>
      </c>
      <c r="H3158" t="inlineStr">
        <is>
          <t>Bergvik skog öst AB</t>
        </is>
      </c>
      <c r="I3158" t="n">
        <v>1.2</v>
      </c>
      <c r="J3158" t="n">
        <v>0</v>
      </c>
      <c r="K3158" t="n">
        <v>0</v>
      </c>
      <c r="L3158" t="n">
        <v>0</v>
      </c>
      <c r="M3158" t="n">
        <v>0</v>
      </c>
      <c r="N3158" t="n">
        <v>0</v>
      </c>
      <c r="O3158" t="n">
        <v>0</v>
      </c>
      <c r="P3158" t="n">
        <v>0</v>
      </c>
      <c r="Q3158" t="n">
        <v>0</v>
      </c>
      <c r="R3158" t="n">
        <v>0</v>
      </c>
      <c r="S3158" t="n">
        <v>0</v>
      </c>
      <c r="T3158" t="n">
        <v>0</v>
      </c>
      <c r="U3158" t="n">
        <v>0</v>
      </c>
      <c r="V3158" s="2" t="inlineStr"/>
    </row>
    <row r="3159" ht="15" customHeight="1">
      <c r="A3159" t="inlineStr">
        <is>
          <t>A 32697-2026</t>
        </is>
      </c>
      <c r="B3159" t="inlineStr">
        <is>
          <t>avverkningsanmälan</t>
        </is>
      </c>
      <c r="C3159" t="inlineStr">
        <is>
          <t>Föryngringsavverkning</t>
        </is>
      </c>
      <c r="D3159" s="1" t="n">
        <v>46240</v>
      </c>
      <c r="E3159" s="1" t="n">
        <v>46309</v>
      </c>
      <c r="F3159" t="inlineStr">
        <is>
          <t>UPPSALA LÄN</t>
        </is>
      </c>
      <c r="G3159" t="inlineStr">
        <is>
          <t>ÖSTHAMMAR</t>
        </is>
      </c>
      <c r="H3159" t="inlineStr">
        <is>
          <t>Bergvik skog öst AB</t>
        </is>
      </c>
      <c r="I3159" t="n">
        <v>11.2</v>
      </c>
      <c r="J3159" t="n">
        <v>0</v>
      </c>
      <c r="K3159" t="n">
        <v>0</v>
      </c>
      <c r="L3159" t="n">
        <v>0</v>
      </c>
      <c r="M3159" t="n">
        <v>0</v>
      </c>
      <c r="N3159" t="n">
        <v>0</v>
      </c>
      <c r="O3159" t="n">
        <v>0</v>
      </c>
      <c r="P3159" t="n">
        <v>0</v>
      </c>
      <c r="Q3159" t="n">
        <v>0</v>
      </c>
      <c r="R3159" t="n">
        <v>0</v>
      </c>
      <c r="S3159" t="n">
        <v>0</v>
      </c>
      <c r="T3159" t="n">
        <v>0</v>
      </c>
      <c r="U3159" t="n">
        <v>0</v>
      </c>
      <c r="V3159" s="2" t="inlineStr"/>
    </row>
    <row r="3160" ht="15" customHeight="1">
      <c r="A3160" t="inlineStr">
        <is>
          <t>A 39007-2024</t>
        </is>
      </c>
      <c r="B3160" t="inlineStr">
        <is>
          <t>avverkningsanmälan</t>
        </is>
      </c>
      <c r="C3160" t="inlineStr">
        <is>
          <t>Föryngringsavverkning</t>
        </is>
      </c>
      <c r="D3160" s="1" t="n">
        <v>45548</v>
      </c>
      <c r="E3160" s="1" t="n">
        <v>46309</v>
      </c>
      <c r="F3160" t="inlineStr">
        <is>
          <t>UPPSALA LÄN</t>
        </is>
      </c>
      <c r="G3160" t="inlineStr">
        <is>
          <t>UPPSALA</t>
        </is>
      </c>
      <c r="I3160" t="n">
        <v>3.1</v>
      </c>
      <c r="J3160" t="n">
        <v>0</v>
      </c>
      <c r="K3160" t="n">
        <v>0</v>
      </c>
      <c r="L3160" t="n">
        <v>0</v>
      </c>
      <c r="M3160" t="n">
        <v>0</v>
      </c>
      <c r="N3160" t="n">
        <v>0</v>
      </c>
      <c r="O3160" t="n">
        <v>0</v>
      </c>
      <c r="P3160" t="n">
        <v>0</v>
      </c>
      <c r="Q3160" t="n">
        <v>0</v>
      </c>
      <c r="R3160" t="n">
        <v>0</v>
      </c>
      <c r="S3160" t="n">
        <v>0</v>
      </c>
      <c r="T3160" t="n">
        <v>0</v>
      </c>
      <c r="U3160" t="n">
        <v>0</v>
      </c>
      <c r="V3160" s="2" t="inlineStr"/>
    </row>
    <row r="3161" ht="15" customHeight="1">
      <c r="A3161" t="inlineStr">
        <is>
          <t>A 32812-2026</t>
        </is>
      </c>
      <c r="B3161" t="inlineStr">
        <is>
          <t>avverkningsanmälan</t>
        </is>
      </c>
      <c r="C3161" t="inlineStr">
        <is>
          <t>Föryngringsavverkning</t>
        </is>
      </c>
      <c r="D3161" s="1" t="n">
        <v>46241</v>
      </c>
      <c r="E3161" s="1" t="n">
        <v>46309</v>
      </c>
      <c r="F3161" t="inlineStr">
        <is>
          <t>UPPSALA LÄN</t>
        </is>
      </c>
      <c r="G3161" t="inlineStr">
        <is>
          <t>ÖSTHAMMAR</t>
        </is>
      </c>
      <c r="H3161" t="inlineStr">
        <is>
          <t>Bergvik skog öst AB</t>
        </is>
      </c>
      <c r="I3161" t="n">
        <v>3.3</v>
      </c>
      <c r="J3161" t="n">
        <v>0</v>
      </c>
      <c r="K3161" t="n">
        <v>0</v>
      </c>
      <c r="L3161" t="n">
        <v>0</v>
      </c>
      <c r="M3161" t="n">
        <v>0</v>
      </c>
      <c r="N3161" t="n">
        <v>0</v>
      </c>
      <c r="O3161" t="n">
        <v>0</v>
      </c>
      <c r="P3161" t="n">
        <v>0</v>
      </c>
      <c r="Q3161" t="n">
        <v>0</v>
      </c>
      <c r="R3161" t="n">
        <v>0</v>
      </c>
      <c r="S3161" t="n">
        <v>0</v>
      </c>
      <c r="T3161" t="n">
        <v>0</v>
      </c>
      <c r="U3161" t="n">
        <v>0</v>
      </c>
      <c r="V3161" s="2" t="inlineStr"/>
    </row>
    <row r="3162" ht="15" customHeight="1">
      <c r="A3162" t="inlineStr">
        <is>
          <t>A 21487-2026</t>
        </is>
      </c>
      <c r="B3162" t="inlineStr">
        <is>
          <t>avverkningsanmälan</t>
        </is>
      </c>
      <c r="C3162" t="inlineStr">
        <is>
          <t>Föryngringsavverkning</t>
        </is>
      </c>
      <c r="D3162" s="1" t="n">
        <v>46148</v>
      </c>
      <c r="E3162" s="1" t="n">
        <v>46309</v>
      </c>
      <c r="F3162" t="inlineStr">
        <is>
          <t>UPPSALA LÄN</t>
        </is>
      </c>
      <c r="G3162" t="inlineStr">
        <is>
          <t>TIERP</t>
        </is>
      </c>
      <c r="I3162" t="n">
        <v>1.7</v>
      </c>
      <c r="J3162" t="n">
        <v>0</v>
      </c>
      <c r="K3162" t="n">
        <v>0</v>
      </c>
      <c r="L3162" t="n">
        <v>0</v>
      </c>
      <c r="M3162" t="n">
        <v>0</v>
      </c>
      <c r="N3162" t="n">
        <v>0</v>
      </c>
      <c r="O3162" t="n">
        <v>0</v>
      </c>
      <c r="P3162" t="n">
        <v>0</v>
      </c>
      <c r="Q3162" t="n">
        <v>0</v>
      </c>
      <c r="R3162" t="n">
        <v>0</v>
      </c>
      <c r="S3162" t="n">
        <v>0</v>
      </c>
      <c r="T3162" t="n">
        <v>0</v>
      </c>
      <c r="U3162" t="n">
        <v>0</v>
      </c>
      <c r="V3162" s="2" t="inlineStr"/>
    </row>
    <row r="3163" ht="15" customHeight="1">
      <c r="A3163" t="inlineStr">
        <is>
          <t>A 34735-2023</t>
        </is>
      </c>
      <c r="B3163" t="inlineStr">
        <is>
          <t>avverkningsanmälan</t>
        </is>
      </c>
      <c r="C3163" t="inlineStr">
        <is>
          <t>Föryngringsavverkning</t>
        </is>
      </c>
      <c r="D3163" s="1" t="n">
        <v>45139</v>
      </c>
      <c r="E3163" s="1" t="n">
        <v>46309</v>
      </c>
      <c r="F3163" t="inlineStr">
        <is>
          <t>UPPSALA LÄN</t>
        </is>
      </c>
      <c r="G3163" t="inlineStr">
        <is>
          <t>ENKÖPING</t>
        </is>
      </c>
      <c r="I3163" t="n">
        <v>1.4</v>
      </c>
      <c r="J3163" t="n">
        <v>0</v>
      </c>
      <c r="K3163" t="n">
        <v>0</v>
      </c>
      <c r="L3163" t="n">
        <v>0</v>
      </c>
      <c r="M3163" t="n">
        <v>0</v>
      </c>
      <c r="N3163" t="n">
        <v>0</v>
      </c>
      <c r="O3163" t="n">
        <v>0</v>
      </c>
      <c r="P3163" t="n">
        <v>0</v>
      </c>
      <c r="Q3163" t="n">
        <v>0</v>
      </c>
      <c r="R3163" t="n">
        <v>0</v>
      </c>
      <c r="S3163" t="n">
        <v>0</v>
      </c>
      <c r="T3163" t="n">
        <v>0</v>
      </c>
      <c r="U3163" t="n">
        <v>0</v>
      </c>
      <c r="V3163" s="2" t="inlineStr"/>
    </row>
    <row r="3164" ht="15" customHeight="1">
      <c r="A3164" t="inlineStr">
        <is>
          <t>A 39536-2024</t>
        </is>
      </c>
      <c r="B3164" t="inlineStr">
        <is>
          <t>avverkningsanmälan</t>
        </is>
      </c>
      <c r="C3164" t="inlineStr">
        <is>
          <t>Föryngringsavverkning</t>
        </is>
      </c>
      <c r="D3164" s="1" t="n">
        <v>45551</v>
      </c>
      <c r="E3164" s="1" t="n">
        <v>46309</v>
      </c>
      <c r="F3164" t="inlineStr">
        <is>
          <t>UPPSALA LÄN</t>
        </is>
      </c>
      <c r="G3164" t="inlineStr">
        <is>
          <t>HEBY</t>
        </is>
      </c>
      <c r="I3164" t="n">
        <v>4.6</v>
      </c>
      <c r="J3164" t="n">
        <v>0</v>
      </c>
      <c r="K3164" t="n">
        <v>0</v>
      </c>
      <c r="L3164" t="n">
        <v>0</v>
      </c>
      <c r="M3164" t="n">
        <v>0</v>
      </c>
      <c r="N3164" t="n">
        <v>0</v>
      </c>
      <c r="O3164" t="n">
        <v>0</v>
      </c>
      <c r="P3164" t="n">
        <v>0</v>
      </c>
      <c r="Q3164" t="n">
        <v>0</v>
      </c>
      <c r="R3164" t="n">
        <v>0</v>
      </c>
      <c r="S3164" t="n">
        <v>0</v>
      </c>
      <c r="T3164" t="n">
        <v>0</v>
      </c>
      <c r="U3164" t="n">
        <v>0</v>
      </c>
      <c r="V3164" s="2" t="inlineStr"/>
    </row>
    <row r="3165" ht="15" customHeight="1">
      <c r="A3165" t="inlineStr">
        <is>
          <t>A 69595-2021</t>
        </is>
      </c>
      <c r="B3165" t="inlineStr">
        <is>
          <t>avverkningsanmälan</t>
        </is>
      </c>
      <c r="C3165" t="inlineStr">
        <is>
          <t>Föryngringsavverkning</t>
        </is>
      </c>
      <c r="D3165" s="1" t="n">
        <v>44532</v>
      </c>
      <c r="E3165" s="1" t="n">
        <v>46309</v>
      </c>
      <c r="F3165" t="inlineStr">
        <is>
          <t>UPPSALA LÄN</t>
        </is>
      </c>
      <c r="G3165" t="inlineStr">
        <is>
          <t>UPPSALA</t>
        </is>
      </c>
      <c r="I3165" t="n">
        <v>3.9</v>
      </c>
      <c r="J3165" t="n">
        <v>0</v>
      </c>
      <c r="K3165" t="n">
        <v>0</v>
      </c>
      <c r="L3165" t="n">
        <v>0</v>
      </c>
      <c r="M3165" t="n">
        <v>0</v>
      </c>
      <c r="N3165" t="n">
        <v>0</v>
      </c>
      <c r="O3165" t="n">
        <v>0</v>
      </c>
      <c r="P3165" t="n">
        <v>0</v>
      </c>
      <c r="Q3165" t="n">
        <v>0</v>
      </c>
      <c r="R3165" t="n">
        <v>0</v>
      </c>
      <c r="S3165" t="n">
        <v>0</v>
      </c>
      <c r="T3165" t="n">
        <v>0</v>
      </c>
      <c r="U3165" t="n">
        <v>0</v>
      </c>
      <c r="V3165" s="2" t="inlineStr"/>
    </row>
    <row r="3166" ht="15" customHeight="1">
      <c r="A3166" t="inlineStr">
        <is>
          <t>A 33376-2024</t>
        </is>
      </c>
      <c r="B3166" t="inlineStr">
        <is>
          <t>avverkningsanmälan</t>
        </is>
      </c>
      <c r="C3166" t="inlineStr">
        <is>
          <t>Föryngringsavverkning</t>
        </is>
      </c>
      <c r="D3166" s="1" t="n">
        <v>45519</v>
      </c>
      <c r="E3166" s="1" t="n">
        <v>46309</v>
      </c>
      <c r="F3166" t="inlineStr">
        <is>
          <t>UPPSALA LÄN</t>
        </is>
      </c>
      <c r="G3166" t="inlineStr">
        <is>
          <t>HEBY</t>
        </is>
      </c>
      <c r="I3166" t="n">
        <v>3.2</v>
      </c>
      <c r="J3166" t="n">
        <v>0</v>
      </c>
      <c r="K3166" t="n">
        <v>0</v>
      </c>
      <c r="L3166" t="n">
        <v>0</v>
      </c>
      <c r="M3166" t="n">
        <v>0</v>
      </c>
      <c r="N3166" t="n">
        <v>0</v>
      </c>
      <c r="O3166" t="n">
        <v>0</v>
      </c>
      <c r="P3166" t="n">
        <v>0</v>
      </c>
      <c r="Q3166" t="n">
        <v>0</v>
      </c>
      <c r="R3166" t="n">
        <v>0</v>
      </c>
      <c r="S3166" t="n">
        <v>0</v>
      </c>
      <c r="T3166" t="n">
        <v>0</v>
      </c>
      <c r="U3166" t="n">
        <v>0</v>
      </c>
      <c r="V3166" s="2" t="inlineStr"/>
    </row>
    <row r="3167" ht="15" customHeight="1">
      <c r="A3167" t="inlineStr">
        <is>
          <t>A 33381-2024</t>
        </is>
      </c>
      <c r="B3167" t="inlineStr">
        <is>
          <t>avverkningsanmälan</t>
        </is>
      </c>
      <c r="C3167" t="inlineStr">
        <is>
          <t>Föryngringsavverkning</t>
        </is>
      </c>
      <c r="D3167" s="1" t="n">
        <v>45519</v>
      </c>
      <c r="E3167" s="1" t="n">
        <v>46309</v>
      </c>
      <c r="F3167" t="inlineStr">
        <is>
          <t>UPPSALA LÄN</t>
        </is>
      </c>
      <c r="G3167" t="inlineStr">
        <is>
          <t>HEBY</t>
        </is>
      </c>
      <c r="I3167" t="n">
        <v>0.9</v>
      </c>
      <c r="J3167" t="n">
        <v>0</v>
      </c>
      <c r="K3167" t="n">
        <v>0</v>
      </c>
      <c r="L3167" t="n">
        <v>0</v>
      </c>
      <c r="M3167" t="n">
        <v>0</v>
      </c>
      <c r="N3167" t="n">
        <v>0</v>
      </c>
      <c r="O3167" t="n">
        <v>0</v>
      </c>
      <c r="P3167" t="n">
        <v>0</v>
      </c>
      <c r="Q3167" t="n">
        <v>0</v>
      </c>
      <c r="R3167" t="n">
        <v>0</v>
      </c>
      <c r="S3167" t="n">
        <v>0</v>
      </c>
      <c r="T3167" t="n">
        <v>0</v>
      </c>
      <c r="U3167" t="n">
        <v>0</v>
      </c>
      <c r="V3167" s="2" t="inlineStr"/>
    </row>
    <row r="3168" ht="15" customHeight="1">
      <c r="A3168" t="inlineStr">
        <is>
          <t>A 28420-2023</t>
        </is>
      </c>
      <c r="B3168" t="inlineStr">
        <is>
          <t>avverkningsanmälan</t>
        </is>
      </c>
      <c r="C3168" t="inlineStr">
        <is>
          <t>Föryngringsavverkning</t>
        </is>
      </c>
      <c r="D3168" s="1" t="n">
        <v>45102</v>
      </c>
      <c r="E3168" s="1" t="n">
        <v>46309</v>
      </c>
      <c r="F3168" t="inlineStr">
        <is>
          <t>UPPSALA LÄN</t>
        </is>
      </c>
      <c r="G3168" t="inlineStr">
        <is>
          <t>ÖSTHAMMAR</t>
        </is>
      </c>
      <c r="H3168" t="inlineStr">
        <is>
          <t>Bergvik skog öst AB</t>
        </is>
      </c>
      <c r="I3168" t="n">
        <v>3.2</v>
      </c>
      <c r="J3168" t="n">
        <v>0</v>
      </c>
      <c r="K3168" t="n">
        <v>0</v>
      </c>
      <c r="L3168" t="n">
        <v>0</v>
      </c>
      <c r="M3168" t="n">
        <v>0</v>
      </c>
      <c r="N3168" t="n">
        <v>0</v>
      </c>
      <c r="O3168" t="n">
        <v>0</v>
      </c>
      <c r="P3168" t="n">
        <v>0</v>
      </c>
      <c r="Q3168" t="n">
        <v>0</v>
      </c>
      <c r="R3168" t="n">
        <v>0</v>
      </c>
      <c r="S3168" t="n">
        <v>0</v>
      </c>
      <c r="T3168" t="n">
        <v>0</v>
      </c>
      <c r="U3168" t="n">
        <v>0</v>
      </c>
      <c r="V3168" s="2" t="inlineStr"/>
    </row>
    <row r="3169" ht="15" customHeight="1">
      <c r="A3169" t="inlineStr">
        <is>
          <t>A 58124-2022</t>
        </is>
      </c>
      <c r="B3169" t="inlineStr">
        <is>
          <t>avverkningsanmälan</t>
        </is>
      </c>
      <c r="C3169" t="inlineStr">
        <is>
          <t>Föryngringsavverkning</t>
        </is>
      </c>
      <c r="D3169" s="1" t="n">
        <v>44900</v>
      </c>
      <c r="E3169" s="1" t="n">
        <v>46309</v>
      </c>
      <c r="F3169" t="inlineStr">
        <is>
          <t>UPPSALA LÄN</t>
        </is>
      </c>
      <c r="G3169" t="inlineStr">
        <is>
          <t>HEBY</t>
        </is>
      </c>
      <c r="I3169" t="n">
        <v>0.5</v>
      </c>
      <c r="J3169" t="n">
        <v>0</v>
      </c>
      <c r="K3169" t="n">
        <v>0</v>
      </c>
      <c r="L3169" t="n">
        <v>0</v>
      </c>
      <c r="M3169" t="n">
        <v>0</v>
      </c>
      <c r="N3169" t="n">
        <v>0</v>
      </c>
      <c r="O3169" t="n">
        <v>0</v>
      </c>
      <c r="P3169" t="n">
        <v>0</v>
      </c>
      <c r="Q3169" t="n">
        <v>0</v>
      </c>
      <c r="R3169" t="n">
        <v>0</v>
      </c>
      <c r="S3169" t="n">
        <v>0</v>
      </c>
      <c r="T3169" t="n">
        <v>0</v>
      </c>
      <c r="U3169" t="n">
        <v>0</v>
      </c>
      <c r="V3169" s="2" t="inlineStr"/>
    </row>
    <row r="3170" ht="15" customHeight="1">
      <c r="A3170" t="inlineStr">
        <is>
          <t>A 44830-2023</t>
        </is>
      </c>
      <c r="B3170" t="inlineStr">
        <is>
          <t>avverkningsanmälan</t>
        </is>
      </c>
      <c r="C3170" t="inlineStr">
        <is>
          <t>Föryngringsavverkning</t>
        </is>
      </c>
      <c r="D3170" s="1" t="n">
        <v>45190</v>
      </c>
      <c r="E3170" s="1" t="n">
        <v>46309</v>
      </c>
      <c r="F3170" t="inlineStr">
        <is>
          <t>UPPSALA LÄN</t>
        </is>
      </c>
      <c r="G3170" t="inlineStr">
        <is>
          <t>UPPSALA</t>
        </is>
      </c>
      <c r="I3170" t="n">
        <v>1.9</v>
      </c>
      <c r="J3170" t="n">
        <v>0</v>
      </c>
      <c r="K3170" t="n">
        <v>0</v>
      </c>
      <c r="L3170" t="n">
        <v>0</v>
      </c>
      <c r="M3170" t="n">
        <v>0</v>
      </c>
      <c r="N3170" t="n">
        <v>0</v>
      </c>
      <c r="O3170" t="n">
        <v>0</v>
      </c>
      <c r="P3170" t="n">
        <v>0</v>
      </c>
      <c r="Q3170" t="n">
        <v>0</v>
      </c>
      <c r="R3170" t="n">
        <v>0</v>
      </c>
      <c r="S3170" t="n">
        <v>0</v>
      </c>
      <c r="T3170" t="n">
        <v>0</v>
      </c>
      <c r="U3170" t="n">
        <v>0</v>
      </c>
      <c r="V3170" s="2" t="inlineStr"/>
    </row>
    <row r="3171" ht="15" customHeight="1">
      <c r="A3171" t="inlineStr">
        <is>
          <t>A 9664-2023</t>
        </is>
      </c>
      <c r="B3171" t="inlineStr">
        <is>
          <t>avverkningsanmälan</t>
        </is>
      </c>
      <c r="C3171" t="inlineStr">
        <is>
          <t>Föryngringsavverkning</t>
        </is>
      </c>
      <c r="D3171" s="1" t="n">
        <v>44984</v>
      </c>
      <c r="E3171" s="1" t="n">
        <v>46309</v>
      </c>
      <c r="F3171" t="inlineStr">
        <is>
          <t>UPPSALA LÄN</t>
        </is>
      </c>
      <c r="G3171" t="inlineStr">
        <is>
          <t>TIERP</t>
        </is>
      </c>
      <c r="I3171" t="n">
        <v>2.2</v>
      </c>
      <c r="J3171" t="n">
        <v>0</v>
      </c>
      <c r="K3171" t="n">
        <v>0</v>
      </c>
      <c r="L3171" t="n">
        <v>0</v>
      </c>
      <c r="M3171" t="n">
        <v>0</v>
      </c>
      <c r="N3171" t="n">
        <v>0</v>
      </c>
      <c r="O3171" t="n">
        <v>0</v>
      </c>
      <c r="P3171" t="n">
        <v>0</v>
      </c>
      <c r="Q3171" t="n">
        <v>0</v>
      </c>
      <c r="R3171" t="n">
        <v>0</v>
      </c>
      <c r="S3171" t="n">
        <v>0</v>
      </c>
      <c r="T3171" t="n">
        <v>0</v>
      </c>
      <c r="U3171" t="n">
        <v>0</v>
      </c>
      <c r="V3171" s="2" t="inlineStr"/>
    </row>
    <row r="3172" ht="15" customHeight="1">
      <c r="A3172" t="inlineStr">
        <is>
          <t>A 38769-2026</t>
        </is>
      </c>
      <c r="B3172" t="inlineStr">
        <is>
          <t>avverkningsanmälan</t>
        </is>
      </c>
      <c r="C3172" t="inlineStr">
        <is>
          <t>Föryngringsavverkning</t>
        </is>
      </c>
      <c r="D3172" s="1" t="n">
        <v>46286</v>
      </c>
      <c r="E3172" s="1" t="n">
        <v>46309</v>
      </c>
      <c r="F3172" t="inlineStr">
        <is>
          <t>UPPSALA LÄN</t>
        </is>
      </c>
      <c r="G3172" t="inlineStr">
        <is>
          <t>TIERP</t>
        </is>
      </c>
      <c r="H3172" t="inlineStr">
        <is>
          <t>Bergvik skog öst AB</t>
        </is>
      </c>
      <c r="I3172" t="n">
        <v>0.9</v>
      </c>
      <c r="J3172" t="n">
        <v>0</v>
      </c>
      <c r="K3172" t="n">
        <v>0</v>
      </c>
      <c r="L3172" t="n">
        <v>0</v>
      </c>
      <c r="M3172" t="n">
        <v>0</v>
      </c>
      <c r="N3172" t="n">
        <v>0</v>
      </c>
      <c r="O3172" t="n">
        <v>0</v>
      </c>
      <c r="P3172" t="n">
        <v>0</v>
      </c>
      <c r="Q3172" t="n">
        <v>0</v>
      </c>
      <c r="R3172" t="n">
        <v>0</v>
      </c>
      <c r="S3172" t="n">
        <v>0</v>
      </c>
      <c r="T3172" t="n">
        <v>0</v>
      </c>
      <c r="U3172" t="n">
        <v>0</v>
      </c>
      <c r="V3172" s="2" t="inlineStr"/>
    </row>
    <row r="3173" ht="15" customHeight="1">
      <c r="A3173" t="inlineStr">
        <is>
          <t>A 38789-2026</t>
        </is>
      </c>
      <c r="B3173" t="inlineStr">
        <is>
          <t>avverkningsanmälan</t>
        </is>
      </c>
      <c r="C3173" t="inlineStr">
        <is>
          <t>Föryngringsavverkning</t>
        </is>
      </c>
      <c r="D3173" s="1" t="n">
        <v>46286</v>
      </c>
      <c r="E3173" s="1" t="n">
        <v>46309</v>
      </c>
      <c r="F3173" t="inlineStr">
        <is>
          <t>UPPSALA LÄN</t>
        </is>
      </c>
      <c r="G3173" t="inlineStr">
        <is>
          <t>TIERP</t>
        </is>
      </c>
      <c r="H3173" t="inlineStr">
        <is>
          <t>Bergvik skog öst AB</t>
        </is>
      </c>
      <c r="I3173" t="n">
        <v>9.699999999999999</v>
      </c>
      <c r="J3173" t="n">
        <v>0</v>
      </c>
      <c r="K3173" t="n">
        <v>0</v>
      </c>
      <c r="L3173" t="n">
        <v>0</v>
      </c>
      <c r="M3173" t="n">
        <v>0</v>
      </c>
      <c r="N3173" t="n">
        <v>0</v>
      </c>
      <c r="O3173" t="n">
        <v>0</v>
      </c>
      <c r="P3173" t="n">
        <v>0</v>
      </c>
      <c r="Q3173" t="n">
        <v>0</v>
      </c>
      <c r="R3173" t="n">
        <v>0</v>
      </c>
      <c r="S3173" t="n">
        <v>0</v>
      </c>
      <c r="T3173" t="n">
        <v>0</v>
      </c>
      <c r="U3173" t="n">
        <v>0</v>
      </c>
      <c r="V3173" s="2" t="inlineStr"/>
    </row>
    <row r="3174" ht="15" customHeight="1">
      <c r="A3174" t="inlineStr">
        <is>
          <t>A 17239-2026</t>
        </is>
      </c>
      <c r="B3174" t="inlineStr">
        <is>
          <t>avverkningsanmälan</t>
        </is>
      </c>
      <c r="C3174" t="inlineStr">
        <is>
          <t>Föryngringsavverkning</t>
        </is>
      </c>
      <c r="D3174" s="1" t="n">
        <v>46119</v>
      </c>
      <c r="E3174" s="1" t="n">
        <v>46309</v>
      </c>
      <c r="F3174" t="inlineStr">
        <is>
          <t>UPPSALA LÄN</t>
        </is>
      </c>
      <c r="G3174" t="inlineStr">
        <is>
          <t>HEBY</t>
        </is>
      </c>
      <c r="I3174" t="n">
        <v>1.4</v>
      </c>
      <c r="J3174" t="n">
        <v>0</v>
      </c>
      <c r="K3174" t="n">
        <v>0</v>
      </c>
      <c r="L3174" t="n">
        <v>0</v>
      </c>
      <c r="M3174" t="n">
        <v>0</v>
      </c>
      <c r="N3174" t="n">
        <v>0</v>
      </c>
      <c r="O3174" t="n">
        <v>0</v>
      </c>
      <c r="P3174" t="n">
        <v>0</v>
      </c>
      <c r="Q3174" t="n">
        <v>0</v>
      </c>
      <c r="R3174" t="n">
        <v>0</v>
      </c>
      <c r="S3174" t="n">
        <v>0</v>
      </c>
      <c r="T3174" t="n">
        <v>0</v>
      </c>
      <c r="U3174" t="n">
        <v>0</v>
      </c>
      <c r="V3174" s="2" t="inlineStr"/>
    </row>
    <row r="3175" ht="15" customHeight="1">
      <c r="A3175" t="inlineStr">
        <is>
          <t>A 9426-2023</t>
        </is>
      </c>
      <c r="B3175" t="inlineStr">
        <is>
          <t>avverkningsanmälan</t>
        </is>
      </c>
      <c r="C3175" t="inlineStr">
        <is>
          <t>Föryngringsavverkning</t>
        </is>
      </c>
      <c r="D3175" s="1" t="n">
        <v>44977</v>
      </c>
      <c r="E3175" s="1" t="n">
        <v>46309</v>
      </c>
      <c r="F3175" t="inlineStr">
        <is>
          <t>UPPSALA LÄN</t>
        </is>
      </c>
      <c r="G3175" t="inlineStr">
        <is>
          <t>UPPSALA</t>
        </is>
      </c>
      <c r="I3175" t="n">
        <v>0.6</v>
      </c>
      <c r="J3175" t="n">
        <v>0</v>
      </c>
      <c r="K3175" t="n">
        <v>0</v>
      </c>
      <c r="L3175" t="n">
        <v>0</v>
      </c>
      <c r="M3175" t="n">
        <v>0</v>
      </c>
      <c r="N3175" t="n">
        <v>0</v>
      </c>
      <c r="O3175" t="n">
        <v>0</v>
      </c>
      <c r="P3175" t="n">
        <v>0</v>
      </c>
      <c r="Q3175" t="n">
        <v>0</v>
      </c>
      <c r="R3175" t="n">
        <v>0</v>
      </c>
      <c r="S3175" t="n">
        <v>0</v>
      </c>
      <c r="T3175" t="n">
        <v>0</v>
      </c>
      <c r="U3175" t="n">
        <v>0</v>
      </c>
      <c r="V3175" s="2" t="inlineStr"/>
    </row>
    <row r="3176" ht="15" customHeight="1">
      <c r="A3176" t="inlineStr">
        <is>
          <t>A 9432-2023</t>
        </is>
      </c>
      <c r="B3176" t="inlineStr">
        <is>
          <t>avverkningsanmälan</t>
        </is>
      </c>
      <c r="C3176" t="inlineStr">
        <is>
          <t>Föryngringsavverkning</t>
        </is>
      </c>
      <c r="D3176" s="1" t="n">
        <v>44981</v>
      </c>
      <c r="E3176" s="1" t="n">
        <v>46309</v>
      </c>
      <c r="F3176" t="inlineStr">
        <is>
          <t>UPPSALA LÄN</t>
        </is>
      </c>
      <c r="G3176" t="inlineStr">
        <is>
          <t>TIERP</t>
        </is>
      </c>
      <c r="I3176" t="n">
        <v>0.7</v>
      </c>
      <c r="J3176" t="n">
        <v>0</v>
      </c>
      <c r="K3176" t="n">
        <v>0</v>
      </c>
      <c r="L3176" t="n">
        <v>0</v>
      </c>
      <c r="M3176" t="n">
        <v>0</v>
      </c>
      <c r="N3176" t="n">
        <v>0</v>
      </c>
      <c r="O3176" t="n">
        <v>0</v>
      </c>
      <c r="P3176" t="n">
        <v>0</v>
      </c>
      <c r="Q3176" t="n">
        <v>0</v>
      </c>
      <c r="R3176" t="n">
        <v>0</v>
      </c>
      <c r="S3176" t="n">
        <v>0</v>
      </c>
      <c r="T3176" t="n">
        <v>0</v>
      </c>
      <c r="U3176" t="n">
        <v>0</v>
      </c>
      <c r="V3176" s="2" t="inlineStr"/>
    </row>
    <row r="3177" ht="15" customHeight="1">
      <c r="A3177" t="inlineStr">
        <is>
          <t>A 40547-2023</t>
        </is>
      </c>
      <c r="B3177" t="inlineStr">
        <is>
          <t>avverkningsanmälan</t>
        </is>
      </c>
      <c r="C3177" t="inlineStr">
        <is>
          <t>Föryngringsavverkning</t>
        </is>
      </c>
      <c r="D3177" s="1" t="n">
        <v>45170</v>
      </c>
      <c r="E3177" s="1" t="n">
        <v>46309</v>
      </c>
      <c r="F3177" t="inlineStr">
        <is>
          <t>UPPSALA LÄN</t>
        </is>
      </c>
      <c r="G3177" t="inlineStr">
        <is>
          <t>ÖSTHAMMAR</t>
        </is>
      </c>
      <c r="I3177" t="n">
        <v>2.1</v>
      </c>
      <c r="J3177" t="n">
        <v>0</v>
      </c>
      <c r="K3177" t="n">
        <v>0</v>
      </c>
      <c r="L3177" t="n">
        <v>0</v>
      </c>
      <c r="M3177" t="n">
        <v>0</v>
      </c>
      <c r="N3177" t="n">
        <v>0</v>
      </c>
      <c r="O3177" t="n">
        <v>0</v>
      </c>
      <c r="P3177" t="n">
        <v>0</v>
      </c>
      <c r="Q3177" t="n">
        <v>0</v>
      </c>
      <c r="R3177" t="n">
        <v>0</v>
      </c>
      <c r="S3177" t="n">
        <v>0</v>
      </c>
      <c r="T3177" t="n">
        <v>0</v>
      </c>
      <c r="U3177" t="n">
        <v>0</v>
      </c>
      <c r="V3177" s="2" t="inlineStr"/>
    </row>
    <row r="3178" ht="15" customHeight="1">
      <c r="A3178" t="inlineStr">
        <is>
          <t>A 21310-2023</t>
        </is>
      </c>
      <c r="B3178" t="inlineStr">
        <is>
          <t>avverkningsanmälan</t>
        </is>
      </c>
      <c r="C3178" t="inlineStr">
        <is>
          <t>Föryngringsavverkning</t>
        </is>
      </c>
      <c r="D3178" s="1" t="n">
        <v>45058</v>
      </c>
      <c r="E3178" s="1" t="n">
        <v>46309</v>
      </c>
      <c r="F3178" t="inlineStr">
        <is>
          <t>UPPSALA LÄN</t>
        </is>
      </c>
      <c r="G3178" t="inlineStr">
        <is>
          <t>HEBY</t>
        </is>
      </c>
      <c r="H3178" t="inlineStr">
        <is>
          <t>Bergvik skog väst AB</t>
        </is>
      </c>
      <c r="I3178" t="n">
        <v>0.7</v>
      </c>
      <c r="J3178" t="n">
        <v>0</v>
      </c>
      <c r="K3178" t="n">
        <v>0</v>
      </c>
      <c r="L3178" t="n">
        <v>0</v>
      </c>
      <c r="M3178" t="n">
        <v>0</v>
      </c>
      <c r="N3178" t="n">
        <v>0</v>
      </c>
      <c r="O3178" t="n">
        <v>0</v>
      </c>
      <c r="P3178" t="n">
        <v>0</v>
      </c>
      <c r="Q3178" t="n">
        <v>0</v>
      </c>
      <c r="R3178" t="n">
        <v>0</v>
      </c>
      <c r="S3178" t="n">
        <v>0</v>
      </c>
      <c r="T3178" t="n">
        <v>0</v>
      </c>
      <c r="U3178" t="n">
        <v>0</v>
      </c>
      <c r="V3178" s="2" t="inlineStr"/>
    </row>
    <row r="3179" ht="15" customHeight="1">
      <c r="A3179" t="inlineStr">
        <is>
          <t>A 39098-2026</t>
        </is>
      </c>
      <c r="B3179" t="inlineStr">
        <is>
          <t>avverkningsanmälan</t>
        </is>
      </c>
      <c r="C3179" t="inlineStr">
        <is>
          <t>Föryngringsavverkning</t>
        </is>
      </c>
      <c r="D3179" s="1" t="n">
        <v>46287</v>
      </c>
      <c r="E3179" s="1" t="n">
        <v>46309</v>
      </c>
      <c r="F3179" t="inlineStr">
        <is>
          <t>UPPSALA LÄN</t>
        </is>
      </c>
      <c r="G3179" t="inlineStr">
        <is>
          <t>TIERP</t>
        </is>
      </c>
      <c r="H3179" t="inlineStr">
        <is>
          <t>Bergvik skog öst AB</t>
        </is>
      </c>
      <c r="I3179" t="n">
        <v>3.8</v>
      </c>
      <c r="J3179" t="n">
        <v>0</v>
      </c>
      <c r="K3179" t="n">
        <v>0</v>
      </c>
      <c r="L3179" t="n">
        <v>0</v>
      </c>
      <c r="M3179" t="n">
        <v>0</v>
      </c>
      <c r="N3179" t="n">
        <v>0</v>
      </c>
      <c r="O3179" t="n">
        <v>0</v>
      </c>
      <c r="P3179" t="n">
        <v>0</v>
      </c>
      <c r="Q3179" t="n">
        <v>0</v>
      </c>
      <c r="R3179" t="n">
        <v>0</v>
      </c>
      <c r="S3179" t="n">
        <v>0</v>
      </c>
      <c r="T3179" t="n">
        <v>0</v>
      </c>
      <c r="U3179" t="n">
        <v>0</v>
      </c>
      <c r="V3179" s="2" t="inlineStr"/>
    </row>
    <row r="3180" ht="15" customHeight="1">
      <c r="A3180" t="inlineStr">
        <is>
          <t>A 10449-2023</t>
        </is>
      </c>
      <c r="B3180" t="inlineStr">
        <is>
          <t>avverkningsanmälan</t>
        </is>
      </c>
      <c r="C3180" t="inlineStr">
        <is>
          <t>Föryngringsavverkning</t>
        </is>
      </c>
      <c r="D3180" s="1" t="n">
        <v>44987</v>
      </c>
      <c r="E3180" s="1" t="n">
        <v>46309</v>
      </c>
      <c r="F3180" t="inlineStr">
        <is>
          <t>UPPSALA LÄN</t>
        </is>
      </c>
      <c r="G3180" t="inlineStr">
        <is>
          <t>ÖSTHAMMAR</t>
        </is>
      </c>
      <c r="I3180" t="n">
        <v>3.1</v>
      </c>
      <c r="J3180" t="n">
        <v>0</v>
      </c>
      <c r="K3180" t="n">
        <v>0</v>
      </c>
      <c r="L3180" t="n">
        <v>0</v>
      </c>
      <c r="M3180" t="n">
        <v>0</v>
      </c>
      <c r="N3180" t="n">
        <v>0</v>
      </c>
      <c r="O3180" t="n">
        <v>0</v>
      </c>
      <c r="P3180" t="n">
        <v>0</v>
      </c>
      <c r="Q3180" t="n">
        <v>0</v>
      </c>
      <c r="R3180" t="n">
        <v>0</v>
      </c>
      <c r="S3180" t="n">
        <v>0</v>
      </c>
      <c r="T3180" t="n">
        <v>0</v>
      </c>
      <c r="U3180" t="n">
        <v>0</v>
      </c>
      <c r="V3180" s="2" t="inlineStr"/>
    </row>
    <row r="3181" ht="15" customHeight="1">
      <c r="A3181" t="inlineStr">
        <is>
          <t>A 5975-2024</t>
        </is>
      </c>
      <c r="B3181" t="inlineStr">
        <is>
          <t>avverkningsanmälan</t>
        </is>
      </c>
      <c r="C3181" t="inlineStr">
        <is>
          <t>Föryngringsavverkning</t>
        </is>
      </c>
      <c r="D3181" s="1" t="n">
        <v>45336</v>
      </c>
      <c r="E3181" s="1" t="n">
        <v>46309</v>
      </c>
      <c r="F3181" t="inlineStr">
        <is>
          <t>UPPSALA LÄN</t>
        </is>
      </c>
      <c r="G3181" t="inlineStr">
        <is>
          <t>UPPSALA</t>
        </is>
      </c>
      <c r="I3181" t="n">
        <v>0.8</v>
      </c>
      <c r="J3181" t="n">
        <v>0</v>
      </c>
      <c r="K3181" t="n">
        <v>0</v>
      </c>
      <c r="L3181" t="n">
        <v>0</v>
      </c>
      <c r="M3181" t="n">
        <v>0</v>
      </c>
      <c r="N3181" t="n">
        <v>0</v>
      </c>
      <c r="O3181" t="n">
        <v>0</v>
      </c>
      <c r="P3181" t="n">
        <v>0</v>
      </c>
      <c r="Q3181" t="n">
        <v>0</v>
      </c>
      <c r="R3181" t="n">
        <v>0</v>
      </c>
      <c r="S3181" t="n">
        <v>0</v>
      </c>
      <c r="T3181" t="n">
        <v>0</v>
      </c>
      <c r="U3181" t="n">
        <v>0</v>
      </c>
      <c r="V3181" s="2" t="inlineStr"/>
    </row>
    <row r="3182" ht="15" customHeight="1">
      <c r="A3182" t="inlineStr">
        <is>
          <t>A 31035-2022</t>
        </is>
      </c>
      <c r="B3182" t="inlineStr">
        <is>
          <t>avverkningsanmälan</t>
        </is>
      </c>
      <c r="C3182" t="inlineStr">
        <is>
          <t>Föryngringsavverkning</t>
        </is>
      </c>
      <c r="D3182" s="1" t="n">
        <v>44768</v>
      </c>
      <c r="E3182" s="1" t="n">
        <v>46309</v>
      </c>
      <c r="F3182" t="inlineStr">
        <is>
          <t>UPPSALA LÄN</t>
        </is>
      </c>
      <c r="G3182" t="inlineStr">
        <is>
          <t>ÖSTHAMMAR</t>
        </is>
      </c>
      <c r="H3182" t="inlineStr">
        <is>
          <t>Bergvik skog öst AB</t>
        </is>
      </c>
      <c r="I3182" t="n">
        <v>1.5</v>
      </c>
      <c r="J3182" t="n">
        <v>0</v>
      </c>
      <c r="K3182" t="n">
        <v>0</v>
      </c>
      <c r="L3182" t="n">
        <v>0</v>
      </c>
      <c r="M3182" t="n">
        <v>0</v>
      </c>
      <c r="N3182" t="n">
        <v>0</v>
      </c>
      <c r="O3182" t="n">
        <v>0</v>
      </c>
      <c r="P3182" t="n">
        <v>0</v>
      </c>
      <c r="Q3182" t="n">
        <v>0</v>
      </c>
      <c r="R3182" t="n">
        <v>0</v>
      </c>
      <c r="S3182" t="n">
        <v>0</v>
      </c>
      <c r="T3182" t="n">
        <v>0</v>
      </c>
      <c r="U3182" t="n">
        <v>0</v>
      </c>
      <c r="V3182" s="2" t="inlineStr"/>
    </row>
    <row r="3183" ht="15" customHeight="1">
      <c r="A3183" t="inlineStr">
        <is>
          <t>A 39199-2026</t>
        </is>
      </c>
      <c r="B3183" t="inlineStr">
        <is>
          <t>avverkningsanmälan</t>
        </is>
      </c>
      <c r="C3183" t="inlineStr">
        <is>
          <t>Föryngringsavverkning</t>
        </is>
      </c>
      <c r="D3183" s="1" t="n">
        <v>46287</v>
      </c>
      <c r="E3183" s="1" t="n">
        <v>46309</v>
      </c>
      <c r="F3183" t="inlineStr">
        <is>
          <t>UPPSALA LÄN</t>
        </is>
      </c>
      <c r="G3183" t="inlineStr">
        <is>
          <t>ÖSTHAMMAR</t>
        </is>
      </c>
      <c r="I3183" t="n">
        <v>3.3</v>
      </c>
      <c r="J3183" t="n">
        <v>0</v>
      </c>
      <c r="K3183" t="n">
        <v>0</v>
      </c>
      <c r="L3183" t="n">
        <v>0</v>
      </c>
      <c r="M3183" t="n">
        <v>0</v>
      </c>
      <c r="N3183" t="n">
        <v>0</v>
      </c>
      <c r="O3183" t="n">
        <v>0</v>
      </c>
      <c r="P3183" t="n">
        <v>0</v>
      </c>
      <c r="Q3183" t="n">
        <v>0</v>
      </c>
      <c r="R3183" t="n">
        <v>0</v>
      </c>
      <c r="S3183" t="n">
        <v>0</v>
      </c>
      <c r="T3183" t="n">
        <v>0</v>
      </c>
      <c r="U3183" t="n">
        <v>0</v>
      </c>
      <c r="V3183" s="2" t="inlineStr"/>
    </row>
    <row r="3184" ht="15" customHeight="1">
      <c r="A3184" t="inlineStr">
        <is>
          <t>A 45916-2022</t>
        </is>
      </c>
      <c r="B3184" t="inlineStr">
        <is>
          <t>avverkningsanmälan</t>
        </is>
      </c>
      <c r="C3184" t="inlineStr">
        <is>
          <t>Föryngringsavverkning</t>
        </is>
      </c>
      <c r="D3184" s="1" t="n">
        <v>44846</v>
      </c>
      <c r="E3184" s="1" t="n">
        <v>46309</v>
      </c>
      <c r="F3184" t="inlineStr">
        <is>
          <t>UPPSALA LÄN</t>
        </is>
      </c>
      <c r="G3184" t="inlineStr">
        <is>
          <t>KNIVSTA</t>
        </is>
      </c>
      <c r="I3184" t="n">
        <v>3.8</v>
      </c>
      <c r="J3184" t="n">
        <v>0</v>
      </c>
      <c r="K3184" t="n">
        <v>0</v>
      </c>
      <c r="L3184" t="n">
        <v>0</v>
      </c>
      <c r="M3184" t="n">
        <v>0</v>
      </c>
      <c r="N3184" t="n">
        <v>0</v>
      </c>
      <c r="O3184" t="n">
        <v>0</v>
      </c>
      <c r="P3184" t="n">
        <v>0</v>
      </c>
      <c r="Q3184" t="n">
        <v>0</v>
      </c>
      <c r="R3184" t="n">
        <v>0</v>
      </c>
      <c r="S3184" t="n">
        <v>0</v>
      </c>
      <c r="T3184" t="n">
        <v>0</v>
      </c>
      <c r="U3184" t="n">
        <v>0</v>
      </c>
      <c r="V3184" s="2" t="inlineStr"/>
    </row>
    <row r="3185" ht="15" customHeight="1">
      <c r="A3185" t="inlineStr">
        <is>
          <t>A 33023-2026</t>
        </is>
      </c>
      <c r="B3185" t="inlineStr">
        <is>
          <t>avverkningsanmälan</t>
        </is>
      </c>
      <c r="C3185" t="inlineStr">
        <is>
          <t>Avverkning för att bevara och utveckla /försöksver</t>
        </is>
      </c>
      <c r="D3185" s="1" t="n">
        <v>46244</v>
      </c>
      <c r="E3185" s="1" t="n">
        <v>46309</v>
      </c>
      <c r="F3185" t="inlineStr">
        <is>
          <t>UPPSALA LÄN</t>
        </is>
      </c>
      <c r="G3185" t="inlineStr">
        <is>
          <t>TIERP</t>
        </is>
      </c>
      <c r="I3185" t="n">
        <v>2.9</v>
      </c>
      <c r="J3185" t="n">
        <v>0</v>
      </c>
      <c r="K3185" t="n">
        <v>0</v>
      </c>
      <c r="L3185" t="n">
        <v>0</v>
      </c>
      <c r="M3185" t="n">
        <v>0</v>
      </c>
      <c r="N3185" t="n">
        <v>0</v>
      </c>
      <c r="O3185" t="n">
        <v>0</v>
      </c>
      <c r="P3185" t="n">
        <v>0</v>
      </c>
      <c r="Q3185" t="n">
        <v>0</v>
      </c>
      <c r="R3185" t="n">
        <v>0</v>
      </c>
      <c r="S3185" t="n">
        <v>0</v>
      </c>
      <c r="T3185" t="n">
        <v>0</v>
      </c>
      <c r="U3185" t="n">
        <v>0</v>
      </c>
      <c r="V3185" s="2" t="inlineStr"/>
    </row>
    <row r="3186" ht="15" customHeight="1">
      <c r="A3186" t="inlineStr">
        <is>
          <t>A 33172-2026</t>
        </is>
      </c>
      <c r="B3186" t="inlineStr">
        <is>
          <t>avverkningsanmälan</t>
        </is>
      </c>
      <c r="C3186" t="inlineStr">
        <is>
          <t>Föryngringsavverkning</t>
        </is>
      </c>
      <c r="D3186" s="1" t="n">
        <v>46245</v>
      </c>
      <c r="E3186" s="1" t="n">
        <v>46309</v>
      </c>
      <c r="F3186" t="inlineStr">
        <is>
          <t>UPPSALA LÄN</t>
        </is>
      </c>
      <c r="G3186" t="inlineStr">
        <is>
          <t>ÖSTHAMMAR</t>
        </is>
      </c>
      <c r="H3186" t="inlineStr">
        <is>
          <t>Övriga Aktiebolag</t>
        </is>
      </c>
      <c r="I3186" t="n">
        <v>1.2</v>
      </c>
      <c r="J3186" t="n">
        <v>0</v>
      </c>
      <c r="K3186" t="n">
        <v>0</v>
      </c>
      <c r="L3186" t="n">
        <v>0</v>
      </c>
      <c r="M3186" t="n">
        <v>0</v>
      </c>
      <c r="N3186" t="n">
        <v>0</v>
      </c>
      <c r="O3186" t="n">
        <v>0</v>
      </c>
      <c r="P3186" t="n">
        <v>0</v>
      </c>
      <c r="Q3186" t="n">
        <v>0</v>
      </c>
      <c r="R3186" t="n">
        <v>0</v>
      </c>
      <c r="S3186" t="n">
        <v>0</v>
      </c>
      <c r="T3186" t="n">
        <v>0</v>
      </c>
      <c r="U3186" t="n">
        <v>0</v>
      </c>
      <c r="V3186" s="2" t="inlineStr"/>
    </row>
    <row r="3187" ht="15" customHeight="1">
      <c r="A3187" t="inlineStr">
        <is>
          <t>A 48956-2023</t>
        </is>
      </c>
      <c r="B3187" t="inlineStr">
        <is>
          <t>avverkningsanmälan</t>
        </is>
      </c>
      <c r="C3187" t="inlineStr">
        <is>
          <t>Föryngringsavverkning</t>
        </is>
      </c>
      <c r="D3187" s="1" t="n">
        <v>45209</v>
      </c>
      <c r="E3187" s="1" t="n">
        <v>46309</v>
      </c>
      <c r="F3187" t="inlineStr">
        <is>
          <t>UPPSALA LÄN</t>
        </is>
      </c>
      <c r="G3187" t="inlineStr">
        <is>
          <t>HEBY</t>
        </is>
      </c>
      <c r="I3187" t="n">
        <v>1.7</v>
      </c>
      <c r="J3187" t="n">
        <v>0</v>
      </c>
      <c r="K3187" t="n">
        <v>0</v>
      </c>
      <c r="L3187" t="n">
        <v>0</v>
      </c>
      <c r="M3187" t="n">
        <v>0</v>
      </c>
      <c r="N3187" t="n">
        <v>0</v>
      </c>
      <c r="O3187" t="n">
        <v>0</v>
      </c>
      <c r="P3187" t="n">
        <v>0</v>
      </c>
      <c r="Q3187" t="n">
        <v>0</v>
      </c>
      <c r="R3187" t="n">
        <v>0</v>
      </c>
      <c r="S3187" t="n">
        <v>0</v>
      </c>
      <c r="T3187" t="n">
        <v>0</v>
      </c>
      <c r="U3187" t="n">
        <v>0</v>
      </c>
      <c r="V3187" s="2" t="inlineStr"/>
    </row>
    <row r="3188" ht="15" customHeight="1">
      <c r="A3188" t="inlineStr">
        <is>
          <t>A 58900-2023</t>
        </is>
      </c>
      <c r="B3188" t="inlineStr">
        <is>
          <t>avverkningsanmälan</t>
        </is>
      </c>
      <c r="C3188" t="inlineStr">
        <is>
          <t>Avverkning för annat ändamål</t>
        </is>
      </c>
      <c r="D3188" s="1" t="n">
        <v>45252</v>
      </c>
      <c r="E3188" s="1" t="n">
        <v>46309</v>
      </c>
      <c r="F3188" t="inlineStr">
        <is>
          <t>UPPSALA LÄN</t>
        </is>
      </c>
      <c r="G3188" t="inlineStr">
        <is>
          <t>TIERP</t>
        </is>
      </c>
      <c r="I3188" t="n">
        <v>25</v>
      </c>
      <c r="J3188" t="n">
        <v>0</v>
      </c>
      <c r="K3188" t="n">
        <v>0</v>
      </c>
      <c r="L3188" t="n">
        <v>0</v>
      </c>
      <c r="M3188" t="n">
        <v>0</v>
      </c>
      <c r="N3188" t="n">
        <v>0</v>
      </c>
      <c r="O3188" t="n">
        <v>0</v>
      </c>
      <c r="P3188" t="n">
        <v>0</v>
      </c>
      <c r="Q3188" t="n">
        <v>0</v>
      </c>
      <c r="R3188" t="n">
        <v>0</v>
      </c>
      <c r="S3188" t="n">
        <v>0</v>
      </c>
      <c r="T3188" t="n">
        <v>0</v>
      </c>
      <c r="U3188" t="n">
        <v>0</v>
      </c>
      <c r="V3188" s="2" t="inlineStr"/>
    </row>
    <row r="3189" ht="15" customHeight="1">
      <c r="A3189" t="inlineStr">
        <is>
          <t>A 58947-2023</t>
        </is>
      </c>
      <c r="B3189" t="inlineStr">
        <is>
          <t>avverkningsanmälan</t>
        </is>
      </c>
      <c r="C3189" t="inlineStr">
        <is>
          <t>Föryngringsavverkning</t>
        </is>
      </c>
      <c r="D3189" s="1" t="n">
        <v>45252</v>
      </c>
      <c r="E3189" s="1" t="n">
        <v>46309</v>
      </c>
      <c r="F3189" t="inlineStr">
        <is>
          <t>UPPSALA LÄN</t>
        </is>
      </c>
      <c r="G3189" t="inlineStr">
        <is>
          <t>TIERP</t>
        </is>
      </c>
      <c r="I3189" t="n">
        <v>3.1</v>
      </c>
      <c r="J3189" t="n">
        <v>0</v>
      </c>
      <c r="K3189" t="n">
        <v>0</v>
      </c>
      <c r="L3189" t="n">
        <v>0</v>
      </c>
      <c r="M3189" t="n">
        <v>0</v>
      </c>
      <c r="N3189" t="n">
        <v>0</v>
      </c>
      <c r="O3189" t="n">
        <v>0</v>
      </c>
      <c r="P3189" t="n">
        <v>0</v>
      </c>
      <c r="Q3189" t="n">
        <v>0</v>
      </c>
      <c r="R3189" t="n">
        <v>0</v>
      </c>
      <c r="S3189" t="n">
        <v>0</v>
      </c>
      <c r="T3189" t="n">
        <v>0</v>
      </c>
      <c r="U3189" t="n">
        <v>0</v>
      </c>
      <c r="V3189" s="2" t="inlineStr"/>
    </row>
    <row r="3190" ht="15" customHeight="1">
      <c r="A3190" t="inlineStr">
        <is>
          <t>A 39018-2026</t>
        </is>
      </c>
      <c r="B3190" t="inlineStr">
        <is>
          <t>avverkningsanmälan</t>
        </is>
      </c>
      <c r="C3190" t="inlineStr">
        <is>
          <t>Föryngringsavverkning</t>
        </is>
      </c>
      <c r="D3190" s="1" t="n">
        <v>46287</v>
      </c>
      <c r="E3190" s="1" t="n">
        <v>46309</v>
      </c>
      <c r="F3190" t="inlineStr">
        <is>
          <t>UPPSALA LÄN</t>
        </is>
      </c>
      <c r="G3190" t="inlineStr">
        <is>
          <t>ENKÖPING</t>
        </is>
      </c>
      <c r="I3190" t="n">
        <v>3</v>
      </c>
      <c r="J3190" t="n">
        <v>0</v>
      </c>
      <c r="K3190" t="n">
        <v>0</v>
      </c>
      <c r="L3190" t="n">
        <v>0</v>
      </c>
      <c r="M3190" t="n">
        <v>0</v>
      </c>
      <c r="N3190" t="n">
        <v>0</v>
      </c>
      <c r="O3190" t="n">
        <v>0</v>
      </c>
      <c r="P3190" t="n">
        <v>0</v>
      </c>
      <c r="Q3190" t="n">
        <v>0</v>
      </c>
      <c r="R3190" t="n">
        <v>0</v>
      </c>
      <c r="S3190" t="n">
        <v>0</v>
      </c>
      <c r="T3190" t="n">
        <v>0</v>
      </c>
      <c r="U3190" t="n">
        <v>0</v>
      </c>
      <c r="V3190" s="2" t="inlineStr"/>
    </row>
    <row r="3191" ht="15" customHeight="1">
      <c r="A3191" t="inlineStr">
        <is>
          <t>A 39201-2026</t>
        </is>
      </c>
      <c r="B3191" t="inlineStr">
        <is>
          <t>avverkningsanmälan</t>
        </is>
      </c>
      <c r="C3191" t="inlineStr">
        <is>
          <t>Föryngringsavverkning</t>
        </is>
      </c>
      <c r="D3191" s="1" t="n">
        <v>46287</v>
      </c>
      <c r="E3191" s="1" t="n">
        <v>46309</v>
      </c>
      <c r="F3191" t="inlineStr">
        <is>
          <t>UPPSALA LÄN</t>
        </is>
      </c>
      <c r="G3191" t="inlineStr">
        <is>
          <t>ENKÖPING</t>
        </is>
      </c>
      <c r="I3191" t="n">
        <v>1.4</v>
      </c>
      <c r="J3191" t="n">
        <v>0</v>
      </c>
      <c r="K3191" t="n">
        <v>0</v>
      </c>
      <c r="L3191" t="n">
        <v>0</v>
      </c>
      <c r="M3191" t="n">
        <v>0</v>
      </c>
      <c r="N3191" t="n">
        <v>0</v>
      </c>
      <c r="O3191" t="n">
        <v>0</v>
      </c>
      <c r="P3191" t="n">
        <v>0</v>
      </c>
      <c r="Q3191" t="n">
        <v>0</v>
      </c>
      <c r="R3191" t="n">
        <v>0</v>
      </c>
      <c r="S3191" t="n">
        <v>0</v>
      </c>
      <c r="T3191" t="n">
        <v>0</v>
      </c>
      <c r="U3191" t="n">
        <v>0</v>
      </c>
      <c r="V3191" s="2" t="inlineStr"/>
    </row>
    <row r="3192" ht="15" customHeight="1">
      <c r="A3192" t="inlineStr">
        <is>
          <t>A 32428-2023</t>
        </is>
      </c>
      <c r="B3192" t="inlineStr">
        <is>
          <t>avverkningsanmälan</t>
        </is>
      </c>
      <c r="C3192" t="inlineStr">
        <is>
          <t>Föryngringsavverkning</t>
        </is>
      </c>
      <c r="D3192" s="1" t="n">
        <v>45110</v>
      </c>
      <c r="E3192" s="1" t="n">
        <v>46309</v>
      </c>
      <c r="F3192" t="inlineStr">
        <is>
          <t>UPPSALA LÄN</t>
        </is>
      </c>
      <c r="G3192" t="inlineStr">
        <is>
          <t>UPPSALA</t>
        </is>
      </c>
      <c r="I3192" t="n">
        <v>3.1</v>
      </c>
      <c r="J3192" t="n">
        <v>0</v>
      </c>
      <c r="K3192" t="n">
        <v>0</v>
      </c>
      <c r="L3192" t="n">
        <v>0</v>
      </c>
      <c r="M3192" t="n">
        <v>0</v>
      </c>
      <c r="N3192" t="n">
        <v>0</v>
      </c>
      <c r="O3192" t="n">
        <v>0</v>
      </c>
      <c r="P3192" t="n">
        <v>0</v>
      </c>
      <c r="Q3192" t="n">
        <v>0</v>
      </c>
      <c r="R3192" t="n">
        <v>0</v>
      </c>
      <c r="S3192" t="n">
        <v>0</v>
      </c>
      <c r="T3192" t="n">
        <v>0</v>
      </c>
      <c r="U3192" t="n">
        <v>0</v>
      </c>
      <c r="V3192" s="2" t="inlineStr"/>
    </row>
    <row r="3193" ht="15" customHeight="1">
      <c r="A3193" t="inlineStr">
        <is>
          <t>A 39036-2026</t>
        </is>
      </c>
      <c r="B3193" t="inlineStr">
        <is>
          <t>avverkningsanmälan</t>
        </is>
      </c>
      <c r="C3193" t="inlineStr">
        <is>
          <t>Föryngringsavverkning</t>
        </is>
      </c>
      <c r="D3193" s="1" t="n">
        <v>46287</v>
      </c>
      <c r="E3193" s="1" t="n">
        <v>46309</v>
      </c>
      <c r="F3193" t="inlineStr">
        <is>
          <t>UPPSALA LÄN</t>
        </is>
      </c>
      <c r="G3193" t="inlineStr">
        <is>
          <t>ENKÖPING</t>
        </is>
      </c>
      <c r="I3193" t="n">
        <v>3.4</v>
      </c>
      <c r="J3193" t="n">
        <v>0</v>
      </c>
      <c r="K3193" t="n">
        <v>0</v>
      </c>
      <c r="L3193" t="n">
        <v>0</v>
      </c>
      <c r="M3193" t="n">
        <v>0</v>
      </c>
      <c r="N3193" t="n">
        <v>0</v>
      </c>
      <c r="O3193" t="n">
        <v>0</v>
      </c>
      <c r="P3193" t="n">
        <v>0</v>
      </c>
      <c r="Q3193" t="n">
        <v>0</v>
      </c>
      <c r="R3193" t="n">
        <v>0</v>
      </c>
      <c r="S3193" t="n">
        <v>0</v>
      </c>
      <c r="T3193" t="n">
        <v>0</v>
      </c>
      <c r="U3193" t="n">
        <v>0</v>
      </c>
      <c r="V3193" s="2" t="inlineStr"/>
    </row>
    <row r="3194" ht="15" customHeight="1">
      <c r="A3194" t="inlineStr">
        <is>
          <t>A 45489-2023</t>
        </is>
      </c>
      <c r="B3194" t="inlineStr">
        <is>
          <t>avverkningsanmälan</t>
        </is>
      </c>
      <c r="C3194" t="inlineStr">
        <is>
          <t>Föryngringsavverkning</t>
        </is>
      </c>
      <c r="D3194" s="1" t="n">
        <v>45194</v>
      </c>
      <c r="E3194" s="1" t="n">
        <v>46309</v>
      </c>
      <c r="F3194" t="inlineStr">
        <is>
          <t>UPPSALA LÄN</t>
        </is>
      </c>
      <c r="G3194" t="inlineStr">
        <is>
          <t>UPPSALA</t>
        </is>
      </c>
      <c r="H3194" t="inlineStr">
        <is>
          <t>Allmännings- och besparingsskogar</t>
        </is>
      </c>
      <c r="I3194" t="n">
        <v>15.8</v>
      </c>
      <c r="J3194" t="n">
        <v>0</v>
      </c>
      <c r="K3194" t="n">
        <v>0</v>
      </c>
      <c r="L3194" t="n">
        <v>0</v>
      </c>
      <c r="M3194" t="n">
        <v>0</v>
      </c>
      <c r="N3194" t="n">
        <v>0</v>
      </c>
      <c r="O3194" t="n">
        <v>0</v>
      </c>
      <c r="P3194" t="n">
        <v>0</v>
      </c>
      <c r="Q3194" t="n">
        <v>0</v>
      </c>
      <c r="R3194" t="n">
        <v>0</v>
      </c>
      <c r="S3194" t="n">
        <v>0</v>
      </c>
      <c r="T3194" t="n">
        <v>0</v>
      </c>
      <c r="U3194" t="n">
        <v>0</v>
      </c>
      <c r="V3194" s="2" t="inlineStr"/>
    </row>
    <row r="3195" ht="15" customHeight="1">
      <c r="A3195" t="inlineStr">
        <is>
          <t>A 57209-2024</t>
        </is>
      </c>
      <c r="B3195" t="inlineStr">
        <is>
          <t>avverkningsanmälan</t>
        </is>
      </c>
      <c r="C3195" t="inlineStr">
        <is>
          <t>Föryngringsavverkning</t>
        </is>
      </c>
      <c r="D3195" s="1" t="n">
        <v>45629</v>
      </c>
      <c r="E3195" s="1" t="n">
        <v>46309</v>
      </c>
      <c r="F3195" t="inlineStr">
        <is>
          <t>UPPSALA LÄN</t>
        </is>
      </c>
      <c r="G3195" t="inlineStr">
        <is>
          <t>ENKÖPING</t>
        </is>
      </c>
      <c r="I3195" t="n">
        <v>3.2</v>
      </c>
      <c r="J3195" t="n">
        <v>0</v>
      </c>
      <c r="K3195" t="n">
        <v>0</v>
      </c>
      <c r="L3195" t="n">
        <v>0</v>
      </c>
      <c r="M3195" t="n">
        <v>0</v>
      </c>
      <c r="N3195" t="n">
        <v>0</v>
      </c>
      <c r="O3195" t="n">
        <v>0</v>
      </c>
      <c r="P3195" t="n">
        <v>0</v>
      </c>
      <c r="Q3195" t="n">
        <v>0</v>
      </c>
      <c r="R3195" t="n">
        <v>0</v>
      </c>
      <c r="S3195" t="n">
        <v>0</v>
      </c>
      <c r="T3195" t="n">
        <v>0</v>
      </c>
      <c r="U3195" t="n">
        <v>0</v>
      </c>
      <c r="V3195" s="2" t="inlineStr"/>
    </row>
    <row r="3196" ht="15" customHeight="1">
      <c r="A3196" t="inlineStr">
        <is>
          <t>A 38818-2026</t>
        </is>
      </c>
      <c r="B3196" t="inlineStr">
        <is>
          <t>avverkningsanmälan</t>
        </is>
      </c>
      <c r="C3196" t="inlineStr">
        <is>
          <t>Avverkning för att bevara och utveckla /försöksver</t>
        </is>
      </c>
      <c r="D3196" s="1" t="n">
        <v>46286</v>
      </c>
      <c r="E3196" s="1" t="n">
        <v>46309</v>
      </c>
      <c r="F3196" t="inlineStr">
        <is>
          <t>UPPSALA LÄN</t>
        </is>
      </c>
      <c r="G3196" t="inlineStr">
        <is>
          <t>HEBY</t>
        </is>
      </c>
      <c r="I3196" t="n">
        <v>0.5</v>
      </c>
      <c r="J3196" t="n">
        <v>0</v>
      </c>
      <c r="K3196" t="n">
        <v>0</v>
      </c>
      <c r="L3196" t="n">
        <v>0</v>
      </c>
      <c r="M3196" t="n">
        <v>0</v>
      </c>
      <c r="N3196" t="n">
        <v>0</v>
      </c>
      <c r="O3196" t="n">
        <v>0</v>
      </c>
      <c r="P3196" t="n">
        <v>0</v>
      </c>
      <c r="Q3196" t="n">
        <v>0</v>
      </c>
      <c r="R3196" t="n">
        <v>0</v>
      </c>
      <c r="S3196" t="n">
        <v>0</v>
      </c>
      <c r="T3196" t="n">
        <v>0</v>
      </c>
      <c r="U3196" t="n">
        <v>0</v>
      </c>
      <c r="V3196" s="2" t="inlineStr"/>
    </row>
    <row r="3197" ht="15" customHeight="1">
      <c r="A3197" t="inlineStr">
        <is>
          <t>A 27473-2024</t>
        </is>
      </c>
      <c r="B3197" t="inlineStr">
        <is>
          <t>avverkningsanmälan</t>
        </is>
      </c>
      <c r="C3197" t="inlineStr">
        <is>
          <t>Föryngringsavverkning</t>
        </is>
      </c>
      <c r="D3197" s="1" t="n">
        <v>45474</v>
      </c>
      <c r="E3197" s="1" t="n">
        <v>46309</v>
      </c>
      <c r="F3197" t="inlineStr">
        <is>
          <t>UPPSALA LÄN</t>
        </is>
      </c>
      <c r="G3197" t="inlineStr">
        <is>
          <t>UPPSALA</t>
        </is>
      </c>
      <c r="I3197" t="n">
        <v>0.6</v>
      </c>
      <c r="J3197" t="n">
        <v>0</v>
      </c>
      <c r="K3197" t="n">
        <v>0</v>
      </c>
      <c r="L3197" t="n">
        <v>0</v>
      </c>
      <c r="M3197" t="n">
        <v>0</v>
      </c>
      <c r="N3197" t="n">
        <v>0</v>
      </c>
      <c r="O3197" t="n">
        <v>0</v>
      </c>
      <c r="P3197" t="n">
        <v>0</v>
      </c>
      <c r="Q3197" t="n">
        <v>0</v>
      </c>
      <c r="R3197" t="n">
        <v>0</v>
      </c>
      <c r="S3197" t="n">
        <v>0</v>
      </c>
      <c r="T3197" t="n">
        <v>0</v>
      </c>
      <c r="U3197" t="n">
        <v>0</v>
      </c>
      <c r="V3197" s="2" t="inlineStr"/>
    </row>
    <row r="3198" ht="15" customHeight="1">
      <c r="A3198" t="inlineStr">
        <is>
          <t>A 38243-2026</t>
        </is>
      </c>
      <c r="B3198" t="inlineStr">
        <is>
          <t>avverkningsanmälan</t>
        </is>
      </c>
      <c r="C3198" t="inlineStr">
        <is>
          <t>Föryngringsavverkning</t>
        </is>
      </c>
      <c r="D3198" s="1" t="n">
        <v>46281</v>
      </c>
      <c r="E3198" s="1" t="n">
        <v>46309</v>
      </c>
      <c r="F3198" t="inlineStr">
        <is>
          <t>UPPSALA LÄN</t>
        </is>
      </c>
      <c r="G3198" t="inlineStr">
        <is>
          <t>HEBY</t>
        </is>
      </c>
      <c r="I3198" t="n">
        <v>1</v>
      </c>
      <c r="J3198" t="n">
        <v>0</v>
      </c>
      <c r="K3198" t="n">
        <v>0</v>
      </c>
      <c r="L3198" t="n">
        <v>0</v>
      </c>
      <c r="M3198" t="n">
        <v>0</v>
      </c>
      <c r="N3198" t="n">
        <v>0</v>
      </c>
      <c r="O3198" t="n">
        <v>0</v>
      </c>
      <c r="P3198" t="n">
        <v>0</v>
      </c>
      <c r="Q3198" t="n">
        <v>0</v>
      </c>
      <c r="R3198" t="n">
        <v>0</v>
      </c>
      <c r="S3198" t="n">
        <v>0</v>
      </c>
      <c r="T3198" t="n">
        <v>0</v>
      </c>
      <c r="U3198" t="n">
        <v>0</v>
      </c>
      <c r="V3198" s="2" t="inlineStr"/>
    </row>
    <row r="3199" ht="15" customHeight="1">
      <c r="A3199" t="inlineStr">
        <is>
          <t>A 13110-2023</t>
        </is>
      </c>
      <c r="B3199" t="inlineStr">
        <is>
          <t>avverkningsanmälan</t>
        </is>
      </c>
      <c r="C3199" t="inlineStr">
        <is>
          <t>Föryngringsavverkning</t>
        </is>
      </c>
      <c r="D3199" s="1" t="n">
        <v>45001</v>
      </c>
      <c r="E3199" s="1" t="n">
        <v>46309</v>
      </c>
      <c r="F3199" t="inlineStr">
        <is>
          <t>UPPSALA LÄN</t>
        </is>
      </c>
      <c r="G3199" t="inlineStr">
        <is>
          <t>ENKÖPING</t>
        </is>
      </c>
      <c r="I3199" t="n">
        <v>2.5</v>
      </c>
      <c r="J3199" t="n">
        <v>0</v>
      </c>
      <c r="K3199" t="n">
        <v>0</v>
      </c>
      <c r="L3199" t="n">
        <v>0</v>
      </c>
      <c r="M3199" t="n">
        <v>0</v>
      </c>
      <c r="N3199" t="n">
        <v>0</v>
      </c>
      <c r="O3199" t="n">
        <v>0</v>
      </c>
      <c r="P3199" t="n">
        <v>0</v>
      </c>
      <c r="Q3199" t="n">
        <v>0</v>
      </c>
      <c r="R3199" t="n">
        <v>0</v>
      </c>
      <c r="S3199" t="n">
        <v>0</v>
      </c>
      <c r="T3199" t="n">
        <v>0</v>
      </c>
      <c r="U3199" t="n">
        <v>0</v>
      </c>
      <c r="V3199" s="2" t="inlineStr"/>
    </row>
    <row r="3200" ht="15" customHeight="1">
      <c r="A3200" t="inlineStr">
        <is>
          <t>A 9043-2023</t>
        </is>
      </c>
      <c r="B3200" t="inlineStr">
        <is>
          <t>avverkningsanmälan</t>
        </is>
      </c>
      <c r="C3200" t="inlineStr">
        <is>
          <t>Föryngringsavverkning</t>
        </is>
      </c>
      <c r="D3200" s="1" t="n">
        <v>44979</v>
      </c>
      <c r="E3200" s="1" t="n">
        <v>46309</v>
      </c>
      <c r="F3200" t="inlineStr">
        <is>
          <t>UPPSALA LÄN</t>
        </is>
      </c>
      <c r="G3200" t="inlineStr">
        <is>
          <t>HEBY</t>
        </is>
      </c>
      <c r="I3200" t="n">
        <v>1.1</v>
      </c>
      <c r="J3200" t="n">
        <v>0</v>
      </c>
      <c r="K3200" t="n">
        <v>0</v>
      </c>
      <c r="L3200" t="n">
        <v>0</v>
      </c>
      <c r="M3200" t="n">
        <v>0</v>
      </c>
      <c r="N3200" t="n">
        <v>0</v>
      </c>
      <c r="O3200" t="n">
        <v>0</v>
      </c>
      <c r="P3200" t="n">
        <v>0</v>
      </c>
      <c r="Q3200" t="n">
        <v>0</v>
      </c>
      <c r="R3200" t="n">
        <v>0</v>
      </c>
      <c r="S3200" t="n">
        <v>0</v>
      </c>
      <c r="T3200" t="n">
        <v>0</v>
      </c>
      <c r="U3200" t="n">
        <v>0</v>
      </c>
      <c r="V3200" s="2" t="inlineStr"/>
    </row>
    <row r="3201" ht="15" customHeight="1">
      <c r="A3201" t="inlineStr">
        <is>
          <t>A 49627-2024</t>
        </is>
      </c>
      <c r="B3201" t="inlineStr">
        <is>
          <t>avverkningsanmälan</t>
        </is>
      </c>
      <c r="C3201" t="inlineStr">
        <is>
          <t>Föryngringsavverkning</t>
        </is>
      </c>
      <c r="D3201" s="1" t="n">
        <v>45596</v>
      </c>
      <c r="E3201" s="1" t="n">
        <v>46309</v>
      </c>
      <c r="F3201" t="inlineStr">
        <is>
          <t>UPPSALA LÄN</t>
        </is>
      </c>
      <c r="G3201" t="inlineStr">
        <is>
          <t>ENKÖPING</t>
        </is>
      </c>
      <c r="I3201" t="n">
        <v>0.4</v>
      </c>
      <c r="J3201" t="n">
        <v>0</v>
      </c>
      <c r="K3201" t="n">
        <v>0</v>
      </c>
      <c r="L3201" t="n">
        <v>0</v>
      </c>
      <c r="M3201" t="n">
        <v>0</v>
      </c>
      <c r="N3201" t="n">
        <v>0</v>
      </c>
      <c r="O3201" t="n">
        <v>0</v>
      </c>
      <c r="P3201" t="n">
        <v>0</v>
      </c>
      <c r="Q3201" t="n">
        <v>0</v>
      </c>
      <c r="R3201" t="n">
        <v>0</v>
      </c>
      <c r="S3201" t="n">
        <v>0</v>
      </c>
      <c r="T3201" t="n">
        <v>0</v>
      </c>
      <c r="U3201" t="n">
        <v>0</v>
      </c>
      <c r="V3201" s="2" t="inlineStr"/>
    </row>
    <row r="3202" ht="15" customHeight="1">
      <c r="A3202" t="inlineStr">
        <is>
          <t>A 9231-2023</t>
        </is>
      </c>
      <c r="B3202" t="inlineStr">
        <is>
          <t>avverkningsanmälan</t>
        </is>
      </c>
      <c r="C3202" t="inlineStr">
        <is>
          <t>Föryngringsavverkning</t>
        </is>
      </c>
      <c r="D3202" s="1" t="n">
        <v>44980</v>
      </c>
      <c r="E3202" s="1" t="n">
        <v>46309</v>
      </c>
      <c r="F3202" t="inlineStr">
        <is>
          <t>UPPSALA LÄN</t>
        </is>
      </c>
      <c r="G3202" t="inlineStr">
        <is>
          <t>ENKÖPING</t>
        </is>
      </c>
      <c r="I3202" t="n">
        <v>1.5</v>
      </c>
      <c r="J3202" t="n">
        <v>0</v>
      </c>
      <c r="K3202" t="n">
        <v>0</v>
      </c>
      <c r="L3202" t="n">
        <v>0</v>
      </c>
      <c r="M3202" t="n">
        <v>0</v>
      </c>
      <c r="N3202" t="n">
        <v>0</v>
      </c>
      <c r="O3202" t="n">
        <v>0</v>
      </c>
      <c r="P3202" t="n">
        <v>0</v>
      </c>
      <c r="Q3202" t="n">
        <v>0</v>
      </c>
      <c r="R3202" t="n">
        <v>0</v>
      </c>
      <c r="S3202" t="n">
        <v>0</v>
      </c>
      <c r="T3202" t="n">
        <v>0</v>
      </c>
      <c r="U3202" t="n">
        <v>0</v>
      </c>
      <c r="V3202" s="2" t="inlineStr"/>
    </row>
    <row r="3203" ht="15" customHeight="1">
      <c r="A3203" t="inlineStr">
        <is>
          <t>A 14590-2023</t>
        </is>
      </c>
      <c r="B3203" t="inlineStr">
        <is>
          <t>avverkningsanmälan</t>
        </is>
      </c>
      <c r="C3203" t="inlineStr">
        <is>
          <t>Föryngringsavverkning</t>
        </is>
      </c>
      <c r="D3203" s="1" t="n">
        <v>45013</v>
      </c>
      <c r="E3203" s="1" t="n">
        <v>46309</v>
      </c>
      <c r="F3203" t="inlineStr">
        <is>
          <t>UPPSALA LÄN</t>
        </is>
      </c>
      <c r="G3203" t="inlineStr">
        <is>
          <t>ÄLVKARLEBY</t>
        </is>
      </c>
      <c r="I3203" t="n">
        <v>1.8</v>
      </c>
      <c r="J3203" t="n">
        <v>0</v>
      </c>
      <c r="K3203" t="n">
        <v>0</v>
      </c>
      <c r="L3203" t="n">
        <v>0</v>
      </c>
      <c r="M3203" t="n">
        <v>0</v>
      </c>
      <c r="N3203" t="n">
        <v>0</v>
      </c>
      <c r="O3203" t="n">
        <v>0</v>
      </c>
      <c r="P3203" t="n">
        <v>0</v>
      </c>
      <c r="Q3203" t="n">
        <v>0</v>
      </c>
      <c r="R3203" t="n">
        <v>0</v>
      </c>
      <c r="S3203" t="n">
        <v>0</v>
      </c>
      <c r="T3203" t="n">
        <v>0</v>
      </c>
      <c r="U3203" t="n">
        <v>0</v>
      </c>
      <c r="V3203" s="2" t="inlineStr"/>
    </row>
    <row r="3204" ht="15" customHeight="1">
      <c r="A3204" t="inlineStr">
        <is>
          <t>A 27538-2023</t>
        </is>
      </c>
      <c r="B3204" t="inlineStr">
        <is>
          <t>avverkningsanmälan</t>
        </is>
      </c>
      <c r="C3204" t="inlineStr">
        <is>
          <t>Föryngringsavverkning</t>
        </is>
      </c>
      <c r="D3204" s="1" t="n">
        <v>45097</v>
      </c>
      <c r="E3204" s="1" t="n">
        <v>46309</v>
      </c>
      <c r="F3204" t="inlineStr">
        <is>
          <t>UPPSALA LÄN</t>
        </is>
      </c>
      <c r="G3204" t="inlineStr">
        <is>
          <t>ENKÖPING</t>
        </is>
      </c>
      <c r="I3204" t="n">
        <v>5.8</v>
      </c>
      <c r="J3204" t="n">
        <v>0</v>
      </c>
      <c r="K3204" t="n">
        <v>0</v>
      </c>
      <c r="L3204" t="n">
        <v>0</v>
      </c>
      <c r="M3204" t="n">
        <v>0</v>
      </c>
      <c r="N3204" t="n">
        <v>0</v>
      </c>
      <c r="O3204" t="n">
        <v>0</v>
      </c>
      <c r="P3204" t="n">
        <v>0</v>
      </c>
      <c r="Q3204" t="n">
        <v>0</v>
      </c>
      <c r="R3204" t="n">
        <v>0</v>
      </c>
      <c r="S3204" t="n">
        <v>0</v>
      </c>
      <c r="T3204" t="n">
        <v>0</v>
      </c>
      <c r="U3204" t="n">
        <v>0</v>
      </c>
      <c r="V3204" s="2" t="inlineStr"/>
    </row>
    <row r="3205" ht="15" customHeight="1">
      <c r="A3205" t="inlineStr">
        <is>
          <t>A 22798-2023</t>
        </is>
      </c>
      <c r="B3205" t="inlineStr">
        <is>
          <t>avverkningsanmälan</t>
        </is>
      </c>
      <c r="C3205" t="inlineStr">
        <is>
          <t>Avverkning för annat ändamål</t>
        </is>
      </c>
      <c r="D3205" s="1" t="n">
        <v>45072</v>
      </c>
      <c r="E3205" s="1" t="n">
        <v>46309</v>
      </c>
      <c r="F3205" t="inlineStr">
        <is>
          <t>UPPSALA LÄN</t>
        </is>
      </c>
      <c r="G3205" t="inlineStr">
        <is>
          <t>ÖSTHAMMAR</t>
        </is>
      </c>
      <c r="I3205" t="n">
        <v>1</v>
      </c>
      <c r="J3205" t="n">
        <v>0</v>
      </c>
      <c r="K3205" t="n">
        <v>0</v>
      </c>
      <c r="L3205" t="n">
        <v>0</v>
      </c>
      <c r="M3205" t="n">
        <v>0</v>
      </c>
      <c r="N3205" t="n">
        <v>0</v>
      </c>
      <c r="O3205" t="n">
        <v>0</v>
      </c>
      <c r="P3205" t="n">
        <v>0</v>
      </c>
      <c r="Q3205" t="n">
        <v>0</v>
      </c>
      <c r="R3205" t="n">
        <v>0</v>
      </c>
      <c r="S3205" t="n">
        <v>0</v>
      </c>
      <c r="T3205" t="n">
        <v>0</v>
      </c>
      <c r="U3205" t="n">
        <v>0</v>
      </c>
      <c r="V3205" s="2" t="inlineStr"/>
    </row>
    <row r="3206" ht="15" customHeight="1">
      <c r="A3206" t="inlineStr">
        <is>
          <t>A 39158-2026</t>
        </is>
      </c>
      <c r="B3206" t="inlineStr">
        <is>
          <t>avverkningsanmälan</t>
        </is>
      </c>
      <c r="C3206" t="inlineStr">
        <is>
          <t>Föryngringsavverkning</t>
        </is>
      </c>
      <c r="D3206" s="1" t="n">
        <v>46287</v>
      </c>
      <c r="E3206" s="1" t="n">
        <v>46309</v>
      </c>
      <c r="F3206" t="inlineStr">
        <is>
          <t>UPPSALA LÄN</t>
        </is>
      </c>
      <c r="G3206" t="inlineStr">
        <is>
          <t>TIERP</t>
        </is>
      </c>
      <c r="H3206" t="inlineStr">
        <is>
          <t>Bergvik skog öst AB</t>
        </is>
      </c>
      <c r="I3206" t="n">
        <v>0.6</v>
      </c>
      <c r="J3206" t="n">
        <v>0</v>
      </c>
      <c r="K3206" t="n">
        <v>0</v>
      </c>
      <c r="L3206" t="n">
        <v>0</v>
      </c>
      <c r="M3206" t="n">
        <v>0</v>
      </c>
      <c r="N3206" t="n">
        <v>0</v>
      </c>
      <c r="O3206" t="n">
        <v>0</v>
      </c>
      <c r="P3206" t="n">
        <v>0</v>
      </c>
      <c r="Q3206" t="n">
        <v>0</v>
      </c>
      <c r="R3206" t="n">
        <v>0</v>
      </c>
      <c r="S3206" t="n">
        <v>0</v>
      </c>
      <c r="T3206" t="n">
        <v>0</v>
      </c>
      <c r="U3206" t="n">
        <v>0</v>
      </c>
      <c r="V3206" s="2" t="inlineStr"/>
    </row>
    <row r="3207" ht="15" customHeight="1">
      <c r="A3207" t="inlineStr">
        <is>
          <t>A 8881-2025</t>
        </is>
      </c>
      <c r="B3207" t="inlineStr">
        <is>
          <t>avverkningsanmälan</t>
        </is>
      </c>
      <c r="C3207" t="inlineStr">
        <is>
          <t>Föryngringsavverkning</t>
        </is>
      </c>
      <c r="D3207" s="1" t="n">
        <v>45713</v>
      </c>
      <c r="E3207" s="1" t="n">
        <v>46309</v>
      </c>
      <c r="F3207" t="inlineStr">
        <is>
          <t>UPPSALA LÄN</t>
        </is>
      </c>
      <c r="G3207" t="inlineStr">
        <is>
          <t>HEBY</t>
        </is>
      </c>
      <c r="I3207" t="n">
        <v>0.6</v>
      </c>
      <c r="J3207" t="n">
        <v>0</v>
      </c>
      <c r="K3207" t="n">
        <v>0</v>
      </c>
      <c r="L3207" t="n">
        <v>0</v>
      </c>
      <c r="M3207" t="n">
        <v>0</v>
      </c>
      <c r="N3207" t="n">
        <v>0</v>
      </c>
      <c r="O3207" t="n">
        <v>0</v>
      </c>
      <c r="P3207" t="n">
        <v>0</v>
      </c>
      <c r="Q3207" t="n">
        <v>0</v>
      </c>
      <c r="R3207" t="n">
        <v>0</v>
      </c>
      <c r="S3207" t="n">
        <v>0</v>
      </c>
      <c r="T3207" t="n">
        <v>0</v>
      </c>
      <c r="U3207" t="n">
        <v>0</v>
      </c>
      <c r="V3207" s="2" t="inlineStr"/>
    </row>
    <row r="3208" ht="15" customHeight="1">
      <c r="A3208" t="inlineStr">
        <is>
          <t>A 18821-2023</t>
        </is>
      </c>
      <c r="B3208" t="inlineStr">
        <is>
          <t>avverkningsanmälan</t>
        </is>
      </c>
      <c r="C3208" t="inlineStr">
        <is>
          <t>Föryngringsavverkning</t>
        </is>
      </c>
      <c r="D3208" s="1" t="n">
        <v>45044</v>
      </c>
      <c r="E3208" s="1" t="n">
        <v>46309</v>
      </c>
      <c r="F3208" t="inlineStr">
        <is>
          <t>UPPSALA LÄN</t>
        </is>
      </c>
      <c r="G3208" t="inlineStr">
        <is>
          <t>ENKÖPING</t>
        </is>
      </c>
      <c r="I3208" t="n">
        <v>6</v>
      </c>
      <c r="J3208" t="n">
        <v>0</v>
      </c>
      <c r="K3208" t="n">
        <v>0</v>
      </c>
      <c r="L3208" t="n">
        <v>0</v>
      </c>
      <c r="M3208" t="n">
        <v>0</v>
      </c>
      <c r="N3208" t="n">
        <v>0</v>
      </c>
      <c r="O3208" t="n">
        <v>0</v>
      </c>
      <c r="P3208" t="n">
        <v>0</v>
      </c>
      <c r="Q3208" t="n">
        <v>0</v>
      </c>
      <c r="R3208" t="n">
        <v>0</v>
      </c>
      <c r="S3208" t="n">
        <v>0</v>
      </c>
      <c r="T3208" t="n">
        <v>0</v>
      </c>
      <c r="U3208" t="n">
        <v>0</v>
      </c>
      <c r="V3208" s="2" t="inlineStr"/>
    </row>
    <row r="3209" ht="15" customHeight="1">
      <c r="A3209" t="inlineStr">
        <is>
          <t>A 10982-2023</t>
        </is>
      </c>
      <c r="B3209" t="inlineStr">
        <is>
          <t>avverkningsanmälan</t>
        </is>
      </c>
      <c r="C3209" t="inlineStr">
        <is>
          <t>Föryngringsavverkning</t>
        </is>
      </c>
      <c r="D3209" s="1" t="n">
        <v>44991</v>
      </c>
      <c r="E3209" s="1" t="n">
        <v>46309</v>
      </c>
      <c r="F3209" t="inlineStr">
        <is>
          <t>UPPSALA LÄN</t>
        </is>
      </c>
      <c r="G3209" t="inlineStr">
        <is>
          <t>ÖSTHAMMAR</t>
        </is>
      </c>
      <c r="I3209" t="n">
        <v>1.2</v>
      </c>
      <c r="J3209" t="n">
        <v>0</v>
      </c>
      <c r="K3209" t="n">
        <v>0</v>
      </c>
      <c r="L3209" t="n">
        <v>0</v>
      </c>
      <c r="M3209" t="n">
        <v>0</v>
      </c>
      <c r="N3209" t="n">
        <v>0</v>
      </c>
      <c r="O3209" t="n">
        <v>0</v>
      </c>
      <c r="P3209" t="n">
        <v>0</v>
      </c>
      <c r="Q3209" t="n">
        <v>0</v>
      </c>
      <c r="R3209" t="n">
        <v>0</v>
      </c>
      <c r="S3209" t="n">
        <v>0</v>
      </c>
      <c r="T3209" t="n">
        <v>0</v>
      </c>
      <c r="U3209" t="n">
        <v>0</v>
      </c>
      <c r="V3209" s="2" t="inlineStr"/>
    </row>
    <row r="3210" ht="15" customHeight="1">
      <c r="A3210" t="inlineStr">
        <is>
          <t>A 39025-2026</t>
        </is>
      </c>
      <c r="B3210" t="inlineStr">
        <is>
          <t>avverkningsanmälan</t>
        </is>
      </c>
      <c r="C3210" t="inlineStr">
        <is>
          <t>Föryngringsavverkning</t>
        </is>
      </c>
      <c r="D3210" s="1" t="n">
        <v>46287</v>
      </c>
      <c r="E3210" s="1" t="n">
        <v>46309</v>
      </c>
      <c r="F3210" t="inlineStr">
        <is>
          <t>UPPSALA LÄN</t>
        </is>
      </c>
      <c r="G3210" t="inlineStr">
        <is>
          <t>HEBY</t>
        </is>
      </c>
      <c r="I3210" t="n">
        <v>2.4</v>
      </c>
      <c r="J3210" t="n">
        <v>0</v>
      </c>
      <c r="K3210" t="n">
        <v>0</v>
      </c>
      <c r="L3210" t="n">
        <v>0</v>
      </c>
      <c r="M3210" t="n">
        <v>0</v>
      </c>
      <c r="N3210" t="n">
        <v>0</v>
      </c>
      <c r="O3210" t="n">
        <v>0</v>
      </c>
      <c r="P3210" t="n">
        <v>0</v>
      </c>
      <c r="Q3210" t="n">
        <v>0</v>
      </c>
      <c r="R3210" t="n">
        <v>0</v>
      </c>
      <c r="S3210" t="n">
        <v>0</v>
      </c>
      <c r="T3210" t="n">
        <v>0</v>
      </c>
      <c r="U3210" t="n">
        <v>0</v>
      </c>
      <c r="V3210" s="2" t="inlineStr"/>
    </row>
    <row r="3211" ht="15" customHeight="1">
      <c r="A3211" t="inlineStr">
        <is>
          <t>A 33115-2026</t>
        </is>
      </c>
      <c r="B3211" t="inlineStr">
        <is>
          <t>avverkningsanmälan</t>
        </is>
      </c>
      <c r="C3211" t="inlineStr">
        <is>
          <t>Föryngringsavverkning</t>
        </is>
      </c>
      <c r="D3211" s="1" t="n">
        <v>46245</v>
      </c>
      <c r="E3211" s="1" t="n">
        <v>46309</v>
      </c>
      <c r="F3211" t="inlineStr">
        <is>
          <t>UPPSALA LÄN</t>
        </is>
      </c>
      <c r="G3211" t="inlineStr">
        <is>
          <t>ENKÖPING</t>
        </is>
      </c>
      <c r="I3211" t="n">
        <v>1.2</v>
      </c>
      <c r="J3211" t="n">
        <v>0</v>
      </c>
      <c r="K3211" t="n">
        <v>0</v>
      </c>
      <c r="L3211" t="n">
        <v>0</v>
      </c>
      <c r="M3211" t="n">
        <v>0</v>
      </c>
      <c r="N3211" t="n">
        <v>0</v>
      </c>
      <c r="O3211" t="n">
        <v>0</v>
      </c>
      <c r="P3211" t="n">
        <v>0</v>
      </c>
      <c r="Q3211" t="n">
        <v>0</v>
      </c>
      <c r="R3211" t="n">
        <v>0</v>
      </c>
      <c r="S3211" t="n">
        <v>0</v>
      </c>
      <c r="T3211" t="n">
        <v>0</v>
      </c>
      <c r="U3211" t="n">
        <v>0</v>
      </c>
      <c r="V3211" s="2" t="inlineStr"/>
    </row>
    <row r="3212" ht="15" customHeight="1">
      <c r="A3212" t="inlineStr">
        <is>
          <t>A 40637-2022</t>
        </is>
      </c>
      <c r="B3212" t="inlineStr">
        <is>
          <t>avverkningsanmälan</t>
        </is>
      </c>
      <c r="C3212" t="inlineStr">
        <is>
          <t>Avverkning för annat ändamål</t>
        </is>
      </c>
      <c r="D3212" s="1" t="n">
        <v>44824</v>
      </c>
      <c r="E3212" s="1" t="n">
        <v>46309</v>
      </c>
      <c r="F3212" t="inlineStr">
        <is>
          <t>UPPSALA LÄN</t>
        </is>
      </c>
      <c r="G3212" t="inlineStr">
        <is>
          <t>ÖSTHAMMAR</t>
        </is>
      </c>
      <c r="H3212" t="inlineStr">
        <is>
          <t>Övriga Aktiebolag</t>
        </is>
      </c>
      <c r="I3212" t="n">
        <v>3.7</v>
      </c>
      <c r="J3212" t="n">
        <v>0</v>
      </c>
      <c r="K3212" t="n">
        <v>0</v>
      </c>
      <c r="L3212" t="n">
        <v>0</v>
      </c>
      <c r="M3212" t="n">
        <v>0</v>
      </c>
      <c r="N3212" t="n">
        <v>0</v>
      </c>
      <c r="O3212" t="n">
        <v>0</v>
      </c>
      <c r="P3212" t="n">
        <v>0</v>
      </c>
      <c r="Q3212" t="n">
        <v>0</v>
      </c>
      <c r="R3212" t="n">
        <v>0</v>
      </c>
      <c r="S3212" t="n">
        <v>0</v>
      </c>
      <c r="T3212" t="n">
        <v>0</v>
      </c>
      <c r="U3212" t="n">
        <v>0</v>
      </c>
      <c r="V3212" s="2" t="inlineStr"/>
    </row>
    <row r="3213" ht="15" customHeight="1">
      <c r="A3213" t="inlineStr">
        <is>
          <t>A 21624-2023</t>
        </is>
      </c>
      <c r="B3213" t="inlineStr">
        <is>
          <t>avverkningsanmälan</t>
        </is>
      </c>
      <c r="C3213" t="inlineStr">
        <is>
          <t>Föryngringsavverkning</t>
        </is>
      </c>
      <c r="D3213" s="1" t="n">
        <v>45063</v>
      </c>
      <c r="E3213" s="1" t="n">
        <v>46309</v>
      </c>
      <c r="F3213" t="inlineStr">
        <is>
          <t>UPPSALA LÄN</t>
        </is>
      </c>
      <c r="G3213" t="inlineStr">
        <is>
          <t>ÖSTHAMMAR</t>
        </is>
      </c>
      <c r="H3213" t="inlineStr">
        <is>
          <t>Sveaskog</t>
        </is>
      </c>
      <c r="I3213" t="n">
        <v>1.5</v>
      </c>
      <c r="J3213" t="n">
        <v>0</v>
      </c>
      <c r="K3213" t="n">
        <v>0</v>
      </c>
      <c r="L3213" t="n">
        <v>0</v>
      </c>
      <c r="M3213" t="n">
        <v>0</v>
      </c>
      <c r="N3213" t="n">
        <v>0</v>
      </c>
      <c r="O3213" t="n">
        <v>0</v>
      </c>
      <c r="P3213" t="n">
        <v>0</v>
      </c>
      <c r="Q3213" t="n">
        <v>0</v>
      </c>
      <c r="R3213" t="n">
        <v>0</v>
      </c>
      <c r="S3213" t="n">
        <v>0</v>
      </c>
      <c r="T3213" t="n">
        <v>0</v>
      </c>
      <c r="U3213" t="n">
        <v>0</v>
      </c>
      <c r="V3213" s="2" t="inlineStr"/>
    </row>
    <row r="3214" ht="15" customHeight="1">
      <c r="A3214" t="inlineStr">
        <is>
          <t>A 9041-2023</t>
        </is>
      </c>
      <c r="B3214" t="inlineStr">
        <is>
          <t>avverkningsanmälan</t>
        </is>
      </c>
      <c r="C3214" t="inlineStr">
        <is>
          <t>Föryngringsavverkning</t>
        </is>
      </c>
      <c r="D3214" s="1" t="n">
        <v>44979</v>
      </c>
      <c r="E3214" s="1" t="n">
        <v>46309</v>
      </c>
      <c r="F3214" t="inlineStr">
        <is>
          <t>UPPSALA LÄN</t>
        </is>
      </c>
      <c r="G3214" t="inlineStr">
        <is>
          <t>ENKÖPING</t>
        </is>
      </c>
      <c r="I3214" t="n">
        <v>1</v>
      </c>
      <c r="J3214" t="n">
        <v>0</v>
      </c>
      <c r="K3214" t="n">
        <v>0</v>
      </c>
      <c r="L3214" t="n">
        <v>0</v>
      </c>
      <c r="M3214" t="n">
        <v>0</v>
      </c>
      <c r="N3214" t="n">
        <v>0</v>
      </c>
      <c r="O3214" t="n">
        <v>0</v>
      </c>
      <c r="P3214" t="n">
        <v>0</v>
      </c>
      <c r="Q3214" t="n">
        <v>0</v>
      </c>
      <c r="R3214" t="n">
        <v>0</v>
      </c>
      <c r="S3214" t="n">
        <v>0</v>
      </c>
      <c r="T3214" t="n">
        <v>0</v>
      </c>
      <c r="U3214" t="n">
        <v>0</v>
      </c>
      <c r="V3214" s="2" t="inlineStr"/>
    </row>
    <row r="3215" ht="15" customHeight="1">
      <c r="A3215" t="inlineStr">
        <is>
          <t>A 33330-2026</t>
        </is>
      </c>
      <c r="B3215" t="inlineStr">
        <is>
          <t>avverkningsanmälan</t>
        </is>
      </c>
      <c r="C3215" t="inlineStr">
        <is>
          <t>Föryngringsavverkning</t>
        </is>
      </c>
      <c r="D3215" s="1" t="n">
        <v>46246</v>
      </c>
      <c r="E3215" s="1" t="n">
        <v>46309</v>
      </c>
      <c r="F3215" t="inlineStr">
        <is>
          <t>UPPSALA LÄN</t>
        </is>
      </c>
      <c r="G3215" t="inlineStr">
        <is>
          <t>ÖSTHAMMAR</t>
        </is>
      </c>
      <c r="H3215" t="inlineStr">
        <is>
          <t>Bergvik skog öst AB</t>
        </is>
      </c>
      <c r="I3215" t="n">
        <v>5.7</v>
      </c>
      <c r="J3215" t="n">
        <v>0</v>
      </c>
      <c r="K3215" t="n">
        <v>0</v>
      </c>
      <c r="L3215" t="n">
        <v>0</v>
      </c>
      <c r="M3215" t="n">
        <v>0</v>
      </c>
      <c r="N3215" t="n">
        <v>0</v>
      </c>
      <c r="O3215" t="n">
        <v>0</v>
      </c>
      <c r="P3215" t="n">
        <v>0</v>
      </c>
      <c r="Q3215" t="n">
        <v>0</v>
      </c>
      <c r="R3215" t="n">
        <v>0</v>
      </c>
      <c r="S3215" t="n">
        <v>0</v>
      </c>
      <c r="T3215" t="n">
        <v>0</v>
      </c>
      <c r="U3215" t="n">
        <v>0</v>
      </c>
      <c r="V3215" s="2" t="inlineStr"/>
    </row>
    <row r="3216" ht="15" customHeight="1">
      <c r="A3216" t="inlineStr">
        <is>
          <t>A 784-2024</t>
        </is>
      </c>
      <c r="B3216" t="inlineStr">
        <is>
          <t>avverkningsanmälan</t>
        </is>
      </c>
      <c r="C3216" t="inlineStr">
        <is>
          <t>Föryngringsavverkning</t>
        </is>
      </c>
      <c r="D3216" s="1" t="n">
        <v>45300</v>
      </c>
      <c r="E3216" s="1" t="n">
        <v>46309</v>
      </c>
      <c r="F3216" t="inlineStr">
        <is>
          <t>UPPSALA LÄN</t>
        </is>
      </c>
      <c r="G3216" t="inlineStr">
        <is>
          <t>UPPSALA</t>
        </is>
      </c>
      <c r="I3216" t="n">
        <v>6.6</v>
      </c>
      <c r="J3216" t="n">
        <v>0</v>
      </c>
      <c r="K3216" t="n">
        <v>0</v>
      </c>
      <c r="L3216" t="n">
        <v>0</v>
      </c>
      <c r="M3216" t="n">
        <v>0</v>
      </c>
      <c r="N3216" t="n">
        <v>0</v>
      </c>
      <c r="O3216" t="n">
        <v>0</v>
      </c>
      <c r="P3216" t="n">
        <v>0</v>
      </c>
      <c r="Q3216" t="n">
        <v>0</v>
      </c>
      <c r="R3216" t="n">
        <v>0</v>
      </c>
      <c r="S3216" t="n">
        <v>0</v>
      </c>
      <c r="T3216" t="n">
        <v>0</v>
      </c>
      <c r="U3216" t="n">
        <v>0</v>
      </c>
      <c r="V3216" s="2" t="inlineStr"/>
    </row>
    <row r="3217" ht="15" customHeight="1">
      <c r="A3217" t="inlineStr">
        <is>
          <t>A 27786-2023</t>
        </is>
      </c>
      <c r="B3217" t="inlineStr">
        <is>
          <t>avverkningsanmälan</t>
        </is>
      </c>
      <c r="C3217" t="inlineStr">
        <is>
          <t>Föryngringsavverkning</t>
        </is>
      </c>
      <c r="D3217" s="1" t="n">
        <v>45098</v>
      </c>
      <c r="E3217" s="1" t="n">
        <v>46309</v>
      </c>
      <c r="F3217" t="inlineStr">
        <is>
          <t>UPPSALA LÄN</t>
        </is>
      </c>
      <c r="G3217" t="inlineStr">
        <is>
          <t>ENKÖPING</t>
        </is>
      </c>
      <c r="I3217" t="n">
        <v>0.6</v>
      </c>
      <c r="J3217" t="n">
        <v>0</v>
      </c>
      <c r="K3217" t="n">
        <v>0</v>
      </c>
      <c r="L3217" t="n">
        <v>0</v>
      </c>
      <c r="M3217" t="n">
        <v>0</v>
      </c>
      <c r="N3217" t="n">
        <v>0</v>
      </c>
      <c r="O3217" t="n">
        <v>0</v>
      </c>
      <c r="P3217" t="n">
        <v>0</v>
      </c>
      <c r="Q3217" t="n">
        <v>0</v>
      </c>
      <c r="R3217" t="n">
        <v>0</v>
      </c>
      <c r="S3217" t="n">
        <v>0</v>
      </c>
      <c r="T3217" t="n">
        <v>0</v>
      </c>
      <c r="U3217" t="n">
        <v>0</v>
      </c>
      <c r="V3217" s="2" t="inlineStr"/>
    </row>
    <row r="3218" ht="15" customHeight="1">
      <c r="A3218" t="inlineStr">
        <is>
          <t>A 3779-2024</t>
        </is>
      </c>
      <c r="B3218" t="inlineStr">
        <is>
          <t>avverkningsanmälan</t>
        </is>
      </c>
      <c r="C3218" t="inlineStr">
        <is>
          <t>Föryngringsavverkning</t>
        </is>
      </c>
      <c r="D3218" s="1" t="n">
        <v>45321</v>
      </c>
      <c r="E3218" s="1" t="n">
        <v>46309</v>
      </c>
      <c r="F3218" t="inlineStr">
        <is>
          <t>UPPSALA LÄN</t>
        </is>
      </c>
      <c r="G3218" t="inlineStr">
        <is>
          <t>HEBY</t>
        </is>
      </c>
      <c r="I3218" t="n">
        <v>1.1</v>
      </c>
      <c r="J3218" t="n">
        <v>0</v>
      </c>
      <c r="K3218" t="n">
        <v>0</v>
      </c>
      <c r="L3218" t="n">
        <v>0</v>
      </c>
      <c r="M3218" t="n">
        <v>0</v>
      </c>
      <c r="N3218" t="n">
        <v>0</v>
      </c>
      <c r="O3218" t="n">
        <v>0</v>
      </c>
      <c r="P3218" t="n">
        <v>0</v>
      </c>
      <c r="Q3218" t="n">
        <v>0</v>
      </c>
      <c r="R3218" t="n">
        <v>0</v>
      </c>
      <c r="S3218" t="n">
        <v>0</v>
      </c>
      <c r="T3218" t="n">
        <v>0</v>
      </c>
      <c r="U3218" t="n">
        <v>0</v>
      </c>
      <c r="V3218" s="2" t="inlineStr"/>
    </row>
    <row r="3219" ht="15" customHeight="1">
      <c r="A3219" t="inlineStr">
        <is>
          <t>A 48153-2024</t>
        </is>
      </c>
      <c r="B3219" t="inlineStr">
        <is>
          <t>avverkningsanmälan</t>
        </is>
      </c>
      <c r="C3219" t="inlineStr">
        <is>
          <t>Föryngringsavverkning</t>
        </is>
      </c>
      <c r="D3219" s="1" t="n">
        <v>45589</v>
      </c>
      <c r="E3219" s="1" t="n">
        <v>46309</v>
      </c>
      <c r="F3219" t="inlineStr">
        <is>
          <t>UPPSALA LÄN</t>
        </is>
      </c>
      <c r="G3219" t="inlineStr">
        <is>
          <t>UPPSALA</t>
        </is>
      </c>
      <c r="I3219" t="n">
        <v>3.4</v>
      </c>
      <c r="J3219" t="n">
        <v>0</v>
      </c>
      <c r="K3219" t="n">
        <v>0</v>
      </c>
      <c r="L3219" t="n">
        <v>0</v>
      </c>
      <c r="M3219" t="n">
        <v>0</v>
      </c>
      <c r="N3219" t="n">
        <v>0</v>
      </c>
      <c r="O3219" t="n">
        <v>0</v>
      </c>
      <c r="P3219" t="n">
        <v>0</v>
      </c>
      <c r="Q3219" t="n">
        <v>0</v>
      </c>
      <c r="R3219" t="n">
        <v>0</v>
      </c>
      <c r="S3219" t="n">
        <v>0</v>
      </c>
      <c r="T3219" t="n">
        <v>0</v>
      </c>
      <c r="U3219" t="n">
        <v>0</v>
      </c>
      <c r="V3219" s="2" t="inlineStr"/>
    </row>
    <row r="3220" ht="15" customHeight="1">
      <c r="A3220" t="inlineStr">
        <is>
          <t>A 39868-2026</t>
        </is>
      </c>
      <c r="B3220" t="inlineStr">
        <is>
          <t>avverkningsanmälan</t>
        </is>
      </c>
      <c r="C3220" t="inlineStr">
        <is>
          <t>Föryngringsavverkning</t>
        </is>
      </c>
      <c r="D3220" s="1" t="n">
        <v>46290</v>
      </c>
      <c r="E3220" s="1" t="n">
        <v>46309</v>
      </c>
      <c r="F3220" t="inlineStr">
        <is>
          <t>UPPSALA LÄN</t>
        </is>
      </c>
      <c r="G3220" t="inlineStr">
        <is>
          <t>UPPSALA</t>
        </is>
      </c>
      <c r="I3220" t="n">
        <v>1.9</v>
      </c>
      <c r="J3220" t="n">
        <v>0</v>
      </c>
      <c r="K3220" t="n">
        <v>0</v>
      </c>
      <c r="L3220" t="n">
        <v>0</v>
      </c>
      <c r="M3220" t="n">
        <v>0</v>
      </c>
      <c r="N3220" t="n">
        <v>0</v>
      </c>
      <c r="O3220" t="n">
        <v>0</v>
      </c>
      <c r="P3220" t="n">
        <v>0</v>
      </c>
      <c r="Q3220" t="n">
        <v>0</v>
      </c>
      <c r="R3220" t="n">
        <v>0</v>
      </c>
      <c r="S3220" t="n">
        <v>0</v>
      </c>
      <c r="T3220" t="n">
        <v>0</v>
      </c>
      <c r="U3220" t="n">
        <v>0</v>
      </c>
      <c r="V3220" s="2" t="inlineStr"/>
    </row>
    <row r="3221" ht="15" customHeight="1">
      <c r="A3221" t="inlineStr">
        <is>
          <t>A 8132-2022</t>
        </is>
      </c>
      <c r="B3221" t="inlineStr">
        <is>
          <t>avverkningsanmälan</t>
        </is>
      </c>
      <c r="C3221" t="inlineStr">
        <is>
          <t>Föryngringsavverkning</t>
        </is>
      </c>
      <c r="D3221" s="1" t="n">
        <v>44609</v>
      </c>
      <c r="E3221" s="1" t="n">
        <v>46309</v>
      </c>
      <c r="F3221" t="inlineStr">
        <is>
          <t>UPPSALA LÄN</t>
        </is>
      </c>
      <c r="G3221" t="inlineStr">
        <is>
          <t>UPPSALA</t>
        </is>
      </c>
      <c r="H3221" t="inlineStr">
        <is>
          <t>Kommuner</t>
        </is>
      </c>
      <c r="I3221" t="n">
        <v>1.2</v>
      </c>
      <c r="J3221" t="n">
        <v>0</v>
      </c>
      <c r="K3221" t="n">
        <v>0</v>
      </c>
      <c r="L3221" t="n">
        <v>0</v>
      </c>
      <c r="M3221" t="n">
        <v>0</v>
      </c>
      <c r="N3221" t="n">
        <v>0</v>
      </c>
      <c r="O3221" t="n">
        <v>0</v>
      </c>
      <c r="P3221" t="n">
        <v>0</v>
      </c>
      <c r="Q3221" t="n">
        <v>0</v>
      </c>
      <c r="R3221" t="n">
        <v>0</v>
      </c>
      <c r="S3221" t="n">
        <v>0</v>
      </c>
      <c r="T3221" t="n">
        <v>0</v>
      </c>
      <c r="U3221" t="n">
        <v>0</v>
      </c>
      <c r="V3221" s="2" t="inlineStr"/>
    </row>
    <row r="3222" ht="15" customHeight="1">
      <c r="A3222" t="inlineStr">
        <is>
          <t>A 62471-2021</t>
        </is>
      </c>
      <c r="B3222" t="inlineStr">
        <is>
          <t>avverkningsanmälan</t>
        </is>
      </c>
      <c r="C3222" t="inlineStr">
        <is>
          <t>Föryngringsavverkning</t>
        </is>
      </c>
      <c r="D3222" s="1" t="n">
        <v>44503</v>
      </c>
      <c r="E3222" s="1" t="n">
        <v>46309</v>
      </c>
      <c r="F3222" t="inlineStr">
        <is>
          <t>UPPSALA LÄN</t>
        </is>
      </c>
      <c r="G3222" t="inlineStr">
        <is>
          <t>UPPSALA</t>
        </is>
      </c>
      <c r="I3222" t="n">
        <v>2</v>
      </c>
      <c r="J3222" t="n">
        <v>0</v>
      </c>
      <c r="K3222" t="n">
        <v>0</v>
      </c>
      <c r="L3222" t="n">
        <v>0</v>
      </c>
      <c r="M3222" t="n">
        <v>0</v>
      </c>
      <c r="N3222" t="n">
        <v>0</v>
      </c>
      <c r="O3222" t="n">
        <v>0</v>
      </c>
      <c r="P3222" t="n">
        <v>0</v>
      </c>
      <c r="Q3222" t="n">
        <v>0</v>
      </c>
      <c r="R3222" t="n">
        <v>0</v>
      </c>
      <c r="S3222" t="n">
        <v>0</v>
      </c>
      <c r="T3222" t="n">
        <v>0</v>
      </c>
      <c r="U3222" t="n">
        <v>0</v>
      </c>
      <c r="V3222" s="2" t="inlineStr"/>
    </row>
    <row r="3223" ht="15" customHeight="1">
      <c r="A3223" t="inlineStr">
        <is>
          <t>A 10565-2022</t>
        </is>
      </c>
      <c r="B3223" t="inlineStr">
        <is>
          <t>avverkningsanmälan</t>
        </is>
      </c>
      <c r="C3223" t="inlineStr">
        <is>
          <t>Föryngringsavverkning</t>
        </is>
      </c>
      <c r="D3223" s="1" t="n">
        <v>44624</v>
      </c>
      <c r="E3223" s="1" t="n">
        <v>46309</v>
      </c>
      <c r="F3223" t="inlineStr">
        <is>
          <t>UPPSALA LÄN</t>
        </is>
      </c>
      <c r="G3223" t="inlineStr">
        <is>
          <t>UPPSALA</t>
        </is>
      </c>
      <c r="H3223" t="inlineStr">
        <is>
          <t>Bergvik skog öst AB</t>
        </is>
      </c>
      <c r="I3223" t="n">
        <v>1.3</v>
      </c>
      <c r="J3223" t="n">
        <v>0</v>
      </c>
      <c r="K3223" t="n">
        <v>0</v>
      </c>
      <c r="L3223" t="n">
        <v>0</v>
      </c>
      <c r="M3223" t="n">
        <v>0</v>
      </c>
      <c r="N3223" t="n">
        <v>0</v>
      </c>
      <c r="O3223" t="n">
        <v>0</v>
      </c>
      <c r="P3223" t="n">
        <v>0</v>
      </c>
      <c r="Q3223" t="n">
        <v>0</v>
      </c>
      <c r="R3223" t="n">
        <v>0</v>
      </c>
      <c r="S3223" t="n">
        <v>0</v>
      </c>
      <c r="T3223" t="n">
        <v>0</v>
      </c>
      <c r="U3223" t="n">
        <v>0</v>
      </c>
      <c r="V3223" s="2" t="inlineStr"/>
    </row>
    <row r="3224" ht="15" customHeight="1">
      <c r="A3224" t="inlineStr">
        <is>
          <t>A 39559-2026</t>
        </is>
      </c>
      <c r="B3224" t="inlineStr">
        <is>
          <t>avverkningsanmälan</t>
        </is>
      </c>
      <c r="C3224" t="inlineStr">
        <is>
          <t>Föryngringsavverkning</t>
        </is>
      </c>
      <c r="D3224" s="1" t="n">
        <v>46289</v>
      </c>
      <c r="E3224" s="1" t="n">
        <v>46309</v>
      </c>
      <c r="F3224" t="inlineStr">
        <is>
          <t>UPPSALA LÄN</t>
        </is>
      </c>
      <c r="G3224" t="inlineStr">
        <is>
          <t>ENKÖPING</t>
        </is>
      </c>
      <c r="I3224" t="n">
        <v>0.5</v>
      </c>
      <c r="J3224" t="n">
        <v>0</v>
      </c>
      <c r="K3224" t="n">
        <v>0</v>
      </c>
      <c r="L3224" t="n">
        <v>0</v>
      </c>
      <c r="M3224" t="n">
        <v>0</v>
      </c>
      <c r="N3224" t="n">
        <v>0</v>
      </c>
      <c r="O3224" t="n">
        <v>0</v>
      </c>
      <c r="P3224" t="n">
        <v>0</v>
      </c>
      <c r="Q3224" t="n">
        <v>0</v>
      </c>
      <c r="R3224" t="n">
        <v>0</v>
      </c>
      <c r="S3224" t="n">
        <v>0</v>
      </c>
      <c r="T3224" t="n">
        <v>0</v>
      </c>
      <c r="U3224" t="n">
        <v>0</v>
      </c>
      <c r="V3224" s="2" t="inlineStr"/>
    </row>
    <row r="3225" ht="15" customHeight="1">
      <c r="A3225" t="inlineStr">
        <is>
          <t>A 33331-2026</t>
        </is>
      </c>
      <c r="B3225" t="inlineStr">
        <is>
          <t>avverkningsanmälan</t>
        </is>
      </c>
      <c r="C3225" t="inlineStr">
        <is>
          <t>Föryngringsavverkning</t>
        </is>
      </c>
      <c r="D3225" s="1" t="n">
        <v>46246</v>
      </c>
      <c r="E3225" s="1" t="n">
        <v>46309</v>
      </c>
      <c r="F3225" t="inlineStr">
        <is>
          <t>UPPSALA LÄN</t>
        </is>
      </c>
      <c r="G3225" t="inlineStr">
        <is>
          <t>ÖSTHAMMAR</t>
        </is>
      </c>
      <c r="H3225" t="inlineStr">
        <is>
          <t>Bergvik skog öst AB</t>
        </is>
      </c>
      <c r="I3225" t="n">
        <v>10.2</v>
      </c>
      <c r="J3225" t="n">
        <v>0</v>
      </c>
      <c r="K3225" t="n">
        <v>0</v>
      </c>
      <c r="L3225" t="n">
        <v>0</v>
      </c>
      <c r="M3225" t="n">
        <v>0</v>
      </c>
      <c r="N3225" t="n">
        <v>0</v>
      </c>
      <c r="O3225" t="n">
        <v>0</v>
      </c>
      <c r="P3225" t="n">
        <v>0</v>
      </c>
      <c r="Q3225" t="n">
        <v>0</v>
      </c>
      <c r="R3225" t="n">
        <v>0</v>
      </c>
      <c r="S3225" t="n">
        <v>0</v>
      </c>
      <c r="T3225" t="n">
        <v>0</v>
      </c>
      <c r="U3225" t="n">
        <v>0</v>
      </c>
      <c r="V3225" s="2" t="inlineStr"/>
    </row>
    <row r="3226" ht="15" customHeight="1">
      <c r="A3226" t="inlineStr">
        <is>
          <t>A 52955-2022</t>
        </is>
      </c>
      <c r="B3226" t="inlineStr">
        <is>
          <t>avverkningsanmälan</t>
        </is>
      </c>
      <c r="C3226" t="inlineStr">
        <is>
          <t>Föryngringsavverkning</t>
        </is>
      </c>
      <c r="D3226" s="1" t="n">
        <v>44875</v>
      </c>
      <c r="E3226" s="1" t="n">
        <v>46309</v>
      </c>
      <c r="F3226" t="inlineStr">
        <is>
          <t>UPPSALA LÄN</t>
        </is>
      </c>
      <c r="G3226" t="inlineStr">
        <is>
          <t>HEBY</t>
        </is>
      </c>
      <c r="I3226" t="n">
        <v>7</v>
      </c>
      <c r="J3226" t="n">
        <v>0</v>
      </c>
      <c r="K3226" t="n">
        <v>0</v>
      </c>
      <c r="L3226" t="n">
        <v>0</v>
      </c>
      <c r="M3226" t="n">
        <v>0</v>
      </c>
      <c r="N3226" t="n">
        <v>0</v>
      </c>
      <c r="O3226" t="n">
        <v>0</v>
      </c>
      <c r="P3226" t="n">
        <v>0</v>
      </c>
      <c r="Q3226" t="n">
        <v>0</v>
      </c>
      <c r="R3226" t="n">
        <v>0</v>
      </c>
      <c r="S3226" t="n">
        <v>0</v>
      </c>
      <c r="T3226" t="n">
        <v>0</v>
      </c>
      <c r="U3226" t="n">
        <v>0</v>
      </c>
      <c r="V3226" s="2" t="inlineStr"/>
    </row>
    <row r="3227" ht="15" customHeight="1">
      <c r="A3227" t="inlineStr">
        <is>
          <t>A 39683-2026</t>
        </is>
      </c>
      <c r="B3227" t="inlineStr">
        <is>
          <t>avverkningsanmälan</t>
        </is>
      </c>
      <c r="C3227" t="inlineStr">
        <is>
          <t>Föryngringsavverkning</t>
        </is>
      </c>
      <c r="D3227" s="1" t="n">
        <v>46289</v>
      </c>
      <c r="E3227" s="1" t="n">
        <v>46309</v>
      </c>
      <c r="F3227" t="inlineStr">
        <is>
          <t>UPPSALA LÄN</t>
        </is>
      </c>
      <c r="G3227" t="inlineStr">
        <is>
          <t>HEBY</t>
        </is>
      </c>
      <c r="H3227" t="inlineStr">
        <is>
          <t>Bergvik skog öst AB</t>
        </is>
      </c>
      <c r="I3227" t="n">
        <v>2.8</v>
      </c>
      <c r="J3227" t="n">
        <v>0</v>
      </c>
      <c r="K3227" t="n">
        <v>0</v>
      </c>
      <c r="L3227" t="n">
        <v>0</v>
      </c>
      <c r="M3227" t="n">
        <v>0</v>
      </c>
      <c r="N3227" t="n">
        <v>0</v>
      </c>
      <c r="O3227" t="n">
        <v>0</v>
      </c>
      <c r="P3227" t="n">
        <v>0</v>
      </c>
      <c r="Q3227" t="n">
        <v>0</v>
      </c>
      <c r="R3227" t="n">
        <v>0</v>
      </c>
      <c r="S3227" t="n">
        <v>0</v>
      </c>
      <c r="T3227" t="n">
        <v>0</v>
      </c>
      <c r="U3227" t="n">
        <v>0</v>
      </c>
      <c r="V3227" s="2" t="inlineStr"/>
    </row>
    <row r="3228" ht="15" customHeight="1">
      <c r="A3228" t="inlineStr">
        <is>
          <t>A 15942-2022</t>
        </is>
      </c>
      <c r="B3228" t="inlineStr">
        <is>
          <t>avverkningsanmälan</t>
        </is>
      </c>
      <c r="C3228" t="inlineStr">
        <is>
          <t>Föryngringsavverkning</t>
        </is>
      </c>
      <c r="D3228" s="1" t="n">
        <v>44664</v>
      </c>
      <c r="E3228" s="1" t="n">
        <v>46309</v>
      </c>
      <c r="F3228" t="inlineStr">
        <is>
          <t>UPPSALA LÄN</t>
        </is>
      </c>
      <c r="G3228" t="inlineStr">
        <is>
          <t>ENKÖPING</t>
        </is>
      </c>
      <c r="I3228" t="n">
        <v>6.6</v>
      </c>
      <c r="J3228" t="n">
        <v>0</v>
      </c>
      <c r="K3228" t="n">
        <v>0</v>
      </c>
      <c r="L3228" t="n">
        <v>0</v>
      </c>
      <c r="M3228" t="n">
        <v>0</v>
      </c>
      <c r="N3228" t="n">
        <v>0</v>
      </c>
      <c r="O3228" t="n">
        <v>0</v>
      </c>
      <c r="P3228" t="n">
        <v>0</v>
      </c>
      <c r="Q3228" t="n">
        <v>0</v>
      </c>
      <c r="R3228" t="n">
        <v>0</v>
      </c>
      <c r="S3228" t="n">
        <v>0</v>
      </c>
      <c r="T3228" t="n">
        <v>0</v>
      </c>
      <c r="U3228" t="n">
        <v>0</v>
      </c>
      <c r="V3228" s="2" t="inlineStr"/>
    </row>
    <row r="3229" ht="15" customHeight="1">
      <c r="A3229" t="inlineStr">
        <is>
          <t>A 39690-2026</t>
        </is>
      </c>
      <c r="B3229" t="inlineStr">
        <is>
          <t>avverkningsanmälan</t>
        </is>
      </c>
      <c r="C3229" t="inlineStr">
        <is>
          <t>Föryngringsavverkning</t>
        </is>
      </c>
      <c r="D3229" s="1" t="n">
        <v>46289</v>
      </c>
      <c r="E3229" s="1" t="n">
        <v>46309</v>
      </c>
      <c r="F3229" t="inlineStr">
        <is>
          <t>UPPSALA LÄN</t>
        </is>
      </c>
      <c r="G3229" t="inlineStr">
        <is>
          <t>HEBY</t>
        </is>
      </c>
      <c r="H3229" t="inlineStr">
        <is>
          <t>Bergvik skog öst AB</t>
        </is>
      </c>
      <c r="I3229" t="n">
        <v>1.1</v>
      </c>
      <c r="J3229" t="n">
        <v>0</v>
      </c>
      <c r="K3229" t="n">
        <v>0</v>
      </c>
      <c r="L3229" t="n">
        <v>0</v>
      </c>
      <c r="M3229" t="n">
        <v>0</v>
      </c>
      <c r="N3229" t="n">
        <v>0</v>
      </c>
      <c r="O3229" t="n">
        <v>0</v>
      </c>
      <c r="P3229" t="n">
        <v>0</v>
      </c>
      <c r="Q3229" t="n">
        <v>0</v>
      </c>
      <c r="R3229" t="n">
        <v>0</v>
      </c>
      <c r="S3229" t="n">
        <v>0</v>
      </c>
      <c r="T3229" t="n">
        <v>0</v>
      </c>
      <c r="U3229" t="n">
        <v>0</v>
      </c>
      <c r="V3229" s="2" t="inlineStr"/>
    </row>
    <row r="3230" ht="15" customHeight="1">
      <c r="A3230" t="inlineStr">
        <is>
          <t>A 39713-2026</t>
        </is>
      </c>
      <c r="B3230" t="inlineStr">
        <is>
          <t>avverkningsanmälan</t>
        </is>
      </c>
      <c r="C3230" t="inlineStr">
        <is>
          <t>Föryngringsavverkning</t>
        </is>
      </c>
      <c r="D3230" s="1" t="n">
        <v>46290</v>
      </c>
      <c r="E3230" s="1" t="n">
        <v>46309</v>
      </c>
      <c r="F3230" t="inlineStr">
        <is>
          <t>UPPSALA LÄN</t>
        </is>
      </c>
      <c r="G3230" t="inlineStr">
        <is>
          <t>HEBY</t>
        </is>
      </c>
      <c r="I3230" t="n">
        <v>5.8</v>
      </c>
      <c r="J3230" t="n">
        <v>0</v>
      </c>
      <c r="K3230" t="n">
        <v>0</v>
      </c>
      <c r="L3230" t="n">
        <v>0</v>
      </c>
      <c r="M3230" t="n">
        <v>0</v>
      </c>
      <c r="N3230" t="n">
        <v>0</v>
      </c>
      <c r="O3230" t="n">
        <v>0</v>
      </c>
      <c r="P3230" t="n">
        <v>0</v>
      </c>
      <c r="Q3230" t="n">
        <v>0</v>
      </c>
      <c r="R3230" t="n">
        <v>0</v>
      </c>
      <c r="S3230" t="n">
        <v>0</v>
      </c>
      <c r="T3230" t="n">
        <v>0</v>
      </c>
      <c r="U3230" t="n">
        <v>0</v>
      </c>
      <c r="V3230" s="2" t="inlineStr"/>
    </row>
    <row r="3231" ht="15" customHeight="1">
      <c r="A3231" t="inlineStr">
        <is>
          <t>A 17091-2023</t>
        </is>
      </c>
      <c r="B3231" t="inlineStr">
        <is>
          <t>avverkningsanmälan</t>
        </is>
      </c>
      <c r="C3231" t="inlineStr">
        <is>
          <t>Föryngringsavverkning</t>
        </is>
      </c>
      <c r="D3231" s="1" t="n">
        <v>45034</v>
      </c>
      <c r="E3231" s="1" t="n">
        <v>46309</v>
      </c>
      <c r="F3231" t="inlineStr">
        <is>
          <t>UPPSALA LÄN</t>
        </is>
      </c>
      <c r="G3231" t="inlineStr">
        <is>
          <t>KNIVSTA</t>
        </is>
      </c>
      <c r="I3231" t="n">
        <v>0.8</v>
      </c>
      <c r="J3231" t="n">
        <v>0</v>
      </c>
      <c r="K3231" t="n">
        <v>0</v>
      </c>
      <c r="L3231" t="n">
        <v>0</v>
      </c>
      <c r="M3231" t="n">
        <v>0</v>
      </c>
      <c r="N3231" t="n">
        <v>0</v>
      </c>
      <c r="O3231" t="n">
        <v>0</v>
      </c>
      <c r="P3231" t="n">
        <v>0</v>
      </c>
      <c r="Q3231" t="n">
        <v>0</v>
      </c>
      <c r="R3231" t="n">
        <v>0</v>
      </c>
      <c r="S3231" t="n">
        <v>0</v>
      </c>
      <c r="T3231" t="n">
        <v>0</v>
      </c>
      <c r="U3231" t="n">
        <v>0</v>
      </c>
      <c r="V3231" s="2" t="inlineStr"/>
    </row>
    <row r="3232" ht="15" customHeight="1">
      <c r="A3232" t="inlineStr">
        <is>
          <t>A 39520-2026</t>
        </is>
      </c>
      <c r="B3232" t="inlineStr">
        <is>
          <t>avverkningsanmälan</t>
        </is>
      </c>
      <c r="C3232" t="inlineStr">
        <is>
          <t>Föryngringsavverkning</t>
        </is>
      </c>
      <c r="D3232" s="1" t="n">
        <v>46289</v>
      </c>
      <c r="E3232" s="1" t="n">
        <v>46309</v>
      </c>
      <c r="F3232" t="inlineStr">
        <is>
          <t>UPPSALA LÄN</t>
        </is>
      </c>
      <c r="G3232" t="inlineStr">
        <is>
          <t>ÖSTHAMMAR</t>
        </is>
      </c>
      <c r="I3232" t="n">
        <v>1.4</v>
      </c>
      <c r="J3232" t="n">
        <v>0</v>
      </c>
      <c r="K3232" t="n">
        <v>0</v>
      </c>
      <c r="L3232" t="n">
        <v>0</v>
      </c>
      <c r="M3232" t="n">
        <v>0</v>
      </c>
      <c r="N3232" t="n">
        <v>0</v>
      </c>
      <c r="O3232" t="n">
        <v>0</v>
      </c>
      <c r="P3232" t="n">
        <v>0</v>
      </c>
      <c r="Q3232" t="n">
        <v>0</v>
      </c>
      <c r="R3232" t="n">
        <v>0</v>
      </c>
      <c r="S3232" t="n">
        <v>0</v>
      </c>
      <c r="T3232" t="n">
        <v>0</v>
      </c>
      <c r="U3232" t="n">
        <v>0</v>
      </c>
      <c r="V3232" s="2" t="inlineStr"/>
    </row>
    <row r="3233" ht="15" customHeight="1">
      <c r="A3233" t="inlineStr">
        <is>
          <t>A 12284-2025</t>
        </is>
      </c>
      <c r="B3233" t="inlineStr">
        <is>
          <t>avverkningsanmälan</t>
        </is>
      </c>
      <c r="C3233" t="inlineStr">
        <is>
          <t>Föryngringsavverkning</t>
        </is>
      </c>
      <c r="D3233" s="1" t="n">
        <v>45729</v>
      </c>
      <c r="E3233" s="1" t="n">
        <v>46309</v>
      </c>
      <c r="F3233" t="inlineStr">
        <is>
          <t>UPPSALA LÄN</t>
        </is>
      </c>
      <c r="G3233" t="inlineStr">
        <is>
          <t>UPPSALA</t>
        </is>
      </c>
      <c r="I3233" t="n">
        <v>6.7</v>
      </c>
      <c r="J3233" t="n">
        <v>0</v>
      </c>
      <c r="K3233" t="n">
        <v>0</v>
      </c>
      <c r="L3233" t="n">
        <v>0</v>
      </c>
      <c r="M3233" t="n">
        <v>0</v>
      </c>
      <c r="N3233" t="n">
        <v>0</v>
      </c>
      <c r="O3233" t="n">
        <v>0</v>
      </c>
      <c r="P3233" t="n">
        <v>0</v>
      </c>
      <c r="Q3233" t="n">
        <v>0</v>
      </c>
      <c r="R3233" t="n">
        <v>0</v>
      </c>
      <c r="S3233" t="n">
        <v>0</v>
      </c>
      <c r="T3233" t="n">
        <v>0</v>
      </c>
      <c r="U3233" t="n">
        <v>0</v>
      </c>
      <c r="V3233" s="2" t="inlineStr"/>
    </row>
    <row r="3234" ht="15" customHeight="1">
      <c r="A3234" t="inlineStr">
        <is>
          <t>A 12287-2025</t>
        </is>
      </c>
      <c r="B3234" t="inlineStr">
        <is>
          <t>avverkningsanmälan</t>
        </is>
      </c>
      <c r="C3234" t="inlineStr">
        <is>
          <t>Föryngringsavverkning</t>
        </is>
      </c>
      <c r="D3234" s="1" t="n">
        <v>45729</v>
      </c>
      <c r="E3234" s="1" t="n">
        <v>46309</v>
      </c>
      <c r="F3234" t="inlineStr">
        <is>
          <t>UPPSALA LÄN</t>
        </is>
      </c>
      <c r="G3234" t="inlineStr">
        <is>
          <t>UPPSALA</t>
        </is>
      </c>
      <c r="I3234" t="n">
        <v>4.6</v>
      </c>
      <c r="J3234" t="n">
        <v>0</v>
      </c>
      <c r="K3234" t="n">
        <v>0</v>
      </c>
      <c r="L3234" t="n">
        <v>0</v>
      </c>
      <c r="M3234" t="n">
        <v>0</v>
      </c>
      <c r="N3234" t="n">
        <v>0</v>
      </c>
      <c r="O3234" t="n">
        <v>0</v>
      </c>
      <c r="P3234" t="n">
        <v>0</v>
      </c>
      <c r="Q3234" t="n">
        <v>0</v>
      </c>
      <c r="R3234" t="n">
        <v>0</v>
      </c>
      <c r="S3234" t="n">
        <v>0</v>
      </c>
      <c r="T3234" t="n">
        <v>0</v>
      </c>
      <c r="U3234" t="n">
        <v>0</v>
      </c>
      <c r="V3234" s="2" t="inlineStr"/>
    </row>
    <row r="3235" ht="15" customHeight="1">
      <c r="A3235" t="inlineStr">
        <is>
          <t>A 39826-2026</t>
        </is>
      </c>
      <c r="B3235" t="inlineStr">
        <is>
          <t>avverkningsanmälan</t>
        </is>
      </c>
      <c r="C3235" t="inlineStr">
        <is>
          <t>Föryngringsavverkning</t>
        </is>
      </c>
      <c r="D3235" s="1" t="n">
        <v>46290</v>
      </c>
      <c r="E3235" s="1" t="n">
        <v>46309</v>
      </c>
      <c r="F3235" t="inlineStr">
        <is>
          <t>UPPSALA LÄN</t>
        </is>
      </c>
      <c r="G3235" t="inlineStr">
        <is>
          <t>ENKÖPING</t>
        </is>
      </c>
      <c r="H3235" t="inlineStr">
        <is>
          <t>Allmännings- och besparingsskogar</t>
        </is>
      </c>
      <c r="I3235" t="n">
        <v>7.8</v>
      </c>
      <c r="J3235" t="n">
        <v>0</v>
      </c>
      <c r="K3235" t="n">
        <v>0</v>
      </c>
      <c r="L3235" t="n">
        <v>0</v>
      </c>
      <c r="M3235" t="n">
        <v>0</v>
      </c>
      <c r="N3235" t="n">
        <v>0</v>
      </c>
      <c r="O3235" t="n">
        <v>0</v>
      </c>
      <c r="P3235" t="n">
        <v>0</v>
      </c>
      <c r="Q3235" t="n">
        <v>0</v>
      </c>
      <c r="R3235" t="n">
        <v>0</v>
      </c>
      <c r="S3235" t="n">
        <v>0</v>
      </c>
      <c r="T3235" t="n">
        <v>0</v>
      </c>
      <c r="U3235" t="n">
        <v>0</v>
      </c>
      <c r="V3235" s="2" t="inlineStr"/>
    </row>
    <row r="3236" ht="15" customHeight="1">
      <c r="A3236" t="inlineStr">
        <is>
          <t>A 22804-2022</t>
        </is>
      </c>
      <c r="B3236" t="inlineStr">
        <is>
          <t>avverkningsanmälan</t>
        </is>
      </c>
      <c r="C3236" t="inlineStr">
        <is>
          <t>Föryngringsavverkning</t>
        </is>
      </c>
      <c r="D3236" s="1" t="n">
        <v>44715</v>
      </c>
      <c r="E3236" s="1" t="n">
        <v>46309</v>
      </c>
      <c r="F3236" t="inlineStr">
        <is>
          <t>UPPSALA LÄN</t>
        </is>
      </c>
      <c r="G3236" t="inlineStr">
        <is>
          <t>ÖSTHAMMAR</t>
        </is>
      </c>
      <c r="I3236" t="n">
        <v>2.7</v>
      </c>
      <c r="J3236" t="n">
        <v>0</v>
      </c>
      <c r="K3236" t="n">
        <v>0</v>
      </c>
      <c r="L3236" t="n">
        <v>0</v>
      </c>
      <c r="M3236" t="n">
        <v>0</v>
      </c>
      <c r="N3236" t="n">
        <v>0</v>
      </c>
      <c r="O3236" t="n">
        <v>0</v>
      </c>
      <c r="P3236" t="n">
        <v>0</v>
      </c>
      <c r="Q3236" t="n">
        <v>0</v>
      </c>
      <c r="R3236" t="n">
        <v>0</v>
      </c>
      <c r="S3236" t="n">
        <v>0</v>
      </c>
      <c r="T3236" t="n">
        <v>0</v>
      </c>
      <c r="U3236" t="n">
        <v>0</v>
      </c>
      <c r="V3236" s="2" t="inlineStr"/>
    </row>
    <row r="3237" ht="15" customHeight="1">
      <c r="A3237" t="inlineStr">
        <is>
          <t>A 39688-2026</t>
        </is>
      </c>
      <c r="B3237" t="inlineStr">
        <is>
          <t>avverkningsanmälan</t>
        </is>
      </c>
      <c r="C3237" t="inlineStr">
        <is>
          <t>Föryngringsavverkning</t>
        </is>
      </c>
      <c r="D3237" s="1" t="n">
        <v>46289</v>
      </c>
      <c r="E3237" s="1" t="n">
        <v>46309</v>
      </c>
      <c r="F3237" t="inlineStr">
        <is>
          <t>UPPSALA LÄN</t>
        </is>
      </c>
      <c r="G3237" t="inlineStr">
        <is>
          <t>HEBY</t>
        </is>
      </c>
      <c r="H3237" t="inlineStr">
        <is>
          <t>Bergvik skog öst AB</t>
        </is>
      </c>
      <c r="I3237" t="n">
        <v>0.9</v>
      </c>
      <c r="J3237" t="n">
        <v>0</v>
      </c>
      <c r="K3237" t="n">
        <v>0</v>
      </c>
      <c r="L3237" t="n">
        <v>0</v>
      </c>
      <c r="M3237" t="n">
        <v>0</v>
      </c>
      <c r="N3237" t="n">
        <v>0</v>
      </c>
      <c r="O3237" t="n">
        <v>0</v>
      </c>
      <c r="P3237" t="n">
        <v>0</v>
      </c>
      <c r="Q3237" t="n">
        <v>0</v>
      </c>
      <c r="R3237" t="n">
        <v>0</v>
      </c>
      <c r="S3237" t="n">
        <v>0</v>
      </c>
      <c r="T3237" t="n">
        <v>0</v>
      </c>
      <c r="U3237" t="n">
        <v>0</v>
      </c>
      <c r="V3237" s="2" t="inlineStr"/>
    </row>
    <row r="3238" ht="15" customHeight="1">
      <c r="A3238" t="inlineStr">
        <is>
          <t>A 39687-2026</t>
        </is>
      </c>
      <c r="B3238" t="inlineStr">
        <is>
          <t>avverkningsanmälan</t>
        </is>
      </c>
      <c r="C3238" t="inlineStr">
        <is>
          <t>Föryngringsavverkning</t>
        </is>
      </c>
      <c r="D3238" s="1" t="n">
        <v>46289</v>
      </c>
      <c r="E3238" s="1" t="n">
        <v>46309</v>
      </c>
      <c r="F3238" t="inlineStr">
        <is>
          <t>UPPSALA LÄN</t>
        </is>
      </c>
      <c r="G3238" t="inlineStr">
        <is>
          <t>HEBY</t>
        </is>
      </c>
      <c r="H3238" t="inlineStr">
        <is>
          <t>Bergvik skog öst AB</t>
        </is>
      </c>
      <c r="I3238" t="n">
        <v>1.8</v>
      </c>
      <c r="J3238" t="n">
        <v>0</v>
      </c>
      <c r="K3238" t="n">
        <v>0</v>
      </c>
      <c r="L3238" t="n">
        <v>0</v>
      </c>
      <c r="M3238" t="n">
        <v>0</v>
      </c>
      <c r="N3238" t="n">
        <v>0</v>
      </c>
      <c r="O3238" t="n">
        <v>0</v>
      </c>
      <c r="P3238" t="n">
        <v>0</v>
      </c>
      <c r="Q3238" t="n">
        <v>0</v>
      </c>
      <c r="R3238" t="n">
        <v>0</v>
      </c>
      <c r="S3238" t="n">
        <v>0</v>
      </c>
      <c r="T3238" t="n">
        <v>0</v>
      </c>
      <c r="U3238" t="n">
        <v>0</v>
      </c>
      <c r="V3238" s="2" t="inlineStr"/>
    </row>
    <row r="3239" ht="15" customHeight="1">
      <c r="A3239" t="inlineStr">
        <is>
          <t>A 39555-2026</t>
        </is>
      </c>
      <c r="B3239" t="inlineStr">
        <is>
          <t>avverkningsanmälan</t>
        </is>
      </c>
      <c r="C3239" t="inlineStr">
        <is>
          <t>Föryngringsavverkning</t>
        </is>
      </c>
      <c r="D3239" s="1" t="n">
        <v>46289</v>
      </c>
      <c r="E3239" s="1" t="n">
        <v>46309</v>
      </c>
      <c r="F3239" t="inlineStr">
        <is>
          <t>UPPSALA LÄN</t>
        </is>
      </c>
      <c r="G3239" t="inlineStr">
        <is>
          <t>HEBY</t>
        </is>
      </c>
      <c r="I3239" t="n">
        <v>7.2</v>
      </c>
      <c r="J3239" t="n">
        <v>0</v>
      </c>
      <c r="K3239" t="n">
        <v>0</v>
      </c>
      <c r="L3239" t="n">
        <v>0</v>
      </c>
      <c r="M3239" t="n">
        <v>0</v>
      </c>
      <c r="N3239" t="n">
        <v>0</v>
      </c>
      <c r="O3239" t="n">
        <v>0</v>
      </c>
      <c r="P3239" t="n">
        <v>0</v>
      </c>
      <c r="Q3239" t="n">
        <v>0</v>
      </c>
      <c r="R3239" t="n">
        <v>0</v>
      </c>
      <c r="S3239" t="n">
        <v>0</v>
      </c>
      <c r="T3239" t="n">
        <v>0</v>
      </c>
      <c r="U3239" t="n">
        <v>0</v>
      </c>
      <c r="V3239" s="2" t="inlineStr"/>
    </row>
    <row r="3240" ht="15" customHeight="1">
      <c r="A3240" t="inlineStr">
        <is>
          <t>A 4461-2024</t>
        </is>
      </c>
      <c r="B3240" t="inlineStr">
        <is>
          <t>avverkningsanmälan</t>
        </is>
      </c>
      <c r="C3240" t="inlineStr">
        <is>
          <t>Föryngringsavverkning</t>
        </is>
      </c>
      <c r="D3240" s="1" t="n">
        <v>45327</v>
      </c>
      <c r="E3240" s="1" t="n">
        <v>46309</v>
      </c>
      <c r="F3240" t="inlineStr">
        <is>
          <t>UPPSALA LÄN</t>
        </is>
      </c>
      <c r="G3240" t="inlineStr">
        <is>
          <t>UPPSALA</t>
        </is>
      </c>
      <c r="I3240" t="n">
        <v>0.6</v>
      </c>
      <c r="J3240" t="n">
        <v>0</v>
      </c>
      <c r="K3240" t="n">
        <v>0</v>
      </c>
      <c r="L3240" t="n">
        <v>0</v>
      </c>
      <c r="M3240" t="n">
        <v>0</v>
      </c>
      <c r="N3240" t="n">
        <v>0</v>
      </c>
      <c r="O3240" t="n">
        <v>0</v>
      </c>
      <c r="P3240" t="n">
        <v>0</v>
      </c>
      <c r="Q3240" t="n">
        <v>0</v>
      </c>
      <c r="R3240" t="n">
        <v>0</v>
      </c>
      <c r="S3240" t="n">
        <v>0</v>
      </c>
      <c r="T3240" t="n">
        <v>0</v>
      </c>
      <c r="U3240" t="n">
        <v>0</v>
      </c>
      <c r="V3240" s="2" t="inlineStr"/>
    </row>
    <row r="3241" ht="15" customHeight="1">
      <c r="A3241" t="inlineStr">
        <is>
          <t>A 14784-2023</t>
        </is>
      </c>
      <c r="B3241" t="inlineStr">
        <is>
          <t>avverkningsanmälan</t>
        </is>
      </c>
      <c r="C3241" t="inlineStr">
        <is>
          <t>Föryngringsavverkning</t>
        </is>
      </c>
      <c r="D3241" s="1" t="n">
        <v>45014</v>
      </c>
      <c r="E3241" s="1" t="n">
        <v>46309</v>
      </c>
      <c r="F3241" t="inlineStr">
        <is>
          <t>UPPSALA LÄN</t>
        </is>
      </c>
      <c r="G3241" t="inlineStr">
        <is>
          <t>UPPSALA</t>
        </is>
      </c>
      <c r="I3241" t="n">
        <v>4.7</v>
      </c>
      <c r="J3241" t="n">
        <v>0</v>
      </c>
      <c r="K3241" t="n">
        <v>0</v>
      </c>
      <c r="L3241" t="n">
        <v>0</v>
      </c>
      <c r="M3241" t="n">
        <v>0</v>
      </c>
      <c r="N3241" t="n">
        <v>0</v>
      </c>
      <c r="O3241" t="n">
        <v>0</v>
      </c>
      <c r="P3241" t="n">
        <v>0</v>
      </c>
      <c r="Q3241" t="n">
        <v>0</v>
      </c>
      <c r="R3241" t="n">
        <v>0</v>
      </c>
      <c r="S3241" t="n">
        <v>0</v>
      </c>
      <c r="T3241" t="n">
        <v>0</v>
      </c>
      <c r="U3241" t="n">
        <v>0</v>
      </c>
      <c r="V3241" s="2" t="inlineStr"/>
    </row>
    <row r="3242" ht="15" customHeight="1">
      <c r="A3242" t="inlineStr">
        <is>
          <t>A 73483-2021</t>
        </is>
      </c>
      <c r="B3242" t="inlineStr">
        <is>
          <t>avverkningsanmälan</t>
        </is>
      </c>
      <c r="C3242" t="inlineStr">
        <is>
          <t>Föryngringsavverkning</t>
        </is>
      </c>
      <c r="D3242" s="1" t="n">
        <v>44550</v>
      </c>
      <c r="E3242" s="1" t="n">
        <v>46309</v>
      </c>
      <c r="F3242" t="inlineStr">
        <is>
          <t>UPPSALA LÄN</t>
        </is>
      </c>
      <c r="G3242" t="inlineStr">
        <is>
          <t>ÖSTHAMMAR</t>
        </is>
      </c>
      <c r="I3242" t="n">
        <v>2.8</v>
      </c>
      <c r="J3242" t="n">
        <v>0</v>
      </c>
      <c r="K3242" t="n">
        <v>0</v>
      </c>
      <c r="L3242" t="n">
        <v>0</v>
      </c>
      <c r="M3242" t="n">
        <v>0</v>
      </c>
      <c r="N3242" t="n">
        <v>0</v>
      </c>
      <c r="O3242" t="n">
        <v>0</v>
      </c>
      <c r="P3242" t="n">
        <v>0</v>
      </c>
      <c r="Q3242" t="n">
        <v>0</v>
      </c>
      <c r="R3242" t="n">
        <v>0</v>
      </c>
      <c r="S3242" t="n">
        <v>0</v>
      </c>
      <c r="T3242" t="n">
        <v>0</v>
      </c>
      <c r="U3242" t="n">
        <v>0</v>
      </c>
      <c r="V3242" s="2" t="inlineStr"/>
    </row>
    <row r="3243" ht="15" customHeight="1">
      <c r="A3243" t="inlineStr">
        <is>
          <t>A 4929-2022</t>
        </is>
      </c>
      <c r="B3243" t="inlineStr">
        <is>
          <t>avverkningsanmälan</t>
        </is>
      </c>
      <c r="C3243" t="inlineStr">
        <is>
          <t>Föryngringsavverkning</t>
        </is>
      </c>
      <c r="D3243" s="1" t="n">
        <v>44593</v>
      </c>
      <c r="E3243" s="1" t="n">
        <v>46309</v>
      </c>
      <c r="F3243" t="inlineStr">
        <is>
          <t>UPPSALA LÄN</t>
        </is>
      </c>
      <c r="G3243" t="inlineStr">
        <is>
          <t>UPPSALA</t>
        </is>
      </c>
      <c r="I3243" t="n">
        <v>2.4</v>
      </c>
      <c r="J3243" t="n">
        <v>0</v>
      </c>
      <c r="K3243" t="n">
        <v>0</v>
      </c>
      <c r="L3243" t="n">
        <v>0</v>
      </c>
      <c r="M3243" t="n">
        <v>0</v>
      </c>
      <c r="N3243" t="n">
        <v>0</v>
      </c>
      <c r="O3243" t="n">
        <v>0</v>
      </c>
      <c r="P3243" t="n">
        <v>0</v>
      </c>
      <c r="Q3243" t="n">
        <v>0</v>
      </c>
      <c r="R3243" t="n">
        <v>0</v>
      </c>
      <c r="S3243" t="n">
        <v>0</v>
      </c>
      <c r="T3243" t="n">
        <v>0</v>
      </c>
      <c r="U3243" t="n">
        <v>0</v>
      </c>
      <c r="V3243" s="2" t="inlineStr"/>
    </row>
    <row r="3244" ht="15" customHeight="1">
      <c r="A3244" t="inlineStr">
        <is>
          <t>A 4240-2025</t>
        </is>
      </c>
      <c r="B3244" t="inlineStr">
        <is>
          <t>avverkningsanmälan</t>
        </is>
      </c>
      <c r="C3244" t="inlineStr">
        <is>
          <t>Föryngringsavverkning</t>
        </is>
      </c>
      <c r="D3244" s="1" t="n">
        <v>45685</v>
      </c>
      <c r="E3244" s="1" t="n">
        <v>46309</v>
      </c>
      <c r="F3244" t="inlineStr">
        <is>
          <t>UPPSALA LÄN</t>
        </is>
      </c>
      <c r="G3244" t="inlineStr">
        <is>
          <t>UPPSALA</t>
        </is>
      </c>
      <c r="I3244" t="n">
        <v>1.2</v>
      </c>
      <c r="J3244" t="n">
        <v>0</v>
      </c>
      <c r="K3244" t="n">
        <v>0</v>
      </c>
      <c r="L3244" t="n">
        <v>0</v>
      </c>
      <c r="M3244" t="n">
        <v>0</v>
      </c>
      <c r="N3244" t="n">
        <v>0</v>
      </c>
      <c r="O3244" t="n">
        <v>0</v>
      </c>
      <c r="P3244" t="n">
        <v>0</v>
      </c>
      <c r="Q3244" t="n">
        <v>0</v>
      </c>
      <c r="R3244" t="n">
        <v>0</v>
      </c>
      <c r="S3244" t="n">
        <v>0</v>
      </c>
      <c r="T3244" t="n">
        <v>0</v>
      </c>
      <c r="U3244" t="n">
        <v>0</v>
      </c>
      <c r="V3244" s="2" t="inlineStr"/>
    </row>
    <row r="3245" ht="15" customHeight="1">
      <c r="A3245" t="inlineStr">
        <is>
          <t>A 53607-2023</t>
        </is>
      </c>
      <c r="B3245" t="inlineStr">
        <is>
          <t>avverkningsanmälan</t>
        </is>
      </c>
      <c r="C3245" t="inlineStr">
        <is>
          <t>Föryngringsavverkning</t>
        </is>
      </c>
      <c r="D3245" s="1" t="n">
        <v>45230</v>
      </c>
      <c r="E3245" s="1" t="n">
        <v>46309</v>
      </c>
      <c r="F3245" t="inlineStr">
        <is>
          <t>UPPSALA LÄN</t>
        </is>
      </c>
      <c r="G3245" t="inlineStr">
        <is>
          <t>ENKÖPING</t>
        </is>
      </c>
      <c r="H3245" t="inlineStr">
        <is>
          <t>Allmännings- och besparingsskogar</t>
        </is>
      </c>
      <c r="I3245" t="n">
        <v>6.3</v>
      </c>
      <c r="J3245" t="n">
        <v>0</v>
      </c>
      <c r="K3245" t="n">
        <v>0</v>
      </c>
      <c r="L3245" t="n">
        <v>0</v>
      </c>
      <c r="M3245" t="n">
        <v>0</v>
      </c>
      <c r="N3245" t="n">
        <v>0</v>
      </c>
      <c r="O3245" t="n">
        <v>0</v>
      </c>
      <c r="P3245" t="n">
        <v>0</v>
      </c>
      <c r="Q3245" t="n">
        <v>0</v>
      </c>
      <c r="R3245" t="n">
        <v>0</v>
      </c>
      <c r="S3245" t="n">
        <v>0</v>
      </c>
      <c r="T3245" t="n">
        <v>0</v>
      </c>
      <c r="U3245" t="n">
        <v>0</v>
      </c>
      <c r="V3245" s="2" t="inlineStr"/>
    </row>
    <row r="3246" ht="15" customHeight="1">
      <c r="A3246" t="inlineStr">
        <is>
          <t>A 24787-2024</t>
        </is>
      </c>
      <c r="B3246" t="inlineStr">
        <is>
          <t>avverkningsanmälan</t>
        </is>
      </c>
      <c r="C3246" t="inlineStr">
        <is>
          <t>Avverkning för annat ändamål</t>
        </is>
      </c>
      <c r="D3246" s="1" t="n">
        <v>45460</v>
      </c>
      <c r="E3246" s="1" t="n">
        <v>46309</v>
      </c>
      <c r="F3246" t="inlineStr">
        <is>
          <t>UPPSALA LÄN</t>
        </is>
      </c>
      <c r="G3246" t="inlineStr">
        <is>
          <t>UPPSALA</t>
        </is>
      </c>
      <c r="H3246" t="inlineStr">
        <is>
          <t>Övriga Aktiebolag</t>
        </is>
      </c>
      <c r="I3246" t="n">
        <v>2</v>
      </c>
      <c r="J3246" t="n">
        <v>0</v>
      </c>
      <c r="K3246" t="n">
        <v>0</v>
      </c>
      <c r="L3246" t="n">
        <v>0</v>
      </c>
      <c r="M3246" t="n">
        <v>0</v>
      </c>
      <c r="N3246" t="n">
        <v>0</v>
      </c>
      <c r="O3246" t="n">
        <v>0</v>
      </c>
      <c r="P3246" t="n">
        <v>0</v>
      </c>
      <c r="Q3246" t="n">
        <v>0</v>
      </c>
      <c r="R3246" t="n">
        <v>0</v>
      </c>
      <c r="S3246" t="n">
        <v>0</v>
      </c>
      <c r="T3246" t="n">
        <v>0</v>
      </c>
      <c r="U3246" t="n">
        <v>0</v>
      </c>
      <c r="V3246" s="2" t="inlineStr"/>
    </row>
    <row r="3247" ht="15" customHeight="1">
      <c r="A3247" t="inlineStr">
        <is>
          <t>A 39809-2026</t>
        </is>
      </c>
      <c r="B3247" t="inlineStr">
        <is>
          <t>avverkningsanmälan</t>
        </is>
      </c>
      <c r="C3247" t="inlineStr">
        <is>
          <t>Föryngringsavverkning</t>
        </is>
      </c>
      <c r="D3247" s="1" t="n">
        <v>46290</v>
      </c>
      <c r="E3247" s="1" t="n">
        <v>46309</v>
      </c>
      <c r="F3247" t="inlineStr">
        <is>
          <t>UPPSALA LÄN</t>
        </is>
      </c>
      <c r="G3247" t="inlineStr">
        <is>
          <t>ENKÖPING</t>
        </is>
      </c>
      <c r="H3247" t="inlineStr">
        <is>
          <t>Allmännings- och besparingsskogar</t>
        </is>
      </c>
      <c r="I3247" t="n">
        <v>18.4</v>
      </c>
      <c r="J3247" t="n">
        <v>0</v>
      </c>
      <c r="K3247" t="n">
        <v>0</v>
      </c>
      <c r="L3247" t="n">
        <v>0</v>
      </c>
      <c r="M3247" t="n">
        <v>0</v>
      </c>
      <c r="N3247" t="n">
        <v>0</v>
      </c>
      <c r="O3247" t="n">
        <v>0</v>
      </c>
      <c r="P3247" t="n">
        <v>0</v>
      </c>
      <c r="Q3247" t="n">
        <v>0</v>
      </c>
      <c r="R3247" t="n">
        <v>0</v>
      </c>
      <c r="S3247" t="n">
        <v>0</v>
      </c>
      <c r="T3247" t="n">
        <v>0</v>
      </c>
      <c r="U3247" t="n">
        <v>0</v>
      </c>
      <c r="V3247" s="2" t="inlineStr"/>
    </row>
    <row r="3248" ht="15" customHeight="1">
      <c r="A3248" t="inlineStr">
        <is>
          <t>A 7388-2024</t>
        </is>
      </c>
      <c r="B3248" t="inlineStr">
        <is>
          <t>avverkningsanmälan</t>
        </is>
      </c>
      <c r="C3248" t="inlineStr">
        <is>
          <t>Föryngringsavverkning</t>
        </is>
      </c>
      <c r="D3248" s="1" t="n">
        <v>45345</v>
      </c>
      <c r="E3248" s="1" t="n">
        <v>46309</v>
      </c>
      <c r="F3248" t="inlineStr">
        <is>
          <t>UPPSALA LÄN</t>
        </is>
      </c>
      <c r="G3248" t="inlineStr">
        <is>
          <t>UPPSALA</t>
        </is>
      </c>
      <c r="I3248" t="n">
        <v>0.5</v>
      </c>
      <c r="J3248" t="n">
        <v>0</v>
      </c>
      <c r="K3248" t="n">
        <v>0</v>
      </c>
      <c r="L3248" t="n">
        <v>0</v>
      </c>
      <c r="M3248" t="n">
        <v>0</v>
      </c>
      <c r="N3248" t="n">
        <v>0</v>
      </c>
      <c r="O3248" t="n">
        <v>0</v>
      </c>
      <c r="P3248" t="n">
        <v>0</v>
      </c>
      <c r="Q3248" t="n">
        <v>0</v>
      </c>
      <c r="R3248" t="n">
        <v>0</v>
      </c>
      <c r="S3248" t="n">
        <v>0</v>
      </c>
      <c r="T3248" t="n">
        <v>0</v>
      </c>
      <c r="U3248" t="n">
        <v>0</v>
      </c>
      <c r="V3248" s="2" t="inlineStr"/>
    </row>
    <row r="3249" ht="15" customHeight="1">
      <c r="A3249" t="inlineStr">
        <is>
          <t>A 59497-2022</t>
        </is>
      </c>
      <c r="B3249" t="inlineStr">
        <is>
          <t>avverkningsanmälan</t>
        </is>
      </c>
      <c r="C3249" t="inlineStr">
        <is>
          <t>Föryngringsavverkning</t>
        </is>
      </c>
      <c r="D3249" s="1" t="n">
        <v>44907</v>
      </c>
      <c r="E3249" s="1" t="n">
        <v>46309</v>
      </c>
      <c r="F3249" t="inlineStr">
        <is>
          <t>UPPSALA LÄN</t>
        </is>
      </c>
      <c r="G3249" t="inlineStr">
        <is>
          <t>ENKÖPING</t>
        </is>
      </c>
      <c r="I3249" t="n">
        <v>1.1</v>
      </c>
      <c r="J3249" t="n">
        <v>0</v>
      </c>
      <c r="K3249" t="n">
        <v>0</v>
      </c>
      <c r="L3249" t="n">
        <v>0</v>
      </c>
      <c r="M3249" t="n">
        <v>0</v>
      </c>
      <c r="N3249" t="n">
        <v>0</v>
      </c>
      <c r="O3249" t="n">
        <v>0</v>
      </c>
      <c r="P3249" t="n">
        <v>0</v>
      </c>
      <c r="Q3249" t="n">
        <v>0</v>
      </c>
      <c r="R3249" t="n">
        <v>0</v>
      </c>
      <c r="S3249" t="n">
        <v>0</v>
      </c>
      <c r="T3249" t="n">
        <v>0</v>
      </c>
      <c r="U3249" t="n">
        <v>0</v>
      </c>
      <c r="V3249" s="2" t="inlineStr"/>
    </row>
    <row r="3250" ht="15" customHeight="1">
      <c r="A3250" t="inlineStr">
        <is>
          <t>A 39833-2026</t>
        </is>
      </c>
      <c r="B3250" t="inlineStr">
        <is>
          <t>avverkningsanmälan</t>
        </is>
      </c>
      <c r="C3250" t="inlineStr">
        <is>
          <t>Föryngringsavverkning</t>
        </is>
      </c>
      <c r="D3250" s="1" t="n">
        <v>46290</v>
      </c>
      <c r="E3250" s="1" t="n">
        <v>46309</v>
      </c>
      <c r="F3250" t="inlineStr">
        <is>
          <t>UPPSALA LÄN</t>
        </is>
      </c>
      <c r="G3250" t="inlineStr">
        <is>
          <t>ÖSTHAMMAR</t>
        </is>
      </c>
      <c r="I3250" t="n">
        <v>1.4</v>
      </c>
      <c r="J3250" t="n">
        <v>0</v>
      </c>
      <c r="K3250" t="n">
        <v>0</v>
      </c>
      <c r="L3250" t="n">
        <v>0</v>
      </c>
      <c r="M3250" t="n">
        <v>0</v>
      </c>
      <c r="N3250" t="n">
        <v>0</v>
      </c>
      <c r="O3250" t="n">
        <v>0</v>
      </c>
      <c r="P3250" t="n">
        <v>0</v>
      </c>
      <c r="Q3250" t="n">
        <v>0</v>
      </c>
      <c r="R3250" t="n">
        <v>0</v>
      </c>
      <c r="S3250" t="n">
        <v>0</v>
      </c>
      <c r="T3250" t="n">
        <v>0</v>
      </c>
      <c r="U3250" t="n">
        <v>0</v>
      </c>
      <c r="V3250" s="2" t="inlineStr"/>
    </row>
    <row r="3251" ht="15" customHeight="1">
      <c r="A3251" t="inlineStr">
        <is>
          <t>A 39322-2026</t>
        </is>
      </c>
      <c r="B3251" t="inlineStr">
        <is>
          <t>avverkningsanmälan</t>
        </is>
      </c>
      <c r="C3251" t="inlineStr">
        <is>
          <t>Föryngringsavverkning</t>
        </is>
      </c>
      <c r="D3251" s="1" t="n">
        <v>46288</v>
      </c>
      <c r="E3251" s="1" t="n">
        <v>46309</v>
      </c>
      <c r="F3251" t="inlineStr">
        <is>
          <t>UPPSALA LÄN</t>
        </is>
      </c>
      <c r="G3251" t="inlineStr">
        <is>
          <t>ENKÖPING</t>
        </is>
      </c>
      <c r="I3251" t="n">
        <v>5.3</v>
      </c>
      <c r="J3251" t="n">
        <v>0</v>
      </c>
      <c r="K3251" t="n">
        <v>0</v>
      </c>
      <c r="L3251" t="n">
        <v>0</v>
      </c>
      <c r="M3251" t="n">
        <v>0</v>
      </c>
      <c r="N3251" t="n">
        <v>0</v>
      </c>
      <c r="O3251" t="n">
        <v>0</v>
      </c>
      <c r="P3251" t="n">
        <v>0</v>
      </c>
      <c r="Q3251" t="n">
        <v>0</v>
      </c>
      <c r="R3251" t="n">
        <v>0</v>
      </c>
      <c r="S3251" t="n">
        <v>0</v>
      </c>
      <c r="T3251" t="n">
        <v>0</v>
      </c>
      <c r="U3251" t="n">
        <v>0</v>
      </c>
      <c r="V3251" s="2" t="inlineStr"/>
    </row>
    <row r="3252" ht="15" customHeight="1">
      <c r="A3252" t="inlineStr">
        <is>
          <t>A 39686-2026</t>
        </is>
      </c>
      <c r="B3252" t="inlineStr">
        <is>
          <t>avverkningsanmälan</t>
        </is>
      </c>
      <c r="C3252" t="inlineStr">
        <is>
          <t>Föryngringsavverkning</t>
        </is>
      </c>
      <c r="D3252" s="1" t="n">
        <v>46289</v>
      </c>
      <c r="E3252" s="1" t="n">
        <v>46309</v>
      </c>
      <c r="F3252" t="inlineStr">
        <is>
          <t>UPPSALA LÄN</t>
        </is>
      </c>
      <c r="G3252" t="inlineStr">
        <is>
          <t>HEBY</t>
        </is>
      </c>
      <c r="H3252" t="inlineStr">
        <is>
          <t>Bergvik skog öst AB</t>
        </is>
      </c>
      <c r="I3252" t="n">
        <v>2.2</v>
      </c>
      <c r="J3252" t="n">
        <v>0</v>
      </c>
      <c r="K3252" t="n">
        <v>0</v>
      </c>
      <c r="L3252" t="n">
        <v>0</v>
      </c>
      <c r="M3252" t="n">
        <v>0</v>
      </c>
      <c r="N3252" t="n">
        <v>0</v>
      </c>
      <c r="O3252" t="n">
        <v>0</v>
      </c>
      <c r="P3252" t="n">
        <v>0</v>
      </c>
      <c r="Q3252" t="n">
        <v>0</v>
      </c>
      <c r="R3252" t="n">
        <v>0</v>
      </c>
      <c r="S3252" t="n">
        <v>0</v>
      </c>
      <c r="T3252" t="n">
        <v>0</v>
      </c>
      <c r="U3252" t="n">
        <v>0</v>
      </c>
      <c r="V3252" s="2" t="inlineStr"/>
    </row>
    <row r="3253" ht="15" customHeight="1">
      <c r="A3253" t="inlineStr">
        <is>
          <t>A 60984-2022</t>
        </is>
      </c>
      <c r="B3253" t="inlineStr">
        <is>
          <t>avverkningsanmälan</t>
        </is>
      </c>
      <c r="C3253" t="inlineStr">
        <is>
          <t>Föryngringsavverkning</t>
        </is>
      </c>
      <c r="D3253" s="1" t="n">
        <v>44914</v>
      </c>
      <c r="E3253" s="1" t="n">
        <v>46309</v>
      </c>
      <c r="F3253" t="inlineStr">
        <is>
          <t>UPPSALA LÄN</t>
        </is>
      </c>
      <c r="G3253" t="inlineStr">
        <is>
          <t>UPPSALA</t>
        </is>
      </c>
      <c r="I3253" t="n">
        <v>0.5</v>
      </c>
      <c r="J3253" t="n">
        <v>0</v>
      </c>
      <c r="K3253" t="n">
        <v>0</v>
      </c>
      <c r="L3253" t="n">
        <v>0</v>
      </c>
      <c r="M3253" t="n">
        <v>0</v>
      </c>
      <c r="N3253" t="n">
        <v>0</v>
      </c>
      <c r="O3253" t="n">
        <v>0</v>
      </c>
      <c r="P3253" t="n">
        <v>0</v>
      </c>
      <c r="Q3253" t="n">
        <v>0</v>
      </c>
      <c r="R3253" t="n">
        <v>0</v>
      </c>
      <c r="S3253" t="n">
        <v>0</v>
      </c>
      <c r="T3253" t="n">
        <v>0</v>
      </c>
      <c r="U3253" t="n">
        <v>0</v>
      </c>
      <c r="V3253" s="2" t="inlineStr"/>
    </row>
    <row r="3254" ht="15" customHeight="1">
      <c r="A3254" t="inlineStr">
        <is>
          <t>A 39549-2026</t>
        </is>
      </c>
      <c r="B3254" t="inlineStr">
        <is>
          <t>avverkningsanmälan</t>
        </is>
      </c>
      <c r="C3254" t="inlineStr">
        <is>
          <t>Föryngringsavverkning</t>
        </is>
      </c>
      <c r="D3254" s="1" t="n">
        <v>46289</v>
      </c>
      <c r="E3254" s="1" t="n">
        <v>46309</v>
      </c>
      <c r="F3254" t="inlineStr">
        <is>
          <t>UPPSALA LÄN</t>
        </is>
      </c>
      <c r="G3254" t="inlineStr">
        <is>
          <t>HEBY</t>
        </is>
      </c>
      <c r="I3254" t="n">
        <v>1.8</v>
      </c>
      <c r="J3254" t="n">
        <v>0</v>
      </c>
      <c r="K3254" t="n">
        <v>0</v>
      </c>
      <c r="L3254" t="n">
        <v>0</v>
      </c>
      <c r="M3254" t="n">
        <v>0</v>
      </c>
      <c r="N3254" t="n">
        <v>0</v>
      </c>
      <c r="O3254" t="n">
        <v>0</v>
      </c>
      <c r="P3254" t="n">
        <v>0</v>
      </c>
      <c r="Q3254" t="n">
        <v>0</v>
      </c>
      <c r="R3254" t="n">
        <v>0</v>
      </c>
      <c r="S3254" t="n">
        <v>0</v>
      </c>
      <c r="T3254" t="n">
        <v>0</v>
      </c>
      <c r="U3254" t="n">
        <v>0</v>
      </c>
      <c r="V3254" s="2" t="inlineStr"/>
    </row>
    <row r="3255" ht="15" customHeight="1">
      <c r="A3255" t="inlineStr">
        <is>
          <t>A 21052-2023</t>
        </is>
      </c>
      <c r="B3255" t="inlineStr">
        <is>
          <t>avverkningsanmälan</t>
        </is>
      </c>
      <c r="C3255" t="inlineStr">
        <is>
          <t>Föryngringsavverkning</t>
        </is>
      </c>
      <c r="D3255" s="1" t="n">
        <v>45061</v>
      </c>
      <c r="E3255" s="1" t="n">
        <v>46309</v>
      </c>
      <c r="F3255" t="inlineStr">
        <is>
          <t>UPPSALA LÄN</t>
        </is>
      </c>
      <c r="G3255" t="inlineStr">
        <is>
          <t>UPPSALA</t>
        </is>
      </c>
      <c r="I3255" t="n">
        <v>0.6</v>
      </c>
      <c r="J3255" t="n">
        <v>0</v>
      </c>
      <c r="K3255" t="n">
        <v>0</v>
      </c>
      <c r="L3255" t="n">
        <v>0</v>
      </c>
      <c r="M3255" t="n">
        <v>0</v>
      </c>
      <c r="N3255" t="n">
        <v>0</v>
      </c>
      <c r="O3255" t="n">
        <v>0</v>
      </c>
      <c r="P3255" t="n">
        <v>0</v>
      </c>
      <c r="Q3255" t="n">
        <v>0</v>
      </c>
      <c r="R3255" t="n">
        <v>0</v>
      </c>
      <c r="S3255" t="n">
        <v>0</v>
      </c>
      <c r="T3255" t="n">
        <v>0</v>
      </c>
      <c r="U3255" t="n">
        <v>0</v>
      </c>
      <c r="V3255" s="2" t="inlineStr"/>
    </row>
    <row r="3256" ht="15" customHeight="1">
      <c r="A3256" t="inlineStr">
        <is>
          <t>A 40446-2026</t>
        </is>
      </c>
      <c r="B3256" t="inlineStr">
        <is>
          <t>avverkningsanmälan</t>
        </is>
      </c>
      <c r="C3256" t="inlineStr">
        <is>
          <t>Föryngringsavverkning</t>
        </is>
      </c>
      <c r="D3256" s="1" t="n">
        <v>46294</v>
      </c>
      <c r="E3256" s="1" t="n">
        <v>46309</v>
      </c>
      <c r="F3256" t="inlineStr">
        <is>
          <t>UPPSALA LÄN</t>
        </is>
      </c>
      <c r="G3256" t="inlineStr">
        <is>
          <t>ENKÖPING</t>
        </is>
      </c>
      <c r="I3256" t="n">
        <v>4.1</v>
      </c>
      <c r="J3256" t="n">
        <v>0</v>
      </c>
      <c r="K3256" t="n">
        <v>0</v>
      </c>
      <c r="L3256" t="n">
        <v>0</v>
      </c>
      <c r="M3256" t="n">
        <v>0</v>
      </c>
      <c r="N3256" t="n">
        <v>0</v>
      </c>
      <c r="O3256" t="n">
        <v>0</v>
      </c>
      <c r="P3256" t="n">
        <v>0</v>
      </c>
      <c r="Q3256" t="n">
        <v>0</v>
      </c>
      <c r="R3256" t="n">
        <v>0</v>
      </c>
      <c r="S3256" t="n">
        <v>0</v>
      </c>
      <c r="T3256" t="n">
        <v>0</v>
      </c>
      <c r="U3256" t="n">
        <v>0</v>
      </c>
      <c r="V3256" s="2" t="inlineStr"/>
    </row>
    <row r="3257" ht="15" customHeight="1">
      <c r="A3257" t="inlineStr">
        <is>
          <t>A 20860-2024</t>
        </is>
      </c>
      <c r="B3257" t="inlineStr">
        <is>
          <t>avverkningsanmälan</t>
        </is>
      </c>
      <c r="C3257" t="inlineStr">
        <is>
          <t>Föryngringsavverkning</t>
        </is>
      </c>
      <c r="D3257" s="1" t="n">
        <v>45439</v>
      </c>
      <c r="E3257" s="1" t="n">
        <v>46309</v>
      </c>
      <c r="F3257" t="inlineStr">
        <is>
          <t>UPPSALA LÄN</t>
        </is>
      </c>
      <c r="G3257" t="inlineStr">
        <is>
          <t>TIERP</t>
        </is>
      </c>
      <c r="I3257" t="n">
        <v>1.6</v>
      </c>
      <c r="J3257" t="n">
        <v>0</v>
      </c>
      <c r="K3257" t="n">
        <v>0</v>
      </c>
      <c r="L3257" t="n">
        <v>0</v>
      </c>
      <c r="M3257" t="n">
        <v>0</v>
      </c>
      <c r="N3257" t="n">
        <v>0</v>
      </c>
      <c r="O3257" t="n">
        <v>0</v>
      </c>
      <c r="P3257" t="n">
        <v>0</v>
      </c>
      <c r="Q3257" t="n">
        <v>0</v>
      </c>
      <c r="R3257" t="n">
        <v>0</v>
      </c>
      <c r="S3257" t="n">
        <v>0</v>
      </c>
      <c r="T3257" t="n">
        <v>0</v>
      </c>
      <c r="U3257" t="n">
        <v>0</v>
      </c>
      <c r="V3257" s="2" t="inlineStr"/>
    </row>
    <row r="3258" ht="15" customHeight="1">
      <c r="A3258" t="inlineStr">
        <is>
          <t>A 39978-2026</t>
        </is>
      </c>
      <c r="B3258" t="inlineStr">
        <is>
          <t>avverkningsanmälan</t>
        </is>
      </c>
      <c r="C3258" t="inlineStr">
        <is>
          <t>Föryngringsavverkning</t>
        </is>
      </c>
      <c r="D3258" s="1" t="n">
        <v>46293</v>
      </c>
      <c r="E3258" s="1" t="n">
        <v>46309</v>
      </c>
      <c r="F3258" t="inlineStr">
        <is>
          <t>UPPSALA LÄN</t>
        </is>
      </c>
      <c r="G3258" t="inlineStr">
        <is>
          <t>KNIVSTA</t>
        </is>
      </c>
      <c r="H3258" t="inlineStr">
        <is>
          <t>Holmen skog AB</t>
        </is>
      </c>
      <c r="I3258" t="n">
        <v>4.5</v>
      </c>
      <c r="J3258" t="n">
        <v>0</v>
      </c>
      <c r="K3258" t="n">
        <v>0</v>
      </c>
      <c r="L3258" t="n">
        <v>0</v>
      </c>
      <c r="M3258" t="n">
        <v>0</v>
      </c>
      <c r="N3258" t="n">
        <v>0</v>
      </c>
      <c r="O3258" t="n">
        <v>0</v>
      </c>
      <c r="P3258" t="n">
        <v>0</v>
      </c>
      <c r="Q3258" t="n">
        <v>0</v>
      </c>
      <c r="R3258" t="n">
        <v>0</v>
      </c>
      <c r="S3258" t="n">
        <v>0</v>
      </c>
      <c r="T3258" t="n">
        <v>0</v>
      </c>
      <c r="U3258" t="n">
        <v>0</v>
      </c>
      <c r="V3258" s="2" t="inlineStr"/>
    </row>
    <row r="3259" ht="15" customHeight="1">
      <c r="A3259" t="inlineStr">
        <is>
          <t>A 60701-2022</t>
        </is>
      </c>
      <c r="B3259" t="inlineStr">
        <is>
          <t>avverkningsanmälan</t>
        </is>
      </c>
      <c r="C3259" t="inlineStr">
        <is>
          <t>Avverkning för annat ändamål</t>
        </is>
      </c>
      <c r="D3259" s="1" t="n">
        <v>44912</v>
      </c>
      <c r="E3259" s="1" t="n">
        <v>46309</v>
      </c>
      <c r="F3259" t="inlineStr">
        <is>
          <t>UPPSALA LÄN</t>
        </is>
      </c>
      <c r="G3259" t="inlineStr">
        <is>
          <t>UPPSALA</t>
        </is>
      </c>
      <c r="I3259" t="n">
        <v>1.4</v>
      </c>
      <c r="J3259" t="n">
        <v>0</v>
      </c>
      <c r="K3259" t="n">
        <v>0</v>
      </c>
      <c r="L3259" t="n">
        <v>0</v>
      </c>
      <c r="M3259" t="n">
        <v>0</v>
      </c>
      <c r="N3259" t="n">
        <v>0</v>
      </c>
      <c r="O3259" t="n">
        <v>0</v>
      </c>
      <c r="P3259" t="n">
        <v>0</v>
      </c>
      <c r="Q3259" t="n">
        <v>0</v>
      </c>
      <c r="R3259" t="n">
        <v>0</v>
      </c>
      <c r="S3259" t="n">
        <v>0</v>
      </c>
      <c r="T3259" t="n">
        <v>0</v>
      </c>
      <c r="U3259" t="n">
        <v>0</v>
      </c>
      <c r="V3259" s="2" t="inlineStr"/>
    </row>
    <row r="3260" ht="15" customHeight="1">
      <c r="A3260" t="inlineStr">
        <is>
          <t>A 33607-2026</t>
        </is>
      </c>
      <c r="B3260" t="inlineStr">
        <is>
          <t>avverkningsanmälan</t>
        </is>
      </c>
      <c r="C3260" t="inlineStr">
        <is>
          <t>Föryngringsavverkning</t>
        </is>
      </c>
      <c r="D3260" s="1" t="n">
        <v>46248</v>
      </c>
      <c r="E3260" s="1" t="n">
        <v>46309</v>
      </c>
      <c r="F3260" t="inlineStr">
        <is>
          <t>UPPSALA LÄN</t>
        </is>
      </c>
      <c r="G3260" t="inlineStr">
        <is>
          <t>TIERP</t>
        </is>
      </c>
      <c r="I3260" t="n">
        <v>2.1</v>
      </c>
      <c r="J3260" t="n">
        <v>0</v>
      </c>
      <c r="K3260" t="n">
        <v>0</v>
      </c>
      <c r="L3260" t="n">
        <v>0</v>
      </c>
      <c r="M3260" t="n">
        <v>0</v>
      </c>
      <c r="N3260" t="n">
        <v>0</v>
      </c>
      <c r="O3260" t="n">
        <v>0</v>
      </c>
      <c r="P3260" t="n">
        <v>0</v>
      </c>
      <c r="Q3260" t="n">
        <v>0</v>
      </c>
      <c r="R3260" t="n">
        <v>0</v>
      </c>
      <c r="S3260" t="n">
        <v>0</v>
      </c>
      <c r="T3260" t="n">
        <v>0</v>
      </c>
      <c r="U3260" t="n">
        <v>0</v>
      </c>
      <c r="V3260" s="2" t="inlineStr"/>
    </row>
    <row r="3261" ht="15" customHeight="1">
      <c r="A3261" t="inlineStr">
        <is>
          <t>A 33619-2026</t>
        </is>
      </c>
      <c r="B3261" t="inlineStr">
        <is>
          <t>avverkningsanmälan</t>
        </is>
      </c>
      <c r="C3261" t="inlineStr">
        <is>
          <t>Föryngringsavverkning</t>
        </is>
      </c>
      <c r="D3261" s="1" t="n">
        <v>46248</v>
      </c>
      <c r="E3261" s="1" t="n">
        <v>46309</v>
      </c>
      <c r="F3261" t="inlineStr">
        <is>
          <t>UPPSALA LÄN</t>
        </is>
      </c>
      <c r="G3261" t="inlineStr">
        <is>
          <t>TIERP</t>
        </is>
      </c>
      <c r="I3261" t="n">
        <v>0.8</v>
      </c>
      <c r="J3261" t="n">
        <v>0</v>
      </c>
      <c r="K3261" t="n">
        <v>0</v>
      </c>
      <c r="L3261" t="n">
        <v>0</v>
      </c>
      <c r="M3261" t="n">
        <v>0</v>
      </c>
      <c r="N3261" t="n">
        <v>0</v>
      </c>
      <c r="O3261" t="n">
        <v>0</v>
      </c>
      <c r="P3261" t="n">
        <v>0</v>
      </c>
      <c r="Q3261" t="n">
        <v>0</v>
      </c>
      <c r="R3261" t="n">
        <v>0</v>
      </c>
      <c r="S3261" t="n">
        <v>0</v>
      </c>
      <c r="T3261" t="n">
        <v>0</v>
      </c>
      <c r="U3261" t="n">
        <v>0</v>
      </c>
      <c r="V3261" s="2" t="inlineStr"/>
    </row>
    <row r="3262" ht="15" customHeight="1">
      <c r="A3262" t="inlineStr">
        <is>
          <t>A 33615-2026</t>
        </is>
      </c>
      <c r="B3262" t="inlineStr">
        <is>
          <t>avverkningsanmälan</t>
        </is>
      </c>
      <c r="C3262" t="inlineStr">
        <is>
          <t>Föryngringsavverkning</t>
        </is>
      </c>
      <c r="D3262" s="1" t="n">
        <v>46248</v>
      </c>
      <c r="E3262" s="1" t="n">
        <v>46309</v>
      </c>
      <c r="F3262" t="inlineStr">
        <is>
          <t>UPPSALA LÄN</t>
        </is>
      </c>
      <c r="G3262" t="inlineStr">
        <is>
          <t>TIERP</t>
        </is>
      </c>
      <c r="I3262" t="n">
        <v>1.3</v>
      </c>
      <c r="J3262" t="n">
        <v>0</v>
      </c>
      <c r="K3262" t="n">
        <v>0</v>
      </c>
      <c r="L3262" t="n">
        <v>0</v>
      </c>
      <c r="M3262" t="n">
        <v>0</v>
      </c>
      <c r="N3262" t="n">
        <v>0</v>
      </c>
      <c r="O3262" t="n">
        <v>0</v>
      </c>
      <c r="P3262" t="n">
        <v>0</v>
      </c>
      <c r="Q3262" t="n">
        <v>0</v>
      </c>
      <c r="R3262" t="n">
        <v>0</v>
      </c>
      <c r="S3262" t="n">
        <v>0</v>
      </c>
      <c r="T3262" t="n">
        <v>0</v>
      </c>
      <c r="U3262" t="n">
        <v>0</v>
      </c>
      <c r="V3262" s="2" t="inlineStr"/>
    </row>
    <row r="3263" ht="15" customHeight="1">
      <c r="A3263" t="inlineStr">
        <is>
          <t>A 7195-2023</t>
        </is>
      </c>
      <c r="B3263" t="inlineStr">
        <is>
          <t>avverkningsanmälan</t>
        </is>
      </c>
      <c r="C3263" t="inlineStr">
        <is>
          <t>Föryngringsavverkning</t>
        </is>
      </c>
      <c r="D3263" s="1" t="n">
        <v>44970</v>
      </c>
      <c r="E3263" s="1" t="n">
        <v>46309</v>
      </c>
      <c r="F3263" t="inlineStr">
        <is>
          <t>UPPSALA LÄN</t>
        </is>
      </c>
      <c r="G3263" t="inlineStr">
        <is>
          <t>ÖSTHAMMAR</t>
        </is>
      </c>
      <c r="I3263" t="n">
        <v>1.3</v>
      </c>
      <c r="J3263" t="n">
        <v>0</v>
      </c>
      <c r="K3263" t="n">
        <v>0</v>
      </c>
      <c r="L3263" t="n">
        <v>0</v>
      </c>
      <c r="M3263" t="n">
        <v>0</v>
      </c>
      <c r="N3263" t="n">
        <v>0</v>
      </c>
      <c r="O3263" t="n">
        <v>0</v>
      </c>
      <c r="P3263" t="n">
        <v>0</v>
      </c>
      <c r="Q3263" t="n">
        <v>0</v>
      </c>
      <c r="R3263" t="n">
        <v>0</v>
      </c>
      <c r="S3263" t="n">
        <v>0</v>
      </c>
      <c r="T3263" t="n">
        <v>0</v>
      </c>
      <c r="U3263" t="n">
        <v>0</v>
      </c>
      <c r="V3263" s="2" t="inlineStr"/>
    </row>
    <row r="3264" ht="15" customHeight="1">
      <c r="A3264" t="inlineStr">
        <is>
          <t>A 40106-2026</t>
        </is>
      </c>
      <c r="B3264" t="inlineStr">
        <is>
          <t>avverkningsanmälan</t>
        </is>
      </c>
      <c r="C3264" t="inlineStr">
        <is>
          <t>Föryngringsavverkning</t>
        </is>
      </c>
      <c r="D3264" s="1" t="n">
        <v>46293</v>
      </c>
      <c r="E3264" s="1" t="n">
        <v>46309</v>
      </c>
      <c r="F3264" t="inlineStr">
        <is>
          <t>UPPSALA LÄN</t>
        </is>
      </c>
      <c r="G3264" t="inlineStr">
        <is>
          <t>ÖSTHAMMAR</t>
        </is>
      </c>
      <c r="H3264" t="inlineStr">
        <is>
          <t>Bergvik skog öst AB</t>
        </is>
      </c>
      <c r="I3264" t="n">
        <v>26.6</v>
      </c>
      <c r="J3264" t="n">
        <v>0</v>
      </c>
      <c r="K3264" t="n">
        <v>0</v>
      </c>
      <c r="L3264" t="n">
        <v>0</v>
      </c>
      <c r="M3264" t="n">
        <v>0</v>
      </c>
      <c r="N3264" t="n">
        <v>0</v>
      </c>
      <c r="O3264" t="n">
        <v>0</v>
      </c>
      <c r="P3264" t="n">
        <v>0</v>
      </c>
      <c r="Q3264" t="n">
        <v>0</v>
      </c>
      <c r="R3264" t="n">
        <v>0</v>
      </c>
      <c r="S3264" t="n">
        <v>0</v>
      </c>
      <c r="T3264" t="n">
        <v>0</v>
      </c>
      <c r="U3264" t="n">
        <v>0</v>
      </c>
      <c r="V3264" s="2" t="inlineStr"/>
    </row>
    <row r="3265" ht="15" customHeight="1">
      <c r="A3265" t="inlineStr">
        <is>
          <t>A 37568-2022</t>
        </is>
      </c>
      <c r="B3265" t="inlineStr">
        <is>
          <t>avverkningsanmälan</t>
        </is>
      </c>
      <c r="C3265" t="inlineStr">
        <is>
          <t>Föryngringsavverkning</t>
        </is>
      </c>
      <c r="D3265" s="1" t="n">
        <v>44809</v>
      </c>
      <c r="E3265" s="1" t="n">
        <v>46309</v>
      </c>
      <c r="F3265" t="inlineStr">
        <is>
          <t>UPPSALA LÄN</t>
        </is>
      </c>
      <c r="G3265" t="inlineStr">
        <is>
          <t>ÖSTHAMMAR</t>
        </is>
      </c>
      <c r="I3265" t="n">
        <v>1.1</v>
      </c>
      <c r="J3265" t="n">
        <v>0</v>
      </c>
      <c r="K3265" t="n">
        <v>0</v>
      </c>
      <c r="L3265" t="n">
        <v>0</v>
      </c>
      <c r="M3265" t="n">
        <v>0</v>
      </c>
      <c r="N3265" t="n">
        <v>0</v>
      </c>
      <c r="O3265" t="n">
        <v>0</v>
      </c>
      <c r="P3265" t="n">
        <v>0</v>
      </c>
      <c r="Q3265" t="n">
        <v>0</v>
      </c>
      <c r="R3265" t="n">
        <v>0</v>
      </c>
      <c r="S3265" t="n">
        <v>0</v>
      </c>
      <c r="T3265" t="n">
        <v>0</v>
      </c>
      <c r="U3265" t="n">
        <v>0</v>
      </c>
      <c r="V3265" s="2" t="inlineStr"/>
    </row>
    <row r="3266" ht="15" customHeight="1">
      <c r="A3266" t="inlineStr">
        <is>
          <t>A 9542-2023</t>
        </is>
      </c>
      <c r="B3266" t="inlineStr">
        <is>
          <t>avverkningsanmälan</t>
        </is>
      </c>
      <c r="C3266" t="inlineStr">
        <is>
          <t>Föryngringsavverkning</t>
        </is>
      </c>
      <c r="D3266" s="1" t="n">
        <v>44981</v>
      </c>
      <c r="E3266" s="1" t="n">
        <v>46309</v>
      </c>
      <c r="F3266" t="inlineStr">
        <is>
          <t>UPPSALA LÄN</t>
        </is>
      </c>
      <c r="G3266" t="inlineStr">
        <is>
          <t>ÖSTHAMMAR</t>
        </is>
      </c>
      <c r="H3266" t="inlineStr">
        <is>
          <t>Bergvik skog öst AB</t>
        </is>
      </c>
      <c r="I3266" t="n">
        <v>0.4</v>
      </c>
      <c r="J3266" t="n">
        <v>0</v>
      </c>
      <c r="K3266" t="n">
        <v>0</v>
      </c>
      <c r="L3266" t="n">
        <v>0</v>
      </c>
      <c r="M3266" t="n">
        <v>0</v>
      </c>
      <c r="N3266" t="n">
        <v>0</v>
      </c>
      <c r="O3266" t="n">
        <v>0</v>
      </c>
      <c r="P3266" t="n">
        <v>0</v>
      </c>
      <c r="Q3266" t="n">
        <v>0</v>
      </c>
      <c r="R3266" t="n">
        <v>0</v>
      </c>
      <c r="S3266" t="n">
        <v>0</v>
      </c>
      <c r="T3266" t="n">
        <v>0</v>
      </c>
      <c r="U3266" t="n">
        <v>0</v>
      </c>
      <c r="V3266" s="2" t="inlineStr"/>
    </row>
    <row r="3267" ht="15" customHeight="1">
      <c r="A3267" t="inlineStr">
        <is>
          <t>A 6997-2023</t>
        </is>
      </c>
      <c r="B3267" t="inlineStr">
        <is>
          <t>avverkningsanmälan</t>
        </is>
      </c>
      <c r="C3267" t="inlineStr">
        <is>
          <t>Föryngringsavverkning</t>
        </is>
      </c>
      <c r="D3267" s="1" t="n">
        <v>44967</v>
      </c>
      <c r="E3267" s="1" t="n">
        <v>46309</v>
      </c>
      <c r="F3267" t="inlineStr">
        <is>
          <t>UPPSALA LÄN</t>
        </is>
      </c>
      <c r="G3267" t="inlineStr">
        <is>
          <t>UPPSALA</t>
        </is>
      </c>
      <c r="I3267" t="n">
        <v>3.9</v>
      </c>
      <c r="J3267" t="n">
        <v>0</v>
      </c>
      <c r="K3267" t="n">
        <v>0</v>
      </c>
      <c r="L3267" t="n">
        <v>0</v>
      </c>
      <c r="M3267" t="n">
        <v>0</v>
      </c>
      <c r="N3267" t="n">
        <v>0</v>
      </c>
      <c r="O3267" t="n">
        <v>0</v>
      </c>
      <c r="P3267" t="n">
        <v>0</v>
      </c>
      <c r="Q3267" t="n">
        <v>0</v>
      </c>
      <c r="R3267" t="n">
        <v>0</v>
      </c>
      <c r="S3267" t="n">
        <v>0</v>
      </c>
      <c r="T3267" t="n">
        <v>0</v>
      </c>
      <c r="U3267" t="n">
        <v>0</v>
      </c>
      <c r="V3267" s="2" t="inlineStr"/>
    </row>
    <row r="3268" ht="15" customHeight="1">
      <c r="A3268" t="inlineStr">
        <is>
          <t>A 55100-2024</t>
        </is>
      </c>
      <c r="B3268" t="inlineStr">
        <is>
          <t>avverkningsanmälan</t>
        </is>
      </c>
      <c r="C3268" t="inlineStr">
        <is>
          <t>Föryngringsavverkning</t>
        </is>
      </c>
      <c r="D3268" s="1" t="n">
        <v>45621</v>
      </c>
      <c r="E3268" s="1" t="n">
        <v>46309</v>
      </c>
      <c r="F3268" t="inlineStr">
        <is>
          <t>UPPSALA LÄN</t>
        </is>
      </c>
      <c r="G3268" t="inlineStr">
        <is>
          <t>ÖSTHAMMAR</t>
        </is>
      </c>
      <c r="H3268" t="inlineStr">
        <is>
          <t>Sveaskog</t>
        </is>
      </c>
      <c r="I3268" t="n">
        <v>1</v>
      </c>
      <c r="J3268" t="n">
        <v>0</v>
      </c>
      <c r="K3268" t="n">
        <v>0</v>
      </c>
      <c r="L3268" t="n">
        <v>0</v>
      </c>
      <c r="M3268" t="n">
        <v>0</v>
      </c>
      <c r="N3268" t="n">
        <v>0</v>
      </c>
      <c r="O3268" t="n">
        <v>0</v>
      </c>
      <c r="P3268" t="n">
        <v>0</v>
      </c>
      <c r="Q3268" t="n">
        <v>0</v>
      </c>
      <c r="R3268" t="n">
        <v>0</v>
      </c>
      <c r="S3268" t="n">
        <v>0</v>
      </c>
      <c r="T3268" t="n">
        <v>0</v>
      </c>
      <c r="U3268" t="n">
        <v>0</v>
      </c>
      <c r="V3268" s="2" t="inlineStr"/>
    </row>
    <row r="3269" ht="15" customHeight="1">
      <c r="A3269" t="inlineStr">
        <is>
          <t>A 47968-2023</t>
        </is>
      </c>
      <c r="B3269" t="inlineStr">
        <is>
          <t>avverkningsanmälan</t>
        </is>
      </c>
      <c r="C3269" t="inlineStr">
        <is>
          <t>Föryngringsavverkning</t>
        </is>
      </c>
      <c r="D3269" s="1" t="n">
        <v>45204</v>
      </c>
      <c r="E3269" s="1" t="n">
        <v>46309</v>
      </c>
      <c r="F3269" t="inlineStr">
        <is>
          <t>UPPSALA LÄN</t>
        </is>
      </c>
      <c r="G3269" t="inlineStr">
        <is>
          <t>TIERP</t>
        </is>
      </c>
      <c r="I3269" t="n">
        <v>1.5</v>
      </c>
      <c r="J3269" t="n">
        <v>0</v>
      </c>
      <c r="K3269" t="n">
        <v>0</v>
      </c>
      <c r="L3269" t="n">
        <v>0</v>
      </c>
      <c r="M3269" t="n">
        <v>0</v>
      </c>
      <c r="N3269" t="n">
        <v>0</v>
      </c>
      <c r="O3269" t="n">
        <v>0</v>
      </c>
      <c r="P3269" t="n">
        <v>0</v>
      </c>
      <c r="Q3269" t="n">
        <v>0</v>
      </c>
      <c r="R3269" t="n">
        <v>0</v>
      </c>
      <c r="S3269" t="n">
        <v>0</v>
      </c>
      <c r="T3269" t="n">
        <v>0</v>
      </c>
      <c r="U3269" t="n">
        <v>0</v>
      </c>
      <c r="V3269" s="2" t="inlineStr"/>
    </row>
    <row r="3270" ht="15" customHeight="1">
      <c r="A3270" t="inlineStr">
        <is>
          <t>A 12885-2024</t>
        </is>
      </c>
      <c r="B3270" t="inlineStr">
        <is>
          <t>avverkningsanmälan</t>
        </is>
      </c>
      <c r="C3270" t="inlineStr">
        <is>
          <t>Avverkning för annat ändamål</t>
        </is>
      </c>
      <c r="D3270" s="1" t="n">
        <v>45385</v>
      </c>
      <c r="E3270" s="1" t="n">
        <v>46309</v>
      </c>
      <c r="F3270" t="inlineStr">
        <is>
          <t>UPPSALA LÄN</t>
        </is>
      </c>
      <c r="G3270" t="inlineStr">
        <is>
          <t>TIERP</t>
        </is>
      </c>
      <c r="I3270" t="n">
        <v>0.4</v>
      </c>
      <c r="J3270" t="n">
        <v>0</v>
      </c>
      <c r="K3270" t="n">
        <v>0</v>
      </c>
      <c r="L3270" t="n">
        <v>0</v>
      </c>
      <c r="M3270" t="n">
        <v>0</v>
      </c>
      <c r="N3270" t="n">
        <v>0</v>
      </c>
      <c r="O3270" t="n">
        <v>0</v>
      </c>
      <c r="P3270" t="n">
        <v>0</v>
      </c>
      <c r="Q3270" t="n">
        <v>0</v>
      </c>
      <c r="R3270" t="n">
        <v>0</v>
      </c>
      <c r="S3270" t="n">
        <v>0</v>
      </c>
      <c r="T3270" t="n">
        <v>0</v>
      </c>
      <c r="U3270" t="n">
        <v>0</v>
      </c>
      <c r="V3270" s="2" t="inlineStr"/>
    </row>
    <row r="3271" ht="15" customHeight="1">
      <c r="A3271" t="inlineStr">
        <is>
          <t>A 33605-2026</t>
        </is>
      </c>
      <c r="B3271" t="inlineStr">
        <is>
          <t>avverkningsanmälan</t>
        </is>
      </c>
      <c r="C3271" t="inlineStr">
        <is>
          <t>Föryngringsavverkning</t>
        </is>
      </c>
      <c r="D3271" s="1" t="n">
        <v>46248</v>
      </c>
      <c r="E3271" s="1" t="n">
        <v>46309</v>
      </c>
      <c r="F3271" t="inlineStr">
        <is>
          <t>UPPSALA LÄN</t>
        </is>
      </c>
      <c r="G3271" t="inlineStr">
        <is>
          <t>TIERP</t>
        </is>
      </c>
      <c r="I3271" t="n">
        <v>1.3</v>
      </c>
      <c r="J3271" t="n">
        <v>0</v>
      </c>
      <c r="K3271" t="n">
        <v>0</v>
      </c>
      <c r="L3271" t="n">
        <v>0</v>
      </c>
      <c r="M3271" t="n">
        <v>0</v>
      </c>
      <c r="N3271" t="n">
        <v>0</v>
      </c>
      <c r="O3271" t="n">
        <v>0</v>
      </c>
      <c r="P3271" t="n">
        <v>0</v>
      </c>
      <c r="Q3271" t="n">
        <v>0</v>
      </c>
      <c r="R3271" t="n">
        <v>0</v>
      </c>
      <c r="S3271" t="n">
        <v>0</v>
      </c>
      <c r="T3271" t="n">
        <v>0</v>
      </c>
      <c r="U3271" t="n">
        <v>0</v>
      </c>
      <c r="V3271" s="2" t="inlineStr"/>
    </row>
    <row r="3272" ht="15" customHeight="1">
      <c r="A3272" t="inlineStr">
        <is>
          <t>A 28538-2024</t>
        </is>
      </c>
      <c r="B3272" t="inlineStr">
        <is>
          <t>avverkningsanmälan</t>
        </is>
      </c>
      <c r="C3272" t="inlineStr">
        <is>
          <t>Föryngringsavverkning</t>
        </is>
      </c>
      <c r="D3272" s="1" t="n">
        <v>45478</v>
      </c>
      <c r="E3272" s="1" t="n">
        <v>46309</v>
      </c>
      <c r="F3272" t="inlineStr">
        <is>
          <t>UPPSALA LÄN</t>
        </is>
      </c>
      <c r="G3272" t="inlineStr">
        <is>
          <t>TIERP</t>
        </is>
      </c>
      <c r="I3272" t="n">
        <v>0.6</v>
      </c>
      <c r="J3272" t="n">
        <v>0</v>
      </c>
      <c r="K3272" t="n">
        <v>0</v>
      </c>
      <c r="L3272" t="n">
        <v>0</v>
      </c>
      <c r="M3272" t="n">
        <v>0</v>
      </c>
      <c r="N3272" t="n">
        <v>0</v>
      </c>
      <c r="O3272" t="n">
        <v>0</v>
      </c>
      <c r="P3272" t="n">
        <v>0</v>
      </c>
      <c r="Q3272" t="n">
        <v>0</v>
      </c>
      <c r="R3272" t="n">
        <v>0</v>
      </c>
      <c r="S3272" t="n">
        <v>0</v>
      </c>
      <c r="T3272" t="n">
        <v>0</v>
      </c>
      <c r="U3272" t="n">
        <v>0</v>
      </c>
      <c r="V3272" s="2" t="inlineStr"/>
    </row>
    <row r="3273" ht="15" customHeight="1">
      <c r="A3273" t="inlineStr">
        <is>
          <t>A 49614-2024</t>
        </is>
      </c>
      <c r="B3273" t="inlineStr">
        <is>
          <t>avverkningsanmälan</t>
        </is>
      </c>
      <c r="C3273" t="inlineStr">
        <is>
          <t>Föryngringsavverkning</t>
        </is>
      </c>
      <c r="D3273" s="1" t="n">
        <v>45596</v>
      </c>
      <c r="E3273" s="1" t="n">
        <v>46309</v>
      </c>
      <c r="F3273" t="inlineStr">
        <is>
          <t>UPPSALA LÄN</t>
        </is>
      </c>
      <c r="G3273" t="inlineStr">
        <is>
          <t>ENKÖPING</t>
        </is>
      </c>
      <c r="I3273" t="n">
        <v>0.5</v>
      </c>
      <c r="J3273" t="n">
        <v>0</v>
      </c>
      <c r="K3273" t="n">
        <v>0</v>
      </c>
      <c r="L3273" t="n">
        <v>0</v>
      </c>
      <c r="M3273" t="n">
        <v>0</v>
      </c>
      <c r="N3273" t="n">
        <v>0</v>
      </c>
      <c r="O3273" t="n">
        <v>0</v>
      </c>
      <c r="P3273" t="n">
        <v>0</v>
      </c>
      <c r="Q3273" t="n">
        <v>0</v>
      </c>
      <c r="R3273" t="n">
        <v>0</v>
      </c>
      <c r="S3273" t="n">
        <v>0</v>
      </c>
      <c r="T3273" t="n">
        <v>0</v>
      </c>
      <c r="U3273" t="n">
        <v>0</v>
      </c>
      <c r="V3273" s="2" t="inlineStr"/>
    </row>
    <row r="3274" ht="15" customHeight="1">
      <c r="A3274" t="inlineStr">
        <is>
          <t>A 319-2023</t>
        </is>
      </c>
      <c r="B3274" t="inlineStr">
        <is>
          <t>avverkningsanmälan</t>
        </is>
      </c>
      <c r="C3274" t="inlineStr">
        <is>
          <t>Avverkning för annat ändamål</t>
        </is>
      </c>
      <c r="D3274" s="1" t="n">
        <v>44929</v>
      </c>
      <c r="E3274" s="1" t="n">
        <v>46309</v>
      </c>
      <c r="F3274" t="inlineStr">
        <is>
          <t>UPPSALA LÄN</t>
        </is>
      </c>
      <c r="G3274" t="inlineStr">
        <is>
          <t>TIERP</t>
        </is>
      </c>
      <c r="I3274" t="n">
        <v>0.7</v>
      </c>
      <c r="J3274" t="n">
        <v>0</v>
      </c>
      <c r="K3274" t="n">
        <v>0</v>
      </c>
      <c r="L3274" t="n">
        <v>0</v>
      </c>
      <c r="M3274" t="n">
        <v>0</v>
      </c>
      <c r="N3274" t="n">
        <v>0</v>
      </c>
      <c r="O3274" t="n">
        <v>0</v>
      </c>
      <c r="P3274" t="n">
        <v>0</v>
      </c>
      <c r="Q3274" t="n">
        <v>0</v>
      </c>
      <c r="R3274" t="n">
        <v>0</v>
      </c>
      <c r="S3274" t="n">
        <v>0</v>
      </c>
      <c r="T3274" t="n">
        <v>0</v>
      </c>
      <c r="U3274" t="n">
        <v>0</v>
      </c>
      <c r="V3274" s="2" t="inlineStr"/>
    </row>
    <row r="3275" ht="15" customHeight="1">
      <c r="A3275" t="inlineStr">
        <is>
          <t>A 23157-2023</t>
        </is>
      </c>
      <c r="B3275" t="inlineStr">
        <is>
          <t>avverkningsanmälan</t>
        </is>
      </c>
      <c r="C3275" t="inlineStr">
        <is>
          <t>Föryngringsavverkning</t>
        </is>
      </c>
      <c r="D3275" s="1" t="n">
        <v>45075</v>
      </c>
      <c r="E3275" s="1" t="n">
        <v>46309</v>
      </c>
      <c r="F3275" t="inlineStr">
        <is>
          <t>UPPSALA LÄN</t>
        </is>
      </c>
      <c r="G3275" t="inlineStr">
        <is>
          <t>UPPSALA</t>
        </is>
      </c>
      <c r="I3275" t="n">
        <v>1.1</v>
      </c>
      <c r="J3275" t="n">
        <v>0</v>
      </c>
      <c r="K3275" t="n">
        <v>0</v>
      </c>
      <c r="L3275" t="n">
        <v>0</v>
      </c>
      <c r="M3275" t="n">
        <v>0</v>
      </c>
      <c r="N3275" t="n">
        <v>0</v>
      </c>
      <c r="O3275" t="n">
        <v>0</v>
      </c>
      <c r="P3275" t="n">
        <v>0</v>
      </c>
      <c r="Q3275" t="n">
        <v>0</v>
      </c>
      <c r="R3275" t="n">
        <v>0</v>
      </c>
      <c r="S3275" t="n">
        <v>0</v>
      </c>
      <c r="T3275" t="n">
        <v>0</v>
      </c>
      <c r="U3275" t="n">
        <v>0</v>
      </c>
      <c r="V3275" s="2" t="inlineStr"/>
    </row>
    <row r="3276" ht="15" customHeight="1">
      <c r="A3276" t="inlineStr">
        <is>
          <t>A 40410-2026</t>
        </is>
      </c>
      <c r="B3276" t="inlineStr">
        <is>
          <t>avverkningsanmälan</t>
        </is>
      </c>
      <c r="C3276" t="inlineStr">
        <is>
          <t>Föryngringsavverkning</t>
        </is>
      </c>
      <c r="D3276" s="1" t="n">
        <v>46294</v>
      </c>
      <c r="E3276" s="1" t="n">
        <v>46309</v>
      </c>
      <c r="F3276" t="inlineStr">
        <is>
          <t>UPPSALA LÄN</t>
        </is>
      </c>
      <c r="G3276" t="inlineStr">
        <is>
          <t>TIERP</t>
        </is>
      </c>
      <c r="I3276" t="n">
        <v>1.4</v>
      </c>
      <c r="J3276" t="n">
        <v>0</v>
      </c>
      <c r="K3276" t="n">
        <v>0</v>
      </c>
      <c r="L3276" t="n">
        <v>0</v>
      </c>
      <c r="M3276" t="n">
        <v>0</v>
      </c>
      <c r="N3276" t="n">
        <v>0</v>
      </c>
      <c r="O3276" t="n">
        <v>0</v>
      </c>
      <c r="P3276" t="n">
        <v>0</v>
      </c>
      <c r="Q3276" t="n">
        <v>0</v>
      </c>
      <c r="R3276" t="n">
        <v>0</v>
      </c>
      <c r="S3276" t="n">
        <v>0</v>
      </c>
      <c r="T3276" t="n">
        <v>0</v>
      </c>
      <c r="U3276" t="n">
        <v>0</v>
      </c>
      <c r="V3276" s="2" t="inlineStr"/>
    </row>
    <row r="3277" ht="15" customHeight="1">
      <c r="A3277" t="inlineStr">
        <is>
          <t>A 40219-2026</t>
        </is>
      </c>
      <c r="B3277" t="inlineStr">
        <is>
          <t>avverkningsanmälan</t>
        </is>
      </c>
      <c r="C3277" t="inlineStr">
        <is>
          <t>Föryngringsavverkning</t>
        </is>
      </c>
      <c r="D3277" s="1" t="n">
        <v>46293</v>
      </c>
      <c r="E3277" s="1" t="n">
        <v>46309</v>
      </c>
      <c r="F3277" t="inlineStr">
        <is>
          <t>UPPSALA LÄN</t>
        </is>
      </c>
      <c r="G3277" t="inlineStr">
        <is>
          <t>HEBY</t>
        </is>
      </c>
      <c r="H3277" t="inlineStr">
        <is>
          <t>Bergvik skog öst AB</t>
        </is>
      </c>
      <c r="I3277" t="n">
        <v>1.7</v>
      </c>
      <c r="J3277" t="n">
        <v>0</v>
      </c>
      <c r="K3277" t="n">
        <v>0</v>
      </c>
      <c r="L3277" t="n">
        <v>0</v>
      </c>
      <c r="M3277" t="n">
        <v>0</v>
      </c>
      <c r="N3277" t="n">
        <v>0</v>
      </c>
      <c r="O3277" t="n">
        <v>0</v>
      </c>
      <c r="P3277" t="n">
        <v>0</v>
      </c>
      <c r="Q3277" t="n">
        <v>0</v>
      </c>
      <c r="R3277" t="n">
        <v>0</v>
      </c>
      <c r="S3277" t="n">
        <v>0</v>
      </c>
      <c r="T3277" t="n">
        <v>0</v>
      </c>
      <c r="U3277" t="n">
        <v>0</v>
      </c>
      <c r="V3277" s="2" t="inlineStr"/>
    </row>
    <row r="3278" ht="15" customHeight="1">
      <c r="A3278" t="inlineStr">
        <is>
          <t>A 31575-2023</t>
        </is>
      </c>
      <c r="B3278" t="inlineStr">
        <is>
          <t>avverkningsanmälan</t>
        </is>
      </c>
      <c r="C3278" t="inlineStr">
        <is>
          <t>Föryngringsavverkning</t>
        </is>
      </c>
      <c r="D3278" s="1" t="n">
        <v>45117</v>
      </c>
      <c r="E3278" s="1" t="n">
        <v>46309</v>
      </c>
      <c r="F3278" t="inlineStr">
        <is>
          <t>UPPSALA LÄN</t>
        </is>
      </c>
      <c r="G3278" t="inlineStr">
        <is>
          <t>HEBY</t>
        </is>
      </c>
      <c r="I3278" t="n">
        <v>1.6</v>
      </c>
      <c r="J3278" t="n">
        <v>0</v>
      </c>
      <c r="K3278" t="n">
        <v>0</v>
      </c>
      <c r="L3278" t="n">
        <v>0</v>
      </c>
      <c r="M3278" t="n">
        <v>0</v>
      </c>
      <c r="N3278" t="n">
        <v>0</v>
      </c>
      <c r="O3278" t="n">
        <v>0</v>
      </c>
      <c r="P3278" t="n">
        <v>0</v>
      </c>
      <c r="Q3278" t="n">
        <v>0</v>
      </c>
      <c r="R3278" t="n">
        <v>0</v>
      </c>
      <c r="S3278" t="n">
        <v>0</v>
      </c>
      <c r="T3278" t="n">
        <v>0</v>
      </c>
      <c r="U3278" t="n">
        <v>0</v>
      </c>
      <c r="V3278" s="2" t="inlineStr"/>
    </row>
    <row r="3279" ht="15" customHeight="1">
      <c r="A3279" t="inlineStr">
        <is>
          <t>A 6549-2025</t>
        </is>
      </c>
      <c r="B3279" t="inlineStr">
        <is>
          <t>avverkningsanmälan</t>
        </is>
      </c>
      <c r="C3279" t="inlineStr">
        <is>
          <t>Föryngringsavverkning</t>
        </is>
      </c>
      <c r="D3279" s="1" t="n">
        <v>45699</v>
      </c>
      <c r="E3279" s="1" t="n">
        <v>46309</v>
      </c>
      <c r="F3279" t="inlineStr">
        <is>
          <t>UPPSALA LÄN</t>
        </is>
      </c>
      <c r="G3279" t="inlineStr">
        <is>
          <t>UPPSALA</t>
        </is>
      </c>
      <c r="I3279" t="n">
        <v>2.4</v>
      </c>
      <c r="J3279" t="n">
        <v>0</v>
      </c>
      <c r="K3279" t="n">
        <v>0</v>
      </c>
      <c r="L3279" t="n">
        <v>0</v>
      </c>
      <c r="M3279" t="n">
        <v>0</v>
      </c>
      <c r="N3279" t="n">
        <v>0</v>
      </c>
      <c r="O3279" t="n">
        <v>0</v>
      </c>
      <c r="P3279" t="n">
        <v>0</v>
      </c>
      <c r="Q3279" t="n">
        <v>0</v>
      </c>
      <c r="R3279" t="n">
        <v>0</v>
      </c>
      <c r="S3279" t="n">
        <v>0</v>
      </c>
      <c r="T3279" t="n">
        <v>0</v>
      </c>
      <c r="U3279" t="n">
        <v>0</v>
      </c>
      <c r="V3279" s="2" t="inlineStr"/>
    </row>
    <row r="3280" ht="15" customHeight="1">
      <c r="A3280" t="inlineStr">
        <is>
          <t>A 12830-2025</t>
        </is>
      </c>
      <c r="B3280" t="inlineStr">
        <is>
          <t>avverkningsanmälan</t>
        </is>
      </c>
      <c r="C3280" t="inlineStr">
        <is>
          <t>Föryngringsavverkning</t>
        </is>
      </c>
      <c r="D3280" s="1" t="n">
        <v>45733</v>
      </c>
      <c r="E3280" s="1" t="n">
        <v>46309</v>
      </c>
      <c r="F3280" t="inlineStr">
        <is>
          <t>UPPSALA LÄN</t>
        </is>
      </c>
      <c r="G3280" t="inlineStr">
        <is>
          <t>UPPSALA</t>
        </is>
      </c>
      <c r="I3280" t="n">
        <v>1.5</v>
      </c>
      <c r="J3280" t="n">
        <v>0</v>
      </c>
      <c r="K3280" t="n">
        <v>0</v>
      </c>
      <c r="L3280" t="n">
        <v>0</v>
      </c>
      <c r="M3280" t="n">
        <v>0</v>
      </c>
      <c r="N3280" t="n">
        <v>0</v>
      </c>
      <c r="O3280" t="n">
        <v>0</v>
      </c>
      <c r="P3280" t="n">
        <v>0</v>
      </c>
      <c r="Q3280" t="n">
        <v>0</v>
      </c>
      <c r="R3280" t="n">
        <v>0</v>
      </c>
      <c r="S3280" t="n">
        <v>0</v>
      </c>
      <c r="T3280" t="n">
        <v>0</v>
      </c>
      <c r="U3280" t="n">
        <v>0</v>
      </c>
      <c r="V3280" s="2" t="inlineStr"/>
    </row>
    <row r="3281" ht="15" customHeight="1">
      <c r="A3281" t="inlineStr">
        <is>
          <t>A 18808-2024</t>
        </is>
      </c>
      <c r="B3281" t="inlineStr">
        <is>
          <t>avverkningsanmälan</t>
        </is>
      </c>
      <c r="C3281" t="inlineStr">
        <is>
          <t>Föryngringsavverkning</t>
        </is>
      </c>
      <c r="D3281" s="1" t="n">
        <v>45426</v>
      </c>
      <c r="E3281" s="1" t="n">
        <v>46309</v>
      </c>
      <c r="F3281" t="inlineStr">
        <is>
          <t>UPPSALA LÄN</t>
        </is>
      </c>
      <c r="G3281" t="inlineStr">
        <is>
          <t>UPPSALA</t>
        </is>
      </c>
      <c r="I3281" t="n">
        <v>11.5</v>
      </c>
      <c r="J3281" t="n">
        <v>0</v>
      </c>
      <c r="K3281" t="n">
        <v>0</v>
      </c>
      <c r="L3281" t="n">
        <v>0</v>
      </c>
      <c r="M3281" t="n">
        <v>0</v>
      </c>
      <c r="N3281" t="n">
        <v>0</v>
      </c>
      <c r="O3281" t="n">
        <v>0</v>
      </c>
      <c r="P3281" t="n">
        <v>0</v>
      </c>
      <c r="Q3281" t="n">
        <v>0</v>
      </c>
      <c r="R3281" t="n">
        <v>0</v>
      </c>
      <c r="S3281" t="n">
        <v>0</v>
      </c>
      <c r="T3281" t="n">
        <v>0</v>
      </c>
      <c r="U3281" t="n">
        <v>0</v>
      </c>
      <c r="V3281" s="2" t="inlineStr"/>
    </row>
    <row r="3282" ht="15" customHeight="1">
      <c r="A3282" t="inlineStr">
        <is>
          <t>A 40376-2026</t>
        </is>
      </c>
      <c r="B3282" t="inlineStr">
        <is>
          <t>avverkningsanmälan</t>
        </is>
      </c>
      <c r="C3282" t="inlineStr">
        <is>
          <t>Föryngringsavverkning</t>
        </is>
      </c>
      <c r="D3282" s="1" t="n">
        <v>46294</v>
      </c>
      <c r="E3282" s="1" t="n">
        <v>46309</v>
      </c>
      <c r="F3282" t="inlineStr">
        <is>
          <t>UPPSALA LÄN</t>
        </is>
      </c>
      <c r="G3282" t="inlineStr">
        <is>
          <t>TIERP</t>
        </is>
      </c>
      <c r="H3282" t="inlineStr">
        <is>
          <t>Kommuner</t>
        </is>
      </c>
      <c r="I3282" t="n">
        <v>4.1</v>
      </c>
      <c r="J3282" t="n">
        <v>0</v>
      </c>
      <c r="K3282" t="n">
        <v>0</v>
      </c>
      <c r="L3282" t="n">
        <v>0</v>
      </c>
      <c r="M3282" t="n">
        <v>0</v>
      </c>
      <c r="N3282" t="n">
        <v>0</v>
      </c>
      <c r="O3282" t="n">
        <v>0</v>
      </c>
      <c r="P3282" t="n">
        <v>0</v>
      </c>
      <c r="Q3282" t="n">
        <v>0</v>
      </c>
      <c r="R3282" t="n">
        <v>0</v>
      </c>
      <c r="S3282" t="n">
        <v>0</v>
      </c>
      <c r="T3282" t="n">
        <v>0</v>
      </c>
      <c r="U3282" t="n">
        <v>0</v>
      </c>
      <c r="V3282" s="2" t="inlineStr"/>
    </row>
    <row r="3283" ht="15" customHeight="1">
      <c r="A3283" t="inlineStr">
        <is>
          <t>A 28782-2024</t>
        </is>
      </c>
      <c r="B3283" t="inlineStr">
        <is>
          <t>avverkningsanmälan</t>
        </is>
      </c>
      <c r="C3283" t="inlineStr">
        <is>
          <t>Föryngringsavverkning</t>
        </is>
      </c>
      <c r="D3283" s="1" t="n">
        <v>45478</v>
      </c>
      <c r="E3283" s="1" t="n">
        <v>46309</v>
      </c>
      <c r="F3283" t="inlineStr">
        <is>
          <t>UPPSALA LÄN</t>
        </is>
      </c>
      <c r="G3283" t="inlineStr">
        <is>
          <t>UPPSALA</t>
        </is>
      </c>
      <c r="H3283" t="inlineStr">
        <is>
          <t>Holmen skog AB</t>
        </is>
      </c>
      <c r="I3283" t="n">
        <v>0.9</v>
      </c>
      <c r="J3283" t="n">
        <v>0</v>
      </c>
      <c r="K3283" t="n">
        <v>0</v>
      </c>
      <c r="L3283" t="n">
        <v>0</v>
      </c>
      <c r="M3283" t="n">
        <v>0</v>
      </c>
      <c r="N3283" t="n">
        <v>0</v>
      </c>
      <c r="O3283" t="n">
        <v>0</v>
      </c>
      <c r="P3283" t="n">
        <v>0</v>
      </c>
      <c r="Q3283" t="n">
        <v>0</v>
      </c>
      <c r="R3283" t="n">
        <v>0</v>
      </c>
      <c r="S3283" t="n">
        <v>0</v>
      </c>
      <c r="T3283" t="n">
        <v>0</v>
      </c>
      <c r="U3283" t="n">
        <v>0</v>
      </c>
      <c r="V3283" s="2" t="inlineStr"/>
    </row>
    <row r="3284" ht="15" customHeight="1">
      <c r="A3284" t="inlineStr">
        <is>
          <t>A 33600-2026</t>
        </is>
      </c>
      <c r="B3284" t="inlineStr">
        <is>
          <t>avverkningsanmälan</t>
        </is>
      </c>
      <c r="C3284" t="inlineStr">
        <is>
          <t>Föryngringsavverkning</t>
        </is>
      </c>
      <c r="D3284" s="1" t="n">
        <v>46248</v>
      </c>
      <c r="E3284" s="1" t="n">
        <v>46309</v>
      </c>
      <c r="F3284" t="inlineStr">
        <is>
          <t>UPPSALA LÄN</t>
        </is>
      </c>
      <c r="G3284" t="inlineStr">
        <is>
          <t>TIERP</t>
        </is>
      </c>
      <c r="H3284" t="inlineStr">
        <is>
          <t>Bergvik skog öst AB</t>
        </is>
      </c>
      <c r="I3284" t="n">
        <v>0.9</v>
      </c>
      <c r="J3284" t="n">
        <v>0</v>
      </c>
      <c r="K3284" t="n">
        <v>0</v>
      </c>
      <c r="L3284" t="n">
        <v>0</v>
      </c>
      <c r="M3284" t="n">
        <v>0</v>
      </c>
      <c r="N3284" t="n">
        <v>0</v>
      </c>
      <c r="O3284" t="n">
        <v>0</v>
      </c>
      <c r="P3284" t="n">
        <v>0</v>
      </c>
      <c r="Q3284" t="n">
        <v>0</v>
      </c>
      <c r="R3284" t="n">
        <v>0</v>
      </c>
      <c r="S3284" t="n">
        <v>0</v>
      </c>
      <c r="T3284" t="n">
        <v>0</v>
      </c>
      <c r="U3284" t="n">
        <v>0</v>
      </c>
      <c r="V3284" s="2" t="inlineStr"/>
    </row>
    <row r="3285" ht="15" customHeight="1">
      <c r="A3285" t="inlineStr">
        <is>
          <t>A 26774-2023</t>
        </is>
      </c>
      <c r="B3285" t="inlineStr">
        <is>
          <t>avverkningsanmälan</t>
        </is>
      </c>
      <c r="C3285" t="inlineStr">
        <is>
          <t>Föryngringsavverkning</t>
        </is>
      </c>
      <c r="D3285" s="1" t="n">
        <v>45093</v>
      </c>
      <c r="E3285" s="1" t="n">
        <v>46309</v>
      </c>
      <c r="F3285" t="inlineStr">
        <is>
          <t>UPPSALA LÄN</t>
        </is>
      </c>
      <c r="G3285" t="inlineStr">
        <is>
          <t>ÖSTHAMMAR</t>
        </is>
      </c>
      <c r="H3285" t="inlineStr">
        <is>
          <t>Bergvik skog öst AB</t>
        </is>
      </c>
      <c r="I3285" t="n">
        <v>2.1</v>
      </c>
      <c r="J3285" t="n">
        <v>0</v>
      </c>
      <c r="K3285" t="n">
        <v>0</v>
      </c>
      <c r="L3285" t="n">
        <v>0</v>
      </c>
      <c r="M3285" t="n">
        <v>0</v>
      </c>
      <c r="N3285" t="n">
        <v>0</v>
      </c>
      <c r="O3285" t="n">
        <v>0</v>
      </c>
      <c r="P3285" t="n">
        <v>0</v>
      </c>
      <c r="Q3285" t="n">
        <v>0</v>
      </c>
      <c r="R3285" t="n">
        <v>0</v>
      </c>
      <c r="S3285" t="n">
        <v>0</v>
      </c>
      <c r="T3285" t="n">
        <v>0</v>
      </c>
      <c r="U3285" t="n">
        <v>0</v>
      </c>
      <c r="V3285" s="2" t="inlineStr"/>
    </row>
    <row r="3286" ht="15" customHeight="1">
      <c r="A3286" t="inlineStr">
        <is>
          <t>A 67848-2021</t>
        </is>
      </c>
      <c r="B3286" t="inlineStr">
        <is>
          <t>avverkningsanmälan</t>
        </is>
      </c>
      <c r="C3286" t="inlineStr">
        <is>
          <t>Föryngringsavverkning</t>
        </is>
      </c>
      <c r="D3286" s="1" t="n">
        <v>44525</v>
      </c>
      <c r="E3286" s="1" t="n">
        <v>46309</v>
      </c>
      <c r="F3286" t="inlineStr">
        <is>
          <t>UPPSALA LÄN</t>
        </is>
      </c>
      <c r="G3286" t="inlineStr">
        <is>
          <t>ÖSTHAMMAR</t>
        </is>
      </c>
      <c r="I3286" t="n">
        <v>1</v>
      </c>
      <c r="J3286" t="n">
        <v>0</v>
      </c>
      <c r="K3286" t="n">
        <v>0</v>
      </c>
      <c r="L3286" t="n">
        <v>0</v>
      </c>
      <c r="M3286" t="n">
        <v>0</v>
      </c>
      <c r="N3286" t="n">
        <v>0</v>
      </c>
      <c r="O3286" t="n">
        <v>0</v>
      </c>
      <c r="P3286" t="n">
        <v>0</v>
      </c>
      <c r="Q3286" t="n">
        <v>0</v>
      </c>
      <c r="R3286" t="n">
        <v>0</v>
      </c>
      <c r="S3286" t="n">
        <v>0</v>
      </c>
      <c r="T3286" t="n">
        <v>0</v>
      </c>
      <c r="U3286" t="n">
        <v>0</v>
      </c>
      <c r="V3286" s="2" t="inlineStr"/>
    </row>
    <row r="3287" ht="15" customHeight="1">
      <c r="A3287" t="inlineStr">
        <is>
          <t>A 36781-2023</t>
        </is>
      </c>
      <c r="B3287" t="inlineStr">
        <is>
          <t>avverkningsanmälan</t>
        </is>
      </c>
      <c r="C3287" t="inlineStr">
        <is>
          <t>Föryngringsavverkning</t>
        </is>
      </c>
      <c r="D3287" s="1" t="n">
        <v>45154</v>
      </c>
      <c r="E3287" s="1" t="n">
        <v>46309</v>
      </c>
      <c r="F3287" t="inlineStr">
        <is>
          <t>UPPSALA LÄN</t>
        </is>
      </c>
      <c r="G3287" t="inlineStr">
        <is>
          <t>UPPSALA</t>
        </is>
      </c>
      <c r="I3287" t="n">
        <v>0.9</v>
      </c>
      <c r="J3287" t="n">
        <v>0</v>
      </c>
      <c r="K3287" t="n">
        <v>0</v>
      </c>
      <c r="L3287" t="n">
        <v>0</v>
      </c>
      <c r="M3287" t="n">
        <v>0</v>
      </c>
      <c r="N3287" t="n">
        <v>0</v>
      </c>
      <c r="O3287" t="n">
        <v>0</v>
      </c>
      <c r="P3287" t="n">
        <v>0</v>
      </c>
      <c r="Q3287" t="n">
        <v>0</v>
      </c>
      <c r="R3287" t="n">
        <v>0</v>
      </c>
      <c r="S3287" t="n">
        <v>0</v>
      </c>
      <c r="T3287" t="n">
        <v>0</v>
      </c>
      <c r="U3287" t="n">
        <v>0</v>
      </c>
      <c r="V3287" s="2" t="inlineStr"/>
    </row>
    <row r="3288" ht="15" customHeight="1">
      <c r="A3288" t="inlineStr">
        <is>
          <t>A 12878-2025</t>
        </is>
      </c>
      <c r="B3288" t="inlineStr">
        <is>
          <t>avverkningsanmälan</t>
        </is>
      </c>
      <c r="C3288" t="inlineStr">
        <is>
          <t>Föryngringsavverkning</t>
        </is>
      </c>
      <c r="D3288" s="1" t="n">
        <v>45733</v>
      </c>
      <c r="E3288" s="1" t="n">
        <v>46309</v>
      </c>
      <c r="F3288" t="inlineStr">
        <is>
          <t>UPPSALA LÄN</t>
        </is>
      </c>
      <c r="G3288" t="inlineStr">
        <is>
          <t>ENKÖPING</t>
        </is>
      </c>
      <c r="I3288" t="n">
        <v>0.6</v>
      </c>
      <c r="J3288" t="n">
        <v>0</v>
      </c>
      <c r="K3288" t="n">
        <v>0</v>
      </c>
      <c r="L3288" t="n">
        <v>0</v>
      </c>
      <c r="M3288" t="n">
        <v>0</v>
      </c>
      <c r="N3288" t="n">
        <v>0</v>
      </c>
      <c r="O3288" t="n">
        <v>0</v>
      </c>
      <c r="P3288" t="n">
        <v>0</v>
      </c>
      <c r="Q3288" t="n">
        <v>0</v>
      </c>
      <c r="R3288" t="n">
        <v>0</v>
      </c>
      <c r="S3288" t="n">
        <v>0</v>
      </c>
      <c r="T3288" t="n">
        <v>0</v>
      </c>
      <c r="U3288" t="n">
        <v>0</v>
      </c>
      <c r="V3288" s="2" t="inlineStr"/>
    </row>
    <row r="3289" ht="15" customHeight="1">
      <c r="A3289" t="inlineStr">
        <is>
          <t>A 55097-2024</t>
        </is>
      </c>
      <c r="B3289" t="inlineStr">
        <is>
          <t>avverkningsanmälan</t>
        </is>
      </c>
      <c r="C3289" t="inlineStr">
        <is>
          <t>Föryngringsavverkning</t>
        </is>
      </c>
      <c r="D3289" s="1" t="n">
        <v>45621</v>
      </c>
      <c r="E3289" s="1" t="n">
        <v>46309</v>
      </c>
      <c r="F3289" t="inlineStr">
        <is>
          <t>UPPSALA LÄN</t>
        </is>
      </c>
      <c r="G3289" t="inlineStr">
        <is>
          <t>ÖSTHAMMAR</t>
        </is>
      </c>
      <c r="H3289" t="inlineStr">
        <is>
          <t>Sveaskog</t>
        </is>
      </c>
      <c r="I3289" t="n">
        <v>1.4</v>
      </c>
      <c r="J3289" t="n">
        <v>0</v>
      </c>
      <c r="K3289" t="n">
        <v>0</v>
      </c>
      <c r="L3289" t="n">
        <v>0</v>
      </c>
      <c r="M3289" t="n">
        <v>0</v>
      </c>
      <c r="N3289" t="n">
        <v>0</v>
      </c>
      <c r="O3289" t="n">
        <v>0</v>
      </c>
      <c r="P3289" t="n">
        <v>0</v>
      </c>
      <c r="Q3289" t="n">
        <v>0</v>
      </c>
      <c r="R3289" t="n">
        <v>0</v>
      </c>
      <c r="S3289" t="n">
        <v>0</v>
      </c>
      <c r="T3289" t="n">
        <v>0</v>
      </c>
      <c r="U3289" t="n">
        <v>0</v>
      </c>
      <c r="V3289" s="2" t="inlineStr"/>
    </row>
    <row r="3290" ht="15" customHeight="1">
      <c r="A3290" t="inlineStr">
        <is>
          <t>A 40057-2026</t>
        </is>
      </c>
      <c r="B3290" t="inlineStr">
        <is>
          <t>avverkningsanmälan</t>
        </is>
      </c>
      <c r="C3290" t="inlineStr">
        <is>
          <t>Föryngringsavverkning</t>
        </is>
      </c>
      <c r="D3290" s="1" t="n">
        <v>46293</v>
      </c>
      <c r="E3290" s="1" t="n">
        <v>46309</v>
      </c>
      <c r="F3290" t="inlineStr">
        <is>
          <t>UPPSALA LÄN</t>
        </is>
      </c>
      <c r="G3290" t="inlineStr">
        <is>
          <t>ÄLVKARLEBY</t>
        </is>
      </c>
      <c r="H3290" t="inlineStr">
        <is>
          <t>Bergvik skog väst AB</t>
        </is>
      </c>
      <c r="I3290" t="n">
        <v>1.1</v>
      </c>
      <c r="J3290" t="n">
        <v>0</v>
      </c>
      <c r="K3290" t="n">
        <v>0</v>
      </c>
      <c r="L3290" t="n">
        <v>0</v>
      </c>
      <c r="M3290" t="n">
        <v>0</v>
      </c>
      <c r="N3290" t="n">
        <v>0</v>
      </c>
      <c r="O3290" t="n">
        <v>0</v>
      </c>
      <c r="P3290" t="n">
        <v>0</v>
      </c>
      <c r="Q3290" t="n">
        <v>0</v>
      </c>
      <c r="R3290" t="n">
        <v>0</v>
      </c>
      <c r="S3290" t="n">
        <v>0</v>
      </c>
      <c r="T3290" t="n">
        <v>0</v>
      </c>
      <c r="U3290" t="n">
        <v>0</v>
      </c>
      <c r="V3290" s="2" t="inlineStr"/>
    </row>
    <row r="3291" ht="15" customHeight="1">
      <c r="A3291" t="inlineStr">
        <is>
          <t>A 12282-2025</t>
        </is>
      </c>
      <c r="B3291" t="inlineStr">
        <is>
          <t>avverkningsanmälan</t>
        </is>
      </c>
      <c r="C3291" t="inlineStr">
        <is>
          <t>Föryngringsavverkning</t>
        </is>
      </c>
      <c r="D3291" s="1" t="n">
        <v>45729</v>
      </c>
      <c r="E3291" s="1" t="n">
        <v>46309</v>
      </c>
      <c r="F3291" t="inlineStr">
        <is>
          <t>UPPSALA LÄN</t>
        </is>
      </c>
      <c r="G3291" t="inlineStr">
        <is>
          <t>UPPSALA</t>
        </is>
      </c>
      <c r="I3291" t="n">
        <v>3.3</v>
      </c>
      <c r="J3291" t="n">
        <v>0</v>
      </c>
      <c r="K3291" t="n">
        <v>0</v>
      </c>
      <c r="L3291" t="n">
        <v>0</v>
      </c>
      <c r="M3291" t="n">
        <v>0</v>
      </c>
      <c r="N3291" t="n">
        <v>0</v>
      </c>
      <c r="O3291" t="n">
        <v>0</v>
      </c>
      <c r="P3291" t="n">
        <v>0</v>
      </c>
      <c r="Q3291" t="n">
        <v>0</v>
      </c>
      <c r="R3291" t="n">
        <v>0</v>
      </c>
      <c r="S3291" t="n">
        <v>0</v>
      </c>
      <c r="T3291" t="n">
        <v>0</v>
      </c>
      <c r="U3291" t="n">
        <v>0</v>
      </c>
      <c r="V3291" s="2" t="inlineStr"/>
    </row>
    <row r="3292" ht="15" customHeight="1">
      <c r="A3292" t="inlineStr">
        <is>
          <t>A 14262-2025</t>
        </is>
      </c>
      <c r="B3292" t="inlineStr">
        <is>
          <t>avverkningsanmälan</t>
        </is>
      </c>
      <c r="C3292" t="inlineStr">
        <is>
          <t>Föryngringsavverkning</t>
        </is>
      </c>
      <c r="D3292" s="1" t="n">
        <v>45740</v>
      </c>
      <c r="E3292" s="1" t="n">
        <v>46309</v>
      </c>
      <c r="F3292" t="inlineStr">
        <is>
          <t>UPPSALA LÄN</t>
        </is>
      </c>
      <c r="G3292" t="inlineStr">
        <is>
          <t>HEBY</t>
        </is>
      </c>
      <c r="I3292" t="n">
        <v>1.8</v>
      </c>
      <c r="J3292" t="n">
        <v>0</v>
      </c>
      <c r="K3292" t="n">
        <v>0</v>
      </c>
      <c r="L3292" t="n">
        <v>0</v>
      </c>
      <c r="M3292" t="n">
        <v>0</v>
      </c>
      <c r="N3292" t="n">
        <v>0</v>
      </c>
      <c r="O3292" t="n">
        <v>0</v>
      </c>
      <c r="P3292" t="n">
        <v>0</v>
      </c>
      <c r="Q3292" t="n">
        <v>0</v>
      </c>
      <c r="R3292" t="n">
        <v>0</v>
      </c>
      <c r="S3292" t="n">
        <v>0</v>
      </c>
      <c r="T3292" t="n">
        <v>0</v>
      </c>
      <c r="U3292" t="n">
        <v>0</v>
      </c>
      <c r="V3292" s="2" t="inlineStr"/>
    </row>
    <row r="3293" ht="15" customHeight="1">
      <c r="A3293" t="inlineStr">
        <is>
          <t>A 41545-2023</t>
        </is>
      </c>
      <c r="B3293" t="inlineStr">
        <is>
          <t>avverkningsanmälan</t>
        </is>
      </c>
      <c r="C3293" t="inlineStr">
        <is>
          <t>Föryngringsavverkning</t>
        </is>
      </c>
      <c r="D3293" s="1" t="n">
        <v>45175</v>
      </c>
      <c r="E3293" s="1" t="n">
        <v>46309</v>
      </c>
      <c r="F3293" t="inlineStr">
        <is>
          <t>UPPSALA LÄN</t>
        </is>
      </c>
      <c r="G3293" t="inlineStr">
        <is>
          <t>UPPSALA</t>
        </is>
      </c>
      <c r="I3293" t="n">
        <v>6.6</v>
      </c>
      <c r="J3293" t="n">
        <v>0</v>
      </c>
      <c r="K3293" t="n">
        <v>0</v>
      </c>
      <c r="L3293" t="n">
        <v>0</v>
      </c>
      <c r="M3293" t="n">
        <v>0</v>
      </c>
      <c r="N3293" t="n">
        <v>0</v>
      </c>
      <c r="O3293" t="n">
        <v>0</v>
      </c>
      <c r="P3293" t="n">
        <v>0</v>
      </c>
      <c r="Q3293" t="n">
        <v>0</v>
      </c>
      <c r="R3293" t="n">
        <v>0</v>
      </c>
      <c r="S3293" t="n">
        <v>0</v>
      </c>
      <c r="T3293" t="n">
        <v>0</v>
      </c>
      <c r="U3293" t="n">
        <v>0</v>
      </c>
      <c r="V3293" s="2" t="inlineStr"/>
    </row>
    <row r="3294" ht="15" customHeight="1">
      <c r="A3294" t="inlineStr">
        <is>
          <t>A 52889-2022</t>
        </is>
      </c>
      <c r="B3294" t="inlineStr">
        <is>
          <t>avverkningsanmälan</t>
        </is>
      </c>
      <c r="C3294" t="inlineStr">
        <is>
          <t>Föryngringsavverkning</t>
        </is>
      </c>
      <c r="D3294" s="1" t="n">
        <v>44875</v>
      </c>
      <c r="E3294" s="1" t="n">
        <v>46309</v>
      </c>
      <c r="F3294" t="inlineStr">
        <is>
          <t>UPPSALA LÄN</t>
        </is>
      </c>
      <c r="G3294" t="inlineStr">
        <is>
          <t>ENKÖPING</t>
        </is>
      </c>
      <c r="I3294" t="n">
        <v>1.7</v>
      </c>
      <c r="J3294" t="n">
        <v>0</v>
      </c>
      <c r="K3294" t="n">
        <v>0</v>
      </c>
      <c r="L3294" t="n">
        <v>0</v>
      </c>
      <c r="M3294" t="n">
        <v>0</v>
      </c>
      <c r="N3294" t="n">
        <v>0</v>
      </c>
      <c r="O3294" t="n">
        <v>0</v>
      </c>
      <c r="P3294" t="n">
        <v>0</v>
      </c>
      <c r="Q3294" t="n">
        <v>0</v>
      </c>
      <c r="R3294" t="n">
        <v>0</v>
      </c>
      <c r="S3294" t="n">
        <v>0</v>
      </c>
      <c r="T3294" t="n">
        <v>0</v>
      </c>
      <c r="U3294" t="n">
        <v>0</v>
      </c>
      <c r="V3294" s="2" t="inlineStr"/>
    </row>
    <row r="3295" ht="15" customHeight="1">
      <c r="A3295" t="inlineStr">
        <is>
          <t>A 41599-2023</t>
        </is>
      </c>
      <c r="B3295" t="inlineStr">
        <is>
          <t>avverkningsanmälan</t>
        </is>
      </c>
      <c r="C3295" t="inlineStr">
        <is>
          <t>Föryngringsavverkning</t>
        </is>
      </c>
      <c r="D3295" s="1" t="n">
        <v>45175</v>
      </c>
      <c r="E3295" s="1" t="n">
        <v>46309</v>
      </c>
      <c r="F3295" t="inlineStr">
        <is>
          <t>UPPSALA LÄN</t>
        </is>
      </c>
      <c r="G3295" t="inlineStr">
        <is>
          <t>HEBY</t>
        </is>
      </c>
      <c r="I3295" t="n">
        <v>1</v>
      </c>
      <c r="J3295" t="n">
        <v>0</v>
      </c>
      <c r="K3295" t="n">
        <v>0</v>
      </c>
      <c r="L3295" t="n">
        <v>0</v>
      </c>
      <c r="M3295" t="n">
        <v>0</v>
      </c>
      <c r="N3295" t="n">
        <v>0</v>
      </c>
      <c r="O3295" t="n">
        <v>0</v>
      </c>
      <c r="P3295" t="n">
        <v>0</v>
      </c>
      <c r="Q3295" t="n">
        <v>0</v>
      </c>
      <c r="R3295" t="n">
        <v>0</v>
      </c>
      <c r="S3295" t="n">
        <v>0</v>
      </c>
      <c r="T3295" t="n">
        <v>0</v>
      </c>
      <c r="U3295" t="n">
        <v>0</v>
      </c>
      <c r="V3295" s="2" t="inlineStr"/>
    </row>
    <row r="3296" ht="15" customHeight="1">
      <c r="A3296" t="inlineStr">
        <is>
          <t>A 23930-2026</t>
        </is>
      </c>
      <c r="B3296" t="inlineStr">
        <is>
          <t>avverkningsanmälan</t>
        </is>
      </c>
      <c r="C3296" t="inlineStr">
        <is>
          <t>Föryngringsavverkning</t>
        </is>
      </c>
      <c r="D3296" s="1" t="n">
        <v>46167</v>
      </c>
      <c r="E3296" s="1" t="n">
        <v>46309</v>
      </c>
      <c r="F3296" t="inlineStr">
        <is>
          <t>UPPSALA LÄN</t>
        </is>
      </c>
      <c r="G3296" t="inlineStr">
        <is>
          <t>HEBY</t>
        </is>
      </c>
      <c r="I3296" t="n">
        <v>3.8</v>
      </c>
      <c r="J3296" t="n">
        <v>0</v>
      </c>
      <c r="K3296" t="n">
        <v>0</v>
      </c>
      <c r="L3296" t="n">
        <v>0</v>
      </c>
      <c r="M3296" t="n">
        <v>0</v>
      </c>
      <c r="N3296" t="n">
        <v>0</v>
      </c>
      <c r="O3296" t="n">
        <v>0</v>
      </c>
      <c r="P3296" t="n">
        <v>0</v>
      </c>
      <c r="Q3296" t="n">
        <v>0</v>
      </c>
      <c r="R3296" t="n">
        <v>0</v>
      </c>
      <c r="S3296" t="n">
        <v>0</v>
      </c>
      <c r="T3296" t="n">
        <v>0</v>
      </c>
      <c r="U3296" t="n">
        <v>0</v>
      </c>
      <c r="V3296" s="2" t="inlineStr"/>
    </row>
    <row r="3297" ht="15" customHeight="1">
      <c r="A3297" t="inlineStr">
        <is>
          <t>A 60691-2024</t>
        </is>
      </c>
      <c r="B3297" t="inlineStr">
        <is>
          <t>avverkningsanmälan</t>
        </is>
      </c>
      <c r="C3297" t="inlineStr">
        <is>
          <t>Föryngringsavverkning</t>
        </is>
      </c>
      <c r="D3297" s="1" t="n">
        <v>45644</v>
      </c>
      <c r="E3297" s="1" t="n">
        <v>46309</v>
      </c>
      <c r="F3297" t="inlineStr">
        <is>
          <t>UPPSALA LÄN</t>
        </is>
      </c>
      <c r="G3297" t="inlineStr">
        <is>
          <t>UPPSALA</t>
        </is>
      </c>
      <c r="I3297" t="n">
        <v>1.4</v>
      </c>
      <c r="J3297" t="n">
        <v>0</v>
      </c>
      <c r="K3297" t="n">
        <v>0</v>
      </c>
      <c r="L3297" t="n">
        <v>0</v>
      </c>
      <c r="M3297" t="n">
        <v>0</v>
      </c>
      <c r="N3297" t="n">
        <v>0</v>
      </c>
      <c r="O3297" t="n">
        <v>0</v>
      </c>
      <c r="P3297" t="n">
        <v>0</v>
      </c>
      <c r="Q3297" t="n">
        <v>0</v>
      </c>
      <c r="R3297" t="n">
        <v>0</v>
      </c>
      <c r="S3297" t="n">
        <v>0</v>
      </c>
      <c r="T3297" t="n">
        <v>0</v>
      </c>
      <c r="U3297" t="n">
        <v>0</v>
      </c>
      <c r="V3297" s="2" t="inlineStr"/>
    </row>
    <row r="3298" ht="15" customHeight="1">
      <c r="A3298" t="inlineStr">
        <is>
          <t>A 33630-2026</t>
        </is>
      </c>
      <c r="B3298" t="inlineStr">
        <is>
          <t>avverkningsanmälan</t>
        </is>
      </c>
      <c r="C3298" t="inlineStr">
        <is>
          <t>Föryngringsavverkning</t>
        </is>
      </c>
      <c r="D3298" s="1" t="n">
        <v>46248</v>
      </c>
      <c r="E3298" s="1" t="n">
        <v>46309</v>
      </c>
      <c r="F3298" t="inlineStr">
        <is>
          <t>UPPSALA LÄN</t>
        </is>
      </c>
      <c r="G3298" t="inlineStr">
        <is>
          <t>TIERP</t>
        </is>
      </c>
      <c r="I3298" t="n">
        <v>0.5</v>
      </c>
      <c r="J3298" t="n">
        <v>0</v>
      </c>
      <c r="K3298" t="n">
        <v>0</v>
      </c>
      <c r="L3298" t="n">
        <v>0</v>
      </c>
      <c r="M3298" t="n">
        <v>0</v>
      </c>
      <c r="N3298" t="n">
        <v>0</v>
      </c>
      <c r="O3298" t="n">
        <v>0</v>
      </c>
      <c r="P3298" t="n">
        <v>0</v>
      </c>
      <c r="Q3298" t="n">
        <v>0</v>
      </c>
      <c r="R3298" t="n">
        <v>0</v>
      </c>
      <c r="S3298" t="n">
        <v>0</v>
      </c>
      <c r="T3298" t="n">
        <v>0</v>
      </c>
      <c r="U3298" t="n">
        <v>0</v>
      </c>
      <c r="V3298" s="2" t="inlineStr"/>
    </row>
    <row r="3299" ht="15" customHeight="1">
      <c r="A3299" t="inlineStr">
        <is>
          <t>A 47681-2024</t>
        </is>
      </c>
      <c r="B3299" t="inlineStr">
        <is>
          <t>avverkningsanmälan</t>
        </is>
      </c>
      <c r="C3299" t="inlineStr">
        <is>
          <t>Föryngringsavverkning</t>
        </is>
      </c>
      <c r="D3299" s="1" t="n">
        <v>45588</v>
      </c>
      <c r="E3299" s="1" t="n">
        <v>46309</v>
      </c>
      <c r="F3299" t="inlineStr">
        <is>
          <t>UPPSALA LÄN</t>
        </is>
      </c>
      <c r="G3299" t="inlineStr">
        <is>
          <t>ENKÖPING</t>
        </is>
      </c>
      <c r="I3299" t="n">
        <v>4.2</v>
      </c>
      <c r="J3299" t="n">
        <v>0</v>
      </c>
      <c r="K3299" t="n">
        <v>0</v>
      </c>
      <c r="L3299" t="n">
        <v>0</v>
      </c>
      <c r="M3299" t="n">
        <v>0</v>
      </c>
      <c r="N3299" t="n">
        <v>0</v>
      </c>
      <c r="O3299" t="n">
        <v>0</v>
      </c>
      <c r="P3299" t="n">
        <v>0</v>
      </c>
      <c r="Q3299" t="n">
        <v>0</v>
      </c>
      <c r="R3299" t="n">
        <v>0</v>
      </c>
      <c r="S3299" t="n">
        <v>0</v>
      </c>
      <c r="T3299" t="n">
        <v>0</v>
      </c>
      <c r="U3299" t="n">
        <v>0</v>
      </c>
      <c r="V3299" s="2" t="inlineStr"/>
    </row>
    <row r="3300" ht="15" customHeight="1">
      <c r="A3300" t="inlineStr">
        <is>
          <t>A 13526-2023</t>
        </is>
      </c>
      <c r="B3300" t="inlineStr">
        <is>
          <t>avverkningsanmälan</t>
        </is>
      </c>
      <c r="C3300" t="inlineStr">
        <is>
          <t>Föryngringsavverkning</t>
        </is>
      </c>
      <c r="D3300" s="1" t="n">
        <v>45006</v>
      </c>
      <c r="E3300" s="1" t="n">
        <v>46309</v>
      </c>
      <c r="F3300" t="inlineStr">
        <is>
          <t>UPPSALA LÄN</t>
        </is>
      </c>
      <c r="G3300" t="inlineStr">
        <is>
          <t>UPPSALA</t>
        </is>
      </c>
      <c r="I3300" t="n">
        <v>0.7</v>
      </c>
      <c r="J3300" t="n">
        <v>0</v>
      </c>
      <c r="K3300" t="n">
        <v>0</v>
      </c>
      <c r="L3300" t="n">
        <v>0</v>
      </c>
      <c r="M3300" t="n">
        <v>0</v>
      </c>
      <c r="N3300" t="n">
        <v>0</v>
      </c>
      <c r="O3300" t="n">
        <v>0</v>
      </c>
      <c r="P3300" t="n">
        <v>0</v>
      </c>
      <c r="Q3300" t="n">
        <v>0</v>
      </c>
      <c r="R3300" t="n">
        <v>0</v>
      </c>
      <c r="S3300" t="n">
        <v>0</v>
      </c>
      <c r="T3300" t="n">
        <v>0</v>
      </c>
      <c r="U3300" t="n">
        <v>0</v>
      </c>
      <c r="V3300" s="2" t="inlineStr"/>
    </row>
    <row r="3301" ht="15" customHeight="1">
      <c r="A3301" t="inlineStr">
        <is>
          <t>A 9533-2025</t>
        </is>
      </c>
      <c r="B3301" t="inlineStr">
        <is>
          <t>avverkningsanmälan</t>
        </is>
      </c>
      <c r="C3301" t="inlineStr">
        <is>
          <t>Föryngringsavverkning</t>
        </is>
      </c>
      <c r="D3301" s="1" t="n">
        <v>45715</v>
      </c>
      <c r="E3301" s="1" t="n">
        <v>46309</v>
      </c>
      <c r="F3301" t="inlineStr">
        <is>
          <t>UPPSALA LÄN</t>
        </is>
      </c>
      <c r="G3301" t="inlineStr">
        <is>
          <t>ÄLVKARLEBY</t>
        </is>
      </c>
      <c r="I3301" t="n">
        <v>2.1</v>
      </c>
      <c r="J3301" t="n">
        <v>0</v>
      </c>
      <c r="K3301" t="n">
        <v>0</v>
      </c>
      <c r="L3301" t="n">
        <v>0</v>
      </c>
      <c r="M3301" t="n">
        <v>0</v>
      </c>
      <c r="N3301" t="n">
        <v>0</v>
      </c>
      <c r="O3301" t="n">
        <v>0</v>
      </c>
      <c r="P3301" t="n">
        <v>0</v>
      </c>
      <c r="Q3301" t="n">
        <v>0</v>
      </c>
      <c r="R3301" t="n">
        <v>0</v>
      </c>
      <c r="S3301" t="n">
        <v>0</v>
      </c>
      <c r="T3301" t="n">
        <v>0</v>
      </c>
      <c r="U3301" t="n">
        <v>0</v>
      </c>
      <c r="V3301" s="2" t="inlineStr"/>
    </row>
    <row r="3302" ht="15" customHeight="1">
      <c r="A3302" t="inlineStr">
        <is>
          <t>A 40222-2026</t>
        </is>
      </c>
      <c r="B3302" t="inlineStr">
        <is>
          <t>avverkningsanmälan</t>
        </is>
      </c>
      <c r="C3302" t="inlineStr">
        <is>
          <t>Föryngringsavverkning</t>
        </is>
      </c>
      <c r="D3302" s="1" t="n">
        <v>46293</v>
      </c>
      <c r="E3302" s="1" t="n">
        <v>46309</v>
      </c>
      <c r="F3302" t="inlineStr">
        <is>
          <t>UPPSALA LÄN</t>
        </is>
      </c>
      <c r="G3302" t="inlineStr">
        <is>
          <t>HEBY</t>
        </is>
      </c>
      <c r="H3302" t="inlineStr">
        <is>
          <t>Bergvik skog öst AB</t>
        </is>
      </c>
      <c r="I3302" t="n">
        <v>3.5</v>
      </c>
      <c r="J3302" t="n">
        <v>0</v>
      </c>
      <c r="K3302" t="n">
        <v>0</v>
      </c>
      <c r="L3302" t="n">
        <v>0</v>
      </c>
      <c r="M3302" t="n">
        <v>0</v>
      </c>
      <c r="N3302" t="n">
        <v>0</v>
      </c>
      <c r="O3302" t="n">
        <v>0</v>
      </c>
      <c r="P3302" t="n">
        <v>0</v>
      </c>
      <c r="Q3302" t="n">
        <v>0</v>
      </c>
      <c r="R3302" t="n">
        <v>0</v>
      </c>
      <c r="S3302" t="n">
        <v>0</v>
      </c>
      <c r="T3302" t="n">
        <v>0</v>
      </c>
      <c r="U3302" t="n">
        <v>0</v>
      </c>
      <c r="V3302" s="2" t="inlineStr"/>
    </row>
    <row r="3303" ht="15" customHeight="1">
      <c r="A3303" t="inlineStr">
        <is>
          <t>A 12754-2025</t>
        </is>
      </c>
      <c r="B3303" t="inlineStr">
        <is>
          <t>avverkningsanmälan</t>
        </is>
      </c>
      <c r="C3303" t="inlineStr">
        <is>
          <t>Föryngringsavverkning</t>
        </is>
      </c>
      <c r="D3303" s="1" t="n">
        <v>45733</v>
      </c>
      <c r="E3303" s="1" t="n">
        <v>46309</v>
      </c>
      <c r="F3303" t="inlineStr">
        <is>
          <t>UPPSALA LÄN</t>
        </is>
      </c>
      <c r="G3303" t="inlineStr">
        <is>
          <t>ENKÖPING</t>
        </is>
      </c>
      <c r="I3303" t="n">
        <v>0.7</v>
      </c>
      <c r="J3303" t="n">
        <v>0</v>
      </c>
      <c r="K3303" t="n">
        <v>0</v>
      </c>
      <c r="L3303" t="n">
        <v>0</v>
      </c>
      <c r="M3303" t="n">
        <v>0</v>
      </c>
      <c r="N3303" t="n">
        <v>0</v>
      </c>
      <c r="O3303" t="n">
        <v>0</v>
      </c>
      <c r="P3303" t="n">
        <v>0</v>
      </c>
      <c r="Q3303" t="n">
        <v>0</v>
      </c>
      <c r="R3303" t="n">
        <v>0</v>
      </c>
      <c r="S3303" t="n">
        <v>0</v>
      </c>
      <c r="T3303" t="n">
        <v>0</v>
      </c>
      <c r="U3303" t="n">
        <v>0</v>
      </c>
      <c r="V3303" s="2" t="inlineStr"/>
    </row>
    <row r="3304" ht="15" customHeight="1">
      <c r="A3304" t="inlineStr">
        <is>
          <t>A 54588-2024</t>
        </is>
      </c>
      <c r="B3304" t="inlineStr">
        <is>
          <t>avverkningsanmälan</t>
        </is>
      </c>
      <c r="C3304" t="inlineStr">
        <is>
          <t>Föryngringsavverkning</t>
        </is>
      </c>
      <c r="D3304" s="1" t="n">
        <v>45617</v>
      </c>
      <c r="E3304" s="1" t="n">
        <v>46309</v>
      </c>
      <c r="F3304" t="inlineStr">
        <is>
          <t>UPPSALA LÄN</t>
        </is>
      </c>
      <c r="G3304" t="inlineStr">
        <is>
          <t>ENKÖPING</t>
        </is>
      </c>
      <c r="I3304" t="n">
        <v>3.7</v>
      </c>
      <c r="J3304" t="n">
        <v>0</v>
      </c>
      <c r="K3304" t="n">
        <v>0</v>
      </c>
      <c r="L3304" t="n">
        <v>0</v>
      </c>
      <c r="M3304" t="n">
        <v>0</v>
      </c>
      <c r="N3304" t="n">
        <v>0</v>
      </c>
      <c r="O3304" t="n">
        <v>0</v>
      </c>
      <c r="P3304" t="n">
        <v>0</v>
      </c>
      <c r="Q3304" t="n">
        <v>0</v>
      </c>
      <c r="R3304" t="n">
        <v>0</v>
      </c>
      <c r="S3304" t="n">
        <v>0</v>
      </c>
      <c r="T3304" t="n">
        <v>0</v>
      </c>
      <c r="U3304" t="n">
        <v>0</v>
      </c>
      <c r="V3304" s="2" t="inlineStr"/>
    </row>
    <row r="3305" ht="15" customHeight="1">
      <c r="A3305" t="inlineStr">
        <is>
          <t>A 54594-2024</t>
        </is>
      </c>
      <c r="B3305" t="inlineStr">
        <is>
          <t>avverkningsanmälan</t>
        </is>
      </c>
      <c r="C3305" t="inlineStr">
        <is>
          <t>Avverkning för annat ändamål</t>
        </is>
      </c>
      <c r="D3305" s="1" t="n">
        <v>45617</v>
      </c>
      <c r="E3305" s="1" t="n">
        <v>46309</v>
      </c>
      <c r="F3305" t="inlineStr">
        <is>
          <t>UPPSALA LÄN</t>
        </is>
      </c>
      <c r="G3305" t="inlineStr">
        <is>
          <t>HEBY</t>
        </is>
      </c>
      <c r="I3305" t="n">
        <v>1.7</v>
      </c>
      <c r="J3305" t="n">
        <v>0</v>
      </c>
      <c r="K3305" t="n">
        <v>0</v>
      </c>
      <c r="L3305" t="n">
        <v>0</v>
      </c>
      <c r="M3305" t="n">
        <v>0</v>
      </c>
      <c r="N3305" t="n">
        <v>0</v>
      </c>
      <c r="O3305" t="n">
        <v>0</v>
      </c>
      <c r="P3305" t="n">
        <v>0</v>
      </c>
      <c r="Q3305" t="n">
        <v>0</v>
      </c>
      <c r="R3305" t="n">
        <v>0</v>
      </c>
      <c r="S3305" t="n">
        <v>0</v>
      </c>
      <c r="T3305" t="n">
        <v>0</v>
      </c>
      <c r="U3305" t="n">
        <v>0</v>
      </c>
      <c r="V3305" s="2" t="inlineStr"/>
    </row>
    <row r="3306" ht="15" customHeight="1">
      <c r="A3306" t="inlineStr">
        <is>
          <t>A 1825-2024</t>
        </is>
      </c>
      <c r="B3306" t="inlineStr">
        <is>
          <t>avverkningsanmälan</t>
        </is>
      </c>
      <c r="C3306" t="inlineStr">
        <is>
          <t>Föryngringsavverkning</t>
        </is>
      </c>
      <c r="D3306" s="1" t="n">
        <v>45307</v>
      </c>
      <c r="E3306" s="1" t="n">
        <v>46309</v>
      </c>
      <c r="F3306" t="inlineStr">
        <is>
          <t>UPPSALA LÄN</t>
        </is>
      </c>
      <c r="G3306" t="inlineStr">
        <is>
          <t>UPPSALA</t>
        </is>
      </c>
      <c r="I3306" t="n">
        <v>4.2</v>
      </c>
      <c r="J3306" t="n">
        <v>0</v>
      </c>
      <c r="K3306" t="n">
        <v>0</v>
      </c>
      <c r="L3306" t="n">
        <v>0</v>
      </c>
      <c r="M3306" t="n">
        <v>0</v>
      </c>
      <c r="N3306" t="n">
        <v>0</v>
      </c>
      <c r="O3306" t="n">
        <v>0</v>
      </c>
      <c r="P3306" t="n">
        <v>0</v>
      </c>
      <c r="Q3306" t="n">
        <v>0</v>
      </c>
      <c r="R3306" t="n">
        <v>0</v>
      </c>
      <c r="S3306" t="n">
        <v>0</v>
      </c>
      <c r="T3306" t="n">
        <v>0</v>
      </c>
      <c r="U3306" t="n">
        <v>0</v>
      </c>
      <c r="V3306" s="2" t="inlineStr"/>
    </row>
    <row r="3307" ht="15" customHeight="1">
      <c r="A3307" t="inlineStr">
        <is>
          <t>A 40743-2026</t>
        </is>
      </c>
      <c r="B3307" t="inlineStr">
        <is>
          <t>avverkningsanmälan</t>
        </is>
      </c>
      <c r="C3307" t="inlineStr">
        <is>
          <t>Föryngringsavverkning</t>
        </is>
      </c>
      <c r="D3307" s="1" t="n">
        <v>46296</v>
      </c>
      <c r="E3307" s="1" t="n">
        <v>46309</v>
      </c>
      <c r="F3307" t="inlineStr">
        <is>
          <t>UPPSALA LÄN</t>
        </is>
      </c>
      <c r="G3307" t="inlineStr">
        <is>
          <t>HEBY</t>
        </is>
      </c>
      <c r="H3307" t="inlineStr">
        <is>
          <t>Bergvik skog öst AB</t>
        </is>
      </c>
      <c r="I3307" t="n">
        <v>2.6</v>
      </c>
      <c r="J3307" t="n">
        <v>0</v>
      </c>
      <c r="K3307" t="n">
        <v>0</v>
      </c>
      <c r="L3307" t="n">
        <v>0</v>
      </c>
      <c r="M3307" t="n">
        <v>0</v>
      </c>
      <c r="N3307" t="n">
        <v>0</v>
      </c>
      <c r="O3307" t="n">
        <v>0</v>
      </c>
      <c r="P3307" t="n">
        <v>0</v>
      </c>
      <c r="Q3307" t="n">
        <v>0</v>
      </c>
      <c r="R3307" t="n">
        <v>0</v>
      </c>
      <c r="S3307" t="n">
        <v>0</v>
      </c>
      <c r="T3307" t="n">
        <v>0</v>
      </c>
      <c r="U3307" t="n">
        <v>0</v>
      </c>
      <c r="V3307" s="2" t="inlineStr"/>
    </row>
    <row r="3308" ht="15" customHeight="1">
      <c r="A3308" t="inlineStr">
        <is>
          <t>A 2901-2023</t>
        </is>
      </c>
      <c r="B3308" t="inlineStr">
        <is>
          <t>avverkningsanmälan</t>
        </is>
      </c>
      <c r="C3308" t="inlineStr">
        <is>
          <t>Föryngringsavverkning</t>
        </is>
      </c>
      <c r="D3308" s="1" t="n">
        <v>44945</v>
      </c>
      <c r="E3308" s="1" t="n">
        <v>46309</v>
      </c>
      <c r="F3308" t="inlineStr">
        <is>
          <t>UPPSALA LÄN</t>
        </is>
      </c>
      <c r="G3308" t="inlineStr">
        <is>
          <t>TIERP</t>
        </is>
      </c>
      <c r="I3308" t="n">
        <v>0.7</v>
      </c>
      <c r="J3308" t="n">
        <v>0</v>
      </c>
      <c r="K3308" t="n">
        <v>0</v>
      </c>
      <c r="L3308" t="n">
        <v>0</v>
      </c>
      <c r="M3308" t="n">
        <v>0</v>
      </c>
      <c r="N3308" t="n">
        <v>0</v>
      </c>
      <c r="O3308" t="n">
        <v>0</v>
      </c>
      <c r="P3308" t="n">
        <v>0</v>
      </c>
      <c r="Q3308" t="n">
        <v>0</v>
      </c>
      <c r="R3308" t="n">
        <v>0</v>
      </c>
      <c r="S3308" t="n">
        <v>0</v>
      </c>
      <c r="T3308" t="n">
        <v>0</v>
      </c>
      <c r="U3308" t="n">
        <v>0</v>
      </c>
      <c r="V3308" s="2" t="inlineStr"/>
    </row>
    <row r="3309" ht="15" customHeight="1">
      <c r="A3309" t="inlineStr">
        <is>
          <t>A 51524-2022</t>
        </is>
      </c>
      <c r="B3309" t="inlineStr">
        <is>
          <t>avverkningsanmälan</t>
        </is>
      </c>
      <c r="C3309" t="inlineStr">
        <is>
          <t>Föryngringsavverkning</t>
        </is>
      </c>
      <c r="D3309" s="1" t="n">
        <v>44869</v>
      </c>
      <c r="E3309" s="1" t="n">
        <v>46309</v>
      </c>
      <c r="F3309" t="inlineStr">
        <is>
          <t>UPPSALA LÄN</t>
        </is>
      </c>
      <c r="G3309" t="inlineStr">
        <is>
          <t>ENKÖPING</t>
        </is>
      </c>
      <c r="I3309" t="n">
        <v>6.6</v>
      </c>
      <c r="J3309" t="n">
        <v>0</v>
      </c>
      <c r="K3309" t="n">
        <v>0</v>
      </c>
      <c r="L3309" t="n">
        <v>0</v>
      </c>
      <c r="M3309" t="n">
        <v>0</v>
      </c>
      <c r="N3309" t="n">
        <v>0</v>
      </c>
      <c r="O3309" t="n">
        <v>0</v>
      </c>
      <c r="P3309" t="n">
        <v>0</v>
      </c>
      <c r="Q3309" t="n">
        <v>0</v>
      </c>
      <c r="R3309" t="n">
        <v>0</v>
      </c>
      <c r="S3309" t="n">
        <v>0</v>
      </c>
      <c r="T3309" t="n">
        <v>0</v>
      </c>
      <c r="U3309" t="n">
        <v>0</v>
      </c>
      <c r="V3309" s="2" t="inlineStr"/>
    </row>
    <row r="3310" ht="15" customHeight="1">
      <c r="A3310" t="inlineStr">
        <is>
          <t>A 40742-2026</t>
        </is>
      </c>
      <c r="B3310" t="inlineStr">
        <is>
          <t>avverkningsanmälan</t>
        </is>
      </c>
      <c r="C3310" t="inlineStr">
        <is>
          <t>Föryngringsavverkning</t>
        </is>
      </c>
      <c r="D3310" s="1" t="n">
        <v>46296</v>
      </c>
      <c r="E3310" s="1" t="n">
        <v>46309</v>
      </c>
      <c r="F3310" t="inlineStr">
        <is>
          <t>UPPSALA LÄN</t>
        </is>
      </c>
      <c r="G3310" t="inlineStr">
        <is>
          <t>HEBY</t>
        </is>
      </c>
      <c r="H3310" t="inlineStr">
        <is>
          <t>Bergvik skog öst AB</t>
        </is>
      </c>
      <c r="I3310" t="n">
        <v>2.2</v>
      </c>
      <c r="J3310" t="n">
        <v>0</v>
      </c>
      <c r="K3310" t="n">
        <v>0</v>
      </c>
      <c r="L3310" t="n">
        <v>0</v>
      </c>
      <c r="M3310" t="n">
        <v>0</v>
      </c>
      <c r="N3310" t="n">
        <v>0</v>
      </c>
      <c r="O3310" t="n">
        <v>0</v>
      </c>
      <c r="P3310" t="n">
        <v>0</v>
      </c>
      <c r="Q3310" t="n">
        <v>0</v>
      </c>
      <c r="R3310" t="n">
        <v>0</v>
      </c>
      <c r="S3310" t="n">
        <v>0</v>
      </c>
      <c r="T3310" t="n">
        <v>0</v>
      </c>
      <c r="U3310" t="n">
        <v>0</v>
      </c>
      <c r="V3310" s="2" t="inlineStr"/>
    </row>
    <row r="3311" ht="15" customHeight="1">
      <c r="A3311" t="inlineStr">
        <is>
          <t>A 33905-2026</t>
        </is>
      </c>
      <c r="B3311" t="inlineStr">
        <is>
          <t>avverkningsanmälan</t>
        </is>
      </c>
      <c r="C3311" t="inlineStr">
        <is>
          <t>Föryngringsavverkning</t>
        </is>
      </c>
      <c r="D3311" s="1" t="n">
        <v>46251</v>
      </c>
      <c r="E3311" s="1" t="n">
        <v>46309</v>
      </c>
      <c r="F3311" t="inlineStr">
        <is>
          <t>UPPSALA LÄN</t>
        </is>
      </c>
      <c r="G3311" t="inlineStr">
        <is>
          <t>UPPSALA</t>
        </is>
      </c>
      <c r="H3311" t="inlineStr">
        <is>
          <t>Bergvik skog öst AB</t>
        </is>
      </c>
      <c r="I3311" t="n">
        <v>1.2</v>
      </c>
      <c r="J3311" t="n">
        <v>0</v>
      </c>
      <c r="K3311" t="n">
        <v>0</v>
      </c>
      <c r="L3311" t="n">
        <v>0</v>
      </c>
      <c r="M3311" t="n">
        <v>0</v>
      </c>
      <c r="N3311" t="n">
        <v>0</v>
      </c>
      <c r="O3311" t="n">
        <v>0</v>
      </c>
      <c r="P3311" t="n">
        <v>0</v>
      </c>
      <c r="Q3311" t="n">
        <v>0</v>
      </c>
      <c r="R3311" t="n">
        <v>0</v>
      </c>
      <c r="S3311" t="n">
        <v>0</v>
      </c>
      <c r="T3311" t="n">
        <v>0</v>
      </c>
      <c r="U3311" t="n">
        <v>0</v>
      </c>
      <c r="V3311" s="2" t="inlineStr"/>
    </row>
    <row r="3312" ht="15" customHeight="1">
      <c r="A3312" t="inlineStr">
        <is>
          <t>A 4412-2024</t>
        </is>
      </c>
      <c r="B3312" t="inlineStr">
        <is>
          <t>avverkningsanmälan</t>
        </is>
      </c>
      <c r="C3312" t="inlineStr">
        <is>
          <t>Föryngringsavverkning</t>
        </is>
      </c>
      <c r="D3312" s="1" t="n">
        <v>45327</v>
      </c>
      <c r="E3312" s="1" t="n">
        <v>46309</v>
      </c>
      <c r="F3312" t="inlineStr">
        <is>
          <t>UPPSALA LÄN</t>
        </is>
      </c>
      <c r="G3312" t="inlineStr">
        <is>
          <t>UPPSALA</t>
        </is>
      </c>
      <c r="I3312" t="n">
        <v>5.4</v>
      </c>
      <c r="J3312" t="n">
        <v>0</v>
      </c>
      <c r="K3312" t="n">
        <v>0</v>
      </c>
      <c r="L3312" t="n">
        <v>0</v>
      </c>
      <c r="M3312" t="n">
        <v>0</v>
      </c>
      <c r="N3312" t="n">
        <v>0</v>
      </c>
      <c r="O3312" t="n">
        <v>0</v>
      </c>
      <c r="P3312" t="n">
        <v>0</v>
      </c>
      <c r="Q3312" t="n">
        <v>0</v>
      </c>
      <c r="R3312" t="n">
        <v>0</v>
      </c>
      <c r="S3312" t="n">
        <v>0</v>
      </c>
      <c r="T3312" t="n">
        <v>0</v>
      </c>
      <c r="U3312" t="n">
        <v>0</v>
      </c>
      <c r="V3312" s="2" t="inlineStr"/>
    </row>
    <row r="3313" ht="15" customHeight="1">
      <c r="A3313" t="inlineStr">
        <is>
          <t>A 787-2024</t>
        </is>
      </c>
      <c r="B3313" t="inlineStr">
        <is>
          <t>avverkningsanmälan</t>
        </is>
      </c>
      <c r="C3313" t="inlineStr">
        <is>
          <t>Föryngringsavverkning</t>
        </is>
      </c>
      <c r="D3313" s="1" t="n">
        <v>45300</v>
      </c>
      <c r="E3313" s="1" t="n">
        <v>46309</v>
      </c>
      <c r="F3313" t="inlineStr">
        <is>
          <t>UPPSALA LÄN</t>
        </is>
      </c>
      <c r="G3313" t="inlineStr">
        <is>
          <t>UPPSALA</t>
        </is>
      </c>
      <c r="I3313" t="n">
        <v>3</v>
      </c>
      <c r="J3313" t="n">
        <v>0</v>
      </c>
      <c r="K3313" t="n">
        <v>0</v>
      </c>
      <c r="L3313" t="n">
        <v>0</v>
      </c>
      <c r="M3313" t="n">
        <v>0</v>
      </c>
      <c r="N3313" t="n">
        <v>0</v>
      </c>
      <c r="O3313" t="n">
        <v>0</v>
      </c>
      <c r="P3313" t="n">
        <v>0</v>
      </c>
      <c r="Q3313" t="n">
        <v>0</v>
      </c>
      <c r="R3313" t="n">
        <v>0</v>
      </c>
      <c r="S3313" t="n">
        <v>0</v>
      </c>
      <c r="T3313" t="n">
        <v>0</v>
      </c>
      <c r="U3313" t="n">
        <v>0</v>
      </c>
      <c r="V3313" s="2" t="inlineStr"/>
    </row>
    <row r="3314" ht="15" customHeight="1">
      <c r="A3314" t="inlineStr">
        <is>
          <t>A 8137-2025</t>
        </is>
      </c>
      <c r="B3314" t="inlineStr">
        <is>
          <t>avverkningsanmälan</t>
        </is>
      </c>
      <c r="C3314" t="inlineStr">
        <is>
          <t>Föryngringsavverkning</t>
        </is>
      </c>
      <c r="D3314" s="1" t="n">
        <v>45707</v>
      </c>
      <c r="E3314" s="1" t="n">
        <v>46309</v>
      </c>
      <c r="F3314" t="inlineStr">
        <is>
          <t>UPPSALA LÄN</t>
        </is>
      </c>
      <c r="G3314" t="inlineStr">
        <is>
          <t>ENKÖPING</t>
        </is>
      </c>
      <c r="I3314" t="n">
        <v>0.4</v>
      </c>
      <c r="J3314" t="n">
        <v>0</v>
      </c>
      <c r="K3314" t="n">
        <v>0</v>
      </c>
      <c r="L3314" t="n">
        <v>0</v>
      </c>
      <c r="M3314" t="n">
        <v>0</v>
      </c>
      <c r="N3314" t="n">
        <v>0</v>
      </c>
      <c r="O3314" t="n">
        <v>0</v>
      </c>
      <c r="P3314" t="n">
        <v>0</v>
      </c>
      <c r="Q3314" t="n">
        <v>0</v>
      </c>
      <c r="R3314" t="n">
        <v>0</v>
      </c>
      <c r="S3314" t="n">
        <v>0</v>
      </c>
      <c r="T3314" t="n">
        <v>0</v>
      </c>
      <c r="U3314" t="n">
        <v>0</v>
      </c>
      <c r="V3314" s="2" t="inlineStr"/>
    </row>
    <row r="3315" ht="15" customHeight="1">
      <c r="A3315" t="inlineStr">
        <is>
          <t>A 7868-2024</t>
        </is>
      </c>
      <c r="B3315" t="inlineStr">
        <is>
          <t>avverkningsanmälan</t>
        </is>
      </c>
      <c r="C3315" t="inlineStr">
        <is>
          <t>Föryngringsavverkning</t>
        </is>
      </c>
      <c r="D3315" s="1" t="n">
        <v>45350</v>
      </c>
      <c r="E3315" s="1" t="n">
        <v>46309</v>
      </c>
      <c r="F3315" t="inlineStr">
        <is>
          <t>UPPSALA LÄN</t>
        </is>
      </c>
      <c r="G3315" t="inlineStr">
        <is>
          <t>ENKÖPING</t>
        </is>
      </c>
      <c r="I3315" t="n">
        <v>0.3</v>
      </c>
      <c r="J3315" t="n">
        <v>0</v>
      </c>
      <c r="K3315" t="n">
        <v>0</v>
      </c>
      <c r="L3315" t="n">
        <v>0</v>
      </c>
      <c r="M3315" t="n">
        <v>0</v>
      </c>
      <c r="N3315" t="n">
        <v>0</v>
      </c>
      <c r="O3315" t="n">
        <v>0</v>
      </c>
      <c r="P3315" t="n">
        <v>0</v>
      </c>
      <c r="Q3315" t="n">
        <v>0</v>
      </c>
      <c r="R3315" t="n">
        <v>0</v>
      </c>
      <c r="S3315" t="n">
        <v>0</v>
      </c>
      <c r="T3315" t="n">
        <v>0</v>
      </c>
      <c r="U3315" t="n">
        <v>0</v>
      </c>
      <c r="V3315" s="2" t="inlineStr"/>
    </row>
    <row r="3316" ht="15" customHeight="1">
      <c r="A3316" t="inlineStr">
        <is>
          <t>A 54314-2023</t>
        </is>
      </c>
      <c r="B3316" t="inlineStr">
        <is>
          <t>avverkningsanmälan</t>
        </is>
      </c>
      <c r="C3316" t="inlineStr">
        <is>
          <t>Föryngringsavverkning</t>
        </is>
      </c>
      <c r="D3316" s="1" t="n">
        <v>45225</v>
      </c>
      <c r="E3316" s="1" t="n">
        <v>46309</v>
      </c>
      <c r="F3316" t="inlineStr">
        <is>
          <t>UPPSALA LÄN</t>
        </is>
      </c>
      <c r="G3316" t="inlineStr">
        <is>
          <t>ÖSTHAMMAR</t>
        </is>
      </c>
      <c r="I3316" t="n">
        <v>5.1</v>
      </c>
      <c r="J3316" t="n">
        <v>0</v>
      </c>
      <c r="K3316" t="n">
        <v>0</v>
      </c>
      <c r="L3316" t="n">
        <v>0</v>
      </c>
      <c r="M3316" t="n">
        <v>0</v>
      </c>
      <c r="N3316" t="n">
        <v>0</v>
      </c>
      <c r="O3316" t="n">
        <v>0</v>
      </c>
      <c r="P3316" t="n">
        <v>0</v>
      </c>
      <c r="Q3316" t="n">
        <v>0</v>
      </c>
      <c r="R3316" t="n">
        <v>0</v>
      </c>
      <c r="S3316" t="n">
        <v>0</v>
      </c>
      <c r="T3316" t="n">
        <v>0</v>
      </c>
      <c r="U3316" t="n">
        <v>0</v>
      </c>
      <c r="V3316" s="2" t="inlineStr"/>
    </row>
    <row r="3317" ht="15" customHeight="1">
      <c r="A3317" t="inlineStr">
        <is>
          <t>A 1951-2024</t>
        </is>
      </c>
      <c r="B3317" t="inlineStr">
        <is>
          <t>avverkningsanmälan</t>
        </is>
      </c>
      <c r="C3317" t="inlineStr">
        <is>
          <t>Föryngringsavverkning</t>
        </is>
      </c>
      <c r="D3317" s="1" t="n">
        <v>45308</v>
      </c>
      <c r="E3317" s="1" t="n">
        <v>46309</v>
      </c>
      <c r="F3317" t="inlineStr">
        <is>
          <t>UPPSALA LÄN</t>
        </is>
      </c>
      <c r="G3317" t="inlineStr">
        <is>
          <t>TIERP</t>
        </is>
      </c>
      <c r="I3317" t="n">
        <v>1.2</v>
      </c>
      <c r="J3317" t="n">
        <v>0</v>
      </c>
      <c r="K3317" t="n">
        <v>0</v>
      </c>
      <c r="L3317" t="n">
        <v>0</v>
      </c>
      <c r="M3317" t="n">
        <v>0</v>
      </c>
      <c r="N3317" t="n">
        <v>0</v>
      </c>
      <c r="O3317" t="n">
        <v>0</v>
      </c>
      <c r="P3317" t="n">
        <v>0</v>
      </c>
      <c r="Q3317" t="n">
        <v>0</v>
      </c>
      <c r="R3317" t="n">
        <v>0</v>
      </c>
      <c r="S3317" t="n">
        <v>0</v>
      </c>
      <c r="T3317" t="n">
        <v>0</v>
      </c>
      <c r="U3317" t="n">
        <v>0</v>
      </c>
      <c r="V3317" s="2" t="inlineStr"/>
    </row>
    <row r="3318" ht="15" customHeight="1">
      <c r="A3318" t="inlineStr">
        <is>
          <t>A 40746-2026</t>
        </is>
      </c>
      <c r="B3318" t="inlineStr">
        <is>
          <t>avverkningsanmälan</t>
        </is>
      </c>
      <c r="C3318" t="inlineStr">
        <is>
          <t>Föryngringsavverkning</t>
        </is>
      </c>
      <c r="D3318" s="1" t="n">
        <v>46296</v>
      </c>
      <c r="E3318" s="1" t="n">
        <v>46309</v>
      </c>
      <c r="F3318" t="inlineStr">
        <is>
          <t>UPPSALA LÄN</t>
        </is>
      </c>
      <c r="G3318" t="inlineStr">
        <is>
          <t>HEBY</t>
        </is>
      </c>
      <c r="H3318" t="inlineStr">
        <is>
          <t>Bergvik skog öst AB</t>
        </is>
      </c>
      <c r="I3318" t="n">
        <v>4.4</v>
      </c>
      <c r="J3318" t="n">
        <v>0</v>
      </c>
      <c r="K3318" t="n">
        <v>0</v>
      </c>
      <c r="L3318" t="n">
        <v>0</v>
      </c>
      <c r="M3318" t="n">
        <v>0</v>
      </c>
      <c r="N3318" t="n">
        <v>0</v>
      </c>
      <c r="O3318" t="n">
        <v>0</v>
      </c>
      <c r="P3318" t="n">
        <v>0</v>
      </c>
      <c r="Q3318" t="n">
        <v>0</v>
      </c>
      <c r="R3318" t="n">
        <v>0</v>
      </c>
      <c r="S3318" t="n">
        <v>0</v>
      </c>
      <c r="T3318" t="n">
        <v>0</v>
      </c>
      <c r="U3318" t="n">
        <v>0</v>
      </c>
      <c r="V3318" s="2" t="inlineStr"/>
    </row>
    <row r="3319" ht="15" customHeight="1">
      <c r="A3319" t="inlineStr">
        <is>
          <t>A 49796-2024</t>
        </is>
      </c>
      <c r="B3319" t="inlineStr">
        <is>
          <t>avverkningsanmälan</t>
        </is>
      </c>
      <c r="C3319" t="inlineStr">
        <is>
          <t>Föryngringsavverkning</t>
        </is>
      </c>
      <c r="D3319" s="1" t="n">
        <v>45597</v>
      </c>
      <c r="E3319" s="1" t="n">
        <v>46309</v>
      </c>
      <c r="F3319" t="inlineStr">
        <is>
          <t>UPPSALA LÄN</t>
        </is>
      </c>
      <c r="G3319" t="inlineStr">
        <is>
          <t>ÖSTHAMMAR</t>
        </is>
      </c>
      <c r="I3319" t="n">
        <v>1.3</v>
      </c>
      <c r="J3319" t="n">
        <v>0</v>
      </c>
      <c r="K3319" t="n">
        <v>0</v>
      </c>
      <c r="L3319" t="n">
        <v>0</v>
      </c>
      <c r="M3319" t="n">
        <v>0</v>
      </c>
      <c r="N3319" t="n">
        <v>0</v>
      </c>
      <c r="O3319" t="n">
        <v>0</v>
      </c>
      <c r="P3319" t="n">
        <v>0</v>
      </c>
      <c r="Q3319" t="n">
        <v>0</v>
      </c>
      <c r="R3319" t="n">
        <v>0</v>
      </c>
      <c r="S3319" t="n">
        <v>0</v>
      </c>
      <c r="T3319" t="n">
        <v>0</v>
      </c>
      <c r="U3319" t="n">
        <v>0</v>
      </c>
      <c r="V3319" s="2" t="inlineStr"/>
    </row>
    <row r="3320" ht="15" customHeight="1">
      <c r="A3320" t="inlineStr">
        <is>
          <t>A 33988-2026</t>
        </is>
      </c>
      <c r="B3320" t="inlineStr">
        <is>
          <t>avverkningsanmälan</t>
        </is>
      </c>
      <c r="C3320" t="inlineStr">
        <is>
          <t>Föryngringsavverkning</t>
        </is>
      </c>
      <c r="D3320" s="1" t="n">
        <v>46252</v>
      </c>
      <c r="E3320" s="1" t="n">
        <v>46309</v>
      </c>
      <c r="F3320" t="inlineStr">
        <is>
          <t>UPPSALA LÄN</t>
        </is>
      </c>
      <c r="G3320" t="inlineStr">
        <is>
          <t>ÖSTHAMMAR</t>
        </is>
      </c>
      <c r="H3320" t="inlineStr">
        <is>
          <t>Övriga Aktiebolag</t>
        </is>
      </c>
      <c r="I3320" t="n">
        <v>6.9</v>
      </c>
      <c r="J3320" t="n">
        <v>0</v>
      </c>
      <c r="K3320" t="n">
        <v>0</v>
      </c>
      <c r="L3320" t="n">
        <v>0</v>
      </c>
      <c r="M3320" t="n">
        <v>0</v>
      </c>
      <c r="N3320" t="n">
        <v>0</v>
      </c>
      <c r="O3320" t="n">
        <v>0</v>
      </c>
      <c r="P3320" t="n">
        <v>0</v>
      </c>
      <c r="Q3320" t="n">
        <v>0</v>
      </c>
      <c r="R3320" t="n">
        <v>0</v>
      </c>
      <c r="S3320" t="n">
        <v>0</v>
      </c>
      <c r="T3320" t="n">
        <v>0</v>
      </c>
      <c r="U3320" t="n">
        <v>0</v>
      </c>
      <c r="V3320" s="2" t="inlineStr"/>
    </row>
    <row r="3321" ht="15" customHeight="1">
      <c r="A3321" t="inlineStr">
        <is>
          <t>A 15424-2025</t>
        </is>
      </c>
      <c r="B3321" t="inlineStr">
        <is>
          <t>avverkningsanmälan</t>
        </is>
      </c>
      <c r="C3321" t="inlineStr">
        <is>
          <t>Föryngringsavverkning</t>
        </is>
      </c>
      <c r="D3321" s="1" t="n">
        <v>45747</v>
      </c>
      <c r="E3321" s="1" t="n">
        <v>46309</v>
      </c>
      <c r="F3321" t="inlineStr">
        <is>
          <t>UPPSALA LÄN</t>
        </is>
      </c>
      <c r="G3321" t="inlineStr">
        <is>
          <t>HEBY</t>
        </is>
      </c>
      <c r="I3321" t="n">
        <v>4.5</v>
      </c>
      <c r="J3321" t="n">
        <v>0</v>
      </c>
      <c r="K3321" t="n">
        <v>0</v>
      </c>
      <c r="L3321" t="n">
        <v>0</v>
      </c>
      <c r="M3321" t="n">
        <v>0</v>
      </c>
      <c r="N3321" t="n">
        <v>0</v>
      </c>
      <c r="O3321" t="n">
        <v>0</v>
      </c>
      <c r="P3321" t="n">
        <v>0</v>
      </c>
      <c r="Q3321" t="n">
        <v>0</v>
      </c>
      <c r="R3321" t="n">
        <v>0</v>
      </c>
      <c r="S3321" t="n">
        <v>0</v>
      </c>
      <c r="T3321" t="n">
        <v>0</v>
      </c>
      <c r="U3321" t="n">
        <v>0</v>
      </c>
      <c r="V3321" s="2" t="inlineStr"/>
    </row>
    <row r="3322" ht="15" customHeight="1">
      <c r="A3322" t="inlineStr">
        <is>
          <t>A 32871-2024</t>
        </is>
      </c>
      <c r="B3322" t="inlineStr">
        <is>
          <t>avverkningsanmälan</t>
        </is>
      </c>
      <c r="C3322" t="inlineStr">
        <is>
          <t>Föryngringsavverkning</t>
        </is>
      </c>
      <c r="D3322" s="1" t="n">
        <v>45516</v>
      </c>
      <c r="E3322" s="1" t="n">
        <v>46309</v>
      </c>
      <c r="F3322" t="inlineStr">
        <is>
          <t>UPPSALA LÄN</t>
        </is>
      </c>
      <c r="G3322" t="inlineStr">
        <is>
          <t>TIERP</t>
        </is>
      </c>
      <c r="I3322" t="n">
        <v>4.8</v>
      </c>
      <c r="J3322" t="n">
        <v>0</v>
      </c>
      <c r="K3322" t="n">
        <v>0</v>
      </c>
      <c r="L3322" t="n">
        <v>0</v>
      </c>
      <c r="M3322" t="n">
        <v>0</v>
      </c>
      <c r="N3322" t="n">
        <v>0</v>
      </c>
      <c r="O3322" t="n">
        <v>0</v>
      </c>
      <c r="P3322" t="n">
        <v>0</v>
      </c>
      <c r="Q3322" t="n">
        <v>0</v>
      </c>
      <c r="R3322" t="n">
        <v>0</v>
      </c>
      <c r="S3322" t="n">
        <v>0</v>
      </c>
      <c r="T3322" t="n">
        <v>0</v>
      </c>
      <c r="U3322" t="n">
        <v>0</v>
      </c>
      <c r="V3322" s="2" t="inlineStr"/>
    </row>
    <row r="3323" ht="15" customHeight="1">
      <c r="A3323" t="inlineStr">
        <is>
          <t>A 33906-2026</t>
        </is>
      </c>
      <c r="B3323" t="inlineStr">
        <is>
          <t>avverkningsanmälan</t>
        </is>
      </c>
      <c r="C3323" t="inlineStr">
        <is>
          <t>Föryngringsavverkning</t>
        </is>
      </c>
      <c r="D3323" s="1" t="n">
        <v>46251</v>
      </c>
      <c r="E3323" s="1" t="n">
        <v>46309</v>
      </c>
      <c r="F3323" t="inlineStr">
        <is>
          <t>UPPSALA LÄN</t>
        </is>
      </c>
      <c r="G3323" t="inlineStr">
        <is>
          <t>UPPSALA</t>
        </is>
      </c>
      <c r="H3323" t="inlineStr">
        <is>
          <t>Bergvik skog öst AB</t>
        </is>
      </c>
      <c r="I3323" t="n">
        <v>1.5</v>
      </c>
      <c r="J3323" t="n">
        <v>0</v>
      </c>
      <c r="K3323" t="n">
        <v>0</v>
      </c>
      <c r="L3323" t="n">
        <v>0</v>
      </c>
      <c r="M3323" t="n">
        <v>0</v>
      </c>
      <c r="N3323" t="n">
        <v>0</v>
      </c>
      <c r="O3323" t="n">
        <v>0</v>
      </c>
      <c r="P3323" t="n">
        <v>0</v>
      </c>
      <c r="Q3323" t="n">
        <v>0</v>
      </c>
      <c r="R3323" t="n">
        <v>0</v>
      </c>
      <c r="S3323" t="n">
        <v>0</v>
      </c>
      <c r="T3323" t="n">
        <v>0</v>
      </c>
      <c r="U3323" t="n">
        <v>0</v>
      </c>
      <c r="V3323" s="2" t="inlineStr"/>
    </row>
    <row r="3324" ht="15" customHeight="1">
      <c r="A3324" t="inlineStr">
        <is>
          <t>A 29815-2023</t>
        </is>
      </c>
      <c r="B3324" t="inlineStr">
        <is>
          <t>avverkningsanmälan</t>
        </is>
      </c>
      <c r="C3324" t="inlineStr">
        <is>
          <t>Föryngringsavverkning</t>
        </is>
      </c>
      <c r="D3324" s="1" t="n">
        <v>45107</v>
      </c>
      <c r="E3324" s="1" t="n">
        <v>46309</v>
      </c>
      <c r="F3324" t="inlineStr">
        <is>
          <t>UPPSALA LÄN</t>
        </is>
      </c>
      <c r="G3324" t="inlineStr">
        <is>
          <t>UPPSALA</t>
        </is>
      </c>
      <c r="I3324" t="n">
        <v>2.4</v>
      </c>
      <c r="J3324" t="n">
        <v>0</v>
      </c>
      <c r="K3324" t="n">
        <v>0</v>
      </c>
      <c r="L3324" t="n">
        <v>0</v>
      </c>
      <c r="M3324" t="n">
        <v>0</v>
      </c>
      <c r="N3324" t="n">
        <v>0</v>
      </c>
      <c r="O3324" t="n">
        <v>0</v>
      </c>
      <c r="P3324" t="n">
        <v>0</v>
      </c>
      <c r="Q3324" t="n">
        <v>0</v>
      </c>
      <c r="R3324" t="n">
        <v>0</v>
      </c>
      <c r="S3324" t="n">
        <v>0</v>
      </c>
      <c r="T3324" t="n">
        <v>0</v>
      </c>
      <c r="U3324" t="n">
        <v>0</v>
      </c>
      <c r="V3324" s="2" t="inlineStr"/>
    </row>
    <row r="3325" ht="15" customHeight="1">
      <c r="A3325" t="inlineStr">
        <is>
          <t>A 34276-2026</t>
        </is>
      </c>
      <c r="B3325" t="inlineStr">
        <is>
          <t>avverkningsanmälan</t>
        </is>
      </c>
      <c r="C3325" t="inlineStr">
        <is>
          <t>Föryngringsavverkning</t>
        </is>
      </c>
      <c r="D3325" s="1" t="n">
        <v>46253</v>
      </c>
      <c r="E3325" s="1" t="n">
        <v>46309</v>
      </c>
      <c r="F3325" t="inlineStr">
        <is>
          <t>UPPSALA LÄN</t>
        </is>
      </c>
      <c r="G3325" t="inlineStr">
        <is>
          <t>ÖSTHAMMAR</t>
        </is>
      </c>
      <c r="I3325" t="n">
        <v>3.1</v>
      </c>
      <c r="J3325" t="n">
        <v>0</v>
      </c>
      <c r="K3325" t="n">
        <v>0</v>
      </c>
      <c r="L3325" t="n">
        <v>0</v>
      </c>
      <c r="M3325" t="n">
        <v>0</v>
      </c>
      <c r="N3325" t="n">
        <v>0</v>
      </c>
      <c r="O3325" t="n">
        <v>0</v>
      </c>
      <c r="P3325" t="n">
        <v>0</v>
      </c>
      <c r="Q3325" t="n">
        <v>0</v>
      </c>
      <c r="R3325" t="n">
        <v>0</v>
      </c>
      <c r="S3325" t="n">
        <v>0</v>
      </c>
      <c r="T3325" t="n">
        <v>0</v>
      </c>
      <c r="U3325" t="n">
        <v>0</v>
      </c>
      <c r="V3325" s="2" t="inlineStr"/>
    </row>
    <row r="3326" ht="15" customHeight="1">
      <c r="A3326" t="inlineStr">
        <is>
          <t>A 37857-2026</t>
        </is>
      </c>
      <c r="B3326" t="inlineStr">
        <is>
          <t>avverkningsanmälan</t>
        </is>
      </c>
      <c r="C3326" t="inlineStr">
        <is>
          <t>Föryngringsavverkning</t>
        </is>
      </c>
      <c r="D3326" s="1" t="n">
        <v>46279</v>
      </c>
      <c r="E3326" s="1" t="n">
        <v>46309</v>
      </c>
      <c r="F3326" t="inlineStr">
        <is>
          <t>UPPSALA LÄN</t>
        </is>
      </c>
      <c r="G3326" t="inlineStr">
        <is>
          <t>ÖSTHAMMAR</t>
        </is>
      </c>
      <c r="H3326" t="inlineStr">
        <is>
          <t>Bergvik skog öst AB</t>
        </is>
      </c>
      <c r="I3326" t="n">
        <v>7</v>
      </c>
      <c r="J3326" t="n">
        <v>0</v>
      </c>
      <c r="K3326" t="n">
        <v>0</v>
      </c>
      <c r="L3326" t="n">
        <v>0</v>
      </c>
      <c r="M3326" t="n">
        <v>0</v>
      </c>
      <c r="N3326" t="n">
        <v>0</v>
      </c>
      <c r="O3326" t="n">
        <v>0</v>
      </c>
      <c r="P3326" t="n">
        <v>0</v>
      </c>
      <c r="Q3326" t="n">
        <v>0</v>
      </c>
      <c r="R3326" t="n">
        <v>0</v>
      </c>
      <c r="S3326" t="n">
        <v>0</v>
      </c>
      <c r="T3326" t="n">
        <v>0</v>
      </c>
      <c r="U3326" t="n">
        <v>0</v>
      </c>
      <c r="V3326" s="2" t="inlineStr"/>
    </row>
    <row r="3327" ht="15" customHeight="1">
      <c r="A3327" t="inlineStr">
        <is>
          <t>A 1791-2023</t>
        </is>
      </c>
      <c r="B3327" t="inlineStr">
        <is>
          <t>avverkningsanmälan</t>
        </is>
      </c>
      <c r="C3327" t="inlineStr">
        <is>
          <t>Föryngringsavverkning</t>
        </is>
      </c>
      <c r="D3327" s="1" t="n">
        <v>44938</v>
      </c>
      <c r="E3327" s="1" t="n">
        <v>46309</v>
      </c>
      <c r="F3327" t="inlineStr">
        <is>
          <t>UPPSALA LÄN</t>
        </is>
      </c>
      <c r="G3327" t="inlineStr">
        <is>
          <t>ÖSTHAMMAR</t>
        </is>
      </c>
      <c r="I3327" t="n">
        <v>2</v>
      </c>
      <c r="J3327" t="n">
        <v>0</v>
      </c>
      <c r="K3327" t="n">
        <v>0</v>
      </c>
      <c r="L3327" t="n">
        <v>0</v>
      </c>
      <c r="M3327" t="n">
        <v>0</v>
      </c>
      <c r="N3327" t="n">
        <v>0</v>
      </c>
      <c r="O3327" t="n">
        <v>0</v>
      </c>
      <c r="P3327" t="n">
        <v>0</v>
      </c>
      <c r="Q3327" t="n">
        <v>0</v>
      </c>
      <c r="R3327" t="n">
        <v>0</v>
      </c>
      <c r="S3327" t="n">
        <v>0</v>
      </c>
      <c r="T3327" t="n">
        <v>0</v>
      </c>
      <c r="U3327" t="n">
        <v>0</v>
      </c>
      <c r="V3327" s="2" t="inlineStr"/>
    </row>
    <row r="3328" ht="15" customHeight="1">
      <c r="A3328" t="inlineStr">
        <is>
          <t>A 40597-2026</t>
        </is>
      </c>
      <c r="B3328" t="inlineStr">
        <is>
          <t>avverkningsanmälan</t>
        </is>
      </c>
      <c r="C3328" t="inlineStr">
        <is>
          <t>Föryngringsavverkning</t>
        </is>
      </c>
      <c r="D3328" s="1" t="n">
        <v>46295</v>
      </c>
      <c r="E3328" s="1" t="n">
        <v>46309</v>
      </c>
      <c r="F3328" t="inlineStr">
        <is>
          <t>UPPSALA LÄN</t>
        </is>
      </c>
      <c r="G3328" t="inlineStr">
        <is>
          <t>TIERP</t>
        </is>
      </c>
      <c r="I3328" t="n">
        <v>0.7</v>
      </c>
      <c r="J3328" t="n">
        <v>0</v>
      </c>
      <c r="K3328" t="n">
        <v>0</v>
      </c>
      <c r="L3328" t="n">
        <v>0</v>
      </c>
      <c r="M3328" t="n">
        <v>0</v>
      </c>
      <c r="N3328" t="n">
        <v>0</v>
      </c>
      <c r="O3328" t="n">
        <v>0</v>
      </c>
      <c r="P3328" t="n">
        <v>0</v>
      </c>
      <c r="Q3328" t="n">
        <v>0</v>
      </c>
      <c r="R3328" t="n">
        <v>0</v>
      </c>
      <c r="S3328" t="n">
        <v>0</v>
      </c>
      <c r="T3328" t="n">
        <v>0</v>
      </c>
      <c r="U3328" t="n">
        <v>0</v>
      </c>
      <c r="V3328" s="2" t="inlineStr"/>
    </row>
    <row r="3329" ht="15" customHeight="1">
      <c r="A3329" t="inlineStr">
        <is>
          <t>A 20641-2025</t>
        </is>
      </c>
      <c r="B3329" t="inlineStr">
        <is>
          <t>avverkningsanmälan</t>
        </is>
      </c>
      <c r="C3329" t="inlineStr">
        <is>
          <t>Föryngringsavverkning</t>
        </is>
      </c>
      <c r="D3329" s="1" t="n">
        <v>45776</v>
      </c>
      <c r="E3329" s="1" t="n">
        <v>46309</v>
      </c>
      <c r="F3329" t="inlineStr">
        <is>
          <t>UPPSALA LÄN</t>
        </is>
      </c>
      <c r="G3329" t="inlineStr">
        <is>
          <t>TIERP</t>
        </is>
      </c>
      <c r="H3329" t="inlineStr">
        <is>
          <t>Bergvik skog öst AB</t>
        </is>
      </c>
      <c r="I3329" t="n">
        <v>0.5</v>
      </c>
      <c r="J3329" t="n">
        <v>0</v>
      </c>
      <c r="K3329" t="n">
        <v>0</v>
      </c>
      <c r="L3329" t="n">
        <v>0</v>
      </c>
      <c r="M3329" t="n">
        <v>0</v>
      </c>
      <c r="N3329" t="n">
        <v>0</v>
      </c>
      <c r="O3329" t="n">
        <v>0</v>
      </c>
      <c r="P3329" t="n">
        <v>0</v>
      </c>
      <c r="Q3329" t="n">
        <v>0</v>
      </c>
      <c r="R3329" t="n">
        <v>0</v>
      </c>
      <c r="S3329" t="n">
        <v>0</v>
      </c>
      <c r="T3329" t="n">
        <v>0</v>
      </c>
      <c r="U3329" t="n">
        <v>0</v>
      </c>
      <c r="V3329" s="2" t="inlineStr"/>
    </row>
    <row r="3330" ht="15" customHeight="1">
      <c r="A3330" t="inlineStr">
        <is>
          <t>A 34050-2026</t>
        </is>
      </c>
      <c r="B3330" t="inlineStr">
        <is>
          <t>avverkningsanmälan</t>
        </is>
      </c>
      <c r="C3330" t="inlineStr">
        <is>
          <t>Föryngringsavverkning</t>
        </is>
      </c>
      <c r="D3330" s="1" t="n">
        <v>46252</v>
      </c>
      <c r="E3330" s="1" t="n">
        <v>46309</v>
      </c>
      <c r="F3330" t="inlineStr">
        <is>
          <t>UPPSALA LÄN</t>
        </is>
      </c>
      <c r="G3330" t="inlineStr">
        <is>
          <t>TIERP</t>
        </is>
      </c>
      <c r="I3330" t="n">
        <v>4.5</v>
      </c>
      <c r="J3330" t="n">
        <v>0</v>
      </c>
      <c r="K3330" t="n">
        <v>0</v>
      </c>
      <c r="L3330" t="n">
        <v>0</v>
      </c>
      <c r="M3330" t="n">
        <v>0</v>
      </c>
      <c r="N3330" t="n">
        <v>0</v>
      </c>
      <c r="O3330" t="n">
        <v>0</v>
      </c>
      <c r="P3330" t="n">
        <v>0</v>
      </c>
      <c r="Q3330" t="n">
        <v>0</v>
      </c>
      <c r="R3330" t="n">
        <v>0</v>
      </c>
      <c r="S3330" t="n">
        <v>0</v>
      </c>
      <c r="T3330" t="n">
        <v>0</v>
      </c>
      <c r="U3330" t="n">
        <v>0</v>
      </c>
      <c r="V3330" s="2" t="inlineStr"/>
    </row>
    <row r="3331" ht="15" customHeight="1">
      <c r="A3331" t="inlineStr">
        <is>
          <t>A 35052-2024</t>
        </is>
      </c>
      <c r="B3331" t="inlineStr">
        <is>
          <t>avverkningsanmälan</t>
        </is>
      </c>
      <c r="C3331" t="inlineStr">
        <is>
          <t>Föryngringsavverkning</t>
        </is>
      </c>
      <c r="D3331" s="1" t="n">
        <v>45527</v>
      </c>
      <c r="E3331" s="1" t="n">
        <v>46309</v>
      </c>
      <c r="F3331" t="inlineStr">
        <is>
          <t>UPPSALA LÄN</t>
        </is>
      </c>
      <c r="G3331" t="inlineStr">
        <is>
          <t>ENKÖPING</t>
        </is>
      </c>
      <c r="I3331" t="n">
        <v>1.5</v>
      </c>
      <c r="J3331" t="n">
        <v>0</v>
      </c>
      <c r="K3331" t="n">
        <v>0</v>
      </c>
      <c r="L3331" t="n">
        <v>0</v>
      </c>
      <c r="M3331" t="n">
        <v>0</v>
      </c>
      <c r="N3331" t="n">
        <v>0</v>
      </c>
      <c r="O3331" t="n">
        <v>0</v>
      </c>
      <c r="P3331" t="n">
        <v>0</v>
      </c>
      <c r="Q3331" t="n">
        <v>0</v>
      </c>
      <c r="R3331" t="n">
        <v>0</v>
      </c>
      <c r="S3331" t="n">
        <v>0</v>
      </c>
      <c r="T3331" t="n">
        <v>0</v>
      </c>
      <c r="U3331" t="n">
        <v>0</v>
      </c>
      <c r="V3331" s="2" t="inlineStr"/>
    </row>
    <row r="3332" ht="15" customHeight="1">
      <c r="A3332" t="inlineStr">
        <is>
          <t>A 40610-2026</t>
        </is>
      </c>
      <c r="B3332" t="inlineStr">
        <is>
          <t>avverkningsanmälan</t>
        </is>
      </c>
      <c r="C3332" t="inlineStr">
        <is>
          <t>Föryngringsavverkning</t>
        </is>
      </c>
      <c r="D3332" s="1" t="n">
        <v>46295</v>
      </c>
      <c r="E3332" s="1" t="n">
        <v>46309</v>
      </c>
      <c r="F3332" t="inlineStr">
        <is>
          <t>UPPSALA LÄN</t>
        </is>
      </c>
      <c r="G3332" t="inlineStr">
        <is>
          <t>HEBY</t>
        </is>
      </c>
      <c r="H3332" t="inlineStr">
        <is>
          <t>Bergvik skog öst AB</t>
        </is>
      </c>
      <c r="I3332" t="n">
        <v>3.5</v>
      </c>
      <c r="J3332" t="n">
        <v>0</v>
      </c>
      <c r="K3332" t="n">
        <v>0</v>
      </c>
      <c r="L3332" t="n">
        <v>0</v>
      </c>
      <c r="M3332" t="n">
        <v>0</v>
      </c>
      <c r="N3332" t="n">
        <v>0</v>
      </c>
      <c r="O3332" t="n">
        <v>0</v>
      </c>
      <c r="P3332" t="n">
        <v>0</v>
      </c>
      <c r="Q3332" t="n">
        <v>0</v>
      </c>
      <c r="R3332" t="n">
        <v>0</v>
      </c>
      <c r="S3332" t="n">
        <v>0</v>
      </c>
      <c r="T3332" t="n">
        <v>0</v>
      </c>
      <c r="U3332" t="n">
        <v>0</v>
      </c>
      <c r="V3332" s="2" t="inlineStr"/>
    </row>
    <row r="3333" ht="15" customHeight="1">
      <c r="A3333" t="inlineStr">
        <is>
          <t>A 33667-2024</t>
        </is>
      </c>
      <c r="B3333" t="inlineStr">
        <is>
          <t>avverkningsanmälan</t>
        </is>
      </c>
      <c r="C3333" t="inlineStr">
        <is>
          <t>Föryngringsavverkning</t>
        </is>
      </c>
      <c r="D3333" s="1" t="n">
        <v>45520</v>
      </c>
      <c r="E3333" s="1" t="n">
        <v>46309</v>
      </c>
      <c r="F3333" t="inlineStr">
        <is>
          <t>UPPSALA LÄN</t>
        </is>
      </c>
      <c r="G3333" t="inlineStr">
        <is>
          <t>UPPSALA</t>
        </is>
      </c>
      <c r="I3333" t="n">
        <v>0.8</v>
      </c>
      <c r="J3333" t="n">
        <v>0</v>
      </c>
      <c r="K3333" t="n">
        <v>0</v>
      </c>
      <c r="L3333" t="n">
        <v>0</v>
      </c>
      <c r="M3333" t="n">
        <v>0</v>
      </c>
      <c r="N3333" t="n">
        <v>0</v>
      </c>
      <c r="O3333" t="n">
        <v>0</v>
      </c>
      <c r="P3333" t="n">
        <v>0</v>
      </c>
      <c r="Q3333" t="n">
        <v>0</v>
      </c>
      <c r="R3333" t="n">
        <v>0</v>
      </c>
      <c r="S3333" t="n">
        <v>0</v>
      </c>
      <c r="T3333" t="n">
        <v>0</v>
      </c>
      <c r="U3333" t="n">
        <v>0</v>
      </c>
      <c r="V3333" s="2" t="inlineStr"/>
    </row>
    <row r="3334" ht="15" customHeight="1">
      <c r="A3334" t="inlineStr">
        <is>
          <t>A 40657-2026</t>
        </is>
      </c>
      <c r="B3334" t="inlineStr">
        <is>
          <t>avverkningsanmälan</t>
        </is>
      </c>
      <c r="C3334" t="inlineStr">
        <is>
          <t>Föryngringsavverkning</t>
        </is>
      </c>
      <c r="D3334" s="1" t="n">
        <v>46296</v>
      </c>
      <c r="E3334" s="1" t="n">
        <v>46309</v>
      </c>
      <c r="F3334" t="inlineStr">
        <is>
          <t>UPPSALA LÄN</t>
        </is>
      </c>
      <c r="G3334" t="inlineStr">
        <is>
          <t>HEBY</t>
        </is>
      </c>
      <c r="I3334" t="n">
        <v>0.5</v>
      </c>
      <c r="J3334" t="n">
        <v>0</v>
      </c>
      <c r="K3334" t="n">
        <v>0</v>
      </c>
      <c r="L3334" t="n">
        <v>0</v>
      </c>
      <c r="M3334" t="n">
        <v>0</v>
      </c>
      <c r="N3334" t="n">
        <v>0</v>
      </c>
      <c r="O3334" t="n">
        <v>0</v>
      </c>
      <c r="P3334" t="n">
        <v>0</v>
      </c>
      <c r="Q3334" t="n">
        <v>0</v>
      </c>
      <c r="R3334" t="n">
        <v>0</v>
      </c>
      <c r="S3334" t="n">
        <v>0</v>
      </c>
      <c r="T3334" t="n">
        <v>0</v>
      </c>
      <c r="U3334" t="n">
        <v>0</v>
      </c>
      <c r="V3334" s="2" t="inlineStr"/>
    </row>
    <row r="3335" ht="15" customHeight="1">
      <c r="A3335" t="inlineStr">
        <is>
          <t>A 44847-2024</t>
        </is>
      </c>
      <c r="B3335" t="inlineStr">
        <is>
          <t>avverkningsanmälan</t>
        </is>
      </c>
      <c r="C3335" t="inlineStr">
        <is>
          <t>Föryngringsavverkning</t>
        </is>
      </c>
      <c r="D3335" s="1" t="n">
        <v>45574</v>
      </c>
      <c r="E3335" s="1" t="n">
        <v>46309</v>
      </c>
      <c r="F3335" t="inlineStr">
        <is>
          <t>UPPSALA LÄN</t>
        </is>
      </c>
      <c r="G3335" t="inlineStr">
        <is>
          <t>UPPSALA</t>
        </is>
      </c>
      <c r="I3335" t="n">
        <v>6.3</v>
      </c>
      <c r="J3335" t="n">
        <v>0</v>
      </c>
      <c r="K3335" t="n">
        <v>0</v>
      </c>
      <c r="L3335" t="n">
        <v>0</v>
      </c>
      <c r="M3335" t="n">
        <v>0</v>
      </c>
      <c r="N3335" t="n">
        <v>0</v>
      </c>
      <c r="O3335" t="n">
        <v>0</v>
      </c>
      <c r="P3335" t="n">
        <v>0</v>
      </c>
      <c r="Q3335" t="n">
        <v>0</v>
      </c>
      <c r="R3335" t="n">
        <v>0</v>
      </c>
      <c r="S3335" t="n">
        <v>0</v>
      </c>
      <c r="T3335" t="n">
        <v>0</v>
      </c>
      <c r="U3335" t="n">
        <v>0</v>
      </c>
      <c r="V3335" s="2" t="inlineStr"/>
    </row>
    <row r="3336" ht="15" customHeight="1">
      <c r="A3336" t="inlineStr">
        <is>
          <t>A 33907-2026</t>
        </is>
      </c>
      <c r="B3336" t="inlineStr">
        <is>
          <t>avverkningsanmälan</t>
        </is>
      </c>
      <c r="C3336" t="inlineStr">
        <is>
          <t>Föryngringsavverkning</t>
        </is>
      </c>
      <c r="D3336" s="1" t="n">
        <v>46251</v>
      </c>
      <c r="E3336" s="1" t="n">
        <v>46309</v>
      </c>
      <c r="F3336" t="inlineStr">
        <is>
          <t>UPPSALA LÄN</t>
        </is>
      </c>
      <c r="G3336" t="inlineStr">
        <is>
          <t>UPPSALA</t>
        </is>
      </c>
      <c r="H3336" t="inlineStr">
        <is>
          <t>Bergvik skog öst AB</t>
        </is>
      </c>
      <c r="I3336" t="n">
        <v>3.4</v>
      </c>
      <c r="J3336" t="n">
        <v>0</v>
      </c>
      <c r="K3336" t="n">
        <v>0</v>
      </c>
      <c r="L3336" t="n">
        <v>0</v>
      </c>
      <c r="M3336" t="n">
        <v>0</v>
      </c>
      <c r="N3336" t="n">
        <v>0</v>
      </c>
      <c r="O3336" t="n">
        <v>0</v>
      </c>
      <c r="P3336" t="n">
        <v>0</v>
      </c>
      <c r="Q3336" t="n">
        <v>0</v>
      </c>
      <c r="R3336" t="n">
        <v>0</v>
      </c>
      <c r="S3336" t="n">
        <v>0</v>
      </c>
      <c r="T3336" t="n">
        <v>0</v>
      </c>
      <c r="U3336" t="n">
        <v>0</v>
      </c>
      <c r="V3336" s="2" t="inlineStr"/>
    </row>
    <row r="3337" ht="15" customHeight="1">
      <c r="A3337" t="inlineStr">
        <is>
          <t>A 40741-2026</t>
        </is>
      </c>
      <c r="B3337" t="inlineStr">
        <is>
          <t>avverkningsanmälan</t>
        </is>
      </c>
      <c r="C3337" t="inlineStr">
        <is>
          <t>Föryngringsavverkning</t>
        </is>
      </c>
      <c r="D3337" s="1" t="n">
        <v>46296</v>
      </c>
      <c r="E3337" s="1" t="n">
        <v>46309</v>
      </c>
      <c r="F3337" t="inlineStr">
        <is>
          <t>UPPSALA LÄN</t>
        </is>
      </c>
      <c r="G3337" t="inlineStr">
        <is>
          <t>HEBY</t>
        </is>
      </c>
      <c r="H3337" t="inlineStr">
        <is>
          <t>Bergvik skog öst AB</t>
        </is>
      </c>
      <c r="I3337" t="n">
        <v>2.8</v>
      </c>
      <c r="J3337" t="n">
        <v>0</v>
      </c>
      <c r="K3337" t="n">
        <v>0</v>
      </c>
      <c r="L3337" t="n">
        <v>0</v>
      </c>
      <c r="M3337" t="n">
        <v>0</v>
      </c>
      <c r="N3337" t="n">
        <v>0</v>
      </c>
      <c r="O3337" t="n">
        <v>0</v>
      </c>
      <c r="P3337" t="n">
        <v>0</v>
      </c>
      <c r="Q3337" t="n">
        <v>0</v>
      </c>
      <c r="R3337" t="n">
        <v>0</v>
      </c>
      <c r="S3337" t="n">
        <v>0</v>
      </c>
      <c r="T3337" t="n">
        <v>0</v>
      </c>
      <c r="U3337" t="n">
        <v>0</v>
      </c>
      <c r="V3337" s="2" t="inlineStr"/>
    </row>
    <row r="3338" ht="15" customHeight="1">
      <c r="A3338" t="inlineStr">
        <is>
          <t>A 33943-2026</t>
        </is>
      </c>
      <c r="B3338" t="inlineStr">
        <is>
          <t>avverkningsanmälan</t>
        </is>
      </c>
      <c r="C3338" t="inlineStr">
        <is>
          <t>Föryngringsavverkning</t>
        </is>
      </c>
      <c r="D3338" s="1" t="n">
        <v>46252</v>
      </c>
      <c r="E3338" s="1" t="n">
        <v>46309</v>
      </c>
      <c r="F3338" t="inlineStr">
        <is>
          <t>UPPSALA LÄN</t>
        </is>
      </c>
      <c r="G3338" t="inlineStr">
        <is>
          <t>HEBY</t>
        </is>
      </c>
      <c r="H3338" t="inlineStr">
        <is>
          <t>Kyrkan</t>
        </is>
      </c>
      <c r="I3338" t="n">
        <v>2</v>
      </c>
      <c r="J3338" t="n">
        <v>0</v>
      </c>
      <c r="K3338" t="n">
        <v>0</v>
      </c>
      <c r="L3338" t="n">
        <v>0</v>
      </c>
      <c r="M3338" t="n">
        <v>0</v>
      </c>
      <c r="N3338" t="n">
        <v>0</v>
      </c>
      <c r="O3338" t="n">
        <v>0</v>
      </c>
      <c r="P3338" t="n">
        <v>0</v>
      </c>
      <c r="Q3338" t="n">
        <v>0</v>
      </c>
      <c r="R3338" t="n">
        <v>0</v>
      </c>
      <c r="S3338" t="n">
        <v>0</v>
      </c>
      <c r="T3338" t="n">
        <v>0</v>
      </c>
      <c r="U3338" t="n">
        <v>0</v>
      </c>
      <c r="V3338" s="2" t="inlineStr"/>
    </row>
    <row r="3339" ht="15" customHeight="1">
      <c r="A3339" t="inlineStr">
        <is>
          <t>A 21279-2025</t>
        </is>
      </c>
      <c r="B3339" t="inlineStr">
        <is>
          <t>avverkningsanmälan</t>
        </is>
      </c>
      <c r="C3339" t="inlineStr">
        <is>
          <t>Föryngringsavverkning</t>
        </is>
      </c>
      <c r="D3339" s="1" t="n">
        <v>45779</v>
      </c>
      <c r="E3339" s="1" t="n">
        <v>46309</v>
      </c>
      <c r="F3339" t="inlineStr">
        <is>
          <t>UPPSALA LÄN</t>
        </is>
      </c>
      <c r="G3339" t="inlineStr">
        <is>
          <t>UPPSALA</t>
        </is>
      </c>
      <c r="H3339" t="inlineStr">
        <is>
          <t>Övriga Aktiebolag</t>
        </is>
      </c>
      <c r="I3339" t="n">
        <v>0.8</v>
      </c>
      <c r="J3339" t="n">
        <v>0</v>
      </c>
      <c r="K3339" t="n">
        <v>0</v>
      </c>
      <c r="L3339" t="n">
        <v>0</v>
      </c>
      <c r="M3339" t="n">
        <v>0</v>
      </c>
      <c r="N3339" t="n">
        <v>0</v>
      </c>
      <c r="O3339" t="n">
        <v>0</v>
      </c>
      <c r="P3339" t="n">
        <v>0</v>
      </c>
      <c r="Q3339" t="n">
        <v>0</v>
      </c>
      <c r="R3339" t="n">
        <v>0</v>
      </c>
      <c r="S3339" t="n">
        <v>0</v>
      </c>
      <c r="T3339" t="n">
        <v>0</v>
      </c>
      <c r="U3339" t="n">
        <v>0</v>
      </c>
      <c r="V3339" s="2" t="inlineStr"/>
    </row>
    <row r="3340" ht="15" customHeight="1">
      <c r="A3340" t="inlineStr">
        <is>
          <t>A 8958-2024</t>
        </is>
      </c>
      <c r="B3340" t="inlineStr">
        <is>
          <t>avverkningsanmälan</t>
        </is>
      </c>
      <c r="C3340" t="inlineStr">
        <is>
          <t>Föryngringsavverkning</t>
        </is>
      </c>
      <c r="D3340" s="1" t="n">
        <v>45357</v>
      </c>
      <c r="E3340" s="1" t="n">
        <v>46309</v>
      </c>
      <c r="F3340" t="inlineStr">
        <is>
          <t>UPPSALA LÄN</t>
        </is>
      </c>
      <c r="G3340" t="inlineStr">
        <is>
          <t>TIERP</t>
        </is>
      </c>
      <c r="I3340" t="n">
        <v>3.8</v>
      </c>
      <c r="J3340" t="n">
        <v>0</v>
      </c>
      <c r="K3340" t="n">
        <v>0</v>
      </c>
      <c r="L3340" t="n">
        <v>0</v>
      </c>
      <c r="M3340" t="n">
        <v>0</v>
      </c>
      <c r="N3340" t="n">
        <v>0</v>
      </c>
      <c r="O3340" t="n">
        <v>0</v>
      </c>
      <c r="P3340" t="n">
        <v>0</v>
      </c>
      <c r="Q3340" t="n">
        <v>0</v>
      </c>
      <c r="R3340" t="n">
        <v>0</v>
      </c>
      <c r="S3340" t="n">
        <v>0</v>
      </c>
      <c r="T3340" t="n">
        <v>0</v>
      </c>
      <c r="U3340" t="n">
        <v>0</v>
      </c>
      <c r="V3340" s="2" t="inlineStr"/>
    </row>
    <row r="3341" ht="15" customHeight="1">
      <c r="A3341" t="inlineStr">
        <is>
          <t>A 34281-2026</t>
        </is>
      </c>
      <c r="B3341" t="inlineStr">
        <is>
          <t>avverkningsanmälan</t>
        </is>
      </c>
      <c r="C3341" t="inlineStr">
        <is>
          <t>Föryngringsavverkning</t>
        </is>
      </c>
      <c r="D3341" s="1" t="n">
        <v>46253</v>
      </c>
      <c r="E3341" s="1" t="n">
        <v>46309</v>
      </c>
      <c r="F3341" t="inlineStr">
        <is>
          <t>UPPSALA LÄN</t>
        </is>
      </c>
      <c r="G3341" t="inlineStr">
        <is>
          <t>HEBY</t>
        </is>
      </c>
      <c r="H3341" t="inlineStr">
        <is>
          <t>Allmännings- och besparingsskogar</t>
        </is>
      </c>
      <c r="I3341" t="n">
        <v>10.4</v>
      </c>
      <c r="J3341" t="n">
        <v>0</v>
      </c>
      <c r="K3341" t="n">
        <v>0</v>
      </c>
      <c r="L3341" t="n">
        <v>0</v>
      </c>
      <c r="M3341" t="n">
        <v>0</v>
      </c>
      <c r="N3341" t="n">
        <v>0</v>
      </c>
      <c r="O3341" t="n">
        <v>0</v>
      </c>
      <c r="P3341" t="n">
        <v>0</v>
      </c>
      <c r="Q3341" t="n">
        <v>0</v>
      </c>
      <c r="R3341" t="n">
        <v>0</v>
      </c>
      <c r="S3341" t="n">
        <v>0</v>
      </c>
      <c r="T3341" t="n">
        <v>0</v>
      </c>
      <c r="U3341" t="n">
        <v>0</v>
      </c>
      <c r="V3341" s="2" t="inlineStr"/>
    </row>
    <row r="3342" ht="15" customHeight="1">
      <c r="A3342" t="inlineStr">
        <is>
          <t>A 42262-2024</t>
        </is>
      </c>
      <c r="B3342" t="inlineStr">
        <is>
          <t>avverkningsanmälan</t>
        </is>
      </c>
      <c r="C3342" t="inlineStr">
        <is>
          <t>Föryngringsavverkning</t>
        </is>
      </c>
      <c r="D3342" s="1" t="n">
        <v>45562</v>
      </c>
      <c r="E3342" s="1" t="n">
        <v>46309</v>
      </c>
      <c r="F3342" t="inlineStr">
        <is>
          <t>UPPSALA LÄN</t>
        </is>
      </c>
      <c r="G3342" t="inlineStr">
        <is>
          <t>ÖSTHAMMAR</t>
        </is>
      </c>
      <c r="H3342" t="inlineStr">
        <is>
          <t>Bergvik skog öst AB</t>
        </is>
      </c>
      <c r="I3342" t="n">
        <v>1.7</v>
      </c>
      <c r="J3342" t="n">
        <v>0</v>
      </c>
      <c r="K3342" t="n">
        <v>0</v>
      </c>
      <c r="L3342" t="n">
        <v>0</v>
      </c>
      <c r="M3342" t="n">
        <v>0</v>
      </c>
      <c r="N3342" t="n">
        <v>0</v>
      </c>
      <c r="O3342" t="n">
        <v>0</v>
      </c>
      <c r="P3342" t="n">
        <v>0</v>
      </c>
      <c r="Q3342" t="n">
        <v>0</v>
      </c>
      <c r="R3342" t="n">
        <v>0</v>
      </c>
      <c r="S3342" t="n">
        <v>0</v>
      </c>
      <c r="T3342" t="n">
        <v>0</v>
      </c>
      <c r="U3342" t="n">
        <v>0</v>
      </c>
      <c r="V3342" s="2" t="inlineStr"/>
    </row>
    <row r="3343" ht="15" customHeight="1">
      <c r="A3343" t="inlineStr">
        <is>
          <t>A 34334-2026</t>
        </is>
      </c>
      <c r="B3343" t="inlineStr">
        <is>
          <t>avverkningsanmälan</t>
        </is>
      </c>
      <c r="C3343" t="inlineStr">
        <is>
          <t>Föryngringsavverkning</t>
        </is>
      </c>
      <c r="D3343" s="1" t="n">
        <v>46254</v>
      </c>
      <c r="E3343" s="1" t="n">
        <v>46309</v>
      </c>
      <c r="F3343" t="inlineStr">
        <is>
          <t>UPPSALA LÄN</t>
        </is>
      </c>
      <c r="G3343" t="inlineStr">
        <is>
          <t>HEBY</t>
        </is>
      </c>
      <c r="H3343" t="inlineStr">
        <is>
          <t>Bergvik skog väst AB</t>
        </is>
      </c>
      <c r="I3343" t="n">
        <v>2</v>
      </c>
      <c r="J3343" t="n">
        <v>0</v>
      </c>
      <c r="K3343" t="n">
        <v>0</v>
      </c>
      <c r="L3343" t="n">
        <v>0</v>
      </c>
      <c r="M3343" t="n">
        <v>0</v>
      </c>
      <c r="N3343" t="n">
        <v>0</v>
      </c>
      <c r="O3343" t="n">
        <v>0</v>
      </c>
      <c r="P3343" t="n">
        <v>0</v>
      </c>
      <c r="Q3343" t="n">
        <v>0</v>
      </c>
      <c r="R3343" t="n">
        <v>0</v>
      </c>
      <c r="S3343" t="n">
        <v>0</v>
      </c>
      <c r="T3343" t="n">
        <v>0</v>
      </c>
      <c r="U3343" t="n">
        <v>0</v>
      </c>
      <c r="V3343" s="2" t="inlineStr"/>
    </row>
    <row r="3344" ht="15" customHeight="1">
      <c r="A3344" t="inlineStr">
        <is>
          <t>A 38617-2026</t>
        </is>
      </c>
      <c r="B3344" t="inlineStr">
        <is>
          <t>avverkningsanmälan</t>
        </is>
      </c>
      <c r="C3344" t="inlineStr">
        <is>
          <t>Föryngringsavverkning</t>
        </is>
      </c>
      <c r="D3344" s="1" t="n">
        <v>46283</v>
      </c>
      <c r="E3344" s="1" t="n">
        <v>46309</v>
      </c>
      <c r="F3344" t="inlineStr">
        <is>
          <t>UPPSALA LÄN</t>
        </is>
      </c>
      <c r="G3344" t="inlineStr">
        <is>
          <t>ÄLVKARLEBY</t>
        </is>
      </c>
      <c r="H3344" t="inlineStr">
        <is>
          <t>Bergvik skog väst AB</t>
        </is>
      </c>
      <c r="I3344" t="n">
        <v>3</v>
      </c>
      <c r="J3344" t="n">
        <v>0</v>
      </c>
      <c r="K3344" t="n">
        <v>0</v>
      </c>
      <c r="L3344" t="n">
        <v>0</v>
      </c>
      <c r="M3344" t="n">
        <v>0</v>
      </c>
      <c r="N3344" t="n">
        <v>0</v>
      </c>
      <c r="O3344" t="n">
        <v>0</v>
      </c>
      <c r="P3344" t="n">
        <v>0</v>
      </c>
      <c r="Q3344" t="n">
        <v>0</v>
      </c>
      <c r="R3344" t="n">
        <v>0</v>
      </c>
      <c r="S3344" t="n">
        <v>0</v>
      </c>
      <c r="T3344" t="n">
        <v>0</v>
      </c>
      <c r="U3344" t="n">
        <v>0</v>
      </c>
      <c r="V3344" s="2" t="inlineStr"/>
    </row>
    <row r="3345" ht="15" customHeight="1">
      <c r="A3345" t="inlineStr">
        <is>
          <t>A 40651-2026</t>
        </is>
      </c>
      <c r="B3345" t="inlineStr">
        <is>
          <t>avverkningsanmälan</t>
        </is>
      </c>
      <c r="C3345" t="inlineStr">
        <is>
          <t>Föryngringsavverkning</t>
        </is>
      </c>
      <c r="D3345" s="1" t="n">
        <v>46296</v>
      </c>
      <c r="E3345" s="1" t="n">
        <v>46309</v>
      </c>
      <c r="F3345" t="inlineStr">
        <is>
          <t>UPPSALA LÄN</t>
        </is>
      </c>
      <c r="G3345" t="inlineStr">
        <is>
          <t>HEBY</t>
        </is>
      </c>
      <c r="I3345" t="n">
        <v>1.1</v>
      </c>
      <c r="J3345" t="n">
        <v>0</v>
      </c>
      <c r="K3345" t="n">
        <v>0</v>
      </c>
      <c r="L3345" t="n">
        <v>0</v>
      </c>
      <c r="M3345" t="n">
        <v>0</v>
      </c>
      <c r="N3345" t="n">
        <v>0</v>
      </c>
      <c r="O3345" t="n">
        <v>0</v>
      </c>
      <c r="P3345" t="n">
        <v>0</v>
      </c>
      <c r="Q3345" t="n">
        <v>0</v>
      </c>
      <c r="R3345" t="n">
        <v>0</v>
      </c>
      <c r="S3345" t="n">
        <v>0</v>
      </c>
      <c r="T3345" t="n">
        <v>0</v>
      </c>
      <c r="U3345" t="n">
        <v>0</v>
      </c>
      <c r="V3345" s="2" t="inlineStr"/>
    </row>
    <row r="3346" ht="15" customHeight="1">
      <c r="A3346" t="inlineStr">
        <is>
          <t>A 34270-2026</t>
        </is>
      </c>
      <c r="B3346" t="inlineStr">
        <is>
          <t>avverkningsanmälan</t>
        </is>
      </c>
      <c r="C3346" t="inlineStr">
        <is>
          <t>Föryngringsavverkning</t>
        </is>
      </c>
      <c r="D3346" s="1" t="n">
        <v>46253</v>
      </c>
      <c r="E3346" s="1" t="n">
        <v>46309</v>
      </c>
      <c r="F3346" t="inlineStr">
        <is>
          <t>UPPSALA LÄN</t>
        </is>
      </c>
      <c r="G3346" t="inlineStr">
        <is>
          <t>HEBY</t>
        </is>
      </c>
      <c r="H3346" t="inlineStr">
        <is>
          <t>Bergvik skog väst AB</t>
        </is>
      </c>
      <c r="I3346" t="n">
        <v>1.4</v>
      </c>
      <c r="J3346" t="n">
        <v>0</v>
      </c>
      <c r="K3346" t="n">
        <v>0</v>
      </c>
      <c r="L3346" t="n">
        <v>0</v>
      </c>
      <c r="M3346" t="n">
        <v>0</v>
      </c>
      <c r="N3346" t="n">
        <v>0</v>
      </c>
      <c r="O3346" t="n">
        <v>0</v>
      </c>
      <c r="P3346" t="n">
        <v>0</v>
      </c>
      <c r="Q3346" t="n">
        <v>0</v>
      </c>
      <c r="R3346" t="n">
        <v>0</v>
      </c>
      <c r="S3346" t="n">
        <v>0</v>
      </c>
      <c r="T3346" t="n">
        <v>0</v>
      </c>
      <c r="U3346" t="n">
        <v>0</v>
      </c>
      <c r="V3346" s="2" t="inlineStr"/>
    </row>
    <row r="3347" ht="15" customHeight="1">
      <c r="A3347" t="inlineStr">
        <is>
          <t>A 40591-2026</t>
        </is>
      </c>
      <c r="B3347" t="inlineStr">
        <is>
          <t>avverkningsanmälan</t>
        </is>
      </c>
      <c r="C3347" t="inlineStr">
        <is>
          <t>Föryngringsavverkning</t>
        </is>
      </c>
      <c r="D3347" s="1" t="n">
        <v>46295</v>
      </c>
      <c r="E3347" s="1" t="n">
        <v>46309</v>
      </c>
      <c r="F3347" t="inlineStr">
        <is>
          <t>UPPSALA LÄN</t>
        </is>
      </c>
      <c r="G3347" t="inlineStr">
        <is>
          <t>TIERP</t>
        </is>
      </c>
      <c r="I3347" t="n">
        <v>0.9</v>
      </c>
      <c r="J3347" t="n">
        <v>0</v>
      </c>
      <c r="K3347" t="n">
        <v>0</v>
      </c>
      <c r="L3347" t="n">
        <v>0</v>
      </c>
      <c r="M3347" t="n">
        <v>0</v>
      </c>
      <c r="N3347" t="n">
        <v>0</v>
      </c>
      <c r="O3347" t="n">
        <v>0</v>
      </c>
      <c r="P3347" t="n">
        <v>0</v>
      </c>
      <c r="Q3347" t="n">
        <v>0</v>
      </c>
      <c r="R3347" t="n">
        <v>0</v>
      </c>
      <c r="S3347" t="n">
        <v>0</v>
      </c>
      <c r="T3347" t="n">
        <v>0</v>
      </c>
      <c r="U3347" t="n">
        <v>0</v>
      </c>
      <c r="V3347" s="2" t="inlineStr"/>
    </row>
    <row r="3348" ht="15" customHeight="1">
      <c r="A3348" t="inlineStr">
        <is>
          <t>A 34073-2026</t>
        </is>
      </c>
      <c r="B3348" t="inlineStr">
        <is>
          <t>avverkningsanmälan</t>
        </is>
      </c>
      <c r="C3348" t="inlineStr">
        <is>
          <t>Föryngringsavverkning</t>
        </is>
      </c>
      <c r="D3348" s="1" t="n">
        <v>46252</v>
      </c>
      <c r="E3348" s="1" t="n">
        <v>46309</v>
      </c>
      <c r="F3348" t="inlineStr">
        <is>
          <t>UPPSALA LÄN</t>
        </is>
      </c>
      <c r="G3348" t="inlineStr">
        <is>
          <t>TIERP</t>
        </is>
      </c>
      <c r="H3348" t="inlineStr">
        <is>
          <t>Bergvik skog väst AB</t>
        </is>
      </c>
      <c r="I3348" t="n">
        <v>14.2</v>
      </c>
      <c r="J3348" t="n">
        <v>0</v>
      </c>
      <c r="K3348" t="n">
        <v>0</v>
      </c>
      <c r="L3348" t="n">
        <v>0</v>
      </c>
      <c r="M3348" t="n">
        <v>0</v>
      </c>
      <c r="N3348" t="n">
        <v>0</v>
      </c>
      <c r="O3348" t="n">
        <v>0</v>
      </c>
      <c r="P3348" t="n">
        <v>0</v>
      </c>
      <c r="Q3348" t="n">
        <v>0</v>
      </c>
      <c r="R3348" t="n">
        <v>0</v>
      </c>
      <c r="S3348" t="n">
        <v>0</v>
      </c>
      <c r="T3348" t="n">
        <v>0</v>
      </c>
      <c r="U3348" t="n">
        <v>0</v>
      </c>
      <c r="V3348" s="2" t="inlineStr"/>
    </row>
    <row r="3349" ht="15" customHeight="1">
      <c r="A3349" t="inlineStr">
        <is>
          <t>A 34148-2026</t>
        </is>
      </c>
      <c r="B3349" t="inlineStr">
        <is>
          <t>avverkningsanmälan</t>
        </is>
      </c>
      <c r="C3349" t="inlineStr">
        <is>
          <t>Föryngringsavverkning</t>
        </is>
      </c>
      <c r="D3349" s="1" t="n">
        <v>46253</v>
      </c>
      <c r="E3349" s="1" t="n">
        <v>46309</v>
      </c>
      <c r="F3349" t="inlineStr">
        <is>
          <t>UPPSALA LÄN</t>
        </is>
      </c>
      <c r="G3349" t="inlineStr">
        <is>
          <t>TIERP</t>
        </is>
      </c>
      <c r="H3349" t="inlineStr">
        <is>
          <t>Bergvik skog öst AB</t>
        </is>
      </c>
      <c r="I3349" t="n">
        <v>4.8</v>
      </c>
      <c r="J3349" t="n">
        <v>0</v>
      </c>
      <c r="K3349" t="n">
        <v>0</v>
      </c>
      <c r="L3349" t="n">
        <v>0</v>
      </c>
      <c r="M3349" t="n">
        <v>0</v>
      </c>
      <c r="N3349" t="n">
        <v>0</v>
      </c>
      <c r="O3349" t="n">
        <v>0</v>
      </c>
      <c r="P3349" t="n">
        <v>0</v>
      </c>
      <c r="Q3349" t="n">
        <v>0</v>
      </c>
      <c r="R3349" t="n">
        <v>0</v>
      </c>
      <c r="S3349" t="n">
        <v>0</v>
      </c>
      <c r="T3349" t="n">
        <v>0</v>
      </c>
      <c r="U3349" t="n">
        <v>0</v>
      </c>
      <c r="V3349" s="2" t="inlineStr"/>
    </row>
    <row r="3350" ht="15" customHeight="1">
      <c r="A3350" t="inlineStr">
        <is>
          <t>A 34578-2026</t>
        </is>
      </c>
      <c r="B3350" t="inlineStr">
        <is>
          <t>avverkningsanmälan</t>
        </is>
      </c>
      <c r="C3350" t="inlineStr">
        <is>
          <t>Föryngringsavverkning</t>
        </is>
      </c>
      <c r="D3350" s="1" t="n">
        <v>46255</v>
      </c>
      <c r="E3350" s="1" t="n">
        <v>46309</v>
      </c>
      <c r="F3350" t="inlineStr">
        <is>
          <t>UPPSALA LÄN</t>
        </is>
      </c>
      <c r="G3350" t="inlineStr">
        <is>
          <t>HEBY</t>
        </is>
      </c>
      <c r="I3350" t="n">
        <v>0.5</v>
      </c>
      <c r="J3350" t="n">
        <v>0</v>
      </c>
      <c r="K3350" t="n">
        <v>0</v>
      </c>
      <c r="L3350" t="n">
        <v>0</v>
      </c>
      <c r="M3350" t="n">
        <v>0</v>
      </c>
      <c r="N3350" t="n">
        <v>0</v>
      </c>
      <c r="O3350" t="n">
        <v>0</v>
      </c>
      <c r="P3350" t="n">
        <v>0</v>
      </c>
      <c r="Q3350" t="n">
        <v>0</v>
      </c>
      <c r="R3350" t="n">
        <v>0</v>
      </c>
      <c r="S3350" t="n">
        <v>0</v>
      </c>
      <c r="T3350" t="n">
        <v>0</v>
      </c>
      <c r="U3350" t="n">
        <v>0</v>
      </c>
      <c r="V3350" s="2" t="inlineStr"/>
    </row>
    <row r="3351" ht="15" customHeight="1">
      <c r="A3351" t="inlineStr">
        <is>
          <t>A 34579-2026</t>
        </is>
      </c>
      <c r="B3351" t="inlineStr">
        <is>
          <t>avverkningsanmälan</t>
        </is>
      </c>
      <c r="C3351" t="inlineStr">
        <is>
          <t>Föryngringsavverkning</t>
        </is>
      </c>
      <c r="D3351" s="1" t="n">
        <v>46255</v>
      </c>
      <c r="E3351" s="1" t="n">
        <v>46309</v>
      </c>
      <c r="F3351" t="inlineStr">
        <is>
          <t>UPPSALA LÄN</t>
        </is>
      </c>
      <c r="G3351" t="inlineStr">
        <is>
          <t>HEBY</t>
        </is>
      </c>
      <c r="I3351" t="n">
        <v>1.2</v>
      </c>
      <c r="J3351" t="n">
        <v>0</v>
      </c>
      <c r="K3351" t="n">
        <v>0</v>
      </c>
      <c r="L3351" t="n">
        <v>0</v>
      </c>
      <c r="M3351" t="n">
        <v>0</v>
      </c>
      <c r="N3351" t="n">
        <v>0</v>
      </c>
      <c r="O3351" t="n">
        <v>0</v>
      </c>
      <c r="P3351" t="n">
        <v>0</v>
      </c>
      <c r="Q3351" t="n">
        <v>0</v>
      </c>
      <c r="R3351" t="n">
        <v>0</v>
      </c>
      <c r="S3351" t="n">
        <v>0</v>
      </c>
      <c r="T3351" t="n">
        <v>0</v>
      </c>
      <c r="U3351" t="n">
        <v>0</v>
      </c>
      <c r="V3351" s="2" t="inlineStr"/>
    </row>
    <row r="3352" ht="15" customHeight="1">
      <c r="A3352" t="inlineStr">
        <is>
          <t>A 34381-2026</t>
        </is>
      </c>
      <c r="B3352" t="inlineStr">
        <is>
          <t>avverkningsanmälan</t>
        </is>
      </c>
      <c r="C3352" t="inlineStr">
        <is>
          <t>Föryngringsavverkning</t>
        </is>
      </c>
      <c r="D3352" s="1" t="n">
        <v>46254</v>
      </c>
      <c r="E3352" s="1" t="n">
        <v>46309</v>
      </c>
      <c r="F3352" t="inlineStr">
        <is>
          <t>UPPSALA LÄN</t>
        </is>
      </c>
      <c r="G3352" t="inlineStr">
        <is>
          <t>HEBY</t>
        </is>
      </c>
      <c r="H3352" t="inlineStr">
        <is>
          <t>Kyrkan</t>
        </is>
      </c>
      <c r="I3352" t="n">
        <v>4.6</v>
      </c>
      <c r="J3352" t="n">
        <v>0</v>
      </c>
      <c r="K3352" t="n">
        <v>0</v>
      </c>
      <c r="L3352" t="n">
        <v>0</v>
      </c>
      <c r="M3352" t="n">
        <v>0</v>
      </c>
      <c r="N3352" t="n">
        <v>0</v>
      </c>
      <c r="O3352" t="n">
        <v>0</v>
      </c>
      <c r="P3352" t="n">
        <v>0</v>
      </c>
      <c r="Q3352" t="n">
        <v>0</v>
      </c>
      <c r="R3352" t="n">
        <v>0</v>
      </c>
      <c r="S3352" t="n">
        <v>0</v>
      </c>
      <c r="T3352" t="n">
        <v>0</v>
      </c>
      <c r="U3352" t="n">
        <v>0</v>
      </c>
      <c r="V3352" s="2" t="inlineStr"/>
    </row>
    <row r="3353" ht="15" customHeight="1">
      <c r="A3353" t="inlineStr">
        <is>
          <t>A 28169-2026</t>
        </is>
      </c>
      <c r="B3353" t="inlineStr">
        <is>
          <t>avverkningsanmälan</t>
        </is>
      </c>
      <c r="C3353" t="inlineStr">
        <is>
          <t>Föryngringsavverkning</t>
        </is>
      </c>
      <c r="D3353" s="1" t="n">
        <v>46195</v>
      </c>
      <c r="E3353" s="1" t="n">
        <v>46309</v>
      </c>
      <c r="F3353" t="inlineStr">
        <is>
          <t>UPPSALA LÄN</t>
        </is>
      </c>
      <c r="G3353" t="inlineStr">
        <is>
          <t>TIERP</t>
        </is>
      </c>
      <c r="I3353" t="n">
        <v>1.8</v>
      </c>
      <c r="J3353" t="n">
        <v>0</v>
      </c>
      <c r="K3353" t="n">
        <v>0</v>
      </c>
      <c r="L3353" t="n">
        <v>0</v>
      </c>
      <c r="M3353" t="n">
        <v>0</v>
      </c>
      <c r="N3353" t="n">
        <v>0</v>
      </c>
      <c r="O3353" t="n">
        <v>0</v>
      </c>
      <c r="P3353" t="n">
        <v>0</v>
      </c>
      <c r="Q3353" t="n">
        <v>0</v>
      </c>
      <c r="R3353" t="n">
        <v>0</v>
      </c>
      <c r="S3353" t="n">
        <v>0</v>
      </c>
      <c r="T3353" t="n">
        <v>0</v>
      </c>
      <c r="U3353" t="n">
        <v>0</v>
      </c>
      <c r="V3353" s="2" t="inlineStr"/>
    </row>
    <row r="3354" ht="15" customHeight="1">
      <c r="A3354" t="inlineStr">
        <is>
          <t>A 34574-2026</t>
        </is>
      </c>
      <c r="B3354" t="inlineStr">
        <is>
          <t>avverkningsanmälan</t>
        </is>
      </c>
      <c r="C3354" t="inlineStr">
        <is>
          <t>Föryngringsavverkning</t>
        </is>
      </c>
      <c r="D3354" s="1" t="n">
        <v>46255</v>
      </c>
      <c r="E3354" s="1" t="n">
        <v>46309</v>
      </c>
      <c r="F3354" t="inlineStr">
        <is>
          <t>UPPSALA LÄN</t>
        </is>
      </c>
      <c r="G3354" t="inlineStr">
        <is>
          <t>HEBY</t>
        </is>
      </c>
      <c r="I3354" t="n">
        <v>4.1</v>
      </c>
      <c r="J3354" t="n">
        <v>0</v>
      </c>
      <c r="K3354" t="n">
        <v>0</v>
      </c>
      <c r="L3354" t="n">
        <v>0</v>
      </c>
      <c r="M3354" t="n">
        <v>0</v>
      </c>
      <c r="N3354" t="n">
        <v>0</v>
      </c>
      <c r="O3354" t="n">
        <v>0</v>
      </c>
      <c r="P3354" t="n">
        <v>0</v>
      </c>
      <c r="Q3354" t="n">
        <v>0</v>
      </c>
      <c r="R3354" t="n">
        <v>0</v>
      </c>
      <c r="S3354" t="n">
        <v>0</v>
      </c>
      <c r="T3354" t="n">
        <v>0</v>
      </c>
      <c r="U3354" t="n">
        <v>0</v>
      </c>
      <c r="V3354" s="2" t="inlineStr"/>
    </row>
    <row r="3355" ht="15" customHeight="1">
      <c r="A3355" t="inlineStr">
        <is>
          <t>A 41016-2026</t>
        </is>
      </c>
      <c r="B3355" t="inlineStr">
        <is>
          <t>avverkningsanmälan</t>
        </is>
      </c>
      <c r="C3355" t="inlineStr">
        <is>
          <t>Föryngringsavverkning</t>
        </is>
      </c>
      <c r="D3355" s="1" t="n">
        <v>46297</v>
      </c>
      <c r="E3355" s="1" t="n">
        <v>46309</v>
      </c>
      <c r="F3355" t="inlineStr">
        <is>
          <t>UPPSALA LÄN</t>
        </is>
      </c>
      <c r="G3355" t="inlineStr">
        <is>
          <t>TIERP</t>
        </is>
      </c>
      <c r="H3355" t="inlineStr">
        <is>
          <t>Bergvik skog väst AB</t>
        </is>
      </c>
      <c r="I3355" t="n">
        <v>1.3</v>
      </c>
      <c r="J3355" t="n">
        <v>0</v>
      </c>
      <c r="K3355" t="n">
        <v>0</v>
      </c>
      <c r="L3355" t="n">
        <v>0</v>
      </c>
      <c r="M3355" t="n">
        <v>0</v>
      </c>
      <c r="N3355" t="n">
        <v>0</v>
      </c>
      <c r="O3355" t="n">
        <v>0</v>
      </c>
      <c r="P3355" t="n">
        <v>0</v>
      </c>
      <c r="Q3355" t="n">
        <v>0</v>
      </c>
      <c r="R3355" t="n">
        <v>0</v>
      </c>
      <c r="S3355" t="n">
        <v>0</v>
      </c>
      <c r="T3355" t="n">
        <v>0</v>
      </c>
      <c r="U3355" t="n">
        <v>0</v>
      </c>
      <c r="V3355" s="2" t="inlineStr"/>
    </row>
    <row r="3356" ht="15" customHeight="1">
      <c r="A3356" t="inlineStr">
        <is>
          <t>A 34662-2026</t>
        </is>
      </c>
      <c r="B3356" t="inlineStr">
        <is>
          <t>avverkningsanmälan</t>
        </is>
      </c>
      <c r="C3356" t="inlineStr">
        <is>
          <t>Föryngringsavverkning</t>
        </is>
      </c>
      <c r="D3356" s="1" t="n">
        <v>46257</v>
      </c>
      <c r="E3356" s="1" t="n">
        <v>46309</v>
      </c>
      <c r="F3356" t="inlineStr">
        <is>
          <t>UPPSALA LÄN</t>
        </is>
      </c>
      <c r="G3356" t="inlineStr">
        <is>
          <t>TIERP</t>
        </is>
      </c>
      <c r="I3356" t="n">
        <v>1.1</v>
      </c>
      <c r="J3356" t="n">
        <v>0</v>
      </c>
      <c r="K3356" t="n">
        <v>0</v>
      </c>
      <c r="L3356" t="n">
        <v>0</v>
      </c>
      <c r="M3356" t="n">
        <v>0</v>
      </c>
      <c r="N3356" t="n">
        <v>0</v>
      </c>
      <c r="O3356" t="n">
        <v>0</v>
      </c>
      <c r="P3356" t="n">
        <v>0</v>
      </c>
      <c r="Q3356" t="n">
        <v>0</v>
      </c>
      <c r="R3356" t="n">
        <v>0</v>
      </c>
      <c r="S3356" t="n">
        <v>0</v>
      </c>
      <c r="T3356" t="n">
        <v>0</v>
      </c>
      <c r="U3356" t="n">
        <v>0</v>
      </c>
      <c r="V3356" s="2" t="inlineStr"/>
    </row>
    <row r="3357" ht="15" customHeight="1">
      <c r="A3357" t="inlineStr">
        <is>
          <t>A 34663-2026</t>
        </is>
      </c>
      <c r="B3357" t="inlineStr">
        <is>
          <t>avverkningsanmälan</t>
        </is>
      </c>
      <c r="C3357" t="inlineStr">
        <is>
          <t>Föryngringsavverkning</t>
        </is>
      </c>
      <c r="D3357" s="1" t="n">
        <v>46257</v>
      </c>
      <c r="E3357" s="1" t="n">
        <v>46309</v>
      </c>
      <c r="F3357" t="inlineStr">
        <is>
          <t>UPPSALA LÄN</t>
        </is>
      </c>
      <c r="G3357" t="inlineStr">
        <is>
          <t>TIERP</t>
        </is>
      </c>
      <c r="I3357" t="n">
        <v>4.9</v>
      </c>
      <c r="J3357" t="n">
        <v>0</v>
      </c>
      <c r="K3357" t="n">
        <v>0</v>
      </c>
      <c r="L3357" t="n">
        <v>0</v>
      </c>
      <c r="M3357" t="n">
        <v>0</v>
      </c>
      <c r="N3357" t="n">
        <v>0</v>
      </c>
      <c r="O3357" t="n">
        <v>0</v>
      </c>
      <c r="P3357" t="n">
        <v>0</v>
      </c>
      <c r="Q3357" t="n">
        <v>0</v>
      </c>
      <c r="R3357" t="n">
        <v>0</v>
      </c>
      <c r="S3357" t="n">
        <v>0</v>
      </c>
      <c r="T3357" t="n">
        <v>0</v>
      </c>
      <c r="U3357" t="n">
        <v>0</v>
      </c>
      <c r="V3357" s="2" t="inlineStr"/>
    </row>
    <row r="3358" ht="15" customHeight="1">
      <c r="A3358" t="inlineStr">
        <is>
          <t>A 794-2024</t>
        </is>
      </c>
      <c r="B3358" t="inlineStr">
        <is>
          <t>avverkningsanmälan</t>
        </is>
      </c>
      <c r="C3358" t="inlineStr">
        <is>
          <t>Föryngringsavverkning</t>
        </is>
      </c>
      <c r="D3358" s="1" t="n">
        <v>45300</v>
      </c>
      <c r="E3358" s="1" t="n">
        <v>46309</v>
      </c>
      <c r="F3358" t="inlineStr">
        <is>
          <t>UPPSALA LÄN</t>
        </is>
      </c>
      <c r="G3358" t="inlineStr">
        <is>
          <t>KNIVSTA</t>
        </is>
      </c>
      <c r="I3358" t="n">
        <v>1.6</v>
      </c>
      <c r="J3358" t="n">
        <v>0</v>
      </c>
      <c r="K3358" t="n">
        <v>0</v>
      </c>
      <c r="L3358" t="n">
        <v>0</v>
      </c>
      <c r="M3358" t="n">
        <v>0</v>
      </c>
      <c r="N3358" t="n">
        <v>0</v>
      </c>
      <c r="O3358" t="n">
        <v>0</v>
      </c>
      <c r="P3358" t="n">
        <v>0</v>
      </c>
      <c r="Q3358" t="n">
        <v>0</v>
      </c>
      <c r="R3358" t="n">
        <v>0</v>
      </c>
      <c r="S3358" t="n">
        <v>0</v>
      </c>
      <c r="T3358" t="n">
        <v>0</v>
      </c>
      <c r="U3358" t="n">
        <v>0</v>
      </c>
      <c r="V3358" s="2" t="inlineStr"/>
    </row>
    <row r="3359" ht="15" customHeight="1">
      <c r="A3359" t="inlineStr">
        <is>
          <t>A 41148-2026</t>
        </is>
      </c>
      <c r="B3359" t="inlineStr">
        <is>
          <t>avverkningsanmälan</t>
        </is>
      </c>
      <c r="C3359" t="inlineStr">
        <is>
          <t>Föryngringsavverkning</t>
        </is>
      </c>
      <c r="D3359" s="1" t="n">
        <v>46300</v>
      </c>
      <c r="E3359" s="1" t="n">
        <v>46309</v>
      </c>
      <c r="F3359" t="inlineStr">
        <is>
          <t>UPPSALA LÄN</t>
        </is>
      </c>
      <c r="G3359" t="inlineStr">
        <is>
          <t>ÖSTHAMMAR</t>
        </is>
      </c>
      <c r="H3359" t="inlineStr">
        <is>
          <t>Övriga Aktiebolag</t>
        </is>
      </c>
      <c r="I3359" t="n">
        <v>4.4</v>
      </c>
      <c r="J3359" t="n">
        <v>0</v>
      </c>
      <c r="K3359" t="n">
        <v>0</v>
      </c>
      <c r="L3359" t="n">
        <v>0</v>
      </c>
      <c r="M3359" t="n">
        <v>0</v>
      </c>
      <c r="N3359" t="n">
        <v>0</v>
      </c>
      <c r="O3359" t="n">
        <v>0</v>
      </c>
      <c r="P3359" t="n">
        <v>0</v>
      </c>
      <c r="Q3359" t="n">
        <v>0</v>
      </c>
      <c r="R3359" t="n">
        <v>0</v>
      </c>
      <c r="S3359" t="n">
        <v>0</v>
      </c>
      <c r="T3359" t="n">
        <v>0</v>
      </c>
      <c r="U3359" t="n">
        <v>0</v>
      </c>
      <c r="V3359" s="2" t="inlineStr"/>
    </row>
    <row r="3360" ht="15" customHeight="1">
      <c r="A3360" t="inlineStr">
        <is>
          <t>A 750-2022</t>
        </is>
      </c>
      <c r="B3360" t="inlineStr">
        <is>
          <t>avverkningsanmälan</t>
        </is>
      </c>
      <c r="C3360" t="inlineStr">
        <is>
          <t>Föryngringsavverkning</t>
        </is>
      </c>
      <c r="D3360" s="1" t="n">
        <v>44569</v>
      </c>
      <c r="E3360" s="1" t="n">
        <v>46309</v>
      </c>
      <c r="F3360" t="inlineStr">
        <is>
          <t>UPPSALA LÄN</t>
        </is>
      </c>
      <c r="G3360" t="inlineStr">
        <is>
          <t>UPPSALA</t>
        </is>
      </c>
      <c r="H3360" t="inlineStr">
        <is>
          <t>Holmen skog AB</t>
        </is>
      </c>
      <c r="I3360" t="n">
        <v>6</v>
      </c>
      <c r="J3360" t="n">
        <v>0</v>
      </c>
      <c r="K3360" t="n">
        <v>0</v>
      </c>
      <c r="L3360" t="n">
        <v>0</v>
      </c>
      <c r="M3360" t="n">
        <v>0</v>
      </c>
      <c r="N3360" t="n">
        <v>0</v>
      </c>
      <c r="O3360" t="n">
        <v>0</v>
      </c>
      <c r="P3360" t="n">
        <v>0</v>
      </c>
      <c r="Q3360" t="n">
        <v>0</v>
      </c>
      <c r="R3360" t="n">
        <v>0</v>
      </c>
      <c r="S3360" t="n">
        <v>0</v>
      </c>
      <c r="T3360" t="n">
        <v>0</v>
      </c>
      <c r="U3360" t="n">
        <v>0</v>
      </c>
      <c r="V3360" s="2" t="inlineStr"/>
    </row>
    <row r="3361" ht="15" customHeight="1">
      <c r="A3361" t="inlineStr">
        <is>
          <t>A 44796-2024</t>
        </is>
      </c>
      <c r="B3361" t="inlineStr">
        <is>
          <t>avverkningsanmälan</t>
        </is>
      </c>
      <c r="C3361" t="inlineStr">
        <is>
          <t>Avverkning för annat ändamål</t>
        </is>
      </c>
      <c r="D3361" s="1" t="n">
        <v>45574</v>
      </c>
      <c r="E3361" s="1" t="n">
        <v>46309</v>
      </c>
      <c r="F3361" t="inlineStr">
        <is>
          <t>UPPSALA LÄN</t>
        </is>
      </c>
      <c r="G3361" t="inlineStr">
        <is>
          <t>ÖSTHAMMAR</t>
        </is>
      </c>
      <c r="I3361" t="n">
        <v>4.7</v>
      </c>
      <c r="J3361" t="n">
        <v>0</v>
      </c>
      <c r="K3361" t="n">
        <v>0</v>
      </c>
      <c r="L3361" t="n">
        <v>0</v>
      </c>
      <c r="M3361" t="n">
        <v>0</v>
      </c>
      <c r="N3361" t="n">
        <v>0</v>
      </c>
      <c r="O3361" t="n">
        <v>0</v>
      </c>
      <c r="P3361" t="n">
        <v>0</v>
      </c>
      <c r="Q3361" t="n">
        <v>0</v>
      </c>
      <c r="R3361" t="n">
        <v>0</v>
      </c>
      <c r="S3361" t="n">
        <v>0</v>
      </c>
      <c r="T3361" t="n">
        <v>0</v>
      </c>
      <c r="U3361" t="n">
        <v>0</v>
      </c>
      <c r="V3361" s="2" t="inlineStr"/>
    </row>
    <row r="3362" ht="15" customHeight="1">
      <c r="A3362" t="inlineStr">
        <is>
          <t>A 14437-2024</t>
        </is>
      </c>
      <c r="B3362" t="inlineStr">
        <is>
          <t>avverkningsanmälan</t>
        </is>
      </c>
      <c r="C3362" t="inlineStr">
        <is>
          <t>Föryngringsavverkning</t>
        </is>
      </c>
      <c r="D3362" s="1" t="n">
        <v>45394</v>
      </c>
      <c r="E3362" s="1" t="n">
        <v>46309</v>
      </c>
      <c r="F3362" t="inlineStr">
        <is>
          <t>UPPSALA LÄN</t>
        </is>
      </c>
      <c r="G3362" t="inlineStr">
        <is>
          <t>HEBY</t>
        </is>
      </c>
      <c r="I3362" t="n">
        <v>4.3</v>
      </c>
      <c r="J3362" t="n">
        <v>0</v>
      </c>
      <c r="K3362" t="n">
        <v>0</v>
      </c>
      <c r="L3362" t="n">
        <v>0</v>
      </c>
      <c r="M3362" t="n">
        <v>0</v>
      </c>
      <c r="N3362" t="n">
        <v>0</v>
      </c>
      <c r="O3362" t="n">
        <v>0</v>
      </c>
      <c r="P3362" t="n">
        <v>0</v>
      </c>
      <c r="Q3362" t="n">
        <v>0</v>
      </c>
      <c r="R3362" t="n">
        <v>0</v>
      </c>
      <c r="S3362" t="n">
        <v>0</v>
      </c>
      <c r="T3362" t="n">
        <v>0</v>
      </c>
      <c r="U3362" t="n">
        <v>0</v>
      </c>
      <c r="V3362" s="2" t="inlineStr"/>
    </row>
    <row r="3363" ht="15" customHeight="1">
      <c r="A3363" t="inlineStr">
        <is>
          <t>A 34349-2026</t>
        </is>
      </c>
      <c r="B3363" t="inlineStr">
        <is>
          <t>avverkningsanmälan</t>
        </is>
      </c>
      <c r="C3363" t="inlineStr">
        <is>
          <t>Föryngringsavverkning</t>
        </is>
      </c>
      <c r="D3363" s="1" t="n">
        <v>46254</v>
      </c>
      <c r="E3363" s="1" t="n">
        <v>46309</v>
      </c>
      <c r="F3363" t="inlineStr">
        <is>
          <t>UPPSALA LÄN</t>
        </is>
      </c>
      <c r="G3363" t="inlineStr">
        <is>
          <t>TIERP</t>
        </is>
      </c>
      <c r="H3363" t="inlineStr">
        <is>
          <t>Bergvik skog öst AB</t>
        </is>
      </c>
      <c r="I3363" t="n">
        <v>5.4</v>
      </c>
      <c r="J3363" t="n">
        <v>0</v>
      </c>
      <c r="K3363" t="n">
        <v>0</v>
      </c>
      <c r="L3363" t="n">
        <v>0</v>
      </c>
      <c r="M3363" t="n">
        <v>0</v>
      </c>
      <c r="N3363" t="n">
        <v>0</v>
      </c>
      <c r="O3363" t="n">
        <v>0</v>
      </c>
      <c r="P3363" t="n">
        <v>0</v>
      </c>
      <c r="Q3363" t="n">
        <v>0</v>
      </c>
      <c r="R3363" t="n">
        <v>0</v>
      </c>
      <c r="S3363" t="n">
        <v>0</v>
      </c>
      <c r="T3363" t="n">
        <v>0</v>
      </c>
      <c r="U3363" t="n">
        <v>0</v>
      </c>
      <c r="V3363" s="2" t="inlineStr"/>
    </row>
    <row r="3364" ht="15" customHeight="1">
      <c r="A3364" t="inlineStr">
        <is>
          <t>A 34350-2026</t>
        </is>
      </c>
      <c r="B3364" t="inlineStr">
        <is>
          <t>avverkningsanmälan</t>
        </is>
      </c>
      <c r="C3364" t="inlineStr">
        <is>
          <t>Föryngringsavverkning</t>
        </is>
      </c>
      <c r="D3364" s="1" t="n">
        <v>46254</v>
      </c>
      <c r="E3364" s="1" t="n">
        <v>46309</v>
      </c>
      <c r="F3364" t="inlineStr">
        <is>
          <t>UPPSALA LÄN</t>
        </is>
      </c>
      <c r="G3364" t="inlineStr">
        <is>
          <t>TIERP</t>
        </is>
      </c>
      <c r="H3364" t="inlineStr">
        <is>
          <t>Bergvik skog öst AB</t>
        </is>
      </c>
      <c r="I3364" t="n">
        <v>1.6</v>
      </c>
      <c r="J3364" t="n">
        <v>0</v>
      </c>
      <c r="K3364" t="n">
        <v>0</v>
      </c>
      <c r="L3364" t="n">
        <v>0</v>
      </c>
      <c r="M3364" t="n">
        <v>0</v>
      </c>
      <c r="N3364" t="n">
        <v>0</v>
      </c>
      <c r="O3364" t="n">
        <v>0</v>
      </c>
      <c r="P3364" t="n">
        <v>0</v>
      </c>
      <c r="Q3364" t="n">
        <v>0</v>
      </c>
      <c r="R3364" t="n">
        <v>0</v>
      </c>
      <c r="S3364" t="n">
        <v>0</v>
      </c>
      <c r="T3364" t="n">
        <v>0</v>
      </c>
      <c r="U3364" t="n">
        <v>0</v>
      </c>
      <c r="V3364" s="2" t="inlineStr"/>
    </row>
    <row r="3365" ht="15" customHeight="1">
      <c r="A3365" t="inlineStr">
        <is>
          <t>A 4980-2024</t>
        </is>
      </c>
      <c r="B3365" t="inlineStr">
        <is>
          <t>avverkningsanmälan</t>
        </is>
      </c>
      <c r="C3365" t="inlineStr">
        <is>
          <t>Föryngringsavverkning</t>
        </is>
      </c>
      <c r="D3365" s="1" t="n">
        <v>45329</v>
      </c>
      <c r="E3365" s="1" t="n">
        <v>46309</v>
      </c>
      <c r="F3365" t="inlineStr">
        <is>
          <t>UPPSALA LÄN</t>
        </is>
      </c>
      <c r="G3365" t="inlineStr">
        <is>
          <t>UPPSALA</t>
        </is>
      </c>
      <c r="I3365" t="n">
        <v>10.8</v>
      </c>
      <c r="J3365" t="n">
        <v>0</v>
      </c>
      <c r="K3365" t="n">
        <v>0</v>
      </c>
      <c r="L3365" t="n">
        <v>0</v>
      </c>
      <c r="M3365" t="n">
        <v>0</v>
      </c>
      <c r="N3365" t="n">
        <v>0</v>
      </c>
      <c r="O3365" t="n">
        <v>0</v>
      </c>
      <c r="P3365" t="n">
        <v>0</v>
      </c>
      <c r="Q3365" t="n">
        <v>0</v>
      </c>
      <c r="R3365" t="n">
        <v>0</v>
      </c>
      <c r="S3365" t="n">
        <v>0</v>
      </c>
      <c r="T3365" t="n">
        <v>0</v>
      </c>
      <c r="U3365" t="n">
        <v>0</v>
      </c>
      <c r="V3365" s="2" t="inlineStr"/>
    </row>
    <row r="3366" ht="15" customHeight="1">
      <c r="A3366" t="inlineStr">
        <is>
          <t>A 42131-2023</t>
        </is>
      </c>
      <c r="B3366" t="inlineStr">
        <is>
          <t>avverkningsanmälan</t>
        </is>
      </c>
      <c r="C3366" t="inlineStr">
        <is>
          <t>Föryngringsavverkning</t>
        </is>
      </c>
      <c r="D3366" s="1" t="n">
        <v>45177</v>
      </c>
      <c r="E3366" s="1" t="n">
        <v>46309</v>
      </c>
      <c r="F3366" t="inlineStr">
        <is>
          <t>UPPSALA LÄN</t>
        </is>
      </c>
      <c r="G3366" t="inlineStr">
        <is>
          <t>UPPSALA</t>
        </is>
      </c>
      <c r="H3366" t="inlineStr">
        <is>
          <t>Allmännings- och besparingsskogar</t>
        </is>
      </c>
      <c r="I3366" t="n">
        <v>6.3</v>
      </c>
      <c r="J3366" t="n">
        <v>0</v>
      </c>
      <c r="K3366" t="n">
        <v>0</v>
      </c>
      <c r="L3366" t="n">
        <v>0</v>
      </c>
      <c r="M3366" t="n">
        <v>0</v>
      </c>
      <c r="N3366" t="n">
        <v>0</v>
      </c>
      <c r="O3366" t="n">
        <v>0</v>
      </c>
      <c r="P3366" t="n">
        <v>0</v>
      </c>
      <c r="Q3366" t="n">
        <v>0</v>
      </c>
      <c r="R3366" t="n">
        <v>0</v>
      </c>
      <c r="S3366" t="n">
        <v>0</v>
      </c>
      <c r="T3366" t="n">
        <v>0</v>
      </c>
      <c r="U3366" t="n">
        <v>0</v>
      </c>
      <c r="V3366" s="2" t="inlineStr"/>
    </row>
    <row r="3367" ht="15" customHeight="1">
      <c r="A3367" t="inlineStr">
        <is>
          <t>A 14518-2025</t>
        </is>
      </c>
      <c r="B3367" t="inlineStr">
        <is>
          <t>avverkningsanmälan</t>
        </is>
      </c>
      <c r="C3367" t="inlineStr">
        <is>
          <t>Föryngringsavverkning</t>
        </is>
      </c>
      <c r="D3367" s="1" t="n">
        <v>45741</v>
      </c>
      <c r="E3367" s="1" t="n">
        <v>46309</v>
      </c>
      <c r="F3367" t="inlineStr">
        <is>
          <t>UPPSALA LÄN</t>
        </is>
      </c>
      <c r="G3367" t="inlineStr">
        <is>
          <t>ENKÖPING</t>
        </is>
      </c>
      <c r="I3367" t="n">
        <v>2</v>
      </c>
      <c r="J3367" t="n">
        <v>0</v>
      </c>
      <c r="K3367" t="n">
        <v>0</v>
      </c>
      <c r="L3367" t="n">
        <v>0</v>
      </c>
      <c r="M3367" t="n">
        <v>0</v>
      </c>
      <c r="N3367" t="n">
        <v>0</v>
      </c>
      <c r="O3367" t="n">
        <v>0</v>
      </c>
      <c r="P3367" t="n">
        <v>0</v>
      </c>
      <c r="Q3367" t="n">
        <v>0</v>
      </c>
      <c r="R3367" t="n">
        <v>0</v>
      </c>
      <c r="S3367" t="n">
        <v>0</v>
      </c>
      <c r="T3367" t="n">
        <v>0</v>
      </c>
      <c r="U3367" t="n">
        <v>0</v>
      </c>
      <c r="V3367" s="2" t="inlineStr"/>
    </row>
    <row r="3368" ht="15" customHeight="1">
      <c r="A3368" t="inlineStr">
        <is>
          <t>A 40701-2024</t>
        </is>
      </c>
      <c r="B3368" t="inlineStr">
        <is>
          <t>avverkningsanmälan</t>
        </is>
      </c>
      <c r="C3368" t="inlineStr">
        <is>
          <t>Föryngringsavverkning</t>
        </is>
      </c>
      <c r="D3368" s="1" t="n">
        <v>45558</v>
      </c>
      <c r="E3368" s="1" t="n">
        <v>46309</v>
      </c>
      <c r="F3368" t="inlineStr">
        <is>
          <t>UPPSALA LÄN</t>
        </is>
      </c>
      <c r="G3368" t="inlineStr">
        <is>
          <t>UPPSALA</t>
        </is>
      </c>
      <c r="I3368" t="n">
        <v>9.699999999999999</v>
      </c>
      <c r="J3368" t="n">
        <v>0</v>
      </c>
      <c r="K3368" t="n">
        <v>0</v>
      </c>
      <c r="L3368" t="n">
        <v>0</v>
      </c>
      <c r="M3368" t="n">
        <v>0</v>
      </c>
      <c r="N3368" t="n">
        <v>0</v>
      </c>
      <c r="O3368" t="n">
        <v>0</v>
      </c>
      <c r="P3368" t="n">
        <v>0</v>
      </c>
      <c r="Q3368" t="n">
        <v>0</v>
      </c>
      <c r="R3368" t="n">
        <v>0</v>
      </c>
      <c r="S3368" t="n">
        <v>0</v>
      </c>
      <c r="T3368" t="n">
        <v>0</v>
      </c>
      <c r="U3368" t="n">
        <v>0</v>
      </c>
      <c r="V3368" s="2" t="inlineStr"/>
    </row>
    <row r="3369" ht="15" customHeight="1">
      <c r="A3369" t="inlineStr">
        <is>
          <t>A 42276-2024</t>
        </is>
      </c>
      <c r="B3369" t="inlineStr">
        <is>
          <t>avverkningsanmälan</t>
        </is>
      </c>
      <c r="C3369" t="inlineStr">
        <is>
          <t>Föryngringsavverkning</t>
        </is>
      </c>
      <c r="D3369" s="1" t="n">
        <v>45562</v>
      </c>
      <c r="E3369" s="1" t="n">
        <v>46309</v>
      </c>
      <c r="F3369" t="inlineStr">
        <is>
          <t>UPPSALA LÄN</t>
        </is>
      </c>
      <c r="G3369" t="inlineStr">
        <is>
          <t>UPPSALA</t>
        </is>
      </c>
      <c r="I3369" t="n">
        <v>2.2</v>
      </c>
      <c r="J3369" t="n">
        <v>0</v>
      </c>
      <c r="K3369" t="n">
        <v>0</v>
      </c>
      <c r="L3369" t="n">
        <v>0</v>
      </c>
      <c r="M3369" t="n">
        <v>0</v>
      </c>
      <c r="N3369" t="n">
        <v>0</v>
      </c>
      <c r="O3369" t="n">
        <v>0</v>
      </c>
      <c r="P3369" t="n">
        <v>0</v>
      </c>
      <c r="Q3369" t="n">
        <v>0</v>
      </c>
      <c r="R3369" t="n">
        <v>0</v>
      </c>
      <c r="S3369" t="n">
        <v>0</v>
      </c>
      <c r="T3369" t="n">
        <v>0</v>
      </c>
      <c r="U3369" t="n">
        <v>0</v>
      </c>
      <c r="V3369" s="2" t="inlineStr"/>
    </row>
    <row r="3370" ht="15" customHeight="1">
      <c r="A3370" t="inlineStr">
        <is>
          <t>A 36954-2024</t>
        </is>
      </c>
      <c r="B3370" t="inlineStr">
        <is>
          <t>avverkningsanmälan</t>
        </is>
      </c>
      <c r="C3370" t="inlineStr">
        <is>
          <t>Föryngringsavverkning</t>
        </is>
      </c>
      <c r="D3370" s="1" t="n">
        <v>45538</v>
      </c>
      <c r="E3370" s="1" t="n">
        <v>46309</v>
      </c>
      <c r="F3370" t="inlineStr">
        <is>
          <t>UPPSALA LÄN</t>
        </is>
      </c>
      <c r="G3370" t="inlineStr">
        <is>
          <t>ÖSTHAMMAR</t>
        </is>
      </c>
      <c r="H3370" t="inlineStr">
        <is>
          <t>Bergvik skog öst AB</t>
        </is>
      </c>
      <c r="I3370" t="n">
        <v>5.1</v>
      </c>
      <c r="J3370" t="n">
        <v>0</v>
      </c>
      <c r="K3370" t="n">
        <v>0</v>
      </c>
      <c r="L3370" t="n">
        <v>0</v>
      </c>
      <c r="M3370" t="n">
        <v>0</v>
      </c>
      <c r="N3370" t="n">
        <v>0</v>
      </c>
      <c r="O3370" t="n">
        <v>0</v>
      </c>
      <c r="P3370" t="n">
        <v>0</v>
      </c>
      <c r="Q3370" t="n">
        <v>0</v>
      </c>
      <c r="R3370" t="n">
        <v>0</v>
      </c>
      <c r="S3370" t="n">
        <v>0</v>
      </c>
      <c r="T3370" t="n">
        <v>0</v>
      </c>
      <c r="U3370" t="n">
        <v>0</v>
      </c>
      <c r="V3370" s="2" t="inlineStr"/>
    </row>
    <row r="3371" ht="15" customHeight="1">
      <c r="A3371" t="inlineStr">
        <is>
          <t>A 38323-2026</t>
        </is>
      </c>
      <c r="B3371" t="inlineStr">
        <is>
          <t>avverkningsanmälan</t>
        </is>
      </c>
      <c r="C3371" t="inlineStr">
        <is>
          <t>Föryngringsavverkning</t>
        </is>
      </c>
      <c r="D3371" s="1" t="n">
        <v>46282</v>
      </c>
      <c r="E3371" s="1" t="n">
        <v>46309</v>
      </c>
      <c r="F3371" t="inlineStr">
        <is>
          <t>UPPSALA LÄN</t>
        </is>
      </c>
      <c r="G3371" t="inlineStr">
        <is>
          <t>TIERP</t>
        </is>
      </c>
      <c r="I3371" t="n">
        <v>1.3</v>
      </c>
      <c r="J3371" t="n">
        <v>0</v>
      </c>
      <c r="K3371" t="n">
        <v>0</v>
      </c>
      <c r="L3371" t="n">
        <v>0</v>
      </c>
      <c r="M3371" t="n">
        <v>0</v>
      </c>
      <c r="N3371" t="n">
        <v>0</v>
      </c>
      <c r="O3371" t="n">
        <v>0</v>
      </c>
      <c r="P3371" t="n">
        <v>0</v>
      </c>
      <c r="Q3371" t="n">
        <v>0</v>
      </c>
      <c r="R3371" t="n">
        <v>0</v>
      </c>
      <c r="S3371" t="n">
        <v>0</v>
      </c>
      <c r="T3371" t="n">
        <v>0</v>
      </c>
      <c r="U3371" t="n">
        <v>0</v>
      </c>
      <c r="V3371" s="2" t="inlineStr"/>
    </row>
    <row r="3372" ht="15" customHeight="1">
      <c r="A3372" t="inlineStr">
        <is>
          <t>A 10650-2024</t>
        </is>
      </c>
      <c r="B3372" t="inlineStr">
        <is>
          <t>avverkningsanmälan</t>
        </is>
      </c>
      <c r="C3372" t="inlineStr">
        <is>
          <t>Föryngringsavverkning</t>
        </is>
      </c>
      <c r="D3372" s="1" t="n">
        <v>45368</v>
      </c>
      <c r="E3372" s="1" t="n">
        <v>46309</v>
      </c>
      <c r="F3372" t="inlineStr">
        <is>
          <t>UPPSALA LÄN</t>
        </is>
      </c>
      <c r="G3372" t="inlineStr">
        <is>
          <t>UPPSALA</t>
        </is>
      </c>
      <c r="H3372" t="inlineStr">
        <is>
          <t>Bergvik skog öst AB</t>
        </is>
      </c>
      <c r="I3372" t="n">
        <v>1</v>
      </c>
      <c r="J3372" t="n">
        <v>0</v>
      </c>
      <c r="K3372" t="n">
        <v>0</v>
      </c>
      <c r="L3372" t="n">
        <v>0</v>
      </c>
      <c r="M3372" t="n">
        <v>0</v>
      </c>
      <c r="N3372" t="n">
        <v>0</v>
      </c>
      <c r="O3372" t="n">
        <v>0</v>
      </c>
      <c r="P3372" t="n">
        <v>0</v>
      </c>
      <c r="Q3372" t="n">
        <v>0</v>
      </c>
      <c r="R3372" t="n">
        <v>0</v>
      </c>
      <c r="S3372" t="n">
        <v>0</v>
      </c>
      <c r="T3372" t="n">
        <v>0</v>
      </c>
      <c r="U3372" t="n">
        <v>0</v>
      </c>
      <c r="V3372" s="2" t="inlineStr"/>
    </row>
    <row r="3373" ht="15" customHeight="1">
      <c r="A3373" t="inlineStr">
        <is>
          <t>A 758-2022</t>
        </is>
      </c>
      <c r="B3373" t="inlineStr">
        <is>
          <t>avverkningsanmälan</t>
        </is>
      </c>
      <c r="C3373" t="inlineStr">
        <is>
          <t>Föryngringsavverkning</t>
        </is>
      </c>
      <c r="D3373" s="1" t="n">
        <v>44569</v>
      </c>
      <c r="E3373" s="1" t="n">
        <v>46309</v>
      </c>
      <c r="F3373" t="inlineStr">
        <is>
          <t>UPPSALA LÄN</t>
        </is>
      </c>
      <c r="G3373" t="inlineStr">
        <is>
          <t>UPPSALA</t>
        </is>
      </c>
      <c r="H3373" t="inlineStr">
        <is>
          <t>Holmen skog AB</t>
        </is>
      </c>
      <c r="I3373" t="n">
        <v>5.2</v>
      </c>
      <c r="J3373" t="n">
        <v>0</v>
      </c>
      <c r="K3373" t="n">
        <v>0</v>
      </c>
      <c r="L3373" t="n">
        <v>0</v>
      </c>
      <c r="M3373" t="n">
        <v>0</v>
      </c>
      <c r="N3373" t="n">
        <v>0</v>
      </c>
      <c r="O3373" t="n">
        <v>0</v>
      </c>
      <c r="P3373" t="n">
        <v>0</v>
      </c>
      <c r="Q3373" t="n">
        <v>0</v>
      </c>
      <c r="R3373" t="n">
        <v>0</v>
      </c>
      <c r="S3373" t="n">
        <v>0</v>
      </c>
      <c r="T3373" t="n">
        <v>0</v>
      </c>
      <c r="U3373" t="n">
        <v>0</v>
      </c>
      <c r="V3373" s="2" t="inlineStr"/>
    </row>
    <row r="3374" ht="15" customHeight="1">
      <c r="A3374" t="inlineStr">
        <is>
          <t>A 59291-2023</t>
        </is>
      </c>
      <c r="B3374" t="inlineStr">
        <is>
          <t>avverkningsanmälan</t>
        </is>
      </c>
      <c r="C3374" t="inlineStr">
        <is>
          <t>Föryngringsavverkning</t>
        </is>
      </c>
      <c r="D3374" s="1" t="n">
        <v>45253</v>
      </c>
      <c r="E3374" s="1" t="n">
        <v>46309</v>
      </c>
      <c r="F3374" t="inlineStr">
        <is>
          <t>UPPSALA LÄN</t>
        </is>
      </c>
      <c r="G3374" t="inlineStr">
        <is>
          <t>ÖSTHAMMAR</t>
        </is>
      </c>
      <c r="I3374" t="n">
        <v>1.7</v>
      </c>
      <c r="J3374" t="n">
        <v>0</v>
      </c>
      <c r="K3374" t="n">
        <v>0</v>
      </c>
      <c r="L3374" t="n">
        <v>0</v>
      </c>
      <c r="M3374" t="n">
        <v>0</v>
      </c>
      <c r="N3374" t="n">
        <v>0</v>
      </c>
      <c r="O3374" t="n">
        <v>0</v>
      </c>
      <c r="P3374" t="n">
        <v>0</v>
      </c>
      <c r="Q3374" t="n">
        <v>0</v>
      </c>
      <c r="R3374" t="n">
        <v>0</v>
      </c>
      <c r="S3374" t="n">
        <v>0</v>
      </c>
      <c r="T3374" t="n">
        <v>0</v>
      </c>
      <c r="U3374" t="n">
        <v>0</v>
      </c>
      <c r="V3374" s="2" t="inlineStr"/>
    </row>
    <row r="3375" ht="15" customHeight="1">
      <c r="A3375" t="inlineStr">
        <is>
          <t>A 54776-2024</t>
        </is>
      </c>
      <c r="B3375" t="inlineStr">
        <is>
          <t>avverkningsanmälan</t>
        </is>
      </c>
      <c r="C3375" t="inlineStr">
        <is>
          <t>Föryngringsavverkning</t>
        </is>
      </c>
      <c r="D3375" s="1" t="n">
        <v>45618</v>
      </c>
      <c r="E3375" s="1" t="n">
        <v>46309</v>
      </c>
      <c r="F3375" t="inlineStr">
        <is>
          <t>UPPSALA LÄN</t>
        </is>
      </c>
      <c r="G3375" t="inlineStr">
        <is>
          <t>ENKÖPING</t>
        </is>
      </c>
      <c r="I3375" t="n">
        <v>1.8</v>
      </c>
      <c r="J3375" t="n">
        <v>0</v>
      </c>
      <c r="K3375" t="n">
        <v>0</v>
      </c>
      <c r="L3375" t="n">
        <v>0</v>
      </c>
      <c r="M3375" t="n">
        <v>0</v>
      </c>
      <c r="N3375" t="n">
        <v>0</v>
      </c>
      <c r="O3375" t="n">
        <v>0</v>
      </c>
      <c r="P3375" t="n">
        <v>0</v>
      </c>
      <c r="Q3375" t="n">
        <v>0</v>
      </c>
      <c r="R3375" t="n">
        <v>0</v>
      </c>
      <c r="S3375" t="n">
        <v>0</v>
      </c>
      <c r="T3375" t="n">
        <v>0</v>
      </c>
      <c r="U3375" t="n">
        <v>0</v>
      </c>
      <c r="V3375" s="2" t="inlineStr"/>
    </row>
    <row r="3376" ht="15" customHeight="1">
      <c r="A3376" t="inlineStr">
        <is>
          <t>A 43685-2024</t>
        </is>
      </c>
      <c r="B3376" t="inlineStr">
        <is>
          <t>avverkningsanmälan</t>
        </is>
      </c>
      <c r="C3376" t="inlineStr">
        <is>
          <t>Föryngringsavverkning</t>
        </is>
      </c>
      <c r="D3376" s="1" t="n">
        <v>45569</v>
      </c>
      <c r="E3376" s="1" t="n">
        <v>46309</v>
      </c>
      <c r="F3376" t="inlineStr">
        <is>
          <t>UPPSALA LÄN</t>
        </is>
      </c>
      <c r="G3376" t="inlineStr">
        <is>
          <t>ÖSTHAMMAR</t>
        </is>
      </c>
      <c r="I3376" t="n">
        <v>1.1</v>
      </c>
      <c r="J3376" t="n">
        <v>0</v>
      </c>
      <c r="K3376" t="n">
        <v>0</v>
      </c>
      <c r="L3376" t="n">
        <v>0</v>
      </c>
      <c r="M3376" t="n">
        <v>0</v>
      </c>
      <c r="N3376" t="n">
        <v>0</v>
      </c>
      <c r="O3376" t="n">
        <v>0</v>
      </c>
      <c r="P3376" t="n">
        <v>0</v>
      </c>
      <c r="Q3376" t="n">
        <v>0</v>
      </c>
      <c r="R3376" t="n">
        <v>0</v>
      </c>
      <c r="S3376" t="n">
        <v>0</v>
      </c>
      <c r="T3376" t="n">
        <v>0</v>
      </c>
      <c r="U3376" t="n">
        <v>0</v>
      </c>
      <c r="V3376" s="2" t="inlineStr"/>
    </row>
    <row r="3377" ht="15" customHeight="1">
      <c r="A3377" t="inlineStr">
        <is>
          <t>A 38575-2024</t>
        </is>
      </c>
      <c r="B3377" t="inlineStr">
        <is>
          <t>avverkningsanmälan</t>
        </is>
      </c>
      <c r="C3377" t="inlineStr">
        <is>
          <t>Föryngringsavverkning</t>
        </is>
      </c>
      <c r="D3377" s="1" t="n">
        <v>45546</v>
      </c>
      <c r="E3377" s="1" t="n">
        <v>46309</v>
      </c>
      <c r="F3377" t="inlineStr">
        <is>
          <t>UPPSALA LÄN</t>
        </is>
      </c>
      <c r="G3377" t="inlineStr">
        <is>
          <t>ÖSTHAMMAR</t>
        </is>
      </c>
      <c r="H3377" t="inlineStr">
        <is>
          <t>Bergvik skog öst AB</t>
        </is>
      </c>
      <c r="I3377" t="n">
        <v>5.1</v>
      </c>
      <c r="J3377" t="n">
        <v>0</v>
      </c>
      <c r="K3377" t="n">
        <v>0</v>
      </c>
      <c r="L3377" t="n">
        <v>0</v>
      </c>
      <c r="M3377" t="n">
        <v>0</v>
      </c>
      <c r="N3377" t="n">
        <v>0</v>
      </c>
      <c r="O3377" t="n">
        <v>0</v>
      </c>
      <c r="P3377" t="n">
        <v>0</v>
      </c>
      <c r="Q3377" t="n">
        <v>0</v>
      </c>
      <c r="R3377" t="n">
        <v>0</v>
      </c>
      <c r="S3377" t="n">
        <v>0</v>
      </c>
      <c r="T3377" t="n">
        <v>0</v>
      </c>
      <c r="U3377" t="n">
        <v>0</v>
      </c>
      <c r="V3377" s="2" t="inlineStr"/>
    </row>
    <row r="3378" ht="15" customHeight="1">
      <c r="A3378" t="inlineStr">
        <is>
          <t>A 34547-2026</t>
        </is>
      </c>
      <c r="B3378" t="inlineStr">
        <is>
          <t>avverkningsanmälan</t>
        </is>
      </c>
      <c r="C3378" t="inlineStr">
        <is>
          <t>Föryngringsavverkning</t>
        </is>
      </c>
      <c r="D3378" s="1" t="n">
        <v>46255</v>
      </c>
      <c r="E3378" s="1" t="n">
        <v>46309</v>
      </c>
      <c r="F3378" t="inlineStr">
        <is>
          <t>UPPSALA LÄN</t>
        </is>
      </c>
      <c r="G3378" t="inlineStr">
        <is>
          <t>HEBY</t>
        </is>
      </c>
      <c r="H3378" t="inlineStr">
        <is>
          <t>Bergvik skog väst AB</t>
        </is>
      </c>
      <c r="I3378" t="n">
        <v>0.8</v>
      </c>
      <c r="J3378" t="n">
        <v>0</v>
      </c>
      <c r="K3378" t="n">
        <v>0</v>
      </c>
      <c r="L3378" t="n">
        <v>0</v>
      </c>
      <c r="M3378" t="n">
        <v>0</v>
      </c>
      <c r="N3378" t="n">
        <v>0</v>
      </c>
      <c r="O3378" t="n">
        <v>0</v>
      </c>
      <c r="P3378" t="n">
        <v>0</v>
      </c>
      <c r="Q3378" t="n">
        <v>0</v>
      </c>
      <c r="R3378" t="n">
        <v>0</v>
      </c>
      <c r="S3378" t="n">
        <v>0</v>
      </c>
      <c r="T3378" t="n">
        <v>0</v>
      </c>
      <c r="U3378" t="n">
        <v>0</v>
      </c>
      <c r="V3378" s="2" t="inlineStr"/>
    </row>
    <row r="3379" ht="15" customHeight="1">
      <c r="A3379" t="inlineStr">
        <is>
          <t>A 43993-2024</t>
        </is>
      </c>
      <c r="B3379" t="inlineStr">
        <is>
          <t>avverkningsanmälan</t>
        </is>
      </c>
      <c r="C3379" t="inlineStr">
        <is>
          <t>Föryngringsavverkning</t>
        </is>
      </c>
      <c r="D3379" s="1" t="n">
        <v>45572</v>
      </c>
      <c r="E3379" s="1" t="n">
        <v>46309</v>
      </c>
      <c r="F3379" t="inlineStr">
        <is>
          <t>UPPSALA LÄN</t>
        </is>
      </c>
      <c r="G3379" t="inlineStr">
        <is>
          <t>ÖSTHAMMAR</t>
        </is>
      </c>
      <c r="I3379" t="n">
        <v>1.5</v>
      </c>
      <c r="J3379" t="n">
        <v>0</v>
      </c>
      <c r="K3379" t="n">
        <v>0</v>
      </c>
      <c r="L3379" t="n">
        <v>0</v>
      </c>
      <c r="M3379" t="n">
        <v>0</v>
      </c>
      <c r="N3379" t="n">
        <v>0</v>
      </c>
      <c r="O3379" t="n">
        <v>0</v>
      </c>
      <c r="P3379" t="n">
        <v>0</v>
      </c>
      <c r="Q3379" t="n">
        <v>0</v>
      </c>
      <c r="R3379" t="n">
        <v>0</v>
      </c>
      <c r="S3379" t="n">
        <v>0</v>
      </c>
      <c r="T3379" t="n">
        <v>0</v>
      </c>
      <c r="U3379" t="n">
        <v>0</v>
      </c>
      <c r="V3379" s="2" t="inlineStr"/>
    </row>
    <row r="3380" ht="15" customHeight="1">
      <c r="A3380" t="inlineStr">
        <is>
          <t>A 34576-2026</t>
        </is>
      </c>
      <c r="B3380" t="inlineStr">
        <is>
          <t>avverkningsanmälan</t>
        </is>
      </c>
      <c r="C3380" t="inlineStr">
        <is>
          <t>Föryngringsavverkning</t>
        </is>
      </c>
      <c r="D3380" s="1" t="n">
        <v>46255</v>
      </c>
      <c r="E3380" s="1" t="n">
        <v>46309</v>
      </c>
      <c r="F3380" t="inlineStr">
        <is>
          <t>UPPSALA LÄN</t>
        </is>
      </c>
      <c r="G3380" t="inlineStr">
        <is>
          <t>HEBY</t>
        </is>
      </c>
      <c r="I3380" t="n">
        <v>0.7</v>
      </c>
      <c r="J3380" t="n">
        <v>0</v>
      </c>
      <c r="K3380" t="n">
        <v>0</v>
      </c>
      <c r="L3380" t="n">
        <v>0</v>
      </c>
      <c r="M3380" t="n">
        <v>0</v>
      </c>
      <c r="N3380" t="n">
        <v>0</v>
      </c>
      <c r="O3380" t="n">
        <v>0</v>
      </c>
      <c r="P3380" t="n">
        <v>0</v>
      </c>
      <c r="Q3380" t="n">
        <v>0</v>
      </c>
      <c r="R3380" t="n">
        <v>0</v>
      </c>
      <c r="S3380" t="n">
        <v>0</v>
      </c>
      <c r="T3380" t="n">
        <v>0</v>
      </c>
      <c r="U3380" t="n">
        <v>0</v>
      </c>
      <c r="V3380" s="2" t="inlineStr"/>
    </row>
    <row r="3381" ht="15" customHeight="1">
      <c r="A3381" t="inlineStr">
        <is>
          <t>A 25399-2026</t>
        </is>
      </c>
      <c r="B3381" t="inlineStr">
        <is>
          <t>avverkningsanmälan</t>
        </is>
      </c>
      <c r="C3381" t="inlineStr">
        <is>
          <t>Föryngringsavverkning</t>
        </is>
      </c>
      <c r="D3381" s="1" t="n">
        <v>46176</v>
      </c>
      <c r="E3381" s="1" t="n">
        <v>46309</v>
      </c>
      <c r="F3381" t="inlineStr">
        <is>
          <t>UPPSALA LÄN</t>
        </is>
      </c>
      <c r="G3381" t="inlineStr">
        <is>
          <t>ÖSTHAMMAR</t>
        </is>
      </c>
      <c r="I3381" t="n">
        <v>5.6</v>
      </c>
      <c r="J3381" t="n">
        <v>0</v>
      </c>
      <c r="K3381" t="n">
        <v>0</v>
      </c>
      <c r="L3381" t="n">
        <v>0</v>
      </c>
      <c r="M3381" t="n">
        <v>0</v>
      </c>
      <c r="N3381" t="n">
        <v>0</v>
      </c>
      <c r="O3381" t="n">
        <v>0</v>
      </c>
      <c r="P3381" t="n">
        <v>0</v>
      </c>
      <c r="Q3381" t="n">
        <v>0</v>
      </c>
      <c r="R3381" t="n">
        <v>0</v>
      </c>
      <c r="S3381" t="n">
        <v>0</v>
      </c>
      <c r="T3381" t="n">
        <v>0</v>
      </c>
      <c r="U3381" t="n">
        <v>0</v>
      </c>
      <c r="V3381" s="2" t="inlineStr"/>
    </row>
    <row r="3382" ht="15" customHeight="1">
      <c r="A3382" t="inlineStr">
        <is>
          <t>A 41107-2026</t>
        </is>
      </c>
      <c r="B3382" t="inlineStr">
        <is>
          <t>avverkningsanmälan</t>
        </is>
      </c>
      <c r="C3382" t="inlineStr">
        <is>
          <t>Föryngringsavverkning</t>
        </is>
      </c>
      <c r="D3382" s="1" t="n">
        <v>46300</v>
      </c>
      <c r="E3382" s="1" t="n">
        <v>46309</v>
      </c>
      <c r="F3382" t="inlineStr">
        <is>
          <t>UPPSALA LÄN</t>
        </is>
      </c>
      <c r="G3382" t="inlineStr">
        <is>
          <t>UPPSALA</t>
        </is>
      </c>
      <c r="I3382" t="n">
        <v>1.4</v>
      </c>
      <c r="J3382" t="n">
        <v>0</v>
      </c>
      <c r="K3382" t="n">
        <v>0</v>
      </c>
      <c r="L3382" t="n">
        <v>0</v>
      </c>
      <c r="M3382" t="n">
        <v>0</v>
      </c>
      <c r="N3382" t="n">
        <v>0</v>
      </c>
      <c r="O3382" t="n">
        <v>0</v>
      </c>
      <c r="P3382" t="n">
        <v>0</v>
      </c>
      <c r="Q3382" t="n">
        <v>0</v>
      </c>
      <c r="R3382" t="n">
        <v>0</v>
      </c>
      <c r="S3382" t="n">
        <v>0</v>
      </c>
      <c r="T3382" t="n">
        <v>0</v>
      </c>
      <c r="U3382" t="n">
        <v>0</v>
      </c>
      <c r="V3382" s="2" t="inlineStr"/>
    </row>
    <row r="3383" ht="15" customHeight="1">
      <c r="A3383" t="inlineStr">
        <is>
          <t>A 3973-2025</t>
        </is>
      </c>
      <c r="B3383" t="inlineStr">
        <is>
          <t>avverkningsanmälan</t>
        </is>
      </c>
      <c r="C3383" t="inlineStr">
        <is>
          <t>Föryngringsavverkning</t>
        </is>
      </c>
      <c r="D3383" s="1" t="n">
        <v>45684</v>
      </c>
      <c r="E3383" s="1" t="n">
        <v>46309</v>
      </c>
      <c r="F3383" t="inlineStr">
        <is>
          <t>UPPSALA LÄN</t>
        </is>
      </c>
      <c r="G3383" t="inlineStr">
        <is>
          <t>UPPSALA</t>
        </is>
      </c>
      <c r="I3383" t="n">
        <v>8</v>
      </c>
      <c r="J3383" t="n">
        <v>0</v>
      </c>
      <c r="K3383" t="n">
        <v>0</v>
      </c>
      <c r="L3383" t="n">
        <v>0</v>
      </c>
      <c r="M3383" t="n">
        <v>0</v>
      </c>
      <c r="N3383" t="n">
        <v>0</v>
      </c>
      <c r="O3383" t="n">
        <v>0</v>
      </c>
      <c r="P3383" t="n">
        <v>0</v>
      </c>
      <c r="Q3383" t="n">
        <v>0</v>
      </c>
      <c r="R3383" t="n">
        <v>0</v>
      </c>
      <c r="S3383" t="n">
        <v>0</v>
      </c>
      <c r="T3383" t="n">
        <v>0</v>
      </c>
      <c r="U3383" t="n">
        <v>0</v>
      </c>
      <c r="V3383" s="2" t="inlineStr"/>
    </row>
    <row r="3384" ht="15" customHeight="1">
      <c r="A3384" t="inlineStr">
        <is>
          <t>A 41127-2026</t>
        </is>
      </c>
      <c r="B3384" t="inlineStr">
        <is>
          <t>avverkningsanmälan</t>
        </is>
      </c>
      <c r="C3384" t="inlineStr">
        <is>
          <t>Föryngringsavverkning</t>
        </is>
      </c>
      <c r="D3384" s="1" t="n">
        <v>46300</v>
      </c>
      <c r="E3384" s="1" t="n">
        <v>46309</v>
      </c>
      <c r="F3384" t="inlineStr">
        <is>
          <t>UPPSALA LÄN</t>
        </is>
      </c>
      <c r="G3384" t="inlineStr">
        <is>
          <t>ÖSTHAMMAR</t>
        </is>
      </c>
      <c r="H3384" t="inlineStr">
        <is>
          <t>Övriga Aktiebolag</t>
        </is>
      </c>
      <c r="I3384" t="n">
        <v>3.7</v>
      </c>
      <c r="J3384" t="n">
        <v>0</v>
      </c>
      <c r="K3384" t="n">
        <v>0</v>
      </c>
      <c r="L3384" t="n">
        <v>0</v>
      </c>
      <c r="M3384" t="n">
        <v>0</v>
      </c>
      <c r="N3384" t="n">
        <v>0</v>
      </c>
      <c r="O3384" t="n">
        <v>0</v>
      </c>
      <c r="P3384" t="n">
        <v>0</v>
      </c>
      <c r="Q3384" t="n">
        <v>0</v>
      </c>
      <c r="R3384" t="n">
        <v>0</v>
      </c>
      <c r="S3384" t="n">
        <v>0</v>
      </c>
      <c r="T3384" t="n">
        <v>0</v>
      </c>
      <c r="U3384" t="n">
        <v>0</v>
      </c>
      <c r="V3384" s="2" t="inlineStr"/>
    </row>
    <row r="3385" ht="15" customHeight="1">
      <c r="A3385" t="inlineStr">
        <is>
          <t>A 41078-2026</t>
        </is>
      </c>
      <c r="B3385" t="inlineStr">
        <is>
          <t>avverkningsanmälan</t>
        </is>
      </c>
      <c r="C3385" t="inlineStr">
        <is>
          <t>Föryngringsavverkning</t>
        </is>
      </c>
      <c r="D3385" s="1" t="n">
        <v>46300</v>
      </c>
      <c r="E3385" s="1" t="n">
        <v>46309</v>
      </c>
      <c r="F3385" t="inlineStr">
        <is>
          <t>UPPSALA LÄN</t>
        </is>
      </c>
      <c r="G3385" t="inlineStr">
        <is>
          <t>ÖSTHAMMAR</t>
        </is>
      </c>
      <c r="I3385" t="n">
        <v>0.6</v>
      </c>
      <c r="J3385" t="n">
        <v>0</v>
      </c>
      <c r="K3385" t="n">
        <v>0</v>
      </c>
      <c r="L3385" t="n">
        <v>0</v>
      </c>
      <c r="M3385" t="n">
        <v>0</v>
      </c>
      <c r="N3385" t="n">
        <v>0</v>
      </c>
      <c r="O3385" t="n">
        <v>0</v>
      </c>
      <c r="P3385" t="n">
        <v>0</v>
      </c>
      <c r="Q3385" t="n">
        <v>0</v>
      </c>
      <c r="R3385" t="n">
        <v>0</v>
      </c>
      <c r="S3385" t="n">
        <v>0</v>
      </c>
      <c r="T3385" t="n">
        <v>0</v>
      </c>
      <c r="U3385" t="n">
        <v>0</v>
      </c>
      <c r="V3385" s="2" t="inlineStr"/>
    </row>
    <row r="3386" ht="15" customHeight="1">
      <c r="A3386" t="inlineStr">
        <is>
          <t>A 45033-2025</t>
        </is>
      </c>
      <c r="B3386" t="inlineStr">
        <is>
          <t>avverkningsanmälan</t>
        </is>
      </c>
      <c r="C3386" t="inlineStr">
        <is>
          <t>Föryngringsavverkning</t>
        </is>
      </c>
      <c r="D3386" s="1" t="n">
        <v>45918</v>
      </c>
      <c r="E3386" s="1" t="n">
        <v>46309</v>
      </c>
      <c r="F3386" t="inlineStr">
        <is>
          <t>UPPSALA LÄN</t>
        </is>
      </c>
      <c r="G3386" t="inlineStr">
        <is>
          <t>ÄLVKARLEBY</t>
        </is>
      </c>
      <c r="H3386" t="inlineStr">
        <is>
          <t>Bergvik skog väst AB</t>
        </is>
      </c>
      <c r="I3386" t="n">
        <v>0.9</v>
      </c>
      <c r="J3386" t="n">
        <v>0</v>
      </c>
      <c r="K3386" t="n">
        <v>0</v>
      </c>
      <c r="L3386" t="n">
        <v>0</v>
      </c>
      <c r="M3386" t="n">
        <v>0</v>
      </c>
      <c r="N3386" t="n">
        <v>0</v>
      </c>
      <c r="O3386" t="n">
        <v>0</v>
      </c>
      <c r="P3386" t="n">
        <v>0</v>
      </c>
      <c r="Q3386" t="n">
        <v>0</v>
      </c>
      <c r="R3386" t="n">
        <v>0</v>
      </c>
      <c r="S3386" t="n">
        <v>0</v>
      </c>
      <c r="T3386" t="n">
        <v>0</v>
      </c>
      <c r="U3386" t="n">
        <v>0</v>
      </c>
      <c r="V3386" s="2" t="inlineStr"/>
    </row>
    <row r="3387" ht="15" customHeight="1">
      <c r="A3387" t="inlineStr">
        <is>
          <t>A 3377-2024</t>
        </is>
      </c>
      <c r="B3387" t="inlineStr">
        <is>
          <t>avverkningsanmälan</t>
        </is>
      </c>
      <c r="C3387" t="inlineStr">
        <is>
          <t>Föryngringsavverkning</t>
        </is>
      </c>
      <c r="D3387" s="1" t="n">
        <v>45317</v>
      </c>
      <c r="E3387" s="1" t="n">
        <v>46309</v>
      </c>
      <c r="F3387" t="inlineStr">
        <is>
          <t>UPPSALA LÄN</t>
        </is>
      </c>
      <c r="G3387" t="inlineStr">
        <is>
          <t>HEBY</t>
        </is>
      </c>
      <c r="I3387" t="n">
        <v>6.5</v>
      </c>
      <c r="J3387" t="n">
        <v>0</v>
      </c>
      <c r="K3387" t="n">
        <v>0</v>
      </c>
      <c r="L3387" t="n">
        <v>0</v>
      </c>
      <c r="M3387" t="n">
        <v>0</v>
      </c>
      <c r="N3387" t="n">
        <v>0</v>
      </c>
      <c r="O3387" t="n">
        <v>0</v>
      </c>
      <c r="P3387" t="n">
        <v>0</v>
      </c>
      <c r="Q3387" t="n">
        <v>0</v>
      </c>
      <c r="R3387" t="n">
        <v>0</v>
      </c>
      <c r="S3387" t="n">
        <v>0</v>
      </c>
      <c r="T3387" t="n">
        <v>0</v>
      </c>
      <c r="U3387" t="n">
        <v>0</v>
      </c>
      <c r="V3387" s="2" t="inlineStr"/>
    </row>
    <row r="3388" ht="15" customHeight="1">
      <c r="A3388" t="inlineStr">
        <is>
          <t>A 8699-2024</t>
        </is>
      </c>
      <c r="B3388" t="inlineStr">
        <is>
          <t>avverkningsanmälan</t>
        </is>
      </c>
      <c r="C3388" t="inlineStr">
        <is>
          <t>Föryngringsavverkning</t>
        </is>
      </c>
      <c r="D3388" s="1" t="n">
        <v>45355</v>
      </c>
      <c r="E3388" s="1" t="n">
        <v>46309</v>
      </c>
      <c r="F3388" t="inlineStr">
        <is>
          <t>UPPSALA LÄN</t>
        </is>
      </c>
      <c r="G3388" t="inlineStr">
        <is>
          <t>HEBY</t>
        </is>
      </c>
      <c r="I3388" t="n">
        <v>3.7</v>
      </c>
      <c r="J3388" t="n">
        <v>0</v>
      </c>
      <c r="K3388" t="n">
        <v>0</v>
      </c>
      <c r="L3388" t="n">
        <v>0</v>
      </c>
      <c r="M3388" t="n">
        <v>0</v>
      </c>
      <c r="N3388" t="n">
        <v>0</v>
      </c>
      <c r="O3388" t="n">
        <v>0</v>
      </c>
      <c r="P3388" t="n">
        <v>0</v>
      </c>
      <c r="Q3388" t="n">
        <v>0</v>
      </c>
      <c r="R3388" t="n">
        <v>0</v>
      </c>
      <c r="S3388" t="n">
        <v>0</v>
      </c>
      <c r="T3388" t="n">
        <v>0</v>
      </c>
      <c r="U3388" t="n">
        <v>0</v>
      </c>
      <c r="V3388" s="2" t="inlineStr"/>
    </row>
    <row r="3389" ht="15" customHeight="1">
      <c r="A3389" t="inlineStr">
        <is>
          <t>A 5931-2022</t>
        </is>
      </c>
      <c r="B3389" t="inlineStr">
        <is>
          <t>avverkningsanmälan</t>
        </is>
      </c>
      <c r="C3389" t="inlineStr">
        <is>
          <t>Föryngringsavverkning</t>
        </is>
      </c>
      <c r="D3389" s="1" t="n">
        <v>44598</v>
      </c>
      <c r="E3389" s="1" t="n">
        <v>46309</v>
      </c>
      <c r="F3389" t="inlineStr">
        <is>
          <t>UPPSALA LÄN</t>
        </is>
      </c>
      <c r="G3389" t="inlineStr">
        <is>
          <t>ÖSTHAMMAR</t>
        </is>
      </c>
      <c r="H3389" t="inlineStr">
        <is>
          <t>Bergvik skog öst AB</t>
        </is>
      </c>
      <c r="I3389" t="n">
        <v>0.7</v>
      </c>
      <c r="J3389" t="n">
        <v>0</v>
      </c>
      <c r="K3389" t="n">
        <v>0</v>
      </c>
      <c r="L3389" t="n">
        <v>0</v>
      </c>
      <c r="M3389" t="n">
        <v>0</v>
      </c>
      <c r="N3389" t="n">
        <v>0</v>
      </c>
      <c r="O3389" t="n">
        <v>0</v>
      </c>
      <c r="P3389" t="n">
        <v>0</v>
      </c>
      <c r="Q3389" t="n">
        <v>0</v>
      </c>
      <c r="R3389" t="n">
        <v>0</v>
      </c>
      <c r="S3389" t="n">
        <v>0</v>
      </c>
      <c r="T3389" t="n">
        <v>0</v>
      </c>
      <c r="U3389" t="n">
        <v>0</v>
      </c>
      <c r="V3389" s="2" t="inlineStr"/>
    </row>
    <row r="3390" ht="15" customHeight="1">
      <c r="A3390" t="inlineStr">
        <is>
          <t>A 13601-2024</t>
        </is>
      </c>
      <c r="B3390" t="inlineStr">
        <is>
          <t>avverkningsanmälan</t>
        </is>
      </c>
      <c r="C3390" t="inlineStr">
        <is>
          <t>Föryngringsavverkning</t>
        </is>
      </c>
      <c r="D3390" s="1" t="n">
        <v>45390</v>
      </c>
      <c r="E3390" s="1" t="n">
        <v>46309</v>
      </c>
      <c r="F3390" t="inlineStr">
        <is>
          <t>UPPSALA LÄN</t>
        </is>
      </c>
      <c r="G3390" t="inlineStr">
        <is>
          <t>HEBY</t>
        </is>
      </c>
      <c r="I3390" t="n">
        <v>1.4</v>
      </c>
      <c r="J3390" t="n">
        <v>0</v>
      </c>
      <c r="K3390" t="n">
        <v>0</v>
      </c>
      <c r="L3390" t="n">
        <v>0</v>
      </c>
      <c r="M3390" t="n">
        <v>0</v>
      </c>
      <c r="N3390" t="n">
        <v>0</v>
      </c>
      <c r="O3390" t="n">
        <v>0</v>
      </c>
      <c r="P3390" t="n">
        <v>0</v>
      </c>
      <c r="Q3390" t="n">
        <v>0</v>
      </c>
      <c r="R3390" t="n">
        <v>0</v>
      </c>
      <c r="S3390" t="n">
        <v>0</v>
      </c>
      <c r="T3390" t="n">
        <v>0</v>
      </c>
      <c r="U3390" t="n">
        <v>0</v>
      </c>
      <c r="V3390" s="2" t="inlineStr"/>
    </row>
    <row r="3391" ht="15" customHeight="1">
      <c r="A3391" t="inlineStr">
        <is>
          <t>A 59570-2023</t>
        </is>
      </c>
      <c r="B3391" t="inlineStr">
        <is>
          <t>avverkningsanmälan</t>
        </is>
      </c>
      <c r="C3391" t="inlineStr">
        <is>
          <t>Föryngringsavverkning</t>
        </is>
      </c>
      <c r="D3391" s="1" t="n">
        <v>45254</v>
      </c>
      <c r="E3391" s="1" t="n">
        <v>46309</v>
      </c>
      <c r="F3391" t="inlineStr">
        <is>
          <t>UPPSALA LÄN</t>
        </is>
      </c>
      <c r="G3391" t="inlineStr">
        <is>
          <t>UPPSALA</t>
        </is>
      </c>
      <c r="I3391" t="n">
        <v>6.7</v>
      </c>
      <c r="J3391" t="n">
        <v>0</v>
      </c>
      <c r="K3391" t="n">
        <v>0</v>
      </c>
      <c r="L3391" t="n">
        <v>0</v>
      </c>
      <c r="M3391" t="n">
        <v>0</v>
      </c>
      <c r="N3391" t="n">
        <v>0</v>
      </c>
      <c r="O3391" t="n">
        <v>0</v>
      </c>
      <c r="P3391" t="n">
        <v>0</v>
      </c>
      <c r="Q3391" t="n">
        <v>0</v>
      </c>
      <c r="R3391" t="n">
        <v>0</v>
      </c>
      <c r="S3391" t="n">
        <v>0</v>
      </c>
      <c r="T3391" t="n">
        <v>0</v>
      </c>
      <c r="U3391" t="n">
        <v>0</v>
      </c>
      <c r="V3391" s="2" t="inlineStr"/>
    </row>
    <row r="3392" ht="15" customHeight="1">
      <c r="A3392" t="inlineStr">
        <is>
          <t>A 43655-2024</t>
        </is>
      </c>
      <c r="B3392" t="inlineStr">
        <is>
          <t>avverkningsanmälan</t>
        </is>
      </c>
      <c r="C3392" t="inlineStr">
        <is>
          <t>Föryngringsavverkning</t>
        </is>
      </c>
      <c r="D3392" s="1" t="n">
        <v>45569</v>
      </c>
      <c r="E3392" s="1" t="n">
        <v>46309</v>
      </c>
      <c r="F3392" t="inlineStr">
        <is>
          <t>UPPSALA LÄN</t>
        </is>
      </c>
      <c r="G3392" t="inlineStr">
        <is>
          <t>ÖSTHAMMAR</t>
        </is>
      </c>
      <c r="I3392" t="n">
        <v>2.1</v>
      </c>
      <c r="J3392" t="n">
        <v>0</v>
      </c>
      <c r="K3392" t="n">
        <v>0</v>
      </c>
      <c r="L3392" t="n">
        <v>0</v>
      </c>
      <c r="M3392" t="n">
        <v>0</v>
      </c>
      <c r="N3392" t="n">
        <v>0</v>
      </c>
      <c r="O3392" t="n">
        <v>0</v>
      </c>
      <c r="P3392" t="n">
        <v>0</v>
      </c>
      <c r="Q3392" t="n">
        <v>0</v>
      </c>
      <c r="R3392" t="n">
        <v>0</v>
      </c>
      <c r="S3392" t="n">
        <v>0</v>
      </c>
      <c r="T3392" t="n">
        <v>0</v>
      </c>
      <c r="U3392" t="n">
        <v>0</v>
      </c>
      <c r="V3392" s="2" t="inlineStr"/>
    </row>
    <row r="3393" ht="15" customHeight="1">
      <c r="A3393" t="inlineStr">
        <is>
          <t>A 43683-2024</t>
        </is>
      </c>
      <c r="B3393" t="inlineStr">
        <is>
          <t>avverkningsanmälan</t>
        </is>
      </c>
      <c r="C3393" t="inlineStr">
        <is>
          <t>Föryngringsavverkning</t>
        </is>
      </c>
      <c r="D3393" s="1" t="n">
        <v>45569</v>
      </c>
      <c r="E3393" s="1" t="n">
        <v>46309</v>
      </c>
      <c r="F3393" t="inlineStr">
        <is>
          <t>UPPSALA LÄN</t>
        </is>
      </c>
      <c r="G3393" t="inlineStr">
        <is>
          <t>ÖSTHAMMAR</t>
        </is>
      </c>
      <c r="I3393" t="n">
        <v>4.7</v>
      </c>
      <c r="J3393" t="n">
        <v>0</v>
      </c>
      <c r="K3393" t="n">
        <v>0</v>
      </c>
      <c r="L3393" t="n">
        <v>0</v>
      </c>
      <c r="M3393" t="n">
        <v>0</v>
      </c>
      <c r="N3393" t="n">
        <v>0</v>
      </c>
      <c r="O3393" t="n">
        <v>0</v>
      </c>
      <c r="P3393" t="n">
        <v>0</v>
      </c>
      <c r="Q3393" t="n">
        <v>0</v>
      </c>
      <c r="R3393" t="n">
        <v>0</v>
      </c>
      <c r="S3393" t="n">
        <v>0</v>
      </c>
      <c r="T3393" t="n">
        <v>0</v>
      </c>
      <c r="U3393" t="n">
        <v>0</v>
      </c>
      <c r="V3393" s="2" t="inlineStr"/>
    </row>
    <row r="3394" ht="15" customHeight="1">
      <c r="A3394" t="inlineStr">
        <is>
          <t>A 41312-2026</t>
        </is>
      </c>
      <c r="B3394" t="inlineStr">
        <is>
          <t>avverkningsanmälan</t>
        </is>
      </c>
      <c r="C3394" t="inlineStr">
        <is>
          <t>Föryngringsavverkning</t>
        </is>
      </c>
      <c r="D3394" s="1" t="n">
        <v>46300</v>
      </c>
      <c r="E3394" s="1" t="n">
        <v>46309</v>
      </c>
      <c r="F3394" t="inlineStr">
        <is>
          <t>UPPSALA LÄN</t>
        </is>
      </c>
      <c r="G3394" t="inlineStr">
        <is>
          <t>HEBY</t>
        </is>
      </c>
      <c r="I3394" t="n">
        <v>17.5</v>
      </c>
      <c r="J3394" t="n">
        <v>0</v>
      </c>
      <c r="K3394" t="n">
        <v>0</v>
      </c>
      <c r="L3394" t="n">
        <v>0</v>
      </c>
      <c r="M3394" t="n">
        <v>0</v>
      </c>
      <c r="N3394" t="n">
        <v>0</v>
      </c>
      <c r="O3394" t="n">
        <v>0</v>
      </c>
      <c r="P3394" t="n">
        <v>0</v>
      </c>
      <c r="Q3394" t="n">
        <v>0</v>
      </c>
      <c r="R3394" t="n">
        <v>0</v>
      </c>
      <c r="S3394" t="n">
        <v>0</v>
      </c>
      <c r="T3394" t="n">
        <v>0</v>
      </c>
      <c r="U3394" t="n">
        <v>0</v>
      </c>
      <c r="V3394" s="2" t="inlineStr"/>
    </row>
    <row r="3395" ht="15" customHeight="1">
      <c r="A3395" t="inlineStr">
        <is>
          <t>A 30087-2024</t>
        </is>
      </c>
      <c r="B3395" t="inlineStr">
        <is>
          <t>avverkningsanmälan</t>
        </is>
      </c>
      <c r="C3395" t="inlineStr">
        <is>
          <t>Föryngringsavverkning</t>
        </is>
      </c>
      <c r="D3395" s="1" t="n">
        <v>45489</v>
      </c>
      <c r="E3395" s="1" t="n">
        <v>46309</v>
      </c>
      <c r="F3395" t="inlineStr">
        <is>
          <t>UPPSALA LÄN</t>
        </is>
      </c>
      <c r="G3395" t="inlineStr">
        <is>
          <t>ENKÖPING</t>
        </is>
      </c>
      <c r="I3395" t="n">
        <v>1.4</v>
      </c>
      <c r="J3395" t="n">
        <v>0</v>
      </c>
      <c r="K3395" t="n">
        <v>0</v>
      </c>
      <c r="L3395" t="n">
        <v>0</v>
      </c>
      <c r="M3395" t="n">
        <v>0</v>
      </c>
      <c r="N3395" t="n">
        <v>0</v>
      </c>
      <c r="O3395" t="n">
        <v>0</v>
      </c>
      <c r="P3395" t="n">
        <v>0</v>
      </c>
      <c r="Q3395" t="n">
        <v>0</v>
      </c>
      <c r="R3395" t="n">
        <v>0</v>
      </c>
      <c r="S3395" t="n">
        <v>0</v>
      </c>
      <c r="T3395" t="n">
        <v>0</v>
      </c>
      <c r="U3395" t="n">
        <v>0</v>
      </c>
      <c r="V3395" s="2" t="inlineStr"/>
    </row>
    <row r="3396" ht="15" customHeight="1">
      <c r="A3396" t="inlineStr">
        <is>
          <t>A 41138-2026</t>
        </is>
      </c>
      <c r="B3396" t="inlineStr">
        <is>
          <t>avverkningsanmälan</t>
        </is>
      </c>
      <c r="C3396" t="inlineStr">
        <is>
          <t>Föryngringsavverkning</t>
        </is>
      </c>
      <c r="D3396" s="1" t="n">
        <v>46300</v>
      </c>
      <c r="E3396" s="1" t="n">
        <v>46309</v>
      </c>
      <c r="F3396" t="inlineStr">
        <is>
          <t>UPPSALA LÄN</t>
        </is>
      </c>
      <c r="G3396" t="inlineStr">
        <is>
          <t>ÖSTHAMMAR</t>
        </is>
      </c>
      <c r="H3396" t="inlineStr">
        <is>
          <t>Övriga Aktiebolag</t>
        </is>
      </c>
      <c r="I3396" t="n">
        <v>9.800000000000001</v>
      </c>
      <c r="J3396" t="n">
        <v>0</v>
      </c>
      <c r="K3396" t="n">
        <v>0</v>
      </c>
      <c r="L3396" t="n">
        <v>0</v>
      </c>
      <c r="M3396" t="n">
        <v>0</v>
      </c>
      <c r="N3396" t="n">
        <v>0</v>
      </c>
      <c r="O3396" t="n">
        <v>0</v>
      </c>
      <c r="P3396" t="n">
        <v>0</v>
      </c>
      <c r="Q3396" t="n">
        <v>0</v>
      </c>
      <c r="R3396" t="n">
        <v>0</v>
      </c>
      <c r="S3396" t="n">
        <v>0</v>
      </c>
      <c r="T3396" t="n">
        <v>0</v>
      </c>
      <c r="U3396" t="n">
        <v>0</v>
      </c>
      <c r="V3396" s="2" t="inlineStr"/>
    </row>
    <row r="3397" ht="15" customHeight="1">
      <c r="A3397" t="inlineStr">
        <is>
          <t>A 41143-2026</t>
        </is>
      </c>
      <c r="B3397" t="inlineStr">
        <is>
          <t>avverkningsanmälan</t>
        </is>
      </c>
      <c r="C3397" t="inlineStr">
        <is>
          <t>Föryngringsavverkning</t>
        </is>
      </c>
      <c r="D3397" s="1" t="n">
        <v>46300</v>
      </c>
      <c r="E3397" s="1" t="n">
        <v>46309</v>
      </c>
      <c r="F3397" t="inlineStr">
        <is>
          <t>UPPSALA LÄN</t>
        </is>
      </c>
      <c r="G3397" t="inlineStr">
        <is>
          <t>ÖSTHAMMAR</t>
        </is>
      </c>
      <c r="H3397" t="inlineStr">
        <is>
          <t>Övriga Aktiebolag</t>
        </is>
      </c>
      <c r="I3397" t="n">
        <v>1.5</v>
      </c>
      <c r="J3397" t="n">
        <v>0</v>
      </c>
      <c r="K3397" t="n">
        <v>0</v>
      </c>
      <c r="L3397" t="n">
        <v>0</v>
      </c>
      <c r="M3397" t="n">
        <v>0</v>
      </c>
      <c r="N3397" t="n">
        <v>0</v>
      </c>
      <c r="O3397" t="n">
        <v>0</v>
      </c>
      <c r="P3397" t="n">
        <v>0</v>
      </c>
      <c r="Q3397" t="n">
        <v>0</v>
      </c>
      <c r="R3397" t="n">
        <v>0</v>
      </c>
      <c r="S3397" t="n">
        <v>0</v>
      </c>
      <c r="T3397" t="n">
        <v>0</v>
      </c>
      <c r="U3397" t="n">
        <v>0</v>
      </c>
      <c r="V3397" s="2" t="inlineStr"/>
    </row>
    <row r="3398" ht="15" customHeight="1">
      <c r="A3398" t="inlineStr">
        <is>
          <t>A 41146-2026</t>
        </is>
      </c>
      <c r="B3398" t="inlineStr">
        <is>
          <t>avverkningsanmälan</t>
        </is>
      </c>
      <c r="C3398" t="inlineStr">
        <is>
          <t>Föryngringsavverkning</t>
        </is>
      </c>
      <c r="D3398" s="1" t="n">
        <v>46300</v>
      </c>
      <c r="E3398" s="1" t="n">
        <v>46309</v>
      </c>
      <c r="F3398" t="inlineStr">
        <is>
          <t>UPPSALA LÄN</t>
        </is>
      </c>
      <c r="G3398" t="inlineStr">
        <is>
          <t>ÖSTHAMMAR</t>
        </is>
      </c>
      <c r="H3398" t="inlineStr">
        <is>
          <t>Övriga Aktiebolag</t>
        </is>
      </c>
      <c r="I3398" t="n">
        <v>2.5</v>
      </c>
      <c r="J3398" t="n">
        <v>0</v>
      </c>
      <c r="K3398" t="n">
        <v>0</v>
      </c>
      <c r="L3398" t="n">
        <v>0</v>
      </c>
      <c r="M3398" t="n">
        <v>0</v>
      </c>
      <c r="N3398" t="n">
        <v>0</v>
      </c>
      <c r="O3398" t="n">
        <v>0</v>
      </c>
      <c r="P3398" t="n">
        <v>0</v>
      </c>
      <c r="Q3398" t="n">
        <v>0</v>
      </c>
      <c r="R3398" t="n">
        <v>0</v>
      </c>
      <c r="S3398" t="n">
        <v>0</v>
      </c>
      <c r="T3398" t="n">
        <v>0</v>
      </c>
      <c r="U3398" t="n">
        <v>0</v>
      </c>
      <c r="V3398" s="2" t="inlineStr"/>
    </row>
    <row r="3399" ht="15" customHeight="1">
      <c r="A3399" t="inlineStr">
        <is>
          <t>A 40894-2026</t>
        </is>
      </c>
      <c r="B3399" t="inlineStr">
        <is>
          <t>avverkningsanmälan</t>
        </is>
      </c>
      <c r="C3399" t="inlineStr">
        <is>
          <t>Föryngringsavverkning</t>
        </is>
      </c>
      <c r="D3399" s="1" t="n">
        <v>46297</v>
      </c>
      <c r="E3399" s="1" t="n">
        <v>46309</v>
      </c>
      <c r="F3399" t="inlineStr">
        <is>
          <t>UPPSALA LÄN</t>
        </is>
      </c>
      <c r="G3399" t="inlineStr">
        <is>
          <t>TIERP</t>
        </is>
      </c>
      <c r="H3399" t="inlineStr">
        <is>
          <t>Bergvik skog öst AB</t>
        </is>
      </c>
      <c r="I3399" t="n">
        <v>17.5</v>
      </c>
      <c r="J3399" t="n">
        <v>0</v>
      </c>
      <c r="K3399" t="n">
        <v>0</v>
      </c>
      <c r="L3399" t="n">
        <v>0</v>
      </c>
      <c r="M3399" t="n">
        <v>0</v>
      </c>
      <c r="N3399" t="n">
        <v>0</v>
      </c>
      <c r="O3399" t="n">
        <v>0</v>
      </c>
      <c r="P3399" t="n">
        <v>0</v>
      </c>
      <c r="Q3399" t="n">
        <v>0</v>
      </c>
      <c r="R3399" t="n">
        <v>0</v>
      </c>
      <c r="S3399" t="n">
        <v>0</v>
      </c>
      <c r="T3399" t="n">
        <v>0</v>
      </c>
      <c r="U3399" t="n">
        <v>0</v>
      </c>
      <c r="V3399" s="2" t="inlineStr"/>
    </row>
    <row r="3400" ht="15" customHeight="1">
      <c r="A3400" t="inlineStr">
        <is>
          <t>A 22083-2025</t>
        </is>
      </c>
      <c r="B3400" t="inlineStr">
        <is>
          <t>avverkningsanmälan</t>
        </is>
      </c>
      <c r="C3400" t="inlineStr">
        <is>
          <t>Föryngringsavverkning</t>
        </is>
      </c>
      <c r="D3400" s="1" t="n">
        <v>45785</v>
      </c>
      <c r="E3400" s="1" t="n">
        <v>46309</v>
      </c>
      <c r="F3400" t="inlineStr">
        <is>
          <t>UPPSALA LÄN</t>
        </is>
      </c>
      <c r="G3400" t="inlineStr">
        <is>
          <t>TIERP</t>
        </is>
      </c>
      <c r="I3400" t="n">
        <v>8</v>
      </c>
      <c r="J3400" t="n">
        <v>0</v>
      </c>
      <c r="K3400" t="n">
        <v>0</v>
      </c>
      <c r="L3400" t="n">
        <v>0</v>
      </c>
      <c r="M3400" t="n">
        <v>0</v>
      </c>
      <c r="N3400" t="n">
        <v>0</v>
      </c>
      <c r="O3400" t="n">
        <v>0</v>
      </c>
      <c r="P3400" t="n">
        <v>0</v>
      </c>
      <c r="Q3400" t="n">
        <v>0</v>
      </c>
      <c r="R3400" t="n">
        <v>0</v>
      </c>
      <c r="S3400" t="n">
        <v>0</v>
      </c>
      <c r="T3400" t="n">
        <v>0</v>
      </c>
      <c r="U3400" t="n">
        <v>0</v>
      </c>
      <c r="V3400" s="2" t="inlineStr"/>
    </row>
    <row r="3401" ht="15" customHeight="1">
      <c r="A3401" t="inlineStr">
        <is>
          <t>A 40903-2026</t>
        </is>
      </c>
      <c r="B3401" t="inlineStr">
        <is>
          <t>avverkningsanmälan</t>
        </is>
      </c>
      <c r="C3401" t="inlineStr">
        <is>
          <t>Föryngringsavverkning</t>
        </is>
      </c>
      <c r="D3401" s="1" t="n">
        <v>46297</v>
      </c>
      <c r="E3401" s="1" t="n">
        <v>46309</v>
      </c>
      <c r="F3401" t="inlineStr">
        <is>
          <t>UPPSALA LÄN</t>
        </is>
      </c>
      <c r="G3401" t="inlineStr">
        <is>
          <t>TIERP</t>
        </is>
      </c>
      <c r="H3401" t="inlineStr">
        <is>
          <t>Bergvik skog öst AB</t>
        </is>
      </c>
      <c r="I3401" t="n">
        <v>0.8</v>
      </c>
      <c r="J3401" t="n">
        <v>0</v>
      </c>
      <c r="K3401" t="n">
        <v>0</v>
      </c>
      <c r="L3401" t="n">
        <v>0</v>
      </c>
      <c r="M3401" t="n">
        <v>0</v>
      </c>
      <c r="N3401" t="n">
        <v>0</v>
      </c>
      <c r="O3401" t="n">
        <v>0</v>
      </c>
      <c r="P3401" t="n">
        <v>0</v>
      </c>
      <c r="Q3401" t="n">
        <v>0</v>
      </c>
      <c r="R3401" t="n">
        <v>0</v>
      </c>
      <c r="S3401" t="n">
        <v>0</v>
      </c>
      <c r="T3401" t="n">
        <v>0</v>
      </c>
      <c r="U3401" t="n">
        <v>0</v>
      </c>
      <c r="V3401" s="2" t="inlineStr"/>
    </row>
    <row r="3402" ht="15" customHeight="1">
      <c r="A3402" t="inlineStr">
        <is>
          <t>A 34044-2026</t>
        </is>
      </c>
      <c r="B3402" t="inlineStr">
        <is>
          <t>avverkningsanmälan</t>
        </is>
      </c>
      <c r="C3402" t="inlineStr">
        <is>
          <t>Föryngringsavverkning</t>
        </is>
      </c>
      <c r="D3402" s="1" t="n">
        <v>46252</v>
      </c>
      <c r="E3402" s="1" t="n">
        <v>46309</v>
      </c>
      <c r="F3402" t="inlineStr">
        <is>
          <t>UPPSALA LÄN</t>
        </is>
      </c>
      <c r="G3402" t="inlineStr">
        <is>
          <t>TIERP</t>
        </is>
      </c>
      <c r="H3402" t="inlineStr">
        <is>
          <t>Bergvik skog väst AB</t>
        </is>
      </c>
      <c r="I3402" t="n">
        <v>2.7</v>
      </c>
      <c r="J3402" t="n">
        <v>0</v>
      </c>
      <c r="K3402" t="n">
        <v>0</v>
      </c>
      <c r="L3402" t="n">
        <v>0</v>
      </c>
      <c r="M3402" t="n">
        <v>0</v>
      </c>
      <c r="N3402" t="n">
        <v>0</v>
      </c>
      <c r="O3402" t="n">
        <v>0</v>
      </c>
      <c r="P3402" t="n">
        <v>0</v>
      </c>
      <c r="Q3402" t="n">
        <v>0</v>
      </c>
      <c r="R3402" t="n">
        <v>0</v>
      </c>
      <c r="S3402" t="n">
        <v>0</v>
      </c>
      <c r="T3402" t="n">
        <v>0</v>
      </c>
      <c r="U3402" t="n">
        <v>0</v>
      </c>
      <c r="V3402" s="2" t="inlineStr"/>
    </row>
    <row r="3403" ht="15" customHeight="1">
      <c r="A3403" t="inlineStr">
        <is>
          <t>A 21452-2026</t>
        </is>
      </c>
      <c r="B3403" t="inlineStr">
        <is>
          <t>avverkningsanmälan</t>
        </is>
      </c>
      <c r="C3403" t="inlineStr">
        <is>
          <t>Föryngringsavverkning</t>
        </is>
      </c>
      <c r="D3403" s="1" t="n">
        <v>46148</v>
      </c>
      <c r="E3403" s="1" t="n">
        <v>46309</v>
      </c>
      <c r="F3403" t="inlineStr">
        <is>
          <t>UPPSALA LÄN</t>
        </is>
      </c>
      <c r="G3403" t="inlineStr">
        <is>
          <t>TIERP</t>
        </is>
      </c>
      <c r="I3403" t="n">
        <v>0.9</v>
      </c>
      <c r="J3403" t="n">
        <v>0</v>
      </c>
      <c r="K3403" t="n">
        <v>0</v>
      </c>
      <c r="L3403" t="n">
        <v>0</v>
      </c>
      <c r="M3403" t="n">
        <v>0</v>
      </c>
      <c r="N3403" t="n">
        <v>0</v>
      </c>
      <c r="O3403" t="n">
        <v>0</v>
      </c>
      <c r="P3403" t="n">
        <v>0</v>
      </c>
      <c r="Q3403" t="n">
        <v>0</v>
      </c>
      <c r="R3403" t="n">
        <v>0</v>
      </c>
      <c r="S3403" t="n">
        <v>0</v>
      </c>
      <c r="T3403" t="n">
        <v>0</v>
      </c>
      <c r="U3403" t="n">
        <v>0</v>
      </c>
      <c r="V3403" s="2" t="inlineStr"/>
    </row>
    <row r="3404" ht="15" customHeight="1">
      <c r="A3404" t="inlineStr">
        <is>
          <t>A 21457-2026</t>
        </is>
      </c>
      <c r="B3404" t="inlineStr">
        <is>
          <t>avverkningsanmälan</t>
        </is>
      </c>
      <c r="C3404" t="inlineStr">
        <is>
          <t>Föryngringsavverkning</t>
        </is>
      </c>
      <c r="D3404" s="1" t="n">
        <v>46148</v>
      </c>
      <c r="E3404" s="1" t="n">
        <v>46309</v>
      </c>
      <c r="F3404" t="inlineStr">
        <is>
          <t>UPPSALA LÄN</t>
        </is>
      </c>
      <c r="G3404" t="inlineStr">
        <is>
          <t>TIERP</t>
        </is>
      </c>
      <c r="I3404" t="n">
        <v>2.6</v>
      </c>
      <c r="J3404" t="n">
        <v>0</v>
      </c>
      <c r="K3404" t="n">
        <v>0</v>
      </c>
      <c r="L3404" t="n">
        <v>0</v>
      </c>
      <c r="M3404" t="n">
        <v>0</v>
      </c>
      <c r="N3404" t="n">
        <v>0</v>
      </c>
      <c r="O3404" t="n">
        <v>0</v>
      </c>
      <c r="P3404" t="n">
        <v>0</v>
      </c>
      <c r="Q3404" t="n">
        <v>0</v>
      </c>
      <c r="R3404" t="n">
        <v>0</v>
      </c>
      <c r="S3404" t="n">
        <v>0</v>
      </c>
      <c r="T3404" t="n">
        <v>0</v>
      </c>
      <c r="U3404" t="n">
        <v>0</v>
      </c>
      <c r="V3404" s="2" t="inlineStr"/>
    </row>
    <row r="3405" ht="15" customHeight="1">
      <c r="A3405" t="inlineStr">
        <is>
          <t>A 35001-2024</t>
        </is>
      </c>
      <c r="B3405" t="inlineStr">
        <is>
          <t>avverkningsanmälan</t>
        </is>
      </c>
      <c r="C3405" t="inlineStr">
        <is>
          <t>Föryngringsavverkning</t>
        </is>
      </c>
      <c r="D3405" s="1" t="n">
        <v>45527</v>
      </c>
      <c r="E3405" s="1" t="n">
        <v>46309</v>
      </c>
      <c r="F3405" t="inlineStr">
        <is>
          <t>UPPSALA LÄN</t>
        </is>
      </c>
      <c r="G3405" t="inlineStr">
        <is>
          <t>TIERP</t>
        </is>
      </c>
      <c r="H3405" t="inlineStr">
        <is>
          <t>Bergvik skog väst AB</t>
        </is>
      </c>
      <c r="I3405" t="n">
        <v>3.1</v>
      </c>
      <c r="J3405" t="n">
        <v>0</v>
      </c>
      <c r="K3405" t="n">
        <v>0</v>
      </c>
      <c r="L3405" t="n">
        <v>0</v>
      </c>
      <c r="M3405" t="n">
        <v>0</v>
      </c>
      <c r="N3405" t="n">
        <v>0</v>
      </c>
      <c r="O3405" t="n">
        <v>0</v>
      </c>
      <c r="P3405" t="n">
        <v>0</v>
      </c>
      <c r="Q3405" t="n">
        <v>0</v>
      </c>
      <c r="R3405" t="n">
        <v>0</v>
      </c>
      <c r="S3405" t="n">
        <v>0</v>
      </c>
      <c r="T3405" t="n">
        <v>0</v>
      </c>
      <c r="U3405" t="n">
        <v>0</v>
      </c>
      <c r="V3405" s="2" t="inlineStr"/>
    </row>
    <row r="3406" ht="15" customHeight="1">
      <c r="A3406" t="inlineStr">
        <is>
          <t>A 22795-2025</t>
        </is>
      </c>
      <c r="B3406" t="inlineStr">
        <is>
          <t>avverkningsanmälan</t>
        </is>
      </c>
      <c r="C3406" t="inlineStr">
        <is>
          <t>Föryngringsavverkning</t>
        </is>
      </c>
      <c r="D3406" s="1" t="n">
        <v>45789</v>
      </c>
      <c r="E3406" s="1" t="n">
        <v>46309</v>
      </c>
      <c r="F3406" t="inlineStr">
        <is>
          <t>UPPSALA LÄN</t>
        </is>
      </c>
      <c r="G3406" t="inlineStr">
        <is>
          <t>ENKÖPING</t>
        </is>
      </c>
      <c r="I3406" t="n">
        <v>10.4</v>
      </c>
      <c r="J3406" t="n">
        <v>0</v>
      </c>
      <c r="K3406" t="n">
        <v>0</v>
      </c>
      <c r="L3406" t="n">
        <v>0</v>
      </c>
      <c r="M3406" t="n">
        <v>0</v>
      </c>
      <c r="N3406" t="n">
        <v>0</v>
      </c>
      <c r="O3406" t="n">
        <v>0</v>
      </c>
      <c r="P3406" t="n">
        <v>0</v>
      </c>
      <c r="Q3406" t="n">
        <v>0</v>
      </c>
      <c r="R3406" t="n">
        <v>0</v>
      </c>
      <c r="S3406" t="n">
        <v>0</v>
      </c>
      <c r="T3406" t="n">
        <v>0</v>
      </c>
      <c r="U3406" t="n">
        <v>0</v>
      </c>
      <c r="V3406" s="2" t="inlineStr"/>
    </row>
    <row r="3407" ht="15" customHeight="1">
      <c r="A3407" t="inlineStr">
        <is>
          <t>A 34544-2026</t>
        </is>
      </c>
      <c r="B3407" t="inlineStr">
        <is>
          <t>avverkningsanmälan</t>
        </is>
      </c>
      <c r="C3407" t="inlineStr">
        <is>
          <t>Föryngringsavverkning</t>
        </is>
      </c>
      <c r="D3407" s="1" t="n">
        <v>46255</v>
      </c>
      <c r="E3407" s="1" t="n">
        <v>46309</v>
      </c>
      <c r="F3407" t="inlineStr">
        <is>
          <t>UPPSALA LÄN</t>
        </is>
      </c>
      <c r="G3407" t="inlineStr">
        <is>
          <t>HEBY</t>
        </is>
      </c>
      <c r="H3407" t="inlineStr">
        <is>
          <t>Bergvik skog väst AB</t>
        </is>
      </c>
      <c r="I3407" t="n">
        <v>3.6</v>
      </c>
      <c r="J3407" t="n">
        <v>0</v>
      </c>
      <c r="K3407" t="n">
        <v>0</v>
      </c>
      <c r="L3407" t="n">
        <v>0</v>
      </c>
      <c r="M3407" t="n">
        <v>0</v>
      </c>
      <c r="N3407" t="n">
        <v>0</v>
      </c>
      <c r="O3407" t="n">
        <v>0</v>
      </c>
      <c r="P3407" t="n">
        <v>0</v>
      </c>
      <c r="Q3407" t="n">
        <v>0</v>
      </c>
      <c r="R3407" t="n">
        <v>0</v>
      </c>
      <c r="S3407" t="n">
        <v>0</v>
      </c>
      <c r="T3407" t="n">
        <v>0</v>
      </c>
      <c r="U3407" t="n">
        <v>0</v>
      </c>
      <c r="V3407" s="2" t="inlineStr"/>
    </row>
    <row r="3408" ht="15" customHeight="1">
      <c r="A3408" t="inlineStr">
        <is>
          <t>A 22802-2025</t>
        </is>
      </c>
      <c r="B3408" t="inlineStr">
        <is>
          <t>avverkningsanmälan</t>
        </is>
      </c>
      <c r="C3408" t="inlineStr">
        <is>
          <t>Föryngringsavverkning</t>
        </is>
      </c>
      <c r="D3408" s="1" t="n">
        <v>45789</v>
      </c>
      <c r="E3408" s="1" t="n">
        <v>46309</v>
      </c>
      <c r="F3408" t="inlineStr">
        <is>
          <t>UPPSALA LÄN</t>
        </is>
      </c>
      <c r="G3408" t="inlineStr">
        <is>
          <t>ENKÖPING</t>
        </is>
      </c>
      <c r="I3408" t="n">
        <v>0.5</v>
      </c>
      <c r="J3408" t="n">
        <v>0</v>
      </c>
      <c r="K3408" t="n">
        <v>0</v>
      </c>
      <c r="L3408" t="n">
        <v>0</v>
      </c>
      <c r="M3408" t="n">
        <v>0</v>
      </c>
      <c r="N3408" t="n">
        <v>0</v>
      </c>
      <c r="O3408" t="n">
        <v>0</v>
      </c>
      <c r="P3408" t="n">
        <v>0</v>
      </c>
      <c r="Q3408" t="n">
        <v>0</v>
      </c>
      <c r="R3408" t="n">
        <v>0</v>
      </c>
      <c r="S3408" t="n">
        <v>0</v>
      </c>
      <c r="T3408" t="n">
        <v>0</v>
      </c>
      <c r="U3408" t="n">
        <v>0</v>
      </c>
      <c r="V3408" s="2" t="inlineStr"/>
    </row>
    <row r="3409" ht="15" customHeight="1">
      <c r="A3409" t="inlineStr">
        <is>
          <t>A 13213-2022</t>
        </is>
      </c>
      <c r="B3409" t="inlineStr">
        <is>
          <t>avverkningsanmälan</t>
        </is>
      </c>
      <c r="C3409" t="inlineStr">
        <is>
          <t>Föryngringsavverkning</t>
        </is>
      </c>
      <c r="D3409" s="1" t="n">
        <v>44644</v>
      </c>
      <c r="E3409" s="1" t="n">
        <v>46309</v>
      </c>
      <c r="F3409" t="inlineStr">
        <is>
          <t>UPPSALA LÄN</t>
        </is>
      </c>
      <c r="G3409" t="inlineStr">
        <is>
          <t>HEBY</t>
        </is>
      </c>
      <c r="I3409" t="n">
        <v>2</v>
      </c>
      <c r="J3409" t="n">
        <v>0</v>
      </c>
      <c r="K3409" t="n">
        <v>0</v>
      </c>
      <c r="L3409" t="n">
        <v>0</v>
      </c>
      <c r="M3409" t="n">
        <v>0</v>
      </c>
      <c r="N3409" t="n">
        <v>0</v>
      </c>
      <c r="O3409" t="n">
        <v>0</v>
      </c>
      <c r="P3409" t="n">
        <v>0</v>
      </c>
      <c r="Q3409" t="n">
        <v>0</v>
      </c>
      <c r="R3409" t="n">
        <v>0</v>
      </c>
      <c r="S3409" t="n">
        <v>0</v>
      </c>
      <c r="T3409" t="n">
        <v>0</v>
      </c>
      <c r="U3409" t="n">
        <v>0</v>
      </c>
      <c r="V3409" s="2" t="inlineStr"/>
    </row>
    <row r="3410" ht="15" customHeight="1">
      <c r="A3410" t="inlineStr">
        <is>
          <t>A 11260-2024</t>
        </is>
      </c>
      <c r="B3410" t="inlineStr">
        <is>
          <t>avverkningsanmälan</t>
        </is>
      </c>
      <c r="C3410" t="inlineStr">
        <is>
          <t>Föryngringsavverkning</t>
        </is>
      </c>
      <c r="D3410" s="1" t="n">
        <v>45371</v>
      </c>
      <c r="E3410" s="1" t="n">
        <v>46309</v>
      </c>
      <c r="F3410" t="inlineStr">
        <is>
          <t>UPPSALA LÄN</t>
        </is>
      </c>
      <c r="G3410" t="inlineStr">
        <is>
          <t>UPPSALA</t>
        </is>
      </c>
      <c r="I3410" t="n">
        <v>1.9</v>
      </c>
      <c r="J3410" t="n">
        <v>0</v>
      </c>
      <c r="K3410" t="n">
        <v>0</v>
      </c>
      <c r="L3410" t="n">
        <v>0</v>
      </c>
      <c r="M3410" t="n">
        <v>0</v>
      </c>
      <c r="N3410" t="n">
        <v>0</v>
      </c>
      <c r="O3410" t="n">
        <v>0</v>
      </c>
      <c r="P3410" t="n">
        <v>0</v>
      </c>
      <c r="Q3410" t="n">
        <v>0</v>
      </c>
      <c r="R3410" t="n">
        <v>0</v>
      </c>
      <c r="S3410" t="n">
        <v>0</v>
      </c>
      <c r="T3410" t="n">
        <v>0</v>
      </c>
      <c r="U3410" t="n">
        <v>0</v>
      </c>
      <c r="V3410" s="2" t="inlineStr"/>
    </row>
    <row r="3411" ht="15" customHeight="1">
      <c r="A3411" t="inlineStr">
        <is>
          <t>A 14595-2023</t>
        </is>
      </c>
      <c r="B3411" t="inlineStr">
        <is>
          <t>avverkningsanmälan</t>
        </is>
      </c>
      <c r="C3411" t="inlineStr">
        <is>
          <t>Föryngringsavverkning</t>
        </is>
      </c>
      <c r="D3411" s="1" t="n">
        <v>45013</v>
      </c>
      <c r="E3411" s="1" t="n">
        <v>46309</v>
      </c>
      <c r="F3411" t="inlineStr">
        <is>
          <t>UPPSALA LÄN</t>
        </is>
      </c>
      <c r="G3411" t="inlineStr">
        <is>
          <t>ÖSTHAMMAR</t>
        </is>
      </c>
      <c r="I3411" t="n">
        <v>5</v>
      </c>
      <c r="J3411" t="n">
        <v>0</v>
      </c>
      <c r="K3411" t="n">
        <v>0</v>
      </c>
      <c r="L3411" t="n">
        <v>0</v>
      </c>
      <c r="M3411" t="n">
        <v>0</v>
      </c>
      <c r="N3411" t="n">
        <v>0</v>
      </c>
      <c r="O3411" t="n">
        <v>0</v>
      </c>
      <c r="P3411" t="n">
        <v>0</v>
      </c>
      <c r="Q3411" t="n">
        <v>0</v>
      </c>
      <c r="R3411" t="n">
        <v>0</v>
      </c>
      <c r="S3411" t="n">
        <v>0</v>
      </c>
      <c r="T3411" t="n">
        <v>0</v>
      </c>
      <c r="U3411" t="n">
        <v>0</v>
      </c>
      <c r="V3411" s="2" t="inlineStr"/>
    </row>
    <row r="3412" ht="15" customHeight="1">
      <c r="A3412" t="inlineStr">
        <is>
          <t>A 26208-2023</t>
        </is>
      </c>
      <c r="B3412" t="inlineStr">
        <is>
          <t>avverkningsanmälan</t>
        </is>
      </c>
      <c r="C3412" t="inlineStr">
        <is>
          <t>Föryngringsavverkning</t>
        </is>
      </c>
      <c r="D3412" s="1" t="n">
        <v>45091</v>
      </c>
      <c r="E3412" s="1" t="n">
        <v>46309</v>
      </c>
      <c r="F3412" t="inlineStr">
        <is>
          <t>UPPSALA LÄN</t>
        </is>
      </c>
      <c r="G3412" t="inlineStr">
        <is>
          <t>UPPSALA</t>
        </is>
      </c>
      <c r="H3412" t="inlineStr">
        <is>
          <t>Holmen skog AB</t>
        </is>
      </c>
      <c r="I3412" t="n">
        <v>1.9</v>
      </c>
      <c r="J3412" t="n">
        <v>0</v>
      </c>
      <c r="K3412" t="n">
        <v>0</v>
      </c>
      <c r="L3412" t="n">
        <v>0</v>
      </c>
      <c r="M3412" t="n">
        <v>0</v>
      </c>
      <c r="N3412" t="n">
        <v>0</v>
      </c>
      <c r="O3412" t="n">
        <v>0</v>
      </c>
      <c r="P3412" t="n">
        <v>0</v>
      </c>
      <c r="Q3412" t="n">
        <v>0</v>
      </c>
      <c r="R3412" t="n">
        <v>0</v>
      </c>
      <c r="S3412" t="n">
        <v>0</v>
      </c>
      <c r="T3412" t="n">
        <v>0</v>
      </c>
      <c r="U3412" t="n">
        <v>0</v>
      </c>
      <c r="V3412" s="2" t="inlineStr"/>
    </row>
    <row r="3413" ht="15" customHeight="1">
      <c r="A3413" t="inlineStr">
        <is>
          <t>A 6981-2025</t>
        </is>
      </c>
      <c r="B3413" t="inlineStr">
        <is>
          <t>avverkningsanmälan</t>
        </is>
      </c>
      <c r="C3413" t="inlineStr">
        <is>
          <t>Föryngringsavverkning</t>
        </is>
      </c>
      <c r="D3413" s="1" t="n">
        <v>45701</v>
      </c>
      <c r="E3413" s="1" t="n">
        <v>46309</v>
      </c>
      <c r="F3413" t="inlineStr">
        <is>
          <t>UPPSALA LÄN</t>
        </is>
      </c>
      <c r="G3413" t="inlineStr">
        <is>
          <t>ENKÖPING</t>
        </is>
      </c>
      <c r="I3413" t="n">
        <v>0.9</v>
      </c>
      <c r="J3413" t="n">
        <v>0</v>
      </c>
      <c r="K3413" t="n">
        <v>0</v>
      </c>
      <c r="L3413" t="n">
        <v>0</v>
      </c>
      <c r="M3413" t="n">
        <v>0</v>
      </c>
      <c r="N3413" t="n">
        <v>0</v>
      </c>
      <c r="O3413" t="n">
        <v>0</v>
      </c>
      <c r="P3413" t="n">
        <v>0</v>
      </c>
      <c r="Q3413" t="n">
        <v>0</v>
      </c>
      <c r="R3413" t="n">
        <v>0</v>
      </c>
      <c r="S3413" t="n">
        <v>0</v>
      </c>
      <c r="T3413" t="n">
        <v>0</v>
      </c>
      <c r="U3413" t="n">
        <v>0</v>
      </c>
      <c r="V3413" s="2" t="inlineStr"/>
    </row>
    <row r="3414" ht="15" customHeight="1">
      <c r="A3414" t="inlineStr">
        <is>
          <t>A 46751-2024</t>
        </is>
      </c>
      <c r="B3414" t="inlineStr">
        <is>
          <t>avverkningsanmälan</t>
        </is>
      </c>
      <c r="C3414" t="inlineStr">
        <is>
          <t>Föryngringsavverkning</t>
        </is>
      </c>
      <c r="D3414" s="1" t="n">
        <v>45583</v>
      </c>
      <c r="E3414" s="1" t="n">
        <v>46309</v>
      </c>
      <c r="F3414" t="inlineStr">
        <is>
          <t>UPPSALA LÄN</t>
        </is>
      </c>
      <c r="G3414" t="inlineStr">
        <is>
          <t>UPPSALA</t>
        </is>
      </c>
      <c r="H3414" t="inlineStr">
        <is>
          <t>Sveaskog</t>
        </is>
      </c>
      <c r="I3414" t="n">
        <v>0.7</v>
      </c>
      <c r="J3414" t="n">
        <v>0</v>
      </c>
      <c r="K3414" t="n">
        <v>0</v>
      </c>
      <c r="L3414" t="n">
        <v>0</v>
      </c>
      <c r="M3414" t="n">
        <v>0</v>
      </c>
      <c r="N3414" t="n">
        <v>0</v>
      </c>
      <c r="O3414" t="n">
        <v>0</v>
      </c>
      <c r="P3414" t="n">
        <v>0</v>
      </c>
      <c r="Q3414" t="n">
        <v>0</v>
      </c>
      <c r="R3414" t="n">
        <v>0</v>
      </c>
      <c r="S3414" t="n">
        <v>0</v>
      </c>
      <c r="T3414" t="n">
        <v>0</v>
      </c>
      <c r="U3414" t="n">
        <v>0</v>
      </c>
      <c r="V3414" s="2" t="inlineStr"/>
    </row>
    <row r="3415" ht="15" customHeight="1">
      <c r="A3415" t="inlineStr">
        <is>
          <t>A 33685-2024</t>
        </is>
      </c>
      <c r="B3415" t="inlineStr">
        <is>
          <t>avverkningsanmälan</t>
        </is>
      </c>
      <c r="C3415" t="inlineStr">
        <is>
          <t>Föryngringsavverkning</t>
        </is>
      </c>
      <c r="D3415" s="1" t="n">
        <v>45520</v>
      </c>
      <c r="E3415" s="1" t="n">
        <v>46309</v>
      </c>
      <c r="F3415" t="inlineStr">
        <is>
          <t>UPPSALA LÄN</t>
        </is>
      </c>
      <c r="G3415" t="inlineStr">
        <is>
          <t>ÖSTHAMMAR</t>
        </is>
      </c>
      <c r="H3415" t="inlineStr">
        <is>
          <t>Bergvik skog öst AB</t>
        </is>
      </c>
      <c r="I3415" t="n">
        <v>3.8</v>
      </c>
      <c r="J3415" t="n">
        <v>0</v>
      </c>
      <c r="K3415" t="n">
        <v>0</v>
      </c>
      <c r="L3415" t="n">
        <v>0</v>
      </c>
      <c r="M3415" t="n">
        <v>0</v>
      </c>
      <c r="N3415" t="n">
        <v>0</v>
      </c>
      <c r="O3415" t="n">
        <v>0</v>
      </c>
      <c r="P3415" t="n">
        <v>0</v>
      </c>
      <c r="Q3415" t="n">
        <v>0</v>
      </c>
      <c r="R3415" t="n">
        <v>0</v>
      </c>
      <c r="S3415" t="n">
        <v>0</v>
      </c>
      <c r="T3415" t="n">
        <v>0</v>
      </c>
      <c r="U3415" t="n">
        <v>0</v>
      </c>
      <c r="V3415" s="2" t="inlineStr"/>
    </row>
    <row r="3416" ht="15" customHeight="1">
      <c r="A3416" t="inlineStr">
        <is>
          <t>A 22455-2025</t>
        </is>
      </c>
      <c r="B3416" t="inlineStr">
        <is>
          <t>avverkningsanmälan</t>
        </is>
      </c>
      <c r="C3416" t="inlineStr">
        <is>
          <t>Föryngringsavverkning</t>
        </is>
      </c>
      <c r="D3416" s="1" t="n">
        <v>45786</v>
      </c>
      <c r="E3416" s="1" t="n">
        <v>46309</v>
      </c>
      <c r="F3416" t="inlineStr">
        <is>
          <t>UPPSALA LÄN</t>
        </is>
      </c>
      <c r="G3416" t="inlineStr">
        <is>
          <t>HEBY</t>
        </is>
      </c>
      <c r="H3416" t="inlineStr">
        <is>
          <t>Kyrkan</t>
        </is>
      </c>
      <c r="I3416" t="n">
        <v>2.8</v>
      </c>
      <c r="J3416" t="n">
        <v>0</v>
      </c>
      <c r="K3416" t="n">
        <v>0</v>
      </c>
      <c r="L3416" t="n">
        <v>0</v>
      </c>
      <c r="M3416" t="n">
        <v>0</v>
      </c>
      <c r="N3416" t="n">
        <v>0</v>
      </c>
      <c r="O3416" t="n">
        <v>0</v>
      </c>
      <c r="P3416" t="n">
        <v>0</v>
      </c>
      <c r="Q3416" t="n">
        <v>0</v>
      </c>
      <c r="R3416" t="n">
        <v>0</v>
      </c>
      <c r="S3416" t="n">
        <v>0</v>
      </c>
      <c r="T3416" t="n">
        <v>0</v>
      </c>
      <c r="U3416" t="n">
        <v>0</v>
      </c>
      <c r="V3416" s="2" t="inlineStr"/>
    </row>
    <row r="3417" ht="15" customHeight="1">
      <c r="A3417" t="inlineStr">
        <is>
          <t>A 33904-2026</t>
        </is>
      </c>
      <c r="B3417" t="inlineStr">
        <is>
          <t>avverkningsanmälan</t>
        </is>
      </c>
      <c r="C3417" t="inlineStr">
        <is>
          <t>Föryngringsavverkning</t>
        </is>
      </c>
      <c r="D3417" s="1" t="n">
        <v>46251</v>
      </c>
      <c r="E3417" s="1" t="n">
        <v>46309</v>
      </c>
      <c r="F3417" t="inlineStr">
        <is>
          <t>UPPSALA LÄN</t>
        </is>
      </c>
      <c r="G3417" t="inlineStr">
        <is>
          <t>UPPSALA</t>
        </is>
      </c>
      <c r="H3417" t="inlineStr">
        <is>
          <t>Bergvik skog öst AB</t>
        </is>
      </c>
      <c r="I3417" t="n">
        <v>0.4</v>
      </c>
      <c r="J3417" t="n">
        <v>0</v>
      </c>
      <c r="K3417" t="n">
        <v>0</v>
      </c>
      <c r="L3417" t="n">
        <v>0</v>
      </c>
      <c r="M3417" t="n">
        <v>0</v>
      </c>
      <c r="N3417" t="n">
        <v>0</v>
      </c>
      <c r="O3417" t="n">
        <v>0</v>
      </c>
      <c r="P3417" t="n">
        <v>0</v>
      </c>
      <c r="Q3417" t="n">
        <v>0</v>
      </c>
      <c r="R3417" t="n">
        <v>0</v>
      </c>
      <c r="S3417" t="n">
        <v>0</v>
      </c>
      <c r="T3417" t="n">
        <v>0</v>
      </c>
      <c r="U3417" t="n">
        <v>0</v>
      </c>
      <c r="V3417" s="2" t="inlineStr"/>
    </row>
    <row r="3418" ht="15" customHeight="1">
      <c r="A3418" t="inlineStr">
        <is>
          <t>A 46925-2024</t>
        </is>
      </c>
      <c r="B3418" t="inlineStr">
        <is>
          <t>avverkningsanmälan</t>
        </is>
      </c>
      <c r="C3418" t="inlineStr">
        <is>
          <t>Föryngringsavverkning</t>
        </is>
      </c>
      <c r="D3418" s="1" t="n">
        <v>45584</v>
      </c>
      <c r="E3418" s="1" t="n">
        <v>46309</v>
      </c>
      <c r="F3418" t="inlineStr">
        <is>
          <t>UPPSALA LÄN</t>
        </is>
      </c>
      <c r="G3418" t="inlineStr">
        <is>
          <t>UPPSALA</t>
        </is>
      </c>
      <c r="I3418" t="n">
        <v>0.7</v>
      </c>
      <c r="J3418" t="n">
        <v>0</v>
      </c>
      <c r="K3418" t="n">
        <v>0</v>
      </c>
      <c r="L3418" t="n">
        <v>0</v>
      </c>
      <c r="M3418" t="n">
        <v>0</v>
      </c>
      <c r="N3418" t="n">
        <v>0</v>
      </c>
      <c r="O3418" t="n">
        <v>0</v>
      </c>
      <c r="P3418" t="n">
        <v>0</v>
      </c>
      <c r="Q3418" t="n">
        <v>0</v>
      </c>
      <c r="R3418" t="n">
        <v>0</v>
      </c>
      <c r="S3418" t="n">
        <v>0</v>
      </c>
      <c r="T3418" t="n">
        <v>0</v>
      </c>
      <c r="U3418" t="n">
        <v>0</v>
      </c>
      <c r="V3418" s="2" t="inlineStr"/>
    </row>
    <row r="3419" ht="15" customHeight="1">
      <c r="A3419" t="inlineStr">
        <is>
          <t>A 44027-2024</t>
        </is>
      </c>
      <c r="B3419" t="inlineStr">
        <is>
          <t>avverkningsanmälan</t>
        </is>
      </c>
      <c r="C3419" t="inlineStr">
        <is>
          <t>Föryngringsavverkning</t>
        </is>
      </c>
      <c r="D3419" s="1" t="n">
        <v>45572</v>
      </c>
      <c r="E3419" s="1" t="n">
        <v>46309</v>
      </c>
      <c r="F3419" t="inlineStr">
        <is>
          <t>UPPSALA LÄN</t>
        </is>
      </c>
      <c r="G3419" t="inlineStr">
        <is>
          <t>ÖSTHAMMAR</t>
        </is>
      </c>
      <c r="I3419" t="n">
        <v>6</v>
      </c>
      <c r="J3419" t="n">
        <v>0</v>
      </c>
      <c r="K3419" t="n">
        <v>0</v>
      </c>
      <c r="L3419" t="n">
        <v>0</v>
      </c>
      <c r="M3419" t="n">
        <v>0</v>
      </c>
      <c r="N3419" t="n">
        <v>0</v>
      </c>
      <c r="O3419" t="n">
        <v>0</v>
      </c>
      <c r="P3419" t="n">
        <v>0</v>
      </c>
      <c r="Q3419" t="n">
        <v>0</v>
      </c>
      <c r="R3419" t="n">
        <v>0</v>
      </c>
      <c r="S3419" t="n">
        <v>0</v>
      </c>
      <c r="T3419" t="n">
        <v>0</v>
      </c>
      <c r="U3419" t="n">
        <v>0</v>
      </c>
      <c r="V3419" s="2" t="inlineStr"/>
    </row>
    <row r="3420" ht="15" customHeight="1">
      <c r="A3420" t="inlineStr">
        <is>
          <t>A 22981-2025</t>
        </is>
      </c>
      <c r="B3420" t="inlineStr">
        <is>
          <t>avverkningsanmälan</t>
        </is>
      </c>
      <c r="C3420" t="inlineStr">
        <is>
          <t>Föryngringsavverkning</t>
        </is>
      </c>
      <c r="D3420" s="1" t="n">
        <v>45790</v>
      </c>
      <c r="E3420" s="1" t="n">
        <v>46309</v>
      </c>
      <c r="F3420" t="inlineStr">
        <is>
          <t>UPPSALA LÄN</t>
        </is>
      </c>
      <c r="G3420" t="inlineStr">
        <is>
          <t>ENKÖPING</t>
        </is>
      </c>
      <c r="I3420" t="n">
        <v>1.5</v>
      </c>
      <c r="J3420" t="n">
        <v>0</v>
      </c>
      <c r="K3420" t="n">
        <v>0</v>
      </c>
      <c r="L3420" t="n">
        <v>0</v>
      </c>
      <c r="M3420" t="n">
        <v>0</v>
      </c>
      <c r="N3420" t="n">
        <v>0</v>
      </c>
      <c r="O3420" t="n">
        <v>0</v>
      </c>
      <c r="P3420" t="n">
        <v>0</v>
      </c>
      <c r="Q3420" t="n">
        <v>0</v>
      </c>
      <c r="R3420" t="n">
        <v>0</v>
      </c>
      <c r="S3420" t="n">
        <v>0</v>
      </c>
      <c r="T3420" t="n">
        <v>0</v>
      </c>
      <c r="U3420" t="n">
        <v>0</v>
      </c>
      <c r="V3420" s="2" t="inlineStr"/>
    </row>
    <row r="3421" ht="15" customHeight="1">
      <c r="A3421" t="inlineStr">
        <is>
          <t>A 68123-2021</t>
        </is>
      </c>
      <c r="B3421" t="inlineStr">
        <is>
          <t>avverkningsanmälan</t>
        </is>
      </c>
      <c r="C3421" t="inlineStr">
        <is>
          <t>Föryngringsavverkning</t>
        </is>
      </c>
      <c r="D3421" s="1" t="n">
        <v>44526</v>
      </c>
      <c r="E3421" s="1" t="n">
        <v>46309</v>
      </c>
      <c r="F3421" t="inlineStr">
        <is>
          <t>UPPSALA LÄN</t>
        </is>
      </c>
      <c r="G3421" t="inlineStr">
        <is>
          <t>ENKÖPING</t>
        </is>
      </c>
      <c r="I3421" t="n">
        <v>0.9</v>
      </c>
      <c r="J3421" t="n">
        <v>0</v>
      </c>
      <c r="K3421" t="n">
        <v>0</v>
      </c>
      <c r="L3421" t="n">
        <v>0</v>
      </c>
      <c r="M3421" t="n">
        <v>0</v>
      </c>
      <c r="N3421" t="n">
        <v>0</v>
      </c>
      <c r="O3421" t="n">
        <v>0</v>
      </c>
      <c r="P3421" t="n">
        <v>0</v>
      </c>
      <c r="Q3421" t="n">
        <v>0</v>
      </c>
      <c r="R3421" t="n">
        <v>0</v>
      </c>
      <c r="S3421" t="n">
        <v>0</v>
      </c>
      <c r="T3421" t="n">
        <v>0</v>
      </c>
      <c r="U3421" t="n">
        <v>0</v>
      </c>
      <c r="V3421" s="2" t="inlineStr"/>
    </row>
    <row r="3422" ht="15" customHeight="1">
      <c r="A3422" t="inlineStr">
        <is>
          <t>A 25856-2026</t>
        </is>
      </c>
      <c r="B3422" t="inlineStr">
        <is>
          <t>avverkningsanmälan</t>
        </is>
      </c>
      <c r="C3422" t="inlineStr">
        <is>
          <t>Föryngringsavverkning</t>
        </is>
      </c>
      <c r="D3422" s="1" t="n">
        <v>46178</v>
      </c>
      <c r="E3422" s="1" t="n">
        <v>46309</v>
      </c>
      <c r="F3422" t="inlineStr">
        <is>
          <t>UPPSALA LÄN</t>
        </is>
      </c>
      <c r="G3422" t="inlineStr">
        <is>
          <t>ÖSTHAMMAR</t>
        </is>
      </c>
      <c r="H3422" t="inlineStr">
        <is>
          <t>Bergvik skog öst AB</t>
        </is>
      </c>
      <c r="I3422" t="n">
        <v>6.7</v>
      </c>
      <c r="J3422" t="n">
        <v>0</v>
      </c>
      <c r="K3422" t="n">
        <v>0</v>
      </c>
      <c r="L3422" t="n">
        <v>0</v>
      </c>
      <c r="M3422" t="n">
        <v>0</v>
      </c>
      <c r="N3422" t="n">
        <v>0</v>
      </c>
      <c r="O3422" t="n">
        <v>0</v>
      </c>
      <c r="P3422" t="n">
        <v>0</v>
      </c>
      <c r="Q3422" t="n">
        <v>0</v>
      </c>
      <c r="R3422" t="n">
        <v>0</v>
      </c>
      <c r="S3422" t="n">
        <v>0</v>
      </c>
      <c r="T3422" t="n">
        <v>0</v>
      </c>
      <c r="U3422" t="n">
        <v>0</v>
      </c>
      <c r="V3422" s="2" t="inlineStr"/>
    </row>
    <row r="3423" ht="15" customHeight="1">
      <c r="A3423" t="inlineStr">
        <is>
          <t>A 37975-2026</t>
        </is>
      </c>
      <c r="B3423" t="inlineStr">
        <is>
          <t>avverkningsanmälan</t>
        </is>
      </c>
      <c r="C3423" t="inlineStr">
        <is>
          <t>Föryngringsavverkning</t>
        </is>
      </c>
      <c r="D3423" s="1" t="n">
        <v>46280</v>
      </c>
      <c r="E3423" s="1" t="n">
        <v>46309</v>
      </c>
      <c r="F3423" t="inlineStr">
        <is>
          <t>UPPSALA LÄN</t>
        </is>
      </c>
      <c r="G3423" t="inlineStr">
        <is>
          <t>HEBY</t>
        </is>
      </c>
      <c r="I3423" t="n">
        <v>0.7</v>
      </c>
      <c r="J3423" t="n">
        <v>0</v>
      </c>
      <c r="K3423" t="n">
        <v>0</v>
      </c>
      <c r="L3423" t="n">
        <v>0</v>
      </c>
      <c r="M3423" t="n">
        <v>0</v>
      </c>
      <c r="N3423" t="n">
        <v>0</v>
      </c>
      <c r="O3423" t="n">
        <v>0</v>
      </c>
      <c r="P3423" t="n">
        <v>0</v>
      </c>
      <c r="Q3423" t="n">
        <v>0</v>
      </c>
      <c r="R3423" t="n">
        <v>0</v>
      </c>
      <c r="S3423" t="n">
        <v>0</v>
      </c>
      <c r="T3423" t="n">
        <v>0</v>
      </c>
      <c r="U3423" t="n">
        <v>0</v>
      </c>
      <c r="V3423" s="2" t="inlineStr"/>
    </row>
    <row r="3424" ht="15" customHeight="1">
      <c r="A3424" t="inlineStr">
        <is>
          <t>A 34416-2026</t>
        </is>
      </c>
      <c r="B3424" t="inlineStr">
        <is>
          <t>avverkningsanmälan</t>
        </is>
      </c>
      <c r="C3424" t="inlineStr">
        <is>
          <t>Föryngringsavverkning</t>
        </is>
      </c>
      <c r="D3424" s="1" t="n">
        <v>46254</v>
      </c>
      <c r="E3424" s="1" t="n">
        <v>46309</v>
      </c>
      <c r="F3424" t="inlineStr">
        <is>
          <t>UPPSALA LÄN</t>
        </is>
      </c>
      <c r="G3424" t="inlineStr">
        <is>
          <t>HEBY</t>
        </is>
      </c>
      <c r="H3424" t="inlineStr">
        <is>
          <t>Kyrkan</t>
        </is>
      </c>
      <c r="I3424" t="n">
        <v>1.1</v>
      </c>
      <c r="J3424" t="n">
        <v>0</v>
      </c>
      <c r="K3424" t="n">
        <v>0</v>
      </c>
      <c r="L3424" t="n">
        <v>0</v>
      </c>
      <c r="M3424" t="n">
        <v>0</v>
      </c>
      <c r="N3424" t="n">
        <v>0</v>
      </c>
      <c r="O3424" t="n">
        <v>0</v>
      </c>
      <c r="P3424" t="n">
        <v>0</v>
      </c>
      <c r="Q3424" t="n">
        <v>0</v>
      </c>
      <c r="R3424" t="n">
        <v>0</v>
      </c>
      <c r="S3424" t="n">
        <v>0</v>
      </c>
      <c r="T3424" t="n">
        <v>0</v>
      </c>
      <c r="U3424" t="n">
        <v>0</v>
      </c>
      <c r="V3424" s="2" t="inlineStr"/>
    </row>
    <row r="3425" ht="15" customHeight="1">
      <c r="A3425" t="inlineStr">
        <is>
          <t>A 34610-2026</t>
        </is>
      </c>
      <c r="B3425" t="inlineStr">
        <is>
          <t>avverkningsanmälan</t>
        </is>
      </c>
      <c r="C3425" t="inlineStr">
        <is>
          <t>Föryngringsavverkning</t>
        </is>
      </c>
      <c r="D3425" s="1" t="n">
        <v>46255</v>
      </c>
      <c r="E3425" s="1" t="n">
        <v>46309</v>
      </c>
      <c r="F3425" t="inlineStr">
        <is>
          <t>UPPSALA LÄN</t>
        </is>
      </c>
      <c r="G3425" t="inlineStr">
        <is>
          <t>HEBY</t>
        </is>
      </c>
      <c r="H3425" t="inlineStr">
        <is>
          <t>Bergvik skog väst AB</t>
        </is>
      </c>
      <c r="I3425" t="n">
        <v>1.4</v>
      </c>
      <c r="J3425" t="n">
        <v>0</v>
      </c>
      <c r="K3425" t="n">
        <v>0</v>
      </c>
      <c r="L3425" t="n">
        <v>0</v>
      </c>
      <c r="M3425" t="n">
        <v>0</v>
      </c>
      <c r="N3425" t="n">
        <v>0</v>
      </c>
      <c r="O3425" t="n">
        <v>0</v>
      </c>
      <c r="P3425" t="n">
        <v>0</v>
      </c>
      <c r="Q3425" t="n">
        <v>0</v>
      </c>
      <c r="R3425" t="n">
        <v>0</v>
      </c>
      <c r="S3425" t="n">
        <v>0</v>
      </c>
      <c r="T3425" t="n">
        <v>0</v>
      </c>
      <c r="U3425" t="n">
        <v>0</v>
      </c>
      <c r="V3425" s="2" t="inlineStr"/>
    </row>
    <row r="3426" ht="15" customHeight="1">
      <c r="A3426" t="inlineStr">
        <is>
          <t>A 34469-2026</t>
        </is>
      </c>
      <c r="B3426" t="inlineStr">
        <is>
          <t>avverkningsanmälan</t>
        </is>
      </c>
      <c r="C3426" t="inlineStr">
        <is>
          <t>Föryngringsavverkning</t>
        </is>
      </c>
      <c r="D3426" s="1" t="n">
        <v>46254</v>
      </c>
      <c r="E3426" s="1" t="n">
        <v>46309</v>
      </c>
      <c r="F3426" t="inlineStr">
        <is>
          <t>UPPSALA LÄN</t>
        </is>
      </c>
      <c r="G3426" t="inlineStr">
        <is>
          <t>UPPSALA</t>
        </is>
      </c>
      <c r="I3426" t="n">
        <v>1.1</v>
      </c>
      <c r="J3426" t="n">
        <v>0</v>
      </c>
      <c r="K3426" t="n">
        <v>0</v>
      </c>
      <c r="L3426" t="n">
        <v>0</v>
      </c>
      <c r="M3426" t="n">
        <v>0</v>
      </c>
      <c r="N3426" t="n">
        <v>0</v>
      </c>
      <c r="O3426" t="n">
        <v>0</v>
      </c>
      <c r="P3426" t="n">
        <v>0</v>
      </c>
      <c r="Q3426" t="n">
        <v>0</v>
      </c>
      <c r="R3426" t="n">
        <v>0</v>
      </c>
      <c r="S3426" t="n">
        <v>0</v>
      </c>
      <c r="T3426" t="n">
        <v>0</v>
      </c>
      <c r="U3426" t="n">
        <v>0</v>
      </c>
      <c r="V3426" s="2" t="inlineStr"/>
    </row>
    <row r="3427" ht="15" customHeight="1">
      <c r="A3427" t="inlineStr">
        <is>
          <t>A 26161-2026</t>
        </is>
      </c>
      <c r="B3427" t="inlineStr">
        <is>
          <t>avverkningsanmälan</t>
        </is>
      </c>
      <c r="C3427" t="inlineStr">
        <is>
          <t>Föryngringsavverkning</t>
        </is>
      </c>
      <c r="D3427" s="1" t="n">
        <v>46181</v>
      </c>
      <c r="E3427" s="1" t="n">
        <v>46309</v>
      </c>
      <c r="F3427" t="inlineStr">
        <is>
          <t>UPPSALA LÄN</t>
        </is>
      </c>
      <c r="G3427" t="inlineStr">
        <is>
          <t>ÖSTHAMMAR</t>
        </is>
      </c>
      <c r="H3427" t="inlineStr">
        <is>
          <t>Bergvik skog öst AB</t>
        </is>
      </c>
      <c r="I3427" t="n">
        <v>9.1</v>
      </c>
      <c r="J3427" t="n">
        <v>0</v>
      </c>
      <c r="K3427" t="n">
        <v>0</v>
      </c>
      <c r="L3427" t="n">
        <v>0</v>
      </c>
      <c r="M3427" t="n">
        <v>0</v>
      </c>
      <c r="N3427" t="n">
        <v>0</v>
      </c>
      <c r="O3427" t="n">
        <v>0</v>
      </c>
      <c r="P3427" t="n">
        <v>0</v>
      </c>
      <c r="Q3427" t="n">
        <v>0</v>
      </c>
      <c r="R3427" t="n">
        <v>0</v>
      </c>
      <c r="S3427" t="n">
        <v>0</v>
      </c>
      <c r="T3427" t="n">
        <v>0</v>
      </c>
      <c r="U3427" t="n">
        <v>0</v>
      </c>
      <c r="V3427" s="2" t="inlineStr"/>
    </row>
    <row r="3428" ht="15" customHeight="1">
      <c r="A3428" t="inlineStr">
        <is>
          <t>A 34575-2026</t>
        </is>
      </c>
      <c r="B3428" t="inlineStr">
        <is>
          <t>avverkningsanmälan</t>
        </is>
      </c>
      <c r="C3428" t="inlineStr">
        <is>
          <t>Föryngringsavverkning</t>
        </is>
      </c>
      <c r="D3428" s="1" t="n">
        <v>46255</v>
      </c>
      <c r="E3428" s="1" t="n">
        <v>46309</v>
      </c>
      <c r="F3428" t="inlineStr">
        <is>
          <t>UPPSALA LÄN</t>
        </is>
      </c>
      <c r="G3428" t="inlineStr">
        <is>
          <t>ÄLVKARLEBY</t>
        </is>
      </c>
      <c r="H3428" t="inlineStr">
        <is>
          <t>Bergvik skog öst AB</t>
        </is>
      </c>
      <c r="I3428" t="n">
        <v>5.7</v>
      </c>
      <c r="J3428" t="n">
        <v>0</v>
      </c>
      <c r="K3428" t="n">
        <v>0</v>
      </c>
      <c r="L3428" t="n">
        <v>0</v>
      </c>
      <c r="M3428" t="n">
        <v>0</v>
      </c>
      <c r="N3428" t="n">
        <v>0</v>
      </c>
      <c r="O3428" t="n">
        <v>0</v>
      </c>
      <c r="P3428" t="n">
        <v>0</v>
      </c>
      <c r="Q3428" t="n">
        <v>0</v>
      </c>
      <c r="R3428" t="n">
        <v>0</v>
      </c>
      <c r="S3428" t="n">
        <v>0</v>
      </c>
      <c r="T3428" t="n">
        <v>0</v>
      </c>
      <c r="U3428" t="n">
        <v>0</v>
      </c>
      <c r="V3428" s="2" t="inlineStr"/>
    </row>
    <row r="3429" ht="15" customHeight="1">
      <c r="A3429" t="inlineStr">
        <is>
          <t>A 34577-2026</t>
        </is>
      </c>
      <c r="B3429" t="inlineStr">
        <is>
          <t>avverkningsanmälan</t>
        </is>
      </c>
      <c r="C3429" t="inlineStr">
        <is>
          <t>Föryngringsavverkning</t>
        </is>
      </c>
      <c r="D3429" s="1" t="n">
        <v>46255</v>
      </c>
      <c r="E3429" s="1" t="n">
        <v>46309</v>
      </c>
      <c r="F3429" t="inlineStr">
        <is>
          <t>UPPSALA LÄN</t>
        </is>
      </c>
      <c r="G3429" t="inlineStr">
        <is>
          <t>HEBY</t>
        </is>
      </c>
      <c r="I3429" t="n">
        <v>1.4</v>
      </c>
      <c r="J3429" t="n">
        <v>0</v>
      </c>
      <c r="K3429" t="n">
        <v>0</v>
      </c>
      <c r="L3429" t="n">
        <v>0</v>
      </c>
      <c r="M3429" t="n">
        <v>0</v>
      </c>
      <c r="N3429" t="n">
        <v>0</v>
      </c>
      <c r="O3429" t="n">
        <v>0</v>
      </c>
      <c r="P3429" t="n">
        <v>0</v>
      </c>
      <c r="Q3429" t="n">
        <v>0</v>
      </c>
      <c r="R3429" t="n">
        <v>0</v>
      </c>
      <c r="S3429" t="n">
        <v>0</v>
      </c>
      <c r="T3429" t="n">
        <v>0</v>
      </c>
      <c r="U3429" t="n">
        <v>0</v>
      </c>
      <c r="V3429" s="2" t="inlineStr"/>
    </row>
    <row r="3430" ht="15" customHeight="1">
      <c r="A3430" t="inlineStr">
        <is>
          <t>A 33594-2026</t>
        </is>
      </c>
      <c r="B3430" t="inlineStr">
        <is>
          <t>avverkningsanmälan</t>
        </is>
      </c>
      <c r="C3430" t="inlineStr">
        <is>
          <t>Föryngringsavverkning</t>
        </is>
      </c>
      <c r="D3430" s="1" t="n">
        <v>46248</v>
      </c>
      <c r="E3430" s="1" t="n">
        <v>46309</v>
      </c>
      <c r="F3430" t="inlineStr">
        <is>
          <t>UPPSALA LÄN</t>
        </is>
      </c>
      <c r="G3430" t="inlineStr">
        <is>
          <t>TIERP</t>
        </is>
      </c>
      <c r="H3430" t="inlineStr">
        <is>
          <t>Bergvik skog öst AB</t>
        </is>
      </c>
      <c r="I3430" t="n">
        <v>8.9</v>
      </c>
      <c r="J3430" t="n">
        <v>0</v>
      </c>
      <c r="K3430" t="n">
        <v>0</v>
      </c>
      <c r="L3430" t="n">
        <v>0</v>
      </c>
      <c r="M3430" t="n">
        <v>0</v>
      </c>
      <c r="N3430" t="n">
        <v>0</v>
      </c>
      <c r="O3430" t="n">
        <v>0</v>
      </c>
      <c r="P3430" t="n">
        <v>0</v>
      </c>
      <c r="Q3430" t="n">
        <v>0</v>
      </c>
      <c r="R3430" t="n">
        <v>0</v>
      </c>
      <c r="S3430" t="n">
        <v>0</v>
      </c>
      <c r="T3430" t="n">
        <v>0</v>
      </c>
      <c r="U3430" t="n">
        <v>0</v>
      </c>
      <c r="V3430" s="2" t="inlineStr"/>
    </row>
    <row r="3431" ht="15" customHeight="1">
      <c r="A3431" t="inlineStr">
        <is>
          <t>A 30841-2026</t>
        </is>
      </c>
      <c r="B3431" t="inlineStr">
        <is>
          <t>avverkningsanmälan</t>
        </is>
      </c>
      <c r="C3431" t="inlineStr">
        <is>
          <t>Avverkning för att bevara och utveckla /försöksver</t>
        </is>
      </c>
      <c r="D3431" s="1" t="n">
        <v>46212</v>
      </c>
      <c r="E3431" s="1" t="n">
        <v>46309</v>
      </c>
      <c r="F3431" t="inlineStr">
        <is>
          <t>UPPSALA LÄN</t>
        </is>
      </c>
      <c r="G3431" t="inlineStr">
        <is>
          <t>TIERP</t>
        </is>
      </c>
      <c r="H3431" t="inlineStr">
        <is>
          <t>Kommuner</t>
        </is>
      </c>
      <c r="I3431" t="n">
        <v>2.1</v>
      </c>
      <c r="J3431" t="n">
        <v>0</v>
      </c>
      <c r="K3431" t="n">
        <v>0</v>
      </c>
      <c r="L3431" t="n">
        <v>0</v>
      </c>
      <c r="M3431" t="n">
        <v>0</v>
      </c>
      <c r="N3431" t="n">
        <v>0</v>
      </c>
      <c r="O3431" t="n">
        <v>0</v>
      </c>
      <c r="P3431" t="n">
        <v>0</v>
      </c>
      <c r="Q3431" t="n">
        <v>0</v>
      </c>
      <c r="R3431" t="n">
        <v>0</v>
      </c>
      <c r="S3431" t="n">
        <v>0</v>
      </c>
      <c r="T3431" t="n">
        <v>0</v>
      </c>
      <c r="U3431" t="n">
        <v>0</v>
      </c>
      <c r="V3431" s="2" t="inlineStr"/>
    </row>
    <row r="3432" ht="15" customHeight="1">
      <c r="A3432" t="inlineStr">
        <is>
          <t>A 40994-2026</t>
        </is>
      </c>
      <c r="B3432" t="inlineStr">
        <is>
          <t>avverkningsanmälan</t>
        </is>
      </c>
      <c r="C3432" t="inlineStr">
        <is>
          <t>Föryngringsavverkning</t>
        </is>
      </c>
      <c r="D3432" s="1" t="n">
        <v>46297</v>
      </c>
      <c r="E3432" s="1" t="n">
        <v>46309</v>
      </c>
      <c r="F3432" t="inlineStr">
        <is>
          <t>UPPSALA LÄN</t>
        </is>
      </c>
      <c r="G3432" t="inlineStr">
        <is>
          <t>HEBY</t>
        </is>
      </c>
      <c r="I3432" t="n">
        <v>9</v>
      </c>
      <c r="J3432" t="n">
        <v>0</v>
      </c>
      <c r="K3432" t="n">
        <v>0</v>
      </c>
      <c r="L3432" t="n">
        <v>0</v>
      </c>
      <c r="M3432" t="n">
        <v>0</v>
      </c>
      <c r="N3432" t="n">
        <v>0</v>
      </c>
      <c r="O3432" t="n">
        <v>0</v>
      </c>
      <c r="P3432" t="n">
        <v>0</v>
      </c>
      <c r="Q3432" t="n">
        <v>0</v>
      </c>
      <c r="R3432" t="n">
        <v>0</v>
      </c>
      <c r="S3432" t="n">
        <v>0</v>
      </c>
      <c r="T3432" t="n">
        <v>0</v>
      </c>
      <c r="U3432" t="n">
        <v>0</v>
      </c>
      <c r="V3432" s="2" t="inlineStr"/>
    </row>
    <row r="3433" ht="15" customHeight="1">
      <c r="A3433" t="inlineStr">
        <is>
          <t>A 34566-2026</t>
        </is>
      </c>
      <c r="B3433" t="inlineStr">
        <is>
          <t>avverkningsanmälan</t>
        </is>
      </c>
      <c r="C3433" t="inlineStr">
        <is>
          <t>Föryngringsavverkning</t>
        </is>
      </c>
      <c r="D3433" s="1" t="n">
        <v>46255</v>
      </c>
      <c r="E3433" s="1" t="n">
        <v>46309</v>
      </c>
      <c r="F3433" t="inlineStr">
        <is>
          <t>UPPSALA LÄN</t>
        </is>
      </c>
      <c r="G3433" t="inlineStr">
        <is>
          <t>ENKÖPING</t>
        </is>
      </c>
      <c r="I3433" t="n">
        <v>3.8</v>
      </c>
      <c r="J3433" t="n">
        <v>0</v>
      </c>
      <c r="K3433" t="n">
        <v>0</v>
      </c>
      <c r="L3433" t="n">
        <v>0</v>
      </c>
      <c r="M3433" t="n">
        <v>0</v>
      </c>
      <c r="N3433" t="n">
        <v>0</v>
      </c>
      <c r="O3433" t="n">
        <v>0</v>
      </c>
      <c r="P3433" t="n">
        <v>0</v>
      </c>
      <c r="Q3433" t="n">
        <v>0</v>
      </c>
      <c r="R3433" t="n">
        <v>0</v>
      </c>
      <c r="S3433" t="n">
        <v>0</v>
      </c>
      <c r="T3433" t="n">
        <v>0</v>
      </c>
      <c r="U3433" t="n">
        <v>0</v>
      </c>
      <c r="V3433" s="2" t="inlineStr"/>
    </row>
    <row r="3434" ht="15" customHeight="1">
      <c r="A3434" t="inlineStr">
        <is>
          <t>A 33485-2026</t>
        </is>
      </c>
      <c r="B3434" t="inlineStr">
        <is>
          <t>avverkningsanmälan</t>
        </is>
      </c>
      <c r="C3434" t="inlineStr">
        <is>
          <t>Föryngringsavverkning</t>
        </is>
      </c>
      <c r="D3434" s="1" t="n">
        <v>46247</v>
      </c>
      <c r="E3434" s="1" t="n">
        <v>46309</v>
      </c>
      <c r="F3434" t="inlineStr">
        <is>
          <t>UPPSALA LÄN</t>
        </is>
      </c>
      <c r="G3434" t="inlineStr">
        <is>
          <t>ÄLVKARLEBY</t>
        </is>
      </c>
      <c r="H3434" t="inlineStr">
        <is>
          <t>Bergvik skog öst AB</t>
        </is>
      </c>
      <c r="I3434" t="n">
        <v>4.3</v>
      </c>
      <c r="J3434" t="n">
        <v>0</v>
      </c>
      <c r="K3434" t="n">
        <v>0</v>
      </c>
      <c r="L3434" t="n">
        <v>0</v>
      </c>
      <c r="M3434" t="n">
        <v>0</v>
      </c>
      <c r="N3434" t="n">
        <v>0</v>
      </c>
      <c r="O3434" t="n">
        <v>0</v>
      </c>
      <c r="P3434" t="n">
        <v>0</v>
      </c>
      <c r="Q3434" t="n">
        <v>0</v>
      </c>
      <c r="R3434" t="n">
        <v>0</v>
      </c>
      <c r="S3434" t="n">
        <v>0</v>
      </c>
      <c r="T3434" t="n">
        <v>0</v>
      </c>
      <c r="U3434" t="n">
        <v>0</v>
      </c>
      <c r="V3434" s="2" t="inlineStr"/>
    </row>
    <row r="3435" ht="15" customHeight="1">
      <c r="A3435" t="inlineStr">
        <is>
          <t>A 41095-2026</t>
        </is>
      </c>
      <c r="B3435" t="inlineStr">
        <is>
          <t>avverkningsanmälan</t>
        </is>
      </c>
      <c r="C3435" t="inlineStr">
        <is>
          <t>Föryngringsavverkning</t>
        </is>
      </c>
      <c r="D3435" s="1" t="n">
        <v>46300</v>
      </c>
      <c r="E3435" s="1" t="n">
        <v>46309</v>
      </c>
      <c r="F3435" t="inlineStr">
        <is>
          <t>UPPSALA LÄN</t>
        </is>
      </c>
      <c r="G3435" t="inlineStr">
        <is>
          <t>UPPSALA</t>
        </is>
      </c>
      <c r="I3435" t="n">
        <v>0.3</v>
      </c>
      <c r="J3435" t="n">
        <v>0</v>
      </c>
      <c r="K3435" t="n">
        <v>0</v>
      </c>
      <c r="L3435" t="n">
        <v>0</v>
      </c>
      <c r="M3435" t="n">
        <v>0</v>
      </c>
      <c r="N3435" t="n">
        <v>0</v>
      </c>
      <c r="O3435" t="n">
        <v>0</v>
      </c>
      <c r="P3435" t="n">
        <v>0</v>
      </c>
      <c r="Q3435" t="n">
        <v>0</v>
      </c>
      <c r="R3435" t="n">
        <v>0</v>
      </c>
      <c r="S3435" t="n">
        <v>0</v>
      </c>
      <c r="T3435" t="n">
        <v>0</v>
      </c>
      <c r="U3435" t="n">
        <v>0</v>
      </c>
      <c r="V3435" s="2" t="inlineStr"/>
    </row>
    <row r="3436" ht="15" customHeight="1">
      <c r="A3436" t="inlineStr">
        <is>
          <t>A 41097-2026</t>
        </is>
      </c>
      <c r="B3436" t="inlineStr">
        <is>
          <t>avverkningsanmälan</t>
        </is>
      </c>
      <c r="C3436" t="inlineStr">
        <is>
          <t>Föryngringsavverkning</t>
        </is>
      </c>
      <c r="D3436" s="1" t="n">
        <v>46300</v>
      </c>
      <c r="E3436" s="1" t="n">
        <v>46309</v>
      </c>
      <c r="F3436" t="inlineStr">
        <is>
          <t>UPPSALA LÄN</t>
        </is>
      </c>
      <c r="G3436" t="inlineStr">
        <is>
          <t>UPPSALA</t>
        </is>
      </c>
      <c r="I3436" t="n">
        <v>0.4</v>
      </c>
      <c r="J3436" t="n">
        <v>0</v>
      </c>
      <c r="K3436" t="n">
        <v>0</v>
      </c>
      <c r="L3436" t="n">
        <v>0</v>
      </c>
      <c r="M3436" t="n">
        <v>0</v>
      </c>
      <c r="N3436" t="n">
        <v>0</v>
      </c>
      <c r="O3436" t="n">
        <v>0</v>
      </c>
      <c r="P3436" t="n">
        <v>0</v>
      </c>
      <c r="Q3436" t="n">
        <v>0</v>
      </c>
      <c r="R3436" t="n">
        <v>0</v>
      </c>
      <c r="S3436" t="n">
        <v>0</v>
      </c>
      <c r="T3436" t="n">
        <v>0</v>
      </c>
      <c r="U3436" t="n">
        <v>0</v>
      </c>
      <c r="V3436" s="2" t="inlineStr"/>
    </row>
    <row r="3437" ht="15" customHeight="1">
      <c r="A3437" t="inlineStr">
        <is>
          <t>A 6517-2026</t>
        </is>
      </c>
      <c r="B3437" t="inlineStr">
        <is>
          <t>avverkningsanmälan</t>
        </is>
      </c>
      <c r="C3437" t="inlineStr">
        <is>
          <t>Föryngringsavverkning</t>
        </is>
      </c>
      <c r="D3437" s="1" t="n">
        <v>46056</v>
      </c>
      <c r="E3437" s="1" t="n">
        <v>46309</v>
      </c>
      <c r="F3437" t="inlineStr">
        <is>
          <t>UPPSALA LÄN</t>
        </is>
      </c>
      <c r="G3437" t="inlineStr">
        <is>
          <t>ÖSTHAMMAR</t>
        </is>
      </c>
      <c r="H3437" t="inlineStr">
        <is>
          <t>Bergvik skog öst AB</t>
        </is>
      </c>
      <c r="I3437" t="n">
        <v>1.3</v>
      </c>
      <c r="J3437" t="n">
        <v>0</v>
      </c>
      <c r="K3437" t="n">
        <v>0</v>
      </c>
      <c r="L3437" t="n">
        <v>0</v>
      </c>
      <c r="M3437" t="n">
        <v>0</v>
      </c>
      <c r="N3437" t="n">
        <v>0</v>
      </c>
      <c r="O3437" t="n">
        <v>0</v>
      </c>
      <c r="P3437" t="n">
        <v>0</v>
      </c>
      <c r="Q3437" t="n">
        <v>0</v>
      </c>
      <c r="R3437" t="n">
        <v>0</v>
      </c>
      <c r="S3437" t="n">
        <v>0</v>
      </c>
      <c r="T3437" t="n">
        <v>0</v>
      </c>
      <c r="U3437" t="n">
        <v>0</v>
      </c>
      <c r="V3437" s="2" t="inlineStr"/>
    </row>
    <row r="3438" ht="15" customHeight="1">
      <c r="A3438" t="inlineStr">
        <is>
          <t>A 6522-2026</t>
        </is>
      </c>
      <c r="B3438" t="inlineStr">
        <is>
          <t>avverkningsanmälan</t>
        </is>
      </c>
      <c r="C3438" t="inlineStr">
        <is>
          <t>Föryngringsavverkning</t>
        </is>
      </c>
      <c r="D3438" s="1" t="n">
        <v>46056</v>
      </c>
      <c r="E3438" s="1" t="n">
        <v>46309</v>
      </c>
      <c r="F3438" t="inlineStr">
        <is>
          <t>UPPSALA LÄN</t>
        </is>
      </c>
      <c r="G3438" t="inlineStr">
        <is>
          <t>ÖSTHAMMAR</t>
        </is>
      </c>
      <c r="H3438" t="inlineStr">
        <is>
          <t>Bergvik skog öst AB</t>
        </is>
      </c>
      <c r="I3438" t="n">
        <v>4.2</v>
      </c>
      <c r="J3438" t="n">
        <v>0</v>
      </c>
      <c r="K3438" t="n">
        <v>0</v>
      </c>
      <c r="L3438" t="n">
        <v>0</v>
      </c>
      <c r="M3438" t="n">
        <v>0</v>
      </c>
      <c r="N3438" t="n">
        <v>0</v>
      </c>
      <c r="O3438" t="n">
        <v>0</v>
      </c>
      <c r="P3438" t="n">
        <v>0</v>
      </c>
      <c r="Q3438" t="n">
        <v>0</v>
      </c>
      <c r="R3438" t="n">
        <v>0</v>
      </c>
      <c r="S3438" t="n">
        <v>0</v>
      </c>
      <c r="T3438" t="n">
        <v>0</v>
      </c>
      <c r="U3438" t="n">
        <v>0</v>
      </c>
      <c r="V3438" s="2" t="inlineStr"/>
    </row>
    <row r="3439" ht="15" customHeight="1">
      <c r="A3439" t="inlineStr">
        <is>
          <t>A 41344-2026</t>
        </is>
      </c>
      <c r="B3439" t="inlineStr">
        <is>
          <t>avverkningsanmälan</t>
        </is>
      </c>
      <c r="C3439" t="inlineStr">
        <is>
          <t>Föryngringsavverkning</t>
        </is>
      </c>
      <c r="D3439" s="1" t="n">
        <v>46301</v>
      </c>
      <c r="E3439" s="1" t="n">
        <v>46309</v>
      </c>
      <c r="F3439" t="inlineStr">
        <is>
          <t>UPPSALA LÄN</t>
        </is>
      </c>
      <c r="G3439" t="inlineStr">
        <is>
          <t>HEBY</t>
        </is>
      </c>
      <c r="I3439" t="n">
        <v>0.7</v>
      </c>
      <c r="J3439" t="n">
        <v>0</v>
      </c>
      <c r="K3439" t="n">
        <v>0</v>
      </c>
      <c r="L3439" t="n">
        <v>0</v>
      </c>
      <c r="M3439" t="n">
        <v>0</v>
      </c>
      <c r="N3439" t="n">
        <v>0</v>
      </c>
      <c r="O3439" t="n">
        <v>0</v>
      </c>
      <c r="P3439" t="n">
        <v>0</v>
      </c>
      <c r="Q3439" t="n">
        <v>0</v>
      </c>
      <c r="R3439" t="n">
        <v>0</v>
      </c>
      <c r="S3439" t="n">
        <v>0</v>
      </c>
      <c r="T3439" t="n">
        <v>0</v>
      </c>
      <c r="U3439" t="n">
        <v>0</v>
      </c>
      <c r="V3439" s="2" t="inlineStr"/>
    </row>
    <row r="3440" ht="15" customHeight="1">
      <c r="A3440" t="inlineStr">
        <is>
          <t>A 41332-2026</t>
        </is>
      </c>
      <c r="B3440" t="inlineStr">
        <is>
          <t>avverkningsanmälan</t>
        </is>
      </c>
      <c r="C3440" t="inlineStr">
        <is>
          <t>Föryngringsavverkning</t>
        </is>
      </c>
      <c r="D3440" s="1" t="n">
        <v>46301</v>
      </c>
      <c r="E3440" s="1" t="n">
        <v>46309</v>
      </c>
      <c r="F3440" t="inlineStr">
        <is>
          <t>UPPSALA LÄN</t>
        </is>
      </c>
      <c r="G3440" t="inlineStr">
        <is>
          <t>HEBY</t>
        </is>
      </c>
      <c r="I3440" t="n">
        <v>2.8</v>
      </c>
      <c r="J3440" t="n">
        <v>0</v>
      </c>
      <c r="K3440" t="n">
        <v>0</v>
      </c>
      <c r="L3440" t="n">
        <v>0</v>
      </c>
      <c r="M3440" t="n">
        <v>0</v>
      </c>
      <c r="N3440" t="n">
        <v>0</v>
      </c>
      <c r="O3440" t="n">
        <v>0</v>
      </c>
      <c r="P3440" t="n">
        <v>0</v>
      </c>
      <c r="Q3440" t="n">
        <v>0</v>
      </c>
      <c r="R3440" t="n">
        <v>0</v>
      </c>
      <c r="S3440" t="n">
        <v>0</v>
      </c>
      <c r="T3440" t="n">
        <v>0</v>
      </c>
      <c r="U3440" t="n">
        <v>0</v>
      </c>
      <c r="V3440" s="2" t="inlineStr"/>
    </row>
    <row r="3441" ht="15" customHeight="1">
      <c r="A3441" t="inlineStr">
        <is>
          <t>A 41607-2026</t>
        </is>
      </c>
      <c r="B3441" t="inlineStr">
        <is>
          <t>avverkningsanmälan</t>
        </is>
      </c>
      <c r="C3441" t="inlineStr">
        <is>
          <t>Föryngringsavverkning</t>
        </is>
      </c>
      <c r="D3441" s="1" t="n">
        <v>46302</v>
      </c>
      <c r="E3441" s="1" t="n">
        <v>46309</v>
      </c>
      <c r="F3441" t="inlineStr">
        <is>
          <t>UPPSALA LÄN</t>
        </is>
      </c>
      <c r="G3441" t="inlineStr">
        <is>
          <t>HEBY</t>
        </is>
      </c>
      <c r="I3441" t="n">
        <v>1.1</v>
      </c>
      <c r="J3441" t="n">
        <v>0</v>
      </c>
      <c r="K3441" t="n">
        <v>0</v>
      </c>
      <c r="L3441" t="n">
        <v>0</v>
      </c>
      <c r="M3441" t="n">
        <v>0</v>
      </c>
      <c r="N3441" t="n">
        <v>0</v>
      </c>
      <c r="O3441" t="n">
        <v>0</v>
      </c>
      <c r="P3441" t="n">
        <v>0</v>
      </c>
      <c r="Q3441" t="n">
        <v>0</v>
      </c>
      <c r="R3441" t="n">
        <v>0</v>
      </c>
      <c r="S3441" t="n">
        <v>0</v>
      </c>
      <c r="T3441" t="n">
        <v>0</v>
      </c>
      <c r="U3441" t="n">
        <v>0</v>
      </c>
      <c r="V3441" s="2" t="inlineStr"/>
    </row>
    <row r="3442" ht="15" customHeight="1">
      <c r="A3442" t="inlineStr">
        <is>
          <t>A 54482-2025</t>
        </is>
      </c>
      <c r="B3442" t="inlineStr">
        <is>
          <t>avverkningsanmälan</t>
        </is>
      </c>
      <c r="C3442" t="inlineStr">
        <is>
          <t>Föryngringsavverkning</t>
        </is>
      </c>
      <c r="D3442" s="1" t="n">
        <v>45965</v>
      </c>
      <c r="E3442" s="1" t="n">
        <v>46309</v>
      </c>
      <c r="F3442" t="inlineStr">
        <is>
          <t>UPPSALA LÄN</t>
        </is>
      </c>
      <c r="G3442" t="inlineStr">
        <is>
          <t>TIERP</t>
        </is>
      </c>
      <c r="H3442" t="inlineStr">
        <is>
          <t>Bergvik skog öst AB</t>
        </is>
      </c>
      <c r="I3442" t="n">
        <v>1.2</v>
      </c>
      <c r="J3442" t="n">
        <v>0</v>
      </c>
      <c r="K3442" t="n">
        <v>0</v>
      </c>
      <c r="L3442" t="n">
        <v>0</v>
      </c>
      <c r="M3442" t="n">
        <v>0</v>
      </c>
      <c r="N3442" t="n">
        <v>0</v>
      </c>
      <c r="O3442" t="n">
        <v>0</v>
      </c>
      <c r="P3442" t="n">
        <v>0</v>
      </c>
      <c r="Q3442" t="n">
        <v>0</v>
      </c>
      <c r="R3442" t="n">
        <v>0</v>
      </c>
      <c r="S3442" t="n">
        <v>0</v>
      </c>
      <c r="T3442" t="n">
        <v>0</v>
      </c>
      <c r="U3442" t="n">
        <v>0</v>
      </c>
      <c r="V3442" s="2" t="inlineStr"/>
    </row>
    <row r="3443" ht="15" customHeight="1">
      <c r="A3443" t="inlineStr">
        <is>
          <t>A 27476-2025</t>
        </is>
      </c>
      <c r="B3443" t="inlineStr">
        <is>
          <t>avverkningsanmälan</t>
        </is>
      </c>
      <c r="C3443" t="inlineStr">
        <is>
          <t>Föryngringsavverkning</t>
        </is>
      </c>
      <c r="D3443" s="1" t="n">
        <v>45813</v>
      </c>
      <c r="E3443" s="1" t="n">
        <v>46309</v>
      </c>
      <c r="F3443" t="inlineStr">
        <is>
          <t>UPPSALA LÄN</t>
        </is>
      </c>
      <c r="G3443" t="inlineStr">
        <is>
          <t>ÖSTHAMMAR</t>
        </is>
      </c>
      <c r="H3443" t="inlineStr">
        <is>
          <t>Bergvik skog öst AB</t>
        </is>
      </c>
      <c r="I3443" t="n">
        <v>1.3</v>
      </c>
      <c r="J3443" t="n">
        <v>0</v>
      </c>
      <c r="K3443" t="n">
        <v>0</v>
      </c>
      <c r="L3443" t="n">
        <v>0</v>
      </c>
      <c r="M3443" t="n">
        <v>0</v>
      </c>
      <c r="N3443" t="n">
        <v>0</v>
      </c>
      <c r="O3443" t="n">
        <v>0</v>
      </c>
      <c r="P3443" t="n">
        <v>0</v>
      </c>
      <c r="Q3443" t="n">
        <v>0</v>
      </c>
      <c r="R3443" t="n">
        <v>0</v>
      </c>
      <c r="S3443" t="n">
        <v>0</v>
      </c>
      <c r="T3443" t="n">
        <v>0</v>
      </c>
      <c r="U3443" t="n">
        <v>0</v>
      </c>
      <c r="V3443" s="2" t="inlineStr"/>
    </row>
    <row r="3444" ht="15" customHeight="1">
      <c r="A3444" t="inlineStr">
        <is>
          <t>A 34762-2026</t>
        </is>
      </c>
      <c r="B3444" t="inlineStr">
        <is>
          <t>avverkningsanmälan</t>
        </is>
      </c>
      <c r="C3444" t="inlineStr">
        <is>
          <t>Föryngringsavverkning</t>
        </is>
      </c>
      <c r="D3444" s="1" t="n">
        <v>46258</v>
      </c>
      <c r="E3444" s="1" t="n">
        <v>46309</v>
      </c>
      <c r="F3444" t="inlineStr">
        <is>
          <t>UPPSALA LÄN</t>
        </is>
      </c>
      <c r="G3444" t="inlineStr">
        <is>
          <t>UPPSALA</t>
        </is>
      </c>
      <c r="I3444" t="n">
        <v>1.7</v>
      </c>
      <c r="J3444" t="n">
        <v>0</v>
      </c>
      <c r="K3444" t="n">
        <v>0</v>
      </c>
      <c r="L3444" t="n">
        <v>0</v>
      </c>
      <c r="M3444" t="n">
        <v>0</v>
      </c>
      <c r="N3444" t="n">
        <v>0</v>
      </c>
      <c r="O3444" t="n">
        <v>0</v>
      </c>
      <c r="P3444" t="n">
        <v>0</v>
      </c>
      <c r="Q3444" t="n">
        <v>0</v>
      </c>
      <c r="R3444" t="n">
        <v>0</v>
      </c>
      <c r="S3444" t="n">
        <v>0</v>
      </c>
      <c r="T3444" t="n">
        <v>0</v>
      </c>
      <c r="U3444" t="n">
        <v>0</v>
      </c>
      <c r="V3444" s="2" t="inlineStr"/>
    </row>
    <row r="3445" ht="15" customHeight="1">
      <c r="A3445" t="inlineStr">
        <is>
          <t>A 41331-2026</t>
        </is>
      </c>
      <c r="B3445" t="inlineStr">
        <is>
          <t>avverkningsanmälan</t>
        </is>
      </c>
      <c r="C3445" t="inlineStr">
        <is>
          <t>Föryngringsavverkning</t>
        </is>
      </c>
      <c r="D3445" s="1" t="n">
        <v>46301</v>
      </c>
      <c r="E3445" s="1" t="n">
        <v>46309</v>
      </c>
      <c r="F3445" t="inlineStr">
        <is>
          <t>UPPSALA LÄN</t>
        </is>
      </c>
      <c r="G3445" t="inlineStr">
        <is>
          <t>HEBY</t>
        </is>
      </c>
      <c r="I3445" t="n">
        <v>3.3</v>
      </c>
      <c r="J3445" t="n">
        <v>0</v>
      </c>
      <c r="K3445" t="n">
        <v>0</v>
      </c>
      <c r="L3445" t="n">
        <v>0</v>
      </c>
      <c r="M3445" t="n">
        <v>0</v>
      </c>
      <c r="N3445" t="n">
        <v>0</v>
      </c>
      <c r="O3445" t="n">
        <v>0</v>
      </c>
      <c r="P3445" t="n">
        <v>0</v>
      </c>
      <c r="Q3445" t="n">
        <v>0</v>
      </c>
      <c r="R3445" t="n">
        <v>0</v>
      </c>
      <c r="S3445" t="n">
        <v>0</v>
      </c>
      <c r="T3445" t="n">
        <v>0</v>
      </c>
      <c r="U3445" t="n">
        <v>0</v>
      </c>
      <c r="V3445" s="2" t="inlineStr"/>
    </row>
    <row r="3446" ht="15" customHeight="1">
      <c r="A3446" t="inlineStr">
        <is>
          <t>A 41738-2026</t>
        </is>
      </c>
      <c r="B3446" t="inlineStr">
        <is>
          <t>avverkningsanmälan</t>
        </is>
      </c>
      <c r="C3446" t="inlineStr">
        <is>
          <t>Föryngringsavverkning</t>
        </is>
      </c>
      <c r="D3446" s="1" t="n">
        <v>46302</v>
      </c>
      <c r="E3446" s="1" t="n">
        <v>46309</v>
      </c>
      <c r="F3446" t="inlineStr">
        <is>
          <t>UPPSALA LÄN</t>
        </is>
      </c>
      <c r="G3446" t="inlineStr">
        <is>
          <t>UPPSALA</t>
        </is>
      </c>
      <c r="I3446" t="n">
        <v>3.4</v>
      </c>
      <c r="J3446" t="n">
        <v>0</v>
      </c>
      <c r="K3446" t="n">
        <v>0</v>
      </c>
      <c r="L3446" t="n">
        <v>0</v>
      </c>
      <c r="M3446" t="n">
        <v>0</v>
      </c>
      <c r="N3446" t="n">
        <v>0</v>
      </c>
      <c r="O3446" t="n">
        <v>0</v>
      </c>
      <c r="P3446" t="n">
        <v>0</v>
      </c>
      <c r="Q3446" t="n">
        <v>0</v>
      </c>
      <c r="R3446" t="n">
        <v>0</v>
      </c>
      <c r="S3446" t="n">
        <v>0</v>
      </c>
      <c r="T3446" t="n">
        <v>0</v>
      </c>
      <c r="U3446" t="n">
        <v>0</v>
      </c>
      <c r="V3446" s="2" t="inlineStr"/>
    </row>
    <row r="3447" ht="15" customHeight="1">
      <c r="A3447" t="inlineStr">
        <is>
          <t>A 3642-2026</t>
        </is>
      </c>
      <c r="B3447" t="inlineStr">
        <is>
          <t>avverkningsanmälan</t>
        </is>
      </c>
      <c r="C3447" t="inlineStr">
        <is>
          <t>Föryngringsavverkning</t>
        </is>
      </c>
      <c r="D3447" s="1" t="n">
        <v>46043</v>
      </c>
      <c r="E3447" s="1" t="n">
        <v>46309</v>
      </c>
      <c r="F3447" t="inlineStr">
        <is>
          <t>UPPSALA LÄN</t>
        </is>
      </c>
      <c r="G3447" t="inlineStr">
        <is>
          <t>ÖSTHAMMAR</t>
        </is>
      </c>
      <c r="I3447" t="n">
        <v>3</v>
      </c>
      <c r="J3447" t="n">
        <v>0</v>
      </c>
      <c r="K3447" t="n">
        <v>0</v>
      </c>
      <c r="L3447" t="n">
        <v>0</v>
      </c>
      <c r="M3447" t="n">
        <v>0</v>
      </c>
      <c r="N3447" t="n">
        <v>0</v>
      </c>
      <c r="O3447" t="n">
        <v>0</v>
      </c>
      <c r="P3447" t="n">
        <v>0</v>
      </c>
      <c r="Q3447" t="n">
        <v>0</v>
      </c>
      <c r="R3447" t="n">
        <v>0</v>
      </c>
      <c r="S3447" t="n">
        <v>0</v>
      </c>
      <c r="T3447" t="n">
        <v>0</v>
      </c>
      <c r="U3447" t="n">
        <v>0</v>
      </c>
      <c r="V3447" s="2" t="inlineStr"/>
    </row>
    <row r="3448" ht="15" customHeight="1">
      <c r="A3448" t="inlineStr">
        <is>
          <t>A 34983-2026</t>
        </is>
      </c>
      <c r="B3448" t="inlineStr">
        <is>
          <t>avverkningsanmälan</t>
        </is>
      </c>
      <c r="C3448" t="inlineStr">
        <is>
          <t>Föryngringsavverkning</t>
        </is>
      </c>
      <c r="D3448" s="1" t="n">
        <v>46259</v>
      </c>
      <c r="E3448" s="1" t="n">
        <v>46309</v>
      </c>
      <c r="F3448" t="inlineStr">
        <is>
          <t>UPPSALA LÄN</t>
        </is>
      </c>
      <c r="G3448" t="inlineStr">
        <is>
          <t>UPPSALA</t>
        </is>
      </c>
      <c r="I3448" t="n">
        <v>6.5</v>
      </c>
      <c r="J3448" t="n">
        <v>0</v>
      </c>
      <c r="K3448" t="n">
        <v>0</v>
      </c>
      <c r="L3448" t="n">
        <v>0</v>
      </c>
      <c r="M3448" t="n">
        <v>0</v>
      </c>
      <c r="N3448" t="n">
        <v>0</v>
      </c>
      <c r="O3448" t="n">
        <v>0</v>
      </c>
      <c r="P3448" t="n">
        <v>0</v>
      </c>
      <c r="Q3448" t="n">
        <v>0</v>
      </c>
      <c r="R3448" t="n">
        <v>0</v>
      </c>
      <c r="S3448" t="n">
        <v>0</v>
      </c>
      <c r="T3448" t="n">
        <v>0</v>
      </c>
      <c r="U3448" t="n">
        <v>0</v>
      </c>
      <c r="V3448" s="2" t="inlineStr"/>
    </row>
    <row r="3449" ht="15" customHeight="1">
      <c r="A3449" t="inlineStr">
        <is>
          <t>A 34782-2026</t>
        </is>
      </c>
      <c r="B3449" t="inlineStr">
        <is>
          <t>avverkningsanmälan</t>
        </is>
      </c>
      <c r="C3449" t="inlineStr">
        <is>
          <t>Föryngringsavverkning</t>
        </is>
      </c>
      <c r="D3449" s="1" t="n">
        <v>46258</v>
      </c>
      <c r="E3449" s="1" t="n">
        <v>46309</v>
      </c>
      <c r="F3449" t="inlineStr">
        <is>
          <t>UPPSALA LÄN</t>
        </is>
      </c>
      <c r="G3449" t="inlineStr">
        <is>
          <t>ÖSTHAMMAR</t>
        </is>
      </c>
      <c r="H3449" t="inlineStr">
        <is>
          <t>Övriga Aktiebolag</t>
        </is>
      </c>
      <c r="I3449" t="n">
        <v>0.8</v>
      </c>
      <c r="J3449" t="n">
        <v>0</v>
      </c>
      <c r="K3449" t="n">
        <v>0</v>
      </c>
      <c r="L3449" t="n">
        <v>0</v>
      </c>
      <c r="M3449" t="n">
        <v>0</v>
      </c>
      <c r="N3449" t="n">
        <v>0</v>
      </c>
      <c r="O3449" t="n">
        <v>0</v>
      </c>
      <c r="P3449" t="n">
        <v>0</v>
      </c>
      <c r="Q3449" t="n">
        <v>0</v>
      </c>
      <c r="R3449" t="n">
        <v>0</v>
      </c>
      <c r="S3449" t="n">
        <v>0</v>
      </c>
      <c r="T3449" t="n">
        <v>0</v>
      </c>
      <c r="U3449" t="n">
        <v>0</v>
      </c>
      <c r="V3449" s="2" t="inlineStr"/>
    </row>
    <row r="3450" ht="15" customHeight="1">
      <c r="A3450" t="inlineStr">
        <is>
          <t>A 34727-2026</t>
        </is>
      </c>
      <c r="B3450" t="inlineStr">
        <is>
          <t>avverkningsanmälan</t>
        </is>
      </c>
      <c r="C3450" t="inlineStr">
        <is>
          <t>Föryngringsavverkning</t>
        </is>
      </c>
      <c r="D3450" s="1" t="n">
        <v>46258</v>
      </c>
      <c r="E3450" s="1" t="n">
        <v>46309</v>
      </c>
      <c r="F3450" t="inlineStr">
        <is>
          <t>UPPSALA LÄN</t>
        </is>
      </c>
      <c r="G3450" t="inlineStr">
        <is>
          <t>HEBY</t>
        </is>
      </c>
      <c r="I3450" t="n">
        <v>1.7</v>
      </c>
      <c r="J3450" t="n">
        <v>0</v>
      </c>
      <c r="K3450" t="n">
        <v>0</v>
      </c>
      <c r="L3450" t="n">
        <v>0</v>
      </c>
      <c r="M3450" t="n">
        <v>0</v>
      </c>
      <c r="N3450" t="n">
        <v>0</v>
      </c>
      <c r="O3450" t="n">
        <v>0</v>
      </c>
      <c r="P3450" t="n">
        <v>0</v>
      </c>
      <c r="Q3450" t="n">
        <v>0</v>
      </c>
      <c r="R3450" t="n">
        <v>0</v>
      </c>
      <c r="S3450" t="n">
        <v>0</v>
      </c>
      <c r="T3450" t="n">
        <v>0</v>
      </c>
      <c r="U3450" t="n">
        <v>0</v>
      </c>
      <c r="V3450" s="2" t="inlineStr"/>
    </row>
    <row r="3451" ht="15" customHeight="1">
      <c r="A3451" t="inlineStr">
        <is>
          <t>A 34696-2026</t>
        </is>
      </c>
      <c r="B3451" t="inlineStr">
        <is>
          <t>avverkningsanmälan</t>
        </is>
      </c>
      <c r="C3451" t="inlineStr">
        <is>
          <t>Föryngringsavverkning</t>
        </is>
      </c>
      <c r="D3451" s="1" t="n">
        <v>46258</v>
      </c>
      <c r="E3451" s="1" t="n">
        <v>46309</v>
      </c>
      <c r="F3451" t="inlineStr">
        <is>
          <t>UPPSALA LÄN</t>
        </is>
      </c>
      <c r="G3451" t="inlineStr">
        <is>
          <t>HEBY</t>
        </is>
      </c>
      <c r="I3451" t="n">
        <v>4.6</v>
      </c>
      <c r="J3451" t="n">
        <v>0</v>
      </c>
      <c r="K3451" t="n">
        <v>0</v>
      </c>
      <c r="L3451" t="n">
        <v>0</v>
      </c>
      <c r="M3451" t="n">
        <v>0</v>
      </c>
      <c r="N3451" t="n">
        <v>0</v>
      </c>
      <c r="O3451" t="n">
        <v>0</v>
      </c>
      <c r="P3451" t="n">
        <v>0</v>
      </c>
      <c r="Q3451" t="n">
        <v>0</v>
      </c>
      <c r="R3451" t="n">
        <v>0</v>
      </c>
      <c r="S3451" t="n">
        <v>0</v>
      </c>
      <c r="T3451" t="n">
        <v>0</v>
      </c>
      <c r="U3451" t="n">
        <v>0</v>
      </c>
      <c r="V3451" s="2" t="inlineStr"/>
    </row>
    <row r="3452" ht="15" customHeight="1">
      <c r="A3452" t="inlineStr">
        <is>
          <t>A 41639-2026</t>
        </is>
      </c>
      <c r="B3452" t="inlineStr">
        <is>
          <t>avverkningsanmälan</t>
        </is>
      </c>
      <c r="C3452" t="inlineStr">
        <is>
          <t>Föryngringsavverkning</t>
        </is>
      </c>
      <c r="D3452" s="1" t="n">
        <v>46302</v>
      </c>
      <c r="E3452" s="1" t="n">
        <v>46309</v>
      </c>
      <c r="F3452" t="inlineStr">
        <is>
          <t>UPPSALA LÄN</t>
        </is>
      </c>
      <c r="G3452" t="inlineStr">
        <is>
          <t>HEBY</t>
        </is>
      </c>
      <c r="I3452" t="n">
        <v>2.3</v>
      </c>
      <c r="J3452" t="n">
        <v>0</v>
      </c>
      <c r="K3452" t="n">
        <v>0</v>
      </c>
      <c r="L3452" t="n">
        <v>0</v>
      </c>
      <c r="M3452" t="n">
        <v>0</v>
      </c>
      <c r="N3452" t="n">
        <v>0</v>
      </c>
      <c r="O3452" t="n">
        <v>0</v>
      </c>
      <c r="P3452" t="n">
        <v>0</v>
      </c>
      <c r="Q3452" t="n">
        <v>0</v>
      </c>
      <c r="R3452" t="n">
        <v>0</v>
      </c>
      <c r="S3452" t="n">
        <v>0</v>
      </c>
      <c r="T3452" t="n">
        <v>0</v>
      </c>
      <c r="U3452" t="n">
        <v>0</v>
      </c>
      <c r="V3452" s="2" t="inlineStr"/>
    </row>
    <row r="3453" ht="15" customHeight="1">
      <c r="A3453" t="inlineStr">
        <is>
          <t>A 34775-2026</t>
        </is>
      </c>
      <c r="B3453" t="inlineStr">
        <is>
          <t>avverkningsanmälan</t>
        </is>
      </c>
      <c r="C3453" t="inlineStr">
        <is>
          <t>Föryngringsavverkning</t>
        </is>
      </c>
      <c r="D3453" s="1" t="n">
        <v>46258</v>
      </c>
      <c r="E3453" s="1" t="n">
        <v>46309</v>
      </c>
      <c r="F3453" t="inlineStr">
        <is>
          <t>UPPSALA LÄN</t>
        </is>
      </c>
      <c r="G3453" t="inlineStr">
        <is>
          <t>HEBY</t>
        </is>
      </c>
      <c r="I3453" t="n">
        <v>3</v>
      </c>
      <c r="J3453" t="n">
        <v>0</v>
      </c>
      <c r="K3453" t="n">
        <v>0</v>
      </c>
      <c r="L3453" t="n">
        <v>0</v>
      </c>
      <c r="M3453" t="n">
        <v>0</v>
      </c>
      <c r="N3453" t="n">
        <v>0</v>
      </c>
      <c r="O3453" t="n">
        <v>0</v>
      </c>
      <c r="P3453" t="n">
        <v>0</v>
      </c>
      <c r="Q3453" t="n">
        <v>0</v>
      </c>
      <c r="R3453" t="n">
        <v>0</v>
      </c>
      <c r="S3453" t="n">
        <v>0</v>
      </c>
      <c r="T3453" t="n">
        <v>0</v>
      </c>
      <c r="U3453" t="n">
        <v>0</v>
      </c>
      <c r="V3453" s="2" t="inlineStr"/>
    </row>
    <row r="3454" ht="15" customHeight="1">
      <c r="A3454" t="inlineStr">
        <is>
          <t>A 41573-2026</t>
        </is>
      </c>
      <c r="B3454" t="inlineStr">
        <is>
          <t>avverkningsanmälan</t>
        </is>
      </c>
      <c r="C3454" t="inlineStr">
        <is>
          <t>Föryngringsavverkning</t>
        </is>
      </c>
      <c r="D3454" s="1" t="n">
        <v>46301</v>
      </c>
      <c r="E3454" s="1" t="n">
        <v>46309</v>
      </c>
      <c r="F3454" t="inlineStr">
        <is>
          <t>UPPSALA LÄN</t>
        </is>
      </c>
      <c r="G3454" t="inlineStr">
        <is>
          <t>HEBY</t>
        </is>
      </c>
      <c r="I3454" t="n">
        <v>6.3</v>
      </c>
      <c r="J3454" t="n">
        <v>0</v>
      </c>
      <c r="K3454" t="n">
        <v>0</v>
      </c>
      <c r="L3454" t="n">
        <v>0</v>
      </c>
      <c r="M3454" t="n">
        <v>0</v>
      </c>
      <c r="N3454" t="n">
        <v>0</v>
      </c>
      <c r="O3454" t="n">
        <v>0</v>
      </c>
      <c r="P3454" t="n">
        <v>0</v>
      </c>
      <c r="Q3454" t="n">
        <v>0</v>
      </c>
      <c r="R3454" t="n">
        <v>0</v>
      </c>
      <c r="S3454" t="n">
        <v>0</v>
      </c>
      <c r="T3454" t="n">
        <v>0</v>
      </c>
      <c r="U3454" t="n">
        <v>0</v>
      </c>
      <c r="V3454" s="2" t="inlineStr"/>
    </row>
    <row r="3455" ht="15" customHeight="1">
      <c r="A3455" t="inlineStr">
        <is>
          <t>A 41767-2026</t>
        </is>
      </c>
      <c r="B3455" t="inlineStr">
        <is>
          <t>avverkningsanmälan</t>
        </is>
      </c>
      <c r="C3455" t="inlineStr">
        <is>
          <t>Föryngringsavverkning</t>
        </is>
      </c>
      <c r="D3455" s="1" t="n">
        <v>46302</v>
      </c>
      <c r="E3455" s="1" t="n">
        <v>46309</v>
      </c>
      <c r="F3455" t="inlineStr">
        <is>
          <t>UPPSALA LÄN</t>
        </is>
      </c>
      <c r="G3455" t="inlineStr">
        <is>
          <t>HEBY</t>
        </is>
      </c>
      <c r="I3455" t="n">
        <v>11.9</v>
      </c>
      <c r="J3455" t="n">
        <v>0</v>
      </c>
      <c r="K3455" t="n">
        <v>0</v>
      </c>
      <c r="L3455" t="n">
        <v>0</v>
      </c>
      <c r="M3455" t="n">
        <v>0</v>
      </c>
      <c r="N3455" t="n">
        <v>0</v>
      </c>
      <c r="O3455" t="n">
        <v>0</v>
      </c>
      <c r="P3455" t="n">
        <v>0</v>
      </c>
      <c r="Q3455" t="n">
        <v>0</v>
      </c>
      <c r="R3455" t="n">
        <v>0</v>
      </c>
      <c r="S3455" t="n">
        <v>0</v>
      </c>
      <c r="T3455" t="n">
        <v>0</v>
      </c>
      <c r="U3455" t="n">
        <v>0</v>
      </c>
      <c r="V3455" s="2" t="inlineStr"/>
    </row>
    <row r="3456" ht="15" customHeight="1">
      <c r="A3456" t="inlineStr">
        <is>
          <t>A 41599-2026</t>
        </is>
      </c>
      <c r="B3456" t="inlineStr">
        <is>
          <t>avverkningsanmälan</t>
        </is>
      </c>
      <c r="C3456" t="inlineStr">
        <is>
          <t>Föryngringsavverkning</t>
        </is>
      </c>
      <c r="D3456" s="1" t="n">
        <v>46302</v>
      </c>
      <c r="E3456" s="1" t="n">
        <v>46309</v>
      </c>
      <c r="F3456" t="inlineStr">
        <is>
          <t>UPPSALA LÄN</t>
        </is>
      </c>
      <c r="G3456" t="inlineStr">
        <is>
          <t>HEBY</t>
        </is>
      </c>
      <c r="I3456" t="n">
        <v>1.1</v>
      </c>
      <c r="J3456" t="n">
        <v>0</v>
      </c>
      <c r="K3456" t="n">
        <v>0</v>
      </c>
      <c r="L3456" t="n">
        <v>0</v>
      </c>
      <c r="M3456" t="n">
        <v>0</v>
      </c>
      <c r="N3456" t="n">
        <v>0</v>
      </c>
      <c r="O3456" t="n">
        <v>0</v>
      </c>
      <c r="P3456" t="n">
        <v>0</v>
      </c>
      <c r="Q3456" t="n">
        <v>0</v>
      </c>
      <c r="R3456" t="n">
        <v>0</v>
      </c>
      <c r="S3456" t="n">
        <v>0</v>
      </c>
      <c r="T3456" t="n">
        <v>0</v>
      </c>
      <c r="U3456" t="n">
        <v>0</v>
      </c>
      <c r="V3456" s="2" t="inlineStr"/>
    </row>
    <row r="3457" ht="15" customHeight="1">
      <c r="A3457" t="inlineStr">
        <is>
          <t>A 34786-2026</t>
        </is>
      </c>
      <c r="B3457" t="inlineStr">
        <is>
          <t>avverkningsanmälan</t>
        </is>
      </c>
      <c r="C3457" t="inlineStr">
        <is>
          <t>Föryngringsavverkning</t>
        </is>
      </c>
      <c r="D3457" s="1" t="n">
        <v>46258</v>
      </c>
      <c r="E3457" s="1" t="n">
        <v>46309</v>
      </c>
      <c r="F3457" t="inlineStr">
        <is>
          <t>UPPSALA LÄN</t>
        </is>
      </c>
      <c r="G3457" t="inlineStr">
        <is>
          <t>ÖSTHAMMAR</t>
        </is>
      </c>
      <c r="H3457" t="inlineStr">
        <is>
          <t>Övriga Aktiebolag</t>
        </is>
      </c>
      <c r="I3457" t="n">
        <v>2.7</v>
      </c>
      <c r="J3457" t="n">
        <v>0</v>
      </c>
      <c r="K3457" t="n">
        <v>0</v>
      </c>
      <c r="L3457" t="n">
        <v>0</v>
      </c>
      <c r="M3457" t="n">
        <v>0</v>
      </c>
      <c r="N3457" t="n">
        <v>0</v>
      </c>
      <c r="O3457" t="n">
        <v>0</v>
      </c>
      <c r="P3457" t="n">
        <v>0</v>
      </c>
      <c r="Q3457" t="n">
        <v>0</v>
      </c>
      <c r="R3457" t="n">
        <v>0</v>
      </c>
      <c r="S3457" t="n">
        <v>0</v>
      </c>
      <c r="T3457" t="n">
        <v>0</v>
      </c>
      <c r="U3457" t="n">
        <v>0</v>
      </c>
      <c r="V3457" s="2" t="inlineStr"/>
    </row>
    <row r="3458" ht="15" customHeight="1">
      <c r="A3458" t="inlineStr">
        <is>
          <t>A 34978-2026</t>
        </is>
      </c>
      <c r="B3458" t="inlineStr">
        <is>
          <t>avverkningsanmälan</t>
        </is>
      </c>
      <c r="C3458" t="inlineStr">
        <is>
          <t>Föryngringsavverkning</t>
        </is>
      </c>
      <c r="D3458" s="1" t="n">
        <v>46259</v>
      </c>
      <c r="E3458" s="1" t="n">
        <v>46309</v>
      </c>
      <c r="F3458" t="inlineStr">
        <is>
          <t>UPPSALA LÄN</t>
        </is>
      </c>
      <c r="G3458" t="inlineStr">
        <is>
          <t>ÖSTHAMMAR</t>
        </is>
      </c>
      <c r="H3458" t="inlineStr">
        <is>
          <t>Bergvik skog öst AB</t>
        </is>
      </c>
      <c r="I3458" t="n">
        <v>4.6</v>
      </c>
      <c r="J3458" t="n">
        <v>0</v>
      </c>
      <c r="K3458" t="n">
        <v>0</v>
      </c>
      <c r="L3458" t="n">
        <v>0</v>
      </c>
      <c r="M3458" t="n">
        <v>0</v>
      </c>
      <c r="N3458" t="n">
        <v>0</v>
      </c>
      <c r="O3458" t="n">
        <v>0</v>
      </c>
      <c r="P3458" t="n">
        <v>0</v>
      </c>
      <c r="Q3458" t="n">
        <v>0</v>
      </c>
      <c r="R3458" t="n">
        <v>0</v>
      </c>
      <c r="S3458" t="n">
        <v>0</v>
      </c>
      <c r="T3458" t="n">
        <v>0</v>
      </c>
      <c r="U3458" t="n">
        <v>0</v>
      </c>
      <c r="V3458" s="2" t="inlineStr"/>
    </row>
    <row r="3459" ht="15" customHeight="1">
      <c r="A3459" t="inlineStr">
        <is>
          <t>A 34779-2026</t>
        </is>
      </c>
      <c r="B3459" t="inlineStr">
        <is>
          <t>avverkningsanmälan</t>
        </is>
      </c>
      <c r="C3459" t="inlineStr">
        <is>
          <t>Föryngringsavverkning</t>
        </is>
      </c>
      <c r="D3459" s="1" t="n">
        <v>46258</v>
      </c>
      <c r="E3459" s="1" t="n">
        <v>46309</v>
      </c>
      <c r="F3459" t="inlineStr">
        <is>
          <t>UPPSALA LÄN</t>
        </is>
      </c>
      <c r="G3459" t="inlineStr">
        <is>
          <t>ÖSTHAMMAR</t>
        </is>
      </c>
      <c r="H3459" t="inlineStr">
        <is>
          <t>Övriga Aktiebolag</t>
        </is>
      </c>
      <c r="I3459" t="n">
        <v>1.4</v>
      </c>
      <c r="J3459" t="n">
        <v>0</v>
      </c>
      <c r="K3459" t="n">
        <v>0</v>
      </c>
      <c r="L3459" t="n">
        <v>0</v>
      </c>
      <c r="M3459" t="n">
        <v>0</v>
      </c>
      <c r="N3459" t="n">
        <v>0</v>
      </c>
      <c r="O3459" t="n">
        <v>0</v>
      </c>
      <c r="P3459" t="n">
        <v>0</v>
      </c>
      <c r="Q3459" t="n">
        <v>0</v>
      </c>
      <c r="R3459" t="n">
        <v>0</v>
      </c>
      <c r="S3459" t="n">
        <v>0</v>
      </c>
      <c r="T3459" t="n">
        <v>0</v>
      </c>
      <c r="U3459" t="n">
        <v>0</v>
      </c>
      <c r="V3459" s="2" t="inlineStr"/>
    </row>
    <row r="3460" ht="15" customHeight="1">
      <c r="A3460" t="inlineStr">
        <is>
          <t>A 34847-2026</t>
        </is>
      </c>
      <c r="B3460" t="inlineStr">
        <is>
          <t>avverkningsanmälan</t>
        </is>
      </c>
      <c r="C3460" t="inlineStr">
        <is>
          <t>Föryngringsavverkning</t>
        </is>
      </c>
      <c r="D3460" s="1" t="n">
        <v>46258</v>
      </c>
      <c r="E3460" s="1" t="n">
        <v>46309</v>
      </c>
      <c r="F3460" t="inlineStr">
        <is>
          <t>UPPSALA LÄN</t>
        </is>
      </c>
      <c r="G3460" t="inlineStr">
        <is>
          <t>ÖSTHAMMAR</t>
        </is>
      </c>
      <c r="H3460" t="inlineStr">
        <is>
          <t>Bergvik skog öst AB</t>
        </is>
      </c>
      <c r="I3460" t="n">
        <v>11.2</v>
      </c>
      <c r="J3460" t="n">
        <v>0</v>
      </c>
      <c r="K3460" t="n">
        <v>0</v>
      </c>
      <c r="L3460" t="n">
        <v>0</v>
      </c>
      <c r="M3460" t="n">
        <v>0</v>
      </c>
      <c r="N3460" t="n">
        <v>0</v>
      </c>
      <c r="O3460" t="n">
        <v>0</v>
      </c>
      <c r="P3460" t="n">
        <v>0</v>
      </c>
      <c r="Q3460" t="n">
        <v>0</v>
      </c>
      <c r="R3460" t="n">
        <v>0</v>
      </c>
      <c r="S3460" t="n">
        <v>0</v>
      </c>
      <c r="T3460" t="n">
        <v>0</v>
      </c>
      <c r="U3460" t="n">
        <v>0</v>
      </c>
      <c r="V3460" s="2" t="inlineStr"/>
    </row>
    <row r="3461" ht="15" customHeight="1">
      <c r="A3461" t="inlineStr">
        <is>
          <t>A 41883-2026</t>
        </is>
      </c>
      <c r="B3461" t="inlineStr">
        <is>
          <t>avverkningsanmälan</t>
        </is>
      </c>
      <c r="C3461" t="inlineStr">
        <is>
          <t>Föryngringsavverkning</t>
        </is>
      </c>
      <c r="D3461" s="1" t="n">
        <v>46303</v>
      </c>
      <c r="E3461" s="1" t="n">
        <v>46309</v>
      </c>
      <c r="F3461" t="inlineStr">
        <is>
          <t>UPPSALA LÄN</t>
        </is>
      </c>
      <c r="G3461" t="inlineStr">
        <is>
          <t>UPPSALA</t>
        </is>
      </c>
      <c r="H3461" t="inlineStr">
        <is>
          <t>Kyrkan</t>
        </is>
      </c>
      <c r="I3461" t="n">
        <v>1.7</v>
      </c>
      <c r="J3461" t="n">
        <v>0</v>
      </c>
      <c r="K3461" t="n">
        <v>0</v>
      </c>
      <c r="L3461" t="n">
        <v>0</v>
      </c>
      <c r="M3461" t="n">
        <v>0</v>
      </c>
      <c r="N3461" t="n">
        <v>0</v>
      </c>
      <c r="O3461" t="n">
        <v>0</v>
      </c>
      <c r="P3461" t="n">
        <v>0</v>
      </c>
      <c r="Q3461" t="n">
        <v>0</v>
      </c>
      <c r="R3461" t="n">
        <v>0</v>
      </c>
      <c r="S3461" t="n">
        <v>0</v>
      </c>
      <c r="T3461" t="n">
        <v>0</v>
      </c>
      <c r="U3461" t="n">
        <v>0</v>
      </c>
      <c r="V3461" s="2" t="inlineStr"/>
    </row>
    <row r="3462" ht="15" customHeight="1">
      <c r="A3462" t="inlineStr">
        <is>
          <t>A 36741-2026</t>
        </is>
      </c>
      <c r="B3462" t="inlineStr">
        <is>
          <t>avverkningsanmälan</t>
        </is>
      </c>
      <c r="C3462" t="inlineStr">
        <is>
          <t>Avverkning för att bevara och utveckla /försöksver</t>
        </is>
      </c>
      <c r="D3462" s="1" t="n">
        <v>46272</v>
      </c>
      <c r="E3462" s="1" t="n">
        <v>46309</v>
      </c>
      <c r="F3462" t="inlineStr">
        <is>
          <t>UPPSALA LÄN</t>
        </is>
      </c>
      <c r="G3462" t="inlineStr">
        <is>
          <t>UPPSALA</t>
        </is>
      </c>
      <c r="I3462" t="n">
        <v>1</v>
      </c>
      <c r="J3462" t="n">
        <v>0</v>
      </c>
      <c r="K3462" t="n">
        <v>0</v>
      </c>
      <c r="L3462" t="n">
        <v>0</v>
      </c>
      <c r="M3462" t="n">
        <v>0</v>
      </c>
      <c r="N3462" t="n">
        <v>0</v>
      </c>
      <c r="O3462" t="n">
        <v>0</v>
      </c>
      <c r="P3462" t="n">
        <v>0</v>
      </c>
      <c r="Q3462" t="n">
        <v>0</v>
      </c>
      <c r="R3462" t="n">
        <v>0</v>
      </c>
      <c r="S3462" t="n">
        <v>0</v>
      </c>
      <c r="T3462" t="n">
        <v>0</v>
      </c>
      <c r="U3462" t="n">
        <v>0</v>
      </c>
      <c r="V3462" s="2" t="inlineStr"/>
    </row>
    <row r="3463" ht="15" customHeight="1">
      <c r="A3463" t="inlineStr">
        <is>
          <t>A 22529-2025</t>
        </is>
      </c>
      <c r="B3463" t="inlineStr">
        <is>
          <t>avverkningsanmälan</t>
        </is>
      </c>
      <c r="C3463" t="inlineStr">
        <is>
          <t>Föryngringsavverkning</t>
        </is>
      </c>
      <c r="D3463" s="1" t="n">
        <v>45786</v>
      </c>
      <c r="E3463" s="1" t="n">
        <v>46309</v>
      </c>
      <c r="F3463" t="inlineStr">
        <is>
          <t>UPPSALA LÄN</t>
        </is>
      </c>
      <c r="G3463" t="inlineStr">
        <is>
          <t>TIERP</t>
        </is>
      </c>
      <c r="H3463" t="inlineStr">
        <is>
          <t>Övriga Aktiebolag</t>
        </is>
      </c>
      <c r="I3463" t="n">
        <v>2.1</v>
      </c>
      <c r="J3463" t="n">
        <v>0</v>
      </c>
      <c r="K3463" t="n">
        <v>0</v>
      </c>
      <c r="L3463" t="n">
        <v>0</v>
      </c>
      <c r="M3463" t="n">
        <v>0</v>
      </c>
      <c r="N3463" t="n">
        <v>0</v>
      </c>
      <c r="O3463" t="n">
        <v>0</v>
      </c>
      <c r="P3463" t="n">
        <v>0</v>
      </c>
      <c r="Q3463" t="n">
        <v>0</v>
      </c>
      <c r="R3463" t="n">
        <v>0</v>
      </c>
      <c r="S3463" t="n">
        <v>0</v>
      </c>
      <c r="T3463" t="n">
        <v>0</v>
      </c>
      <c r="U3463" t="n">
        <v>0</v>
      </c>
      <c r="V3463" s="2" t="inlineStr"/>
    </row>
    <row r="3464" ht="15" customHeight="1">
      <c r="A3464" t="inlineStr">
        <is>
          <t>A 22807-2026</t>
        </is>
      </c>
      <c r="B3464" t="inlineStr">
        <is>
          <t>avverkningsanmälan</t>
        </is>
      </c>
      <c r="C3464" t="inlineStr">
        <is>
          <t>Föryngringsavverkning</t>
        </is>
      </c>
      <c r="D3464" s="1" t="n">
        <v>46160</v>
      </c>
      <c r="E3464" s="1" t="n">
        <v>46309</v>
      </c>
      <c r="F3464" t="inlineStr">
        <is>
          <t>UPPSALA LÄN</t>
        </is>
      </c>
      <c r="G3464" t="inlineStr">
        <is>
          <t>UPPSALA</t>
        </is>
      </c>
      <c r="H3464" t="inlineStr">
        <is>
          <t>Bergvik skog öst AB</t>
        </is>
      </c>
      <c r="I3464" t="n">
        <v>1.8</v>
      </c>
      <c r="J3464" t="n">
        <v>0</v>
      </c>
      <c r="K3464" t="n">
        <v>0</v>
      </c>
      <c r="L3464" t="n">
        <v>0</v>
      </c>
      <c r="M3464" t="n">
        <v>0</v>
      </c>
      <c r="N3464" t="n">
        <v>0</v>
      </c>
      <c r="O3464" t="n">
        <v>0</v>
      </c>
      <c r="P3464" t="n">
        <v>0</v>
      </c>
      <c r="Q3464" t="n">
        <v>0</v>
      </c>
      <c r="R3464" t="n">
        <v>0</v>
      </c>
      <c r="S3464" t="n">
        <v>0</v>
      </c>
      <c r="T3464" t="n">
        <v>0</v>
      </c>
      <c r="U3464" t="n">
        <v>0</v>
      </c>
      <c r="V3464" s="2" t="inlineStr"/>
    </row>
    <row r="3465" ht="15" customHeight="1">
      <c r="A3465" t="inlineStr">
        <is>
          <t>A 25634-2026</t>
        </is>
      </c>
      <c r="B3465" t="inlineStr">
        <is>
          <t>avverkningsanmälan</t>
        </is>
      </c>
      <c r="C3465" t="inlineStr">
        <is>
          <t>Föryngringsavverkning</t>
        </is>
      </c>
      <c r="D3465" s="1" t="n">
        <v>46177</v>
      </c>
      <c r="E3465" s="1" t="n">
        <v>46309</v>
      </c>
      <c r="F3465" t="inlineStr">
        <is>
          <t>UPPSALA LÄN</t>
        </is>
      </c>
      <c r="G3465" t="inlineStr">
        <is>
          <t>TIERP</t>
        </is>
      </c>
      <c r="I3465" t="n">
        <v>6</v>
      </c>
      <c r="J3465" t="n">
        <v>0</v>
      </c>
      <c r="K3465" t="n">
        <v>0</v>
      </c>
      <c r="L3465" t="n">
        <v>0</v>
      </c>
      <c r="M3465" t="n">
        <v>0</v>
      </c>
      <c r="N3465" t="n">
        <v>0</v>
      </c>
      <c r="O3465" t="n">
        <v>0</v>
      </c>
      <c r="P3465" t="n">
        <v>0</v>
      </c>
      <c r="Q3465" t="n">
        <v>0</v>
      </c>
      <c r="R3465" t="n">
        <v>0</v>
      </c>
      <c r="S3465" t="n">
        <v>0</v>
      </c>
      <c r="T3465" t="n">
        <v>0</v>
      </c>
      <c r="U3465" t="n">
        <v>0</v>
      </c>
      <c r="V3465" s="2" t="inlineStr"/>
    </row>
    <row r="3466" ht="15" customHeight="1">
      <c r="A3466" t="inlineStr">
        <is>
          <t>A 42185-2026</t>
        </is>
      </c>
      <c r="B3466" t="inlineStr">
        <is>
          <t>avverkningsanmälan</t>
        </is>
      </c>
      <c r="C3466" t="inlineStr">
        <is>
          <t>Föryngringsavverkning</t>
        </is>
      </c>
      <c r="D3466" s="1" t="n">
        <v>46304</v>
      </c>
      <c r="E3466" s="1" t="n">
        <v>46309</v>
      </c>
      <c r="F3466" t="inlineStr">
        <is>
          <t>UPPSALA LÄN</t>
        </is>
      </c>
      <c r="G3466" t="inlineStr">
        <is>
          <t>ENKÖPING</t>
        </is>
      </c>
      <c r="I3466" t="n">
        <v>4.4</v>
      </c>
      <c r="J3466" t="n">
        <v>0</v>
      </c>
      <c r="K3466" t="n">
        <v>0</v>
      </c>
      <c r="L3466" t="n">
        <v>0</v>
      </c>
      <c r="M3466" t="n">
        <v>0</v>
      </c>
      <c r="N3466" t="n">
        <v>0</v>
      </c>
      <c r="O3466" t="n">
        <v>0</v>
      </c>
      <c r="P3466" t="n">
        <v>0</v>
      </c>
      <c r="Q3466" t="n">
        <v>0</v>
      </c>
      <c r="R3466" t="n">
        <v>0</v>
      </c>
      <c r="S3466" t="n">
        <v>0</v>
      </c>
      <c r="T3466" t="n">
        <v>0</v>
      </c>
      <c r="U3466" t="n">
        <v>0</v>
      </c>
      <c r="V3466" s="2" t="inlineStr"/>
    </row>
    <row r="3467" ht="15" customHeight="1">
      <c r="A3467" t="inlineStr">
        <is>
          <t>A 30418-2025</t>
        </is>
      </c>
      <c r="B3467" t="inlineStr">
        <is>
          <t>avverkningsanmälan</t>
        </is>
      </c>
      <c r="C3467" t="inlineStr">
        <is>
          <t>Föryngringsavverkning</t>
        </is>
      </c>
      <c r="D3467" s="1" t="n">
        <v>45827</v>
      </c>
      <c r="E3467" s="1" t="n">
        <v>46309</v>
      </c>
      <c r="F3467" t="inlineStr">
        <is>
          <t>UPPSALA LÄN</t>
        </is>
      </c>
      <c r="G3467" t="inlineStr">
        <is>
          <t>HEBY</t>
        </is>
      </c>
      <c r="H3467" t="inlineStr">
        <is>
          <t>Övriga Aktiebolag</t>
        </is>
      </c>
      <c r="I3467" t="n">
        <v>6.5</v>
      </c>
      <c r="J3467" t="n">
        <v>0</v>
      </c>
      <c r="K3467" t="n">
        <v>0</v>
      </c>
      <c r="L3467" t="n">
        <v>0</v>
      </c>
      <c r="M3467" t="n">
        <v>0</v>
      </c>
      <c r="N3467" t="n">
        <v>0</v>
      </c>
      <c r="O3467" t="n">
        <v>0</v>
      </c>
      <c r="P3467" t="n">
        <v>0</v>
      </c>
      <c r="Q3467" t="n">
        <v>0</v>
      </c>
      <c r="R3467" t="n">
        <v>0</v>
      </c>
      <c r="S3467" t="n">
        <v>0</v>
      </c>
      <c r="T3467" t="n">
        <v>0</v>
      </c>
      <c r="U3467" t="n">
        <v>0</v>
      </c>
      <c r="V3467" s="2" t="inlineStr"/>
    </row>
    <row r="3468" ht="15" customHeight="1">
      <c r="A3468" t="inlineStr">
        <is>
          <t>A 9623-2026</t>
        </is>
      </c>
      <c r="B3468" t="inlineStr">
        <is>
          <t>avverkningsanmälan</t>
        </is>
      </c>
      <c r="C3468" t="inlineStr">
        <is>
          <t>Föryngringsavverkning</t>
        </is>
      </c>
      <c r="D3468" s="1" t="n">
        <v>46072</v>
      </c>
      <c r="E3468" s="1" t="n">
        <v>46309</v>
      </c>
      <c r="F3468" t="inlineStr">
        <is>
          <t>UPPSALA LÄN</t>
        </is>
      </c>
      <c r="G3468" t="inlineStr">
        <is>
          <t>HEBY</t>
        </is>
      </c>
      <c r="I3468" t="n">
        <v>2.1</v>
      </c>
      <c r="J3468" t="n">
        <v>0</v>
      </c>
      <c r="K3468" t="n">
        <v>0</v>
      </c>
      <c r="L3468" t="n">
        <v>0</v>
      </c>
      <c r="M3468" t="n">
        <v>0</v>
      </c>
      <c r="N3468" t="n">
        <v>0</v>
      </c>
      <c r="O3468" t="n">
        <v>0</v>
      </c>
      <c r="P3468" t="n">
        <v>0</v>
      </c>
      <c r="Q3468" t="n">
        <v>0</v>
      </c>
      <c r="R3468" t="n">
        <v>0</v>
      </c>
      <c r="S3468" t="n">
        <v>0</v>
      </c>
      <c r="T3468" t="n">
        <v>0</v>
      </c>
      <c r="U3468" t="n">
        <v>0</v>
      </c>
      <c r="V3468" s="2" t="inlineStr"/>
    </row>
    <row r="3469" ht="15" customHeight="1">
      <c r="A3469" t="inlineStr">
        <is>
          <t>A 20499-2026</t>
        </is>
      </c>
      <c r="B3469" t="inlineStr">
        <is>
          <t>avverkningsanmälan</t>
        </is>
      </c>
      <c r="C3469" t="inlineStr">
        <is>
          <t>Föryngringsavverkning</t>
        </is>
      </c>
      <c r="D3469" s="1" t="n">
        <v>46140</v>
      </c>
      <c r="E3469" s="1" t="n">
        <v>46309</v>
      </c>
      <c r="F3469" t="inlineStr">
        <is>
          <t>UPPSALA LÄN</t>
        </is>
      </c>
      <c r="G3469" t="inlineStr">
        <is>
          <t>UPPSALA</t>
        </is>
      </c>
      <c r="H3469" t="inlineStr">
        <is>
          <t>Allmännings- och besparingsskogar</t>
        </is>
      </c>
      <c r="I3469" t="n">
        <v>13.5</v>
      </c>
      <c r="J3469" t="n">
        <v>0</v>
      </c>
      <c r="K3469" t="n">
        <v>0</v>
      </c>
      <c r="L3469" t="n">
        <v>0</v>
      </c>
      <c r="M3469" t="n">
        <v>0</v>
      </c>
      <c r="N3469" t="n">
        <v>0</v>
      </c>
      <c r="O3469" t="n">
        <v>0</v>
      </c>
      <c r="P3469" t="n">
        <v>0</v>
      </c>
      <c r="Q3469" t="n">
        <v>0</v>
      </c>
      <c r="R3469" t="n">
        <v>0</v>
      </c>
      <c r="S3469" t="n">
        <v>0</v>
      </c>
      <c r="T3469" t="n">
        <v>0</v>
      </c>
      <c r="U3469" t="n">
        <v>0</v>
      </c>
      <c r="V3469" s="2" t="inlineStr"/>
    </row>
    <row r="3470" ht="15" customHeight="1">
      <c r="A3470" t="inlineStr">
        <is>
          <t>A 35142-2026</t>
        </is>
      </c>
      <c r="B3470" t="inlineStr">
        <is>
          <t>avverkningsanmälan</t>
        </is>
      </c>
      <c r="C3470" t="inlineStr">
        <is>
          <t>Föryngringsavverkning</t>
        </is>
      </c>
      <c r="D3470" s="1" t="n">
        <v>46260</v>
      </c>
      <c r="E3470" s="1" t="n">
        <v>46309</v>
      </c>
      <c r="F3470" t="inlineStr">
        <is>
          <t>UPPSALA LÄN</t>
        </is>
      </c>
      <c r="G3470" t="inlineStr">
        <is>
          <t>UPPSALA</t>
        </is>
      </c>
      <c r="H3470" t="inlineStr">
        <is>
          <t>Kyrkan</t>
        </is>
      </c>
      <c r="I3470" t="n">
        <v>4.4</v>
      </c>
      <c r="J3470" t="n">
        <v>0</v>
      </c>
      <c r="K3470" t="n">
        <v>0</v>
      </c>
      <c r="L3470" t="n">
        <v>0</v>
      </c>
      <c r="M3470" t="n">
        <v>0</v>
      </c>
      <c r="N3470" t="n">
        <v>0</v>
      </c>
      <c r="O3470" t="n">
        <v>0</v>
      </c>
      <c r="P3470" t="n">
        <v>0</v>
      </c>
      <c r="Q3470" t="n">
        <v>0</v>
      </c>
      <c r="R3470" t="n">
        <v>0</v>
      </c>
      <c r="S3470" t="n">
        <v>0</v>
      </c>
      <c r="T3470" t="n">
        <v>0</v>
      </c>
      <c r="U3470" t="n">
        <v>0</v>
      </c>
      <c r="V3470" s="2" t="inlineStr"/>
    </row>
    <row r="3471" ht="15" customHeight="1">
      <c r="A3471" t="inlineStr">
        <is>
          <t>A 42127-2026</t>
        </is>
      </c>
      <c r="B3471" t="inlineStr">
        <is>
          <t>avverkningsanmälan</t>
        </is>
      </c>
      <c r="C3471" t="inlineStr">
        <is>
          <t>Föryngringsavverkning</t>
        </is>
      </c>
      <c r="D3471" s="1" t="n">
        <v>46304</v>
      </c>
      <c r="E3471" s="1" t="n">
        <v>46309</v>
      </c>
      <c r="F3471" t="inlineStr">
        <is>
          <t>UPPSALA LÄN</t>
        </is>
      </c>
      <c r="G3471" t="inlineStr">
        <is>
          <t>ENKÖPING</t>
        </is>
      </c>
      <c r="I3471" t="n">
        <v>3.2</v>
      </c>
      <c r="J3471" t="n">
        <v>0</v>
      </c>
      <c r="K3471" t="n">
        <v>0</v>
      </c>
      <c r="L3471" t="n">
        <v>0</v>
      </c>
      <c r="M3471" t="n">
        <v>0</v>
      </c>
      <c r="N3471" t="n">
        <v>0</v>
      </c>
      <c r="O3471" t="n">
        <v>0</v>
      </c>
      <c r="P3471" t="n">
        <v>0</v>
      </c>
      <c r="Q3471" t="n">
        <v>0</v>
      </c>
      <c r="R3471" t="n">
        <v>0</v>
      </c>
      <c r="S3471" t="n">
        <v>0</v>
      </c>
      <c r="T3471" t="n">
        <v>0</v>
      </c>
      <c r="U3471" t="n">
        <v>0</v>
      </c>
      <c r="V3471" s="2" t="inlineStr"/>
    </row>
    <row r="3472" ht="15" customHeight="1">
      <c r="A3472" t="inlineStr">
        <is>
          <t>A 35192-2026</t>
        </is>
      </c>
      <c r="B3472" t="inlineStr">
        <is>
          <t>avverkningsanmälan</t>
        </is>
      </c>
      <c r="C3472" t="inlineStr">
        <is>
          <t>Föryngringsavverkning</t>
        </is>
      </c>
      <c r="D3472" s="1" t="n">
        <v>46260</v>
      </c>
      <c r="E3472" s="1" t="n">
        <v>46309</v>
      </c>
      <c r="F3472" t="inlineStr">
        <is>
          <t>UPPSALA LÄN</t>
        </is>
      </c>
      <c r="G3472" t="inlineStr">
        <is>
          <t>ENKÖPING</t>
        </is>
      </c>
      <c r="I3472" t="n">
        <v>3.6</v>
      </c>
      <c r="J3472" t="n">
        <v>0</v>
      </c>
      <c r="K3472" t="n">
        <v>0</v>
      </c>
      <c r="L3472" t="n">
        <v>0</v>
      </c>
      <c r="M3472" t="n">
        <v>0</v>
      </c>
      <c r="N3472" t="n">
        <v>0</v>
      </c>
      <c r="O3472" t="n">
        <v>0</v>
      </c>
      <c r="P3472" t="n">
        <v>0</v>
      </c>
      <c r="Q3472" t="n">
        <v>0</v>
      </c>
      <c r="R3472" t="n">
        <v>0</v>
      </c>
      <c r="S3472" t="n">
        <v>0</v>
      </c>
      <c r="T3472" t="n">
        <v>0</v>
      </c>
      <c r="U3472" t="n">
        <v>0</v>
      </c>
      <c r="V3472" s="2" t="inlineStr"/>
    </row>
    <row r="3473" ht="15" customHeight="1">
      <c r="A3473" t="inlineStr">
        <is>
          <t>A 35197-2026</t>
        </is>
      </c>
      <c r="B3473" t="inlineStr">
        <is>
          <t>avverkningsanmälan</t>
        </is>
      </c>
      <c r="C3473" t="inlineStr">
        <is>
          <t>Föryngringsavverkning</t>
        </is>
      </c>
      <c r="D3473" s="1" t="n">
        <v>46260</v>
      </c>
      <c r="E3473" s="1" t="n">
        <v>46309</v>
      </c>
      <c r="F3473" t="inlineStr">
        <is>
          <t>UPPSALA LÄN</t>
        </is>
      </c>
      <c r="G3473" t="inlineStr">
        <is>
          <t>ÖSTHAMMAR</t>
        </is>
      </c>
      <c r="H3473" t="inlineStr">
        <is>
          <t>Bergvik skog öst AB</t>
        </is>
      </c>
      <c r="I3473" t="n">
        <v>1.5</v>
      </c>
      <c r="J3473" t="n">
        <v>0</v>
      </c>
      <c r="K3473" t="n">
        <v>0</v>
      </c>
      <c r="L3473" t="n">
        <v>0</v>
      </c>
      <c r="M3473" t="n">
        <v>0</v>
      </c>
      <c r="N3473" t="n">
        <v>0</v>
      </c>
      <c r="O3473" t="n">
        <v>0</v>
      </c>
      <c r="P3473" t="n">
        <v>0</v>
      </c>
      <c r="Q3473" t="n">
        <v>0</v>
      </c>
      <c r="R3473" t="n">
        <v>0</v>
      </c>
      <c r="S3473" t="n">
        <v>0</v>
      </c>
      <c r="T3473" t="n">
        <v>0</v>
      </c>
      <c r="U3473" t="n">
        <v>0</v>
      </c>
      <c r="V3473" s="2" t="inlineStr"/>
    </row>
    <row r="3474" ht="15" customHeight="1">
      <c r="A3474" t="inlineStr">
        <is>
          <t>A 42142-2026</t>
        </is>
      </c>
      <c r="B3474" t="inlineStr">
        <is>
          <t>avverkningsanmälan</t>
        </is>
      </c>
      <c r="C3474" t="inlineStr">
        <is>
          <t>Föryngringsavverkning</t>
        </is>
      </c>
      <c r="D3474" s="1" t="n">
        <v>46304</v>
      </c>
      <c r="E3474" s="1" t="n">
        <v>46309</v>
      </c>
      <c r="F3474" t="inlineStr">
        <is>
          <t>UPPSALA LÄN</t>
        </is>
      </c>
      <c r="G3474" t="inlineStr">
        <is>
          <t>ÖSTHAMMAR</t>
        </is>
      </c>
      <c r="H3474" t="inlineStr">
        <is>
          <t>Bergvik skog öst AB</t>
        </is>
      </c>
      <c r="I3474" t="n">
        <v>5</v>
      </c>
      <c r="J3474" t="n">
        <v>0</v>
      </c>
      <c r="K3474" t="n">
        <v>0</v>
      </c>
      <c r="L3474" t="n">
        <v>0</v>
      </c>
      <c r="M3474" t="n">
        <v>0</v>
      </c>
      <c r="N3474" t="n">
        <v>0</v>
      </c>
      <c r="O3474" t="n">
        <v>0</v>
      </c>
      <c r="P3474" t="n">
        <v>0</v>
      </c>
      <c r="Q3474" t="n">
        <v>0</v>
      </c>
      <c r="R3474" t="n">
        <v>0</v>
      </c>
      <c r="S3474" t="n">
        <v>0</v>
      </c>
      <c r="T3474" t="n">
        <v>0</v>
      </c>
      <c r="U3474" t="n">
        <v>0</v>
      </c>
      <c r="V3474" s="2" t="inlineStr"/>
    </row>
    <row r="3475" ht="15" customHeight="1">
      <c r="A3475" t="inlineStr">
        <is>
          <t>A 36950-2026</t>
        </is>
      </c>
      <c r="B3475" t="inlineStr">
        <is>
          <t>avverkningsanmälan</t>
        </is>
      </c>
      <c r="C3475" t="inlineStr">
        <is>
          <t>Föryngringsavverkning</t>
        </is>
      </c>
      <c r="D3475" s="1" t="n">
        <v>46273</v>
      </c>
      <c r="E3475" s="1" t="n">
        <v>46309</v>
      </c>
      <c r="F3475" t="inlineStr">
        <is>
          <t>UPPSALA LÄN</t>
        </is>
      </c>
      <c r="G3475" t="inlineStr">
        <is>
          <t>UPPSALA</t>
        </is>
      </c>
      <c r="H3475" t="inlineStr">
        <is>
          <t>Övriga statliga verk och myndigheter</t>
        </is>
      </c>
      <c r="I3475" t="n">
        <v>7</v>
      </c>
      <c r="J3475" t="n">
        <v>0</v>
      </c>
      <c r="K3475" t="n">
        <v>0</v>
      </c>
      <c r="L3475" t="n">
        <v>0</v>
      </c>
      <c r="M3475" t="n">
        <v>0</v>
      </c>
      <c r="N3475" t="n">
        <v>0</v>
      </c>
      <c r="O3475" t="n">
        <v>0</v>
      </c>
      <c r="P3475" t="n">
        <v>0</v>
      </c>
      <c r="Q3475" t="n">
        <v>0</v>
      </c>
      <c r="R3475" t="n">
        <v>0</v>
      </c>
      <c r="S3475" t="n">
        <v>0</v>
      </c>
      <c r="T3475" t="n">
        <v>0</v>
      </c>
      <c r="U3475" t="n">
        <v>0</v>
      </c>
      <c r="V3475" s="2" t="inlineStr"/>
    </row>
    <row r="3476" ht="15" customHeight="1">
      <c r="A3476" t="inlineStr">
        <is>
          <t>A 41912-2026</t>
        </is>
      </c>
      <c r="B3476" t="inlineStr">
        <is>
          <t>avverkningsanmälan</t>
        </is>
      </c>
      <c r="C3476" t="inlineStr">
        <is>
          <t>Föryngringsavverkning</t>
        </is>
      </c>
      <c r="D3476" s="1" t="n">
        <v>46303</v>
      </c>
      <c r="E3476" s="1" t="n">
        <v>46309</v>
      </c>
      <c r="F3476" t="inlineStr">
        <is>
          <t>UPPSALA LÄN</t>
        </is>
      </c>
      <c r="G3476" t="inlineStr">
        <is>
          <t>HEBY</t>
        </is>
      </c>
      <c r="I3476" t="n">
        <v>3.6</v>
      </c>
      <c r="J3476" t="n">
        <v>0</v>
      </c>
      <c r="K3476" t="n">
        <v>0</v>
      </c>
      <c r="L3476" t="n">
        <v>0</v>
      </c>
      <c r="M3476" t="n">
        <v>0</v>
      </c>
      <c r="N3476" t="n">
        <v>0</v>
      </c>
      <c r="O3476" t="n">
        <v>0</v>
      </c>
      <c r="P3476" t="n">
        <v>0</v>
      </c>
      <c r="Q3476" t="n">
        <v>0</v>
      </c>
      <c r="R3476" t="n">
        <v>0</v>
      </c>
      <c r="S3476" t="n">
        <v>0</v>
      </c>
      <c r="T3476" t="n">
        <v>0</v>
      </c>
      <c r="U3476" t="n">
        <v>0</v>
      </c>
      <c r="V3476" s="2" t="inlineStr"/>
    </row>
    <row r="3477" ht="15" customHeight="1">
      <c r="A3477" t="inlineStr">
        <is>
          <t>A 35305-2026</t>
        </is>
      </c>
      <c r="B3477" t="inlineStr">
        <is>
          <t>avverkningsanmälan</t>
        </is>
      </c>
      <c r="C3477" t="inlineStr">
        <is>
          <t>Föryngringsavverkning</t>
        </is>
      </c>
      <c r="D3477" s="1" t="n">
        <v>46261</v>
      </c>
      <c r="E3477" s="1" t="n">
        <v>46309</v>
      </c>
      <c r="F3477" t="inlineStr">
        <is>
          <t>UPPSALA LÄN</t>
        </is>
      </c>
      <c r="G3477" t="inlineStr">
        <is>
          <t>ENKÖPING</t>
        </is>
      </c>
      <c r="I3477" t="n">
        <v>0.7</v>
      </c>
      <c r="J3477" t="n">
        <v>0</v>
      </c>
      <c r="K3477" t="n">
        <v>0</v>
      </c>
      <c r="L3477" t="n">
        <v>0</v>
      </c>
      <c r="M3477" t="n">
        <v>0</v>
      </c>
      <c r="N3477" t="n">
        <v>0</v>
      </c>
      <c r="O3477" t="n">
        <v>0</v>
      </c>
      <c r="P3477" t="n">
        <v>0</v>
      </c>
      <c r="Q3477" t="n">
        <v>0</v>
      </c>
      <c r="R3477" t="n">
        <v>0</v>
      </c>
      <c r="S3477" t="n">
        <v>0</v>
      </c>
      <c r="T3477" t="n">
        <v>0</v>
      </c>
      <c r="U3477" t="n">
        <v>0</v>
      </c>
      <c r="V3477" s="2" t="inlineStr"/>
    </row>
    <row r="3478" ht="15" customHeight="1">
      <c r="A3478" t="inlineStr">
        <is>
          <t>A 41888-2026</t>
        </is>
      </c>
      <c r="B3478" t="inlineStr">
        <is>
          <t>avverkningsanmälan</t>
        </is>
      </c>
      <c r="C3478" t="inlineStr">
        <is>
          <t>Föryngringsavverkning</t>
        </is>
      </c>
      <c r="D3478" s="1" t="n">
        <v>46303</v>
      </c>
      <c r="E3478" s="1" t="n">
        <v>46309</v>
      </c>
      <c r="F3478" t="inlineStr">
        <is>
          <t>UPPSALA LÄN</t>
        </is>
      </c>
      <c r="G3478" t="inlineStr">
        <is>
          <t>UPPSALA</t>
        </is>
      </c>
      <c r="H3478" t="inlineStr">
        <is>
          <t>Kyrkan</t>
        </is>
      </c>
      <c r="I3478" t="n">
        <v>5.4</v>
      </c>
      <c r="J3478" t="n">
        <v>0</v>
      </c>
      <c r="K3478" t="n">
        <v>0</v>
      </c>
      <c r="L3478" t="n">
        <v>0</v>
      </c>
      <c r="M3478" t="n">
        <v>0</v>
      </c>
      <c r="N3478" t="n">
        <v>0</v>
      </c>
      <c r="O3478" t="n">
        <v>0</v>
      </c>
      <c r="P3478" t="n">
        <v>0</v>
      </c>
      <c r="Q3478" t="n">
        <v>0</v>
      </c>
      <c r="R3478" t="n">
        <v>0</v>
      </c>
      <c r="S3478" t="n">
        <v>0</v>
      </c>
      <c r="T3478" t="n">
        <v>0</v>
      </c>
      <c r="U3478" t="n">
        <v>0</v>
      </c>
      <c r="V3478" s="2" t="inlineStr"/>
    </row>
    <row r="3479" ht="15" customHeight="1">
      <c r="A3479" t="inlineStr">
        <is>
          <t>A 42125-2026</t>
        </is>
      </c>
      <c r="B3479" t="inlineStr">
        <is>
          <t>avverkningsanmälan</t>
        </is>
      </c>
      <c r="C3479" t="inlineStr">
        <is>
          <t>Föryngringsavverkning</t>
        </is>
      </c>
      <c r="D3479" s="1" t="n">
        <v>46304</v>
      </c>
      <c r="E3479" s="1" t="n">
        <v>46309</v>
      </c>
      <c r="F3479" t="inlineStr">
        <is>
          <t>UPPSALA LÄN</t>
        </is>
      </c>
      <c r="G3479" t="inlineStr">
        <is>
          <t>ENKÖPING</t>
        </is>
      </c>
      <c r="I3479" t="n">
        <v>2.8</v>
      </c>
      <c r="J3479" t="n">
        <v>0</v>
      </c>
      <c r="K3479" t="n">
        <v>0</v>
      </c>
      <c r="L3479" t="n">
        <v>0</v>
      </c>
      <c r="M3479" t="n">
        <v>0</v>
      </c>
      <c r="N3479" t="n">
        <v>0</v>
      </c>
      <c r="O3479" t="n">
        <v>0</v>
      </c>
      <c r="P3479" t="n">
        <v>0</v>
      </c>
      <c r="Q3479" t="n">
        <v>0</v>
      </c>
      <c r="R3479" t="n">
        <v>0</v>
      </c>
      <c r="S3479" t="n">
        <v>0</v>
      </c>
      <c r="T3479" t="n">
        <v>0</v>
      </c>
      <c r="U3479" t="n">
        <v>0</v>
      </c>
      <c r="V3479" s="2" t="inlineStr"/>
    </row>
    <row r="3480" ht="15" customHeight="1">
      <c r="A3480" t="inlineStr">
        <is>
          <t>A 40491-2026</t>
        </is>
      </c>
      <c r="B3480" t="inlineStr">
        <is>
          <t>avverkningsanmälan</t>
        </is>
      </c>
      <c r="C3480" t="inlineStr">
        <is>
          <t>Föryngringsavverkning</t>
        </is>
      </c>
      <c r="D3480" s="1" t="n">
        <v>46295</v>
      </c>
      <c r="E3480" s="1" t="n">
        <v>46309</v>
      </c>
      <c r="F3480" t="inlineStr">
        <is>
          <t>UPPSALA LÄN</t>
        </is>
      </c>
      <c r="G3480" t="inlineStr">
        <is>
          <t>HEBY</t>
        </is>
      </c>
      <c r="H3480" t="inlineStr">
        <is>
          <t>Allmännings- och besparingsskogar</t>
        </is>
      </c>
      <c r="I3480" t="n">
        <v>10</v>
      </c>
      <c r="J3480" t="n">
        <v>0</v>
      </c>
      <c r="K3480" t="n">
        <v>0</v>
      </c>
      <c r="L3480" t="n">
        <v>0</v>
      </c>
      <c r="M3480" t="n">
        <v>0</v>
      </c>
      <c r="N3480" t="n">
        <v>0</v>
      </c>
      <c r="O3480" t="n">
        <v>0</v>
      </c>
      <c r="P3480" t="n">
        <v>0</v>
      </c>
      <c r="Q3480" t="n">
        <v>0</v>
      </c>
      <c r="R3480" t="n">
        <v>0</v>
      </c>
      <c r="S3480" t="n">
        <v>0</v>
      </c>
      <c r="T3480" t="n">
        <v>0</v>
      </c>
      <c r="U3480" t="n">
        <v>0</v>
      </c>
      <c r="V3480" s="2" t="inlineStr"/>
    </row>
    <row r="3481" ht="15" customHeight="1">
      <c r="A3481" t="inlineStr">
        <is>
          <t>A 22333-2025</t>
        </is>
      </c>
      <c r="B3481" t="inlineStr">
        <is>
          <t>avverkningsanmälan</t>
        </is>
      </c>
      <c r="C3481" t="inlineStr">
        <is>
          <t>Föryngringsavverkning</t>
        </is>
      </c>
      <c r="D3481" s="1" t="n">
        <v>45786</v>
      </c>
      <c r="E3481" s="1" t="n">
        <v>46309</v>
      </c>
      <c r="F3481" t="inlineStr">
        <is>
          <t>UPPSALA LÄN</t>
        </is>
      </c>
      <c r="G3481" t="inlineStr">
        <is>
          <t>HEBY</t>
        </is>
      </c>
      <c r="H3481" t="inlineStr">
        <is>
          <t>Kyrkan</t>
        </is>
      </c>
      <c r="I3481" t="n">
        <v>5.8</v>
      </c>
      <c r="J3481" t="n">
        <v>0</v>
      </c>
      <c r="K3481" t="n">
        <v>0</v>
      </c>
      <c r="L3481" t="n">
        <v>0</v>
      </c>
      <c r="M3481" t="n">
        <v>0</v>
      </c>
      <c r="N3481" t="n">
        <v>0</v>
      </c>
      <c r="O3481" t="n">
        <v>0</v>
      </c>
      <c r="P3481" t="n">
        <v>0</v>
      </c>
      <c r="Q3481" t="n">
        <v>0</v>
      </c>
      <c r="R3481" t="n">
        <v>0</v>
      </c>
      <c r="S3481" t="n">
        <v>0</v>
      </c>
      <c r="T3481" t="n">
        <v>0</v>
      </c>
      <c r="U3481" t="n">
        <v>0</v>
      </c>
      <c r="V3481" s="2" t="inlineStr"/>
    </row>
    <row r="3482" ht="15" customHeight="1">
      <c r="A3482" t="inlineStr">
        <is>
          <t>A 41945-2026</t>
        </is>
      </c>
      <c r="B3482" t="inlineStr">
        <is>
          <t>avverkningsanmälan</t>
        </is>
      </c>
      <c r="C3482" t="inlineStr">
        <is>
          <t>Föryngringsavverkning</t>
        </is>
      </c>
      <c r="D3482" s="1" t="n">
        <v>46303</v>
      </c>
      <c r="E3482" s="1" t="n">
        <v>46309</v>
      </c>
      <c r="F3482" t="inlineStr">
        <is>
          <t>UPPSALA LÄN</t>
        </is>
      </c>
      <c r="G3482" t="inlineStr">
        <is>
          <t>UPPSALA</t>
        </is>
      </c>
      <c r="H3482" t="inlineStr">
        <is>
          <t>Allmännings- och besparingsskogar</t>
        </is>
      </c>
      <c r="I3482" t="n">
        <v>1</v>
      </c>
      <c r="J3482" t="n">
        <v>0</v>
      </c>
      <c r="K3482" t="n">
        <v>0</v>
      </c>
      <c r="L3482" t="n">
        <v>0</v>
      </c>
      <c r="M3482" t="n">
        <v>0</v>
      </c>
      <c r="N3482" t="n">
        <v>0</v>
      </c>
      <c r="O3482" t="n">
        <v>0</v>
      </c>
      <c r="P3482" t="n">
        <v>0</v>
      </c>
      <c r="Q3482" t="n">
        <v>0</v>
      </c>
      <c r="R3482" t="n">
        <v>0</v>
      </c>
      <c r="S3482" t="n">
        <v>0</v>
      </c>
      <c r="T3482" t="n">
        <v>0</v>
      </c>
      <c r="U3482" t="n">
        <v>0</v>
      </c>
      <c r="V3482" s="2" t="inlineStr"/>
    </row>
    <row r="3483" ht="15" customHeight="1">
      <c r="A3483" t="inlineStr">
        <is>
          <t>A 42131-2026</t>
        </is>
      </c>
      <c r="B3483" t="inlineStr">
        <is>
          <t>avverkningsanmälan</t>
        </is>
      </c>
      <c r="C3483" t="inlineStr">
        <is>
          <t>Föryngringsavverkning</t>
        </is>
      </c>
      <c r="D3483" s="1" t="n">
        <v>46304</v>
      </c>
      <c r="E3483" s="1" t="n">
        <v>46309</v>
      </c>
      <c r="F3483" t="inlineStr">
        <is>
          <t>UPPSALA LÄN</t>
        </is>
      </c>
      <c r="G3483" t="inlineStr">
        <is>
          <t>TIERP</t>
        </is>
      </c>
      <c r="H3483" t="inlineStr">
        <is>
          <t>Bergvik skog öst AB</t>
        </is>
      </c>
      <c r="I3483" t="n">
        <v>0.6</v>
      </c>
      <c r="J3483" t="n">
        <v>0</v>
      </c>
      <c r="K3483" t="n">
        <v>0</v>
      </c>
      <c r="L3483" t="n">
        <v>0</v>
      </c>
      <c r="M3483" t="n">
        <v>0</v>
      </c>
      <c r="N3483" t="n">
        <v>0</v>
      </c>
      <c r="O3483" t="n">
        <v>0</v>
      </c>
      <c r="P3483" t="n">
        <v>0</v>
      </c>
      <c r="Q3483" t="n">
        <v>0</v>
      </c>
      <c r="R3483" t="n">
        <v>0</v>
      </c>
      <c r="S3483" t="n">
        <v>0</v>
      </c>
      <c r="T3483" t="n">
        <v>0</v>
      </c>
      <c r="U3483" t="n">
        <v>0</v>
      </c>
      <c r="V3483" s="2" t="inlineStr"/>
    </row>
    <row r="3484" ht="15" customHeight="1">
      <c r="A3484" t="inlineStr">
        <is>
          <t>A 35356-2026</t>
        </is>
      </c>
      <c r="B3484" t="inlineStr">
        <is>
          <t>avverkningsanmälan</t>
        </is>
      </c>
      <c r="C3484" t="inlineStr">
        <is>
          <t>Föryngringsavverkning</t>
        </is>
      </c>
      <c r="D3484" s="1" t="n">
        <v>46261</v>
      </c>
      <c r="E3484" s="1" t="n">
        <v>46309</v>
      </c>
      <c r="F3484" t="inlineStr">
        <is>
          <t>UPPSALA LÄN</t>
        </is>
      </c>
      <c r="G3484" t="inlineStr">
        <is>
          <t>ÄLVKARLEBY</t>
        </is>
      </c>
      <c r="H3484" t="inlineStr">
        <is>
          <t>Bergvik skog öst AB</t>
        </is>
      </c>
      <c r="I3484" t="n">
        <v>2.1</v>
      </c>
      <c r="J3484" t="n">
        <v>0</v>
      </c>
      <c r="K3484" t="n">
        <v>0</v>
      </c>
      <c r="L3484" t="n">
        <v>0</v>
      </c>
      <c r="M3484" t="n">
        <v>0</v>
      </c>
      <c r="N3484" t="n">
        <v>0</v>
      </c>
      <c r="O3484" t="n">
        <v>0</v>
      </c>
      <c r="P3484" t="n">
        <v>0</v>
      </c>
      <c r="Q3484" t="n">
        <v>0</v>
      </c>
      <c r="R3484" t="n">
        <v>0</v>
      </c>
      <c r="S3484" t="n">
        <v>0</v>
      </c>
      <c r="T3484" t="n">
        <v>0</v>
      </c>
      <c r="U3484" t="n">
        <v>0</v>
      </c>
      <c r="V3484" s="2" t="inlineStr"/>
    </row>
    <row r="3485" ht="15" customHeight="1">
      <c r="A3485" t="inlineStr">
        <is>
          <t>A 19777-2026</t>
        </is>
      </c>
      <c r="B3485" t="inlineStr">
        <is>
          <t>avverkningsanmälan</t>
        </is>
      </c>
      <c r="C3485" t="inlineStr">
        <is>
          <t>Föryngringsavverkning</t>
        </is>
      </c>
      <c r="D3485" s="1" t="n">
        <v>46135</v>
      </c>
      <c r="E3485" s="1" t="n">
        <v>46309</v>
      </c>
      <c r="F3485" t="inlineStr">
        <is>
          <t>UPPSALA LÄN</t>
        </is>
      </c>
      <c r="G3485" t="inlineStr">
        <is>
          <t>KNIVSTA</t>
        </is>
      </c>
      <c r="I3485" t="n">
        <v>1.9</v>
      </c>
      <c r="J3485" t="n">
        <v>0</v>
      </c>
      <c r="K3485" t="n">
        <v>0</v>
      </c>
      <c r="L3485" t="n">
        <v>0</v>
      </c>
      <c r="M3485" t="n">
        <v>0</v>
      </c>
      <c r="N3485" t="n">
        <v>0</v>
      </c>
      <c r="O3485" t="n">
        <v>0</v>
      </c>
      <c r="P3485" t="n">
        <v>0</v>
      </c>
      <c r="Q3485" t="n">
        <v>0</v>
      </c>
      <c r="R3485" t="n">
        <v>0</v>
      </c>
      <c r="S3485" t="n">
        <v>0</v>
      </c>
      <c r="T3485" t="n">
        <v>0</v>
      </c>
      <c r="U3485" t="n">
        <v>0</v>
      </c>
      <c r="V3485" s="2" t="inlineStr"/>
    </row>
    <row r="3486" ht="15" customHeight="1">
      <c r="A3486" t="inlineStr">
        <is>
          <t>A 42141-2026</t>
        </is>
      </c>
      <c r="B3486" t="inlineStr">
        <is>
          <t>avverkningsanmälan</t>
        </is>
      </c>
      <c r="C3486" t="inlineStr">
        <is>
          <t>Föryngringsavverkning</t>
        </is>
      </c>
      <c r="D3486" s="1" t="n">
        <v>46304</v>
      </c>
      <c r="E3486" s="1" t="n">
        <v>46309</v>
      </c>
      <c r="F3486" t="inlineStr">
        <is>
          <t>UPPSALA LÄN</t>
        </is>
      </c>
      <c r="G3486" t="inlineStr">
        <is>
          <t>ÖSTHAMMAR</t>
        </is>
      </c>
      <c r="H3486" t="inlineStr">
        <is>
          <t>Bergvik skog öst AB</t>
        </is>
      </c>
      <c r="I3486" t="n">
        <v>2</v>
      </c>
      <c r="J3486" t="n">
        <v>0</v>
      </c>
      <c r="K3486" t="n">
        <v>0</v>
      </c>
      <c r="L3486" t="n">
        <v>0</v>
      </c>
      <c r="M3486" t="n">
        <v>0</v>
      </c>
      <c r="N3486" t="n">
        <v>0</v>
      </c>
      <c r="O3486" t="n">
        <v>0</v>
      </c>
      <c r="P3486" t="n">
        <v>0</v>
      </c>
      <c r="Q3486" t="n">
        <v>0</v>
      </c>
      <c r="R3486" t="n">
        <v>0</v>
      </c>
      <c r="S3486" t="n">
        <v>0</v>
      </c>
      <c r="T3486" t="n">
        <v>0</v>
      </c>
      <c r="U3486" t="n">
        <v>0</v>
      </c>
      <c r="V3486" s="2" t="inlineStr"/>
    </row>
    <row r="3487" ht="15" customHeight="1">
      <c r="A3487" t="inlineStr">
        <is>
          <t>A 41854-2026</t>
        </is>
      </c>
      <c r="B3487" t="inlineStr">
        <is>
          <t>avverkningsanmälan</t>
        </is>
      </c>
      <c r="C3487" t="inlineStr">
        <is>
          <t>Föryngringsavverkning</t>
        </is>
      </c>
      <c r="D3487" s="1" t="n">
        <v>46303</v>
      </c>
      <c r="E3487" s="1" t="n">
        <v>46309</v>
      </c>
      <c r="F3487" t="inlineStr">
        <is>
          <t>UPPSALA LÄN</t>
        </is>
      </c>
      <c r="G3487" t="inlineStr">
        <is>
          <t>ENKÖPING</t>
        </is>
      </c>
      <c r="I3487" t="n">
        <v>4.2</v>
      </c>
      <c r="J3487" t="n">
        <v>0</v>
      </c>
      <c r="K3487" t="n">
        <v>0</v>
      </c>
      <c r="L3487" t="n">
        <v>0</v>
      </c>
      <c r="M3487" t="n">
        <v>0</v>
      </c>
      <c r="N3487" t="n">
        <v>0</v>
      </c>
      <c r="O3487" t="n">
        <v>0</v>
      </c>
      <c r="P3487" t="n">
        <v>0</v>
      </c>
      <c r="Q3487" t="n">
        <v>0</v>
      </c>
      <c r="R3487" t="n">
        <v>0</v>
      </c>
      <c r="S3487" t="n">
        <v>0</v>
      </c>
      <c r="T3487" t="n">
        <v>0</v>
      </c>
      <c r="U3487" t="n">
        <v>0</v>
      </c>
      <c r="V3487" s="2" t="inlineStr"/>
    </row>
    <row r="3488" ht="15" customHeight="1">
      <c r="A3488" t="inlineStr">
        <is>
          <t>A 42164-2026</t>
        </is>
      </c>
      <c r="B3488" t="inlineStr">
        <is>
          <t>avverkningsanmälan</t>
        </is>
      </c>
      <c r="C3488" t="inlineStr">
        <is>
          <t>Föryngringsavverkning</t>
        </is>
      </c>
      <c r="D3488" s="1" t="n">
        <v>46304</v>
      </c>
      <c r="E3488" s="1" t="n">
        <v>46309</v>
      </c>
      <c r="F3488" t="inlineStr">
        <is>
          <t>UPPSALA LÄN</t>
        </is>
      </c>
      <c r="G3488" t="inlineStr">
        <is>
          <t>TIERP</t>
        </is>
      </c>
      <c r="H3488" t="inlineStr">
        <is>
          <t>Bergvik skog öst AB</t>
        </is>
      </c>
      <c r="I3488" t="n">
        <v>1.9</v>
      </c>
      <c r="J3488" t="n">
        <v>0</v>
      </c>
      <c r="K3488" t="n">
        <v>0</v>
      </c>
      <c r="L3488" t="n">
        <v>0</v>
      </c>
      <c r="M3488" t="n">
        <v>0</v>
      </c>
      <c r="N3488" t="n">
        <v>0</v>
      </c>
      <c r="O3488" t="n">
        <v>0</v>
      </c>
      <c r="P3488" t="n">
        <v>0</v>
      </c>
      <c r="Q3488" t="n">
        <v>0</v>
      </c>
      <c r="R3488" t="n">
        <v>0</v>
      </c>
      <c r="S3488" t="n">
        <v>0</v>
      </c>
      <c r="T3488" t="n">
        <v>0</v>
      </c>
      <c r="U3488" t="n">
        <v>0</v>
      </c>
      <c r="V3488" s="2" t="inlineStr"/>
    </row>
    <row r="3489" ht="15" customHeight="1">
      <c r="A3489" t="inlineStr">
        <is>
          <t>A 35311-2026</t>
        </is>
      </c>
      <c r="B3489" t="inlineStr">
        <is>
          <t>avverkningsanmälan</t>
        </is>
      </c>
      <c r="C3489" t="inlineStr">
        <is>
          <t>Föryngringsavverkning</t>
        </is>
      </c>
      <c r="D3489" s="1" t="n">
        <v>46261</v>
      </c>
      <c r="E3489" s="1" t="n">
        <v>46309</v>
      </c>
      <c r="F3489" t="inlineStr">
        <is>
          <t>UPPSALA LÄN</t>
        </is>
      </c>
      <c r="G3489" t="inlineStr">
        <is>
          <t>UPPSALA</t>
        </is>
      </c>
      <c r="H3489" t="inlineStr">
        <is>
          <t>Allmännings- och besparingsskogar</t>
        </is>
      </c>
      <c r="I3489" t="n">
        <v>5.1</v>
      </c>
      <c r="J3489" t="n">
        <v>0</v>
      </c>
      <c r="K3489" t="n">
        <v>0</v>
      </c>
      <c r="L3489" t="n">
        <v>0</v>
      </c>
      <c r="M3489" t="n">
        <v>0</v>
      </c>
      <c r="N3489" t="n">
        <v>0</v>
      </c>
      <c r="O3489" t="n">
        <v>0</v>
      </c>
      <c r="P3489" t="n">
        <v>0</v>
      </c>
      <c r="Q3489" t="n">
        <v>0</v>
      </c>
      <c r="R3489" t="n">
        <v>0</v>
      </c>
      <c r="S3489" t="n">
        <v>0</v>
      </c>
      <c r="T3489" t="n">
        <v>0</v>
      </c>
      <c r="U3489" t="n">
        <v>0</v>
      </c>
      <c r="V3489" s="2" t="inlineStr"/>
    </row>
    <row r="3490" ht="15" customHeight="1">
      <c r="A3490" t="inlineStr">
        <is>
          <t>A 41974-2026</t>
        </is>
      </c>
      <c r="B3490" t="inlineStr">
        <is>
          <t>avverkningsanmälan</t>
        </is>
      </c>
      <c r="C3490" t="inlineStr">
        <is>
          <t>Avverkning för annat ändamål</t>
        </is>
      </c>
      <c r="D3490" s="1" t="n">
        <v>46303</v>
      </c>
      <c r="E3490" s="1" t="n">
        <v>46309</v>
      </c>
      <c r="F3490" t="inlineStr">
        <is>
          <t>UPPSALA LÄN</t>
        </is>
      </c>
      <c r="G3490" t="inlineStr">
        <is>
          <t>TIERP</t>
        </is>
      </c>
      <c r="I3490" t="n">
        <v>10.4</v>
      </c>
      <c r="J3490" t="n">
        <v>0</v>
      </c>
      <c r="K3490" t="n">
        <v>0</v>
      </c>
      <c r="L3490" t="n">
        <v>0</v>
      </c>
      <c r="M3490" t="n">
        <v>0</v>
      </c>
      <c r="N3490" t="n">
        <v>0</v>
      </c>
      <c r="O3490" t="n">
        <v>0</v>
      </c>
      <c r="P3490" t="n">
        <v>0</v>
      </c>
      <c r="Q3490" t="n">
        <v>0</v>
      </c>
      <c r="R3490" t="n">
        <v>0</v>
      </c>
      <c r="S3490" t="n">
        <v>0</v>
      </c>
      <c r="T3490" t="n">
        <v>0</v>
      </c>
      <c r="U3490" t="n">
        <v>0</v>
      </c>
      <c r="V3490" s="2" t="inlineStr"/>
    </row>
    <row r="3491" ht="15" customHeight="1">
      <c r="A3491" t="inlineStr">
        <is>
          <t>A 41873-2026</t>
        </is>
      </c>
      <c r="B3491" t="inlineStr">
        <is>
          <t>avverkningsanmälan</t>
        </is>
      </c>
      <c r="C3491" t="inlineStr">
        <is>
          <t>Föryngringsavverkning</t>
        </is>
      </c>
      <c r="D3491" s="1" t="n">
        <v>46303</v>
      </c>
      <c r="E3491" s="1" t="n">
        <v>46309</v>
      </c>
      <c r="F3491" t="inlineStr">
        <is>
          <t>UPPSALA LÄN</t>
        </is>
      </c>
      <c r="G3491" t="inlineStr">
        <is>
          <t>TIERP</t>
        </is>
      </c>
      <c r="I3491" t="n">
        <v>2.8</v>
      </c>
      <c r="J3491" t="n">
        <v>0</v>
      </c>
      <c r="K3491" t="n">
        <v>0</v>
      </c>
      <c r="L3491" t="n">
        <v>0</v>
      </c>
      <c r="M3491" t="n">
        <v>0</v>
      </c>
      <c r="N3491" t="n">
        <v>0</v>
      </c>
      <c r="O3491" t="n">
        <v>0</v>
      </c>
      <c r="P3491" t="n">
        <v>0</v>
      </c>
      <c r="Q3491" t="n">
        <v>0</v>
      </c>
      <c r="R3491" t="n">
        <v>0</v>
      </c>
      <c r="S3491" t="n">
        <v>0</v>
      </c>
      <c r="T3491" t="n">
        <v>0</v>
      </c>
      <c r="U3491" t="n">
        <v>0</v>
      </c>
      <c r="V3491" s="2" t="inlineStr"/>
    </row>
    <row r="3492" ht="15" customHeight="1">
      <c r="A3492" t="inlineStr">
        <is>
          <t>A 28973-2026</t>
        </is>
      </c>
      <c r="B3492" t="inlineStr">
        <is>
          <t>avverkningsanmälan</t>
        </is>
      </c>
      <c r="C3492" t="inlineStr">
        <is>
          <t>Föryngringsavverkning</t>
        </is>
      </c>
      <c r="D3492" s="1" t="n">
        <v>46199</v>
      </c>
      <c r="E3492" s="1" t="n">
        <v>46309</v>
      </c>
      <c r="F3492" t="inlineStr">
        <is>
          <t>UPPSALA LÄN</t>
        </is>
      </c>
      <c r="G3492" t="inlineStr">
        <is>
          <t>ÖSTHAMMAR</t>
        </is>
      </c>
      <c r="I3492" t="n">
        <v>2.2</v>
      </c>
      <c r="J3492" t="n">
        <v>0</v>
      </c>
      <c r="K3492" t="n">
        <v>0</v>
      </c>
      <c r="L3492" t="n">
        <v>0</v>
      </c>
      <c r="M3492" t="n">
        <v>0</v>
      </c>
      <c r="N3492" t="n">
        <v>0</v>
      </c>
      <c r="O3492" t="n">
        <v>0</v>
      </c>
      <c r="P3492" t="n">
        <v>0</v>
      </c>
      <c r="Q3492" t="n">
        <v>0</v>
      </c>
      <c r="R3492" t="n">
        <v>0</v>
      </c>
      <c r="S3492" t="n">
        <v>0</v>
      </c>
      <c r="T3492" t="n">
        <v>0</v>
      </c>
      <c r="U3492" t="n">
        <v>0</v>
      </c>
      <c r="V3492" s="2" t="inlineStr"/>
    </row>
    <row r="3493" ht="15" customHeight="1">
      <c r="A3493" t="inlineStr">
        <is>
          <t>A 35190-2026</t>
        </is>
      </c>
      <c r="B3493" t="inlineStr">
        <is>
          <t>avverkningsanmälan</t>
        </is>
      </c>
      <c r="C3493" t="inlineStr">
        <is>
          <t>Föryngringsavverkning</t>
        </is>
      </c>
      <c r="D3493" s="1" t="n">
        <v>46260</v>
      </c>
      <c r="E3493" s="1" t="n">
        <v>46309</v>
      </c>
      <c r="F3493" t="inlineStr">
        <is>
          <t>UPPSALA LÄN</t>
        </is>
      </c>
      <c r="G3493" t="inlineStr">
        <is>
          <t>TIERP</t>
        </is>
      </c>
      <c r="H3493" t="inlineStr">
        <is>
          <t>Bergvik skog öst AB</t>
        </is>
      </c>
      <c r="I3493" t="n">
        <v>3.2</v>
      </c>
      <c r="J3493" t="n">
        <v>0</v>
      </c>
      <c r="K3493" t="n">
        <v>0</v>
      </c>
      <c r="L3493" t="n">
        <v>0</v>
      </c>
      <c r="M3493" t="n">
        <v>0</v>
      </c>
      <c r="N3493" t="n">
        <v>0</v>
      </c>
      <c r="O3493" t="n">
        <v>0</v>
      </c>
      <c r="P3493" t="n">
        <v>0</v>
      </c>
      <c r="Q3493" t="n">
        <v>0</v>
      </c>
      <c r="R3493" t="n">
        <v>0</v>
      </c>
      <c r="S3493" t="n">
        <v>0</v>
      </c>
      <c r="T3493" t="n">
        <v>0</v>
      </c>
      <c r="U3493" t="n">
        <v>0</v>
      </c>
      <c r="V3493" s="2" t="inlineStr"/>
    </row>
    <row r="3494" ht="15" customHeight="1">
      <c r="A3494" t="inlineStr">
        <is>
          <t>A 47614-2025</t>
        </is>
      </c>
      <c r="B3494" t="inlineStr">
        <is>
          <t>avverkningsanmälan</t>
        </is>
      </c>
      <c r="C3494" t="inlineStr">
        <is>
          <t>Föryngringsavverkning</t>
        </is>
      </c>
      <c r="D3494" s="1" t="n">
        <v>45931</v>
      </c>
      <c r="E3494" s="1" t="n">
        <v>46309</v>
      </c>
      <c r="F3494" t="inlineStr">
        <is>
          <t>UPPSALA LÄN</t>
        </is>
      </c>
      <c r="G3494" t="inlineStr">
        <is>
          <t>ÖSTHAMMAR</t>
        </is>
      </c>
      <c r="I3494" t="n">
        <v>22.8</v>
      </c>
      <c r="J3494" t="n">
        <v>0</v>
      </c>
      <c r="K3494" t="n">
        <v>0</v>
      </c>
      <c r="L3494" t="n">
        <v>0</v>
      </c>
      <c r="M3494" t="n">
        <v>0</v>
      </c>
      <c r="N3494" t="n">
        <v>0</v>
      </c>
      <c r="O3494" t="n">
        <v>0</v>
      </c>
      <c r="P3494" t="n">
        <v>0</v>
      </c>
      <c r="Q3494" t="n">
        <v>0</v>
      </c>
      <c r="R3494" t="n">
        <v>0</v>
      </c>
      <c r="S3494" t="n">
        <v>0</v>
      </c>
      <c r="T3494" t="n">
        <v>0</v>
      </c>
      <c r="U3494" t="n">
        <v>0</v>
      </c>
      <c r="V3494" s="2" t="inlineStr"/>
    </row>
    <row r="3495" ht="15" customHeight="1">
      <c r="A3495" t="inlineStr">
        <is>
          <t>A 51090-2025</t>
        </is>
      </c>
      <c r="B3495" t="inlineStr">
        <is>
          <t>avverkningsanmälan</t>
        </is>
      </c>
      <c r="C3495" t="inlineStr">
        <is>
          <t>Föryngringsavverkning</t>
        </is>
      </c>
      <c r="D3495" s="1" t="n">
        <v>45947</v>
      </c>
      <c r="E3495" s="1" t="n">
        <v>46309</v>
      </c>
      <c r="F3495" t="inlineStr">
        <is>
          <t>UPPSALA LÄN</t>
        </is>
      </c>
      <c r="G3495" t="inlineStr">
        <is>
          <t>UPPSALA</t>
        </is>
      </c>
      <c r="H3495" t="inlineStr">
        <is>
          <t>Övriga Aktiebolag</t>
        </is>
      </c>
      <c r="I3495" t="n">
        <v>17.5</v>
      </c>
      <c r="J3495" t="n">
        <v>0</v>
      </c>
      <c r="K3495" t="n">
        <v>0</v>
      </c>
      <c r="L3495" t="n">
        <v>0</v>
      </c>
      <c r="M3495" t="n">
        <v>0</v>
      </c>
      <c r="N3495" t="n">
        <v>0</v>
      </c>
      <c r="O3495" t="n">
        <v>0</v>
      </c>
      <c r="P3495" t="n">
        <v>0</v>
      </c>
      <c r="Q3495" t="n">
        <v>0</v>
      </c>
      <c r="R3495" t="n">
        <v>0</v>
      </c>
      <c r="S3495" t="n">
        <v>0</v>
      </c>
      <c r="T3495" t="n">
        <v>0</v>
      </c>
      <c r="U3495" t="n">
        <v>0</v>
      </c>
      <c r="V3495" s="2" t="inlineStr"/>
    </row>
    <row r="3496" ht="15" customHeight="1">
      <c r="A3496" t="inlineStr">
        <is>
          <t>A 41216-2025</t>
        </is>
      </c>
      <c r="B3496" t="inlineStr">
        <is>
          <t>avverkningsanmälan</t>
        </is>
      </c>
      <c r="C3496" t="inlineStr">
        <is>
          <t>Föryngringsavverkning</t>
        </is>
      </c>
      <c r="D3496" s="1" t="n">
        <v>45898</v>
      </c>
      <c r="E3496" s="1" t="n">
        <v>46309</v>
      </c>
      <c r="F3496" t="inlineStr">
        <is>
          <t>UPPSALA LÄN</t>
        </is>
      </c>
      <c r="G3496" t="inlineStr">
        <is>
          <t>HEBY</t>
        </is>
      </c>
      <c r="I3496" t="n">
        <v>14.8</v>
      </c>
      <c r="J3496" t="n">
        <v>0</v>
      </c>
      <c r="K3496" t="n">
        <v>0</v>
      </c>
      <c r="L3496" t="n">
        <v>0</v>
      </c>
      <c r="M3496" t="n">
        <v>0</v>
      </c>
      <c r="N3496" t="n">
        <v>0</v>
      </c>
      <c r="O3496" t="n">
        <v>0</v>
      </c>
      <c r="P3496" t="n">
        <v>0</v>
      </c>
      <c r="Q3496" t="n">
        <v>0</v>
      </c>
      <c r="R3496" t="n">
        <v>0</v>
      </c>
      <c r="S3496" t="n">
        <v>0</v>
      </c>
      <c r="T3496" t="n">
        <v>0</v>
      </c>
      <c r="U3496" t="n">
        <v>0</v>
      </c>
      <c r="V3496" s="2" t="inlineStr"/>
    </row>
    <row r="3497" ht="15" customHeight="1">
      <c r="A3497" t="inlineStr">
        <is>
          <t>A 50232-2025</t>
        </is>
      </c>
      <c r="B3497" t="inlineStr">
        <is>
          <t>avverkningsanmälan</t>
        </is>
      </c>
      <c r="C3497" t="inlineStr">
        <is>
          <t>Föryngringsavverkning</t>
        </is>
      </c>
      <c r="D3497" s="1" t="n">
        <v>45943</v>
      </c>
      <c r="E3497" s="1" t="n">
        <v>46309</v>
      </c>
      <c r="F3497" t="inlineStr">
        <is>
          <t>UPPSALA LÄN</t>
        </is>
      </c>
      <c r="G3497" t="inlineStr">
        <is>
          <t>UPPSALA</t>
        </is>
      </c>
      <c r="H3497" t="inlineStr">
        <is>
          <t>Holmen skog AB</t>
        </is>
      </c>
      <c r="I3497" t="n">
        <v>2</v>
      </c>
      <c r="J3497" t="n">
        <v>0</v>
      </c>
      <c r="K3497" t="n">
        <v>0</v>
      </c>
      <c r="L3497" t="n">
        <v>0</v>
      </c>
      <c r="M3497" t="n">
        <v>0</v>
      </c>
      <c r="N3497" t="n">
        <v>0</v>
      </c>
      <c r="O3497" t="n">
        <v>0</v>
      </c>
      <c r="P3497" t="n">
        <v>0</v>
      </c>
      <c r="Q3497" t="n">
        <v>0</v>
      </c>
      <c r="R3497" t="n">
        <v>0</v>
      </c>
      <c r="S3497" t="n">
        <v>0</v>
      </c>
      <c r="T3497" t="n">
        <v>0</v>
      </c>
      <c r="U3497" t="n">
        <v>0</v>
      </c>
      <c r="V3497" s="2" t="inlineStr"/>
    </row>
    <row r="3498" ht="15" customHeight="1">
      <c r="A3498" t="inlineStr">
        <is>
          <t>A 42029-2025</t>
        </is>
      </c>
      <c r="B3498" t="inlineStr">
        <is>
          <t>avverkningsanmälan</t>
        </is>
      </c>
      <c r="C3498" t="inlineStr">
        <is>
          <t>Föryngringsavverkning</t>
        </is>
      </c>
      <c r="D3498" s="1" t="n">
        <v>45903</v>
      </c>
      <c r="E3498" s="1" t="n">
        <v>46309</v>
      </c>
      <c r="F3498" t="inlineStr">
        <is>
          <t>UPPSALA LÄN</t>
        </is>
      </c>
      <c r="G3498" t="inlineStr">
        <is>
          <t>ENKÖPING</t>
        </is>
      </c>
      <c r="I3498" t="n">
        <v>1.8</v>
      </c>
      <c r="J3498" t="n">
        <v>0</v>
      </c>
      <c r="K3498" t="n">
        <v>0</v>
      </c>
      <c r="L3498" t="n">
        <v>0</v>
      </c>
      <c r="M3498" t="n">
        <v>0</v>
      </c>
      <c r="N3498" t="n">
        <v>0</v>
      </c>
      <c r="O3498" t="n">
        <v>0</v>
      </c>
      <c r="P3498" t="n">
        <v>0</v>
      </c>
      <c r="Q3498" t="n">
        <v>0</v>
      </c>
      <c r="R3498" t="n">
        <v>0</v>
      </c>
      <c r="S3498" t="n">
        <v>0</v>
      </c>
      <c r="T3498" t="n">
        <v>0</v>
      </c>
      <c r="U3498" t="n">
        <v>0</v>
      </c>
      <c r="V3498" s="2" t="inlineStr"/>
    </row>
    <row r="3499" ht="15" customHeight="1">
      <c r="A3499" t="inlineStr">
        <is>
          <t>A 35870-2026</t>
        </is>
      </c>
      <c r="B3499" t="inlineStr">
        <is>
          <t>avverkningsanmälan</t>
        </is>
      </c>
      <c r="C3499" t="inlineStr">
        <is>
          <t>Föryngringsavverkning</t>
        </is>
      </c>
      <c r="D3499" s="1" t="n">
        <v>46266</v>
      </c>
      <c r="E3499" s="1" t="n">
        <v>46309</v>
      </c>
      <c r="F3499" t="inlineStr">
        <is>
          <t>UPPSALA LÄN</t>
        </is>
      </c>
      <c r="G3499" t="inlineStr">
        <is>
          <t>UPPSALA</t>
        </is>
      </c>
      <c r="H3499" t="inlineStr">
        <is>
          <t>Kyrkan</t>
        </is>
      </c>
      <c r="I3499" t="n">
        <v>4.5</v>
      </c>
      <c r="J3499" t="n">
        <v>0</v>
      </c>
      <c r="K3499" t="n">
        <v>0</v>
      </c>
      <c r="L3499" t="n">
        <v>0</v>
      </c>
      <c r="M3499" t="n">
        <v>0</v>
      </c>
      <c r="N3499" t="n">
        <v>0</v>
      </c>
      <c r="O3499" t="n">
        <v>0</v>
      </c>
      <c r="P3499" t="n">
        <v>0</v>
      </c>
      <c r="Q3499" t="n">
        <v>0</v>
      </c>
      <c r="R3499" t="n">
        <v>0</v>
      </c>
      <c r="S3499" t="n">
        <v>0</v>
      </c>
      <c r="T3499" t="n">
        <v>0</v>
      </c>
      <c r="U3499" t="n">
        <v>0</v>
      </c>
      <c r="V3499" s="2" t="inlineStr"/>
    </row>
    <row r="3500" ht="15" customHeight="1">
      <c r="A3500" t="inlineStr">
        <is>
          <t>A 35435-2026</t>
        </is>
      </c>
      <c r="B3500" t="inlineStr">
        <is>
          <t>avverkningsanmälan</t>
        </is>
      </c>
      <c r="C3500" t="inlineStr">
        <is>
          <t>Föryngringsavverkning</t>
        </is>
      </c>
      <c r="D3500" s="1" t="n">
        <v>46262</v>
      </c>
      <c r="E3500" s="1" t="n">
        <v>46309</v>
      </c>
      <c r="F3500" t="inlineStr">
        <is>
          <t>UPPSALA LÄN</t>
        </is>
      </c>
      <c r="G3500" t="inlineStr">
        <is>
          <t>HEBY</t>
        </is>
      </c>
      <c r="I3500" t="n">
        <v>6.3</v>
      </c>
      <c r="J3500" t="n">
        <v>0</v>
      </c>
      <c r="K3500" t="n">
        <v>0</v>
      </c>
      <c r="L3500" t="n">
        <v>0</v>
      </c>
      <c r="M3500" t="n">
        <v>0</v>
      </c>
      <c r="N3500" t="n">
        <v>0</v>
      </c>
      <c r="O3500" t="n">
        <v>0</v>
      </c>
      <c r="P3500" t="n">
        <v>0</v>
      </c>
      <c r="Q3500" t="n">
        <v>0</v>
      </c>
      <c r="R3500" t="n">
        <v>0</v>
      </c>
      <c r="S3500" t="n">
        <v>0</v>
      </c>
      <c r="T3500" t="n">
        <v>0</v>
      </c>
      <c r="U3500" t="n">
        <v>0</v>
      </c>
      <c r="V3500" s="2" t="inlineStr"/>
    </row>
    <row r="3501" ht="15" customHeight="1">
      <c r="A3501" t="inlineStr">
        <is>
          <t>A 22709-2026</t>
        </is>
      </c>
      <c r="B3501" t="inlineStr">
        <is>
          <t>avverkningsanmälan</t>
        </is>
      </c>
      <c r="C3501" t="inlineStr">
        <is>
          <t>Föryngringsavverkning</t>
        </is>
      </c>
      <c r="D3501" s="1" t="n">
        <v>46156</v>
      </c>
      <c r="E3501" s="1" t="n">
        <v>46309</v>
      </c>
      <c r="F3501" t="inlineStr">
        <is>
          <t>UPPSALA LÄN</t>
        </is>
      </c>
      <c r="G3501" t="inlineStr">
        <is>
          <t>ÖSTHAMMAR</t>
        </is>
      </c>
      <c r="H3501" t="inlineStr">
        <is>
          <t>Övriga Aktiebolag</t>
        </is>
      </c>
      <c r="I3501" t="n">
        <v>15.5</v>
      </c>
      <c r="J3501" t="n">
        <v>0</v>
      </c>
      <c r="K3501" t="n">
        <v>0</v>
      </c>
      <c r="L3501" t="n">
        <v>0</v>
      </c>
      <c r="M3501" t="n">
        <v>0</v>
      </c>
      <c r="N3501" t="n">
        <v>0</v>
      </c>
      <c r="O3501" t="n">
        <v>0</v>
      </c>
      <c r="P3501" t="n">
        <v>0</v>
      </c>
      <c r="Q3501" t="n">
        <v>0</v>
      </c>
      <c r="R3501" t="n">
        <v>0</v>
      </c>
      <c r="S3501" t="n">
        <v>0</v>
      </c>
      <c r="T3501" t="n">
        <v>0</v>
      </c>
      <c r="U3501" t="n">
        <v>0</v>
      </c>
      <c r="V3501" s="2" t="inlineStr"/>
    </row>
    <row r="3502" ht="15" customHeight="1">
      <c r="A3502" t="inlineStr">
        <is>
          <t>A 35888-2026</t>
        </is>
      </c>
      <c r="B3502" t="inlineStr">
        <is>
          <t>avverkningsanmälan</t>
        </is>
      </c>
      <c r="C3502" t="inlineStr">
        <is>
          <t>Föryngringsavverkning</t>
        </is>
      </c>
      <c r="D3502" s="1" t="n">
        <v>46266</v>
      </c>
      <c r="E3502" s="1" t="n">
        <v>46309</v>
      </c>
      <c r="F3502" t="inlineStr">
        <is>
          <t>UPPSALA LÄN</t>
        </is>
      </c>
      <c r="G3502" t="inlineStr">
        <is>
          <t>ÖSTHAMMAR</t>
        </is>
      </c>
      <c r="H3502" t="inlineStr">
        <is>
          <t>Kyrkan</t>
        </is>
      </c>
      <c r="I3502" t="n">
        <v>9</v>
      </c>
      <c r="J3502" t="n">
        <v>0</v>
      </c>
      <c r="K3502" t="n">
        <v>0</v>
      </c>
      <c r="L3502" t="n">
        <v>0</v>
      </c>
      <c r="M3502" t="n">
        <v>0</v>
      </c>
      <c r="N3502" t="n">
        <v>0</v>
      </c>
      <c r="O3502" t="n">
        <v>0</v>
      </c>
      <c r="P3502" t="n">
        <v>0</v>
      </c>
      <c r="Q3502" t="n">
        <v>0</v>
      </c>
      <c r="R3502" t="n">
        <v>0</v>
      </c>
      <c r="S3502" t="n">
        <v>0</v>
      </c>
      <c r="T3502" t="n">
        <v>0</v>
      </c>
      <c r="U3502" t="n">
        <v>0</v>
      </c>
      <c r="V3502" s="2" t="inlineStr"/>
    </row>
    <row r="3503" ht="15" customHeight="1">
      <c r="A3503" t="inlineStr">
        <is>
          <t>A 39518-2026</t>
        </is>
      </c>
      <c r="B3503" t="inlineStr">
        <is>
          <t>avverkningsanmälan</t>
        </is>
      </c>
      <c r="C3503" t="inlineStr">
        <is>
          <t>Föryngringsavverkning</t>
        </is>
      </c>
      <c r="D3503" s="1" t="n">
        <v>46289</v>
      </c>
      <c r="E3503" s="1" t="n">
        <v>46309</v>
      </c>
      <c r="F3503" t="inlineStr">
        <is>
          <t>UPPSALA LÄN</t>
        </is>
      </c>
      <c r="G3503" t="inlineStr">
        <is>
          <t>ÖSTHAMMAR</t>
        </is>
      </c>
      <c r="I3503" t="n">
        <v>1.8</v>
      </c>
      <c r="J3503" t="n">
        <v>0</v>
      </c>
      <c r="K3503" t="n">
        <v>0</v>
      </c>
      <c r="L3503" t="n">
        <v>0</v>
      </c>
      <c r="M3503" t="n">
        <v>0</v>
      </c>
      <c r="N3503" t="n">
        <v>0</v>
      </c>
      <c r="O3503" t="n">
        <v>0</v>
      </c>
      <c r="P3503" t="n">
        <v>0</v>
      </c>
      <c r="Q3503" t="n">
        <v>0</v>
      </c>
      <c r="R3503" t="n">
        <v>0</v>
      </c>
      <c r="S3503" t="n">
        <v>0</v>
      </c>
      <c r="T3503" t="n">
        <v>0</v>
      </c>
      <c r="U3503" t="n">
        <v>0</v>
      </c>
      <c r="V3503" s="2" t="inlineStr"/>
    </row>
    <row r="3504" ht="15" customHeight="1">
      <c r="A3504" t="inlineStr">
        <is>
          <t>A 35723-2026</t>
        </is>
      </c>
      <c r="B3504" t="inlineStr">
        <is>
          <t>avverkningsanmälan</t>
        </is>
      </c>
      <c r="C3504" t="inlineStr">
        <is>
          <t>Föryngringsavverkning</t>
        </is>
      </c>
      <c r="D3504" s="1" t="n">
        <v>46265</v>
      </c>
      <c r="E3504" s="1" t="n">
        <v>46309</v>
      </c>
      <c r="F3504" t="inlineStr">
        <is>
          <t>UPPSALA LÄN</t>
        </is>
      </c>
      <c r="G3504" t="inlineStr">
        <is>
          <t>ENKÖPING</t>
        </is>
      </c>
      <c r="I3504" t="n">
        <v>2.9</v>
      </c>
      <c r="J3504" t="n">
        <v>0</v>
      </c>
      <c r="K3504" t="n">
        <v>0</v>
      </c>
      <c r="L3504" t="n">
        <v>0</v>
      </c>
      <c r="M3504" t="n">
        <v>0</v>
      </c>
      <c r="N3504" t="n">
        <v>0</v>
      </c>
      <c r="O3504" t="n">
        <v>0</v>
      </c>
      <c r="P3504" t="n">
        <v>0</v>
      </c>
      <c r="Q3504" t="n">
        <v>0</v>
      </c>
      <c r="R3504" t="n">
        <v>0</v>
      </c>
      <c r="S3504" t="n">
        <v>0</v>
      </c>
      <c r="T3504" t="n">
        <v>0</v>
      </c>
      <c r="U3504" t="n">
        <v>0</v>
      </c>
      <c r="V3504" s="2" t="inlineStr"/>
    </row>
    <row r="3505" ht="15" customHeight="1">
      <c r="A3505" t="inlineStr">
        <is>
          <t>A 35545-2026</t>
        </is>
      </c>
      <c r="B3505" t="inlineStr">
        <is>
          <t>avverkningsanmälan</t>
        </is>
      </c>
      <c r="C3505" t="inlineStr">
        <is>
          <t>Föryngringsavverkning</t>
        </is>
      </c>
      <c r="D3505" s="1" t="n">
        <v>46262</v>
      </c>
      <c r="E3505" s="1" t="n">
        <v>46309</v>
      </c>
      <c r="F3505" t="inlineStr">
        <is>
          <t>UPPSALA LÄN</t>
        </is>
      </c>
      <c r="G3505" t="inlineStr">
        <is>
          <t>TIERP</t>
        </is>
      </c>
      <c r="H3505" t="inlineStr">
        <is>
          <t>Bergvik skog öst AB</t>
        </is>
      </c>
      <c r="I3505" t="n">
        <v>0.5</v>
      </c>
      <c r="J3505" t="n">
        <v>0</v>
      </c>
      <c r="K3505" t="n">
        <v>0</v>
      </c>
      <c r="L3505" t="n">
        <v>0</v>
      </c>
      <c r="M3505" t="n">
        <v>0</v>
      </c>
      <c r="N3505" t="n">
        <v>0</v>
      </c>
      <c r="O3505" t="n">
        <v>0</v>
      </c>
      <c r="P3505" t="n">
        <v>0</v>
      </c>
      <c r="Q3505" t="n">
        <v>0</v>
      </c>
      <c r="R3505" t="n">
        <v>0</v>
      </c>
      <c r="S3505" t="n">
        <v>0</v>
      </c>
      <c r="T3505" t="n">
        <v>0</v>
      </c>
      <c r="U3505" t="n">
        <v>0</v>
      </c>
      <c r="V3505" s="2" t="inlineStr"/>
    </row>
    <row r="3506" ht="15" customHeight="1">
      <c r="A3506" t="inlineStr">
        <is>
          <t>A 35553-2026</t>
        </is>
      </c>
      <c r="B3506" t="inlineStr">
        <is>
          <t>avverkningsanmälan</t>
        </is>
      </c>
      <c r="C3506" t="inlineStr">
        <is>
          <t>Föryngringsavverkning</t>
        </is>
      </c>
      <c r="D3506" s="1" t="n">
        <v>46262</v>
      </c>
      <c r="E3506" s="1" t="n">
        <v>46309</v>
      </c>
      <c r="F3506" t="inlineStr">
        <is>
          <t>UPPSALA LÄN</t>
        </is>
      </c>
      <c r="G3506" t="inlineStr">
        <is>
          <t>TIERP</t>
        </is>
      </c>
      <c r="H3506" t="inlineStr">
        <is>
          <t>Bergvik skog öst AB</t>
        </is>
      </c>
      <c r="I3506" t="n">
        <v>5.4</v>
      </c>
      <c r="J3506" t="n">
        <v>0</v>
      </c>
      <c r="K3506" t="n">
        <v>0</v>
      </c>
      <c r="L3506" t="n">
        <v>0</v>
      </c>
      <c r="M3506" t="n">
        <v>0</v>
      </c>
      <c r="N3506" t="n">
        <v>0</v>
      </c>
      <c r="O3506" t="n">
        <v>0</v>
      </c>
      <c r="P3506" t="n">
        <v>0</v>
      </c>
      <c r="Q3506" t="n">
        <v>0</v>
      </c>
      <c r="R3506" t="n">
        <v>0</v>
      </c>
      <c r="S3506" t="n">
        <v>0</v>
      </c>
      <c r="T3506" t="n">
        <v>0</v>
      </c>
      <c r="U3506" t="n">
        <v>0</v>
      </c>
      <c r="V3506" s="2" t="inlineStr"/>
    </row>
    <row r="3507" ht="15" customHeight="1">
      <c r="A3507" t="inlineStr">
        <is>
          <t>A 22241-2026</t>
        </is>
      </c>
      <c r="B3507" t="inlineStr">
        <is>
          <t>avverkningsanmälan</t>
        </is>
      </c>
      <c r="C3507" t="inlineStr">
        <is>
          <t>Föryngringsavverkning</t>
        </is>
      </c>
      <c r="D3507" s="1" t="n">
        <v>46154</v>
      </c>
      <c r="E3507" s="1" t="n">
        <v>46309</v>
      </c>
      <c r="F3507" t="inlineStr">
        <is>
          <t>UPPSALA LÄN</t>
        </is>
      </c>
      <c r="G3507" t="inlineStr">
        <is>
          <t>ÖSTHAMMAR</t>
        </is>
      </c>
      <c r="H3507" t="inlineStr">
        <is>
          <t>Övriga Aktiebolag</t>
        </is>
      </c>
      <c r="I3507" t="n">
        <v>14.6</v>
      </c>
      <c r="J3507" t="n">
        <v>0</v>
      </c>
      <c r="K3507" t="n">
        <v>0</v>
      </c>
      <c r="L3507" t="n">
        <v>0</v>
      </c>
      <c r="M3507" t="n">
        <v>0</v>
      </c>
      <c r="N3507" t="n">
        <v>0</v>
      </c>
      <c r="O3507" t="n">
        <v>0</v>
      </c>
      <c r="P3507" t="n">
        <v>0</v>
      </c>
      <c r="Q3507" t="n">
        <v>0</v>
      </c>
      <c r="R3507" t="n">
        <v>0</v>
      </c>
      <c r="S3507" t="n">
        <v>0</v>
      </c>
      <c r="T3507" t="n">
        <v>0</v>
      </c>
      <c r="U3507" t="n">
        <v>0</v>
      </c>
      <c r="V3507" s="2" t="inlineStr"/>
    </row>
    <row r="3508" ht="15" customHeight="1">
      <c r="A3508" t="inlineStr">
        <is>
          <t>A 35706-2026</t>
        </is>
      </c>
      <c r="B3508" t="inlineStr">
        <is>
          <t>avverkningsanmälan</t>
        </is>
      </c>
      <c r="C3508" t="inlineStr">
        <is>
          <t>Föryngringsavverkning</t>
        </is>
      </c>
      <c r="D3508" s="1" t="n">
        <v>46265</v>
      </c>
      <c r="E3508" s="1" t="n">
        <v>46309</v>
      </c>
      <c r="F3508" t="inlineStr">
        <is>
          <t>UPPSALA LÄN</t>
        </is>
      </c>
      <c r="G3508" t="inlineStr">
        <is>
          <t>ENKÖPING</t>
        </is>
      </c>
      <c r="H3508" t="inlineStr">
        <is>
          <t>Övriga statliga verk och myndigheter</t>
        </is>
      </c>
      <c r="I3508" t="n">
        <v>0.9</v>
      </c>
      <c r="J3508" t="n">
        <v>0</v>
      </c>
      <c r="K3508" t="n">
        <v>0</v>
      </c>
      <c r="L3508" t="n">
        <v>0</v>
      </c>
      <c r="M3508" t="n">
        <v>0</v>
      </c>
      <c r="N3508" t="n">
        <v>0</v>
      </c>
      <c r="O3508" t="n">
        <v>0</v>
      </c>
      <c r="P3508" t="n">
        <v>0</v>
      </c>
      <c r="Q3508" t="n">
        <v>0</v>
      </c>
      <c r="R3508" t="n">
        <v>0</v>
      </c>
      <c r="S3508" t="n">
        <v>0</v>
      </c>
      <c r="T3508" t="n">
        <v>0</v>
      </c>
      <c r="U3508" t="n">
        <v>0</v>
      </c>
      <c r="V3508" s="2" t="inlineStr"/>
    </row>
    <row r="3509" ht="15" customHeight="1">
      <c r="A3509" t="inlineStr">
        <is>
          <t>A 42334-2026</t>
        </is>
      </c>
      <c r="B3509" t="inlineStr">
        <is>
          <t>avverkningsanmälan</t>
        </is>
      </c>
      <c r="C3509" t="inlineStr">
        <is>
          <t>Avverkning för annat ändamål</t>
        </is>
      </c>
      <c r="D3509" s="1" t="n">
        <v>46307</v>
      </c>
      <c r="E3509" s="1" t="n">
        <v>46309</v>
      </c>
      <c r="F3509" t="inlineStr">
        <is>
          <t>UPPSALA LÄN</t>
        </is>
      </c>
      <c r="G3509" t="inlineStr">
        <is>
          <t>HEBY</t>
        </is>
      </c>
      <c r="I3509" t="n">
        <v>1.8</v>
      </c>
      <c r="J3509" t="n">
        <v>0</v>
      </c>
      <c r="K3509" t="n">
        <v>0</v>
      </c>
      <c r="L3509" t="n">
        <v>0</v>
      </c>
      <c r="M3509" t="n">
        <v>0</v>
      </c>
      <c r="N3509" t="n">
        <v>0</v>
      </c>
      <c r="O3509" t="n">
        <v>0</v>
      </c>
      <c r="P3509" t="n">
        <v>0</v>
      </c>
      <c r="Q3509" t="n">
        <v>0</v>
      </c>
      <c r="R3509" t="n">
        <v>0</v>
      </c>
      <c r="S3509" t="n">
        <v>0</v>
      </c>
      <c r="T3509" t="n">
        <v>0</v>
      </c>
      <c r="U3509" t="n">
        <v>0</v>
      </c>
      <c r="V3509" s="2" t="inlineStr"/>
    </row>
    <row r="3510" ht="15" customHeight="1">
      <c r="A3510" t="inlineStr">
        <is>
          <t>A 35919-2026</t>
        </is>
      </c>
      <c r="B3510" t="inlineStr">
        <is>
          <t>avverkningsanmälan</t>
        </is>
      </c>
      <c r="C3510" t="inlineStr">
        <is>
          <t>Föryngringsavverkning</t>
        </is>
      </c>
      <c r="D3510" s="1" t="n">
        <v>46266</v>
      </c>
      <c r="E3510" s="1" t="n">
        <v>46309</v>
      </c>
      <c r="F3510" t="inlineStr">
        <is>
          <t>UPPSALA LÄN</t>
        </is>
      </c>
      <c r="G3510" t="inlineStr">
        <is>
          <t>TIERP</t>
        </is>
      </c>
      <c r="I3510" t="n">
        <v>4</v>
      </c>
      <c r="J3510" t="n">
        <v>0</v>
      </c>
      <c r="K3510" t="n">
        <v>0</v>
      </c>
      <c r="L3510" t="n">
        <v>0</v>
      </c>
      <c r="M3510" t="n">
        <v>0</v>
      </c>
      <c r="N3510" t="n">
        <v>0</v>
      </c>
      <c r="O3510" t="n">
        <v>0</v>
      </c>
      <c r="P3510" t="n">
        <v>0</v>
      </c>
      <c r="Q3510" t="n">
        <v>0</v>
      </c>
      <c r="R3510" t="n">
        <v>0</v>
      </c>
      <c r="S3510" t="n">
        <v>0</v>
      </c>
      <c r="T3510" t="n">
        <v>0</v>
      </c>
      <c r="U3510" t="n">
        <v>0</v>
      </c>
      <c r="V3510" s="2" t="inlineStr"/>
    </row>
    <row r="3511" ht="15" customHeight="1">
      <c r="A3511" t="inlineStr">
        <is>
          <t>A 33078-2026</t>
        </is>
      </c>
      <c r="B3511" t="inlineStr">
        <is>
          <t>avverkningsanmälan</t>
        </is>
      </c>
      <c r="C3511" t="inlineStr">
        <is>
          <t>Föryngringsavverkning</t>
        </is>
      </c>
      <c r="D3511" s="1" t="n">
        <v>46245</v>
      </c>
      <c r="E3511" s="1" t="n">
        <v>46309</v>
      </c>
      <c r="F3511" t="inlineStr">
        <is>
          <t>UPPSALA LÄN</t>
        </is>
      </c>
      <c r="G3511" t="inlineStr">
        <is>
          <t>ÖSTHAMMAR</t>
        </is>
      </c>
      <c r="H3511" t="inlineStr">
        <is>
          <t>Övriga Aktiebolag</t>
        </is>
      </c>
      <c r="I3511" t="n">
        <v>1.6</v>
      </c>
      <c r="J3511" t="n">
        <v>0</v>
      </c>
      <c r="K3511" t="n">
        <v>0</v>
      </c>
      <c r="L3511" t="n">
        <v>0</v>
      </c>
      <c r="M3511" t="n">
        <v>0</v>
      </c>
      <c r="N3511" t="n">
        <v>0</v>
      </c>
      <c r="O3511" t="n">
        <v>0</v>
      </c>
      <c r="P3511" t="n">
        <v>0</v>
      </c>
      <c r="Q3511" t="n">
        <v>0</v>
      </c>
      <c r="R3511" t="n">
        <v>0</v>
      </c>
      <c r="S3511" t="n">
        <v>0</v>
      </c>
      <c r="T3511" t="n">
        <v>0</v>
      </c>
      <c r="U3511" t="n">
        <v>0</v>
      </c>
      <c r="V3511" s="2" t="inlineStr"/>
    </row>
    <row r="3512" ht="15" customHeight="1">
      <c r="A3512" t="inlineStr">
        <is>
          <t>A 27558-2026</t>
        </is>
      </c>
      <c r="B3512" t="inlineStr">
        <is>
          <t>avverkningsanmälan</t>
        </is>
      </c>
      <c r="C3512" t="inlineStr">
        <is>
          <t>Föryngringsavverkning</t>
        </is>
      </c>
      <c r="D3512" s="1" t="n">
        <v>46190</v>
      </c>
      <c r="E3512" s="1" t="n">
        <v>46309</v>
      </c>
      <c r="F3512" t="inlineStr">
        <is>
          <t>UPPSALA LÄN</t>
        </is>
      </c>
      <c r="G3512" t="inlineStr">
        <is>
          <t>TIERP</t>
        </is>
      </c>
      <c r="I3512" t="n">
        <v>2</v>
      </c>
      <c r="J3512" t="n">
        <v>0</v>
      </c>
      <c r="K3512" t="n">
        <v>0</v>
      </c>
      <c r="L3512" t="n">
        <v>0</v>
      </c>
      <c r="M3512" t="n">
        <v>0</v>
      </c>
      <c r="N3512" t="n">
        <v>0</v>
      </c>
      <c r="O3512" t="n">
        <v>0</v>
      </c>
      <c r="P3512" t="n">
        <v>0</v>
      </c>
      <c r="Q3512" t="n">
        <v>0</v>
      </c>
      <c r="R3512" t="n">
        <v>0</v>
      </c>
      <c r="S3512" t="n">
        <v>0</v>
      </c>
      <c r="T3512" t="n">
        <v>0</v>
      </c>
      <c r="U3512" t="n">
        <v>0</v>
      </c>
      <c r="V3512" s="2" t="inlineStr"/>
    </row>
    <row r="3513" ht="15" customHeight="1">
      <c r="A3513" t="inlineStr">
        <is>
          <t>A 24807-2026</t>
        </is>
      </c>
      <c r="B3513" t="inlineStr">
        <is>
          <t>avverkningsanmälan</t>
        </is>
      </c>
      <c r="C3513" t="inlineStr">
        <is>
          <t>Föryngringsavverkning</t>
        </is>
      </c>
      <c r="D3513" s="1" t="n">
        <v>46172</v>
      </c>
      <c r="E3513" s="1" t="n">
        <v>46309</v>
      </c>
      <c r="F3513" t="inlineStr">
        <is>
          <t>UPPSALA LÄN</t>
        </is>
      </c>
      <c r="G3513" t="inlineStr">
        <is>
          <t>UPPSALA</t>
        </is>
      </c>
      <c r="H3513" t="inlineStr">
        <is>
          <t>Bergvik skog öst AB</t>
        </is>
      </c>
      <c r="I3513" t="n">
        <v>2.6</v>
      </c>
      <c r="J3513" t="n">
        <v>0</v>
      </c>
      <c r="K3513" t="n">
        <v>0</v>
      </c>
      <c r="L3513" t="n">
        <v>0</v>
      </c>
      <c r="M3513" t="n">
        <v>0</v>
      </c>
      <c r="N3513" t="n">
        <v>0</v>
      </c>
      <c r="O3513" t="n">
        <v>0</v>
      </c>
      <c r="P3513" t="n">
        <v>0</v>
      </c>
      <c r="Q3513" t="n">
        <v>0</v>
      </c>
      <c r="R3513" t="n">
        <v>0</v>
      </c>
      <c r="S3513" t="n">
        <v>0</v>
      </c>
      <c r="T3513" t="n">
        <v>0</v>
      </c>
      <c r="U3513" t="n">
        <v>0</v>
      </c>
      <c r="V3513" s="2" t="inlineStr"/>
    </row>
    <row r="3514" ht="15" customHeight="1">
      <c r="A3514" t="inlineStr">
        <is>
          <t>A 35717-2026</t>
        </is>
      </c>
      <c r="B3514" t="inlineStr">
        <is>
          <t>avverkningsanmälan</t>
        </is>
      </c>
      <c r="C3514" t="inlineStr">
        <is>
          <t>Föryngringsavverkning</t>
        </is>
      </c>
      <c r="D3514" s="1" t="n">
        <v>46265</v>
      </c>
      <c r="E3514" s="1" t="n">
        <v>46309</v>
      </c>
      <c r="F3514" t="inlineStr">
        <is>
          <t>UPPSALA LÄN</t>
        </is>
      </c>
      <c r="G3514" t="inlineStr">
        <is>
          <t>UPPSALA</t>
        </is>
      </c>
      <c r="H3514" t="inlineStr">
        <is>
          <t>Övriga statliga verk och myndigheter</t>
        </is>
      </c>
      <c r="I3514" t="n">
        <v>1.5</v>
      </c>
      <c r="J3514" t="n">
        <v>0</v>
      </c>
      <c r="K3514" t="n">
        <v>0</v>
      </c>
      <c r="L3514" t="n">
        <v>0</v>
      </c>
      <c r="M3514" t="n">
        <v>0</v>
      </c>
      <c r="N3514" t="n">
        <v>0</v>
      </c>
      <c r="O3514" t="n">
        <v>0</v>
      </c>
      <c r="P3514" t="n">
        <v>0</v>
      </c>
      <c r="Q3514" t="n">
        <v>0</v>
      </c>
      <c r="R3514" t="n">
        <v>0</v>
      </c>
      <c r="S3514" t="n">
        <v>0</v>
      </c>
      <c r="T3514" t="n">
        <v>0</v>
      </c>
      <c r="U3514" t="n">
        <v>0</v>
      </c>
      <c r="V3514" s="2" t="inlineStr"/>
    </row>
    <row r="3515" ht="15" customHeight="1">
      <c r="A3515" t="inlineStr">
        <is>
          <t>A 35954-2026</t>
        </is>
      </c>
      <c r="B3515" t="inlineStr">
        <is>
          <t>avverkningsanmälan</t>
        </is>
      </c>
      <c r="C3515" t="inlineStr">
        <is>
          <t>Föryngringsavverkning</t>
        </is>
      </c>
      <c r="D3515" s="1" t="n">
        <v>46266</v>
      </c>
      <c r="E3515" s="1" t="n">
        <v>46309</v>
      </c>
      <c r="F3515" t="inlineStr">
        <is>
          <t>UPPSALA LÄN</t>
        </is>
      </c>
      <c r="G3515" t="inlineStr">
        <is>
          <t>ENKÖPING</t>
        </is>
      </c>
      <c r="I3515" t="n">
        <v>2.6</v>
      </c>
      <c r="J3515" t="n">
        <v>0</v>
      </c>
      <c r="K3515" t="n">
        <v>0</v>
      </c>
      <c r="L3515" t="n">
        <v>0</v>
      </c>
      <c r="M3515" t="n">
        <v>0</v>
      </c>
      <c r="N3515" t="n">
        <v>0</v>
      </c>
      <c r="O3515" t="n">
        <v>0</v>
      </c>
      <c r="P3515" t="n">
        <v>0</v>
      </c>
      <c r="Q3515" t="n">
        <v>0</v>
      </c>
      <c r="R3515" t="n">
        <v>0</v>
      </c>
      <c r="S3515" t="n">
        <v>0</v>
      </c>
      <c r="T3515" t="n">
        <v>0</v>
      </c>
      <c r="U3515" t="n">
        <v>0</v>
      </c>
      <c r="V3515" s="2" t="inlineStr"/>
    </row>
    <row r="3516" ht="15" customHeight="1">
      <c r="A3516" t="inlineStr">
        <is>
          <t>A 35935-2026</t>
        </is>
      </c>
      <c r="B3516" t="inlineStr">
        <is>
          <t>avverkningsanmälan</t>
        </is>
      </c>
      <c r="C3516" t="inlineStr">
        <is>
          <t>Föryngringsavverkning</t>
        </is>
      </c>
      <c r="D3516" s="1" t="n">
        <v>46266</v>
      </c>
      <c r="E3516" s="1" t="n">
        <v>46309</v>
      </c>
      <c r="F3516" t="inlineStr">
        <is>
          <t>UPPSALA LÄN</t>
        </is>
      </c>
      <c r="G3516" t="inlineStr">
        <is>
          <t>TIERP</t>
        </is>
      </c>
      <c r="I3516" t="n">
        <v>5.6</v>
      </c>
      <c r="J3516" t="n">
        <v>0</v>
      </c>
      <c r="K3516" t="n">
        <v>0</v>
      </c>
      <c r="L3516" t="n">
        <v>0</v>
      </c>
      <c r="M3516" t="n">
        <v>0</v>
      </c>
      <c r="N3516" t="n">
        <v>0</v>
      </c>
      <c r="O3516" t="n">
        <v>0</v>
      </c>
      <c r="P3516" t="n">
        <v>0</v>
      </c>
      <c r="Q3516" t="n">
        <v>0</v>
      </c>
      <c r="R3516" t="n">
        <v>0</v>
      </c>
      <c r="S3516" t="n">
        <v>0</v>
      </c>
      <c r="T3516" t="n">
        <v>0</v>
      </c>
      <c r="U3516" t="n">
        <v>0</v>
      </c>
      <c r="V3516" s="2" t="inlineStr"/>
    </row>
    <row r="3517" ht="15" customHeight="1">
      <c r="A3517" t="inlineStr">
        <is>
          <t>A 4134-2026</t>
        </is>
      </c>
      <c r="B3517" t="inlineStr">
        <is>
          <t>avverkningsanmälan</t>
        </is>
      </c>
      <c r="C3517" t="inlineStr">
        <is>
          <t>Föryngringsavverkning</t>
        </is>
      </c>
      <c r="D3517" s="1" t="n">
        <v>46044</v>
      </c>
      <c r="E3517" s="1" t="n">
        <v>46309</v>
      </c>
      <c r="F3517" t="inlineStr">
        <is>
          <t>UPPSALA LÄN</t>
        </is>
      </c>
      <c r="G3517" t="inlineStr">
        <is>
          <t>ÄLVKARLEBY</t>
        </is>
      </c>
      <c r="H3517" t="inlineStr">
        <is>
          <t>Bergvik skog öst AB</t>
        </is>
      </c>
      <c r="I3517" t="n">
        <v>5.1</v>
      </c>
      <c r="J3517" t="n">
        <v>0</v>
      </c>
      <c r="K3517" t="n">
        <v>0</v>
      </c>
      <c r="L3517" t="n">
        <v>0</v>
      </c>
      <c r="M3517" t="n">
        <v>0</v>
      </c>
      <c r="N3517" t="n">
        <v>0</v>
      </c>
      <c r="O3517" t="n">
        <v>0</v>
      </c>
      <c r="P3517" t="n">
        <v>0</v>
      </c>
      <c r="Q3517" t="n">
        <v>0</v>
      </c>
      <c r="R3517" t="n">
        <v>0</v>
      </c>
      <c r="S3517" t="n">
        <v>0</v>
      </c>
      <c r="T3517" t="n">
        <v>0</v>
      </c>
      <c r="U3517" t="n">
        <v>0</v>
      </c>
      <c r="V3517" s="2" t="inlineStr"/>
    </row>
    <row r="3518" ht="15" customHeight="1">
      <c r="A3518" t="inlineStr">
        <is>
          <t>A 35724-2026</t>
        </is>
      </c>
      <c r="B3518" t="inlineStr">
        <is>
          <t>avverkningsanmälan</t>
        </is>
      </c>
      <c r="C3518" t="inlineStr">
        <is>
          <t>Föryngringsavverkning</t>
        </is>
      </c>
      <c r="D3518" s="1" t="n">
        <v>46265</v>
      </c>
      <c r="E3518" s="1" t="n">
        <v>46309</v>
      </c>
      <c r="F3518" t="inlineStr">
        <is>
          <t>UPPSALA LÄN</t>
        </is>
      </c>
      <c r="G3518" t="inlineStr">
        <is>
          <t>TIERP</t>
        </is>
      </c>
      <c r="H3518" t="inlineStr">
        <is>
          <t>Bergvik skog öst AB</t>
        </is>
      </c>
      <c r="I3518" t="n">
        <v>5.4</v>
      </c>
      <c r="J3518" t="n">
        <v>0</v>
      </c>
      <c r="K3518" t="n">
        <v>0</v>
      </c>
      <c r="L3518" t="n">
        <v>0</v>
      </c>
      <c r="M3518" t="n">
        <v>0</v>
      </c>
      <c r="N3518" t="n">
        <v>0</v>
      </c>
      <c r="O3518" t="n">
        <v>0</v>
      </c>
      <c r="P3518" t="n">
        <v>0</v>
      </c>
      <c r="Q3518" t="n">
        <v>0</v>
      </c>
      <c r="R3518" t="n">
        <v>0</v>
      </c>
      <c r="S3518" t="n">
        <v>0</v>
      </c>
      <c r="T3518" t="n">
        <v>0</v>
      </c>
      <c r="U3518" t="n">
        <v>0</v>
      </c>
      <c r="V3518" s="2" t="inlineStr"/>
    </row>
    <row r="3519" ht="15" customHeight="1">
      <c r="A3519" t="inlineStr">
        <is>
          <t>A 42321-2026</t>
        </is>
      </c>
      <c r="B3519" t="inlineStr">
        <is>
          <t>avverkningsanmälan</t>
        </is>
      </c>
      <c r="C3519" t="inlineStr">
        <is>
          <t>Föryngringsavverkning</t>
        </is>
      </c>
      <c r="D3519" s="1" t="n">
        <v>46307</v>
      </c>
      <c r="E3519" s="1" t="n">
        <v>46309</v>
      </c>
      <c r="F3519" t="inlineStr">
        <is>
          <t>UPPSALA LÄN</t>
        </is>
      </c>
      <c r="G3519" t="inlineStr">
        <is>
          <t>ENKÖPING</t>
        </is>
      </c>
      <c r="I3519" t="n">
        <v>1.2</v>
      </c>
      <c r="J3519" t="n">
        <v>0</v>
      </c>
      <c r="K3519" t="n">
        <v>0</v>
      </c>
      <c r="L3519" t="n">
        <v>0</v>
      </c>
      <c r="M3519" t="n">
        <v>0</v>
      </c>
      <c r="N3519" t="n">
        <v>0</v>
      </c>
      <c r="O3519" t="n">
        <v>0</v>
      </c>
      <c r="P3519" t="n">
        <v>0</v>
      </c>
      <c r="Q3519" t="n">
        <v>0</v>
      </c>
      <c r="R3519" t="n">
        <v>0</v>
      </c>
      <c r="S3519" t="n">
        <v>0</v>
      </c>
      <c r="T3519" t="n">
        <v>0</v>
      </c>
      <c r="U3519" t="n">
        <v>0</v>
      </c>
      <c r="V3519" s="2" t="inlineStr"/>
    </row>
    <row r="3520" ht="15" customHeight="1">
      <c r="A3520" t="inlineStr">
        <is>
          <t>A 31336-2026</t>
        </is>
      </c>
      <c r="B3520" t="inlineStr">
        <is>
          <t>avverkningsanmälan</t>
        </is>
      </c>
      <c r="C3520" t="inlineStr">
        <is>
          <t>Föryngringsavverkning</t>
        </is>
      </c>
      <c r="D3520" s="1" t="n">
        <v>46219</v>
      </c>
      <c r="E3520" s="1" t="n">
        <v>46309</v>
      </c>
      <c r="F3520" t="inlineStr">
        <is>
          <t>UPPSALA LÄN</t>
        </is>
      </c>
      <c r="G3520" t="inlineStr">
        <is>
          <t>ÖSTHAMMAR</t>
        </is>
      </c>
      <c r="I3520" t="n">
        <v>2.3</v>
      </c>
      <c r="J3520" t="n">
        <v>0</v>
      </c>
      <c r="K3520" t="n">
        <v>0</v>
      </c>
      <c r="L3520" t="n">
        <v>0</v>
      </c>
      <c r="M3520" t="n">
        <v>0</v>
      </c>
      <c r="N3520" t="n">
        <v>0</v>
      </c>
      <c r="O3520" t="n">
        <v>0</v>
      </c>
      <c r="P3520" t="n">
        <v>0</v>
      </c>
      <c r="Q3520" t="n">
        <v>0</v>
      </c>
      <c r="R3520" t="n">
        <v>0</v>
      </c>
      <c r="S3520" t="n">
        <v>0</v>
      </c>
      <c r="T3520" t="n">
        <v>0</v>
      </c>
      <c r="U3520" t="n">
        <v>0</v>
      </c>
      <c r="V3520" s="2" t="inlineStr"/>
    </row>
    <row r="3521" ht="15" customHeight="1">
      <c r="A3521" t="inlineStr">
        <is>
          <t>A 35794-2026</t>
        </is>
      </c>
      <c r="B3521" t="inlineStr">
        <is>
          <t>avverkningsanmälan</t>
        </is>
      </c>
      <c r="C3521" t="inlineStr">
        <is>
          <t>Föryngringsavverkning</t>
        </is>
      </c>
      <c r="D3521" s="1" t="n">
        <v>46265</v>
      </c>
      <c r="E3521" s="1" t="n">
        <v>46309</v>
      </c>
      <c r="F3521" t="inlineStr">
        <is>
          <t>UPPSALA LÄN</t>
        </is>
      </c>
      <c r="G3521" t="inlineStr">
        <is>
          <t>TIERP</t>
        </is>
      </c>
      <c r="I3521" t="n">
        <v>1.4</v>
      </c>
      <c r="J3521" t="n">
        <v>0</v>
      </c>
      <c r="K3521" t="n">
        <v>0</v>
      </c>
      <c r="L3521" t="n">
        <v>0</v>
      </c>
      <c r="M3521" t="n">
        <v>0</v>
      </c>
      <c r="N3521" t="n">
        <v>0</v>
      </c>
      <c r="O3521" t="n">
        <v>0</v>
      </c>
      <c r="P3521" t="n">
        <v>0</v>
      </c>
      <c r="Q3521" t="n">
        <v>0</v>
      </c>
      <c r="R3521" t="n">
        <v>0</v>
      </c>
      <c r="S3521" t="n">
        <v>0</v>
      </c>
      <c r="T3521" t="n">
        <v>0</v>
      </c>
      <c r="U3521" t="n">
        <v>0</v>
      </c>
      <c r="V3521" s="2" t="inlineStr"/>
    </row>
    <row r="3522" ht="15" customHeight="1">
      <c r="A3522" t="inlineStr">
        <is>
          <t>A 42240-2026</t>
        </is>
      </c>
      <c r="B3522" t="inlineStr">
        <is>
          <t>avverkningsanmälan</t>
        </is>
      </c>
      <c r="C3522" t="inlineStr">
        <is>
          <t>Föryngringsavverkning</t>
        </is>
      </c>
      <c r="D3522" s="1" t="n">
        <v>46307</v>
      </c>
      <c r="E3522" s="1" t="n">
        <v>46309</v>
      </c>
      <c r="F3522" t="inlineStr">
        <is>
          <t>UPPSALA LÄN</t>
        </is>
      </c>
      <c r="G3522" t="inlineStr">
        <is>
          <t>HEBY</t>
        </is>
      </c>
      <c r="I3522" t="n">
        <v>1.1</v>
      </c>
      <c r="J3522" t="n">
        <v>0</v>
      </c>
      <c r="K3522" t="n">
        <v>0</v>
      </c>
      <c r="L3522" t="n">
        <v>0</v>
      </c>
      <c r="M3522" t="n">
        <v>0</v>
      </c>
      <c r="N3522" t="n">
        <v>0</v>
      </c>
      <c r="O3522" t="n">
        <v>0</v>
      </c>
      <c r="P3522" t="n">
        <v>0</v>
      </c>
      <c r="Q3522" t="n">
        <v>0</v>
      </c>
      <c r="R3522" t="n">
        <v>0</v>
      </c>
      <c r="S3522" t="n">
        <v>0</v>
      </c>
      <c r="T3522" t="n">
        <v>0</v>
      </c>
      <c r="U3522" t="n">
        <v>0</v>
      </c>
      <c r="V3522" s="2" t="inlineStr"/>
    </row>
    <row r="3523" ht="15" customHeight="1">
      <c r="A3523" t="inlineStr">
        <is>
          <t>A 35517-2026</t>
        </is>
      </c>
      <c r="B3523" t="inlineStr">
        <is>
          <t>avverkningsanmälan</t>
        </is>
      </c>
      <c r="C3523" t="inlineStr">
        <is>
          <t>Föryngringsavverkning</t>
        </is>
      </c>
      <c r="D3523" s="1" t="n">
        <v>46262</v>
      </c>
      <c r="E3523" s="1" t="n">
        <v>46309</v>
      </c>
      <c r="F3523" t="inlineStr">
        <is>
          <t>UPPSALA LÄN</t>
        </is>
      </c>
      <c r="G3523" t="inlineStr">
        <is>
          <t>ÖSTHAMMAR</t>
        </is>
      </c>
      <c r="H3523" t="inlineStr">
        <is>
          <t>Bergvik skog öst AB</t>
        </is>
      </c>
      <c r="I3523" t="n">
        <v>9.5</v>
      </c>
      <c r="J3523" t="n">
        <v>0</v>
      </c>
      <c r="K3523" t="n">
        <v>0</v>
      </c>
      <c r="L3523" t="n">
        <v>0</v>
      </c>
      <c r="M3523" t="n">
        <v>0</v>
      </c>
      <c r="N3523" t="n">
        <v>0</v>
      </c>
      <c r="O3523" t="n">
        <v>0</v>
      </c>
      <c r="P3523" t="n">
        <v>0</v>
      </c>
      <c r="Q3523" t="n">
        <v>0</v>
      </c>
      <c r="R3523" t="n">
        <v>0</v>
      </c>
      <c r="S3523" t="n">
        <v>0</v>
      </c>
      <c r="T3523" t="n">
        <v>0</v>
      </c>
      <c r="U3523" t="n">
        <v>0</v>
      </c>
      <c r="V3523" s="2" t="inlineStr"/>
    </row>
    <row r="3524" ht="15" customHeight="1">
      <c r="A3524" t="inlineStr">
        <is>
          <t>A 27490-2025</t>
        </is>
      </c>
      <c r="B3524" t="inlineStr">
        <is>
          <t>avverkningsanmälan</t>
        </is>
      </c>
      <c r="C3524" t="inlineStr">
        <is>
          <t>Föryngringsavverkning</t>
        </is>
      </c>
      <c r="D3524" s="1" t="n">
        <v>45813</v>
      </c>
      <c r="E3524" s="1" t="n">
        <v>46309</v>
      </c>
      <c r="F3524" t="inlineStr">
        <is>
          <t>UPPSALA LÄN</t>
        </is>
      </c>
      <c r="G3524" t="inlineStr">
        <is>
          <t>ÖSTHAMMAR</t>
        </is>
      </c>
      <c r="H3524" t="inlineStr">
        <is>
          <t>Bergvik skog öst AB</t>
        </is>
      </c>
      <c r="I3524" t="n">
        <v>6.1</v>
      </c>
      <c r="J3524" t="n">
        <v>0</v>
      </c>
      <c r="K3524" t="n">
        <v>0</v>
      </c>
      <c r="L3524" t="n">
        <v>0</v>
      </c>
      <c r="M3524" t="n">
        <v>0</v>
      </c>
      <c r="N3524" t="n">
        <v>0</v>
      </c>
      <c r="O3524" t="n">
        <v>0</v>
      </c>
      <c r="P3524" t="n">
        <v>0</v>
      </c>
      <c r="Q3524" t="n">
        <v>0</v>
      </c>
      <c r="R3524" t="n">
        <v>0</v>
      </c>
      <c r="S3524" t="n">
        <v>0</v>
      </c>
      <c r="T3524" t="n">
        <v>0</v>
      </c>
      <c r="U3524" t="n">
        <v>0</v>
      </c>
      <c r="V3524" s="2" t="inlineStr"/>
    </row>
    <row r="3525" ht="15" customHeight="1">
      <c r="A3525" t="inlineStr">
        <is>
          <t>A 35773-2026</t>
        </is>
      </c>
      <c r="B3525" t="inlineStr">
        <is>
          <t>avverkningsanmälan</t>
        </is>
      </c>
      <c r="C3525" t="inlineStr">
        <is>
          <t>Föryngringsavverkning</t>
        </is>
      </c>
      <c r="D3525" s="1" t="n">
        <v>46265</v>
      </c>
      <c r="E3525" s="1" t="n">
        <v>46309</v>
      </c>
      <c r="F3525" t="inlineStr">
        <is>
          <t>UPPSALA LÄN</t>
        </is>
      </c>
      <c r="G3525" t="inlineStr">
        <is>
          <t>HEBY</t>
        </is>
      </c>
      <c r="I3525" t="n">
        <v>1.5</v>
      </c>
      <c r="J3525" t="n">
        <v>0</v>
      </c>
      <c r="K3525" t="n">
        <v>0</v>
      </c>
      <c r="L3525" t="n">
        <v>0</v>
      </c>
      <c r="M3525" t="n">
        <v>0</v>
      </c>
      <c r="N3525" t="n">
        <v>0</v>
      </c>
      <c r="O3525" t="n">
        <v>0</v>
      </c>
      <c r="P3525" t="n">
        <v>0</v>
      </c>
      <c r="Q3525" t="n">
        <v>0</v>
      </c>
      <c r="R3525" t="n">
        <v>0</v>
      </c>
      <c r="S3525" t="n">
        <v>0</v>
      </c>
      <c r="T3525" t="n">
        <v>0</v>
      </c>
      <c r="U3525" t="n">
        <v>0</v>
      </c>
      <c r="V3525" s="2" t="inlineStr"/>
    </row>
    <row r="3526" ht="15" customHeight="1">
      <c r="A3526" t="inlineStr">
        <is>
          <t>A 35949-2026</t>
        </is>
      </c>
      <c r="B3526" t="inlineStr">
        <is>
          <t>avverkningsanmälan</t>
        </is>
      </c>
      <c r="C3526" t="inlineStr">
        <is>
          <t>Avverkning för annat ändamål</t>
        </is>
      </c>
      <c r="D3526" s="1" t="n">
        <v>46266</v>
      </c>
      <c r="E3526" s="1" t="n">
        <v>46309</v>
      </c>
      <c r="F3526" t="inlineStr">
        <is>
          <t>UPPSALA LÄN</t>
        </is>
      </c>
      <c r="G3526" t="inlineStr">
        <is>
          <t>ÖSTHAMMAR</t>
        </is>
      </c>
      <c r="I3526" t="n">
        <v>0.2</v>
      </c>
      <c r="J3526" t="n">
        <v>0</v>
      </c>
      <c r="K3526" t="n">
        <v>0</v>
      </c>
      <c r="L3526" t="n">
        <v>0</v>
      </c>
      <c r="M3526" t="n">
        <v>0</v>
      </c>
      <c r="N3526" t="n">
        <v>0</v>
      </c>
      <c r="O3526" t="n">
        <v>0</v>
      </c>
      <c r="P3526" t="n">
        <v>0</v>
      </c>
      <c r="Q3526" t="n">
        <v>0</v>
      </c>
      <c r="R3526" t="n">
        <v>0</v>
      </c>
      <c r="S3526" t="n">
        <v>0</v>
      </c>
      <c r="T3526" t="n">
        <v>0</v>
      </c>
      <c r="U3526" t="n">
        <v>0</v>
      </c>
      <c r="V3526" s="2" t="inlineStr"/>
    </row>
    <row r="3527" ht="15" customHeight="1">
      <c r="A3527" t="inlineStr">
        <is>
          <t>S 5780-2021</t>
        </is>
      </c>
      <c r="B3527" t="inlineStr">
        <is>
          <t>samrådsanmälan</t>
        </is>
      </c>
      <c r="C3527" t="inlineStr">
        <is>
          <t>Basväg</t>
        </is>
      </c>
      <c r="D3527" s="1" t="n">
        <v>44438</v>
      </c>
      <c r="E3527" s="1" t="n">
        <v>46309</v>
      </c>
      <c r="F3527" t="inlineStr">
        <is>
          <t>UPPSALA LÄN</t>
        </is>
      </c>
      <c r="G3527" t="inlineStr">
        <is>
          <t>ENKÖPING</t>
        </is>
      </c>
      <c r="I3527" t="n">
        <v>0.2</v>
      </c>
      <c r="J3527" t="n">
        <v>0</v>
      </c>
      <c r="K3527" t="n">
        <v>0</v>
      </c>
      <c r="L3527" t="n">
        <v>0</v>
      </c>
      <c r="M3527" t="n">
        <v>0</v>
      </c>
      <c r="N3527" t="n">
        <v>0</v>
      </c>
      <c r="O3527" t="n">
        <v>0</v>
      </c>
      <c r="P3527" t="n">
        <v>0</v>
      </c>
      <c r="Q3527" t="n">
        <v>0</v>
      </c>
      <c r="R3527" t="n">
        <v>0</v>
      </c>
      <c r="S3527" t="n">
        <v>0</v>
      </c>
      <c r="T3527" t="n">
        <v>0</v>
      </c>
      <c r="U3527" t="n">
        <v>0</v>
      </c>
      <c r="V3527" s="2" t="inlineStr"/>
    </row>
    <row r="3528" ht="15" customHeight="1">
      <c r="A3528" t="inlineStr">
        <is>
          <t>S 1334-2022</t>
        </is>
      </c>
      <c r="B3528" t="inlineStr">
        <is>
          <t>samrådsanmälan</t>
        </is>
      </c>
      <c r="C3528" t="inlineStr">
        <is>
          <t>Skogsgödsling</t>
        </is>
      </c>
      <c r="D3528" s="1" t="n">
        <v>44629</v>
      </c>
      <c r="E3528" s="1" t="n">
        <v>46309</v>
      </c>
      <c r="F3528" t="inlineStr">
        <is>
          <t>UPPSALA LÄN</t>
        </is>
      </c>
      <c r="G3528" t="inlineStr">
        <is>
          <t>HEBY</t>
        </is>
      </c>
      <c r="I3528" t="n">
        <v>6.9</v>
      </c>
      <c r="J3528" t="n">
        <v>0</v>
      </c>
      <c r="K3528" t="n">
        <v>0</v>
      </c>
      <c r="L3528" t="n">
        <v>0</v>
      </c>
      <c r="M3528" t="n">
        <v>0</v>
      </c>
      <c r="N3528" t="n">
        <v>0</v>
      </c>
      <c r="O3528" t="n">
        <v>0</v>
      </c>
      <c r="P3528" t="n">
        <v>0</v>
      </c>
      <c r="Q3528" t="n">
        <v>0</v>
      </c>
      <c r="R3528" t="n">
        <v>0</v>
      </c>
      <c r="S3528" t="n">
        <v>0</v>
      </c>
      <c r="T3528" t="n">
        <v>0</v>
      </c>
      <c r="U3528" t="n">
        <v>0</v>
      </c>
      <c r="V3528" s="2" t="inlineStr"/>
    </row>
    <row r="3529" ht="15" customHeight="1">
      <c r="A3529" t="inlineStr">
        <is>
          <t>S 778-2022</t>
        </is>
      </c>
      <c r="B3529" t="inlineStr">
        <is>
          <t>samrådsanmälan</t>
        </is>
      </c>
      <c r="C3529" t="inlineStr">
        <is>
          <t>Annan skogsbruksåtgärd</t>
        </is>
      </c>
      <c r="D3529" s="1" t="n">
        <v>44602</v>
      </c>
      <c r="E3529" s="1" t="n">
        <v>46309</v>
      </c>
      <c r="F3529" t="inlineStr">
        <is>
          <t>UPPSALA LÄN</t>
        </is>
      </c>
      <c r="G3529" t="inlineStr">
        <is>
          <t>UPPSALA</t>
        </is>
      </c>
      <c r="H3529" t="inlineStr">
        <is>
          <t>Övriga Aktiebolag</t>
        </is>
      </c>
      <c r="I3529" t="n">
        <v>4.7</v>
      </c>
      <c r="J3529" t="n">
        <v>0</v>
      </c>
      <c r="K3529" t="n">
        <v>0</v>
      </c>
      <c r="L3529" t="n">
        <v>0</v>
      </c>
      <c r="M3529" t="n">
        <v>0</v>
      </c>
      <c r="N3529" t="n">
        <v>0</v>
      </c>
      <c r="O3529" t="n">
        <v>0</v>
      </c>
      <c r="P3529" t="n">
        <v>0</v>
      </c>
      <c r="Q3529" t="n">
        <v>0</v>
      </c>
      <c r="R3529" t="n">
        <v>0</v>
      </c>
      <c r="S3529" t="n">
        <v>0</v>
      </c>
      <c r="T3529" t="n">
        <v>0</v>
      </c>
      <c r="U3529" t="n">
        <v>0</v>
      </c>
      <c r="V3529" s="2" t="inlineStr"/>
    </row>
    <row r="3530" ht="15" customHeight="1">
      <c r="A3530" t="inlineStr">
        <is>
          <t>S 10324-2021</t>
        </is>
      </c>
      <c r="B3530" t="inlineStr">
        <is>
          <t>samrådsanmälan</t>
        </is>
      </c>
      <c r="C3530" t="inlineStr">
        <is>
          <t>Annan skogsbruksåtgärd</t>
        </is>
      </c>
      <c r="D3530" s="1" t="n">
        <v>44546</v>
      </c>
      <c r="E3530" s="1" t="n">
        <v>46309</v>
      </c>
      <c r="F3530" t="inlineStr">
        <is>
          <t>UPPSALA LÄN</t>
        </is>
      </c>
      <c r="G3530" t="inlineStr">
        <is>
          <t>HEBY</t>
        </is>
      </c>
      <c r="H3530" t="inlineStr">
        <is>
          <t>Bergvik skog väst AB</t>
        </is>
      </c>
      <c r="I3530" t="n">
        <v>7</v>
      </c>
      <c r="J3530" t="n">
        <v>0</v>
      </c>
      <c r="K3530" t="n">
        <v>0</v>
      </c>
      <c r="L3530" t="n">
        <v>0</v>
      </c>
      <c r="M3530" t="n">
        <v>0</v>
      </c>
      <c r="N3530" t="n">
        <v>0</v>
      </c>
      <c r="O3530" t="n">
        <v>0</v>
      </c>
      <c r="P3530" t="n">
        <v>0</v>
      </c>
      <c r="Q3530" t="n">
        <v>0</v>
      </c>
      <c r="R3530" t="n">
        <v>0</v>
      </c>
      <c r="S3530" t="n">
        <v>0</v>
      </c>
      <c r="T3530" t="n">
        <v>0</v>
      </c>
      <c r="U3530" t="n">
        <v>0</v>
      </c>
      <c r="V3530" s="2" t="inlineStr"/>
    </row>
    <row r="3531" ht="15" customHeight="1">
      <c r="A3531" t="inlineStr">
        <is>
          <t>S 876-2022</t>
        </is>
      </c>
      <c r="B3531" t="inlineStr">
        <is>
          <t>samrådsanmälan</t>
        </is>
      </c>
      <c r="C3531" t="inlineStr">
        <is>
          <t>Annan skogsbruksåtgärd</t>
        </is>
      </c>
      <c r="D3531" s="1" t="n">
        <v>44606</v>
      </c>
      <c r="E3531" s="1" t="n">
        <v>46309</v>
      </c>
      <c r="F3531" t="inlineStr">
        <is>
          <t>UPPSALA LÄN</t>
        </is>
      </c>
      <c r="G3531" t="inlineStr">
        <is>
          <t>UPPSALA</t>
        </is>
      </c>
      <c r="H3531" t="inlineStr">
        <is>
          <t>Övriga Aktiebolag</t>
        </is>
      </c>
      <c r="I3531" t="n">
        <v>3.8</v>
      </c>
      <c r="J3531" t="n">
        <v>0</v>
      </c>
      <c r="K3531" t="n">
        <v>0</v>
      </c>
      <c r="L3531" t="n">
        <v>0</v>
      </c>
      <c r="M3531" t="n">
        <v>0</v>
      </c>
      <c r="N3531" t="n">
        <v>0</v>
      </c>
      <c r="O3531" t="n">
        <v>0</v>
      </c>
      <c r="P3531" t="n">
        <v>0</v>
      </c>
      <c r="Q3531" t="n">
        <v>0</v>
      </c>
      <c r="R3531" t="n">
        <v>0</v>
      </c>
      <c r="S3531" t="n">
        <v>0</v>
      </c>
      <c r="T3531" t="n">
        <v>0</v>
      </c>
      <c r="U3531" t="n">
        <v>0</v>
      </c>
      <c r="V3531" s="2" t="inlineStr"/>
    </row>
    <row r="3532" ht="15" customHeight="1">
      <c r="A3532" t="inlineStr">
        <is>
          <t>S 517-2022</t>
        </is>
      </c>
      <c r="B3532" t="inlineStr">
        <is>
          <t>samrådsanmälan</t>
        </is>
      </c>
      <c r="C3532" t="inlineStr">
        <is>
          <t>Skogsgödsling</t>
        </is>
      </c>
      <c r="D3532" s="1" t="n">
        <v>44588</v>
      </c>
      <c r="E3532" s="1" t="n">
        <v>46309</v>
      </c>
      <c r="F3532" t="inlineStr">
        <is>
          <t>UPPSALA LÄN</t>
        </is>
      </c>
      <c r="G3532" t="inlineStr">
        <is>
          <t>HEBY</t>
        </is>
      </c>
      <c r="H3532" t="inlineStr">
        <is>
          <t>Bergvik skog öst AB</t>
        </is>
      </c>
      <c r="I3532" t="n">
        <v>30</v>
      </c>
      <c r="J3532" t="n">
        <v>0</v>
      </c>
      <c r="K3532" t="n">
        <v>0</v>
      </c>
      <c r="L3532" t="n">
        <v>0</v>
      </c>
      <c r="M3532" t="n">
        <v>0</v>
      </c>
      <c r="N3532" t="n">
        <v>0</v>
      </c>
      <c r="O3532" t="n">
        <v>0</v>
      </c>
      <c r="P3532" t="n">
        <v>0</v>
      </c>
      <c r="Q3532" t="n">
        <v>0</v>
      </c>
      <c r="R3532" t="n">
        <v>0</v>
      </c>
      <c r="S3532" t="n">
        <v>0</v>
      </c>
      <c r="T3532" t="n">
        <v>0</v>
      </c>
      <c r="U3532" t="n">
        <v>0</v>
      </c>
      <c r="V3532" s="2" t="inlineStr"/>
    </row>
    <row r="3533" ht="15" customHeight="1">
      <c r="A3533" t="inlineStr">
        <is>
          <t>S 1411-2022</t>
        </is>
      </c>
      <c r="B3533" t="inlineStr">
        <is>
          <t>samrådsanmälan</t>
        </is>
      </c>
      <c r="C3533" t="inlineStr">
        <is>
          <t>Annan skogsbruksåtgärd</t>
        </is>
      </c>
      <c r="D3533" s="1" t="n">
        <v>44634</v>
      </c>
      <c r="E3533" s="1" t="n">
        <v>46309</v>
      </c>
      <c r="F3533" t="inlineStr">
        <is>
          <t>UPPSALA LÄN</t>
        </is>
      </c>
      <c r="G3533" t="inlineStr">
        <is>
          <t>KNIVSTA</t>
        </is>
      </c>
      <c r="I3533" t="n">
        <v>2</v>
      </c>
      <c r="J3533" t="n">
        <v>0</v>
      </c>
      <c r="K3533" t="n">
        <v>0</v>
      </c>
      <c r="L3533" t="n">
        <v>0</v>
      </c>
      <c r="M3533" t="n">
        <v>0</v>
      </c>
      <c r="N3533" t="n">
        <v>0</v>
      </c>
      <c r="O3533" t="n">
        <v>0</v>
      </c>
      <c r="P3533" t="n">
        <v>0</v>
      </c>
      <c r="Q3533" t="n">
        <v>0</v>
      </c>
      <c r="R3533" t="n">
        <v>0</v>
      </c>
      <c r="S3533" t="n">
        <v>0</v>
      </c>
      <c r="T3533" t="n">
        <v>0</v>
      </c>
      <c r="U3533" t="n">
        <v>0</v>
      </c>
      <c r="V3533" s="2" t="inlineStr"/>
    </row>
    <row r="3534" ht="15" customHeight="1">
      <c r="A3534" t="inlineStr">
        <is>
          <t>S 2310-2022</t>
        </is>
      </c>
      <c r="B3534" t="inlineStr">
        <is>
          <t>samrådsanmälan</t>
        </is>
      </c>
      <c r="C3534" t="inlineStr">
        <is>
          <t>Annan skogsbruksåtgärd</t>
        </is>
      </c>
      <c r="D3534" s="1" t="n">
        <v>44684</v>
      </c>
      <c r="E3534" s="1" t="n">
        <v>46309</v>
      </c>
      <c r="F3534" t="inlineStr">
        <is>
          <t>UPPSALA LÄN</t>
        </is>
      </c>
      <c r="G3534" t="inlineStr">
        <is>
          <t>HEBY</t>
        </is>
      </c>
      <c r="I3534" t="n">
        <v>2.5</v>
      </c>
      <c r="J3534" t="n">
        <v>0</v>
      </c>
      <c r="K3534" t="n">
        <v>0</v>
      </c>
      <c r="L3534" t="n">
        <v>0</v>
      </c>
      <c r="M3534" t="n">
        <v>0</v>
      </c>
      <c r="N3534" t="n">
        <v>0</v>
      </c>
      <c r="O3534" t="n">
        <v>0</v>
      </c>
      <c r="P3534" t="n">
        <v>0</v>
      </c>
      <c r="Q3534" t="n">
        <v>0</v>
      </c>
      <c r="R3534" t="n">
        <v>0</v>
      </c>
      <c r="S3534" t="n">
        <v>0</v>
      </c>
      <c r="T3534" t="n">
        <v>0</v>
      </c>
      <c r="U3534" t="n">
        <v>0</v>
      </c>
      <c r="V3534" s="2" t="inlineStr"/>
    </row>
    <row r="3535" ht="15" customHeight="1">
      <c r="A3535" t="inlineStr">
        <is>
          <t>S 1610-2022</t>
        </is>
      </c>
      <c r="B3535" t="inlineStr">
        <is>
          <t>samrådsanmälan</t>
        </is>
      </c>
      <c r="C3535" t="inlineStr">
        <is>
          <t>Annan skogsbruksåtgärd</t>
        </is>
      </c>
      <c r="D3535" s="1" t="n">
        <v>44645</v>
      </c>
      <c r="E3535" s="1" t="n">
        <v>46309</v>
      </c>
      <c r="F3535" t="inlineStr">
        <is>
          <t>UPPSALA LÄN</t>
        </is>
      </c>
      <c r="G3535" t="inlineStr">
        <is>
          <t>UPPSALA</t>
        </is>
      </c>
      <c r="H3535" t="inlineStr">
        <is>
          <t>Övriga Aktiebolag</t>
        </is>
      </c>
      <c r="I3535" t="n">
        <v>1.5</v>
      </c>
      <c r="J3535" t="n">
        <v>0</v>
      </c>
      <c r="K3535" t="n">
        <v>0</v>
      </c>
      <c r="L3535" t="n">
        <v>0</v>
      </c>
      <c r="M3535" t="n">
        <v>0</v>
      </c>
      <c r="N3535" t="n">
        <v>0</v>
      </c>
      <c r="O3535" t="n">
        <v>0</v>
      </c>
      <c r="P3535" t="n">
        <v>0</v>
      </c>
      <c r="Q3535" t="n">
        <v>0</v>
      </c>
      <c r="R3535" t="n">
        <v>0</v>
      </c>
      <c r="S3535" t="n">
        <v>0</v>
      </c>
      <c r="T3535" t="n">
        <v>0</v>
      </c>
      <c r="U3535" t="n">
        <v>0</v>
      </c>
      <c r="V3535" s="2" t="inlineStr"/>
    </row>
    <row r="3536" ht="15" customHeight="1">
      <c r="A3536" t="inlineStr">
        <is>
          <t>S 980-2022</t>
        </is>
      </c>
      <c r="B3536" t="inlineStr">
        <is>
          <t>samrådsanmälan</t>
        </is>
      </c>
      <c r="C3536" t="inlineStr">
        <is>
          <t>Annan skogsbruksåtgärd</t>
        </is>
      </c>
      <c r="D3536" s="1" t="n">
        <v>44609</v>
      </c>
      <c r="E3536" s="1" t="n">
        <v>46309</v>
      </c>
      <c r="F3536" t="inlineStr">
        <is>
          <t>UPPSALA LÄN</t>
        </is>
      </c>
      <c r="G3536" t="inlineStr">
        <is>
          <t>UPPSALA</t>
        </is>
      </c>
      <c r="H3536" t="inlineStr">
        <is>
          <t>Övriga Aktiebolag</t>
        </is>
      </c>
      <c r="I3536" t="n">
        <v>3.9</v>
      </c>
      <c r="J3536" t="n">
        <v>0</v>
      </c>
      <c r="K3536" t="n">
        <v>0</v>
      </c>
      <c r="L3536" t="n">
        <v>0</v>
      </c>
      <c r="M3536" t="n">
        <v>0</v>
      </c>
      <c r="N3536" t="n">
        <v>0</v>
      </c>
      <c r="O3536" t="n">
        <v>0</v>
      </c>
      <c r="P3536" t="n">
        <v>0</v>
      </c>
      <c r="Q3536" t="n">
        <v>0</v>
      </c>
      <c r="R3536" t="n">
        <v>0</v>
      </c>
      <c r="S3536" t="n">
        <v>0</v>
      </c>
      <c r="T3536" t="n">
        <v>0</v>
      </c>
      <c r="U3536" t="n">
        <v>0</v>
      </c>
      <c r="V3536" s="2" t="inlineStr"/>
    </row>
    <row r="3537" ht="15" customHeight="1">
      <c r="A3537" t="inlineStr">
        <is>
          <t>S 3374-2022</t>
        </is>
      </c>
      <c r="B3537" t="inlineStr">
        <is>
          <t>samrådsanmälan</t>
        </is>
      </c>
      <c r="C3537" t="inlineStr">
        <is>
          <t>Skogsbilväg</t>
        </is>
      </c>
      <c r="D3537" s="1" t="n">
        <v>44729</v>
      </c>
      <c r="E3537" s="1" t="n">
        <v>46309</v>
      </c>
      <c r="F3537" t="inlineStr">
        <is>
          <t>UPPSALA LÄN</t>
        </is>
      </c>
      <c r="G3537" t="inlineStr">
        <is>
          <t>ÖSTHAMMAR</t>
        </is>
      </c>
      <c r="H3537" t="inlineStr">
        <is>
          <t>Sveaskog</t>
        </is>
      </c>
      <c r="I3537" t="n">
        <v>1</v>
      </c>
      <c r="J3537" t="n">
        <v>0</v>
      </c>
      <c r="K3537" t="n">
        <v>0</v>
      </c>
      <c r="L3537" t="n">
        <v>0</v>
      </c>
      <c r="M3537" t="n">
        <v>0</v>
      </c>
      <c r="N3537" t="n">
        <v>0</v>
      </c>
      <c r="O3537" t="n">
        <v>0</v>
      </c>
      <c r="P3537" t="n">
        <v>0</v>
      </c>
      <c r="Q3537" t="n">
        <v>0</v>
      </c>
      <c r="R3537" t="n">
        <v>0</v>
      </c>
      <c r="S3537" t="n">
        <v>0</v>
      </c>
      <c r="T3537" t="n">
        <v>0</v>
      </c>
      <c r="U3537" t="n">
        <v>0</v>
      </c>
      <c r="V3537" s="2" t="inlineStr"/>
    </row>
    <row r="3538" ht="15" customHeight="1">
      <c r="A3538" t="inlineStr">
        <is>
          <t>S 1234-2022</t>
        </is>
      </c>
      <c r="B3538" t="inlineStr">
        <is>
          <t>samrådsanmälan</t>
        </is>
      </c>
      <c r="C3538" t="inlineStr">
        <is>
          <t>Annan skogsbruksåtgärd</t>
        </is>
      </c>
      <c r="D3538" s="1" t="n">
        <v>44623</v>
      </c>
      <c r="E3538" s="1" t="n">
        <v>46309</v>
      </c>
      <c r="F3538" t="inlineStr">
        <is>
          <t>UPPSALA LÄN</t>
        </is>
      </c>
      <c r="G3538" t="inlineStr">
        <is>
          <t>UPPSALA</t>
        </is>
      </c>
      <c r="H3538" t="inlineStr">
        <is>
          <t>Övriga Aktiebolag</t>
        </is>
      </c>
      <c r="I3538" t="n">
        <v>1</v>
      </c>
      <c r="J3538" t="n">
        <v>0</v>
      </c>
      <c r="K3538" t="n">
        <v>0</v>
      </c>
      <c r="L3538" t="n">
        <v>0</v>
      </c>
      <c r="M3538" t="n">
        <v>0</v>
      </c>
      <c r="N3538" t="n">
        <v>0</v>
      </c>
      <c r="O3538" t="n">
        <v>0</v>
      </c>
      <c r="P3538" t="n">
        <v>0</v>
      </c>
      <c r="Q3538" t="n">
        <v>0</v>
      </c>
      <c r="R3538" t="n">
        <v>0</v>
      </c>
      <c r="S3538" t="n">
        <v>0</v>
      </c>
      <c r="T3538" t="n">
        <v>0</v>
      </c>
      <c r="U3538" t="n">
        <v>0</v>
      </c>
      <c r="V3538" s="2" t="inlineStr"/>
    </row>
    <row r="3539" ht="15" customHeight="1">
      <c r="A3539" t="inlineStr">
        <is>
          <t>S 407-2022</t>
        </is>
      </c>
      <c r="B3539" t="inlineStr">
        <is>
          <t>samrådsanmälan</t>
        </is>
      </c>
      <c r="C3539" t="inlineStr">
        <is>
          <t>Skogsgödsling</t>
        </is>
      </c>
      <c r="D3539" s="1" t="n">
        <v>44585</v>
      </c>
      <c r="E3539" s="1" t="n">
        <v>46309</v>
      </c>
      <c r="F3539" t="inlineStr">
        <is>
          <t>UPPSALA LÄN</t>
        </is>
      </c>
      <c r="G3539" t="inlineStr">
        <is>
          <t>TIERP</t>
        </is>
      </c>
      <c r="H3539" t="inlineStr">
        <is>
          <t>Bergvik skog väst AB</t>
        </is>
      </c>
      <c r="I3539" t="n">
        <v>36.4</v>
      </c>
      <c r="J3539" t="n">
        <v>0</v>
      </c>
      <c r="K3539" t="n">
        <v>0</v>
      </c>
      <c r="L3539" t="n">
        <v>0</v>
      </c>
      <c r="M3539" t="n">
        <v>0</v>
      </c>
      <c r="N3539" t="n">
        <v>0</v>
      </c>
      <c r="O3539" t="n">
        <v>0</v>
      </c>
      <c r="P3539" t="n">
        <v>0</v>
      </c>
      <c r="Q3539" t="n">
        <v>0</v>
      </c>
      <c r="R3539" t="n">
        <v>0</v>
      </c>
      <c r="S3539" t="n">
        <v>0</v>
      </c>
      <c r="T3539" t="n">
        <v>0</v>
      </c>
      <c r="U3539" t="n">
        <v>0</v>
      </c>
      <c r="V3539" s="2" t="inlineStr"/>
    </row>
    <row r="3540" ht="15" customHeight="1">
      <c r="A3540" t="inlineStr">
        <is>
          <t>S 2054-2022</t>
        </is>
      </c>
      <c r="B3540" t="inlineStr">
        <is>
          <t>samrådsanmälan</t>
        </is>
      </c>
      <c r="C3540" t="inlineStr">
        <is>
          <t>Annan skogsbruksåtgärd</t>
        </is>
      </c>
      <c r="D3540" s="1" t="n">
        <v>44672</v>
      </c>
      <c r="E3540" s="1" t="n">
        <v>46309</v>
      </c>
      <c r="F3540" t="inlineStr">
        <is>
          <t>UPPSALA LÄN</t>
        </is>
      </c>
      <c r="G3540" t="inlineStr">
        <is>
          <t>ÖSTHAMMAR</t>
        </is>
      </c>
      <c r="I3540" t="n">
        <v>4.4</v>
      </c>
      <c r="J3540" t="n">
        <v>0</v>
      </c>
      <c r="K3540" t="n">
        <v>0</v>
      </c>
      <c r="L3540" t="n">
        <v>0</v>
      </c>
      <c r="M3540" t="n">
        <v>0</v>
      </c>
      <c r="N3540" t="n">
        <v>0</v>
      </c>
      <c r="O3540" t="n">
        <v>0</v>
      </c>
      <c r="P3540" t="n">
        <v>0</v>
      </c>
      <c r="Q3540" t="n">
        <v>0</v>
      </c>
      <c r="R3540" t="n">
        <v>0</v>
      </c>
      <c r="S3540" t="n">
        <v>0</v>
      </c>
      <c r="T3540" t="n">
        <v>0</v>
      </c>
      <c r="U3540" t="n">
        <v>0</v>
      </c>
      <c r="V3540" s="2" t="inlineStr"/>
    </row>
    <row r="3541" ht="15" customHeight="1">
      <c r="A3541" t="inlineStr">
        <is>
          <t>S 1330-2022</t>
        </is>
      </c>
      <c r="B3541" t="inlineStr">
        <is>
          <t>samrådsanmälan</t>
        </is>
      </c>
      <c r="C3541" t="inlineStr">
        <is>
          <t>Skogsgödsling</t>
        </is>
      </c>
      <c r="D3541" s="1" t="n">
        <v>44629</v>
      </c>
      <c r="E3541" s="1" t="n">
        <v>46309</v>
      </c>
      <c r="F3541" t="inlineStr">
        <is>
          <t>UPPSALA LÄN</t>
        </is>
      </c>
      <c r="G3541" t="inlineStr">
        <is>
          <t>HEBY</t>
        </is>
      </c>
      <c r="I3541" t="n">
        <v>25.1</v>
      </c>
      <c r="J3541" t="n">
        <v>0</v>
      </c>
      <c r="K3541" t="n">
        <v>0</v>
      </c>
      <c r="L3541" t="n">
        <v>0</v>
      </c>
      <c r="M3541" t="n">
        <v>0</v>
      </c>
      <c r="N3541" t="n">
        <v>0</v>
      </c>
      <c r="O3541" t="n">
        <v>0</v>
      </c>
      <c r="P3541" t="n">
        <v>0</v>
      </c>
      <c r="Q3541" t="n">
        <v>0</v>
      </c>
      <c r="R3541" t="n">
        <v>0</v>
      </c>
      <c r="S3541" t="n">
        <v>0</v>
      </c>
      <c r="T3541" t="n">
        <v>0</v>
      </c>
      <c r="U3541" t="n">
        <v>0</v>
      </c>
      <c r="V3541" s="2" t="inlineStr"/>
      <c r="Z3541">
        <f>HYPERLINK("https://klasma.github.io/Logging_0331/knärot/S 1330-2022 karta knärot.png", "S 1330-2022")</f>
        <v/>
      </c>
      <c r="AA3541">
        <f>HYPERLINK("https://klasma.github.io/Logging_0331/klagomål/S 1330-2022 FSC-klagomål.docx", "S 1330-2022")</f>
        <v/>
      </c>
      <c r="AB3541">
        <f>HYPERLINK("https://klasma.github.io/Logging_0331/klagomålsmail/S 1330-2022 FSC-klagomål mail.docx", "S 1330-2022")</f>
        <v/>
      </c>
      <c r="AC3541">
        <f>HYPERLINK("https://klasma.github.io/Logging_0331/tillsyn/S 1330-2022 tillsynsbegäran.docx", "S 1330-2022")</f>
        <v/>
      </c>
      <c r="AD3541">
        <f>HYPERLINK("https://klasma.github.io/Logging_0331/tillsynsmail/S 1330-2022 tillsynsbegäran mail.docx", "S 1330-2022")</f>
        <v/>
      </c>
    </row>
    <row r="3542" ht="15" customHeight="1">
      <c r="A3542" t="inlineStr">
        <is>
          <t>S 3256-2023</t>
        </is>
      </c>
      <c r="B3542" t="inlineStr">
        <is>
          <t>samrådsanmälan</t>
        </is>
      </c>
      <c r="C3542" t="inlineStr">
        <is>
          <t>Annan skogsbruksåtgärd</t>
        </is>
      </c>
      <c r="D3542" s="1" t="n">
        <v>45191</v>
      </c>
      <c r="E3542" s="1" t="n">
        <v>46309</v>
      </c>
      <c r="F3542" t="inlineStr">
        <is>
          <t>UPPSALA LÄN</t>
        </is>
      </c>
      <c r="G3542" t="inlineStr">
        <is>
          <t>HEBY</t>
        </is>
      </c>
      <c r="H3542" t="inlineStr">
        <is>
          <t>Bergvik skog väst AB</t>
        </is>
      </c>
      <c r="I3542" t="n">
        <v>20.9</v>
      </c>
      <c r="J3542" t="n">
        <v>0</v>
      </c>
      <c r="K3542" t="n">
        <v>0</v>
      </c>
      <c r="L3542" t="n">
        <v>0</v>
      </c>
      <c r="M3542" t="n">
        <v>0</v>
      </c>
      <c r="N3542" t="n">
        <v>0</v>
      </c>
      <c r="O3542" t="n">
        <v>0</v>
      </c>
      <c r="P3542" t="n">
        <v>0</v>
      </c>
      <c r="Q3542" t="n">
        <v>0</v>
      </c>
      <c r="R3542" t="n">
        <v>0</v>
      </c>
      <c r="S3542" t="n">
        <v>0</v>
      </c>
      <c r="T3542" t="n">
        <v>0</v>
      </c>
      <c r="U3542" t="n">
        <v>0</v>
      </c>
      <c r="V3542" s="2" t="inlineStr"/>
    </row>
    <row r="3543" ht="15" customHeight="1">
      <c r="A3543" t="inlineStr">
        <is>
          <t>S 335-2025</t>
        </is>
      </c>
      <c r="B3543" t="inlineStr">
        <is>
          <t>samrådsanmälan</t>
        </is>
      </c>
      <c r="C3543" t="inlineStr">
        <is>
          <t>Annan skogsbruksåtgärd</t>
        </is>
      </c>
      <c r="D3543" s="1" t="n">
        <v>45692</v>
      </c>
      <c r="E3543" s="1" t="n">
        <v>46309</v>
      </c>
      <c r="F3543" t="inlineStr">
        <is>
          <t>UPPSALA LÄN</t>
        </is>
      </c>
      <c r="G3543" t="inlineStr">
        <is>
          <t>ENKÖPING</t>
        </is>
      </c>
      <c r="I3543" t="n">
        <v>1.4</v>
      </c>
      <c r="J3543" t="n">
        <v>0</v>
      </c>
      <c r="K3543" t="n">
        <v>0</v>
      </c>
      <c r="L3543" t="n">
        <v>0</v>
      </c>
      <c r="M3543" t="n">
        <v>0</v>
      </c>
      <c r="N3543" t="n">
        <v>0</v>
      </c>
      <c r="O3543" t="n">
        <v>0</v>
      </c>
      <c r="P3543" t="n">
        <v>0</v>
      </c>
      <c r="Q3543" t="n">
        <v>0</v>
      </c>
      <c r="R3543" t="n">
        <v>0</v>
      </c>
      <c r="S3543" t="n">
        <v>0</v>
      </c>
      <c r="T3543" t="n">
        <v>0</v>
      </c>
      <c r="U3543" t="n">
        <v>0</v>
      </c>
      <c r="V3543" s="2" t="inlineStr"/>
    </row>
    <row r="3544" ht="15" customHeight="1">
      <c r="A3544" t="inlineStr">
        <is>
          <t>S 457-2023</t>
        </is>
      </c>
      <c r="B3544" t="inlineStr">
        <is>
          <t>samrådsanmälan</t>
        </is>
      </c>
      <c r="C3544" t="inlineStr">
        <is>
          <t>Annan skogsbruksåtgärd</t>
        </is>
      </c>
      <c r="D3544" s="1" t="n">
        <v>44964</v>
      </c>
      <c r="E3544" s="1" t="n">
        <v>46309</v>
      </c>
      <c r="F3544" t="inlineStr">
        <is>
          <t>UPPSALA LÄN</t>
        </is>
      </c>
      <c r="G3544" t="inlineStr">
        <is>
          <t>ÖSTHAMMAR</t>
        </is>
      </c>
      <c r="I3544" t="n">
        <v>1.3</v>
      </c>
      <c r="J3544" t="n">
        <v>0</v>
      </c>
      <c r="K3544" t="n">
        <v>0</v>
      </c>
      <c r="L3544" t="n">
        <v>0</v>
      </c>
      <c r="M3544" t="n">
        <v>0</v>
      </c>
      <c r="N3544" t="n">
        <v>0</v>
      </c>
      <c r="O3544" t="n">
        <v>0</v>
      </c>
      <c r="P3544" t="n">
        <v>0</v>
      </c>
      <c r="Q3544" t="n">
        <v>0</v>
      </c>
      <c r="R3544" t="n">
        <v>0</v>
      </c>
      <c r="S3544" t="n">
        <v>0</v>
      </c>
      <c r="T3544" t="n">
        <v>0</v>
      </c>
      <c r="U3544" t="n">
        <v>0</v>
      </c>
      <c r="V3544" s="2" t="inlineStr"/>
    </row>
    <row r="3545" ht="15" customHeight="1">
      <c r="A3545" t="inlineStr">
        <is>
          <t>S 191-2024</t>
        </is>
      </c>
      <c r="B3545" t="inlineStr">
        <is>
          <t>samrådsanmälan</t>
        </is>
      </c>
      <c r="C3545" t="inlineStr">
        <is>
          <t>Skogsgödsling</t>
        </is>
      </c>
      <c r="D3545" s="1" t="n">
        <v>45315</v>
      </c>
      <c r="E3545" s="1" t="n">
        <v>46309</v>
      </c>
      <c r="F3545" t="inlineStr">
        <is>
          <t>UPPSALA LÄN</t>
        </is>
      </c>
      <c r="G3545" t="inlineStr">
        <is>
          <t>UPPSALA</t>
        </is>
      </c>
      <c r="H3545" t="inlineStr">
        <is>
          <t>Bergvik skog öst AB</t>
        </is>
      </c>
      <c r="I3545" t="n">
        <v>116.9</v>
      </c>
      <c r="J3545" t="n">
        <v>0</v>
      </c>
      <c r="K3545" t="n">
        <v>0</v>
      </c>
      <c r="L3545" t="n">
        <v>0</v>
      </c>
      <c r="M3545" t="n">
        <v>0</v>
      </c>
      <c r="N3545" t="n">
        <v>0</v>
      </c>
      <c r="O3545" t="n">
        <v>0</v>
      </c>
      <c r="P3545" t="n">
        <v>0</v>
      </c>
      <c r="Q3545" t="n">
        <v>0</v>
      </c>
      <c r="R3545" t="n">
        <v>0</v>
      </c>
      <c r="S3545" t="n">
        <v>0</v>
      </c>
      <c r="T3545" t="n">
        <v>0</v>
      </c>
      <c r="U3545" t="n">
        <v>0</v>
      </c>
      <c r="V3545" s="2" t="inlineStr"/>
    </row>
    <row r="3546" ht="15" customHeight="1">
      <c r="A3546" t="inlineStr">
        <is>
          <t>S 2941-2023</t>
        </is>
      </c>
      <c r="B3546" t="inlineStr">
        <is>
          <t>samrådsanmälan</t>
        </is>
      </c>
      <c r="C3546" t="inlineStr">
        <is>
          <t>Annan skogsbruksåtgärd</t>
        </is>
      </c>
      <c r="D3546" s="1" t="n">
        <v>45173</v>
      </c>
      <c r="E3546" s="1" t="n">
        <v>46309</v>
      </c>
      <c r="F3546" t="inlineStr">
        <is>
          <t>UPPSALA LÄN</t>
        </is>
      </c>
      <c r="G3546" t="inlineStr">
        <is>
          <t>UPPSALA</t>
        </is>
      </c>
      <c r="I3546" t="n">
        <v>8</v>
      </c>
      <c r="J3546" t="n">
        <v>0</v>
      </c>
      <c r="K3546" t="n">
        <v>0</v>
      </c>
      <c r="L3546" t="n">
        <v>0</v>
      </c>
      <c r="M3546" t="n">
        <v>0</v>
      </c>
      <c r="N3546" t="n">
        <v>0</v>
      </c>
      <c r="O3546" t="n">
        <v>0</v>
      </c>
      <c r="P3546" t="n">
        <v>0</v>
      </c>
      <c r="Q3546" t="n">
        <v>0</v>
      </c>
      <c r="R3546" t="n">
        <v>0</v>
      </c>
      <c r="S3546" t="n">
        <v>0</v>
      </c>
      <c r="T3546" t="n">
        <v>0</v>
      </c>
      <c r="U3546" t="n">
        <v>0</v>
      </c>
      <c r="V3546" s="2" t="inlineStr"/>
    </row>
    <row r="3547" ht="15" customHeight="1">
      <c r="A3547" t="inlineStr">
        <is>
          <t>S 4466-2022</t>
        </is>
      </c>
      <c r="B3547" t="inlineStr">
        <is>
          <t>samrådsanmälan</t>
        </is>
      </c>
      <c r="C3547" t="inlineStr">
        <is>
          <t>Annan skogsbruksåtgärd</t>
        </is>
      </c>
      <c r="D3547" s="1" t="n">
        <v>44788</v>
      </c>
      <c r="E3547" s="1" t="n">
        <v>46309</v>
      </c>
      <c r="F3547" t="inlineStr">
        <is>
          <t>UPPSALA LÄN</t>
        </is>
      </c>
      <c r="G3547" t="inlineStr">
        <is>
          <t>HEBY</t>
        </is>
      </c>
      <c r="I3547" t="n">
        <v>3.1</v>
      </c>
      <c r="J3547" t="n">
        <v>0</v>
      </c>
      <c r="K3547" t="n">
        <v>0</v>
      </c>
      <c r="L3547" t="n">
        <v>0</v>
      </c>
      <c r="M3547" t="n">
        <v>0</v>
      </c>
      <c r="N3547" t="n">
        <v>0</v>
      </c>
      <c r="O3547" t="n">
        <v>0</v>
      </c>
      <c r="P3547" t="n">
        <v>0</v>
      </c>
      <c r="Q3547" t="n">
        <v>0</v>
      </c>
      <c r="R3547" t="n">
        <v>0</v>
      </c>
      <c r="S3547" t="n">
        <v>0</v>
      </c>
      <c r="T3547" t="n">
        <v>0</v>
      </c>
      <c r="U3547" t="n">
        <v>0</v>
      </c>
      <c r="V3547" s="2" t="inlineStr"/>
    </row>
    <row r="3548" ht="15" customHeight="1">
      <c r="A3548" t="inlineStr">
        <is>
          <t>S 1925-2023</t>
        </is>
      </c>
      <c r="B3548" t="inlineStr">
        <is>
          <t>samrådsanmälan</t>
        </is>
      </c>
      <c r="C3548" t="inlineStr">
        <is>
          <t>Annan skogsbruksåtgärd</t>
        </is>
      </c>
      <c r="D3548" s="1" t="n">
        <v>45078</v>
      </c>
      <c r="E3548" s="1" t="n">
        <v>46309</v>
      </c>
      <c r="F3548" t="inlineStr">
        <is>
          <t>UPPSALA LÄN</t>
        </is>
      </c>
      <c r="G3548" t="inlineStr">
        <is>
          <t>ÖSTHAMMAR</t>
        </is>
      </c>
      <c r="I3548" t="n">
        <v>2.9</v>
      </c>
      <c r="J3548" t="n">
        <v>0</v>
      </c>
      <c r="K3548" t="n">
        <v>0</v>
      </c>
      <c r="L3548" t="n">
        <v>0</v>
      </c>
      <c r="M3548" t="n">
        <v>0</v>
      </c>
      <c r="N3548" t="n">
        <v>0</v>
      </c>
      <c r="O3548" t="n">
        <v>0</v>
      </c>
      <c r="P3548" t="n">
        <v>0</v>
      </c>
      <c r="Q3548" t="n">
        <v>0</v>
      </c>
      <c r="R3548" t="n">
        <v>0</v>
      </c>
      <c r="S3548" t="n">
        <v>0</v>
      </c>
      <c r="T3548" t="n">
        <v>0</v>
      </c>
      <c r="U3548" t="n">
        <v>0</v>
      </c>
      <c r="V3548" s="2" t="inlineStr"/>
    </row>
    <row r="3549" ht="15" customHeight="1">
      <c r="A3549" t="inlineStr">
        <is>
          <t>S 1620-2024</t>
        </is>
      </c>
      <c r="B3549" t="inlineStr">
        <is>
          <t>samrådsanmälan</t>
        </is>
      </c>
      <c r="C3549" t="inlineStr">
        <is>
          <t>Annan skogsbruksåtgärd</t>
        </is>
      </c>
      <c r="D3549" s="1" t="n">
        <v>45428</v>
      </c>
      <c r="E3549" s="1" t="n">
        <v>46309</v>
      </c>
      <c r="F3549" t="inlineStr">
        <is>
          <t>UPPSALA LÄN</t>
        </is>
      </c>
      <c r="G3549" t="inlineStr">
        <is>
          <t>ÖSTHAMMAR</t>
        </is>
      </c>
      <c r="I3549" t="n">
        <v>8.199999999999999</v>
      </c>
      <c r="J3549" t="n">
        <v>0</v>
      </c>
      <c r="K3549" t="n">
        <v>0</v>
      </c>
      <c r="L3549" t="n">
        <v>0</v>
      </c>
      <c r="M3549" t="n">
        <v>0</v>
      </c>
      <c r="N3549" t="n">
        <v>0</v>
      </c>
      <c r="O3549" t="n">
        <v>0</v>
      </c>
      <c r="P3549" t="n">
        <v>0</v>
      </c>
      <c r="Q3549" t="n">
        <v>0</v>
      </c>
      <c r="R3549" t="n">
        <v>0</v>
      </c>
      <c r="S3549" t="n">
        <v>0</v>
      </c>
      <c r="T3549" t="n">
        <v>0</v>
      </c>
      <c r="U3549" t="n">
        <v>0</v>
      </c>
      <c r="V3549" s="2" t="inlineStr"/>
    </row>
    <row r="3550" ht="15" customHeight="1">
      <c r="A3550" t="inlineStr">
        <is>
          <t>S 5066-2024</t>
        </is>
      </c>
      <c r="B3550" t="inlineStr">
        <is>
          <t>samrådsanmälan</t>
        </is>
      </c>
      <c r="C3550" t="inlineStr">
        <is>
          <t>Skogsgödsling</t>
        </is>
      </c>
      <c r="D3550" s="1" t="n">
        <v>45638</v>
      </c>
      <c r="E3550" s="1" t="n">
        <v>46309</v>
      </c>
      <c r="F3550" t="inlineStr">
        <is>
          <t>UPPSALA LÄN</t>
        </is>
      </c>
      <c r="G3550" t="inlineStr">
        <is>
          <t>TIERP</t>
        </is>
      </c>
      <c r="H3550" t="inlineStr">
        <is>
          <t>Bergvik skog väst AB</t>
        </is>
      </c>
      <c r="I3550" t="n">
        <v>11.4</v>
      </c>
      <c r="J3550" t="n">
        <v>0</v>
      </c>
      <c r="K3550" t="n">
        <v>0</v>
      </c>
      <c r="L3550" t="n">
        <v>0</v>
      </c>
      <c r="M3550" t="n">
        <v>0</v>
      </c>
      <c r="N3550" t="n">
        <v>0</v>
      </c>
      <c r="O3550" t="n">
        <v>0</v>
      </c>
      <c r="P3550" t="n">
        <v>0</v>
      </c>
      <c r="Q3550" t="n">
        <v>0</v>
      </c>
      <c r="R3550" t="n">
        <v>0</v>
      </c>
      <c r="S3550" t="n">
        <v>0</v>
      </c>
      <c r="T3550" t="n">
        <v>0</v>
      </c>
      <c r="U3550" t="n">
        <v>0</v>
      </c>
      <c r="V3550" s="2" t="inlineStr"/>
    </row>
    <row r="3551" ht="15" customHeight="1">
      <c r="A3551" t="inlineStr">
        <is>
          <t>S 789-2023</t>
        </is>
      </c>
      <c r="B3551" t="inlineStr">
        <is>
          <t>samrådsanmälan</t>
        </is>
      </c>
      <c r="C3551" t="inlineStr">
        <is>
          <t>Annan skogsbruksåtgärd</t>
        </is>
      </c>
      <c r="D3551" s="1" t="n">
        <v>44985</v>
      </c>
      <c r="E3551" s="1" t="n">
        <v>46309</v>
      </c>
      <c r="F3551" t="inlineStr">
        <is>
          <t>UPPSALA LÄN</t>
        </is>
      </c>
      <c r="G3551" t="inlineStr">
        <is>
          <t>UPPSALA</t>
        </is>
      </c>
      <c r="I3551" t="n">
        <v>5.7</v>
      </c>
      <c r="J3551" t="n">
        <v>0</v>
      </c>
      <c r="K3551" t="n">
        <v>0</v>
      </c>
      <c r="L3551" t="n">
        <v>0</v>
      </c>
      <c r="M3551" t="n">
        <v>0</v>
      </c>
      <c r="N3551" t="n">
        <v>0</v>
      </c>
      <c r="O3551" t="n">
        <v>0</v>
      </c>
      <c r="P3551" t="n">
        <v>0</v>
      </c>
      <c r="Q3551" t="n">
        <v>0</v>
      </c>
      <c r="R3551" t="n">
        <v>0</v>
      </c>
      <c r="S3551" t="n">
        <v>0</v>
      </c>
      <c r="T3551" t="n">
        <v>0</v>
      </c>
      <c r="U3551" t="n">
        <v>0</v>
      </c>
      <c r="V3551" s="2" t="inlineStr"/>
    </row>
    <row r="3552" ht="15" customHeight="1">
      <c r="A3552" t="inlineStr">
        <is>
          <t>S 192-2024</t>
        </is>
      </c>
      <c r="B3552" t="inlineStr">
        <is>
          <t>samrådsanmälan</t>
        </is>
      </c>
      <c r="C3552" t="inlineStr">
        <is>
          <t>Skogsgödsling</t>
        </is>
      </c>
      <c r="D3552" s="1" t="n">
        <v>45315</v>
      </c>
      <c r="E3552" s="1" t="n">
        <v>46309</v>
      </c>
      <c r="F3552" t="inlineStr">
        <is>
          <t>UPPSALA LÄN</t>
        </is>
      </c>
      <c r="G3552" t="inlineStr">
        <is>
          <t>TIERP</t>
        </is>
      </c>
      <c r="H3552" t="inlineStr">
        <is>
          <t>Bergvik skog öst AB</t>
        </is>
      </c>
      <c r="I3552" t="n">
        <v>39</v>
      </c>
      <c r="J3552" t="n">
        <v>0</v>
      </c>
      <c r="K3552" t="n">
        <v>0</v>
      </c>
      <c r="L3552" t="n">
        <v>0</v>
      </c>
      <c r="M3552" t="n">
        <v>0</v>
      </c>
      <c r="N3552" t="n">
        <v>0</v>
      </c>
      <c r="O3552" t="n">
        <v>0</v>
      </c>
      <c r="P3552" t="n">
        <v>0</v>
      </c>
      <c r="Q3552" t="n">
        <v>0</v>
      </c>
      <c r="R3552" t="n">
        <v>0</v>
      </c>
      <c r="S3552" t="n">
        <v>0</v>
      </c>
      <c r="T3552" t="n">
        <v>0</v>
      </c>
      <c r="U3552" t="n">
        <v>0</v>
      </c>
      <c r="V3552" s="2" t="inlineStr"/>
    </row>
    <row r="3553" ht="15" customHeight="1">
      <c r="A3553" t="inlineStr">
        <is>
          <t>S 1619-2024</t>
        </is>
      </c>
      <c r="B3553" t="inlineStr">
        <is>
          <t>samrådsanmälan</t>
        </is>
      </c>
      <c r="C3553" t="inlineStr">
        <is>
          <t>Annan skogsbruksåtgärd</t>
        </is>
      </c>
      <c r="D3553" s="1" t="n">
        <v>45428</v>
      </c>
      <c r="E3553" s="1" t="n">
        <v>46309</v>
      </c>
      <c r="F3553" t="inlineStr">
        <is>
          <t>UPPSALA LÄN</t>
        </is>
      </c>
      <c r="G3553" t="inlineStr">
        <is>
          <t>ÖSTHAMMAR</t>
        </is>
      </c>
      <c r="I3553" t="n">
        <v>3.4</v>
      </c>
      <c r="J3553" t="n">
        <v>0</v>
      </c>
      <c r="K3553" t="n">
        <v>0</v>
      </c>
      <c r="L3553" t="n">
        <v>0</v>
      </c>
      <c r="M3553" t="n">
        <v>0</v>
      </c>
      <c r="N3553" t="n">
        <v>0</v>
      </c>
      <c r="O3553" t="n">
        <v>0</v>
      </c>
      <c r="P3553" t="n">
        <v>0</v>
      </c>
      <c r="Q3553" t="n">
        <v>0</v>
      </c>
      <c r="R3553" t="n">
        <v>0</v>
      </c>
      <c r="S3553" t="n">
        <v>0</v>
      </c>
      <c r="T3553" t="n">
        <v>0</v>
      </c>
      <c r="U3553" t="n">
        <v>0</v>
      </c>
      <c r="V3553" s="2" t="inlineStr"/>
    </row>
    <row r="3554" ht="15" customHeight="1">
      <c r="A3554" t="inlineStr">
        <is>
          <t>S 1201-2024</t>
        </is>
      </c>
      <c r="B3554" t="inlineStr">
        <is>
          <t>samrådsanmälan</t>
        </is>
      </c>
      <c r="C3554" t="inlineStr">
        <is>
          <t>Annan skogsbruksåtgärd</t>
        </is>
      </c>
      <c r="D3554" s="1" t="n">
        <v>45398</v>
      </c>
      <c r="E3554" s="1" t="n">
        <v>46309</v>
      </c>
      <c r="F3554" t="inlineStr">
        <is>
          <t>UPPSALA LÄN</t>
        </is>
      </c>
      <c r="G3554" t="inlineStr">
        <is>
          <t>UPPSALA</t>
        </is>
      </c>
      <c r="H3554" t="inlineStr">
        <is>
          <t>Bergvik skog öst AB</t>
        </is>
      </c>
      <c r="I3554" t="n">
        <v>37.1</v>
      </c>
      <c r="J3554" t="n">
        <v>0</v>
      </c>
      <c r="K3554" t="n">
        <v>0</v>
      </c>
      <c r="L3554" t="n">
        <v>0</v>
      </c>
      <c r="M3554" t="n">
        <v>0</v>
      </c>
      <c r="N3554" t="n">
        <v>0</v>
      </c>
      <c r="O3554" t="n">
        <v>0</v>
      </c>
      <c r="P3554" t="n">
        <v>0</v>
      </c>
      <c r="Q3554" t="n">
        <v>0</v>
      </c>
      <c r="R3554" t="n">
        <v>0</v>
      </c>
      <c r="S3554" t="n">
        <v>0</v>
      </c>
      <c r="T3554" t="n">
        <v>0</v>
      </c>
      <c r="U3554" t="n">
        <v>0</v>
      </c>
      <c r="V3554" s="2" t="inlineStr"/>
    </row>
    <row r="3555" ht="15" customHeight="1">
      <c r="A3555" t="inlineStr">
        <is>
          <t>S 4423-2024</t>
        </is>
      </c>
      <c r="B3555" t="inlineStr">
        <is>
          <t>samrådsanmälan</t>
        </is>
      </c>
      <c r="C3555" t="inlineStr">
        <is>
          <t>Annan skogsbruksåtgärd</t>
        </is>
      </c>
      <c r="D3555" s="1" t="n">
        <v>45590</v>
      </c>
      <c r="E3555" s="1" t="n">
        <v>46309</v>
      </c>
      <c r="F3555" t="inlineStr">
        <is>
          <t>UPPSALA LÄN</t>
        </is>
      </c>
      <c r="G3555" t="inlineStr">
        <is>
          <t>HEBY</t>
        </is>
      </c>
      <c r="H3555" t="inlineStr">
        <is>
          <t>Bergvik skog väst AB</t>
        </is>
      </c>
      <c r="I3555" t="n">
        <v>47.6</v>
      </c>
      <c r="J3555" t="n">
        <v>0</v>
      </c>
      <c r="K3555" t="n">
        <v>0</v>
      </c>
      <c r="L3555" t="n">
        <v>0</v>
      </c>
      <c r="M3555" t="n">
        <v>0</v>
      </c>
      <c r="N3555" t="n">
        <v>0</v>
      </c>
      <c r="O3555" t="n">
        <v>0</v>
      </c>
      <c r="P3555" t="n">
        <v>0</v>
      </c>
      <c r="Q3555" t="n">
        <v>0</v>
      </c>
      <c r="R3555" t="n">
        <v>0</v>
      </c>
      <c r="S3555" t="n">
        <v>0</v>
      </c>
      <c r="T3555" t="n">
        <v>0</v>
      </c>
      <c r="U3555" t="n">
        <v>0</v>
      </c>
      <c r="V3555" s="2" t="inlineStr"/>
    </row>
    <row r="3556" ht="15" customHeight="1">
      <c r="A3556" t="inlineStr">
        <is>
          <t>S 1090-2024</t>
        </is>
      </c>
      <c r="B3556" t="inlineStr">
        <is>
          <t>samrådsanmälan</t>
        </is>
      </c>
      <c r="C3556" t="inlineStr">
        <is>
          <t>Annan skogsbruksåtgärd</t>
        </is>
      </c>
      <c r="D3556" s="1" t="n">
        <v>45390</v>
      </c>
      <c r="E3556" s="1" t="n">
        <v>46309</v>
      </c>
      <c r="F3556" t="inlineStr">
        <is>
          <t>UPPSALA LÄN</t>
        </is>
      </c>
      <c r="G3556" t="inlineStr">
        <is>
          <t>ÖSTHAMMAR</t>
        </is>
      </c>
      <c r="H3556" t="inlineStr">
        <is>
          <t>Bergvik skog öst AB</t>
        </is>
      </c>
      <c r="I3556" t="n">
        <v>2.2</v>
      </c>
      <c r="J3556" t="n">
        <v>0</v>
      </c>
      <c r="K3556" t="n">
        <v>0</v>
      </c>
      <c r="L3556" t="n">
        <v>0</v>
      </c>
      <c r="M3556" t="n">
        <v>0</v>
      </c>
      <c r="N3556" t="n">
        <v>0</v>
      </c>
      <c r="O3556" t="n">
        <v>0</v>
      </c>
      <c r="P3556" t="n">
        <v>0</v>
      </c>
      <c r="Q3556" t="n">
        <v>0</v>
      </c>
      <c r="R3556" t="n">
        <v>0</v>
      </c>
      <c r="S3556" t="n">
        <v>0</v>
      </c>
      <c r="T3556" t="n">
        <v>0</v>
      </c>
      <c r="U3556" t="n">
        <v>0</v>
      </c>
      <c r="V3556" s="2" t="inlineStr"/>
    </row>
    <row r="3557" ht="15" customHeight="1">
      <c r="A3557" t="inlineStr">
        <is>
          <t>S 1385-2024</t>
        </is>
      </c>
      <c r="B3557" t="inlineStr">
        <is>
          <t>samrådsanmälan</t>
        </is>
      </c>
      <c r="C3557" t="inlineStr">
        <is>
          <t>Annan skogsbruksåtgärd</t>
        </is>
      </c>
      <c r="D3557" s="1" t="n">
        <v>45411</v>
      </c>
      <c r="E3557" s="1" t="n">
        <v>46309</v>
      </c>
      <c r="F3557" t="inlineStr">
        <is>
          <t>UPPSALA LÄN</t>
        </is>
      </c>
      <c r="G3557" t="inlineStr">
        <is>
          <t>HEBY</t>
        </is>
      </c>
      <c r="I3557" t="n">
        <v>0.6</v>
      </c>
      <c r="J3557" t="n">
        <v>0</v>
      </c>
      <c r="K3557" t="n">
        <v>0</v>
      </c>
      <c r="L3557" t="n">
        <v>0</v>
      </c>
      <c r="M3557" t="n">
        <v>0</v>
      </c>
      <c r="N3557" t="n">
        <v>0</v>
      </c>
      <c r="O3557" t="n">
        <v>0</v>
      </c>
      <c r="P3557" t="n">
        <v>0</v>
      </c>
      <c r="Q3557" t="n">
        <v>0</v>
      </c>
      <c r="R3557" t="n">
        <v>0</v>
      </c>
      <c r="S3557" t="n">
        <v>0</v>
      </c>
      <c r="T3557" t="n">
        <v>0</v>
      </c>
      <c r="U3557" t="n">
        <v>0</v>
      </c>
      <c r="V3557" s="2" t="inlineStr"/>
    </row>
    <row r="3558" ht="15" customHeight="1">
      <c r="A3558" t="inlineStr">
        <is>
          <t>S 2797-2024</t>
        </is>
      </c>
      <c r="B3558" t="inlineStr">
        <is>
          <t>samrådsanmälan</t>
        </is>
      </c>
      <c r="C3558" t="inlineStr">
        <is>
          <t>Annan skogsbruksåtgärd</t>
        </is>
      </c>
      <c r="D3558" s="1" t="n">
        <v>45485</v>
      </c>
      <c r="E3558" s="1" t="n">
        <v>46309</v>
      </c>
      <c r="F3558" t="inlineStr">
        <is>
          <t>UPPSALA LÄN</t>
        </is>
      </c>
      <c r="G3558" t="inlineStr">
        <is>
          <t>HEBY</t>
        </is>
      </c>
      <c r="H3558" t="inlineStr">
        <is>
          <t>Bergvik skog väst AB</t>
        </is>
      </c>
      <c r="I3558" t="n">
        <v>2</v>
      </c>
      <c r="J3558" t="n">
        <v>0</v>
      </c>
      <c r="K3558" t="n">
        <v>0</v>
      </c>
      <c r="L3558" t="n">
        <v>0</v>
      </c>
      <c r="M3558" t="n">
        <v>0</v>
      </c>
      <c r="N3558" t="n">
        <v>0</v>
      </c>
      <c r="O3558" t="n">
        <v>0</v>
      </c>
      <c r="P3558" t="n">
        <v>0</v>
      </c>
      <c r="Q3558" t="n">
        <v>0</v>
      </c>
      <c r="R3558" t="n">
        <v>0</v>
      </c>
      <c r="S3558" t="n">
        <v>0</v>
      </c>
      <c r="T3558" t="n">
        <v>0</v>
      </c>
      <c r="U3558" t="n">
        <v>0</v>
      </c>
      <c r="V3558" s="2" t="inlineStr"/>
    </row>
    <row r="3559" ht="15" customHeight="1">
      <c r="A3559" t="inlineStr">
        <is>
          <t>S 398-2025</t>
        </is>
      </c>
      <c r="B3559" t="inlineStr">
        <is>
          <t>samrådsanmälan</t>
        </is>
      </c>
      <c r="C3559" t="inlineStr">
        <is>
          <t>Skogsgödsling</t>
        </is>
      </c>
      <c r="D3559" s="1" t="n">
        <v>45699</v>
      </c>
      <c r="E3559" s="1" t="n">
        <v>46309</v>
      </c>
      <c r="F3559" t="inlineStr">
        <is>
          <t>UPPSALA LÄN</t>
        </is>
      </c>
      <c r="G3559" t="inlineStr">
        <is>
          <t>HEBY</t>
        </is>
      </c>
      <c r="H3559" t="inlineStr">
        <is>
          <t>Bergvik skog öst AB</t>
        </is>
      </c>
      <c r="I3559" t="n">
        <v>23.3</v>
      </c>
      <c r="J3559" t="n">
        <v>0</v>
      </c>
      <c r="K3559" t="n">
        <v>0</v>
      </c>
      <c r="L3559" t="n">
        <v>0</v>
      </c>
      <c r="M3559" t="n">
        <v>0</v>
      </c>
      <c r="N3559" t="n">
        <v>0</v>
      </c>
      <c r="O3559" t="n">
        <v>0</v>
      </c>
      <c r="P3559" t="n">
        <v>0</v>
      </c>
      <c r="Q3559" t="n">
        <v>0</v>
      </c>
      <c r="R3559" t="n">
        <v>0</v>
      </c>
      <c r="S3559" t="n">
        <v>0</v>
      </c>
      <c r="T3559" t="n">
        <v>0</v>
      </c>
      <c r="U3559" t="n">
        <v>0</v>
      </c>
      <c r="V3559" s="2" t="inlineStr"/>
    </row>
    <row r="3560" ht="15" customHeight="1">
      <c r="A3560" t="inlineStr">
        <is>
          <t>S 1386-2024</t>
        </is>
      </c>
      <c r="B3560" t="inlineStr">
        <is>
          <t>samrådsanmälan</t>
        </is>
      </c>
      <c r="C3560" t="inlineStr">
        <is>
          <t>Annan skogsbruksåtgärd</t>
        </is>
      </c>
      <c r="D3560" s="1" t="n">
        <v>45411</v>
      </c>
      <c r="E3560" s="1" t="n">
        <v>46309</v>
      </c>
      <c r="F3560" t="inlineStr">
        <is>
          <t>UPPSALA LÄN</t>
        </is>
      </c>
      <c r="G3560" t="inlineStr">
        <is>
          <t>HEBY</t>
        </is>
      </c>
      <c r="I3560" t="n">
        <v>0.4</v>
      </c>
      <c r="J3560" t="n">
        <v>0</v>
      </c>
      <c r="K3560" t="n">
        <v>0</v>
      </c>
      <c r="L3560" t="n">
        <v>0</v>
      </c>
      <c r="M3560" t="n">
        <v>0</v>
      </c>
      <c r="N3560" t="n">
        <v>0</v>
      </c>
      <c r="O3560" t="n">
        <v>0</v>
      </c>
      <c r="P3560" t="n">
        <v>0</v>
      </c>
      <c r="Q3560" t="n">
        <v>0</v>
      </c>
      <c r="R3560" t="n">
        <v>0</v>
      </c>
      <c r="S3560" t="n">
        <v>0</v>
      </c>
      <c r="T3560" t="n">
        <v>0</v>
      </c>
      <c r="U3560" t="n">
        <v>0</v>
      </c>
      <c r="V3560" s="2" t="inlineStr"/>
    </row>
    <row r="3561" ht="15" customHeight="1">
      <c r="A3561" t="inlineStr">
        <is>
          <t>S 4464-2022</t>
        </is>
      </c>
      <c r="B3561" t="inlineStr">
        <is>
          <t>samrådsanmälan</t>
        </is>
      </c>
      <c r="C3561" t="inlineStr">
        <is>
          <t>Annan skogsbruksåtgärd</t>
        </is>
      </c>
      <c r="D3561" s="1" t="n">
        <v>44788</v>
      </c>
      <c r="E3561" s="1" t="n">
        <v>46309</v>
      </c>
      <c r="F3561" t="inlineStr">
        <is>
          <t>UPPSALA LÄN</t>
        </is>
      </c>
      <c r="G3561" t="inlineStr">
        <is>
          <t>HEBY</t>
        </is>
      </c>
      <c r="I3561" t="n">
        <v>2.6</v>
      </c>
      <c r="J3561" t="n">
        <v>0</v>
      </c>
      <c r="K3561" t="n">
        <v>0</v>
      </c>
      <c r="L3561" t="n">
        <v>0</v>
      </c>
      <c r="M3561" t="n">
        <v>0</v>
      </c>
      <c r="N3561" t="n">
        <v>0</v>
      </c>
      <c r="O3561" t="n">
        <v>0</v>
      </c>
      <c r="P3561" t="n">
        <v>0</v>
      </c>
      <c r="Q3561" t="n">
        <v>0</v>
      </c>
      <c r="R3561" t="n">
        <v>0</v>
      </c>
      <c r="S3561" t="n">
        <v>0</v>
      </c>
      <c r="T3561" t="n">
        <v>0</v>
      </c>
      <c r="U3561" t="n">
        <v>0</v>
      </c>
      <c r="V3561" s="2" t="inlineStr"/>
    </row>
    <row r="3562" ht="15" customHeight="1">
      <c r="A3562" t="inlineStr">
        <is>
          <t>S 1683-2024</t>
        </is>
      </c>
      <c r="B3562" t="inlineStr">
        <is>
          <t>samrådsanmälan</t>
        </is>
      </c>
      <c r="C3562" t="inlineStr">
        <is>
          <t>Skogsgödsling</t>
        </is>
      </c>
      <c r="D3562" s="1" t="n">
        <v>45432</v>
      </c>
      <c r="E3562" s="1" t="n">
        <v>46309</v>
      </c>
      <c r="F3562" t="inlineStr">
        <is>
          <t>UPPSALA LÄN</t>
        </is>
      </c>
      <c r="G3562" t="inlineStr">
        <is>
          <t>TIERP</t>
        </is>
      </c>
      <c r="H3562" t="inlineStr">
        <is>
          <t>Bergvik skog väst AB</t>
        </is>
      </c>
      <c r="I3562" t="n">
        <v>16.6</v>
      </c>
      <c r="J3562" t="n">
        <v>0</v>
      </c>
      <c r="K3562" t="n">
        <v>0</v>
      </c>
      <c r="L3562" t="n">
        <v>0</v>
      </c>
      <c r="M3562" t="n">
        <v>0</v>
      </c>
      <c r="N3562" t="n">
        <v>0</v>
      </c>
      <c r="O3562" t="n">
        <v>0</v>
      </c>
      <c r="P3562" t="n">
        <v>0</v>
      </c>
      <c r="Q3562" t="n">
        <v>0</v>
      </c>
      <c r="R3562" t="n">
        <v>0</v>
      </c>
      <c r="S3562" t="n">
        <v>0</v>
      </c>
      <c r="T3562" t="n">
        <v>0</v>
      </c>
      <c r="U3562" t="n">
        <v>0</v>
      </c>
      <c r="V3562" s="2" t="inlineStr"/>
    </row>
    <row r="3563" ht="15" customHeight="1">
      <c r="A3563" t="inlineStr">
        <is>
          <t>S 3110-2023</t>
        </is>
      </c>
      <c r="B3563" t="inlineStr">
        <is>
          <t>samrådsanmälan</t>
        </is>
      </c>
      <c r="C3563" t="inlineStr">
        <is>
          <t>Annan skogsbruksåtgärd</t>
        </is>
      </c>
      <c r="D3563" s="1" t="n">
        <v>45182</v>
      </c>
      <c r="E3563" s="1" t="n">
        <v>46309</v>
      </c>
      <c r="F3563" t="inlineStr">
        <is>
          <t>UPPSALA LÄN</t>
        </is>
      </c>
      <c r="G3563" t="inlineStr">
        <is>
          <t>ÖSTHAMMAR</t>
        </is>
      </c>
      <c r="H3563" t="inlineStr">
        <is>
          <t>Bergvik skog öst AB</t>
        </is>
      </c>
      <c r="I3563" t="n">
        <v>3.8</v>
      </c>
      <c r="J3563" t="n">
        <v>0</v>
      </c>
      <c r="K3563" t="n">
        <v>0</v>
      </c>
      <c r="L3563" t="n">
        <v>0</v>
      </c>
      <c r="M3563" t="n">
        <v>0</v>
      </c>
      <c r="N3563" t="n">
        <v>0</v>
      </c>
      <c r="O3563" t="n">
        <v>0</v>
      </c>
      <c r="P3563" t="n">
        <v>0</v>
      </c>
      <c r="Q3563" t="n">
        <v>0</v>
      </c>
      <c r="R3563" t="n">
        <v>0</v>
      </c>
      <c r="S3563" t="n">
        <v>0</v>
      </c>
      <c r="T3563" t="n">
        <v>0</v>
      </c>
      <c r="U3563" t="n">
        <v>0</v>
      </c>
      <c r="V3563" s="2" t="inlineStr"/>
    </row>
    <row r="3564" ht="15" customHeight="1">
      <c r="A3564" t="inlineStr">
        <is>
          <t>S 1311-2023</t>
        </is>
      </c>
      <c r="B3564" t="inlineStr">
        <is>
          <t>samrådsanmälan</t>
        </is>
      </c>
      <c r="C3564" t="inlineStr">
        <is>
          <t>Annan skogsbruksåtgärd</t>
        </is>
      </c>
      <c r="D3564" s="1" t="n">
        <v>45035</v>
      </c>
      <c r="E3564" s="1" t="n">
        <v>46309</v>
      </c>
      <c r="F3564" t="inlineStr">
        <is>
          <t>UPPSALA LÄN</t>
        </is>
      </c>
      <c r="G3564" t="inlineStr">
        <is>
          <t>TIERP</t>
        </is>
      </c>
      <c r="H3564" t="inlineStr">
        <is>
          <t>Bergvik skog väst AB</t>
        </is>
      </c>
      <c r="I3564" t="n">
        <v>2.3</v>
      </c>
      <c r="J3564" t="n">
        <v>0</v>
      </c>
      <c r="K3564" t="n">
        <v>0</v>
      </c>
      <c r="L3564" t="n">
        <v>0</v>
      </c>
      <c r="M3564" t="n">
        <v>0</v>
      </c>
      <c r="N3564" t="n">
        <v>0</v>
      </c>
      <c r="O3564" t="n">
        <v>0</v>
      </c>
      <c r="P3564" t="n">
        <v>0</v>
      </c>
      <c r="Q3564" t="n">
        <v>0</v>
      </c>
      <c r="R3564" t="n">
        <v>0</v>
      </c>
      <c r="S3564" t="n">
        <v>0</v>
      </c>
      <c r="T3564" t="n">
        <v>0</v>
      </c>
      <c r="U3564" t="n">
        <v>0</v>
      </c>
      <c r="V3564" s="2" t="inlineStr"/>
    </row>
    <row r="3565" ht="15" customHeight="1">
      <c r="A3565" t="inlineStr">
        <is>
          <t>S 1695-2025</t>
        </is>
      </c>
      <c r="B3565" t="inlineStr">
        <is>
          <t>samrådsanmälan</t>
        </is>
      </c>
      <c r="C3565" t="inlineStr">
        <is>
          <t>Skogsgödsling</t>
        </is>
      </c>
      <c r="D3565" s="1" t="n">
        <v>45805</v>
      </c>
      <c r="E3565" s="1" t="n">
        <v>46309</v>
      </c>
      <c r="F3565" t="inlineStr">
        <is>
          <t>UPPSALA LÄN</t>
        </is>
      </c>
      <c r="G3565" t="inlineStr">
        <is>
          <t>TIERP</t>
        </is>
      </c>
      <c r="H3565" t="inlineStr">
        <is>
          <t>Bergvik skog väst AB</t>
        </is>
      </c>
      <c r="I3565" t="n">
        <v>18.6</v>
      </c>
      <c r="J3565" t="n">
        <v>0</v>
      </c>
      <c r="K3565" t="n">
        <v>0</v>
      </c>
      <c r="L3565" t="n">
        <v>0</v>
      </c>
      <c r="M3565" t="n">
        <v>0</v>
      </c>
      <c r="N3565" t="n">
        <v>0</v>
      </c>
      <c r="O3565" t="n">
        <v>0</v>
      </c>
      <c r="P3565" t="n">
        <v>0</v>
      </c>
      <c r="Q3565" t="n">
        <v>0</v>
      </c>
      <c r="R3565" t="n">
        <v>0</v>
      </c>
      <c r="S3565" t="n">
        <v>0</v>
      </c>
      <c r="T3565" t="n">
        <v>0</v>
      </c>
      <c r="U3565" t="n">
        <v>0</v>
      </c>
      <c r="V3565" s="2" t="inlineStr"/>
    </row>
    <row r="3566" ht="15" customHeight="1">
      <c r="A3566" t="inlineStr">
        <is>
          <t>S 2611-2025</t>
        </is>
      </c>
      <c r="B3566" t="inlineStr">
        <is>
          <t>samrådsanmälan</t>
        </is>
      </c>
      <c r="C3566" t="inlineStr">
        <is>
          <t>Annan skogsbruksåtgärd</t>
        </is>
      </c>
      <c r="D3566" s="1" t="n">
        <v>45916</v>
      </c>
      <c r="E3566" s="1" t="n">
        <v>46309</v>
      </c>
      <c r="F3566" t="inlineStr">
        <is>
          <t>UPPSALA LÄN</t>
        </is>
      </c>
      <c r="G3566" t="inlineStr">
        <is>
          <t>ÖSTHAMMAR</t>
        </is>
      </c>
      <c r="I3566" t="n">
        <v>1.1</v>
      </c>
      <c r="J3566" t="n">
        <v>0</v>
      </c>
      <c r="K3566" t="n">
        <v>0</v>
      </c>
      <c r="L3566" t="n">
        <v>0</v>
      </c>
      <c r="M3566" t="n">
        <v>0</v>
      </c>
      <c r="N3566" t="n">
        <v>0</v>
      </c>
      <c r="O3566" t="n">
        <v>0</v>
      </c>
      <c r="P3566" t="n">
        <v>0</v>
      </c>
      <c r="Q3566" t="n">
        <v>0</v>
      </c>
      <c r="R3566" t="n">
        <v>0</v>
      </c>
      <c r="S3566" t="n">
        <v>0</v>
      </c>
      <c r="T3566" t="n">
        <v>0</v>
      </c>
      <c r="U3566" t="n">
        <v>0</v>
      </c>
      <c r="V3566" s="2" t="inlineStr"/>
    </row>
    <row r="3567" ht="15" customHeight="1">
      <c r="A3567" t="inlineStr">
        <is>
          <t>S 2995-2025</t>
        </is>
      </c>
      <c r="B3567" t="inlineStr">
        <is>
          <t>samrådsanmälan</t>
        </is>
      </c>
      <c r="C3567" t="inlineStr">
        <is>
          <t>Annan skogsbruksåtgärd</t>
        </is>
      </c>
      <c r="D3567" s="1" t="n">
        <v>45957</v>
      </c>
      <c r="E3567" s="1" t="n">
        <v>46309</v>
      </c>
      <c r="F3567" t="inlineStr">
        <is>
          <t>UPPSALA LÄN</t>
        </is>
      </c>
      <c r="G3567" t="inlineStr">
        <is>
          <t>ÖSTHAMMAR</t>
        </is>
      </c>
      <c r="I3567" t="n">
        <v>5.1</v>
      </c>
      <c r="J3567" t="n">
        <v>0</v>
      </c>
      <c r="K3567" t="n">
        <v>0</v>
      </c>
      <c r="L3567" t="n">
        <v>0</v>
      </c>
      <c r="M3567" t="n">
        <v>0</v>
      </c>
      <c r="N3567" t="n">
        <v>0</v>
      </c>
      <c r="O3567" t="n">
        <v>0</v>
      </c>
      <c r="P3567" t="n">
        <v>0</v>
      </c>
      <c r="Q3567" t="n">
        <v>0</v>
      </c>
      <c r="R3567" t="n">
        <v>0</v>
      </c>
      <c r="S3567" t="n">
        <v>0</v>
      </c>
      <c r="T3567" t="n">
        <v>0</v>
      </c>
      <c r="U3567" t="n">
        <v>0</v>
      </c>
      <c r="V3567" s="2" t="inlineStr"/>
    </row>
    <row r="3568" ht="15" customHeight="1">
      <c r="A3568" t="inlineStr">
        <is>
          <t>S 3301-2025</t>
        </is>
      </c>
      <c r="B3568" t="inlineStr">
        <is>
          <t>samrådsanmälan</t>
        </is>
      </c>
      <c r="C3568" t="inlineStr">
        <is>
          <t>Annan skogsbruksåtgärd</t>
        </is>
      </c>
      <c r="D3568" s="1" t="n">
        <v>45987</v>
      </c>
      <c r="E3568" s="1" t="n">
        <v>46309</v>
      </c>
      <c r="F3568" t="inlineStr">
        <is>
          <t>UPPSALA LÄN</t>
        </is>
      </c>
      <c r="G3568" t="inlineStr">
        <is>
          <t>HEBY</t>
        </is>
      </c>
      <c r="I3568" t="n">
        <v>1</v>
      </c>
      <c r="J3568" t="n">
        <v>0</v>
      </c>
      <c r="K3568" t="n">
        <v>0</v>
      </c>
      <c r="L3568" t="n">
        <v>0</v>
      </c>
      <c r="M3568" t="n">
        <v>0</v>
      </c>
      <c r="N3568" t="n">
        <v>0</v>
      </c>
      <c r="O3568" t="n">
        <v>0</v>
      </c>
      <c r="P3568" t="n">
        <v>0</v>
      </c>
      <c r="Q3568" t="n">
        <v>0</v>
      </c>
      <c r="R3568" t="n">
        <v>0</v>
      </c>
      <c r="S3568" t="n">
        <v>0</v>
      </c>
      <c r="T3568" t="n">
        <v>0</v>
      </c>
      <c r="U3568" t="n">
        <v>0</v>
      </c>
      <c r="V3568" s="2" t="inlineStr"/>
    </row>
    <row r="3569" ht="15" customHeight="1">
      <c r="A3569" t="inlineStr">
        <is>
          <t>S 3259-2025</t>
        </is>
      </c>
      <c r="B3569" t="inlineStr">
        <is>
          <t>samrådsanmälan</t>
        </is>
      </c>
      <c r="C3569" t="inlineStr">
        <is>
          <t>Skogsgödsling</t>
        </is>
      </c>
      <c r="D3569" s="1" t="n">
        <v>45982</v>
      </c>
      <c r="E3569" s="1" t="n">
        <v>46309</v>
      </c>
      <c r="F3569" t="inlineStr">
        <is>
          <t>UPPSALA LÄN</t>
        </is>
      </c>
      <c r="G3569" t="inlineStr">
        <is>
          <t>TIERP</t>
        </is>
      </c>
      <c r="H3569" t="inlineStr">
        <is>
          <t>Bergvik skog väst AB</t>
        </is>
      </c>
      <c r="I3569" t="n">
        <v>24.2</v>
      </c>
      <c r="J3569" t="n">
        <v>0</v>
      </c>
      <c r="K3569" t="n">
        <v>0</v>
      </c>
      <c r="L3569" t="n">
        <v>0</v>
      </c>
      <c r="M3569" t="n">
        <v>0</v>
      </c>
      <c r="N3569" t="n">
        <v>0</v>
      </c>
      <c r="O3569" t="n">
        <v>0</v>
      </c>
      <c r="P3569" t="n">
        <v>0</v>
      </c>
      <c r="Q3569" t="n">
        <v>0</v>
      </c>
      <c r="R3569" t="n">
        <v>0</v>
      </c>
      <c r="S3569" t="n">
        <v>0</v>
      </c>
      <c r="T3569" t="n">
        <v>0</v>
      </c>
      <c r="U3569" t="n">
        <v>0</v>
      </c>
      <c r="V3569" s="2" t="inlineStr"/>
    </row>
    <row r="3570" ht="15" customHeight="1">
      <c r="A3570" t="inlineStr">
        <is>
          <t>S 3478-2025</t>
        </is>
      </c>
      <c r="B3570" t="inlineStr">
        <is>
          <t>samrådsanmälan</t>
        </is>
      </c>
      <c r="C3570" t="inlineStr">
        <is>
          <t>Annan skogsbruksåtgärd</t>
        </is>
      </c>
      <c r="D3570" s="1" t="n">
        <v>46000</v>
      </c>
      <c r="E3570" s="1" t="n">
        <v>46309</v>
      </c>
      <c r="F3570" t="inlineStr">
        <is>
          <t>UPPSALA LÄN</t>
        </is>
      </c>
      <c r="G3570" t="inlineStr">
        <is>
          <t>HEBY</t>
        </is>
      </c>
      <c r="I3570" t="n">
        <v>2</v>
      </c>
      <c r="J3570" t="n">
        <v>0</v>
      </c>
      <c r="K3570" t="n">
        <v>0</v>
      </c>
      <c r="L3570" t="n">
        <v>0</v>
      </c>
      <c r="M3570" t="n">
        <v>0</v>
      </c>
      <c r="N3570" t="n">
        <v>0</v>
      </c>
      <c r="O3570" t="n">
        <v>0</v>
      </c>
      <c r="P3570" t="n">
        <v>0</v>
      </c>
      <c r="Q3570" t="n">
        <v>0</v>
      </c>
      <c r="R3570" t="n">
        <v>0</v>
      </c>
      <c r="S3570" t="n">
        <v>0</v>
      </c>
      <c r="T3570" t="n">
        <v>0</v>
      </c>
      <c r="U3570" t="n">
        <v>0</v>
      </c>
      <c r="V3570" s="2" t="inlineStr"/>
    </row>
    <row r="3571" ht="15" customHeight="1">
      <c r="A3571" t="inlineStr">
        <is>
          <t>S 84-2026</t>
        </is>
      </c>
      <c r="B3571" t="inlineStr">
        <is>
          <t>samrådsanmälan</t>
        </is>
      </c>
      <c r="C3571" t="inlineStr">
        <is>
          <t>Annan skogsbruksåtgärd</t>
        </is>
      </c>
      <c r="D3571" s="1" t="n">
        <v>46034</v>
      </c>
      <c r="E3571" s="1" t="n">
        <v>46309</v>
      </c>
      <c r="F3571" t="inlineStr">
        <is>
          <t>UPPSALA LÄN</t>
        </is>
      </c>
      <c r="G3571" t="inlineStr">
        <is>
          <t>ÖSTHAMMAR</t>
        </is>
      </c>
      <c r="H3571" t="inlineStr">
        <is>
          <t>Bergvik skog öst AB</t>
        </is>
      </c>
      <c r="I3571" t="n">
        <v>4.8</v>
      </c>
      <c r="J3571" t="n">
        <v>0</v>
      </c>
      <c r="K3571" t="n">
        <v>0</v>
      </c>
      <c r="L3571" t="n">
        <v>0</v>
      </c>
      <c r="M3571" t="n">
        <v>0</v>
      </c>
      <c r="N3571" t="n">
        <v>0</v>
      </c>
      <c r="O3571" t="n">
        <v>0</v>
      </c>
      <c r="P3571" t="n">
        <v>0</v>
      </c>
      <c r="Q3571" t="n">
        <v>0</v>
      </c>
      <c r="R3571" t="n">
        <v>0</v>
      </c>
      <c r="S3571" t="n">
        <v>0</v>
      </c>
      <c r="T3571" t="n">
        <v>0</v>
      </c>
      <c r="U3571" t="n">
        <v>0</v>
      </c>
      <c r="V3571" s="2" t="inlineStr"/>
    </row>
    <row r="3572" ht="15" customHeight="1">
      <c r="A3572" t="inlineStr">
        <is>
          <t>S 598-2026</t>
        </is>
      </c>
      <c r="B3572" t="inlineStr">
        <is>
          <t>samrådsanmälan</t>
        </is>
      </c>
      <c r="C3572" t="inlineStr">
        <is>
          <t>Skogsgödsling</t>
        </is>
      </c>
      <c r="D3572" s="1" t="n">
        <v>46085</v>
      </c>
      <c r="E3572" s="1" t="n">
        <v>46309</v>
      </c>
      <c r="F3572" t="inlineStr">
        <is>
          <t>UPPSALA LÄN</t>
        </is>
      </c>
      <c r="G3572" t="inlineStr">
        <is>
          <t>HEBY</t>
        </is>
      </c>
      <c r="H3572" t="inlineStr">
        <is>
          <t>Bergvik skog väst AB</t>
        </is>
      </c>
      <c r="I3572" t="n">
        <v>43.4</v>
      </c>
      <c r="J3572" t="n">
        <v>0</v>
      </c>
      <c r="K3572" t="n">
        <v>0</v>
      </c>
      <c r="L3572" t="n">
        <v>0</v>
      </c>
      <c r="M3572" t="n">
        <v>0</v>
      </c>
      <c r="N3572" t="n">
        <v>0</v>
      </c>
      <c r="O3572" t="n">
        <v>0</v>
      </c>
      <c r="P3572" t="n">
        <v>0</v>
      </c>
      <c r="Q3572" t="n">
        <v>0</v>
      </c>
      <c r="R3572" t="n">
        <v>0</v>
      </c>
      <c r="S3572" t="n">
        <v>0</v>
      </c>
      <c r="T3572" t="n">
        <v>0</v>
      </c>
      <c r="U3572" t="n">
        <v>0</v>
      </c>
      <c r="V3572" s="2" t="inlineStr"/>
    </row>
    <row r="3573" ht="15" customHeight="1">
      <c r="A3573" t="inlineStr">
        <is>
          <t>S 634-2026</t>
        </is>
      </c>
      <c r="B3573" t="inlineStr">
        <is>
          <t>samrådsanmälan</t>
        </is>
      </c>
      <c r="C3573" t="inlineStr">
        <is>
          <t>Annan skogsbruksåtgärd</t>
        </is>
      </c>
      <c r="D3573" s="1" t="n">
        <v>46086</v>
      </c>
      <c r="E3573" s="1" t="n">
        <v>46309</v>
      </c>
      <c r="F3573" t="inlineStr">
        <is>
          <t>UPPSALA LÄN</t>
        </is>
      </c>
      <c r="G3573" t="inlineStr">
        <is>
          <t>UPPSALA</t>
        </is>
      </c>
      <c r="I3573" t="n">
        <v>9.199999999999999</v>
      </c>
      <c r="J3573" t="n">
        <v>0</v>
      </c>
      <c r="K3573" t="n">
        <v>0</v>
      </c>
      <c r="L3573" t="n">
        <v>0</v>
      </c>
      <c r="M3573" t="n">
        <v>0</v>
      </c>
      <c r="N3573" t="n">
        <v>0</v>
      </c>
      <c r="O3573" t="n">
        <v>0</v>
      </c>
      <c r="P3573" t="n">
        <v>0</v>
      </c>
      <c r="Q3573" t="n">
        <v>0</v>
      </c>
      <c r="R3573" t="n">
        <v>0</v>
      </c>
      <c r="S3573" t="n">
        <v>0</v>
      </c>
      <c r="T3573" t="n">
        <v>0</v>
      </c>
      <c r="U3573" t="n">
        <v>0</v>
      </c>
      <c r="V3573" s="2" t="inlineStr"/>
    </row>
    <row r="3574" ht="15" customHeight="1">
      <c r="A3574" t="inlineStr">
        <is>
          <t>S 750-2026</t>
        </is>
      </c>
      <c r="B3574" t="inlineStr">
        <is>
          <t>samrådsanmälan</t>
        </is>
      </c>
      <c r="C3574" t="inlineStr">
        <is>
          <t>Skogsgödsling</t>
        </is>
      </c>
      <c r="D3574" s="1" t="n">
        <v>46089</v>
      </c>
      <c r="E3574" s="1" t="n">
        <v>46309</v>
      </c>
      <c r="F3574" t="inlineStr">
        <is>
          <t>UPPSALA LÄN</t>
        </is>
      </c>
      <c r="G3574" t="inlineStr">
        <is>
          <t>ÖSTHAMMAR</t>
        </is>
      </c>
      <c r="H3574" t="inlineStr">
        <is>
          <t>Bergvik skog öst AB</t>
        </is>
      </c>
      <c r="I3574" t="n">
        <v>7.6</v>
      </c>
      <c r="J3574" t="n">
        <v>0</v>
      </c>
      <c r="K3574" t="n">
        <v>0</v>
      </c>
      <c r="L3574" t="n">
        <v>0</v>
      </c>
      <c r="M3574" t="n">
        <v>0</v>
      </c>
      <c r="N3574" t="n">
        <v>0</v>
      </c>
      <c r="O3574" t="n">
        <v>0</v>
      </c>
      <c r="P3574" t="n">
        <v>0</v>
      </c>
      <c r="Q3574" t="n">
        <v>0</v>
      </c>
      <c r="R3574" t="n">
        <v>0</v>
      </c>
      <c r="S3574" t="n">
        <v>0</v>
      </c>
      <c r="T3574" t="n">
        <v>0</v>
      </c>
      <c r="U3574" t="n">
        <v>0</v>
      </c>
      <c r="V3574" s="2" t="inlineStr"/>
    </row>
    <row r="3575" ht="15" customHeight="1">
      <c r="A3575" t="inlineStr">
        <is>
          <t>S 724-2026</t>
        </is>
      </c>
      <c r="B3575" t="inlineStr">
        <is>
          <t>samrådsanmälan</t>
        </is>
      </c>
      <c r="C3575" t="inlineStr">
        <is>
          <t>Annan skogsbruksåtgärd</t>
        </is>
      </c>
      <c r="D3575" s="1" t="n">
        <v>46093</v>
      </c>
      <c r="E3575" s="1" t="n">
        <v>46309</v>
      </c>
      <c r="F3575" t="inlineStr">
        <is>
          <t>UPPSALA LÄN</t>
        </is>
      </c>
      <c r="G3575" t="inlineStr">
        <is>
          <t>UPPSALA</t>
        </is>
      </c>
      <c r="I3575" t="n">
        <v>1.2</v>
      </c>
      <c r="J3575" t="n">
        <v>0</v>
      </c>
      <c r="K3575" t="n">
        <v>0</v>
      </c>
      <c r="L3575" t="n">
        <v>0</v>
      </c>
      <c r="M3575" t="n">
        <v>0</v>
      </c>
      <c r="N3575" t="n">
        <v>0</v>
      </c>
      <c r="O3575" t="n">
        <v>0</v>
      </c>
      <c r="P3575" t="n">
        <v>0</v>
      </c>
      <c r="Q3575" t="n">
        <v>0</v>
      </c>
      <c r="R3575" t="n">
        <v>0</v>
      </c>
      <c r="S3575" t="n">
        <v>0</v>
      </c>
      <c r="T3575" t="n">
        <v>0</v>
      </c>
      <c r="U3575" t="n">
        <v>0</v>
      </c>
      <c r="V3575" s="2" t="inlineStr"/>
    </row>
    <row r="3576" ht="15" customHeight="1">
      <c r="A3576" t="inlineStr">
        <is>
          <t>S 681-2026</t>
        </is>
      </c>
      <c r="B3576" t="inlineStr">
        <is>
          <t>samrådsanmälan</t>
        </is>
      </c>
      <c r="C3576" t="inlineStr">
        <is>
          <t>Skogsgödsling</t>
        </is>
      </c>
      <c r="D3576" s="1" t="n">
        <v>46089</v>
      </c>
      <c r="E3576" s="1" t="n">
        <v>46309</v>
      </c>
      <c r="F3576" t="inlineStr">
        <is>
          <t>UPPSALA LÄN</t>
        </is>
      </c>
      <c r="G3576" t="inlineStr">
        <is>
          <t>UPPSALA</t>
        </is>
      </c>
      <c r="H3576" t="inlineStr">
        <is>
          <t>Bergvik skog öst AB</t>
        </is>
      </c>
      <c r="I3576" t="n">
        <v>80.5</v>
      </c>
      <c r="J3576" t="n">
        <v>0</v>
      </c>
      <c r="K3576" t="n">
        <v>0</v>
      </c>
      <c r="L3576" t="n">
        <v>0</v>
      </c>
      <c r="M3576" t="n">
        <v>0</v>
      </c>
      <c r="N3576" t="n">
        <v>0</v>
      </c>
      <c r="O3576" t="n">
        <v>0</v>
      </c>
      <c r="P3576" t="n">
        <v>0</v>
      </c>
      <c r="Q3576" t="n">
        <v>0</v>
      </c>
      <c r="R3576" t="n">
        <v>0</v>
      </c>
      <c r="S3576" t="n">
        <v>0</v>
      </c>
      <c r="T3576" t="n">
        <v>0</v>
      </c>
      <c r="U3576" t="n">
        <v>0</v>
      </c>
      <c r="V3576" s="2" t="inlineStr"/>
    </row>
    <row r="3577" ht="15" customHeight="1">
      <c r="A3577" t="inlineStr">
        <is>
          <t>S 680-2026</t>
        </is>
      </c>
      <c r="B3577" t="inlineStr">
        <is>
          <t>samrådsanmälan</t>
        </is>
      </c>
      <c r="C3577" t="inlineStr">
        <is>
          <t>Skogsgödsling</t>
        </is>
      </c>
      <c r="D3577" s="1" t="n">
        <v>46089</v>
      </c>
      <c r="E3577" s="1" t="n">
        <v>46309</v>
      </c>
      <c r="F3577" t="inlineStr">
        <is>
          <t>UPPSALA LÄN</t>
        </is>
      </c>
      <c r="G3577" t="inlineStr">
        <is>
          <t>UPPSALA</t>
        </is>
      </c>
      <c r="H3577" t="inlineStr">
        <is>
          <t>Bergvik skog öst AB</t>
        </is>
      </c>
      <c r="I3577" t="n">
        <v>1.5</v>
      </c>
      <c r="J3577" t="n">
        <v>0</v>
      </c>
      <c r="K3577" t="n">
        <v>0</v>
      </c>
      <c r="L3577" t="n">
        <v>0</v>
      </c>
      <c r="M3577" t="n">
        <v>0</v>
      </c>
      <c r="N3577" t="n">
        <v>0</v>
      </c>
      <c r="O3577" t="n">
        <v>0</v>
      </c>
      <c r="P3577" t="n">
        <v>0</v>
      </c>
      <c r="Q3577" t="n">
        <v>0</v>
      </c>
      <c r="R3577" t="n">
        <v>0</v>
      </c>
      <c r="S3577" t="n">
        <v>0</v>
      </c>
      <c r="T3577" t="n">
        <v>0</v>
      </c>
      <c r="U3577" t="n">
        <v>0</v>
      </c>
      <c r="V3577" s="2" t="inlineStr"/>
    </row>
    <row r="3578" ht="15" customHeight="1">
      <c r="A3578" t="inlineStr">
        <is>
          <t>S 1104-2026</t>
        </is>
      </c>
      <c r="B3578" t="inlineStr">
        <is>
          <t>samrådsanmälan</t>
        </is>
      </c>
      <c r="C3578" t="inlineStr">
        <is>
          <t>Annan skogsbruksåtgärd</t>
        </is>
      </c>
      <c r="D3578" s="1" t="n">
        <v>46129</v>
      </c>
      <c r="E3578" s="1" t="n">
        <v>46309</v>
      </c>
      <c r="F3578" t="inlineStr">
        <is>
          <t>UPPSALA LÄN</t>
        </is>
      </c>
      <c r="G3578" t="inlineStr">
        <is>
          <t>UPPSALA</t>
        </is>
      </c>
      <c r="I3578" t="n">
        <v>8.9</v>
      </c>
      <c r="J3578" t="n">
        <v>0</v>
      </c>
      <c r="K3578" t="n">
        <v>0</v>
      </c>
      <c r="L3578" t="n">
        <v>0</v>
      </c>
      <c r="M3578" t="n">
        <v>0</v>
      </c>
      <c r="N3578" t="n">
        <v>0</v>
      </c>
      <c r="O3578" t="n">
        <v>0</v>
      </c>
      <c r="P3578" t="n">
        <v>0</v>
      </c>
      <c r="Q3578" t="n">
        <v>0</v>
      </c>
      <c r="R3578" t="n">
        <v>0</v>
      </c>
      <c r="S3578" t="n">
        <v>0</v>
      </c>
      <c r="T3578" t="n">
        <v>0</v>
      </c>
      <c r="U3578" t="n">
        <v>0</v>
      </c>
      <c r="V3578" s="2" t="inlineStr"/>
    </row>
    <row r="3579" ht="15" customHeight="1">
      <c r="A3579" t="inlineStr">
        <is>
          <t>S 1818-2026</t>
        </is>
      </c>
      <c r="B3579" t="inlineStr">
        <is>
          <t>samrådsanmälan</t>
        </is>
      </c>
      <c r="C3579" t="inlineStr">
        <is>
          <t>Annan skogsbruksåtgärd</t>
        </is>
      </c>
      <c r="D3579" s="1" t="n">
        <v>46190</v>
      </c>
      <c r="E3579" s="1" t="n">
        <v>46309</v>
      </c>
      <c r="F3579" t="inlineStr">
        <is>
          <t>UPPSALA LÄN</t>
        </is>
      </c>
      <c r="G3579" t="inlineStr">
        <is>
          <t>HEBY</t>
        </is>
      </c>
      <c r="H3579" t="inlineStr">
        <is>
          <t>Kommuner</t>
        </is>
      </c>
      <c r="I3579" t="n">
        <v>2.1</v>
      </c>
      <c r="J3579" t="n">
        <v>0</v>
      </c>
      <c r="K3579" t="n">
        <v>0</v>
      </c>
      <c r="L3579" t="n">
        <v>0</v>
      </c>
      <c r="M3579" t="n">
        <v>0</v>
      </c>
      <c r="N3579" t="n">
        <v>0</v>
      </c>
      <c r="O3579" t="n">
        <v>0</v>
      </c>
      <c r="P3579" t="n">
        <v>0</v>
      </c>
      <c r="Q3579" t="n">
        <v>0</v>
      </c>
      <c r="R3579" t="n">
        <v>0</v>
      </c>
      <c r="S3579" t="n">
        <v>0</v>
      </c>
      <c r="T3579" t="n">
        <v>0</v>
      </c>
      <c r="U3579" t="n">
        <v>0</v>
      </c>
      <c r="V3579" s="2" t="inlineStr"/>
    </row>
    <row r="3580" ht="15" customHeight="1">
      <c r="A3580" t="inlineStr">
        <is>
          <t>S 2346-2026</t>
        </is>
      </c>
      <c r="B3580" t="inlineStr">
        <is>
          <t>samrådsanmälan</t>
        </is>
      </c>
      <c r="C3580" t="inlineStr">
        <is>
          <t>Annan skogsbruksåtgärd</t>
        </is>
      </c>
      <c r="D3580" s="1" t="n">
        <v>46273</v>
      </c>
      <c r="E3580" s="1" t="n">
        <v>46309</v>
      </c>
      <c r="F3580" t="inlineStr">
        <is>
          <t>UPPSALA LÄN</t>
        </is>
      </c>
      <c r="G3580" t="inlineStr">
        <is>
          <t>HEBY</t>
        </is>
      </c>
      <c r="H3580" t="inlineStr">
        <is>
          <t>Bergvik skog väst AB</t>
        </is>
      </c>
      <c r="I3580" t="n">
        <v>0.8</v>
      </c>
      <c r="J3580" t="n">
        <v>0</v>
      </c>
      <c r="K3580" t="n">
        <v>0</v>
      </c>
      <c r="L3580" t="n">
        <v>0</v>
      </c>
      <c r="M3580" t="n">
        <v>0</v>
      </c>
      <c r="N3580" t="n">
        <v>0</v>
      </c>
      <c r="O3580" t="n">
        <v>0</v>
      </c>
      <c r="P3580" t="n">
        <v>0</v>
      </c>
      <c r="Q3580" t="n">
        <v>0</v>
      </c>
      <c r="R3580" t="n">
        <v>0</v>
      </c>
      <c r="S3580" t="n">
        <v>0</v>
      </c>
      <c r="T3580" t="n">
        <v>0</v>
      </c>
      <c r="U3580" t="n">
        <v>0</v>
      </c>
      <c r="V3580" s="2" t="inlineStr"/>
    </row>
    <row r="3581">
      <c r="A3581" t="inlineStr">
        <is>
          <t>S 2588-2026</t>
        </is>
      </c>
      <c r="B3581" t="inlineStr">
        <is>
          <t>samrådsanmälan</t>
        </is>
      </c>
      <c r="C3581" t="inlineStr">
        <is>
          <t>Annan skogsbruksåtgärd</t>
        </is>
      </c>
      <c r="D3581" s="1" t="n">
        <v>46296</v>
      </c>
      <c r="E3581" s="1" t="n">
        <v>46309</v>
      </c>
      <c r="F3581" t="inlineStr">
        <is>
          <t>UPPSALA LÄN</t>
        </is>
      </c>
      <c r="G3581" t="inlineStr">
        <is>
          <t>ÖSTHAMMAR</t>
        </is>
      </c>
      <c r="I3581" t="n">
        <v>0.4</v>
      </c>
      <c r="J3581" t="n">
        <v>0</v>
      </c>
      <c r="K3581" t="n">
        <v>0</v>
      </c>
      <c r="L3581" t="n">
        <v>0</v>
      </c>
      <c r="M3581" t="n">
        <v>0</v>
      </c>
      <c r="N3581" t="n">
        <v>0</v>
      </c>
      <c r="O3581" t="n">
        <v>0</v>
      </c>
      <c r="P3581" t="n">
        <v>0</v>
      </c>
      <c r="Q3581" t="n">
        <v>0</v>
      </c>
      <c r="R3581" t="n">
        <v>0</v>
      </c>
      <c r="S3581" t="n">
        <v>0</v>
      </c>
      <c r="T3581" t="n">
        <v>0</v>
      </c>
      <c r="U3581" t="n">
        <v>0</v>
      </c>
      <c r="V3581" s="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2026-10-14T02:04:57Z</dcterms:created>
  <dcterms:modified xmlns:dcterms="http://purl.org/dc/terms/" xmlns:xsi="http://www.w3.org/2001/XMLSchema-instance" xsi:type="dcterms:W3CDTF">2026-10-14T02:05:02Z</dcterms:modified>
</cp:coreProperties>
</file>