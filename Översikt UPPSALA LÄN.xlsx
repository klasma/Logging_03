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45706</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45706</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45706</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45706</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45706</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45706</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45706</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45706</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45706</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45706</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45706</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45706</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45706</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45706</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45706</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45706</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45706</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45706</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45706</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45706</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45706</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45706</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45706</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45706</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45706</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45706</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45706</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45706</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45706</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45706</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45706</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45706</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45706</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45706</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45706</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45706</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45706</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45706</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45706</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45706</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45706</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45706</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45706</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45706</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45706</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45706</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45706</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45706</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45706</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45706</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45706</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45706</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45706</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45706</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45706</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45706</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45706</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45706</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45706</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45706</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45706</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45706</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45706</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45706</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45706</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45706</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45706</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45706</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45706</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45706</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45706</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45706</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45706</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45706</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45706</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45706</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45706</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45706</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45706</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45706</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45706</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45706</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45706</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45706</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45706</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45706</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45706</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45706</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45706</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45706</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45706</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45706</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45706</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45706</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45706</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45706</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45706</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45706</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45706</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45706</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45706</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45706</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45706</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45706</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45706</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45706</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45706</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61388-2021</t>
        </is>
      </c>
      <c r="B133" s="1" t="n">
        <v>44500</v>
      </c>
      <c r="C133" s="1" t="n">
        <v>45706</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64564-2021</t>
        </is>
      </c>
      <c r="B134" s="1" t="n">
        <v>44511</v>
      </c>
      <c r="C134" s="1" t="n">
        <v>45706</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72667-2021</t>
        </is>
      </c>
      <c r="B135" s="1" t="n">
        <v>44546</v>
      </c>
      <c r="C135" s="1" t="n">
        <v>45706</v>
      </c>
      <c r="D135" t="inlineStr">
        <is>
          <t>UPPSALA LÄN</t>
        </is>
      </c>
      <c r="E135" t="inlineStr">
        <is>
          <t>ÖSTHAMMAR</t>
        </is>
      </c>
      <c r="G135" t="n">
        <v>1.2</v>
      </c>
      <c r="H135" t="n">
        <v>0</v>
      </c>
      <c r="I135" t="n">
        <v>4</v>
      </c>
      <c r="J135" t="n">
        <v>0</v>
      </c>
      <c r="K135" t="n">
        <v>1</v>
      </c>
      <c r="L135" t="n">
        <v>0</v>
      </c>
      <c r="M135" t="n">
        <v>0</v>
      </c>
      <c r="N135" t="n">
        <v>0</v>
      </c>
      <c r="O135" t="n">
        <v>1</v>
      </c>
      <c r="P135" t="n">
        <v>1</v>
      </c>
      <c r="Q135" t="n">
        <v>5</v>
      </c>
      <c r="R135" s="2" t="inlineStr">
        <is>
          <t>Duvspindling
Anisspindling
Olivspindling
Strimspindling
Svavelriska</t>
        </is>
      </c>
      <c r="S135">
        <f>HYPERLINK("https://klasma.github.io/Logging_0382/artfynd/A 72667-2021 artfynd.xlsx", "A 72667-2021")</f>
        <v/>
      </c>
      <c r="T135">
        <f>HYPERLINK("https://klasma.github.io/Logging_0382/kartor/A 72667-2021 karta.png", "A 72667-2021")</f>
        <v/>
      </c>
      <c r="V135">
        <f>HYPERLINK("https://klasma.github.io/Logging_0382/klagomål/A 72667-2021 FSC-klagomål.docx", "A 72667-2021")</f>
        <v/>
      </c>
      <c r="W135">
        <f>HYPERLINK("https://klasma.github.io/Logging_0382/klagomålsmail/A 72667-2021 FSC-klagomål mail.docx", "A 72667-2021")</f>
        <v/>
      </c>
      <c r="X135">
        <f>HYPERLINK("https://klasma.github.io/Logging_0382/tillsyn/A 72667-2021 tillsynsbegäran.docx", "A 72667-2021")</f>
        <v/>
      </c>
      <c r="Y135">
        <f>HYPERLINK("https://klasma.github.io/Logging_0382/tillsynsmail/A 72667-2021 tillsynsbegäran mail.docx", "A 72667-2021")</f>
        <v/>
      </c>
    </row>
    <row r="136" ht="15" customHeight="1">
      <c r="A136" t="inlineStr">
        <is>
          <t>A 1224-2022</t>
        </is>
      </c>
      <c r="B136" s="1" t="n">
        <v>44572</v>
      </c>
      <c r="C136" s="1" t="n">
        <v>45706</v>
      </c>
      <c r="D136" t="inlineStr">
        <is>
          <t>UPPSALA LÄN</t>
        </is>
      </c>
      <c r="E136" t="inlineStr">
        <is>
          <t>ÖSTHAMMAR</t>
        </is>
      </c>
      <c r="G136" t="n">
        <v>4.7</v>
      </c>
      <c r="H136" t="n">
        <v>2</v>
      </c>
      <c r="I136" t="n">
        <v>4</v>
      </c>
      <c r="J136" t="n">
        <v>0</v>
      </c>
      <c r="K136" t="n">
        <v>0</v>
      </c>
      <c r="L136" t="n">
        <v>0</v>
      </c>
      <c r="M136" t="n">
        <v>0</v>
      </c>
      <c r="N136" t="n">
        <v>0</v>
      </c>
      <c r="O136" t="n">
        <v>0</v>
      </c>
      <c r="P136" t="n">
        <v>0</v>
      </c>
      <c r="Q136" t="n">
        <v>5</v>
      </c>
      <c r="R136" s="2" t="inlineStr">
        <is>
          <t>Skogsknipprot
Svavelriska
Trubbfjädermossa
Vårärt
Blåsippa</t>
        </is>
      </c>
      <c r="S136">
        <f>HYPERLINK("https://klasma.github.io/Logging_0382/artfynd/A 1224-2022 artfynd.xlsx", "A 1224-2022")</f>
        <v/>
      </c>
      <c r="T136">
        <f>HYPERLINK("https://klasma.github.io/Logging_0382/kartor/A 1224-2022 karta.png", "A 1224-2022")</f>
        <v/>
      </c>
      <c r="V136">
        <f>HYPERLINK("https://klasma.github.io/Logging_0382/klagomål/A 1224-2022 FSC-klagomål.docx", "A 1224-2022")</f>
        <v/>
      </c>
      <c r="W136">
        <f>HYPERLINK("https://klasma.github.io/Logging_0382/klagomålsmail/A 1224-2022 FSC-klagomål mail.docx", "A 1224-2022")</f>
        <v/>
      </c>
      <c r="X136">
        <f>HYPERLINK("https://klasma.github.io/Logging_0382/tillsyn/A 1224-2022 tillsynsbegäran.docx", "A 1224-2022")</f>
        <v/>
      </c>
      <c r="Y136">
        <f>HYPERLINK("https://klasma.github.io/Logging_0382/tillsynsmail/A 1224-2022 tillsynsbegäran mail.docx", "A 1224-2022")</f>
        <v/>
      </c>
    </row>
    <row r="137" ht="15" customHeight="1">
      <c r="A137" t="inlineStr">
        <is>
          <t>A 1725-2022</t>
        </is>
      </c>
      <c r="B137" s="1" t="n">
        <v>44574</v>
      </c>
      <c r="C137" s="1" t="n">
        <v>45706</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1988-2022</t>
        </is>
      </c>
      <c r="B138" s="1" t="n">
        <v>44575</v>
      </c>
      <c r="C138" s="1" t="n">
        <v>45706</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8753-2022</t>
        </is>
      </c>
      <c r="B139" s="1" t="n">
        <v>44614</v>
      </c>
      <c r="C139" s="1" t="n">
        <v>45706</v>
      </c>
      <c r="D139" t="inlineStr">
        <is>
          <t>UPPSALA LÄN</t>
        </is>
      </c>
      <c r="E139" t="inlineStr">
        <is>
          <t>ÖSTHAMMAR</t>
        </is>
      </c>
      <c r="G139" t="n">
        <v>5.3</v>
      </c>
      <c r="H139" t="n">
        <v>0</v>
      </c>
      <c r="I139" t="n">
        <v>3</v>
      </c>
      <c r="J139" t="n">
        <v>0</v>
      </c>
      <c r="K139" t="n">
        <v>2</v>
      </c>
      <c r="L139" t="n">
        <v>0</v>
      </c>
      <c r="M139" t="n">
        <v>0</v>
      </c>
      <c r="N139" t="n">
        <v>0</v>
      </c>
      <c r="O139" t="n">
        <v>2</v>
      </c>
      <c r="P139" t="n">
        <v>2</v>
      </c>
      <c r="Q139" t="n">
        <v>5</v>
      </c>
      <c r="R139" s="2" t="inlineStr">
        <is>
          <t>Gyllenspindling
Spricktaggsvamp
Olivspindling
Skarp dropptaggsvamp
Svavelriska</t>
        </is>
      </c>
      <c r="S139">
        <f>HYPERLINK("https://klasma.github.io/Logging_0382/artfynd/A 8753-2022 artfynd.xlsx", "A 8753-2022")</f>
        <v/>
      </c>
      <c r="T139">
        <f>HYPERLINK("https://klasma.github.io/Logging_0382/kartor/A 8753-2022 karta.png", "A 8753-2022")</f>
        <v/>
      </c>
      <c r="V139">
        <f>HYPERLINK("https://klasma.github.io/Logging_0382/klagomål/A 8753-2022 FSC-klagomål.docx", "A 8753-2022")</f>
        <v/>
      </c>
      <c r="W139">
        <f>HYPERLINK("https://klasma.github.io/Logging_0382/klagomålsmail/A 8753-2022 FSC-klagomål mail.docx", "A 8753-2022")</f>
        <v/>
      </c>
      <c r="X139">
        <f>HYPERLINK("https://klasma.github.io/Logging_0382/tillsyn/A 8753-2022 tillsynsbegäran.docx", "A 8753-2022")</f>
        <v/>
      </c>
      <c r="Y139">
        <f>HYPERLINK("https://klasma.github.io/Logging_0382/tillsynsmail/A 8753-2022 tillsynsbegäran mail.docx", "A 8753-2022")</f>
        <v/>
      </c>
    </row>
    <row r="140" ht="15" customHeight="1">
      <c r="A140" t="inlineStr">
        <is>
          <t>A 15556-2022</t>
        </is>
      </c>
      <c r="B140" s="1" t="n">
        <v>44662</v>
      </c>
      <c r="C140" s="1" t="n">
        <v>45706</v>
      </c>
      <c r="D140" t="inlineStr">
        <is>
          <t>UPPSALA LÄN</t>
        </is>
      </c>
      <c r="E140" t="inlineStr">
        <is>
          <t>ÖSTHAMMAR</t>
        </is>
      </c>
      <c r="G140" t="n">
        <v>9.9</v>
      </c>
      <c r="H140" t="n">
        <v>1</v>
      </c>
      <c r="I140" t="n">
        <v>4</v>
      </c>
      <c r="J140" t="n">
        <v>1</v>
      </c>
      <c r="K140" t="n">
        <v>0</v>
      </c>
      <c r="L140" t="n">
        <v>0</v>
      </c>
      <c r="M140" t="n">
        <v>0</v>
      </c>
      <c r="N140" t="n">
        <v>0</v>
      </c>
      <c r="O140" t="n">
        <v>1</v>
      </c>
      <c r="P140" t="n">
        <v>0</v>
      </c>
      <c r="Q140" t="n">
        <v>5</v>
      </c>
      <c r="R140" s="2" t="inlineStr">
        <is>
          <t>Tallticka
Hasselticka
Skogsknipprot
Svart trolldruva
Tibast</t>
        </is>
      </c>
      <c r="S140">
        <f>HYPERLINK("https://klasma.github.io/Logging_0382/artfynd/A 15556-2022 artfynd.xlsx", "A 15556-2022")</f>
        <v/>
      </c>
      <c r="T140">
        <f>HYPERLINK("https://klasma.github.io/Logging_0382/kartor/A 15556-2022 karta.png", "A 15556-2022")</f>
        <v/>
      </c>
      <c r="V140">
        <f>HYPERLINK("https://klasma.github.io/Logging_0382/klagomål/A 15556-2022 FSC-klagomål.docx", "A 15556-2022")</f>
        <v/>
      </c>
      <c r="W140">
        <f>HYPERLINK("https://klasma.github.io/Logging_0382/klagomålsmail/A 15556-2022 FSC-klagomål mail.docx", "A 15556-2022")</f>
        <v/>
      </c>
      <c r="X140">
        <f>HYPERLINK("https://klasma.github.io/Logging_0382/tillsyn/A 15556-2022 tillsynsbegäran.docx", "A 15556-2022")</f>
        <v/>
      </c>
      <c r="Y140">
        <f>HYPERLINK("https://klasma.github.io/Logging_0382/tillsynsmail/A 15556-2022 tillsynsbegäran mail.docx", "A 15556-2022")</f>
        <v/>
      </c>
    </row>
    <row r="141" ht="15" customHeight="1">
      <c r="A141" t="inlineStr">
        <is>
          <t>A 24563-2022</t>
        </is>
      </c>
      <c r="B141" s="1" t="n">
        <v>44727</v>
      </c>
      <c r="C141" s="1" t="n">
        <v>45706</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39763-2022</t>
        </is>
      </c>
      <c r="B142" s="1" t="n">
        <v>44819</v>
      </c>
      <c r="C142" s="1" t="n">
        <v>45706</v>
      </c>
      <c r="D142" t="inlineStr">
        <is>
          <t>UPPSALA LÄN</t>
        </is>
      </c>
      <c r="E142" t="inlineStr">
        <is>
          <t>ÖSTHAMMAR</t>
        </is>
      </c>
      <c r="G142" t="n">
        <v>7</v>
      </c>
      <c r="H142" t="n">
        <v>1</v>
      </c>
      <c r="I142" t="n">
        <v>1</v>
      </c>
      <c r="J142" t="n">
        <v>2</v>
      </c>
      <c r="K142" t="n">
        <v>2</v>
      </c>
      <c r="L142" t="n">
        <v>0</v>
      </c>
      <c r="M142" t="n">
        <v>0</v>
      </c>
      <c r="N142" t="n">
        <v>0</v>
      </c>
      <c r="O142" t="n">
        <v>4</v>
      </c>
      <c r="P142" t="n">
        <v>2</v>
      </c>
      <c r="Q142" t="n">
        <v>5</v>
      </c>
      <c r="R142" s="2" t="inlineStr">
        <is>
          <t>Knärot
Violgubbe
Blek fingersvamp
Orange taggsvamp
Fjällig taggsvamp s.str.</t>
        </is>
      </c>
      <c r="S142">
        <f>HYPERLINK("https://klasma.github.io/Logging_0382/artfynd/A 39763-2022 artfynd.xlsx", "A 39763-2022")</f>
        <v/>
      </c>
      <c r="T142">
        <f>HYPERLINK("https://klasma.github.io/Logging_0382/kartor/A 39763-2022 karta.png", "A 39763-2022")</f>
        <v/>
      </c>
      <c r="U142">
        <f>HYPERLINK("https://klasma.github.io/Logging_0382/knärot/A 39763-2022 karta knärot.png", "A 39763-2022")</f>
        <v/>
      </c>
      <c r="V142">
        <f>HYPERLINK("https://klasma.github.io/Logging_0382/klagomål/A 39763-2022 FSC-klagomål.docx", "A 39763-2022")</f>
        <v/>
      </c>
      <c r="W142">
        <f>HYPERLINK("https://klasma.github.io/Logging_0382/klagomålsmail/A 39763-2022 FSC-klagomål mail.docx", "A 39763-2022")</f>
        <v/>
      </c>
      <c r="X142">
        <f>HYPERLINK("https://klasma.github.io/Logging_0382/tillsyn/A 39763-2022 tillsynsbegäran.docx", "A 39763-2022")</f>
        <v/>
      </c>
      <c r="Y142">
        <f>HYPERLINK("https://klasma.github.io/Logging_0382/tillsynsmail/A 39763-2022 tillsynsbegäran mail.docx", "A 39763-2022")</f>
        <v/>
      </c>
    </row>
    <row r="143" ht="15" customHeight="1">
      <c r="A143" t="inlineStr">
        <is>
          <t>A 43992-2022</t>
        </is>
      </c>
      <c r="B143" s="1" t="n">
        <v>44837</v>
      </c>
      <c r="C143" s="1" t="n">
        <v>45706</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53574-2022</t>
        </is>
      </c>
      <c r="B144" s="1" t="n">
        <v>44879</v>
      </c>
      <c r="C144" s="1" t="n">
        <v>45706</v>
      </c>
      <c r="D144" t="inlineStr">
        <is>
          <t>UPPSALA LÄN</t>
        </is>
      </c>
      <c r="E144" t="inlineStr">
        <is>
          <t>UPPSALA</t>
        </is>
      </c>
      <c r="G144" t="n">
        <v>19.2</v>
      </c>
      <c r="H144" t="n">
        <v>1</v>
      </c>
      <c r="I144" t="n">
        <v>4</v>
      </c>
      <c r="J144" t="n">
        <v>1</v>
      </c>
      <c r="K144" t="n">
        <v>0</v>
      </c>
      <c r="L144" t="n">
        <v>0</v>
      </c>
      <c r="M144" t="n">
        <v>0</v>
      </c>
      <c r="N144" t="n">
        <v>0</v>
      </c>
      <c r="O144" t="n">
        <v>1</v>
      </c>
      <c r="P144" t="n">
        <v>0</v>
      </c>
      <c r="Q144" t="n">
        <v>5</v>
      </c>
      <c r="R144" s="2" t="inlineStr">
        <is>
          <t>Ullticka
Fällmossa
Grön sköldmossa
Korallblylav
Stuplav</t>
        </is>
      </c>
      <c r="S144">
        <f>HYPERLINK("https://klasma.github.io/Logging_0380/artfynd/A 53574-2022 artfynd.xlsx", "A 53574-2022")</f>
        <v/>
      </c>
      <c r="T144">
        <f>HYPERLINK("https://klasma.github.io/Logging_0380/kartor/A 53574-2022 karta.png", "A 53574-2022")</f>
        <v/>
      </c>
      <c r="V144">
        <f>HYPERLINK("https://klasma.github.io/Logging_0380/klagomål/A 53574-2022 FSC-klagomål.docx", "A 53574-2022")</f>
        <v/>
      </c>
      <c r="W144">
        <f>HYPERLINK("https://klasma.github.io/Logging_0380/klagomålsmail/A 53574-2022 FSC-klagomål mail.docx", "A 53574-2022")</f>
        <v/>
      </c>
      <c r="X144">
        <f>HYPERLINK("https://klasma.github.io/Logging_0380/tillsyn/A 53574-2022 tillsynsbegäran.docx", "A 53574-2022")</f>
        <v/>
      </c>
      <c r="Y144">
        <f>HYPERLINK("https://klasma.github.io/Logging_0380/tillsynsmail/A 53574-2022 tillsynsbegäran mail.docx", "A 53574-2022")</f>
        <v/>
      </c>
    </row>
    <row r="145" ht="15" customHeight="1">
      <c r="A145" t="inlineStr">
        <is>
          <t>A 60284-2022</t>
        </is>
      </c>
      <c r="B145" s="1" t="n">
        <v>44910</v>
      </c>
      <c r="C145" s="1" t="n">
        <v>45706</v>
      </c>
      <c r="D145" t="inlineStr">
        <is>
          <t>UPPSALA LÄN</t>
        </is>
      </c>
      <c r="E145" t="inlineStr">
        <is>
          <t>ENKÖPING</t>
        </is>
      </c>
      <c r="G145" t="n">
        <v>2.9</v>
      </c>
      <c r="H145" t="n">
        <v>2</v>
      </c>
      <c r="I145" t="n">
        <v>4</v>
      </c>
      <c r="J145" t="n">
        <v>0</v>
      </c>
      <c r="K145" t="n">
        <v>0</v>
      </c>
      <c r="L145" t="n">
        <v>0</v>
      </c>
      <c r="M145" t="n">
        <v>0</v>
      </c>
      <c r="N145" t="n">
        <v>0</v>
      </c>
      <c r="O145" t="n">
        <v>0</v>
      </c>
      <c r="P145" t="n">
        <v>0</v>
      </c>
      <c r="Q145" t="n">
        <v>5</v>
      </c>
      <c r="R145" s="2" t="inlineStr">
        <is>
          <t>Fjällig taggsvamp s.str.
Nästrot
Olivspindling
Strimspindling
Gullviva</t>
        </is>
      </c>
      <c r="S145">
        <f>HYPERLINK("https://klasma.github.io/Logging_0381/artfynd/A 60284-2022 artfynd.xlsx", "A 60284-2022")</f>
        <v/>
      </c>
      <c r="T145">
        <f>HYPERLINK("https://klasma.github.io/Logging_0381/kartor/A 60284-2022 karta.png", "A 60284-2022")</f>
        <v/>
      </c>
      <c r="V145">
        <f>HYPERLINK("https://klasma.github.io/Logging_0381/klagomål/A 60284-2022 FSC-klagomål.docx", "A 60284-2022")</f>
        <v/>
      </c>
      <c r="W145">
        <f>HYPERLINK("https://klasma.github.io/Logging_0381/klagomålsmail/A 60284-2022 FSC-klagomål mail.docx", "A 60284-2022")</f>
        <v/>
      </c>
      <c r="X145">
        <f>HYPERLINK("https://klasma.github.io/Logging_0381/tillsyn/A 60284-2022 tillsynsbegäran.docx", "A 60284-2022")</f>
        <v/>
      </c>
      <c r="Y145">
        <f>HYPERLINK("https://klasma.github.io/Logging_0381/tillsynsmail/A 60284-2022 tillsynsbegäran mail.docx", "A 60284-2022")</f>
        <v/>
      </c>
    </row>
    <row r="146" ht="15" customHeight="1">
      <c r="A146" t="inlineStr">
        <is>
          <t>A 61139-2022</t>
        </is>
      </c>
      <c r="B146" s="1" t="n">
        <v>44915</v>
      </c>
      <c r="C146" s="1" t="n">
        <v>45706</v>
      </c>
      <c r="D146" t="inlineStr">
        <is>
          <t>UPPSALA LÄN</t>
        </is>
      </c>
      <c r="E146" t="inlineStr">
        <is>
          <t>HEBY</t>
        </is>
      </c>
      <c r="G146" t="n">
        <v>2</v>
      </c>
      <c r="H146" t="n">
        <v>1</v>
      </c>
      <c r="I146" t="n">
        <v>3</v>
      </c>
      <c r="J146" t="n">
        <v>1</v>
      </c>
      <c r="K146" t="n">
        <v>0</v>
      </c>
      <c r="L146" t="n">
        <v>0</v>
      </c>
      <c r="M146" t="n">
        <v>0</v>
      </c>
      <c r="N146" t="n">
        <v>0</v>
      </c>
      <c r="O146" t="n">
        <v>1</v>
      </c>
      <c r="P146" t="n">
        <v>0</v>
      </c>
      <c r="Q146" t="n">
        <v>5</v>
      </c>
      <c r="R146" s="2" t="inlineStr">
        <is>
          <t>Grönhjon
Björksplintborre
Jättesvampmal
Noshornsoxe
Blåsippa</t>
        </is>
      </c>
      <c r="S146">
        <f>HYPERLINK("https://klasma.github.io/Logging_0331/artfynd/A 61139-2022 artfynd.xlsx", "A 61139-2022")</f>
        <v/>
      </c>
      <c r="T146">
        <f>HYPERLINK("https://klasma.github.io/Logging_0331/kartor/A 61139-2022 karta.png", "A 61139-2022")</f>
        <v/>
      </c>
      <c r="V146">
        <f>HYPERLINK("https://klasma.github.io/Logging_0331/klagomål/A 61139-2022 FSC-klagomål.docx", "A 61139-2022")</f>
        <v/>
      </c>
      <c r="W146">
        <f>HYPERLINK("https://klasma.github.io/Logging_0331/klagomålsmail/A 61139-2022 FSC-klagomål mail.docx", "A 61139-2022")</f>
        <v/>
      </c>
      <c r="X146">
        <f>HYPERLINK("https://klasma.github.io/Logging_0331/tillsyn/A 61139-2022 tillsynsbegäran.docx", "A 61139-2022")</f>
        <v/>
      </c>
      <c r="Y146">
        <f>HYPERLINK("https://klasma.github.io/Logging_0331/tillsynsmail/A 61139-2022 tillsynsbegäran mail.docx", "A 61139-2022")</f>
        <v/>
      </c>
    </row>
    <row r="147" ht="15" customHeight="1">
      <c r="A147" t="inlineStr">
        <is>
          <t>A 62169-2022</t>
        </is>
      </c>
      <c r="B147" s="1" t="n">
        <v>44922</v>
      </c>
      <c r="C147" s="1" t="n">
        <v>45706</v>
      </c>
      <c r="D147" t="inlineStr">
        <is>
          <t>UPPSALA LÄN</t>
        </is>
      </c>
      <c r="E147" t="inlineStr">
        <is>
          <t>UPPSALA</t>
        </is>
      </c>
      <c r="G147" t="n">
        <v>19.6</v>
      </c>
      <c r="H147" t="n">
        <v>2</v>
      </c>
      <c r="I147" t="n">
        <v>2</v>
      </c>
      <c r="J147" t="n">
        <v>1</v>
      </c>
      <c r="K147" t="n">
        <v>1</v>
      </c>
      <c r="L147" t="n">
        <v>0</v>
      </c>
      <c r="M147" t="n">
        <v>0</v>
      </c>
      <c r="N147" t="n">
        <v>0</v>
      </c>
      <c r="O147" t="n">
        <v>2</v>
      </c>
      <c r="P147" t="n">
        <v>1</v>
      </c>
      <c r="Q147" t="n">
        <v>5</v>
      </c>
      <c r="R147" s="2" t="inlineStr">
        <is>
          <t>Knärot
Tallticka
Björksplintborre
Kamjordstjärna
Revlummer</t>
        </is>
      </c>
      <c r="S147">
        <f>HYPERLINK("https://klasma.github.io/Logging_0380/artfynd/A 62169-2022 artfynd.xlsx", "A 62169-2022")</f>
        <v/>
      </c>
      <c r="T147">
        <f>HYPERLINK("https://klasma.github.io/Logging_0380/kartor/A 62169-2022 karta.png", "A 62169-2022")</f>
        <v/>
      </c>
      <c r="U147">
        <f>HYPERLINK("https://klasma.github.io/Logging_0380/knärot/A 62169-2022 karta knärot.png", "A 62169-2022")</f>
        <v/>
      </c>
      <c r="V147">
        <f>HYPERLINK("https://klasma.github.io/Logging_0380/klagomål/A 62169-2022 FSC-klagomål.docx", "A 62169-2022")</f>
        <v/>
      </c>
      <c r="W147">
        <f>HYPERLINK("https://klasma.github.io/Logging_0380/klagomålsmail/A 62169-2022 FSC-klagomål mail.docx", "A 62169-2022")</f>
        <v/>
      </c>
      <c r="X147">
        <f>HYPERLINK("https://klasma.github.io/Logging_0380/tillsyn/A 62169-2022 tillsynsbegäran.docx", "A 62169-2022")</f>
        <v/>
      </c>
      <c r="Y147">
        <f>HYPERLINK("https://klasma.github.io/Logging_0380/tillsynsmail/A 62169-2022 tillsynsbegäran mail.docx", "A 62169-2022")</f>
        <v/>
      </c>
    </row>
    <row r="148" ht="15" customHeight="1">
      <c r="A148" t="inlineStr">
        <is>
          <t>A 3511-2023</t>
        </is>
      </c>
      <c r="B148" s="1" t="n">
        <v>44950</v>
      </c>
      <c r="C148" s="1" t="n">
        <v>45706</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7125-2023</t>
        </is>
      </c>
      <c r="B149" s="1" t="n">
        <v>44970</v>
      </c>
      <c r="C149" s="1" t="n">
        <v>45706</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9422-2023</t>
        </is>
      </c>
      <c r="B150" s="1" t="n">
        <v>44977</v>
      </c>
      <c r="C150" s="1" t="n">
        <v>45706</v>
      </c>
      <c r="D150" t="inlineStr">
        <is>
          <t>UPPSALA LÄN</t>
        </is>
      </c>
      <c r="E150" t="inlineStr">
        <is>
          <t>UPPSALA</t>
        </is>
      </c>
      <c r="G150" t="n">
        <v>4.5</v>
      </c>
      <c r="H150" t="n">
        <v>0</v>
      </c>
      <c r="I150" t="n">
        <v>5</v>
      </c>
      <c r="J150" t="n">
        <v>0</v>
      </c>
      <c r="K150" t="n">
        <v>0</v>
      </c>
      <c r="L150" t="n">
        <v>0</v>
      </c>
      <c r="M150" t="n">
        <v>0</v>
      </c>
      <c r="N150" t="n">
        <v>0</v>
      </c>
      <c r="O150" t="n">
        <v>0</v>
      </c>
      <c r="P150" t="n">
        <v>0</v>
      </c>
      <c r="Q150" t="n">
        <v>5</v>
      </c>
      <c r="R150" s="2" t="inlineStr">
        <is>
          <t>Anisspindling
Brun klibbskivling
Olivspindling
Skarp dropptaggsvamp
Strimspindling</t>
        </is>
      </c>
      <c r="S150">
        <f>HYPERLINK("https://klasma.github.io/Logging_0380/artfynd/A 9422-2023 artfynd.xlsx", "A 9422-2023")</f>
        <v/>
      </c>
      <c r="T150">
        <f>HYPERLINK("https://klasma.github.io/Logging_0380/kartor/A 9422-2023 karta.png", "A 9422-2023")</f>
        <v/>
      </c>
      <c r="V150">
        <f>HYPERLINK("https://klasma.github.io/Logging_0380/klagomål/A 9422-2023 FSC-klagomål.docx", "A 9422-2023")</f>
        <v/>
      </c>
      <c r="W150">
        <f>HYPERLINK("https://klasma.github.io/Logging_0380/klagomålsmail/A 9422-2023 FSC-klagomål mail.docx", "A 9422-2023")</f>
        <v/>
      </c>
      <c r="X150">
        <f>HYPERLINK("https://klasma.github.io/Logging_0380/tillsyn/A 9422-2023 tillsynsbegäran.docx", "A 9422-2023")</f>
        <v/>
      </c>
      <c r="Y150">
        <f>HYPERLINK("https://klasma.github.io/Logging_0380/tillsynsmail/A 9422-2023 tillsynsbegäran mail.docx", "A 9422-2023")</f>
        <v/>
      </c>
    </row>
    <row r="151" ht="15" customHeight="1">
      <c r="A151" t="inlineStr">
        <is>
          <t>A 13604-2023</t>
        </is>
      </c>
      <c r="B151" s="1" t="n">
        <v>45006</v>
      </c>
      <c r="C151" s="1" t="n">
        <v>45706</v>
      </c>
      <c r="D151" t="inlineStr">
        <is>
          <t>UPPSALA LÄN</t>
        </is>
      </c>
      <c r="E151" t="inlineStr">
        <is>
          <t>ÖSTHAMMAR</t>
        </is>
      </c>
      <c r="G151" t="n">
        <v>5.7</v>
      </c>
      <c r="H151" t="n">
        <v>0</v>
      </c>
      <c r="I151" t="n">
        <v>4</v>
      </c>
      <c r="J151" t="n">
        <v>1</v>
      </c>
      <c r="K151" t="n">
        <v>0</v>
      </c>
      <c r="L151" t="n">
        <v>0</v>
      </c>
      <c r="M151" t="n">
        <v>0</v>
      </c>
      <c r="N151" t="n">
        <v>0</v>
      </c>
      <c r="O151" t="n">
        <v>1</v>
      </c>
      <c r="P151" t="n">
        <v>0</v>
      </c>
      <c r="Q151" t="n">
        <v>5</v>
      </c>
      <c r="R151" s="2" t="inlineStr">
        <is>
          <t>Odörspindling
Anisspindling
Diskvaxskivling
Olivspindling
Rödgul trumpetsvamp</t>
        </is>
      </c>
      <c r="S151">
        <f>HYPERLINK("https://klasma.github.io/Logging_0382/artfynd/A 13604-2023 artfynd.xlsx", "A 13604-2023")</f>
        <v/>
      </c>
      <c r="T151">
        <f>HYPERLINK("https://klasma.github.io/Logging_0382/kartor/A 13604-2023 karta.png", "A 13604-2023")</f>
        <v/>
      </c>
      <c r="V151">
        <f>HYPERLINK("https://klasma.github.io/Logging_0382/klagomål/A 13604-2023 FSC-klagomål.docx", "A 13604-2023")</f>
        <v/>
      </c>
      <c r="W151">
        <f>HYPERLINK("https://klasma.github.io/Logging_0382/klagomålsmail/A 13604-2023 FSC-klagomål mail.docx", "A 13604-2023")</f>
        <v/>
      </c>
      <c r="X151">
        <f>HYPERLINK("https://klasma.github.io/Logging_0382/tillsyn/A 13604-2023 tillsynsbegäran.docx", "A 13604-2023")</f>
        <v/>
      </c>
      <c r="Y151">
        <f>HYPERLINK("https://klasma.github.io/Logging_0382/tillsynsmail/A 13604-2023 tillsynsbegäran mail.docx", "A 13604-2023")</f>
        <v/>
      </c>
    </row>
    <row r="152" ht="15" customHeight="1">
      <c r="A152" t="inlineStr">
        <is>
          <t>A 17954-2023</t>
        </is>
      </c>
      <c r="B152" s="1" t="n">
        <v>45040</v>
      </c>
      <c r="C152" s="1" t="n">
        <v>45706</v>
      </c>
      <c r="D152" t="inlineStr">
        <is>
          <t>UPPSALA LÄN</t>
        </is>
      </c>
      <c r="E152" t="inlineStr">
        <is>
          <t>TIERP</t>
        </is>
      </c>
      <c r="G152" t="n">
        <v>8.199999999999999</v>
      </c>
      <c r="H152" t="n">
        <v>0</v>
      </c>
      <c r="I152" t="n">
        <v>2</v>
      </c>
      <c r="J152" t="n">
        <v>1</v>
      </c>
      <c r="K152" t="n">
        <v>2</v>
      </c>
      <c r="L152" t="n">
        <v>0</v>
      </c>
      <c r="M152" t="n">
        <v>0</v>
      </c>
      <c r="N152" t="n">
        <v>0</v>
      </c>
      <c r="O152" t="n">
        <v>3</v>
      </c>
      <c r="P152" t="n">
        <v>2</v>
      </c>
      <c r="Q152" t="n">
        <v>5</v>
      </c>
      <c r="R152" s="2" t="inlineStr">
        <is>
          <t>Duvspindling
Taggfingersvamp
Äggspindling
Anisspindling
Olivspindling</t>
        </is>
      </c>
      <c r="S152">
        <f>HYPERLINK("https://klasma.github.io/Logging_0360/artfynd/A 17954-2023 artfynd.xlsx", "A 17954-2023")</f>
        <v/>
      </c>
      <c r="T152">
        <f>HYPERLINK("https://klasma.github.io/Logging_0360/kartor/A 17954-2023 karta.png", "A 17954-2023")</f>
        <v/>
      </c>
      <c r="V152">
        <f>HYPERLINK("https://klasma.github.io/Logging_0360/klagomål/A 17954-2023 FSC-klagomål.docx", "A 17954-2023")</f>
        <v/>
      </c>
      <c r="W152">
        <f>HYPERLINK("https://klasma.github.io/Logging_0360/klagomålsmail/A 17954-2023 FSC-klagomål mail.docx", "A 17954-2023")</f>
        <v/>
      </c>
      <c r="X152">
        <f>HYPERLINK("https://klasma.github.io/Logging_0360/tillsyn/A 17954-2023 tillsynsbegäran.docx", "A 17954-2023")</f>
        <v/>
      </c>
      <c r="Y152">
        <f>HYPERLINK("https://klasma.github.io/Logging_0360/tillsynsmail/A 17954-2023 tillsynsbegäran mail.docx", "A 17954-2023")</f>
        <v/>
      </c>
    </row>
    <row r="153" ht="15" customHeight="1">
      <c r="A153" t="inlineStr">
        <is>
          <t>A 23498-2023</t>
        </is>
      </c>
      <c r="B153" s="1" t="n">
        <v>45076</v>
      </c>
      <c r="C153" s="1" t="n">
        <v>45706</v>
      </c>
      <c r="D153" t="inlineStr">
        <is>
          <t>UPPSALA LÄN</t>
        </is>
      </c>
      <c r="E153" t="inlineStr">
        <is>
          <t>ÖSTHAMMAR</t>
        </is>
      </c>
      <c r="F153" t="inlineStr">
        <is>
          <t>Sveaskog</t>
        </is>
      </c>
      <c r="G153" t="n">
        <v>1.4</v>
      </c>
      <c r="H153" t="n">
        <v>5</v>
      </c>
      <c r="I153" t="n">
        <v>0</v>
      </c>
      <c r="J153" t="n">
        <v>3</v>
      </c>
      <c r="K153" t="n">
        <v>1</v>
      </c>
      <c r="L153" t="n">
        <v>1</v>
      </c>
      <c r="M153" t="n">
        <v>0</v>
      </c>
      <c r="N153" t="n">
        <v>0</v>
      </c>
      <c r="O153" t="n">
        <v>5</v>
      </c>
      <c r="P153" t="n">
        <v>2</v>
      </c>
      <c r="Q153" t="n">
        <v>5</v>
      </c>
      <c r="R153" s="2" t="inlineStr">
        <is>
          <t>Grönfink
Gråtrut
Gulsparv
Svartvit flugsnappare
Talltita</t>
        </is>
      </c>
      <c r="S153">
        <f>HYPERLINK("https://klasma.github.io/Logging_0382/artfynd/A 23498-2023 artfynd.xlsx", "A 23498-2023")</f>
        <v/>
      </c>
      <c r="T153">
        <f>HYPERLINK("https://klasma.github.io/Logging_0382/kartor/A 23498-2023 karta.png", "A 23498-2023")</f>
        <v/>
      </c>
      <c r="V153">
        <f>HYPERLINK("https://klasma.github.io/Logging_0382/klagomål/A 23498-2023 FSC-klagomål.docx", "A 23498-2023")</f>
        <v/>
      </c>
      <c r="W153">
        <f>HYPERLINK("https://klasma.github.io/Logging_0382/klagomålsmail/A 23498-2023 FSC-klagomål mail.docx", "A 23498-2023")</f>
        <v/>
      </c>
      <c r="X153">
        <f>HYPERLINK("https://klasma.github.io/Logging_0382/tillsyn/A 23498-2023 tillsynsbegäran.docx", "A 23498-2023")</f>
        <v/>
      </c>
      <c r="Y153">
        <f>HYPERLINK("https://klasma.github.io/Logging_0382/tillsynsmail/A 23498-2023 tillsynsbegäran mail.docx", "A 23498-2023")</f>
        <v/>
      </c>
      <c r="Z153">
        <f>HYPERLINK("https://klasma.github.io/Logging_0382/fåglar/A 23498-2023 prioriterade fågelarter.docx", "A 23498-2023")</f>
        <v/>
      </c>
    </row>
    <row r="154" ht="15" customHeight="1">
      <c r="A154" t="inlineStr">
        <is>
          <t>A 27625-2023</t>
        </is>
      </c>
      <c r="B154" s="1" t="n">
        <v>45097</v>
      </c>
      <c r="C154" s="1" t="n">
        <v>45706</v>
      </c>
      <c r="D154" t="inlineStr">
        <is>
          <t>UPPSALA LÄN</t>
        </is>
      </c>
      <c r="E154" t="inlineStr">
        <is>
          <t>UPPSALA</t>
        </is>
      </c>
      <c r="G154" t="n">
        <v>6</v>
      </c>
      <c r="H154" t="n">
        <v>4</v>
      </c>
      <c r="I154" t="n">
        <v>1</v>
      </c>
      <c r="J154" t="n">
        <v>1</v>
      </c>
      <c r="K154" t="n">
        <v>0</v>
      </c>
      <c r="L154" t="n">
        <v>0</v>
      </c>
      <c r="M154" t="n">
        <v>0</v>
      </c>
      <c r="N154" t="n">
        <v>0</v>
      </c>
      <c r="O154" t="n">
        <v>1</v>
      </c>
      <c r="P154" t="n">
        <v>0</v>
      </c>
      <c r="Q154" t="n">
        <v>5</v>
      </c>
      <c r="R154" s="2" t="inlineStr">
        <is>
          <t>Spillkråka
Fällmossa
Gröngöling
Skogsödla
Blåsippa</t>
        </is>
      </c>
      <c r="S154">
        <f>HYPERLINK("https://klasma.github.io/Logging_0380/artfynd/A 27625-2023 artfynd.xlsx", "A 27625-2023")</f>
        <v/>
      </c>
      <c r="T154">
        <f>HYPERLINK("https://klasma.github.io/Logging_0380/kartor/A 27625-2023 karta.png", "A 27625-2023")</f>
        <v/>
      </c>
      <c r="V154">
        <f>HYPERLINK("https://klasma.github.io/Logging_0380/klagomål/A 27625-2023 FSC-klagomål.docx", "A 27625-2023")</f>
        <v/>
      </c>
      <c r="W154">
        <f>HYPERLINK("https://klasma.github.io/Logging_0380/klagomålsmail/A 27625-2023 FSC-klagomål mail.docx", "A 27625-2023")</f>
        <v/>
      </c>
      <c r="X154">
        <f>HYPERLINK("https://klasma.github.io/Logging_0380/tillsyn/A 27625-2023 tillsynsbegäran.docx", "A 27625-2023")</f>
        <v/>
      </c>
      <c r="Y154">
        <f>HYPERLINK("https://klasma.github.io/Logging_0380/tillsynsmail/A 27625-2023 tillsynsbegäran mail.docx", "A 27625-2023")</f>
        <v/>
      </c>
      <c r="Z154">
        <f>HYPERLINK("https://klasma.github.io/Logging_0380/fåglar/A 27625-2023 prioriterade fågelarter.docx", "A 27625-2023")</f>
        <v/>
      </c>
    </row>
    <row r="155" ht="15" customHeight="1">
      <c r="A155" t="inlineStr">
        <is>
          <t>A 28211-2023</t>
        </is>
      </c>
      <c r="B155" s="1" t="n">
        <v>45099</v>
      </c>
      <c r="C155" s="1" t="n">
        <v>45706</v>
      </c>
      <c r="D155" t="inlineStr">
        <is>
          <t>UPPSALA LÄN</t>
        </is>
      </c>
      <c r="E155" t="inlineStr">
        <is>
          <t>ÖSTHAMMAR</t>
        </is>
      </c>
      <c r="G155" t="n">
        <v>3.2</v>
      </c>
      <c r="H155" t="n">
        <v>5</v>
      </c>
      <c r="I155" t="n">
        <v>0</v>
      </c>
      <c r="J155" t="n">
        <v>1</v>
      </c>
      <c r="K155" t="n">
        <v>2</v>
      </c>
      <c r="L155" t="n">
        <v>2</v>
      </c>
      <c r="M155" t="n">
        <v>0</v>
      </c>
      <c r="N155" t="n">
        <v>0</v>
      </c>
      <c r="O155" t="n">
        <v>5</v>
      </c>
      <c r="P155" t="n">
        <v>4</v>
      </c>
      <c r="Q155" t="n">
        <v>5</v>
      </c>
      <c r="R155" s="2" t="inlineStr">
        <is>
          <t>Ejder
Grönfink
Havstrut
Kricka
Rödvingetrast</t>
        </is>
      </c>
      <c r="S155">
        <f>HYPERLINK("https://klasma.github.io/Logging_0382/artfynd/A 28211-2023 artfynd.xlsx", "A 28211-2023")</f>
        <v/>
      </c>
      <c r="T155">
        <f>HYPERLINK("https://klasma.github.io/Logging_0382/kartor/A 28211-2023 karta.png", "A 28211-2023")</f>
        <v/>
      </c>
      <c r="V155">
        <f>HYPERLINK("https://klasma.github.io/Logging_0382/klagomål/A 28211-2023 FSC-klagomål.docx", "A 28211-2023")</f>
        <v/>
      </c>
      <c r="W155">
        <f>HYPERLINK("https://klasma.github.io/Logging_0382/klagomålsmail/A 28211-2023 FSC-klagomål mail.docx", "A 28211-2023")</f>
        <v/>
      </c>
      <c r="X155">
        <f>HYPERLINK("https://klasma.github.io/Logging_0382/tillsyn/A 28211-2023 tillsynsbegäran.docx", "A 28211-2023")</f>
        <v/>
      </c>
      <c r="Y155">
        <f>HYPERLINK("https://klasma.github.io/Logging_0382/tillsynsmail/A 28211-2023 tillsynsbegäran mail.docx", "A 28211-2023")</f>
        <v/>
      </c>
      <c r="Z155">
        <f>HYPERLINK("https://klasma.github.io/Logging_0382/fåglar/A 28211-2023 prioriterade fågelarter.docx", "A 28211-2023")</f>
        <v/>
      </c>
    </row>
    <row r="156" ht="15" customHeight="1">
      <c r="A156" t="inlineStr">
        <is>
          <t>A 29803-2023</t>
        </is>
      </c>
      <c r="B156" s="1" t="n">
        <v>45107</v>
      </c>
      <c r="C156" s="1" t="n">
        <v>45706</v>
      </c>
      <c r="D156" t="inlineStr">
        <is>
          <t>UPPSALA LÄN</t>
        </is>
      </c>
      <c r="E156" t="inlineStr">
        <is>
          <t>UPPSALA</t>
        </is>
      </c>
      <c r="G156" t="n">
        <v>2.5</v>
      </c>
      <c r="H156" t="n">
        <v>0</v>
      </c>
      <c r="I156" t="n">
        <v>3</v>
      </c>
      <c r="J156" t="n">
        <v>2</v>
      </c>
      <c r="K156" t="n">
        <v>0</v>
      </c>
      <c r="L156" t="n">
        <v>0</v>
      </c>
      <c r="M156" t="n">
        <v>0</v>
      </c>
      <c r="N156" t="n">
        <v>0</v>
      </c>
      <c r="O156" t="n">
        <v>2</v>
      </c>
      <c r="P156" t="n">
        <v>0</v>
      </c>
      <c r="Q156" t="n">
        <v>5</v>
      </c>
      <c r="R156" s="2" t="inlineStr">
        <is>
          <t>Barrviolspindling
Flattoppad klubbsvamp
Blomkålssvamp
Fjällig taggsvamp s.str.
Svavelriska</t>
        </is>
      </c>
      <c r="S156">
        <f>HYPERLINK("https://klasma.github.io/Logging_0380/artfynd/A 29803-2023 artfynd.xlsx", "A 29803-2023")</f>
        <v/>
      </c>
      <c r="T156">
        <f>HYPERLINK("https://klasma.github.io/Logging_0380/kartor/A 29803-2023 karta.png", "A 29803-2023")</f>
        <v/>
      </c>
      <c r="V156">
        <f>HYPERLINK("https://klasma.github.io/Logging_0380/klagomål/A 29803-2023 FSC-klagomål.docx", "A 29803-2023")</f>
        <v/>
      </c>
      <c r="W156">
        <f>HYPERLINK("https://klasma.github.io/Logging_0380/klagomålsmail/A 29803-2023 FSC-klagomål mail.docx", "A 29803-2023")</f>
        <v/>
      </c>
      <c r="X156">
        <f>HYPERLINK("https://klasma.github.io/Logging_0380/tillsyn/A 29803-2023 tillsynsbegäran.docx", "A 29803-2023")</f>
        <v/>
      </c>
      <c r="Y156">
        <f>HYPERLINK("https://klasma.github.io/Logging_0380/tillsynsmail/A 29803-2023 tillsynsbegäran mail.docx", "A 29803-2023")</f>
        <v/>
      </c>
    </row>
    <row r="157" ht="15" customHeight="1">
      <c r="A157" t="inlineStr">
        <is>
          <t>A 31572-2023</t>
        </is>
      </c>
      <c r="B157" s="1" t="n">
        <v>45117</v>
      </c>
      <c r="C157" s="1" t="n">
        <v>45706</v>
      </c>
      <c r="D157" t="inlineStr">
        <is>
          <t>UPPSALA LÄN</t>
        </is>
      </c>
      <c r="E157" t="inlineStr">
        <is>
          <t>HEBY</t>
        </is>
      </c>
      <c r="G157" t="n">
        <v>6.1</v>
      </c>
      <c r="H157" t="n">
        <v>2</v>
      </c>
      <c r="I157" t="n">
        <v>3</v>
      </c>
      <c r="J157" t="n">
        <v>0</v>
      </c>
      <c r="K157" t="n">
        <v>1</v>
      </c>
      <c r="L157" t="n">
        <v>0</v>
      </c>
      <c r="M157" t="n">
        <v>0</v>
      </c>
      <c r="N157" t="n">
        <v>0</v>
      </c>
      <c r="O157" t="n">
        <v>1</v>
      </c>
      <c r="P157" t="n">
        <v>1</v>
      </c>
      <c r="Q157" t="n">
        <v>5</v>
      </c>
      <c r="R157" s="2" t="inlineStr">
        <is>
          <t>Knärot
Grönpyrola
Norrlandslav
Vedticka
Fläcknycklar</t>
        </is>
      </c>
      <c r="S157">
        <f>HYPERLINK("https://klasma.github.io/Logging_0331/artfynd/A 31572-2023 artfynd.xlsx", "A 31572-2023")</f>
        <v/>
      </c>
      <c r="T157">
        <f>HYPERLINK("https://klasma.github.io/Logging_0331/kartor/A 31572-2023 karta.png", "A 31572-2023")</f>
        <v/>
      </c>
      <c r="U157">
        <f>HYPERLINK("https://klasma.github.io/Logging_0331/knärot/A 31572-2023 karta knärot.png", "A 31572-2023")</f>
        <v/>
      </c>
      <c r="V157">
        <f>HYPERLINK("https://klasma.github.io/Logging_0331/klagomål/A 31572-2023 FSC-klagomål.docx", "A 31572-2023")</f>
        <v/>
      </c>
      <c r="W157">
        <f>HYPERLINK("https://klasma.github.io/Logging_0331/klagomålsmail/A 31572-2023 FSC-klagomål mail.docx", "A 31572-2023")</f>
        <v/>
      </c>
      <c r="X157">
        <f>HYPERLINK("https://klasma.github.io/Logging_0331/tillsyn/A 31572-2023 tillsynsbegäran.docx", "A 31572-2023")</f>
        <v/>
      </c>
      <c r="Y157">
        <f>HYPERLINK("https://klasma.github.io/Logging_0331/tillsynsmail/A 31572-2023 tillsynsbegäran mail.docx", "A 31572-2023")</f>
        <v/>
      </c>
    </row>
    <row r="158" ht="15" customHeight="1">
      <c r="A158" t="inlineStr">
        <is>
          <t>A 46964-2023</t>
        </is>
      </c>
      <c r="B158" s="1" t="n">
        <v>45201</v>
      </c>
      <c r="C158" s="1" t="n">
        <v>45706</v>
      </c>
      <c r="D158" t="inlineStr">
        <is>
          <t>UPPSALA LÄN</t>
        </is>
      </c>
      <c r="E158" t="inlineStr">
        <is>
          <t>ÖSTHAMMAR</t>
        </is>
      </c>
      <c r="G158" t="n">
        <v>1.1</v>
      </c>
      <c r="H158" t="n">
        <v>0</v>
      </c>
      <c r="I158" t="n">
        <v>3</v>
      </c>
      <c r="J158" t="n">
        <v>2</v>
      </c>
      <c r="K158" t="n">
        <v>0</v>
      </c>
      <c r="L158" t="n">
        <v>0</v>
      </c>
      <c r="M158" t="n">
        <v>0</v>
      </c>
      <c r="N158" t="n">
        <v>0</v>
      </c>
      <c r="O158" t="n">
        <v>2</v>
      </c>
      <c r="P158" t="n">
        <v>0</v>
      </c>
      <c r="Q158" t="n">
        <v>5</v>
      </c>
      <c r="R158" s="2" t="inlineStr">
        <is>
          <t>Granticka
Orange taggsvamp
Anisspindling
Granbarkgnagare
Trådticka</t>
        </is>
      </c>
      <c r="S158">
        <f>HYPERLINK("https://klasma.github.io/Logging_0382/artfynd/A 46964-2023 artfynd.xlsx", "A 46964-2023")</f>
        <v/>
      </c>
      <c r="T158">
        <f>HYPERLINK("https://klasma.github.io/Logging_0382/kartor/A 46964-2023 karta.png", "A 46964-2023")</f>
        <v/>
      </c>
      <c r="V158">
        <f>HYPERLINK("https://klasma.github.io/Logging_0382/klagomål/A 46964-2023 FSC-klagomål.docx", "A 46964-2023")</f>
        <v/>
      </c>
      <c r="W158">
        <f>HYPERLINK("https://klasma.github.io/Logging_0382/klagomålsmail/A 46964-2023 FSC-klagomål mail.docx", "A 46964-2023")</f>
        <v/>
      </c>
      <c r="X158">
        <f>HYPERLINK("https://klasma.github.io/Logging_0382/tillsyn/A 46964-2023 tillsynsbegäran.docx", "A 46964-2023")</f>
        <v/>
      </c>
      <c r="Y158">
        <f>HYPERLINK("https://klasma.github.io/Logging_0382/tillsynsmail/A 46964-2023 tillsynsbegäran mail.docx", "A 46964-2023")</f>
        <v/>
      </c>
    </row>
    <row r="159" ht="15" customHeight="1">
      <c r="A159" t="inlineStr">
        <is>
          <t>A 48277-2023</t>
        </is>
      </c>
      <c r="B159" s="1" t="n">
        <v>45205</v>
      </c>
      <c r="C159" s="1" t="n">
        <v>45706</v>
      </c>
      <c r="D159" t="inlineStr">
        <is>
          <t>UPPSALA LÄN</t>
        </is>
      </c>
      <c r="E159" t="inlineStr">
        <is>
          <t>ÖSTHAMMAR</t>
        </is>
      </c>
      <c r="G159" t="n">
        <v>4.2</v>
      </c>
      <c r="H159" t="n">
        <v>1</v>
      </c>
      <c r="I159" t="n">
        <v>2</v>
      </c>
      <c r="J159" t="n">
        <v>2</v>
      </c>
      <c r="K159" t="n">
        <v>1</v>
      </c>
      <c r="L159" t="n">
        <v>0</v>
      </c>
      <c r="M159" t="n">
        <v>0</v>
      </c>
      <c r="N159" t="n">
        <v>0</v>
      </c>
      <c r="O159" t="n">
        <v>3</v>
      </c>
      <c r="P159" t="n">
        <v>1</v>
      </c>
      <c r="Q159" t="n">
        <v>5</v>
      </c>
      <c r="R159" s="2" t="inlineStr">
        <is>
          <t>Gul lammticka
Odörspindling
Svart taggsvamp
Nästrot
Zontaggsvamp</t>
        </is>
      </c>
      <c r="S159">
        <f>HYPERLINK("https://klasma.github.io/Logging_0382/artfynd/A 48277-2023 artfynd.xlsx", "A 48277-2023")</f>
        <v/>
      </c>
      <c r="T159">
        <f>HYPERLINK("https://klasma.github.io/Logging_0382/kartor/A 48277-2023 karta.png", "A 48277-2023")</f>
        <v/>
      </c>
      <c r="V159">
        <f>HYPERLINK("https://klasma.github.io/Logging_0382/klagomål/A 48277-2023 FSC-klagomål.docx", "A 48277-2023")</f>
        <v/>
      </c>
      <c r="W159">
        <f>HYPERLINK("https://klasma.github.io/Logging_0382/klagomålsmail/A 48277-2023 FSC-klagomål mail.docx", "A 48277-2023")</f>
        <v/>
      </c>
      <c r="X159">
        <f>HYPERLINK("https://klasma.github.io/Logging_0382/tillsyn/A 48277-2023 tillsynsbegäran.docx", "A 48277-2023")</f>
        <v/>
      </c>
      <c r="Y159">
        <f>HYPERLINK("https://klasma.github.io/Logging_0382/tillsynsmail/A 48277-2023 tillsynsbegäran mail.docx", "A 48277-2023")</f>
        <v/>
      </c>
    </row>
    <row r="160" ht="15" customHeight="1">
      <c r="A160" t="inlineStr">
        <is>
          <t>A 49896-2023</t>
        </is>
      </c>
      <c r="B160" s="1" t="n">
        <v>45213</v>
      </c>
      <c r="C160" s="1" t="n">
        <v>45706</v>
      </c>
      <c r="D160" t="inlineStr">
        <is>
          <t>UPPSALA LÄN</t>
        </is>
      </c>
      <c r="E160" t="inlineStr">
        <is>
          <t>KNIVSTA</t>
        </is>
      </c>
      <c r="G160" t="n">
        <v>4.8</v>
      </c>
      <c r="H160" t="n">
        <v>5</v>
      </c>
      <c r="I160" t="n">
        <v>0</v>
      </c>
      <c r="J160" t="n">
        <v>2</v>
      </c>
      <c r="K160" t="n">
        <v>0</v>
      </c>
      <c r="L160" t="n">
        <v>0</v>
      </c>
      <c r="M160" t="n">
        <v>0</v>
      </c>
      <c r="N160" t="n">
        <v>0</v>
      </c>
      <c r="O160" t="n">
        <v>2</v>
      </c>
      <c r="P160" t="n">
        <v>0</v>
      </c>
      <c r="Q160" t="n">
        <v>5</v>
      </c>
      <c r="R160" s="2" t="inlineStr">
        <is>
          <t>Gulsparv
Talltita
Grönsiska
Järnsparv
Kungsfågel</t>
        </is>
      </c>
      <c r="S160">
        <f>HYPERLINK("https://klasma.github.io/Logging_0330/artfynd/A 49896-2023 artfynd.xlsx", "A 49896-2023")</f>
        <v/>
      </c>
      <c r="T160">
        <f>HYPERLINK("https://klasma.github.io/Logging_0330/kartor/A 49896-2023 karta.png", "A 49896-2023")</f>
        <v/>
      </c>
      <c r="V160">
        <f>HYPERLINK("https://klasma.github.io/Logging_0330/klagomål/A 49896-2023 FSC-klagomål.docx", "A 49896-2023")</f>
        <v/>
      </c>
      <c r="W160">
        <f>HYPERLINK("https://klasma.github.io/Logging_0330/klagomålsmail/A 49896-2023 FSC-klagomål mail.docx", "A 49896-2023")</f>
        <v/>
      </c>
      <c r="X160">
        <f>HYPERLINK("https://klasma.github.io/Logging_0330/tillsyn/A 49896-2023 tillsynsbegäran.docx", "A 49896-2023")</f>
        <v/>
      </c>
      <c r="Y160">
        <f>HYPERLINK("https://klasma.github.io/Logging_0330/tillsynsmail/A 49896-2023 tillsynsbegäran mail.docx", "A 49896-2023")</f>
        <v/>
      </c>
      <c r="Z160">
        <f>HYPERLINK("https://klasma.github.io/Logging_0330/fåglar/A 49896-2023 prioriterade fågelarter.docx", "A 49896-2023")</f>
        <v/>
      </c>
    </row>
    <row r="161" ht="15" customHeight="1">
      <c r="A161" t="inlineStr">
        <is>
          <t>A 54749-2023</t>
        </is>
      </c>
      <c r="B161" s="1" t="n">
        <v>45236</v>
      </c>
      <c r="C161" s="1" t="n">
        <v>45706</v>
      </c>
      <c r="D161" t="inlineStr">
        <is>
          <t>UPPSALA LÄN</t>
        </is>
      </c>
      <c r="E161" t="inlineStr">
        <is>
          <t>TIERP</t>
        </is>
      </c>
      <c r="G161" t="n">
        <v>4.9</v>
      </c>
      <c r="H161" t="n">
        <v>4</v>
      </c>
      <c r="I161" t="n">
        <v>0</v>
      </c>
      <c r="J161" t="n">
        <v>4</v>
      </c>
      <c r="K161" t="n">
        <v>0</v>
      </c>
      <c r="L161" t="n">
        <v>0</v>
      </c>
      <c r="M161" t="n">
        <v>0</v>
      </c>
      <c r="N161" t="n">
        <v>0</v>
      </c>
      <c r="O161" t="n">
        <v>4</v>
      </c>
      <c r="P161" t="n">
        <v>0</v>
      </c>
      <c r="Q161" t="n">
        <v>5</v>
      </c>
      <c r="R161" s="2" t="inlineStr">
        <is>
          <t>Grönsångare
Rödvingetrast
Storgröe
Svartvit flugsnappare
Blåsippa</t>
        </is>
      </c>
      <c r="S161">
        <f>HYPERLINK("https://klasma.github.io/Logging_0360/artfynd/A 54749-2023 artfynd.xlsx", "A 54749-2023")</f>
        <v/>
      </c>
      <c r="T161">
        <f>HYPERLINK("https://klasma.github.io/Logging_0360/kartor/A 54749-2023 karta.png", "A 54749-2023")</f>
        <v/>
      </c>
      <c r="V161">
        <f>HYPERLINK("https://klasma.github.io/Logging_0360/klagomål/A 54749-2023 FSC-klagomål.docx", "A 54749-2023")</f>
        <v/>
      </c>
      <c r="W161">
        <f>HYPERLINK("https://klasma.github.io/Logging_0360/klagomålsmail/A 54749-2023 FSC-klagomål mail.docx", "A 54749-2023")</f>
        <v/>
      </c>
      <c r="X161">
        <f>HYPERLINK("https://klasma.github.io/Logging_0360/tillsyn/A 54749-2023 tillsynsbegäran.docx", "A 54749-2023")</f>
        <v/>
      </c>
      <c r="Y161">
        <f>HYPERLINK("https://klasma.github.io/Logging_0360/tillsynsmail/A 54749-2023 tillsynsbegäran mail.docx", "A 54749-2023")</f>
        <v/>
      </c>
      <c r="Z161">
        <f>HYPERLINK("https://klasma.github.io/Logging_0360/fåglar/A 54749-2023 prioriterade fågelarter.docx", "A 54749-2023")</f>
        <v/>
      </c>
    </row>
    <row r="162" ht="15" customHeight="1">
      <c r="A162" t="inlineStr">
        <is>
          <t>A 56075-2023</t>
        </is>
      </c>
      <c r="B162" s="1" t="n">
        <v>45240</v>
      </c>
      <c r="C162" s="1" t="n">
        <v>45706</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63181-2023</t>
        </is>
      </c>
      <c r="B163" s="1" t="n">
        <v>45273</v>
      </c>
      <c r="C163" s="1" t="n">
        <v>45706</v>
      </c>
      <c r="D163" t="inlineStr">
        <is>
          <t>UPPSALA LÄN</t>
        </is>
      </c>
      <c r="E163" t="inlineStr">
        <is>
          <t>UPPSALA</t>
        </is>
      </c>
      <c r="G163" t="n">
        <v>3.2</v>
      </c>
      <c r="H163" t="n">
        <v>0</v>
      </c>
      <c r="I163" t="n">
        <v>2</v>
      </c>
      <c r="J163" t="n">
        <v>3</v>
      </c>
      <c r="K163" t="n">
        <v>0</v>
      </c>
      <c r="L163" t="n">
        <v>0</v>
      </c>
      <c r="M163" t="n">
        <v>0</v>
      </c>
      <c r="N163" t="n">
        <v>0</v>
      </c>
      <c r="O163" t="n">
        <v>3</v>
      </c>
      <c r="P163" t="n">
        <v>0</v>
      </c>
      <c r="Q163" t="n">
        <v>5</v>
      </c>
      <c r="R163" s="2" t="inlineStr">
        <is>
          <t>Barrviolspindling
Harticka
Kungsspindling
Brandticka
Kamjordstjärna</t>
        </is>
      </c>
      <c r="S163">
        <f>HYPERLINK("https://klasma.github.io/Logging_0380/artfynd/A 63181-2023 artfynd.xlsx", "A 63181-2023")</f>
        <v/>
      </c>
      <c r="T163">
        <f>HYPERLINK("https://klasma.github.io/Logging_0380/kartor/A 63181-2023 karta.png", "A 63181-2023")</f>
        <v/>
      </c>
      <c r="V163">
        <f>HYPERLINK("https://klasma.github.io/Logging_0380/klagomål/A 63181-2023 FSC-klagomål.docx", "A 63181-2023")</f>
        <v/>
      </c>
      <c r="W163">
        <f>HYPERLINK("https://klasma.github.io/Logging_0380/klagomålsmail/A 63181-2023 FSC-klagomål mail.docx", "A 63181-2023")</f>
        <v/>
      </c>
      <c r="X163">
        <f>HYPERLINK("https://klasma.github.io/Logging_0380/tillsyn/A 63181-2023 tillsynsbegäran.docx", "A 63181-2023")</f>
        <v/>
      </c>
      <c r="Y163">
        <f>HYPERLINK("https://klasma.github.io/Logging_0380/tillsynsmail/A 63181-2023 tillsynsbegäran mail.docx", "A 63181-2023")</f>
        <v/>
      </c>
    </row>
    <row r="164" ht="15" customHeight="1">
      <c r="A164" t="inlineStr">
        <is>
          <t>A 3100-2024</t>
        </is>
      </c>
      <c r="B164" s="1" t="n">
        <v>45316</v>
      </c>
      <c r="C164" s="1" t="n">
        <v>45706</v>
      </c>
      <c r="D164" t="inlineStr">
        <is>
          <t>UPPSALA LÄN</t>
        </is>
      </c>
      <c r="E164" t="inlineStr">
        <is>
          <t>UPPSALA</t>
        </is>
      </c>
      <c r="F164" t="inlineStr">
        <is>
          <t>Holmen skog AB</t>
        </is>
      </c>
      <c r="G164" t="n">
        <v>3.5</v>
      </c>
      <c r="H164" t="n">
        <v>5</v>
      </c>
      <c r="I164" t="n">
        <v>1</v>
      </c>
      <c r="J164" t="n">
        <v>0</v>
      </c>
      <c r="K164" t="n">
        <v>0</v>
      </c>
      <c r="L164" t="n">
        <v>0</v>
      </c>
      <c r="M164" t="n">
        <v>0</v>
      </c>
      <c r="N164" t="n">
        <v>0</v>
      </c>
      <c r="O164" t="n">
        <v>0</v>
      </c>
      <c r="P164" t="n">
        <v>0</v>
      </c>
      <c r="Q164" t="n">
        <v>5</v>
      </c>
      <c r="R164" s="2" t="inlineStr">
        <is>
          <t>Nästrot
Grönsiska
Järnsparv
Kungsfågel
Blåsippa</t>
        </is>
      </c>
      <c r="S164">
        <f>HYPERLINK("https://klasma.github.io/Logging_0380/artfynd/A 3100-2024 artfynd.xlsx", "A 3100-2024")</f>
        <v/>
      </c>
      <c r="T164">
        <f>HYPERLINK("https://klasma.github.io/Logging_0380/kartor/A 3100-2024 karta.png", "A 3100-2024")</f>
        <v/>
      </c>
      <c r="V164">
        <f>HYPERLINK("https://klasma.github.io/Logging_0380/klagomål/A 3100-2024 FSC-klagomål.docx", "A 3100-2024")</f>
        <v/>
      </c>
      <c r="W164">
        <f>HYPERLINK("https://klasma.github.io/Logging_0380/klagomålsmail/A 3100-2024 FSC-klagomål mail.docx", "A 3100-2024")</f>
        <v/>
      </c>
      <c r="X164">
        <f>HYPERLINK("https://klasma.github.io/Logging_0380/tillsyn/A 3100-2024 tillsynsbegäran.docx", "A 3100-2024")</f>
        <v/>
      </c>
      <c r="Y164">
        <f>HYPERLINK("https://klasma.github.io/Logging_0380/tillsynsmail/A 3100-2024 tillsynsbegäran mail.docx", "A 3100-2024")</f>
        <v/>
      </c>
      <c r="Z164">
        <f>HYPERLINK("https://klasma.github.io/Logging_0380/fåglar/A 3100-2024 prioriterade fågelarter.docx", "A 3100-2024")</f>
        <v/>
      </c>
    </row>
    <row r="165" ht="15" customHeight="1">
      <c r="A165" t="inlineStr">
        <is>
          <t>A 45285-2024</t>
        </is>
      </c>
      <c r="B165" s="1" t="n">
        <v>45576</v>
      </c>
      <c r="C165" s="1" t="n">
        <v>45706</v>
      </c>
      <c r="D165" t="inlineStr">
        <is>
          <t>UPPSALA LÄN</t>
        </is>
      </c>
      <c r="E165" t="inlineStr">
        <is>
          <t>TIERP</t>
        </is>
      </c>
      <c r="G165" t="n">
        <v>13.5</v>
      </c>
      <c r="H165" t="n">
        <v>0</v>
      </c>
      <c r="I165" t="n">
        <v>1</v>
      </c>
      <c r="J165" t="n">
        <v>3</v>
      </c>
      <c r="K165" t="n">
        <v>1</v>
      </c>
      <c r="L165" t="n">
        <v>0</v>
      </c>
      <c r="M165" t="n">
        <v>0</v>
      </c>
      <c r="N165" t="n">
        <v>0</v>
      </c>
      <c r="O165" t="n">
        <v>4</v>
      </c>
      <c r="P165" t="n">
        <v>1</v>
      </c>
      <c r="Q165" t="n">
        <v>5</v>
      </c>
      <c r="R165" s="2" t="inlineStr">
        <is>
          <t>Violgubbe
Dofttaggsvamp
Persiljespindling
Slåtterfibbla
Skarp dropptaggsvamp</t>
        </is>
      </c>
      <c r="S165">
        <f>HYPERLINK("https://klasma.github.io/Logging_0360/artfynd/A 45285-2024 artfynd.xlsx", "A 45285-2024")</f>
        <v/>
      </c>
      <c r="T165">
        <f>HYPERLINK("https://klasma.github.io/Logging_0360/kartor/A 45285-2024 karta.png", "A 45285-2024")</f>
        <v/>
      </c>
      <c r="V165">
        <f>HYPERLINK("https://klasma.github.io/Logging_0360/klagomål/A 45285-2024 FSC-klagomål.docx", "A 45285-2024")</f>
        <v/>
      </c>
      <c r="W165">
        <f>HYPERLINK("https://klasma.github.io/Logging_0360/klagomålsmail/A 45285-2024 FSC-klagomål mail.docx", "A 45285-2024")</f>
        <v/>
      </c>
      <c r="X165">
        <f>HYPERLINK("https://klasma.github.io/Logging_0360/tillsyn/A 45285-2024 tillsynsbegäran.docx", "A 45285-2024")</f>
        <v/>
      </c>
      <c r="Y165">
        <f>HYPERLINK("https://klasma.github.io/Logging_0360/tillsynsmail/A 45285-2024 tillsynsbegäran mail.docx", "A 45285-2024")</f>
        <v/>
      </c>
    </row>
    <row r="166" ht="15" customHeight="1">
      <c r="A166" t="inlineStr">
        <is>
          <t>A 46718-2024</t>
        </is>
      </c>
      <c r="B166" s="1" t="n">
        <v>45583</v>
      </c>
      <c r="C166" s="1" t="n">
        <v>45706</v>
      </c>
      <c r="D166" t="inlineStr">
        <is>
          <t>UPPSALA LÄN</t>
        </is>
      </c>
      <c r="E166" t="inlineStr">
        <is>
          <t>UPPSALA</t>
        </is>
      </c>
      <c r="F166" t="inlineStr">
        <is>
          <t>Sveaskog</t>
        </is>
      </c>
      <c r="G166" t="n">
        <v>3.1</v>
      </c>
      <c r="H166" t="n">
        <v>1</v>
      </c>
      <c r="I166" t="n">
        <v>3</v>
      </c>
      <c r="J166" t="n">
        <v>0</v>
      </c>
      <c r="K166" t="n">
        <v>1</v>
      </c>
      <c r="L166" t="n">
        <v>0</v>
      </c>
      <c r="M166" t="n">
        <v>0</v>
      </c>
      <c r="N166" t="n">
        <v>0</v>
      </c>
      <c r="O166" t="n">
        <v>1</v>
      </c>
      <c r="P166" t="n">
        <v>1</v>
      </c>
      <c r="Q166" t="n">
        <v>5</v>
      </c>
      <c r="R166" s="2" t="inlineStr">
        <is>
          <t>Rynkskinn
Fjällig taggsvamp s.str.
Skogshakmossa
Trådticka
Blåsippa</t>
        </is>
      </c>
      <c r="S166">
        <f>HYPERLINK("https://klasma.github.io/Logging_0380/artfynd/A 46718-2024 artfynd.xlsx", "A 46718-2024")</f>
        <v/>
      </c>
      <c r="T166">
        <f>HYPERLINK("https://klasma.github.io/Logging_0380/kartor/A 46718-2024 karta.png", "A 46718-2024")</f>
        <v/>
      </c>
      <c r="V166">
        <f>HYPERLINK("https://klasma.github.io/Logging_0380/klagomål/A 46718-2024 FSC-klagomål.docx", "A 46718-2024")</f>
        <v/>
      </c>
      <c r="W166">
        <f>HYPERLINK("https://klasma.github.io/Logging_0380/klagomålsmail/A 46718-2024 FSC-klagomål mail.docx", "A 46718-2024")</f>
        <v/>
      </c>
      <c r="X166">
        <f>HYPERLINK("https://klasma.github.io/Logging_0380/tillsyn/A 46718-2024 tillsynsbegäran.docx", "A 46718-2024")</f>
        <v/>
      </c>
      <c r="Y166">
        <f>HYPERLINK("https://klasma.github.io/Logging_0380/tillsynsmail/A 46718-2024 tillsynsbegäran mail.docx", "A 46718-2024")</f>
        <v/>
      </c>
    </row>
    <row r="167" ht="15" customHeight="1">
      <c r="A167" t="inlineStr">
        <is>
          <t>A 59194-2024</t>
        </is>
      </c>
      <c r="B167" s="1" t="n">
        <v>45637</v>
      </c>
      <c r="C167" s="1" t="n">
        <v>45706</v>
      </c>
      <c r="D167" t="inlineStr">
        <is>
          <t>UPPSALA LÄN</t>
        </is>
      </c>
      <c r="E167" t="inlineStr">
        <is>
          <t>ÖSTHAMMAR</t>
        </is>
      </c>
      <c r="F167" t="inlineStr">
        <is>
          <t>Övriga Aktiebolag</t>
        </is>
      </c>
      <c r="G167" t="n">
        <v>13.5</v>
      </c>
      <c r="H167" t="n">
        <v>4</v>
      </c>
      <c r="I167" t="n">
        <v>1</v>
      </c>
      <c r="J167" t="n">
        <v>1</v>
      </c>
      <c r="K167" t="n">
        <v>1</v>
      </c>
      <c r="L167" t="n">
        <v>0</v>
      </c>
      <c r="M167" t="n">
        <v>0</v>
      </c>
      <c r="N167" t="n">
        <v>0</v>
      </c>
      <c r="O167" t="n">
        <v>2</v>
      </c>
      <c r="P167" t="n">
        <v>1</v>
      </c>
      <c r="Q167" t="n">
        <v>5</v>
      </c>
      <c r="R167" s="2" t="inlineStr">
        <is>
          <t>Knärot
Spillkråka
Bronshjon
Tjäder
Revlummer</t>
        </is>
      </c>
      <c r="S167">
        <f>HYPERLINK("https://klasma.github.io/Logging_0382/artfynd/A 59194-2024 artfynd.xlsx", "A 59194-2024")</f>
        <v/>
      </c>
      <c r="T167">
        <f>HYPERLINK("https://klasma.github.io/Logging_0382/kartor/A 59194-2024 karta.png", "A 59194-2024")</f>
        <v/>
      </c>
      <c r="U167">
        <f>HYPERLINK("https://klasma.github.io/Logging_0382/knärot/A 59194-2024 karta knärot.png", "A 59194-2024")</f>
        <v/>
      </c>
      <c r="V167">
        <f>HYPERLINK("https://klasma.github.io/Logging_0382/klagomål/A 59194-2024 FSC-klagomål.docx", "A 59194-2024")</f>
        <v/>
      </c>
      <c r="W167">
        <f>HYPERLINK("https://klasma.github.io/Logging_0382/klagomålsmail/A 59194-2024 FSC-klagomål mail.docx", "A 59194-2024")</f>
        <v/>
      </c>
      <c r="X167">
        <f>HYPERLINK("https://klasma.github.io/Logging_0382/tillsyn/A 59194-2024 tillsynsbegäran.docx", "A 59194-2024")</f>
        <v/>
      </c>
      <c r="Y167">
        <f>HYPERLINK("https://klasma.github.io/Logging_0382/tillsynsmail/A 59194-2024 tillsynsbegäran mail.docx", "A 59194-2024")</f>
        <v/>
      </c>
      <c r="Z167">
        <f>HYPERLINK("https://klasma.github.io/Logging_0382/fåglar/A 59194-2024 prioriterade fågelarter.docx", "A 59194-2024")</f>
        <v/>
      </c>
    </row>
    <row r="168" ht="15" customHeight="1">
      <c r="A168" t="inlineStr">
        <is>
          <t>A 20696-2019</t>
        </is>
      </c>
      <c r="B168" s="1" t="n">
        <v>43573</v>
      </c>
      <c r="C168" s="1" t="n">
        <v>45706</v>
      </c>
      <c r="D168" t="inlineStr">
        <is>
          <t>UPPSALA LÄN</t>
        </is>
      </c>
      <c r="E168" t="inlineStr">
        <is>
          <t>ÖSTHAMMAR</t>
        </is>
      </c>
      <c r="G168" t="n">
        <v>2</v>
      </c>
      <c r="H168" t="n">
        <v>4</v>
      </c>
      <c r="I168" t="n">
        <v>2</v>
      </c>
      <c r="J168" t="n">
        <v>0</v>
      </c>
      <c r="K168" t="n">
        <v>0</v>
      </c>
      <c r="L168" t="n">
        <v>0</v>
      </c>
      <c r="M168" t="n">
        <v>0</v>
      </c>
      <c r="N168" t="n">
        <v>0</v>
      </c>
      <c r="O168" t="n">
        <v>0</v>
      </c>
      <c r="P168" t="n">
        <v>0</v>
      </c>
      <c r="Q168" t="n">
        <v>4</v>
      </c>
      <c r="R168" s="2" t="inlineStr">
        <is>
          <t>Skogsknipprot
Tvåblad
Blåsippa
Gullviva</t>
        </is>
      </c>
      <c r="S168">
        <f>HYPERLINK("https://klasma.github.io/Logging_0382/artfynd/A 20696-2019 artfynd.xlsx", "A 20696-2019")</f>
        <v/>
      </c>
      <c r="T168">
        <f>HYPERLINK("https://klasma.github.io/Logging_0382/kartor/A 20696-2019 karta.png", "A 20696-2019")</f>
        <v/>
      </c>
      <c r="V168">
        <f>HYPERLINK("https://klasma.github.io/Logging_0382/klagomål/A 20696-2019 FSC-klagomål.docx", "A 20696-2019")</f>
        <v/>
      </c>
      <c r="W168">
        <f>HYPERLINK("https://klasma.github.io/Logging_0382/klagomålsmail/A 20696-2019 FSC-klagomål mail.docx", "A 20696-2019")</f>
        <v/>
      </c>
      <c r="X168">
        <f>HYPERLINK("https://klasma.github.io/Logging_0382/tillsyn/A 20696-2019 tillsynsbegäran.docx", "A 20696-2019")</f>
        <v/>
      </c>
      <c r="Y168">
        <f>HYPERLINK("https://klasma.github.io/Logging_0382/tillsynsmail/A 20696-2019 tillsynsbegäran mail.docx", "A 20696-2019")</f>
        <v/>
      </c>
    </row>
    <row r="169" ht="15" customHeight="1">
      <c r="A169" t="inlineStr">
        <is>
          <t>A 36645-2019</t>
        </is>
      </c>
      <c r="B169" s="1" t="n">
        <v>43671</v>
      </c>
      <c r="C169" s="1" t="n">
        <v>45706</v>
      </c>
      <c r="D169" t="inlineStr">
        <is>
          <t>UPPSALA LÄN</t>
        </is>
      </c>
      <c r="E169" t="inlineStr">
        <is>
          <t>KNIVSTA</t>
        </is>
      </c>
      <c r="G169" t="n">
        <v>5.5</v>
      </c>
      <c r="H169" t="n">
        <v>1</v>
      </c>
      <c r="I169" t="n">
        <v>2</v>
      </c>
      <c r="J169" t="n">
        <v>1</v>
      </c>
      <c r="K169" t="n">
        <v>0</v>
      </c>
      <c r="L169" t="n">
        <v>0</v>
      </c>
      <c r="M169" t="n">
        <v>0</v>
      </c>
      <c r="N169" t="n">
        <v>0</v>
      </c>
      <c r="O169" t="n">
        <v>1</v>
      </c>
      <c r="P169" t="n">
        <v>0</v>
      </c>
      <c r="Q169" t="n">
        <v>4</v>
      </c>
      <c r="R169" s="2" t="inlineStr">
        <is>
          <t>Ullticka
Gulskölding
Kamjordstjärna
Blåsippa</t>
        </is>
      </c>
      <c r="S169">
        <f>HYPERLINK("https://klasma.github.io/Logging_0330/artfynd/A 36645-2019 artfynd.xlsx", "A 36645-2019")</f>
        <v/>
      </c>
      <c r="T169">
        <f>HYPERLINK("https://klasma.github.io/Logging_0330/kartor/A 36645-2019 karta.png", "A 36645-2019")</f>
        <v/>
      </c>
      <c r="V169">
        <f>HYPERLINK("https://klasma.github.io/Logging_0330/klagomål/A 36645-2019 FSC-klagomål.docx", "A 36645-2019")</f>
        <v/>
      </c>
      <c r="W169">
        <f>HYPERLINK("https://klasma.github.io/Logging_0330/klagomålsmail/A 36645-2019 FSC-klagomål mail.docx", "A 36645-2019")</f>
        <v/>
      </c>
      <c r="X169">
        <f>HYPERLINK("https://klasma.github.io/Logging_0330/tillsyn/A 36645-2019 tillsynsbegäran.docx", "A 36645-2019")</f>
        <v/>
      </c>
      <c r="Y169">
        <f>HYPERLINK("https://klasma.github.io/Logging_0330/tillsynsmail/A 36645-2019 tillsynsbegäran mail.docx", "A 36645-2019")</f>
        <v/>
      </c>
    </row>
    <row r="170" ht="15" customHeight="1">
      <c r="A170" t="inlineStr">
        <is>
          <t>A 62133-2019</t>
        </is>
      </c>
      <c r="B170" s="1" t="n">
        <v>43787</v>
      </c>
      <c r="C170" s="1" t="n">
        <v>45706</v>
      </c>
      <c r="D170" t="inlineStr">
        <is>
          <t>UPPSALA LÄN</t>
        </is>
      </c>
      <c r="E170" t="inlineStr">
        <is>
          <t>ÄLVKARLEBY</t>
        </is>
      </c>
      <c r="F170" t="inlineStr">
        <is>
          <t>Bergvik skog väst AB</t>
        </is>
      </c>
      <c r="G170" t="n">
        <v>2.5</v>
      </c>
      <c r="H170" t="n">
        <v>0</v>
      </c>
      <c r="I170" t="n">
        <v>2</v>
      </c>
      <c r="J170" t="n">
        <v>2</v>
      </c>
      <c r="K170" t="n">
        <v>0</v>
      </c>
      <c r="L170" t="n">
        <v>0</v>
      </c>
      <c r="M170" t="n">
        <v>0</v>
      </c>
      <c r="N170" t="n">
        <v>0</v>
      </c>
      <c r="O170" t="n">
        <v>2</v>
      </c>
      <c r="P170" t="n">
        <v>0</v>
      </c>
      <c r="Q170" t="n">
        <v>4</v>
      </c>
      <c r="R170" s="2" t="inlineStr">
        <is>
          <t>Rutskinn
Rödbrun blekspik
Brun nållav
Sårläka</t>
        </is>
      </c>
      <c r="S170">
        <f>HYPERLINK("https://klasma.github.io/Logging_0319/artfynd/A 62133-2019 artfynd.xlsx", "A 62133-2019")</f>
        <v/>
      </c>
      <c r="T170">
        <f>HYPERLINK("https://klasma.github.io/Logging_0319/kartor/A 62133-2019 karta.png", "A 62133-2019")</f>
        <v/>
      </c>
      <c r="V170">
        <f>HYPERLINK("https://klasma.github.io/Logging_0319/klagomål/A 62133-2019 FSC-klagomål.docx", "A 62133-2019")</f>
        <v/>
      </c>
      <c r="W170">
        <f>HYPERLINK("https://klasma.github.io/Logging_0319/klagomålsmail/A 62133-2019 FSC-klagomål mail.docx", "A 62133-2019")</f>
        <v/>
      </c>
      <c r="X170">
        <f>HYPERLINK("https://klasma.github.io/Logging_0319/tillsyn/A 62133-2019 tillsynsbegäran.docx", "A 62133-2019")</f>
        <v/>
      </c>
      <c r="Y170">
        <f>HYPERLINK("https://klasma.github.io/Logging_0319/tillsynsmail/A 62133-2019 tillsynsbegäran mail.docx", "A 62133-2019")</f>
        <v/>
      </c>
    </row>
    <row r="171" ht="15" customHeight="1">
      <c r="A171" t="inlineStr">
        <is>
          <t>A 4116-2020</t>
        </is>
      </c>
      <c r="B171" s="1" t="n">
        <v>43857</v>
      </c>
      <c r="C171" s="1" t="n">
        <v>45706</v>
      </c>
      <c r="D171" t="inlineStr">
        <is>
          <t>UPPSALA LÄN</t>
        </is>
      </c>
      <c r="E171" t="inlineStr">
        <is>
          <t>UPPSALA</t>
        </is>
      </c>
      <c r="G171" t="n">
        <v>2.4</v>
      </c>
      <c r="H171" t="n">
        <v>1</v>
      </c>
      <c r="I171" t="n">
        <v>1</v>
      </c>
      <c r="J171" t="n">
        <v>1</v>
      </c>
      <c r="K171" t="n">
        <v>1</v>
      </c>
      <c r="L171" t="n">
        <v>0</v>
      </c>
      <c r="M171" t="n">
        <v>0</v>
      </c>
      <c r="N171" t="n">
        <v>0</v>
      </c>
      <c r="O171" t="n">
        <v>2</v>
      </c>
      <c r="P171" t="n">
        <v>1</v>
      </c>
      <c r="Q171" t="n">
        <v>4</v>
      </c>
      <c r="R171" s="2" t="inlineStr">
        <is>
          <t>Grangråticka
Svart taggsvamp
Fjällig taggsvamp s.str.
Blåsippa</t>
        </is>
      </c>
      <c r="S171">
        <f>HYPERLINK("https://klasma.github.io/Logging_0380/artfynd/A 4116-2020 artfynd.xlsx", "A 4116-2020")</f>
        <v/>
      </c>
      <c r="T171">
        <f>HYPERLINK("https://klasma.github.io/Logging_0380/kartor/A 4116-2020 karta.png", "A 4116-2020")</f>
        <v/>
      </c>
      <c r="V171">
        <f>HYPERLINK("https://klasma.github.io/Logging_0380/klagomål/A 4116-2020 FSC-klagomål.docx", "A 4116-2020")</f>
        <v/>
      </c>
      <c r="W171">
        <f>HYPERLINK("https://klasma.github.io/Logging_0380/klagomålsmail/A 4116-2020 FSC-klagomål mail.docx", "A 4116-2020")</f>
        <v/>
      </c>
      <c r="X171">
        <f>HYPERLINK("https://klasma.github.io/Logging_0380/tillsyn/A 4116-2020 tillsynsbegäran.docx", "A 4116-2020")</f>
        <v/>
      </c>
      <c r="Y171">
        <f>HYPERLINK("https://klasma.github.io/Logging_0380/tillsynsmail/A 4116-2020 tillsynsbegäran mail.docx", "A 4116-2020")</f>
        <v/>
      </c>
    </row>
    <row r="172" ht="15" customHeight="1">
      <c r="A172" t="inlineStr">
        <is>
          <t>A 25264-2020</t>
        </is>
      </c>
      <c r="B172" s="1" t="n">
        <v>43980</v>
      </c>
      <c r="C172" s="1" t="n">
        <v>45706</v>
      </c>
      <c r="D172" t="inlineStr">
        <is>
          <t>UPPSALA LÄN</t>
        </is>
      </c>
      <c r="E172" t="inlineStr">
        <is>
          <t>UPPSALA</t>
        </is>
      </c>
      <c r="G172" t="n">
        <v>2.8</v>
      </c>
      <c r="H172" t="n">
        <v>4</v>
      </c>
      <c r="I172" t="n">
        <v>0</v>
      </c>
      <c r="J172" t="n">
        <v>0</v>
      </c>
      <c r="K172" t="n">
        <v>1</v>
      </c>
      <c r="L172" t="n">
        <v>0</v>
      </c>
      <c r="M172" t="n">
        <v>0</v>
      </c>
      <c r="N172" t="n">
        <v>0</v>
      </c>
      <c r="O172" t="n">
        <v>1</v>
      </c>
      <c r="P172" t="n">
        <v>1</v>
      </c>
      <c r="Q172" t="n">
        <v>4</v>
      </c>
      <c r="R172" s="2" t="inlineStr">
        <is>
          <t>Knärot
Kopparödla
Fläcknycklar
Revlummer</t>
        </is>
      </c>
      <c r="S172">
        <f>HYPERLINK("https://klasma.github.io/Logging_0380/artfynd/A 25264-2020 artfynd.xlsx", "A 25264-2020")</f>
        <v/>
      </c>
      <c r="T172">
        <f>HYPERLINK("https://klasma.github.io/Logging_0380/kartor/A 25264-2020 karta.png", "A 25264-2020")</f>
        <v/>
      </c>
      <c r="U172">
        <f>HYPERLINK("https://klasma.github.io/Logging_0380/knärot/A 25264-2020 karta knärot.png", "A 25264-2020")</f>
        <v/>
      </c>
      <c r="V172">
        <f>HYPERLINK("https://klasma.github.io/Logging_0380/klagomål/A 25264-2020 FSC-klagomål.docx", "A 25264-2020")</f>
        <v/>
      </c>
      <c r="W172">
        <f>HYPERLINK("https://klasma.github.io/Logging_0380/klagomålsmail/A 25264-2020 FSC-klagomål mail.docx", "A 25264-2020")</f>
        <v/>
      </c>
      <c r="X172">
        <f>HYPERLINK("https://klasma.github.io/Logging_0380/tillsyn/A 25264-2020 tillsynsbegäran.docx", "A 25264-2020")</f>
        <v/>
      </c>
      <c r="Y172">
        <f>HYPERLINK("https://klasma.github.io/Logging_0380/tillsynsmail/A 25264-2020 tillsynsbegäran mail.docx", "A 25264-2020")</f>
        <v/>
      </c>
    </row>
    <row r="173" ht="15" customHeight="1">
      <c r="A173" t="inlineStr">
        <is>
          <t>A 37670-2020</t>
        </is>
      </c>
      <c r="B173" s="1" t="n">
        <v>44056</v>
      </c>
      <c r="C173" s="1" t="n">
        <v>45706</v>
      </c>
      <c r="D173" t="inlineStr">
        <is>
          <t>UPPSALA LÄN</t>
        </is>
      </c>
      <c r="E173" t="inlineStr">
        <is>
          <t>UPPSALA</t>
        </is>
      </c>
      <c r="F173" t="inlineStr">
        <is>
          <t>Allmännings- och besparingsskogar</t>
        </is>
      </c>
      <c r="G173" t="n">
        <v>56.8</v>
      </c>
      <c r="H173" t="n">
        <v>3</v>
      </c>
      <c r="I173" t="n">
        <v>2</v>
      </c>
      <c r="J173" t="n">
        <v>1</v>
      </c>
      <c r="K173" t="n">
        <v>1</v>
      </c>
      <c r="L173" t="n">
        <v>0</v>
      </c>
      <c r="M173" t="n">
        <v>0</v>
      </c>
      <c r="N173" t="n">
        <v>0</v>
      </c>
      <c r="O173" t="n">
        <v>2</v>
      </c>
      <c r="P173" t="n">
        <v>1</v>
      </c>
      <c r="Q173" t="n">
        <v>4</v>
      </c>
      <c r="R173" s="2" t="inlineStr">
        <is>
          <t>Knärot
Talltita
Grönpyrola
Plattlummer</t>
        </is>
      </c>
      <c r="S173">
        <f>HYPERLINK("https://klasma.github.io/Logging_0380/artfynd/A 37670-2020 artfynd.xlsx", "A 37670-2020")</f>
        <v/>
      </c>
      <c r="T173">
        <f>HYPERLINK("https://klasma.github.io/Logging_0380/kartor/A 37670-2020 karta.png", "A 37670-2020")</f>
        <v/>
      </c>
      <c r="U173">
        <f>HYPERLINK("https://klasma.github.io/Logging_0380/knärot/A 37670-2020 karta knärot.png", "A 37670-2020")</f>
        <v/>
      </c>
      <c r="V173">
        <f>HYPERLINK("https://klasma.github.io/Logging_0380/klagomål/A 37670-2020 FSC-klagomål.docx", "A 37670-2020")</f>
        <v/>
      </c>
      <c r="W173">
        <f>HYPERLINK("https://klasma.github.io/Logging_0380/klagomålsmail/A 37670-2020 FSC-klagomål mail.docx", "A 37670-2020")</f>
        <v/>
      </c>
      <c r="X173">
        <f>HYPERLINK("https://klasma.github.io/Logging_0380/tillsyn/A 37670-2020 tillsynsbegäran.docx", "A 37670-2020")</f>
        <v/>
      </c>
      <c r="Y173">
        <f>HYPERLINK("https://klasma.github.io/Logging_0380/tillsynsmail/A 37670-2020 tillsynsbegäran mail.docx", "A 37670-2020")</f>
        <v/>
      </c>
      <c r="Z173">
        <f>HYPERLINK("https://klasma.github.io/Logging_0380/fåglar/A 37670-2020 prioriterade fågelarter.docx", "A 37670-2020")</f>
        <v/>
      </c>
    </row>
    <row r="174" ht="15" customHeight="1">
      <c r="A174" t="inlineStr">
        <is>
          <t>A 61504-2020</t>
        </is>
      </c>
      <c r="B174" s="1" t="n">
        <v>44158</v>
      </c>
      <c r="C174" s="1" t="n">
        <v>45706</v>
      </c>
      <c r="D174" t="inlineStr">
        <is>
          <t>UPPSALA LÄN</t>
        </is>
      </c>
      <c r="E174" t="inlineStr">
        <is>
          <t>ENKÖPING</t>
        </is>
      </c>
      <c r="F174" t="inlineStr">
        <is>
          <t>Övriga statliga verk och myndigheter</t>
        </is>
      </c>
      <c r="G174" t="n">
        <v>14.2</v>
      </c>
      <c r="H174" t="n">
        <v>0</v>
      </c>
      <c r="I174" t="n">
        <v>3</v>
      </c>
      <c r="J174" t="n">
        <v>1</v>
      </c>
      <c r="K174" t="n">
        <v>0</v>
      </c>
      <c r="L174" t="n">
        <v>0</v>
      </c>
      <c r="M174" t="n">
        <v>0</v>
      </c>
      <c r="N174" t="n">
        <v>0</v>
      </c>
      <c r="O174" t="n">
        <v>1</v>
      </c>
      <c r="P174" t="n">
        <v>0</v>
      </c>
      <c r="Q174" t="n">
        <v>4</v>
      </c>
      <c r="R174" s="2" t="inlineStr">
        <is>
          <t>Tallticka
Guldlockmossa
Piskbaronmossa
Platt fjädermossa</t>
        </is>
      </c>
      <c r="S174">
        <f>HYPERLINK("https://klasma.github.io/Logging_0381/artfynd/A 61504-2020 artfynd.xlsx", "A 61504-2020")</f>
        <v/>
      </c>
      <c r="T174">
        <f>HYPERLINK("https://klasma.github.io/Logging_0381/kartor/A 61504-2020 karta.png", "A 61504-2020")</f>
        <v/>
      </c>
      <c r="V174">
        <f>HYPERLINK("https://klasma.github.io/Logging_0381/klagomål/A 61504-2020 FSC-klagomål.docx", "A 61504-2020")</f>
        <v/>
      </c>
      <c r="W174">
        <f>HYPERLINK("https://klasma.github.io/Logging_0381/klagomålsmail/A 61504-2020 FSC-klagomål mail.docx", "A 61504-2020")</f>
        <v/>
      </c>
      <c r="X174">
        <f>HYPERLINK("https://klasma.github.io/Logging_0381/tillsyn/A 61504-2020 tillsynsbegäran.docx", "A 61504-2020")</f>
        <v/>
      </c>
      <c r="Y174">
        <f>HYPERLINK("https://klasma.github.io/Logging_0381/tillsynsmail/A 61504-2020 tillsynsbegäran mail.docx", "A 61504-2020")</f>
        <v/>
      </c>
    </row>
    <row r="175" ht="15" customHeight="1">
      <c r="A175" t="inlineStr">
        <is>
          <t>A 29306-2021</t>
        </is>
      </c>
      <c r="B175" s="1" t="n">
        <v>44361</v>
      </c>
      <c r="C175" s="1" t="n">
        <v>45706</v>
      </c>
      <c r="D175" t="inlineStr">
        <is>
          <t>UPPSALA LÄN</t>
        </is>
      </c>
      <c r="E175" t="inlineStr">
        <is>
          <t>TIERP</t>
        </is>
      </c>
      <c r="F175" t="inlineStr">
        <is>
          <t>Bergvik skog väst AB</t>
        </is>
      </c>
      <c r="G175" t="n">
        <v>3.7</v>
      </c>
      <c r="H175" t="n">
        <v>0</v>
      </c>
      <c r="I175" t="n">
        <v>4</v>
      </c>
      <c r="J175" t="n">
        <v>0</v>
      </c>
      <c r="K175" t="n">
        <v>0</v>
      </c>
      <c r="L175" t="n">
        <v>0</v>
      </c>
      <c r="M175" t="n">
        <v>0</v>
      </c>
      <c r="N175" t="n">
        <v>0</v>
      </c>
      <c r="O175" t="n">
        <v>0</v>
      </c>
      <c r="P175" t="n">
        <v>0</v>
      </c>
      <c r="Q175" t="n">
        <v>4</v>
      </c>
      <c r="R175" s="2" t="inlineStr">
        <is>
          <t>Dvärgtufs
Granbarkgnagare
Rostfläck
Stuplav</t>
        </is>
      </c>
      <c r="S175">
        <f>HYPERLINK("https://klasma.github.io/Logging_0360/artfynd/A 29306-2021 artfynd.xlsx", "A 29306-2021")</f>
        <v/>
      </c>
      <c r="T175">
        <f>HYPERLINK("https://klasma.github.io/Logging_0360/kartor/A 29306-2021 karta.png", "A 29306-2021")</f>
        <v/>
      </c>
      <c r="V175">
        <f>HYPERLINK("https://klasma.github.io/Logging_0360/klagomål/A 29306-2021 FSC-klagomål.docx", "A 29306-2021")</f>
        <v/>
      </c>
      <c r="W175">
        <f>HYPERLINK("https://klasma.github.io/Logging_0360/klagomålsmail/A 29306-2021 FSC-klagomål mail.docx", "A 29306-2021")</f>
        <v/>
      </c>
      <c r="X175">
        <f>HYPERLINK("https://klasma.github.io/Logging_0360/tillsyn/A 29306-2021 tillsynsbegäran.docx", "A 29306-2021")</f>
        <v/>
      </c>
      <c r="Y175">
        <f>HYPERLINK("https://klasma.github.io/Logging_0360/tillsynsmail/A 29306-2021 tillsynsbegäran mail.docx", "A 29306-2021")</f>
        <v/>
      </c>
    </row>
    <row r="176" ht="15" customHeight="1">
      <c r="A176" t="inlineStr">
        <is>
          <t>A 33051-2021</t>
        </is>
      </c>
      <c r="B176" s="1" t="n">
        <v>44376</v>
      </c>
      <c r="C176" s="1" t="n">
        <v>45706</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51688-2021</t>
        </is>
      </c>
      <c r="B177" s="1" t="n">
        <v>44462</v>
      </c>
      <c r="C177" s="1" t="n">
        <v>45706</v>
      </c>
      <c r="D177" t="inlineStr">
        <is>
          <t>UPPSALA LÄN</t>
        </is>
      </c>
      <c r="E177" t="inlineStr">
        <is>
          <t>UPPSALA</t>
        </is>
      </c>
      <c r="F177" t="inlineStr">
        <is>
          <t>Allmännings- och besparingsskogar</t>
        </is>
      </c>
      <c r="G177" t="n">
        <v>9.9</v>
      </c>
      <c r="H177" t="n">
        <v>1</v>
      </c>
      <c r="I177" t="n">
        <v>1</v>
      </c>
      <c r="J177" t="n">
        <v>2</v>
      </c>
      <c r="K177" t="n">
        <v>1</v>
      </c>
      <c r="L177" t="n">
        <v>0</v>
      </c>
      <c r="M177" t="n">
        <v>0</v>
      </c>
      <c r="N177" t="n">
        <v>0</v>
      </c>
      <c r="O177" t="n">
        <v>3</v>
      </c>
      <c r="P177" t="n">
        <v>1</v>
      </c>
      <c r="Q177" t="n">
        <v>4</v>
      </c>
      <c r="R177" s="2" t="inlineStr">
        <is>
          <t>Knärot
Garnlav
Ullticka
Vedticka</t>
        </is>
      </c>
      <c r="S177">
        <f>HYPERLINK("https://klasma.github.io/Logging_0380/artfynd/A 51688-2021 artfynd.xlsx", "A 51688-2021")</f>
        <v/>
      </c>
      <c r="T177">
        <f>HYPERLINK("https://klasma.github.io/Logging_0380/kartor/A 51688-2021 karta.png", "A 51688-2021")</f>
        <v/>
      </c>
      <c r="U177">
        <f>HYPERLINK("https://klasma.github.io/Logging_0380/knärot/A 51688-2021 karta knärot.png", "A 51688-2021")</f>
        <v/>
      </c>
      <c r="V177">
        <f>HYPERLINK("https://klasma.github.io/Logging_0380/klagomål/A 51688-2021 FSC-klagomål.docx", "A 51688-2021")</f>
        <v/>
      </c>
      <c r="W177">
        <f>HYPERLINK("https://klasma.github.io/Logging_0380/klagomålsmail/A 51688-2021 FSC-klagomål mail.docx", "A 51688-2021")</f>
        <v/>
      </c>
      <c r="X177">
        <f>HYPERLINK("https://klasma.github.io/Logging_0380/tillsyn/A 51688-2021 tillsynsbegäran.docx", "A 51688-2021")</f>
        <v/>
      </c>
      <c r="Y177">
        <f>HYPERLINK("https://klasma.github.io/Logging_0380/tillsynsmail/A 51688-2021 tillsynsbegäran mail.docx", "A 51688-2021")</f>
        <v/>
      </c>
    </row>
    <row r="178" ht="15" customHeight="1">
      <c r="A178" t="inlineStr">
        <is>
          <t>A 58656-2021</t>
        </is>
      </c>
      <c r="B178" s="1" t="n">
        <v>44489</v>
      </c>
      <c r="C178" s="1" t="n">
        <v>45706</v>
      </c>
      <c r="D178" t="inlineStr">
        <is>
          <t>UPPSALA LÄN</t>
        </is>
      </c>
      <c r="E178" t="inlineStr">
        <is>
          <t>HEBY</t>
        </is>
      </c>
      <c r="F178" t="inlineStr">
        <is>
          <t>Övriga Aktiebolag</t>
        </is>
      </c>
      <c r="G178" t="n">
        <v>3.4</v>
      </c>
      <c r="H178" t="n">
        <v>1</v>
      </c>
      <c r="I178" t="n">
        <v>2</v>
      </c>
      <c r="J178" t="n">
        <v>1</v>
      </c>
      <c r="K178" t="n">
        <v>0</v>
      </c>
      <c r="L178" t="n">
        <v>0</v>
      </c>
      <c r="M178" t="n">
        <v>0</v>
      </c>
      <c r="N178" t="n">
        <v>0</v>
      </c>
      <c r="O178" t="n">
        <v>1</v>
      </c>
      <c r="P178" t="n">
        <v>0</v>
      </c>
      <c r="Q178" t="n">
        <v>4</v>
      </c>
      <c r="R178" s="2" t="inlineStr">
        <is>
          <t>Ullticka
Bronshjon
Thomsons trägnagare
Blåsippa</t>
        </is>
      </c>
      <c r="S178">
        <f>HYPERLINK("https://klasma.github.io/Logging_0331/artfynd/A 58656-2021 artfynd.xlsx", "A 58656-2021")</f>
        <v/>
      </c>
      <c r="T178">
        <f>HYPERLINK("https://klasma.github.io/Logging_0331/kartor/A 58656-2021 karta.png", "A 58656-2021")</f>
        <v/>
      </c>
      <c r="V178">
        <f>HYPERLINK("https://klasma.github.io/Logging_0331/klagomål/A 58656-2021 FSC-klagomål.docx", "A 58656-2021")</f>
        <v/>
      </c>
      <c r="W178">
        <f>HYPERLINK("https://klasma.github.io/Logging_0331/klagomålsmail/A 58656-2021 FSC-klagomål mail.docx", "A 58656-2021")</f>
        <v/>
      </c>
      <c r="X178">
        <f>HYPERLINK("https://klasma.github.io/Logging_0331/tillsyn/A 58656-2021 tillsynsbegäran.docx", "A 58656-2021")</f>
        <v/>
      </c>
      <c r="Y178">
        <f>HYPERLINK("https://klasma.github.io/Logging_0331/tillsynsmail/A 58656-2021 tillsynsbegäran mail.docx", "A 58656-2021")</f>
        <v/>
      </c>
    </row>
    <row r="179" ht="15" customHeight="1">
      <c r="A179" t="inlineStr">
        <is>
          <t>A 68998-2021</t>
        </is>
      </c>
      <c r="B179" s="1" t="n">
        <v>44530</v>
      </c>
      <c r="C179" s="1" t="n">
        <v>45706</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45706</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45706</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45706</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45706</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45706</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45706</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45706</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45706</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45706</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45706</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45706</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45706</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45706</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45706</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45706</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45706</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45706</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45706</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45706</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45706</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45706</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45706</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45706</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45706</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45706</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45706</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45706</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45706</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45706</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45706</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45706</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45706</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45706</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45706</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45706</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45706</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45706</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45706</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45706</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45706</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45706</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45706</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45706</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45706</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45706</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45706</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45706</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45706</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45706</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45706</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45706</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45706</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45706</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45706</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45706</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45706</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45706</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45706</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45706</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45706</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45706</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45706</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45706</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45706</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45706</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45706</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45706</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45706</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45706</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45706</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45706</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45706</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45706</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45706</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45706</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45706</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45706</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45706</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45706</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45706</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45706</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45706</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45706</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45706</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45706</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45706</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45706</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45706</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45706</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45706</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45706</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45706</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45706</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45706</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45706</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45706</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45706</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45706</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45706</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45706</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45706</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45706</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45706</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45706</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45706</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45706</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45706</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45706</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45706</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45706</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45706</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45706</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45706</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3853-2025</t>
        </is>
      </c>
      <c r="B293" s="1" t="n">
        <v>45683</v>
      </c>
      <c r="C293" s="1" t="n">
        <v>45706</v>
      </c>
      <c r="D293" t="inlineStr">
        <is>
          <t>UPPSALA LÄN</t>
        </is>
      </c>
      <c r="E293" t="inlineStr">
        <is>
          <t>TIERP</t>
        </is>
      </c>
      <c r="G293" t="n">
        <v>2</v>
      </c>
      <c r="H293" t="n">
        <v>3</v>
      </c>
      <c r="I293" t="n">
        <v>3</v>
      </c>
      <c r="J293" t="n">
        <v>0</v>
      </c>
      <c r="K293" t="n">
        <v>0</v>
      </c>
      <c r="L293" t="n">
        <v>0</v>
      </c>
      <c r="M293" t="n">
        <v>0</v>
      </c>
      <c r="N293" t="n">
        <v>0</v>
      </c>
      <c r="O293" t="n">
        <v>0</v>
      </c>
      <c r="P293" t="n">
        <v>0</v>
      </c>
      <c r="Q293" t="n">
        <v>3</v>
      </c>
      <c r="R293" s="2" t="inlineStr">
        <is>
          <t>Nästrot
Skogsknipprot
Tvåblad</t>
        </is>
      </c>
      <c r="S293">
        <f>HYPERLINK("https://klasma.github.io/Logging_0360/artfynd/A 3853-2025 artfynd.xlsx", "A 3853-2025")</f>
        <v/>
      </c>
      <c r="T293">
        <f>HYPERLINK("https://klasma.github.io/Logging_0360/kartor/A 3853-2025 karta.png", "A 3853-2025")</f>
        <v/>
      </c>
      <c r="V293">
        <f>HYPERLINK("https://klasma.github.io/Logging_0360/klagomål/A 3853-2025 FSC-klagomål.docx", "A 3853-2025")</f>
        <v/>
      </c>
      <c r="W293">
        <f>HYPERLINK("https://klasma.github.io/Logging_0360/klagomålsmail/A 3853-2025 FSC-klagomål mail.docx", "A 3853-2025")</f>
        <v/>
      </c>
      <c r="X293">
        <f>HYPERLINK("https://klasma.github.io/Logging_0360/tillsyn/A 3853-2025 tillsynsbegäran.docx", "A 3853-2025")</f>
        <v/>
      </c>
      <c r="Y293">
        <f>HYPERLINK("https://klasma.github.io/Logging_0360/tillsynsmail/A 3853-2025 tillsynsbegäran mail.docx", "A 3853-2025")</f>
        <v/>
      </c>
    </row>
    <row r="294" ht="15" customHeight="1">
      <c r="A294" t="inlineStr">
        <is>
          <t>A 3932-2025</t>
        </is>
      </c>
      <c r="B294" s="1" t="n">
        <v>45684</v>
      </c>
      <c r="C294" s="1" t="n">
        <v>45706</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45706</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7399-2025</t>
        </is>
      </c>
      <c r="B296" s="1" t="n">
        <v>45702</v>
      </c>
      <c r="C296" s="1" t="n">
        <v>45706</v>
      </c>
      <c r="D296" t="inlineStr">
        <is>
          <t>UPPSALA LÄN</t>
        </is>
      </c>
      <c r="E296" t="inlineStr">
        <is>
          <t>ENKÖPING</t>
        </is>
      </c>
      <c r="G296" t="n">
        <v>5.9</v>
      </c>
      <c r="H296" t="n">
        <v>0</v>
      </c>
      <c r="I296" t="n">
        <v>3</v>
      </c>
      <c r="J296" t="n">
        <v>0</v>
      </c>
      <c r="K296" t="n">
        <v>0</v>
      </c>
      <c r="L296" t="n">
        <v>0</v>
      </c>
      <c r="M296" t="n">
        <v>0</v>
      </c>
      <c r="N296" t="n">
        <v>0</v>
      </c>
      <c r="O296" t="n">
        <v>0</v>
      </c>
      <c r="P296" t="n">
        <v>0</v>
      </c>
      <c r="Q296" t="n">
        <v>3</v>
      </c>
      <c r="R296" s="2" t="inlineStr">
        <is>
          <t>Dvärgkällmossa
Guldlockmossa
Trädporella</t>
        </is>
      </c>
      <c r="S296">
        <f>HYPERLINK("https://klasma.github.io/Logging_0381/artfynd/A 7399-2025 artfynd.xlsx", "A 7399-2025")</f>
        <v/>
      </c>
      <c r="T296">
        <f>HYPERLINK("https://klasma.github.io/Logging_0381/kartor/A 7399-2025 karta.png", "A 7399-2025")</f>
        <v/>
      </c>
      <c r="V296">
        <f>HYPERLINK("https://klasma.github.io/Logging_0381/klagomål/A 7399-2025 FSC-klagomål.docx", "A 7399-2025")</f>
        <v/>
      </c>
      <c r="W296">
        <f>HYPERLINK("https://klasma.github.io/Logging_0381/klagomålsmail/A 7399-2025 FSC-klagomål mail.docx", "A 7399-2025")</f>
        <v/>
      </c>
      <c r="X296">
        <f>HYPERLINK("https://klasma.github.io/Logging_0381/tillsyn/A 7399-2025 tillsynsbegäran.docx", "A 7399-2025")</f>
        <v/>
      </c>
      <c r="Y296">
        <f>HYPERLINK("https://klasma.github.io/Logging_0381/tillsynsmail/A 7399-2025 tillsynsbegäran mail.docx", "A 7399-2025")</f>
        <v/>
      </c>
    </row>
    <row r="297" ht="15" customHeight="1">
      <c r="A297" t="inlineStr">
        <is>
          <t>A 20671-2019</t>
        </is>
      </c>
      <c r="B297" s="1" t="n">
        <v>43572</v>
      </c>
      <c r="C297" s="1" t="n">
        <v>45706</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45706</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45706</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45706</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45706</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45706</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45706</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45706</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45706</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45706</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45706</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45706</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45706</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45706</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45706</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45706</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45706</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45706</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45706</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45706</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45706</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45706</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45706</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45706</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45706</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45706</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45706</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45706</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45706</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45706</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45706</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45706</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45706</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45706</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45706</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45706</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45706</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45706</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45706</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45706</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45706</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45706</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45706</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45706</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45706</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45706</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45706</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45706</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45706</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45706</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45706</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45706</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45706</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45706</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45706</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45706</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45706</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45706</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45706</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45706</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45706</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45706</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45706</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45706</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45706</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45706</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45706</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45706</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45706</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45706</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45706</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45706</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45706</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45706</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45706</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45706</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45706</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45706</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45706</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45706</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45706</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45706</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45706</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45706</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45706</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45706</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45706</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45706</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45706</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45706</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45706</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45706</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45706</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45706</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45706</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45706</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45706</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45706</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45706</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45706</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45706</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45706</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45706</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45706</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45706</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45706</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45706</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45706</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45706</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45706</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45706</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45706</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45706</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45706</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45706</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45706</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45706</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45706</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45706</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45706</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45706</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45706</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45706</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45706</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45706</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45706</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45706</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45706</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45706</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45706</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45706</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45706</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45706</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45706</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45706</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45706</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45706</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45706</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45706</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45706</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45706</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45706</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45706</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45706</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45706</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45706</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45706</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45706</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45706</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45706</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45706</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45706</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45706</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45706</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45706</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45706</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45706</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45706</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45706</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45706</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45706</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45706</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45706</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45706</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45706</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45706</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45706</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45706</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45706</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45706</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45706</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45706</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45706</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45706</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45706</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45706</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45706</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45706</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45706</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45706</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45706</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45706</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45706</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45706</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45706</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45706</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45706</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45706</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45706</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45706</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45706</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45706</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45706</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45706</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45706</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45706</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45706</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45706</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45706</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45706</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45706</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45706</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45706</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45706</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45706</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45706</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45706</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45706</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45706</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45706</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45706</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45706</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45706</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45706</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45706</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45706</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45706</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45706</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45706</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45706</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45706</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45706</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45706</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45706</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45706</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45706</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45706</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45706</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45706</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45706</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45706</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45706</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45706</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45706</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45706</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45706</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45706</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45706</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45706</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45706</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45706</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45706</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45706</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45706</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45706</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45706</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45706</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45706</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45706</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45706</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45706</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45706</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45706</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45706</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45706</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45706</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45706</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45706</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45706</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45706</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45706</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45706</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45706</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45706</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45706</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45706</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45706</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45706</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45706</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45706</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45706</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45706</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45706</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45706</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45706</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45706</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45706</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45706</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45706</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45706</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45706</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45706</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29906-2023</t>
        </is>
      </c>
      <c r="B579" s="1" t="n">
        <v>45107</v>
      </c>
      <c r="C579" s="1" t="n">
        <v>45706</v>
      </c>
      <c r="D579" t="inlineStr">
        <is>
          <t>UPPSALA LÄN</t>
        </is>
      </c>
      <c r="E579" t="inlineStr">
        <is>
          <t>UPPSALA</t>
        </is>
      </c>
      <c r="F579" t="inlineStr">
        <is>
          <t>Kyrkan</t>
        </is>
      </c>
      <c r="G579" t="n">
        <v>0.5</v>
      </c>
      <c r="H579" t="n">
        <v>0</v>
      </c>
      <c r="I579" t="n">
        <v>1</v>
      </c>
      <c r="J579" t="n">
        <v>0</v>
      </c>
      <c r="K579" t="n">
        <v>0</v>
      </c>
      <c r="L579" t="n">
        <v>0</v>
      </c>
      <c r="M579" t="n">
        <v>0</v>
      </c>
      <c r="N579" t="n">
        <v>0</v>
      </c>
      <c r="O579" t="n">
        <v>0</v>
      </c>
      <c r="P579" t="n">
        <v>0</v>
      </c>
      <c r="Q579" t="n">
        <v>1</v>
      </c>
      <c r="R579" s="2" t="inlineStr">
        <is>
          <t>Sotriska</t>
        </is>
      </c>
      <c r="S579">
        <f>HYPERLINK("https://klasma.github.io/Logging_0380/artfynd/A 29906-2023 artfynd.xlsx", "A 29906-2023")</f>
        <v/>
      </c>
      <c r="T579">
        <f>HYPERLINK("https://klasma.github.io/Logging_0380/kartor/A 29906-2023 karta.png", "A 29906-2023")</f>
        <v/>
      </c>
      <c r="V579">
        <f>HYPERLINK("https://klasma.github.io/Logging_0380/klagomål/A 29906-2023 FSC-klagomål.docx", "A 29906-2023")</f>
        <v/>
      </c>
      <c r="W579">
        <f>HYPERLINK("https://klasma.github.io/Logging_0380/klagomålsmail/A 29906-2023 FSC-klagomål mail.docx", "A 29906-2023")</f>
        <v/>
      </c>
      <c r="X579">
        <f>HYPERLINK("https://klasma.github.io/Logging_0380/tillsyn/A 29906-2023 tillsynsbegäran.docx", "A 29906-2023")</f>
        <v/>
      </c>
      <c r="Y579">
        <f>HYPERLINK("https://klasma.github.io/Logging_0380/tillsynsmail/A 29906-2023 tillsynsbegäran mail.docx", "A 29906-2023")</f>
        <v/>
      </c>
    </row>
    <row r="580" ht="15" customHeight="1">
      <c r="A580" t="inlineStr">
        <is>
          <t>A 30526-2023</t>
        </is>
      </c>
      <c r="B580" s="1" t="n">
        <v>45111</v>
      </c>
      <c r="C580" s="1" t="n">
        <v>45706</v>
      </c>
      <c r="D580" t="inlineStr">
        <is>
          <t>UPPSALA LÄN</t>
        </is>
      </c>
      <c r="E580" t="inlineStr">
        <is>
          <t>HEBY</t>
        </is>
      </c>
      <c r="G580" t="n">
        <v>1.9</v>
      </c>
      <c r="H580" t="n">
        <v>1</v>
      </c>
      <c r="I580" t="n">
        <v>0</v>
      </c>
      <c r="J580" t="n">
        <v>1</v>
      </c>
      <c r="K580" t="n">
        <v>0</v>
      </c>
      <c r="L580" t="n">
        <v>0</v>
      </c>
      <c r="M580" t="n">
        <v>0</v>
      </c>
      <c r="N580" t="n">
        <v>0</v>
      </c>
      <c r="O580" t="n">
        <v>1</v>
      </c>
      <c r="P580" t="n">
        <v>0</v>
      </c>
      <c r="Q580" t="n">
        <v>1</v>
      </c>
      <c r="R580" s="2" t="inlineStr">
        <is>
          <t>Järpe</t>
        </is>
      </c>
      <c r="S580">
        <f>HYPERLINK("https://klasma.github.io/Logging_0331/artfynd/A 30526-2023 artfynd.xlsx", "A 30526-2023")</f>
        <v/>
      </c>
      <c r="T580">
        <f>HYPERLINK("https://klasma.github.io/Logging_0331/kartor/A 30526-2023 karta.png", "A 30526-2023")</f>
        <v/>
      </c>
      <c r="V580">
        <f>HYPERLINK("https://klasma.github.io/Logging_0331/klagomål/A 30526-2023 FSC-klagomål.docx", "A 30526-2023")</f>
        <v/>
      </c>
      <c r="W580">
        <f>HYPERLINK("https://klasma.github.io/Logging_0331/klagomålsmail/A 30526-2023 FSC-klagomål mail.docx", "A 30526-2023")</f>
        <v/>
      </c>
      <c r="X580">
        <f>HYPERLINK("https://klasma.github.io/Logging_0331/tillsyn/A 30526-2023 tillsynsbegäran.docx", "A 30526-2023")</f>
        <v/>
      </c>
      <c r="Y580">
        <f>HYPERLINK("https://klasma.github.io/Logging_0331/tillsynsmail/A 30526-2023 tillsynsbegäran mail.docx", "A 30526-2023")</f>
        <v/>
      </c>
      <c r="Z580">
        <f>HYPERLINK("https://klasma.github.io/Logging_0331/fåglar/A 30526-2023 prioriterade fågelarter.docx", "A 30526-2023")</f>
        <v/>
      </c>
    </row>
    <row r="581" ht="15" customHeight="1">
      <c r="A581" t="inlineStr">
        <is>
          <t>A 32292-2023</t>
        </is>
      </c>
      <c r="B581" s="1" t="n">
        <v>45120</v>
      </c>
      <c r="C581" s="1" t="n">
        <v>45706</v>
      </c>
      <c r="D581" t="inlineStr">
        <is>
          <t>UPPSALA LÄN</t>
        </is>
      </c>
      <c r="E581" t="inlineStr">
        <is>
          <t>HEBY</t>
        </is>
      </c>
      <c r="G581" t="n">
        <v>4.2</v>
      </c>
      <c r="H581" t="n">
        <v>0</v>
      </c>
      <c r="I581" t="n">
        <v>1</v>
      </c>
      <c r="J581" t="n">
        <v>0</v>
      </c>
      <c r="K581" t="n">
        <v>0</v>
      </c>
      <c r="L581" t="n">
        <v>0</v>
      </c>
      <c r="M581" t="n">
        <v>0</v>
      </c>
      <c r="N581" t="n">
        <v>0</v>
      </c>
      <c r="O581" t="n">
        <v>0</v>
      </c>
      <c r="P581" t="n">
        <v>0</v>
      </c>
      <c r="Q581" t="n">
        <v>1</v>
      </c>
      <c r="R581" s="2" t="inlineStr">
        <is>
          <t>Vedticka</t>
        </is>
      </c>
      <c r="S581">
        <f>HYPERLINK("https://klasma.github.io/Logging_0331/artfynd/A 32292-2023 artfynd.xlsx", "A 32292-2023")</f>
        <v/>
      </c>
      <c r="T581">
        <f>HYPERLINK("https://klasma.github.io/Logging_0331/kartor/A 32292-2023 karta.png", "A 32292-2023")</f>
        <v/>
      </c>
      <c r="V581">
        <f>HYPERLINK("https://klasma.github.io/Logging_0331/klagomål/A 32292-2023 FSC-klagomål.docx", "A 32292-2023")</f>
        <v/>
      </c>
      <c r="W581">
        <f>HYPERLINK("https://klasma.github.io/Logging_0331/klagomålsmail/A 32292-2023 FSC-klagomål mail.docx", "A 32292-2023")</f>
        <v/>
      </c>
      <c r="X581">
        <f>HYPERLINK("https://klasma.github.io/Logging_0331/tillsyn/A 32292-2023 tillsynsbegäran.docx", "A 32292-2023")</f>
        <v/>
      </c>
      <c r="Y581">
        <f>HYPERLINK("https://klasma.github.io/Logging_0331/tillsynsmail/A 32292-2023 tillsynsbegäran mail.docx", "A 32292-2023")</f>
        <v/>
      </c>
    </row>
    <row r="582" ht="15" customHeight="1">
      <c r="A582" t="inlineStr">
        <is>
          <t>A 32299-2023</t>
        </is>
      </c>
      <c r="B582" s="1" t="n">
        <v>45120</v>
      </c>
      <c r="C582" s="1" t="n">
        <v>45706</v>
      </c>
      <c r="D582" t="inlineStr">
        <is>
          <t>UPPSALA LÄN</t>
        </is>
      </c>
      <c r="E582" t="inlineStr">
        <is>
          <t>HEBY</t>
        </is>
      </c>
      <c r="G582" t="n">
        <v>2.1</v>
      </c>
      <c r="H582" t="n">
        <v>1</v>
      </c>
      <c r="I582" t="n">
        <v>0</v>
      </c>
      <c r="J582" t="n">
        <v>0</v>
      </c>
      <c r="K582" t="n">
        <v>0</v>
      </c>
      <c r="L582" t="n">
        <v>0</v>
      </c>
      <c r="M582" t="n">
        <v>0</v>
      </c>
      <c r="N582" t="n">
        <v>0</v>
      </c>
      <c r="O582" t="n">
        <v>0</v>
      </c>
      <c r="P582" t="n">
        <v>0</v>
      </c>
      <c r="Q582" t="n">
        <v>1</v>
      </c>
      <c r="R582" s="2" t="inlineStr">
        <is>
          <t>Revlummer</t>
        </is>
      </c>
      <c r="S582">
        <f>HYPERLINK("https://klasma.github.io/Logging_0331/artfynd/A 32299-2023 artfynd.xlsx", "A 32299-2023")</f>
        <v/>
      </c>
      <c r="T582">
        <f>HYPERLINK("https://klasma.github.io/Logging_0331/kartor/A 32299-2023 karta.png", "A 32299-2023")</f>
        <v/>
      </c>
      <c r="V582">
        <f>HYPERLINK("https://klasma.github.io/Logging_0331/klagomål/A 32299-2023 FSC-klagomål.docx", "A 32299-2023")</f>
        <v/>
      </c>
      <c r="W582">
        <f>HYPERLINK("https://klasma.github.io/Logging_0331/klagomålsmail/A 32299-2023 FSC-klagomål mail.docx", "A 32299-2023")</f>
        <v/>
      </c>
      <c r="X582">
        <f>HYPERLINK("https://klasma.github.io/Logging_0331/tillsyn/A 32299-2023 tillsynsbegäran.docx", "A 32299-2023")</f>
        <v/>
      </c>
      <c r="Y582">
        <f>HYPERLINK("https://klasma.github.io/Logging_0331/tillsynsmail/A 32299-2023 tillsynsbegäran mail.docx", "A 32299-2023")</f>
        <v/>
      </c>
    </row>
    <row r="583" ht="15" customHeight="1">
      <c r="A583" t="inlineStr">
        <is>
          <t>A 32302-2023</t>
        </is>
      </c>
      <c r="B583" s="1" t="n">
        <v>45120</v>
      </c>
      <c r="C583" s="1" t="n">
        <v>45706</v>
      </c>
      <c r="D583" t="inlineStr">
        <is>
          <t>UPPSALA LÄN</t>
        </is>
      </c>
      <c r="E583" t="inlineStr">
        <is>
          <t>HEBY</t>
        </is>
      </c>
      <c r="G583" t="n">
        <v>3.9</v>
      </c>
      <c r="H583" t="n">
        <v>1</v>
      </c>
      <c r="I583" t="n">
        <v>0</v>
      </c>
      <c r="J583" t="n">
        <v>1</v>
      </c>
      <c r="K583" t="n">
        <v>0</v>
      </c>
      <c r="L583" t="n">
        <v>0</v>
      </c>
      <c r="M583" t="n">
        <v>0</v>
      </c>
      <c r="N583" t="n">
        <v>0</v>
      </c>
      <c r="O583" t="n">
        <v>1</v>
      </c>
      <c r="P583" t="n">
        <v>0</v>
      </c>
      <c r="Q583" t="n">
        <v>1</v>
      </c>
      <c r="R583" s="2" t="inlineStr">
        <is>
          <t>Spillkråka</t>
        </is>
      </c>
      <c r="S583">
        <f>HYPERLINK("https://klasma.github.io/Logging_0331/artfynd/A 32302-2023 artfynd.xlsx", "A 32302-2023")</f>
        <v/>
      </c>
      <c r="T583">
        <f>HYPERLINK("https://klasma.github.io/Logging_0331/kartor/A 32302-2023 karta.png", "A 32302-2023")</f>
        <v/>
      </c>
      <c r="V583">
        <f>HYPERLINK("https://klasma.github.io/Logging_0331/klagomål/A 32302-2023 FSC-klagomål.docx", "A 32302-2023")</f>
        <v/>
      </c>
      <c r="W583">
        <f>HYPERLINK("https://klasma.github.io/Logging_0331/klagomålsmail/A 32302-2023 FSC-klagomål mail.docx", "A 32302-2023")</f>
        <v/>
      </c>
      <c r="X583">
        <f>HYPERLINK("https://klasma.github.io/Logging_0331/tillsyn/A 32302-2023 tillsynsbegäran.docx", "A 32302-2023")</f>
        <v/>
      </c>
      <c r="Y583">
        <f>HYPERLINK("https://klasma.github.io/Logging_0331/tillsynsmail/A 32302-2023 tillsynsbegäran mail.docx", "A 32302-2023")</f>
        <v/>
      </c>
      <c r="Z583">
        <f>HYPERLINK("https://klasma.github.io/Logging_0331/fåglar/A 32302-2023 prioriterade fågelarter.docx", "A 32302-2023")</f>
        <v/>
      </c>
    </row>
    <row r="584" ht="15" customHeight="1">
      <c r="A584" t="inlineStr">
        <is>
          <t>A 32518-2023</t>
        </is>
      </c>
      <c r="B584" s="1" t="n">
        <v>45121</v>
      </c>
      <c r="C584" s="1" t="n">
        <v>45706</v>
      </c>
      <c r="D584" t="inlineStr">
        <is>
          <t>UPPSALA LÄN</t>
        </is>
      </c>
      <c r="E584" t="inlineStr">
        <is>
          <t>ÖSTHAMMAR</t>
        </is>
      </c>
      <c r="G584" t="n">
        <v>11.1</v>
      </c>
      <c r="H584" t="n">
        <v>0</v>
      </c>
      <c r="I584" t="n">
        <v>1</v>
      </c>
      <c r="J584" t="n">
        <v>0</v>
      </c>
      <c r="K584" t="n">
        <v>0</v>
      </c>
      <c r="L584" t="n">
        <v>0</v>
      </c>
      <c r="M584" t="n">
        <v>0</v>
      </c>
      <c r="N584" t="n">
        <v>0</v>
      </c>
      <c r="O584" t="n">
        <v>0</v>
      </c>
      <c r="P584" t="n">
        <v>0</v>
      </c>
      <c r="Q584" t="n">
        <v>1</v>
      </c>
      <c r="R584" s="2" t="inlineStr">
        <is>
          <t>Olivspindling</t>
        </is>
      </c>
      <c r="S584">
        <f>HYPERLINK("https://klasma.github.io/Logging_0382/artfynd/A 32518-2023 artfynd.xlsx", "A 32518-2023")</f>
        <v/>
      </c>
      <c r="T584">
        <f>HYPERLINK("https://klasma.github.io/Logging_0382/kartor/A 32518-2023 karta.png", "A 32518-2023")</f>
        <v/>
      </c>
      <c r="V584">
        <f>HYPERLINK("https://klasma.github.io/Logging_0382/klagomål/A 32518-2023 FSC-klagomål.docx", "A 32518-2023")</f>
        <v/>
      </c>
      <c r="W584">
        <f>HYPERLINK("https://klasma.github.io/Logging_0382/klagomålsmail/A 32518-2023 FSC-klagomål mail.docx", "A 32518-2023")</f>
        <v/>
      </c>
      <c r="X584">
        <f>HYPERLINK("https://klasma.github.io/Logging_0382/tillsyn/A 32518-2023 tillsynsbegäran.docx", "A 32518-2023")</f>
        <v/>
      </c>
      <c r="Y584">
        <f>HYPERLINK("https://klasma.github.io/Logging_0382/tillsynsmail/A 32518-2023 tillsynsbegäran mail.docx", "A 32518-2023")</f>
        <v/>
      </c>
    </row>
    <row r="585" ht="15" customHeight="1">
      <c r="A585" t="inlineStr">
        <is>
          <t>A 32668-2023</t>
        </is>
      </c>
      <c r="B585" s="1" t="n">
        <v>45121</v>
      </c>
      <c r="C585" s="1" t="n">
        <v>45706</v>
      </c>
      <c r="D585" t="inlineStr">
        <is>
          <t>UPPSALA LÄN</t>
        </is>
      </c>
      <c r="E585" t="inlineStr">
        <is>
          <t>UPPSALA</t>
        </is>
      </c>
      <c r="F585" t="inlineStr">
        <is>
          <t>Holmen skog AB</t>
        </is>
      </c>
      <c r="G585" t="n">
        <v>6.3</v>
      </c>
      <c r="H585" t="n">
        <v>1</v>
      </c>
      <c r="I585" t="n">
        <v>0</v>
      </c>
      <c r="J585" t="n">
        <v>0</v>
      </c>
      <c r="K585" t="n">
        <v>0</v>
      </c>
      <c r="L585" t="n">
        <v>0</v>
      </c>
      <c r="M585" t="n">
        <v>0</v>
      </c>
      <c r="N585" t="n">
        <v>0</v>
      </c>
      <c r="O585" t="n">
        <v>0</v>
      </c>
      <c r="P585" t="n">
        <v>0</v>
      </c>
      <c r="Q585" t="n">
        <v>1</v>
      </c>
      <c r="R585" s="2" t="inlineStr">
        <is>
          <t>Blåsippa</t>
        </is>
      </c>
      <c r="S585">
        <f>HYPERLINK("https://klasma.github.io/Logging_0380/artfynd/A 32668-2023 artfynd.xlsx", "A 32668-2023")</f>
        <v/>
      </c>
      <c r="T585">
        <f>HYPERLINK("https://klasma.github.io/Logging_0380/kartor/A 32668-2023 karta.png", "A 32668-2023")</f>
        <v/>
      </c>
      <c r="V585">
        <f>HYPERLINK("https://klasma.github.io/Logging_0380/klagomål/A 32668-2023 FSC-klagomål.docx", "A 32668-2023")</f>
        <v/>
      </c>
      <c r="W585">
        <f>HYPERLINK("https://klasma.github.io/Logging_0380/klagomålsmail/A 32668-2023 FSC-klagomål mail.docx", "A 32668-2023")</f>
        <v/>
      </c>
      <c r="X585">
        <f>HYPERLINK("https://klasma.github.io/Logging_0380/tillsyn/A 32668-2023 tillsynsbegäran.docx", "A 32668-2023")</f>
        <v/>
      </c>
      <c r="Y585">
        <f>HYPERLINK("https://klasma.github.io/Logging_0380/tillsynsmail/A 32668-2023 tillsynsbegäran mail.docx", "A 32668-2023")</f>
        <v/>
      </c>
    </row>
    <row r="586" ht="15" customHeight="1">
      <c r="A586" t="inlineStr">
        <is>
          <t>A 32755-2023</t>
        </is>
      </c>
      <c r="B586" s="1" t="n">
        <v>45123</v>
      </c>
      <c r="C586" s="1" t="n">
        <v>45706</v>
      </c>
      <c r="D586" t="inlineStr">
        <is>
          <t>UPPSALA LÄN</t>
        </is>
      </c>
      <c r="E586" t="inlineStr">
        <is>
          <t>UPPSALA</t>
        </is>
      </c>
      <c r="G586" t="n">
        <v>5.7</v>
      </c>
      <c r="H586" t="n">
        <v>1</v>
      </c>
      <c r="I586" t="n">
        <v>0</v>
      </c>
      <c r="J586" t="n">
        <v>1</v>
      </c>
      <c r="K586" t="n">
        <v>0</v>
      </c>
      <c r="L586" t="n">
        <v>0</v>
      </c>
      <c r="M586" t="n">
        <v>0</v>
      </c>
      <c r="N586" t="n">
        <v>0</v>
      </c>
      <c r="O586" t="n">
        <v>1</v>
      </c>
      <c r="P586" t="n">
        <v>0</v>
      </c>
      <c r="Q586" t="n">
        <v>1</v>
      </c>
      <c r="R586" s="2" t="inlineStr">
        <is>
          <t>Spillkråka</t>
        </is>
      </c>
      <c r="S586">
        <f>HYPERLINK("https://klasma.github.io/Logging_0380/artfynd/A 32755-2023 artfynd.xlsx", "A 32755-2023")</f>
        <v/>
      </c>
      <c r="T586">
        <f>HYPERLINK("https://klasma.github.io/Logging_0380/kartor/A 32755-2023 karta.png", "A 32755-2023")</f>
        <v/>
      </c>
      <c r="V586">
        <f>HYPERLINK("https://klasma.github.io/Logging_0380/klagomål/A 32755-2023 FSC-klagomål.docx", "A 32755-2023")</f>
        <v/>
      </c>
      <c r="W586">
        <f>HYPERLINK("https://klasma.github.io/Logging_0380/klagomålsmail/A 32755-2023 FSC-klagomål mail.docx", "A 32755-2023")</f>
        <v/>
      </c>
      <c r="X586">
        <f>HYPERLINK("https://klasma.github.io/Logging_0380/tillsyn/A 32755-2023 tillsynsbegäran.docx", "A 32755-2023")</f>
        <v/>
      </c>
      <c r="Y586">
        <f>HYPERLINK("https://klasma.github.io/Logging_0380/tillsynsmail/A 32755-2023 tillsynsbegäran mail.docx", "A 32755-2023")</f>
        <v/>
      </c>
      <c r="Z586">
        <f>HYPERLINK("https://klasma.github.io/Logging_0380/fåglar/A 32755-2023 prioriterade fågelarter.docx", "A 32755-2023")</f>
        <v/>
      </c>
    </row>
    <row r="587" ht="15" customHeight="1">
      <c r="A587" t="inlineStr">
        <is>
          <t>A 33770-2023</t>
        </is>
      </c>
      <c r="B587" s="1" t="n">
        <v>45133</v>
      </c>
      <c r="C587" s="1" t="n">
        <v>45706</v>
      </c>
      <c r="D587" t="inlineStr">
        <is>
          <t>UPPSALA LÄN</t>
        </is>
      </c>
      <c r="E587" t="inlineStr">
        <is>
          <t>KNIVSTA</t>
        </is>
      </c>
      <c r="F587" t="inlineStr">
        <is>
          <t>Holmen skog AB</t>
        </is>
      </c>
      <c r="G587" t="n">
        <v>4</v>
      </c>
      <c r="H587" t="n">
        <v>1</v>
      </c>
      <c r="I587" t="n">
        <v>0</v>
      </c>
      <c r="J587" t="n">
        <v>1</v>
      </c>
      <c r="K587" t="n">
        <v>0</v>
      </c>
      <c r="L587" t="n">
        <v>0</v>
      </c>
      <c r="M587" t="n">
        <v>0</v>
      </c>
      <c r="N587" t="n">
        <v>0</v>
      </c>
      <c r="O587" t="n">
        <v>1</v>
      </c>
      <c r="P587" t="n">
        <v>0</v>
      </c>
      <c r="Q587" t="n">
        <v>1</v>
      </c>
      <c r="R587" s="2" t="inlineStr">
        <is>
          <t>Slaguggla</t>
        </is>
      </c>
      <c r="S587">
        <f>HYPERLINK("https://klasma.github.io/Logging_0330/artfynd/A 33770-2023 artfynd.xlsx", "A 33770-2023")</f>
        <v/>
      </c>
      <c r="T587">
        <f>HYPERLINK("https://klasma.github.io/Logging_0330/kartor/A 33770-2023 karta.png", "A 33770-2023")</f>
        <v/>
      </c>
      <c r="V587">
        <f>HYPERLINK("https://klasma.github.io/Logging_0330/klagomål/A 33770-2023 FSC-klagomål.docx", "A 33770-2023")</f>
        <v/>
      </c>
      <c r="W587">
        <f>HYPERLINK("https://klasma.github.io/Logging_0330/klagomålsmail/A 33770-2023 FSC-klagomål mail.docx", "A 33770-2023")</f>
        <v/>
      </c>
      <c r="X587">
        <f>HYPERLINK("https://klasma.github.io/Logging_0330/tillsyn/A 33770-2023 tillsynsbegäran.docx", "A 33770-2023")</f>
        <v/>
      </c>
      <c r="Y587">
        <f>HYPERLINK("https://klasma.github.io/Logging_0330/tillsynsmail/A 33770-2023 tillsynsbegäran mail.docx", "A 33770-2023")</f>
        <v/>
      </c>
      <c r="Z587">
        <f>HYPERLINK("https://klasma.github.io/Logging_0330/fåglar/A 33770-2023 prioriterade fågelarter.docx", "A 33770-2023")</f>
        <v/>
      </c>
    </row>
    <row r="588" ht="15" customHeight="1">
      <c r="A588" t="inlineStr">
        <is>
          <t>A 33858-2023</t>
        </is>
      </c>
      <c r="B588" s="1" t="n">
        <v>45133</v>
      </c>
      <c r="C588" s="1" t="n">
        <v>45706</v>
      </c>
      <c r="D588" t="inlineStr">
        <is>
          <t>UPPSALA LÄN</t>
        </is>
      </c>
      <c r="E588" t="inlineStr">
        <is>
          <t>HEBY</t>
        </is>
      </c>
      <c r="G588" t="n">
        <v>1</v>
      </c>
      <c r="H588" t="n">
        <v>0</v>
      </c>
      <c r="I588" t="n">
        <v>1</v>
      </c>
      <c r="J588" t="n">
        <v>0</v>
      </c>
      <c r="K588" t="n">
        <v>0</v>
      </c>
      <c r="L588" t="n">
        <v>0</v>
      </c>
      <c r="M588" t="n">
        <v>0</v>
      </c>
      <c r="N588" t="n">
        <v>0</v>
      </c>
      <c r="O588" t="n">
        <v>0</v>
      </c>
      <c r="P588" t="n">
        <v>0</v>
      </c>
      <c r="Q588" t="n">
        <v>1</v>
      </c>
      <c r="R588" s="2" t="inlineStr">
        <is>
          <t>Myskbock</t>
        </is>
      </c>
      <c r="S588">
        <f>HYPERLINK("https://klasma.github.io/Logging_0331/artfynd/A 33858-2023 artfynd.xlsx", "A 33858-2023")</f>
        <v/>
      </c>
      <c r="T588">
        <f>HYPERLINK("https://klasma.github.io/Logging_0331/kartor/A 33858-2023 karta.png", "A 33858-2023")</f>
        <v/>
      </c>
      <c r="V588">
        <f>HYPERLINK("https://klasma.github.io/Logging_0331/klagomål/A 33858-2023 FSC-klagomål.docx", "A 33858-2023")</f>
        <v/>
      </c>
      <c r="W588">
        <f>HYPERLINK("https://klasma.github.io/Logging_0331/klagomålsmail/A 33858-2023 FSC-klagomål mail.docx", "A 33858-2023")</f>
        <v/>
      </c>
      <c r="X588">
        <f>HYPERLINK("https://klasma.github.io/Logging_0331/tillsyn/A 33858-2023 tillsynsbegäran.docx", "A 33858-2023")</f>
        <v/>
      </c>
      <c r="Y588">
        <f>HYPERLINK("https://klasma.github.io/Logging_0331/tillsynsmail/A 33858-2023 tillsynsbegäran mail.docx", "A 33858-2023")</f>
        <v/>
      </c>
    </row>
    <row r="589" ht="15" customHeight="1">
      <c r="A589" t="inlineStr">
        <is>
          <t>A 34090-2023</t>
        </is>
      </c>
      <c r="B589" s="1" t="n">
        <v>45135</v>
      </c>
      <c r="C589" s="1" t="n">
        <v>45706</v>
      </c>
      <c r="D589" t="inlineStr">
        <is>
          <t>UPPSALA LÄN</t>
        </is>
      </c>
      <c r="E589" t="inlineStr">
        <is>
          <t>ÖSTHAMMAR</t>
        </is>
      </c>
      <c r="F589" t="inlineStr">
        <is>
          <t>Bergvik skog öst AB</t>
        </is>
      </c>
      <c r="G589" t="n">
        <v>5.7</v>
      </c>
      <c r="H589" t="n">
        <v>1</v>
      </c>
      <c r="I589" t="n">
        <v>0</v>
      </c>
      <c r="J589" t="n">
        <v>1</v>
      </c>
      <c r="K589" t="n">
        <v>0</v>
      </c>
      <c r="L589" t="n">
        <v>0</v>
      </c>
      <c r="M589" t="n">
        <v>0</v>
      </c>
      <c r="N589" t="n">
        <v>0</v>
      </c>
      <c r="O589" t="n">
        <v>1</v>
      </c>
      <c r="P589" t="n">
        <v>0</v>
      </c>
      <c r="Q589" t="n">
        <v>1</v>
      </c>
      <c r="R589" s="2" t="inlineStr">
        <is>
          <t>Spillkråka</t>
        </is>
      </c>
      <c r="S589">
        <f>HYPERLINK("https://klasma.github.io/Logging_0382/artfynd/A 34090-2023 artfynd.xlsx", "A 34090-2023")</f>
        <v/>
      </c>
      <c r="T589">
        <f>HYPERLINK("https://klasma.github.io/Logging_0382/kartor/A 34090-2023 karta.png", "A 34090-2023")</f>
        <v/>
      </c>
      <c r="V589">
        <f>HYPERLINK("https://klasma.github.io/Logging_0382/klagomål/A 34090-2023 FSC-klagomål.docx", "A 34090-2023")</f>
        <v/>
      </c>
      <c r="W589">
        <f>HYPERLINK("https://klasma.github.io/Logging_0382/klagomålsmail/A 34090-2023 FSC-klagomål mail.docx", "A 34090-2023")</f>
        <v/>
      </c>
      <c r="X589">
        <f>HYPERLINK("https://klasma.github.io/Logging_0382/tillsyn/A 34090-2023 tillsynsbegäran.docx", "A 34090-2023")</f>
        <v/>
      </c>
      <c r="Y589">
        <f>HYPERLINK("https://klasma.github.io/Logging_0382/tillsynsmail/A 34090-2023 tillsynsbegäran mail.docx", "A 34090-2023")</f>
        <v/>
      </c>
      <c r="Z589">
        <f>HYPERLINK("https://klasma.github.io/Logging_0382/fåglar/A 34090-2023 prioriterade fågelarter.docx", "A 34090-2023")</f>
        <v/>
      </c>
    </row>
    <row r="590" ht="15" customHeight="1">
      <c r="A590" t="inlineStr">
        <is>
          <t>A 34732-2023</t>
        </is>
      </c>
      <c r="B590" s="1" t="n">
        <v>45139</v>
      </c>
      <c r="C590" s="1" t="n">
        <v>45706</v>
      </c>
      <c r="D590" t="inlineStr">
        <is>
          <t>UPPSALA LÄN</t>
        </is>
      </c>
      <c r="E590" t="inlineStr">
        <is>
          <t>UPPSALA</t>
        </is>
      </c>
      <c r="G590" t="n">
        <v>8.1</v>
      </c>
      <c r="H590" t="n">
        <v>1</v>
      </c>
      <c r="I590" t="n">
        <v>1</v>
      </c>
      <c r="J590" t="n">
        <v>0</v>
      </c>
      <c r="K590" t="n">
        <v>0</v>
      </c>
      <c r="L590" t="n">
        <v>0</v>
      </c>
      <c r="M590" t="n">
        <v>0</v>
      </c>
      <c r="N590" t="n">
        <v>0</v>
      </c>
      <c r="O590" t="n">
        <v>0</v>
      </c>
      <c r="P590" t="n">
        <v>0</v>
      </c>
      <c r="Q590" t="n">
        <v>1</v>
      </c>
      <c r="R590" s="2" t="inlineStr">
        <is>
          <t>Grön sköldmossa</t>
        </is>
      </c>
      <c r="S590">
        <f>HYPERLINK("https://klasma.github.io/Logging_0380/artfynd/A 34732-2023 artfynd.xlsx", "A 34732-2023")</f>
        <v/>
      </c>
      <c r="T590">
        <f>HYPERLINK("https://klasma.github.io/Logging_0380/kartor/A 34732-2023 karta.png", "A 34732-2023")</f>
        <v/>
      </c>
      <c r="V590">
        <f>HYPERLINK("https://klasma.github.io/Logging_0380/klagomål/A 34732-2023 FSC-klagomål.docx", "A 34732-2023")</f>
        <v/>
      </c>
      <c r="W590">
        <f>HYPERLINK("https://klasma.github.io/Logging_0380/klagomålsmail/A 34732-2023 FSC-klagomål mail.docx", "A 34732-2023")</f>
        <v/>
      </c>
      <c r="X590">
        <f>HYPERLINK("https://klasma.github.io/Logging_0380/tillsyn/A 34732-2023 tillsynsbegäran.docx", "A 34732-2023")</f>
        <v/>
      </c>
      <c r="Y590">
        <f>HYPERLINK("https://klasma.github.io/Logging_0380/tillsynsmail/A 34732-2023 tillsynsbegäran mail.docx", "A 34732-2023")</f>
        <v/>
      </c>
    </row>
    <row r="591" ht="15" customHeight="1">
      <c r="A591" t="inlineStr">
        <is>
          <t>A 36864-2023</t>
        </is>
      </c>
      <c r="B591" s="1" t="n">
        <v>45154</v>
      </c>
      <c r="C591" s="1" t="n">
        <v>45706</v>
      </c>
      <c r="D591" t="inlineStr">
        <is>
          <t>UPPSALA LÄN</t>
        </is>
      </c>
      <c r="E591" t="inlineStr">
        <is>
          <t>ÖSTHAMMAR</t>
        </is>
      </c>
      <c r="G591" t="n">
        <v>3.1</v>
      </c>
      <c r="H591" t="n">
        <v>0</v>
      </c>
      <c r="I591" t="n">
        <v>1</v>
      </c>
      <c r="J591" t="n">
        <v>0</v>
      </c>
      <c r="K591" t="n">
        <v>0</v>
      </c>
      <c r="L591" t="n">
        <v>0</v>
      </c>
      <c r="M591" t="n">
        <v>0</v>
      </c>
      <c r="N591" t="n">
        <v>0</v>
      </c>
      <c r="O591" t="n">
        <v>0</v>
      </c>
      <c r="P591" t="n">
        <v>0</v>
      </c>
      <c r="Q591" t="n">
        <v>1</v>
      </c>
      <c r="R591" s="2" t="inlineStr">
        <is>
          <t>Bronshjon</t>
        </is>
      </c>
      <c r="S591">
        <f>HYPERLINK("https://klasma.github.io/Logging_0382/artfynd/A 36864-2023 artfynd.xlsx", "A 36864-2023")</f>
        <v/>
      </c>
      <c r="T591">
        <f>HYPERLINK("https://klasma.github.io/Logging_0382/kartor/A 36864-2023 karta.png", "A 36864-2023")</f>
        <v/>
      </c>
      <c r="V591">
        <f>HYPERLINK("https://klasma.github.io/Logging_0382/klagomål/A 36864-2023 FSC-klagomål.docx", "A 36864-2023")</f>
        <v/>
      </c>
      <c r="W591">
        <f>HYPERLINK("https://klasma.github.io/Logging_0382/klagomålsmail/A 36864-2023 FSC-klagomål mail.docx", "A 36864-2023")</f>
        <v/>
      </c>
      <c r="X591">
        <f>HYPERLINK("https://klasma.github.io/Logging_0382/tillsyn/A 36864-2023 tillsynsbegäran.docx", "A 36864-2023")</f>
        <v/>
      </c>
      <c r="Y591">
        <f>HYPERLINK("https://klasma.github.io/Logging_0382/tillsynsmail/A 36864-2023 tillsynsbegäran mail.docx", "A 36864-2023")</f>
        <v/>
      </c>
    </row>
    <row r="592" ht="15" customHeight="1">
      <c r="A592" t="inlineStr">
        <is>
          <t>A 38151-2023</t>
        </is>
      </c>
      <c r="B592" s="1" t="n">
        <v>45160</v>
      </c>
      <c r="C592" s="1" t="n">
        <v>45706</v>
      </c>
      <c r="D592" t="inlineStr">
        <is>
          <t>UPPSALA LÄN</t>
        </is>
      </c>
      <c r="E592" t="inlineStr">
        <is>
          <t>TIERP</t>
        </is>
      </c>
      <c r="G592" t="n">
        <v>1.4</v>
      </c>
      <c r="H592" t="n">
        <v>1</v>
      </c>
      <c r="I592" t="n">
        <v>0</v>
      </c>
      <c r="J592" t="n">
        <v>0</v>
      </c>
      <c r="K592" t="n">
        <v>0</v>
      </c>
      <c r="L592" t="n">
        <v>1</v>
      </c>
      <c r="M592" t="n">
        <v>0</v>
      </c>
      <c r="N592" t="n">
        <v>0</v>
      </c>
      <c r="O592" t="n">
        <v>1</v>
      </c>
      <c r="P592" t="n">
        <v>1</v>
      </c>
      <c r="Q592" t="n">
        <v>1</v>
      </c>
      <c r="R592" s="2" t="inlineStr">
        <is>
          <t>Tornseglare</t>
        </is>
      </c>
      <c r="S592">
        <f>HYPERLINK("https://klasma.github.io/Logging_0360/artfynd/A 38151-2023 artfynd.xlsx", "A 38151-2023")</f>
        <v/>
      </c>
      <c r="T592">
        <f>HYPERLINK("https://klasma.github.io/Logging_0360/kartor/A 38151-2023 karta.png", "A 38151-2023")</f>
        <v/>
      </c>
      <c r="V592">
        <f>HYPERLINK("https://klasma.github.io/Logging_0360/klagomål/A 38151-2023 FSC-klagomål.docx", "A 38151-2023")</f>
        <v/>
      </c>
      <c r="W592">
        <f>HYPERLINK("https://klasma.github.io/Logging_0360/klagomålsmail/A 38151-2023 FSC-klagomål mail.docx", "A 38151-2023")</f>
        <v/>
      </c>
      <c r="X592">
        <f>HYPERLINK("https://klasma.github.io/Logging_0360/tillsyn/A 38151-2023 tillsynsbegäran.docx", "A 38151-2023")</f>
        <v/>
      </c>
      <c r="Y592">
        <f>HYPERLINK("https://klasma.github.io/Logging_0360/tillsynsmail/A 38151-2023 tillsynsbegäran mail.docx", "A 38151-2023")</f>
        <v/>
      </c>
      <c r="Z592">
        <f>HYPERLINK("https://klasma.github.io/Logging_0360/fåglar/A 38151-2023 prioriterade fågelarter.docx", "A 38151-2023")</f>
        <v/>
      </c>
    </row>
    <row r="593" ht="15" customHeight="1">
      <c r="A593" t="inlineStr">
        <is>
          <t>A 38821-2023</t>
        </is>
      </c>
      <c r="B593" s="1" t="n">
        <v>45163</v>
      </c>
      <c r="C593" s="1" t="n">
        <v>45706</v>
      </c>
      <c r="D593" t="inlineStr">
        <is>
          <t>UPPSALA LÄN</t>
        </is>
      </c>
      <c r="E593" t="inlineStr">
        <is>
          <t>TIERP</t>
        </is>
      </c>
      <c r="G593" t="n">
        <v>20.3</v>
      </c>
      <c r="H593" t="n">
        <v>1</v>
      </c>
      <c r="I593" t="n">
        <v>0</v>
      </c>
      <c r="J593" t="n">
        <v>0</v>
      </c>
      <c r="K593" t="n">
        <v>0</v>
      </c>
      <c r="L593" t="n">
        <v>0</v>
      </c>
      <c r="M593" t="n">
        <v>0</v>
      </c>
      <c r="N593" t="n">
        <v>0</v>
      </c>
      <c r="O593" t="n">
        <v>0</v>
      </c>
      <c r="P593" t="n">
        <v>0</v>
      </c>
      <c r="Q593" t="n">
        <v>1</v>
      </c>
      <c r="R593" s="2" t="inlineStr">
        <is>
          <t>Revlummer</t>
        </is>
      </c>
      <c r="S593">
        <f>HYPERLINK("https://klasma.github.io/Logging_0360/artfynd/A 38821-2023 artfynd.xlsx", "A 38821-2023")</f>
        <v/>
      </c>
      <c r="T593">
        <f>HYPERLINK("https://klasma.github.io/Logging_0360/kartor/A 38821-2023 karta.png", "A 38821-2023")</f>
        <v/>
      </c>
      <c r="V593">
        <f>HYPERLINK("https://klasma.github.io/Logging_0360/klagomål/A 38821-2023 FSC-klagomål.docx", "A 38821-2023")</f>
        <v/>
      </c>
      <c r="W593">
        <f>HYPERLINK("https://klasma.github.io/Logging_0360/klagomålsmail/A 38821-2023 FSC-klagomål mail.docx", "A 38821-2023")</f>
        <v/>
      </c>
      <c r="X593">
        <f>HYPERLINK("https://klasma.github.io/Logging_0360/tillsyn/A 38821-2023 tillsynsbegäran.docx", "A 38821-2023")</f>
        <v/>
      </c>
      <c r="Y593">
        <f>HYPERLINK("https://klasma.github.io/Logging_0360/tillsynsmail/A 38821-2023 tillsynsbegäran mail.docx", "A 38821-2023")</f>
        <v/>
      </c>
    </row>
    <row r="594" ht="15" customHeight="1">
      <c r="A594" t="inlineStr">
        <is>
          <t>A 39623-2023</t>
        </is>
      </c>
      <c r="B594" s="1" t="n">
        <v>45164</v>
      </c>
      <c r="C594" s="1" t="n">
        <v>45706</v>
      </c>
      <c r="D594" t="inlineStr">
        <is>
          <t>UPPSALA LÄN</t>
        </is>
      </c>
      <c r="E594" t="inlineStr">
        <is>
          <t>ENKÖPING</t>
        </is>
      </c>
      <c r="G594" t="n">
        <v>7.6</v>
      </c>
      <c r="H594" t="n">
        <v>0</v>
      </c>
      <c r="I594" t="n">
        <v>1</v>
      </c>
      <c r="J594" t="n">
        <v>0</v>
      </c>
      <c r="K594" t="n">
        <v>0</v>
      </c>
      <c r="L594" t="n">
        <v>0</v>
      </c>
      <c r="M594" t="n">
        <v>0</v>
      </c>
      <c r="N594" t="n">
        <v>0</v>
      </c>
      <c r="O594" t="n">
        <v>0</v>
      </c>
      <c r="P594" t="n">
        <v>0</v>
      </c>
      <c r="Q594" t="n">
        <v>1</v>
      </c>
      <c r="R594" s="2" t="inlineStr">
        <is>
          <t>Strimspindling</t>
        </is>
      </c>
      <c r="S594">
        <f>HYPERLINK("https://klasma.github.io/Logging_0381/artfynd/A 39623-2023 artfynd.xlsx", "A 39623-2023")</f>
        <v/>
      </c>
      <c r="T594">
        <f>HYPERLINK("https://klasma.github.io/Logging_0381/kartor/A 39623-2023 karta.png", "A 39623-2023")</f>
        <v/>
      </c>
      <c r="V594">
        <f>HYPERLINK("https://klasma.github.io/Logging_0381/klagomål/A 39623-2023 FSC-klagomål.docx", "A 39623-2023")</f>
        <v/>
      </c>
      <c r="W594">
        <f>HYPERLINK("https://klasma.github.io/Logging_0381/klagomålsmail/A 39623-2023 FSC-klagomål mail.docx", "A 39623-2023")</f>
        <v/>
      </c>
      <c r="X594">
        <f>HYPERLINK("https://klasma.github.io/Logging_0381/tillsyn/A 39623-2023 tillsynsbegäran.docx", "A 39623-2023")</f>
        <v/>
      </c>
      <c r="Y594">
        <f>HYPERLINK("https://klasma.github.io/Logging_0381/tillsynsmail/A 39623-2023 tillsynsbegäran mail.docx", "A 39623-2023")</f>
        <v/>
      </c>
    </row>
    <row r="595" ht="15" customHeight="1">
      <c r="A595" t="inlineStr">
        <is>
          <t>A 39741-2023</t>
        </is>
      </c>
      <c r="B595" s="1" t="n">
        <v>45167</v>
      </c>
      <c r="C595" s="1" t="n">
        <v>45706</v>
      </c>
      <c r="D595" t="inlineStr">
        <is>
          <t>UPPSALA LÄN</t>
        </is>
      </c>
      <c r="E595" t="inlineStr">
        <is>
          <t>UPPSALA</t>
        </is>
      </c>
      <c r="G595" t="n">
        <v>5.6</v>
      </c>
      <c r="H595" t="n">
        <v>1</v>
      </c>
      <c r="I595" t="n">
        <v>0</v>
      </c>
      <c r="J595" t="n">
        <v>1</v>
      </c>
      <c r="K595" t="n">
        <v>0</v>
      </c>
      <c r="L595" t="n">
        <v>0</v>
      </c>
      <c r="M595" t="n">
        <v>0</v>
      </c>
      <c r="N595" t="n">
        <v>0</v>
      </c>
      <c r="O595" t="n">
        <v>1</v>
      </c>
      <c r="P595" t="n">
        <v>0</v>
      </c>
      <c r="Q595" t="n">
        <v>1</v>
      </c>
      <c r="R595" s="2" t="inlineStr">
        <is>
          <t>Entita</t>
        </is>
      </c>
      <c r="S595">
        <f>HYPERLINK("https://klasma.github.io/Logging_0380/artfynd/A 39741-2023 artfynd.xlsx", "A 39741-2023")</f>
        <v/>
      </c>
      <c r="T595">
        <f>HYPERLINK("https://klasma.github.io/Logging_0380/kartor/A 39741-2023 karta.png", "A 39741-2023")</f>
        <v/>
      </c>
      <c r="V595">
        <f>HYPERLINK("https://klasma.github.io/Logging_0380/klagomål/A 39741-2023 FSC-klagomål.docx", "A 39741-2023")</f>
        <v/>
      </c>
      <c r="W595">
        <f>HYPERLINK("https://klasma.github.io/Logging_0380/klagomålsmail/A 39741-2023 FSC-klagomål mail.docx", "A 39741-2023")</f>
        <v/>
      </c>
      <c r="X595">
        <f>HYPERLINK("https://klasma.github.io/Logging_0380/tillsyn/A 39741-2023 tillsynsbegäran.docx", "A 39741-2023")</f>
        <v/>
      </c>
      <c r="Y595">
        <f>HYPERLINK("https://klasma.github.io/Logging_0380/tillsynsmail/A 39741-2023 tillsynsbegäran mail.docx", "A 39741-2023")</f>
        <v/>
      </c>
      <c r="Z595">
        <f>HYPERLINK("https://klasma.github.io/Logging_0380/fåglar/A 39741-2023 prioriterade fågelarter.docx", "A 39741-2023")</f>
        <v/>
      </c>
    </row>
    <row r="596" ht="15" customHeight="1">
      <c r="A596" t="inlineStr">
        <is>
          <t>A 40349-2023</t>
        </is>
      </c>
      <c r="B596" s="1" t="n">
        <v>45169</v>
      </c>
      <c r="C596" s="1" t="n">
        <v>45706</v>
      </c>
      <c r="D596" t="inlineStr">
        <is>
          <t>UPPSALA LÄN</t>
        </is>
      </c>
      <c r="E596" t="inlineStr">
        <is>
          <t>HEBY</t>
        </is>
      </c>
      <c r="F596" t="inlineStr">
        <is>
          <t>Kyrkan</t>
        </is>
      </c>
      <c r="G596" t="n">
        <v>9.1</v>
      </c>
      <c r="H596" t="n">
        <v>1</v>
      </c>
      <c r="I596" t="n">
        <v>0</v>
      </c>
      <c r="J596" t="n">
        <v>0</v>
      </c>
      <c r="K596" t="n">
        <v>0</v>
      </c>
      <c r="L596" t="n">
        <v>0</v>
      </c>
      <c r="M596" t="n">
        <v>0</v>
      </c>
      <c r="N596" t="n">
        <v>0</v>
      </c>
      <c r="O596" t="n">
        <v>0</v>
      </c>
      <c r="P596" t="n">
        <v>0</v>
      </c>
      <c r="Q596" t="n">
        <v>1</v>
      </c>
      <c r="R596" s="2" t="inlineStr">
        <is>
          <t>Blåsippa</t>
        </is>
      </c>
      <c r="S596">
        <f>HYPERLINK("https://klasma.github.io/Logging_0331/artfynd/A 40349-2023 artfynd.xlsx", "A 40349-2023")</f>
        <v/>
      </c>
      <c r="T596">
        <f>HYPERLINK("https://klasma.github.io/Logging_0331/kartor/A 40349-2023 karta.png", "A 40349-2023")</f>
        <v/>
      </c>
      <c r="V596">
        <f>HYPERLINK("https://klasma.github.io/Logging_0331/klagomål/A 40349-2023 FSC-klagomål.docx", "A 40349-2023")</f>
        <v/>
      </c>
      <c r="W596">
        <f>HYPERLINK("https://klasma.github.io/Logging_0331/klagomålsmail/A 40349-2023 FSC-klagomål mail.docx", "A 40349-2023")</f>
        <v/>
      </c>
      <c r="X596">
        <f>HYPERLINK("https://klasma.github.io/Logging_0331/tillsyn/A 40349-2023 tillsynsbegäran.docx", "A 40349-2023")</f>
        <v/>
      </c>
      <c r="Y596">
        <f>HYPERLINK("https://klasma.github.io/Logging_0331/tillsynsmail/A 40349-2023 tillsynsbegäran mail.docx", "A 40349-2023")</f>
        <v/>
      </c>
    </row>
    <row r="597" ht="15" customHeight="1">
      <c r="A597" t="inlineStr">
        <is>
          <t>A 40878-2023</t>
        </is>
      </c>
      <c r="B597" s="1" t="n">
        <v>45173</v>
      </c>
      <c r="C597" s="1" t="n">
        <v>45706</v>
      </c>
      <c r="D597" t="inlineStr">
        <is>
          <t>UPPSALA LÄN</t>
        </is>
      </c>
      <c r="E597" t="inlineStr">
        <is>
          <t>TIERP</t>
        </is>
      </c>
      <c r="F597" t="inlineStr">
        <is>
          <t>Bergvik skog väst AB</t>
        </is>
      </c>
      <c r="G597" t="n">
        <v>4.7</v>
      </c>
      <c r="H597" t="n">
        <v>1</v>
      </c>
      <c r="I597" t="n">
        <v>1</v>
      </c>
      <c r="J597" t="n">
        <v>0</v>
      </c>
      <c r="K597" t="n">
        <v>0</v>
      </c>
      <c r="L597" t="n">
        <v>0</v>
      </c>
      <c r="M597" t="n">
        <v>0</v>
      </c>
      <c r="N597" t="n">
        <v>0</v>
      </c>
      <c r="O597" t="n">
        <v>0</v>
      </c>
      <c r="P597" t="n">
        <v>0</v>
      </c>
      <c r="Q597" t="n">
        <v>1</v>
      </c>
      <c r="R597" s="2" t="inlineStr">
        <is>
          <t>Grön sköldmossa</t>
        </is>
      </c>
      <c r="S597">
        <f>HYPERLINK("https://klasma.github.io/Logging_0360/artfynd/A 40878-2023 artfynd.xlsx", "A 40878-2023")</f>
        <v/>
      </c>
      <c r="T597">
        <f>HYPERLINK("https://klasma.github.io/Logging_0360/kartor/A 40878-2023 karta.png", "A 40878-2023")</f>
        <v/>
      </c>
      <c r="V597">
        <f>HYPERLINK("https://klasma.github.io/Logging_0360/klagomål/A 40878-2023 FSC-klagomål.docx", "A 40878-2023")</f>
        <v/>
      </c>
      <c r="W597">
        <f>HYPERLINK("https://klasma.github.io/Logging_0360/klagomålsmail/A 40878-2023 FSC-klagomål mail.docx", "A 40878-2023")</f>
        <v/>
      </c>
      <c r="X597">
        <f>HYPERLINK("https://klasma.github.io/Logging_0360/tillsyn/A 40878-2023 tillsynsbegäran.docx", "A 40878-2023")</f>
        <v/>
      </c>
      <c r="Y597">
        <f>HYPERLINK("https://klasma.github.io/Logging_0360/tillsynsmail/A 40878-2023 tillsynsbegäran mail.docx", "A 40878-2023")</f>
        <v/>
      </c>
    </row>
    <row r="598" ht="15" customHeight="1">
      <c r="A598" t="inlineStr">
        <is>
          <t>A 40940-2023</t>
        </is>
      </c>
      <c r="B598" s="1" t="n">
        <v>45173</v>
      </c>
      <c r="C598" s="1" t="n">
        <v>45706</v>
      </c>
      <c r="D598" t="inlineStr">
        <is>
          <t>UPPSALA LÄN</t>
        </is>
      </c>
      <c r="E598" t="inlineStr">
        <is>
          <t>TIERP</t>
        </is>
      </c>
      <c r="F598" t="inlineStr">
        <is>
          <t>Bergvik skog väst AB</t>
        </is>
      </c>
      <c r="G598" t="n">
        <v>1.3</v>
      </c>
      <c r="H598" t="n">
        <v>1</v>
      </c>
      <c r="I598" t="n">
        <v>1</v>
      </c>
      <c r="J598" t="n">
        <v>0</v>
      </c>
      <c r="K598" t="n">
        <v>0</v>
      </c>
      <c r="L598" t="n">
        <v>0</v>
      </c>
      <c r="M598" t="n">
        <v>0</v>
      </c>
      <c r="N598" t="n">
        <v>0</v>
      </c>
      <c r="O598" t="n">
        <v>0</v>
      </c>
      <c r="P598" t="n">
        <v>0</v>
      </c>
      <c r="Q598" t="n">
        <v>1</v>
      </c>
      <c r="R598" s="2" t="inlineStr">
        <is>
          <t>Skogsknipprot</t>
        </is>
      </c>
      <c r="S598">
        <f>HYPERLINK("https://klasma.github.io/Logging_0360/artfynd/A 40940-2023 artfynd.xlsx", "A 40940-2023")</f>
        <v/>
      </c>
      <c r="T598">
        <f>HYPERLINK("https://klasma.github.io/Logging_0360/kartor/A 40940-2023 karta.png", "A 40940-2023")</f>
        <v/>
      </c>
      <c r="V598">
        <f>HYPERLINK("https://klasma.github.io/Logging_0360/klagomål/A 40940-2023 FSC-klagomål.docx", "A 40940-2023")</f>
        <v/>
      </c>
      <c r="W598">
        <f>HYPERLINK("https://klasma.github.io/Logging_0360/klagomålsmail/A 40940-2023 FSC-klagomål mail.docx", "A 40940-2023")</f>
        <v/>
      </c>
      <c r="X598">
        <f>HYPERLINK("https://klasma.github.io/Logging_0360/tillsyn/A 40940-2023 tillsynsbegäran.docx", "A 40940-2023")</f>
        <v/>
      </c>
      <c r="Y598">
        <f>HYPERLINK("https://klasma.github.io/Logging_0360/tillsynsmail/A 40940-2023 tillsynsbegäran mail.docx", "A 40940-2023")</f>
        <v/>
      </c>
    </row>
    <row r="599" ht="15" customHeight="1">
      <c r="A599" t="inlineStr">
        <is>
          <t>A 43162-2023</t>
        </is>
      </c>
      <c r="B599" s="1" t="n">
        <v>45183</v>
      </c>
      <c r="C599" s="1" t="n">
        <v>45706</v>
      </c>
      <c r="D599" t="inlineStr">
        <is>
          <t>UPPSALA LÄN</t>
        </is>
      </c>
      <c r="E599" t="inlineStr">
        <is>
          <t>TIERP</t>
        </is>
      </c>
      <c r="F599" t="inlineStr">
        <is>
          <t>Bergvik skog öst AB</t>
        </is>
      </c>
      <c r="G599" t="n">
        <v>15.7</v>
      </c>
      <c r="H599" t="n">
        <v>1</v>
      </c>
      <c r="I599" t="n">
        <v>0</v>
      </c>
      <c r="J599" t="n">
        <v>1</v>
      </c>
      <c r="K599" t="n">
        <v>0</v>
      </c>
      <c r="L599" t="n">
        <v>0</v>
      </c>
      <c r="M599" t="n">
        <v>0</v>
      </c>
      <c r="N599" t="n">
        <v>0</v>
      </c>
      <c r="O599" t="n">
        <v>1</v>
      </c>
      <c r="P599" t="n">
        <v>0</v>
      </c>
      <c r="Q599" t="n">
        <v>1</v>
      </c>
      <c r="R599" s="2" t="inlineStr">
        <is>
          <t>Gulsparv</t>
        </is>
      </c>
      <c r="S599">
        <f>HYPERLINK("https://klasma.github.io/Logging_0360/artfynd/A 43162-2023 artfynd.xlsx", "A 43162-2023")</f>
        <v/>
      </c>
      <c r="T599">
        <f>HYPERLINK("https://klasma.github.io/Logging_0360/kartor/A 43162-2023 karta.png", "A 43162-2023")</f>
        <v/>
      </c>
      <c r="V599">
        <f>HYPERLINK("https://klasma.github.io/Logging_0360/klagomål/A 43162-2023 FSC-klagomål.docx", "A 43162-2023")</f>
        <v/>
      </c>
      <c r="W599">
        <f>HYPERLINK("https://klasma.github.io/Logging_0360/klagomålsmail/A 43162-2023 FSC-klagomål mail.docx", "A 43162-2023")</f>
        <v/>
      </c>
      <c r="X599">
        <f>HYPERLINK("https://klasma.github.io/Logging_0360/tillsyn/A 43162-2023 tillsynsbegäran.docx", "A 43162-2023")</f>
        <v/>
      </c>
      <c r="Y599">
        <f>HYPERLINK("https://klasma.github.io/Logging_0360/tillsynsmail/A 43162-2023 tillsynsbegäran mail.docx", "A 43162-2023")</f>
        <v/>
      </c>
      <c r="Z599">
        <f>HYPERLINK("https://klasma.github.io/Logging_0360/fåglar/A 43162-2023 prioriterade fågelarter.docx", "A 43162-2023")</f>
        <v/>
      </c>
    </row>
    <row r="600" ht="15" customHeight="1">
      <c r="A600" t="inlineStr">
        <is>
          <t>A 43699-2023</t>
        </is>
      </c>
      <c r="B600" s="1" t="n">
        <v>45187</v>
      </c>
      <c r="C600" s="1" t="n">
        <v>45706</v>
      </c>
      <c r="D600" t="inlineStr">
        <is>
          <t>UPPSALA LÄN</t>
        </is>
      </c>
      <c r="E600" t="inlineStr">
        <is>
          <t>KNIVSTA</t>
        </is>
      </c>
      <c r="G600" t="n">
        <v>5.2</v>
      </c>
      <c r="H600" t="n">
        <v>1</v>
      </c>
      <c r="I600" t="n">
        <v>0</v>
      </c>
      <c r="J600" t="n">
        <v>0</v>
      </c>
      <c r="K600" t="n">
        <v>0</v>
      </c>
      <c r="L600" t="n">
        <v>0</v>
      </c>
      <c r="M600" t="n">
        <v>0</v>
      </c>
      <c r="N600" t="n">
        <v>0</v>
      </c>
      <c r="O600" t="n">
        <v>0</v>
      </c>
      <c r="P600" t="n">
        <v>0</v>
      </c>
      <c r="Q600" t="n">
        <v>1</v>
      </c>
      <c r="R600" s="2" t="inlineStr">
        <is>
          <t>Gullviva</t>
        </is>
      </c>
      <c r="S600">
        <f>HYPERLINK("https://klasma.github.io/Logging_0330/artfynd/A 43699-2023 artfynd.xlsx", "A 43699-2023")</f>
        <v/>
      </c>
      <c r="T600">
        <f>HYPERLINK("https://klasma.github.io/Logging_0330/kartor/A 43699-2023 karta.png", "A 43699-2023")</f>
        <v/>
      </c>
      <c r="V600">
        <f>HYPERLINK("https://klasma.github.io/Logging_0330/klagomål/A 43699-2023 FSC-klagomål.docx", "A 43699-2023")</f>
        <v/>
      </c>
      <c r="W600">
        <f>HYPERLINK("https://klasma.github.io/Logging_0330/klagomålsmail/A 43699-2023 FSC-klagomål mail.docx", "A 43699-2023")</f>
        <v/>
      </c>
      <c r="X600">
        <f>HYPERLINK("https://klasma.github.io/Logging_0330/tillsyn/A 43699-2023 tillsynsbegäran.docx", "A 43699-2023")</f>
        <v/>
      </c>
      <c r="Y600">
        <f>HYPERLINK("https://klasma.github.io/Logging_0330/tillsynsmail/A 43699-2023 tillsynsbegäran mail.docx", "A 43699-2023")</f>
        <v/>
      </c>
    </row>
    <row r="601" ht="15" customHeight="1">
      <c r="A601" t="inlineStr">
        <is>
          <t>A 45116-2023</t>
        </is>
      </c>
      <c r="B601" s="1" t="n">
        <v>45191</v>
      </c>
      <c r="C601" s="1" t="n">
        <v>45706</v>
      </c>
      <c r="D601" t="inlineStr">
        <is>
          <t>UPPSALA LÄN</t>
        </is>
      </c>
      <c r="E601" t="inlineStr">
        <is>
          <t>ENKÖPING</t>
        </is>
      </c>
      <c r="G601" t="n">
        <v>2</v>
      </c>
      <c r="H601" t="n">
        <v>0</v>
      </c>
      <c r="I601" t="n">
        <v>1</v>
      </c>
      <c r="J601" t="n">
        <v>0</v>
      </c>
      <c r="K601" t="n">
        <v>0</v>
      </c>
      <c r="L601" t="n">
        <v>0</v>
      </c>
      <c r="M601" t="n">
        <v>0</v>
      </c>
      <c r="N601" t="n">
        <v>0</v>
      </c>
      <c r="O601" t="n">
        <v>0</v>
      </c>
      <c r="P601" t="n">
        <v>0</v>
      </c>
      <c r="Q601" t="n">
        <v>1</v>
      </c>
      <c r="R601" s="2" t="inlineStr">
        <is>
          <t>Rävticka</t>
        </is>
      </c>
      <c r="S601">
        <f>HYPERLINK("https://klasma.github.io/Logging_0381/artfynd/A 45116-2023 artfynd.xlsx", "A 45116-2023")</f>
        <v/>
      </c>
      <c r="T601">
        <f>HYPERLINK("https://klasma.github.io/Logging_0381/kartor/A 45116-2023 karta.png", "A 45116-2023")</f>
        <v/>
      </c>
      <c r="V601">
        <f>HYPERLINK("https://klasma.github.io/Logging_0381/klagomål/A 45116-2023 FSC-klagomål.docx", "A 45116-2023")</f>
        <v/>
      </c>
      <c r="W601">
        <f>HYPERLINK("https://klasma.github.io/Logging_0381/klagomålsmail/A 45116-2023 FSC-klagomål mail.docx", "A 45116-2023")</f>
        <v/>
      </c>
      <c r="X601">
        <f>HYPERLINK("https://klasma.github.io/Logging_0381/tillsyn/A 45116-2023 tillsynsbegäran.docx", "A 45116-2023")</f>
        <v/>
      </c>
      <c r="Y601">
        <f>HYPERLINK("https://klasma.github.io/Logging_0381/tillsynsmail/A 45116-2023 tillsynsbegäran mail.docx", "A 45116-2023")</f>
        <v/>
      </c>
    </row>
    <row r="602" ht="15" customHeight="1">
      <c r="A602" t="inlineStr">
        <is>
          <t>A 45617-2023</t>
        </is>
      </c>
      <c r="B602" s="1" t="n">
        <v>45194</v>
      </c>
      <c r="C602" s="1" t="n">
        <v>45706</v>
      </c>
      <c r="D602" t="inlineStr">
        <is>
          <t>UPPSALA LÄN</t>
        </is>
      </c>
      <c r="E602" t="inlineStr">
        <is>
          <t>ENKÖPING</t>
        </is>
      </c>
      <c r="G602" t="n">
        <v>2.9</v>
      </c>
      <c r="H602" t="n">
        <v>1</v>
      </c>
      <c r="I602" t="n">
        <v>0</v>
      </c>
      <c r="J602" t="n">
        <v>0</v>
      </c>
      <c r="K602" t="n">
        <v>1</v>
      </c>
      <c r="L602" t="n">
        <v>0</v>
      </c>
      <c r="M602" t="n">
        <v>0</v>
      </c>
      <c r="N602" t="n">
        <v>0</v>
      </c>
      <c r="O602" t="n">
        <v>1</v>
      </c>
      <c r="P602" t="n">
        <v>1</v>
      </c>
      <c r="Q602" t="n">
        <v>1</v>
      </c>
      <c r="R602" s="2" t="inlineStr">
        <is>
          <t>Knärot</t>
        </is>
      </c>
      <c r="S602">
        <f>HYPERLINK("https://klasma.github.io/Logging_0381/artfynd/A 45617-2023 artfynd.xlsx", "A 45617-2023")</f>
        <v/>
      </c>
      <c r="T602">
        <f>HYPERLINK("https://klasma.github.io/Logging_0381/kartor/A 45617-2023 karta.png", "A 45617-2023")</f>
        <v/>
      </c>
      <c r="U602">
        <f>HYPERLINK("https://klasma.github.io/Logging_0381/knärot/A 45617-2023 karta knärot.png", "A 45617-2023")</f>
        <v/>
      </c>
      <c r="V602">
        <f>HYPERLINK("https://klasma.github.io/Logging_0381/klagomål/A 45617-2023 FSC-klagomål.docx", "A 45617-2023")</f>
        <v/>
      </c>
      <c r="W602">
        <f>HYPERLINK("https://klasma.github.io/Logging_0381/klagomålsmail/A 45617-2023 FSC-klagomål mail.docx", "A 45617-2023")</f>
        <v/>
      </c>
      <c r="X602">
        <f>HYPERLINK("https://klasma.github.io/Logging_0381/tillsyn/A 45617-2023 tillsynsbegäran.docx", "A 45617-2023")</f>
        <v/>
      </c>
      <c r="Y602">
        <f>HYPERLINK("https://klasma.github.io/Logging_0381/tillsynsmail/A 45617-2023 tillsynsbegäran mail.docx", "A 45617-2023")</f>
        <v/>
      </c>
    </row>
    <row r="603" ht="15" customHeight="1">
      <c r="A603" t="inlineStr">
        <is>
          <t>A 46354-2023</t>
        </is>
      </c>
      <c r="B603" s="1" t="n">
        <v>45197</v>
      </c>
      <c r="C603" s="1" t="n">
        <v>45706</v>
      </c>
      <c r="D603" t="inlineStr">
        <is>
          <t>UPPSALA LÄN</t>
        </is>
      </c>
      <c r="E603" t="inlineStr">
        <is>
          <t>ÄLVKARLEBY</t>
        </is>
      </c>
      <c r="F603" t="inlineStr">
        <is>
          <t>Bergvik skog öst AB</t>
        </is>
      </c>
      <c r="G603" t="n">
        <v>2.3</v>
      </c>
      <c r="H603" t="n">
        <v>1</v>
      </c>
      <c r="I603" t="n">
        <v>1</v>
      </c>
      <c r="J603" t="n">
        <v>0</v>
      </c>
      <c r="K603" t="n">
        <v>0</v>
      </c>
      <c r="L603" t="n">
        <v>0</v>
      </c>
      <c r="M603" t="n">
        <v>0</v>
      </c>
      <c r="N603" t="n">
        <v>0</v>
      </c>
      <c r="O603" t="n">
        <v>0</v>
      </c>
      <c r="P603" t="n">
        <v>0</v>
      </c>
      <c r="Q603" t="n">
        <v>1</v>
      </c>
      <c r="R603" s="2" t="inlineStr">
        <is>
          <t>Skogsknipprot</t>
        </is>
      </c>
      <c r="S603">
        <f>HYPERLINK("https://klasma.github.io/Logging_0319/artfynd/A 46354-2023 artfynd.xlsx", "A 46354-2023")</f>
        <v/>
      </c>
      <c r="T603">
        <f>HYPERLINK("https://klasma.github.io/Logging_0319/kartor/A 46354-2023 karta.png", "A 46354-2023")</f>
        <v/>
      </c>
      <c r="V603">
        <f>HYPERLINK("https://klasma.github.io/Logging_0319/klagomål/A 46354-2023 FSC-klagomål.docx", "A 46354-2023")</f>
        <v/>
      </c>
      <c r="W603">
        <f>HYPERLINK("https://klasma.github.io/Logging_0319/klagomålsmail/A 46354-2023 FSC-klagomål mail.docx", "A 46354-2023")</f>
        <v/>
      </c>
      <c r="X603">
        <f>HYPERLINK("https://klasma.github.io/Logging_0319/tillsyn/A 46354-2023 tillsynsbegäran.docx", "A 46354-2023")</f>
        <v/>
      </c>
      <c r="Y603">
        <f>HYPERLINK("https://klasma.github.io/Logging_0319/tillsynsmail/A 46354-2023 tillsynsbegäran mail.docx", "A 46354-2023")</f>
        <v/>
      </c>
    </row>
    <row r="604" ht="15" customHeight="1">
      <c r="A604" t="inlineStr">
        <is>
          <t>A 48687-2023</t>
        </is>
      </c>
      <c r="B604" s="1" t="n">
        <v>45208</v>
      </c>
      <c r="C604" s="1" t="n">
        <v>45706</v>
      </c>
      <c r="D604" t="inlineStr">
        <is>
          <t>UPPSALA LÄN</t>
        </is>
      </c>
      <c r="E604" t="inlineStr">
        <is>
          <t>TIERP</t>
        </is>
      </c>
      <c r="F604" t="inlineStr">
        <is>
          <t>Bergvik skog öst AB</t>
        </is>
      </c>
      <c r="G604" t="n">
        <v>2.6</v>
      </c>
      <c r="H604" t="n">
        <v>1</v>
      </c>
      <c r="I604" t="n">
        <v>0</v>
      </c>
      <c r="J604" t="n">
        <v>1</v>
      </c>
      <c r="K604" t="n">
        <v>0</v>
      </c>
      <c r="L604" t="n">
        <v>0</v>
      </c>
      <c r="M604" t="n">
        <v>0</v>
      </c>
      <c r="N604" t="n">
        <v>0</v>
      </c>
      <c r="O604" t="n">
        <v>1</v>
      </c>
      <c r="P604" t="n">
        <v>0</v>
      </c>
      <c r="Q604" t="n">
        <v>1</v>
      </c>
      <c r="R604" s="2" t="inlineStr">
        <is>
          <t>Gulsparv</t>
        </is>
      </c>
      <c r="S604">
        <f>HYPERLINK("https://klasma.github.io/Logging_0360/artfynd/A 48687-2023 artfynd.xlsx", "A 48687-2023")</f>
        <v/>
      </c>
      <c r="T604">
        <f>HYPERLINK("https://klasma.github.io/Logging_0360/kartor/A 48687-2023 karta.png", "A 48687-2023")</f>
        <v/>
      </c>
      <c r="V604">
        <f>HYPERLINK("https://klasma.github.io/Logging_0360/klagomål/A 48687-2023 FSC-klagomål.docx", "A 48687-2023")</f>
        <v/>
      </c>
      <c r="W604">
        <f>HYPERLINK("https://klasma.github.io/Logging_0360/klagomålsmail/A 48687-2023 FSC-klagomål mail.docx", "A 48687-2023")</f>
        <v/>
      </c>
      <c r="X604">
        <f>HYPERLINK("https://klasma.github.io/Logging_0360/tillsyn/A 48687-2023 tillsynsbegäran.docx", "A 48687-2023")</f>
        <v/>
      </c>
      <c r="Y604">
        <f>HYPERLINK("https://klasma.github.io/Logging_0360/tillsynsmail/A 48687-2023 tillsynsbegäran mail.docx", "A 48687-2023")</f>
        <v/>
      </c>
      <c r="Z604">
        <f>HYPERLINK("https://klasma.github.io/Logging_0360/fåglar/A 48687-2023 prioriterade fågelarter.docx", "A 48687-2023")</f>
        <v/>
      </c>
    </row>
    <row r="605" ht="15" customHeight="1">
      <c r="A605" t="inlineStr">
        <is>
          <t>A 49794-2023</t>
        </is>
      </c>
      <c r="B605" s="1" t="n">
        <v>45212</v>
      </c>
      <c r="C605" s="1" t="n">
        <v>45706</v>
      </c>
      <c r="D605" t="inlineStr">
        <is>
          <t>UPPSALA LÄN</t>
        </is>
      </c>
      <c r="E605" t="inlineStr">
        <is>
          <t>TIERP</t>
        </is>
      </c>
      <c r="F605" t="inlineStr">
        <is>
          <t>Bergvik skog öst AB</t>
        </is>
      </c>
      <c r="G605" t="n">
        <v>12</v>
      </c>
      <c r="H605" t="n">
        <v>0</v>
      </c>
      <c r="I605" t="n">
        <v>0</v>
      </c>
      <c r="J605" t="n">
        <v>1</v>
      </c>
      <c r="K605" t="n">
        <v>0</v>
      </c>
      <c r="L605" t="n">
        <v>0</v>
      </c>
      <c r="M605" t="n">
        <v>0</v>
      </c>
      <c r="N605" t="n">
        <v>0</v>
      </c>
      <c r="O605" t="n">
        <v>1</v>
      </c>
      <c r="P605" t="n">
        <v>0</v>
      </c>
      <c r="Q605" t="n">
        <v>1</v>
      </c>
      <c r="R605" s="2" t="inlineStr">
        <is>
          <t>Slåtterfibbla</t>
        </is>
      </c>
      <c r="S605">
        <f>HYPERLINK("https://klasma.github.io/Logging_0360/artfynd/A 49794-2023 artfynd.xlsx", "A 49794-2023")</f>
        <v/>
      </c>
      <c r="T605">
        <f>HYPERLINK("https://klasma.github.io/Logging_0360/kartor/A 49794-2023 karta.png", "A 49794-2023")</f>
        <v/>
      </c>
      <c r="V605">
        <f>HYPERLINK("https://klasma.github.io/Logging_0360/klagomål/A 49794-2023 FSC-klagomål.docx", "A 49794-2023")</f>
        <v/>
      </c>
      <c r="W605">
        <f>HYPERLINK("https://klasma.github.io/Logging_0360/klagomålsmail/A 49794-2023 FSC-klagomål mail.docx", "A 49794-2023")</f>
        <v/>
      </c>
      <c r="X605">
        <f>HYPERLINK("https://klasma.github.io/Logging_0360/tillsyn/A 49794-2023 tillsynsbegäran.docx", "A 49794-2023")</f>
        <v/>
      </c>
      <c r="Y605">
        <f>HYPERLINK("https://klasma.github.io/Logging_0360/tillsynsmail/A 49794-2023 tillsynsbegäran mail.docx", "A 49794-2023")</f>
        <v/>
      </c>
    </row>
    <row r="606" ht="15" customHeight="1">
      <c r="A606" t="inlineStr">
        <is>
          <t>A 51382-2023</t>
        </is>
      </c>
      <c r="B606" s="1" t="n">
        <v>45219</v>
      </c>
      <c r="C606" s="1" t="n">
        <v>45706</v>
      </c>
      <c r="D606" t="inlineStr">
        <is>
          <t>UPPSALA LÄN</t>
        </is>
      </c>
      <c r="E606" t="inlineStr">
        <is>
          <t>ENKÖPING</t>
        </is>
      </c>
      <c r="F606" t="inlineStr">
        <is>
          <t>Allmännings- och besparingsskogar</t>
        </is>
      </c>
      <c r="G606" t="n">
        <v>15.9</v>
      </c>
      <c r="H606" t="n">
        <v>0</v>
      </c>
      <c r="I606" t="n">
        <v>0</v>
      </c>
      <c r="J606" t="n">
        <v>1</v>
      </c>
      <c r="K606" t="n">
        <v>0</v>
      </c>
      <c r="L606" t="n">
        <v>0</v>
      </c>
      <c r="M606" t="n">
        <v>0</v>
      </c>
      <c r="N606" t="n">
        <v>0</v>
      </c>
      <c r="O606" t="n">
        <v>1</v>
      </c>
      <c r="P606" t="n">
        <v>0</v>
      </c>
      <c r="Q606" t="n">
        <v>1</v>
      </c>
      <c r="R606" s="2" t="inlineStr">
        <is>
          <t>Krusfrö</t>
        </is>
      </c>
      <c r="S606">
        <f>HYPERLINK("https://klasma.github.io/Logging_0381/artfynd/A 51382-2023 artfynd.xlsx", "A 51382-2023")</f>
        <v/>
      </c>
      <c r="T606">
        <f>HYPERLINK("https://klasma.github.io/Logging_0381/kartor/A 51382-2023 karta.png", "A 51382-2023")</f>
        <v/>
      </c>
      <c r="V606">
        <f>HYPERLINK("https://klasma.github.io/Logging_0381/klagomål/A 51382-2023 FSC-klagomål.docx", "A 51382-2023")</f>
        <v/>
      </c>
      <c r="W606">
        <f>HYPERLINK("https://klasma.github.io/Logging_0381/klagomålsmail/A 51382-2023 FSC-klagomål mail.docx", "A 51382-2023")</f>
        <v/>
      </c>
      <c r="X606">
        <f>HYPERLINK("https://klasma.github.io/Logging_0381/tillsyn/A 51382-2023 tillsynsbegäran.docx", "A 51382-2023")</f>
        <v/>
      </c>
      <c r="Y606">
        <f>HYPERLINK("https://klasma.github.io/Logging_0381/tillsynsmail/A 51382-2023 tillsynsbegäran mail.docx", "A 51382-2023")</f>
        <v/>
      </c>
    </row>
    <row r="607" ht="15" customHeight="1">
      <c r="A607" t="inlineStr">
        <is>
          <t>A 51540-2023</t>
        </is>
      </c>
      <c r="B607" s="1" t="n">
        <v>45222</v>
      </c>
      <c r="C607" s="1" t="n">
        <v>45706</v>
      </c>
      <c r="D607" t="inlineStr">
        <is>
          <t>UPPSALA LÄN</t>
        </is>
      </c>
      <c r="E607" t="inlineStr">
        <is>
          <t>UPPSALA</t>
        </is>
      </c>
      <c r="G607" t="n">
        <v>6.4</v>
      </c>
      <c r="H607" t="n">
        <v>0</v>
      </c>
      <c r="I607" t="n">
        <v>0</v>
      </c>
      <c r="J607" t="n">
        <v>1</v>
      </c>
      <c r="K607" t="n">
        <v>0</v>
      </c>
      <c r="L607" t="n">
        <v>0</v>
      </c>
      <c r="M607" t="n">
        <v>0</v>
      </c>
      <c r="N607" t="n">
        <v>0</v>
      </c>
      <c r="O607" t="n">
        <v>1</v>
      </c>
      <c r="P607" t="n">
        <v>0</v>
      </c>
      <c r="Q607" t="n">
        <v>1</v>
      </c>
      <c r="R607" s="2" t="inlineStr">
        <is>
          <t>Svedjenäva</t>
        </is>
      </c>
      <c r="S607">
        <f>HYPERLINK("https://klasma.github.io/Logging_0380/artfynd/A 51540-2023 artfynd.xlsx", "A 51540-2023")</f>
        <v/>
      </c>
      <c r="T607">
        <f>HYPERLINK("https://klasma.github.io/Logging_0380/kartor/A 51540-2023 karta.png", "A 51540-2023")</f>
        <v/>
      </c>
      <c r="V607">
        <f>HYPERLINK("https://klasma.github.io/Logging_0380/klagomål/A 51540-2023 FSC-klagomål.docx", "A 51540-2023")</f>
        <v/>
      </c>
      <c r="W607">
        <f>HYPERLINK("https://klasma.github.io/Logging_0380/klagomålsmail/A 51540-2023 FSC-klagomål mail.docx", "A 51540-2023")</f>
        <v/>
      </c>
      <c r="X607">
        <f>HYPERLINK("https://klasma.github.io/Logging_0380/tillsyn/A 51540-2023 tillsynsbegäran.docx", "A 51540-2023")</f>
        <v/>
      </c>
      <c r="Y607">
        <f>HYPERLINK("https://klasma.github.io/Logging_0380/tillsynsmail/A 51540-2023 tillsynsbegäran mail.docx", "A 51540-2023")</f>
        <v/>
      </c>
    </row>
    <row r="608" ht="15" customHeight="1">
      <c r="A608" t="inlineStr">
        <is>
          <t>A 53342-2023</t>
        </is>
      </c>
      <c r="B608" s="1" t="n">
        <v>45229</v>
      </c>
      <c r="C608" s="1" t="n">
        <v>45706</v>
      </c>
      <c r="D608" t="inlineStr">
        <is>
          <t>UPPSALA LÄN</t>
        </is>
      </c>
      <c r="E608" t="inlineStr">
        <is>
          <t>ENKÖPING</t>
        </is>
      </c>
      <c r="G608" t="n">
        <v>28.8</v>
      </c>
      <c r="H608" t="n">
        <v>0</v>
      </c>
      <c r="I608" t="n">
        <v>0</v>
      </c>
      <c r="J608" t="n">
        <v>1</v>
      </c>
      <c r="K608" t="n">
        <v>0</v>
      </c>
      <c r="L608" t="n">
        <v>0</v>
      </c>
      <c r="M608" t="n">
        <v>0</v>
      </c>
      <c r="N608" t="n">
        <v>0</v>
      </c>
      <c r="O608" t="n">
        <v>1</v>
      </c>
      <c r="P608" t="n">
        <v>0</v>
      </c>
      <c r="Q608" t="n">
        <v>1</v>
      </c>
      <c r="R608" s="2" t="inlineStr">
        <is>
          <t>Tallticka</t>
        </is>
      </c>
      <c r="S608">
        <f>HYPERLINK("https://klasma.github.io/Logging_0381/artfynd/A 53342-2023 artfynd.xlsx", "A 53342-2023")</f>
        <v/>
      </c>
      <c r="T608">
        <f>HYPERLINK("https://klasma.github.io/Logging_0381/kartor/A 53342-2023 karta.png", "A 53342-2023")</f>
        <v/>
      </c>
      <c r="V608">
        <f>HYPERLINK("https://klasma.github.io/Logging_0381/klagomål/A 53342-2023 FSC-klagomål.docx", "A 53342-2023")</f>
        <v/>
      </c>
      <c r="W608">
        <f>HYPERLINK("https://klasma.github.io/Logging_0381/klagomålsmail/A 53342-2023 FSC-klagomål mail.docx", "A 53342-2023")</f>
        <v/>
      </c>
      <c r="X608">
        <f>HYPERLINK("https://klasma.github.io/Logging_0381/tillsyn/A 53342-2023 tillsynsbegäran.docx", "A 53342-2023")</f>
        <v/>
      </c>
      <c r="Y608">
        <f>HYPERLINK("https://klasma.github.io/Logging_0381/tillsynsmail/A 53342-2023 tillsynsbegäran mail.docx", "A 53342-2023")</f>
        <v/>
      </c>
    </row>
    <row r="609" ht="15" customHeight="1">
      <c r="A609" t="inlineStr">
        <is>
          <t>A 53706-2023</t>
        </is>
      </c>
      <c r="B609" s="1" t="n">
        <v>45230</v>
      </c>
      <c r="C609" s="1" t="n">
        <v>45706</v>
      </c>
      <c r="D609" t="inlineStr">
        <is>
          <t>UPPSALA LÄN</t>
        </is>
      </c>
      <c r="E609" t="inlineStr">
        <is>
          <t>ÖSTHAMMAR</t>
        </is>
      </c>
      <c r="G609" t="n">
        <v>2.9</v>
      </c>
      <c r="H609" t="n">
        <v>0</v>
      </c>
      <c r="I609" t="n">
        <v>1</v>
      </c>
      <c r="J609" t="n">
        <v>0</v>
      </c>
      <c r="K609" t="n">
        <v>0</v>
      </c>
      <c r="L609" t="n">
        <v>0</v>
      </c>
      <c r="M609" t="n">
        <v>0</v>
      </c>
      <c r="N609" t="n">
        <v>0</v>
      </c>
      <c r="O609" t="n">
        <v>0</v>
      </c>
      <c r="P609" t="n">
        <v>0</v>
      </c>
      <c r="Q609" t="n">
        <v>1</v>
      </c>
      <c r="R609" s="2" t="inlineStr">
        <is>
          <t>Dofttråding</t>
        </is>
      </c>
      <c r="S609">
        <f>HYPERLINK("https://klasma.github.io/Logging_0382/artfynd/A 53706-2023 artfynd.xlsx", "A 53706-2023")</f>
        <v/>
      </c>
      <c r="T609">
        <f>HYPERLINK("https://klasma.github.io/Logging_0382/kartor/A 53706-2023 karta.png", "A 53706-2023")</f>
        <v/>
      </c>
      <c r="V609">
        <f>HYPERLINK("https://klasma.github.io/Logging_0382/klagomål/A 53706-2023 FSC-klagomål.docx", "A 53706-2023")</f>
        <v/>
      </c>
      <c r="W609">
        <f>HYPERLINK("https://klasma.github.io/Logging_0382/klagomålsmail/A 53706-2023 FSC-klagomål mail.docx", "A 53706-2023")</f>
        <v/>
      </c>
      <c r="X609">
        <f>HYPERLINK("https://klasma.github.io/Logging_0382/tillsyn/A 53706-2023 tillsynsbegäran.docx", "A 53706-2023")</f>
        <v/>
      </c>
      <c r="Y609">
        <f>HYPERLINK("https://klasma.github.io/Logging_0382/tillsynsmail/A 53706-2023 tillsynsbegäran mail.docx", "A 53706-2023")</f>
        <v/>
      </c>
    </row>
    <row r="610" ht="15" customHeight="1">
      <c r="A610" t="inlineStr">
        <is>
          <t>A 53729-2023</t>
        </is>
      </c>
      <c r="B610" s="1" t="n">
        <v>45230</v>
      </c>
      <c r="C610" s="1" t="n">
        <v>45706</v>
      </c>
      <c r="D610" t="inlineStr">
        <is>
          <t>UPPSALA LÄN</t>
        </is>
      </c>
      <c r="E610" t="inlineStr">
        <is>
          <t>ÖSTHAMMAR</t>
        </is>
      </c>
      <c r="G610" t="n">
        <v>2.6</v>
      </c>
      <c r="H610" t="n">
        <v>1</v>
      </c>
      <c r="I610" t="n">
        <v>0</v>
      </c>
      <c r="J610" t="n">
        <v>0</v>
      </c>
      <c r="K610" t="n">
        <v>0</v>
      </c>
      <c r="L610" t="n">
        <v>0</v>
      </c>
      <c r="M610" t="n">
        <v>0</v>
      </c>
      <c r="N610" t="n">
        <v>0</v>
      </c>
      <c r="O610" t="n">
        <v>0</v>
      </c>
      <c r="P610" t="n">
        <v>0</v>
      </c>
      <c r="Q610" t="n">
        <v>1</v>
      </c>
      <c r="R610" s="2" t="inlineStr">
        <is>
          <t>Gullviva</t>
        </is>
      </c>
      <c r="S610">
        <f>HYPERLINK("https://klasma.github.io/Logging_0382/artfynd/A 53729-2023 artfynd.xlsx", "A 53729-2023")</f>
        <v/>
      </c>
      <c r="T610">
        <f>HYPERLINK("https://klasma.github.io/Logging_0382/kartor/A 53729-2023 karta.png", "A 53729-2023")</f>
        <v/>
      </c>
      <c r="V610">
        <f>HYPERLINK("https://klasma.github.io/Logging_0382/klagomål/A 53729-2023 FSC-klagomål.docx", "A 53729-2023")</f>
        <v/>
      </c>
      <c r="W610">
        <f>HYPERLINK("https://klasma.github.io/Logging_0382/klagomålsmail/A 53729-2023 FSC-klagomål mail.docx", "A 53729-2023")</f>
        <v/>
      </c>
      <c r="X610">
        <f>HYPERLINK("https://klasma.github.io/Logging_0382/tillsyn/A 53729-2023 tillsynsbegäran.docx", "A 53729-2023")</f>
        <v/>
      </c>
      <c r="Y610">
        <f>HYPERLINK("https://klasma.github.io/Logging_0382/tillsynsmail/A 53729-2023 tillsynsbegäran mail.docx", "A 53729-2023")</f>
        <v/>
      </c>
    </row>
    <row r="611" ht="15" customHeight="1">
      <c r="A611" t="inlineStr">
        <is>
          <t>A 53992-2023</t>
        </is>
      </c>
      <c r="B611" s="1" t="n">
        <v>45231</v>
      </c>
      <c r="C611" s="1" t="n">
        <v>45706</v>
      </c>
      <c r="D611" t="inlineStr">
        <is>
          <t>UPPSALA LÄN</t>
        </is>
      </c>
      <c r="E611" t="inlineStr">
        <is>
          <t>HEBY</t>
        </is>
      </c>
      <c r="G611" t="n">
        <v>1.2</v>
      </c>
      <c r="H611" t="n">
        <v>0</v>
      </c>
      <c r="I611" t="n">
        <v>0</v>
      </c>
      <c r="J611" t="n">
        <v>1</v>
      </c>
      <c r="K611" t="n">
        <v>0</v>
      </c>
      <c r="L611" t="n">
        <v>0</v>
      </c>
      <c r="M611" t="n">
        <v>0</v>
      </c>
      <c r="N611" t="n">
        <v>0</v>
      </c>
      <c r="O611" t="n">
        <v>1</v>
      </c>
      <c r="P611" t="n">
        <v>0</v>
      </c>
      <c r="Q611" t="n">
        <v>1</v>
      </c>
      <c r="R611" s="2" t="inlineStr">
        <is>
          <t>Igelkott</t>
        </is>
      </c>
      <c r="S611">
        <f>HYPERLINK("https://klasma.github.io/Logging_0331/artfynd/A 53992-2023 artfynd.xlsx", "A 53992-2023")</f>
        <v/>
      </c>
      <c r="T611">
        <f>HYPERLINK("https://klasma.github.io/Logging_0331/kartor/A 53992-2023 karta.png", "A 53992-2023")</f>
        <v/>
      </c>
      <c r="V611">
        <f>HYPERLINK("https://klasma.github.io/Logging_0331/klagomål/A 53992-2023 FSC-klagomål.docx", "A 53992-2023")</f>
        <v/>
      </c>
      <c r="W611">
        <f>HYPERLINK("https://klasma.github.io/Logging_0331/klagomålsmail/A 53992-2023 FSC-klagomål mail.docx", "A 53992-2023")</f>
        <v/>
      </c>
      <c r="X611">
        <f>HYPERLINK("https://klasma.github.io/Logging_0331/tillsyn/A 53992-2023 tillsynsbegäran.docx", "A 53992-2023")</f>
        <v/>
      </c>
      <c r="Y611">
        <f>HYPERLINK("https://klasma.github.io/Logging_0331/tillsynsmail/A 53992-2023 tillsynsbegäran mail.docx", "A 53992-2023")</f>
        <v/>
      </c>
    </row>
    <row r="612" ht="15" customHeight="1">
      <c r="A612" t="inlineStr">
        <is>
          <t>A 55492-2023</t>
        </is>
      </c>
      <c r="B612" s="1" t="n">
        <v>45238</v>
      </c>
      <c r="C612" s="1" t="n">
        <v>45706</v>
      </c>
      <c r="D612" t="inlineStr">
        <is>
          <t>UPPSALA LÄN</t>
        </is>
      </c>
      <c r="E612" t="inlineStr">
        <is>
          <t>ÖSTHAMMAR</t>
        </is>
      </c>
      <c r="G612" t="n">
        <v>3.1</v>
      </c>
      <c r="H612" t="n">
        <v>0</v>
      </c>
      <c r="I612" t="n">
        <v>0</v>
      </c>
      <c r="J612" t="n">
        <v>0</v>
      </c>
      <c r="K612" t="n">
        <v>1</v>
      </c>
      <c r="L612" t="n">
        <v>0</v>
      </c>
      <c r="M612" t="n">
        <v>0</v>
      </c>
      <c r="N612" t="n">
        <v>0</v>
      </c>
      <c r="O612" t="n">
        <v>1</v>
      </c>
      <c r="P612" t="n">
        <v>1</v>
      </c>
      <c r="Q612" t="n">
        <v>1</v>
      </c>
      <c r="R612" s="2" t="inlineStr">
        <is>
          <t>Violgubbe</t>
        </is>
      </c>
      <c r="S612">
        <f>HYPERLINK("https://klasma.github.io/Logging_0382/artfynd/A 55492-2023 artfynd.xlsx", "A 55492-2023")</f>
        <v/>
      </c>
      <c r="T612">
        <f>HYPERLINK("https://klasma.github.io/Logging_0382/kartor/A 55492-2023 karta.png", "A 55492-2023")</f>
        <v/>
      </c>
      <c r="V612">
        <f>HYPERLINK("https://klasma.github.io/Logging_0382/klagomål/A 55492-2023 FSC-klagomål.docx", "A 55492-2023")</f>
        <v/>
      </c>
      <c r="W612">
        <f>HYPERLINK("https://klasma.github.io/Logging_0382/klagomålsmail/A 55492-2023 FSC-klagomål mail.docx", "A 55492-2023")</f>
        <v/>
      </c>
      <c r="X612">
        <f>HYPERLINK("https://klasma.github.io/Logging_0382/tillsyn/A 55492-2023 tillsynsbegäran.docx", "A 55492-2023")</f>
        <v/>
      </c>
      <c r="Y612">
        <f>HYPERLINK("https://klasma.github.io/Logging_0382/tillsynsmail/A 55492-2023 tillsynsbegäran mail.docx", "A 55492-2023")</f>
        <v/>
      </c>
    </row>
    <row r="613" ht="15" customHeight="1">
      <c r="A613" t="inlineStr">
        <is>
          <t>A 56376-2023</t>
        </is>
      </c>
      <c r="B613" s="1" t="n">
        <v>45243</v>
      </c>
      <c r="C613" s="1" t="n">
        <v>45706</v>
      </c>
      <c r="D613" t="inlineStr">
        <is>
          <t>UPPSALA LÄN</t>
        </is>
      </c>
      <c r="E613" t="inlineStr">
        <is>
          <t>HEBY</t>
        </is>
      </c>
      <c r="G613" t="n">
        <v>5.6</v>
      </c>
      <c r="H613" t="n">
        <v>1</v>
      </c>
      <c r="I613" t="n">
        <v>1</v>
      </c>
      <c r="J613" t="n">
        <v>0</v>
      </c>
      <c r="K613" t="n">
        <v>0</v>
      </c>
      <c r="L613" t="n">
        <v>0</v>
      </c>
      <c r="M613" t="n">
        <v>0</v>
      </c>
      <c r="N613" t="n">
        <v>0</v>
      </c>
      <c r="O613" t="n">
        <v>0</v>
      </c>
      <c r="P613" t="n">
        <v>0</v>
      </c>
      <c r="Q613" t="n">
        <v>1</v>
      </c>
      <c r="R613" s="2" t="inlineStr">
        <is>
          <t>Skogsknipprot</t>
        </is>
      </c>
      <c r="S613">
        <f>HYPERLINK("https://klasma.github.io/Logging_0331/artfynd/A 56376-2023 artfynd.xlsx", "A 56376-2023")</f>
        <v/>
      </c>
      <c r="T613">
        <f>HYPERLINK("https://klasma.github.io/Logging_0331/kartor/A 56376-2023 karta.png", "A 56376-2023")</f>
        <v/>
      </c>
      <c r="V613">
        <f>HYPERLINK("https://klasma.github.io/Logging_0331/klagomål/A 56376-2023 FSC-klagomål.docx", "A 56376-2023")</f>
        <v/>
      </c>
      <c r="W613">
        <f>HYPERLINK("https://klasma.github.io/Logging_0331/klagomålsmail/A 56376-2023 FSC-klagomål mail.docx", "A 56376-2023")</f>
        <v/>
      </c>
      <c r="X613">
        <f>HYPERLINK("https://klasma.github.io/Logging_0331/tillsyn/A 56376-2023 tillsynsbegäran.docx", "A 56376-2023")</f>
        <v/>
      </c>
      <c r="Y613">
        <f>HYPERLINK("https://klasma.github.io/Logging_0331/tillsynsmail/A 56376-2023 tillsynsbegäran mail.docx", "A 56376-2023")</f>
        <v/>
      </c>
    </row>
    <row r="614" ht="15" customHeight="1">
      <c r="A614" t="inlineStr">
        <is>
          <t>A 57332-2023</t>
        </is>
      </c>
      <c r="B614" s="1" t="n">
        <v>45245</v>
      </c>
      <c r="C614" s="1" t="n">
        <v>45706</v>
      </c>
      <c r="D614" t="inlineStr">
        <is>
          <t>UPPSALA LÄN</t>
        </is>
      </c>
      <c r="E614" t="inlineStr">
        <is>
          <t>UPPSALA</t>
        </is>
      </c>
      <c r="F614" t="inlineStr">
        <is>
          <t>Allmännings- och besparingsskogar</t>
        </is>
      </c>
      <c r="G614" t="n">
        <v>11.4</v>
      </c>
      <c r="H614" t="n">
        <v>1</v>
      </c>
      <c r="I614" t="n">
        <v>0</v>
      </c>
      <c r="J614" t="n">
        <v>0</v>
      </c>
      <c r="K614" t="n">
        <v>1</v>
      </c>
      <c r="L614" t="n">
        <v>0</v>
      </c>
      <c r="M614" t="n">
        <v>0</v>
      </c>
      <c r="N614" t="n">
        <v>0</v>
      </c>
      <c r="O614" t="n">
        <v>1</v>
      </c>
      <c r="P614" t="n">
        <v>1</v>
      </c>
      <c r="Q614" t="n">
        <v>1</v>
      </c>
      <c r="R614" s="2" t="inlineStr">
        <is>
          <t>Knärot</t>
        </is>
      </c>
      <c r="S614">
        <f>HYPERLINK("https://klasma.github.io/Logging_0380/artfynd/A 57332-2023 artfynd.xlsx", "A 57332-2023")</f>
        <v/>
      </c>
      <c r="T614">
        <f>HYPERLINK("https://klasma.github.io/Logging_0380/kartor/A 57332-2023 karta.png", "A 57332-2023")</f>
        <v/>
      </c>
      <c r="U614">
        <f>HYPERLINK("https://klasma.github.io/Logging_0380/knärot/A 57332-2023 karta knärot.png", "A 57332-2023")</f>
        <v/>
      </c>
      <c r="V614">
        <f>HYPERLINK("https://klasma.github.io/Logging_0380/klagomål/A 57332-2023 FSC-klagomål.docx", "A 57332-2023")</f>
        <v/>
      </c>
      <c r="W614">
        <f>HYPERLINK("https://klasma.github.io/Logging_0380/klagomålsmail/A 57332-2023 FSC-klagomål mail.docx", "A 57332-2023")</f>
        <v/>
      </c>
      <c r="X614">
        <f>HYPERLINK("https://klasma.github.io/Logging_0380/tillsyn/A 57332-2023 tillsynsbegäran.docx", "A 57332-2023")</f>
        <v/>
      </c>
      <c r="Y614">
        <f>HYPERLINK("https://klasma.github.io/Logging_0380/tillsynsmail/A 57332-2023 tillsynsbegäran mail.docx", "A 57332-2023")</f>
        <v/>
      </c>
    </row>
    <row r="615" ht="15" customHeight="1">
      <c r="A615" t="inlineStr">
        <is>
          <t>A 57598-2023</t>
        </is>
      </c>
      <c r="B615" s="1" t="n">
        <v>45246</v>
      </c>
      <c r="C615" s="1" t="n">
        <v>45706</v>
      </c>
      <c r="D615" t="inlineStr">
        <is>
          <t>UPPSALA LÄN</t>
        </is>
      </c>
      <c r="E615" t="inlineStr">
        <is>
          <t>ÖSTHAMMAR</t>
        </is>
      </c>
      <c r="F615" t="inlineStr">
        <is>
          <t>Bergvik skog öst AB</t>
        </is>
      </c>
      <c r="G615" t="n">
        <v>1</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57598-2023 artfynd.xlsx", "A 57598-2023")</f>
        <v/>
      </c>
      <c r="T615">
        <f>HYPERLINK("https://klasma.github.io/Logging_0382/kartor/A 57598-2023 karta.png", "A 57598-2023")</f>
        <v/>
      </c>
      <c r="V615">
        <f>HYPERLINK("https://klasma.github.io/Logging_0382/klagomål/A 57598-2023 FSC-klagomål.docx", "A 57598-2023")</f>
        <v/>
      </c>
      <c r="W615">
        <f>HYPERLINK("https://klasma.github.io/Logging_0382/klagomålsmail/A 57598-2023 FSC-klagomål mail.docx", "A 57598-2023")</f>
        <v/>
      </c>
      <c r="X615">
        <f>HYPERLINK("https://klasma.github.io/Logging_0382/tillsyn/A 57598-2023 tillsynsbegäran.docx", "A 57598-2023")</f>
        <v/>
      </c>
      <c r="Y615">
        <f>HYPERLINK("https://klasma.github.io/Logging_0382/tillsynsmail/A 57598-2023 tillsynsbegäran mail.docx", "A 57598-2023")</f>
        <v/>
      </c>
    </row>
    <row r="616" ht="15" customHeight="1">
      <c r="A616" t="inlineStr">
        <is>
          <t>A 57607-2023</t>
        </is>
      </c>
      <c r="B616" s="1" t="n">
        <v>45246</v>
      </c>
      <c r="C616" s="1" t="n">
        <v>45706</v>
      </c>
      <c r="D616" t="inlineStr">
        <is>
          <t>UPPSALA LÄN</t>
        </is>
      </c>
      <c r="E616" t="inlineStr">
        <is>
          <t>ÖSTHAMMAR</t>
        </is>
      </c>
      <c r="F616" t="inlineStr">
        <is>
          <t>Bergvik skog öst AB</t>
        </is>
      </c>
      <c r="G616" t="n">
        <v>5.8</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57607-2023 artfynd.xlsx", "A 57607-2023")</f>
        <v/>
      </c>
      <c r="T616">
        <f>HYPERLINK("https://klasma.github.io/Logging_0382/kartor/A 57607-2023 karta.png", "A 57607-2023")</f>
        <v/>
      </c>
      <c r="V616">
        <f>HYPERLINK("https://klasma.github.io/Logging_0382/klagomål/A 57607-2023 FSC-klagomål.docx", "A 57607-2023")</f>
        <v/>
      </c>
      <c r="W616">
        <f>HYPERLINK("https://klasma.github.io/Logging_0382/klagomålsmail/A 57607-2023 FSC-klagomål mail.docx", "A 57607-2023")</f>
        <v/>
      </c>
      <c r="X616">
        <f>HYPERLINK("https://klasma.github.io/Logging_0382/tillsyn/A 57607-2023 tillsynsbegäran.docx", "A 57607-2023")</f>
        <v/>
      </c>
      <c r="Y616">
        <f>HYPERLINK("https://klasma.github.io/Logging_0382/tillsynsmail/A 57607-2023 tillsynsbegäran mail.docx", "A 57607-2023")</f>
        <v/>
      </c>
    </row>
    <row r="617" ht="15" customHeight="1">
      <c r="A617" t="inlineStr">
        <is>
          <t>A 57640-2023</t>
        </is>
      </c>
      <c r="B617" s="1" t="n">
        <v>45246</v>
      </c>
      <c r="C617" s="1" t="n">
        <v>45706</v>
      </c>
      <c r="D617" t="inlineStr">
        <is>
          <t>UPPSALA LÄN</t>
        </is>
      </c>
      <c r="E617" t="inlineStr">
        <is>
          <t>ÖSTHAMMAR</t>
        </is>
      </c>
      <c r="F617" t="inlineStr">
        <is>
          <t>Bergvik skog öst AB</t>
        </is>
      </c>
      <c r="G617" t="n">
        <v>2.3</v>
      </c>
      <c r="H617" t="n">
        <v>0</v>
      </c>
      <c r="I617" t="n">
        <v>1</v>
      </c>
      <c r="J617" t="n">
        <v>0</v>
      </c>
      <c r="K617" t="n">
        <v>0</v>
      </c>
      <c r="L617" t="n">
        <v>0</v>
      </c>
      <c r="M617" t="n">
        <v>0</v>
      </c>
      <c r="N617" t="n">
        <v>0</v>
      </c>
      <c r="O617" t="n">
        <v>0</v>
      </c>
      <c r="P617" t="n">
        <v>0</v>
      </c>
      <c r="Q617" t="n">
        <v>1</v>
      </c>
      <c r="R617" s="2" t="inlineStr">
        <is>
          <t>Svavelriska</t>
        </is>
      </c>
      <c r="S617">
        <f>HYPERLINK("https://klasma.github.io/Logging_0382/artfynd/A 57640-2023 artfynd.xlsx", "A 57640-2023")</f>
        <v/>
      </c>
      <c r="T617">
        <f>HYPERLINK("https://klasma.github.io/Logging_0382/kartor/A 57640-2023 karta.png", "A 57640-2023")</f>
        <v/>
      </c>
      <c r="V617">
        <f>HYPERLINK("https://klasma.github.io/Logging_0382/klagomål/A 57640-2023 FSC-klagomål.docx", "A 57640-2023")</f>
        <v/>
      </c>
      <c r="W617">
        <f>HYPERLINK("https://klasma.github.io/Logging_0382/klagomålsmail/A 57640-2023 FSC-klagomål mail.docx", "A 57640-2023")</f>
        <v/>
      </c>
      <c r="X617">
        <f>HYPERLINK("https://klasma.github.io/Logging_0382/tillsyn/A 57640-2023 tillsynsbegäran.docx", "A 57640-2023")</f>
        <v/>
      </c>
      <c r="Y617">
        <f>HYPERLINK("https://klasma.github.io/Logging_0382/tillsynsmail/A 57640-2023 tillsynsbegäran mail.docx", "A 57640-2023")</f>
        <v/>
      </c>
    </row>
    <row r="618" ht="15" customHeight="1">
      <c r="A618" t="inlineStr">
        <is>
          <t>A 57638-2023</t>
        </is>
      </c>
      <c r="B618" s="1" t="n">
        <v>45246</v>
      </c>
      <c r="C618" s="1" t="n">
        <v>45706</v>
      </c>
      <c r="D618" t="inlineStr">
        <is>
          <t>UPPSALA LÄN</t>
        </is>
      </c>
      <c r="E618" t="inlineStr">
        <is>
          <t>TIERP</t>
        </is>
      </c>
      <c r="G618" t="n">
        <v>3.7</v>
      </c>
      <c r="H618" t="n">
        <v>0</v>
      </c>
      <c r="I618" t="n">
        <v>0</v>
      </c>
      <c r="J618" t="n">
        <v>1</v>
      </c>
      <c r="K618" t="n">
        <v>0</v>
      </c>
      <c r="L618" t="n">
        <v>0</v>
      </c>
      <c r="M618" t="n">
        <v>0</v>
      </c>
      <c r="N618" t="n">
        <v>0</v>
      </c>
      <c r="O618" t="n">
        <v>1</v>
      </c>
      <c r="P618" t="n">
        <v>0</v>
      </c>
      <c r="Q618" t="n">
        <v>1</v>
      </c>
      <c r="R618" s="2" t="inlineStr">
        <is>
          <t>Skogsklocka</t>
        </is>
      </c>
      <c r="S618">
        <f>HYPERLINK("https://klasma.github.io/Logging_0360/artfynd/A 57638-2023 artfynd.xlsx", "A 57638-2023")</f>
        <v/>
      </c>
      <c r="T618">
        <f>HYPERLINK("https://klasma.github.io/Logging_0360/kartor/A 57638-2023 karta.png", "A 57638-2023")</f>
        <v/>
      </c>
      <c r="V618">
        <f>HYPERLINK("https://klasma.github.io/Logging_0360/klagomål/A 57638-2023 FSC-klagomål.docx", "A 57638-2023")</f>
        <v/>
      </c>
      <c r="W618">
        <f>HYPERLINK("https://klasma.github.io/Logging_0360/klagomålsmail/A 57638-2023 FSC-klagomål mail.docx", "A 57638-2023")</f>
        <v/>
      </c>
      <c r="X618">
        <f>HYPERLINK("https://klasma.github.io/Logging_0360/tillsyn/A 57638-2023 tillsynsbegäran.docx", "A 57638-2023")</f>
        <v/>
      </c>
      <c r="Y618">
        <f>HYPERLINK("https://klasma.github.io/Logging_0360/tillsynsmail/A 57638-2023 tillsynsbegäran mail.docx", "A 57638-2023")</f>
        <v/>
      </c>
    </row>
    <row r="619" ht="15" customHeight="1">
      <c r="A619" t="inlineStr">
        <is>
          <t>A 58676-2023</t>
        </is>
      </c>
      <c r="B619" s="1" t="n">
        <v>45247</v>
      </c>
      <c r="C619" s="1" t="n">
        <v>45706</v>
      </c>
      <c r="D619" t="inlineStr">
        <is>
          <t>UPPSALA LÄN</t>
        </is>
      </c>
      <c r="E619" t="inlineStr">
        <is>
          <t>HÅBO</t>
        </is>
      </c>
      <c r="G619" t="n">
        <v>3.7</v>
      </c>
      <c r="H619" t="n">
        <v>0</v>
      </c>
      <c r="I619" t="n">
        <v>1</v>
      </c>
      <c r="J619" t="n">
        <v>0</v>
      </c>
      <c r="K619" t="n">
        <v>0</v>
      </c>
      <c r="L619" t="n">
        <v>0</v>
      </c>
      <c r="M619" t="n">
        <v>0</v>
      </c>
      <c r="N619" t="n">
        <v>0</v>
      </c>
      <c r="O619" t="n">
        <v>0</v>
      </c>
      <c r="P619" t="n">
        <v>0</v>
      </c>
      <c r="Q619" t="n">
        <v>1</v>
      </c>
      <c r="R619" s="2" t="inlineStr">
        <is>
          <t>Trådticka</t>
        </is>
      </c>
      <c r="S619">
        <f>HYPERLINK("https://klasma.github.io/Logging_0305/artfynd/A 58676-2023 artfynd.xlsx", "A 58676-2023")</f>
        <v/>
      </c>
      <c r="T619">
        <f>HYPERLINK("https://klasma.github.io/Logging_0305/kartor/A 58676-2023 karta.png", "A 58676-2023")</f>
        <v/>
      </c>
      <c r="V619">
        <f>HYPERLINK("https://klasma.github.io/Logging_0305/klagomål/A 58676-2023 FSC-klagomål.docx", "A 58676-2023")</f>
        <v/>
      </c>
      <c r="W619">
        <f>HYPERLINK("https://klasma.github.io/Logging_0305/klagomålsmail/A 58676-2023 FSC-klagomål mail.docx", "A 58676-2023")</f>
        <v/>
      </c>
      <c r="X619">
        <f>HYPERLINK("https://klasma.github.io/Logging_0305/tillsyn/A 58676-2023 tillsynsbegäran.docx", "A 58676-2023")</f>
        <v/>
      </c>
      <c r="Y619">
        <f>HYPERLINK("https://klasma.github.io/Logging_0305/tillsynsmail/A 58676-2023 tillsynsbegäran mail.docx", "A 58676-2023")</f>
        <v/>
      </c>
    </row>
    <row r="620" ht="15" customHeight="1">
      <c r="A620" t="inlineStr">
        <is>
          <t>A 59160-2023</t>
        </is>
      </c>
      <c r="B620" s="1" t="n">
        <v>45253</v>
      </c>
      <c r="C620" s="1" t="n">
        <v>45706</v>
      </c>
      <c r="D620" t="inlineStr">
        <is>
          <t>UPPSALA LÄN</t>
        </is>
      </c>
      <c r="E620" t="inlineStr">
        <is>
          <t>HÅBO</t>
        </is>
      </c>
      <c r="G620" t="n">
        <v>2.9</v>
      </c>
      <c r="H620" t="n">
        <v>0</v>
      </c>
      <c r="I620" t="n">
        <v>0</v>
      </c>
      <c r="J620" t="n">
        <v>1</v>
      </c>
      <c r="K620" t="n">
        <v>0</v>
      </c>
      <c r="L620" t="n">
        <v>0</v>
      </c>
      <c r="M620" t="n">
        <v>0</v>
      </c>
      <c r="N620" t="n">
        <v>0</v>
      </c>
      <c r="O620" t="n">
        <v>1</v>
      </c>
      <c r="P620" t="n">
        <v>0</v>
      </c>
      <c r="Q620" t="n">
        <v>1</v>
      </c>
      <c r="R620" s="2" t="inlineStr">
        <is>
          <t>Kungsspindling</t>
        </is>
      </c>
      <c r="S620">
        <f>HYPERLINK("https://klasma.github.io/Logging_0305/artfynd/A 59160-2023 artfynd.xlsx", "A 59160-2023")</f>
        <v/>
      </c>
      <c r="T620">
        <f>HYPERLINK("https://klasma.github.io/Logging_0305/kartor/A 59160-2023 karta.png", "A 59160-2023")</f>
        <v/>
      </c>
      <c r="V620">
        <f>HYPERLINK("https://klasma.github.io/Logging_0305/klagomål/A 59160-2023 FSC-klagomål.docx", "A 59160-2023")</f>
        <v/>
      </c>
      <c r="W620">
        <f>HYPERLINK("https://klasma.github.io/Logging_0305/klagomålsmail/A 59160-2023 FSC-klagomål mail.docx", "A 59160-2023")</f>
        <v/>
      </c>
      <c r="X620">
        <f>HYPERLINK("https://klasma.github.io/Logging_0305/tillsyn/A 59160-2023 tillsynsbegäran.docx", "A 59160-2023")</f>
        <v/>
      </c>
      <c r="Y620">
        <f>HYPERLINK("https://klasma.github.io/Logging_0305/tillsynsmail/A 59160-2023 tillsynsbegäran mail.docx", "A 59160-2023")</f>
        <v/>
      </c>
    </row>
    <row r="621" ht="15" customHeight="1">
      <c r="A621" t="inlineStr">
        <is>
          <t>A 59454-2023</t>
        </is>
      </c>
      <c r="B621" s="1" t="n">
        <v>45253</v>
      </c>
      <c r="C621" s="1" t="n">
        <v>45706</v>
      </c>
      <c r="D621" t="inlineStr">
        <is>
          <t>UPPSALA LÄN</t>
        </is>
      </c>
      <c r="E621" t="inlineStr">
        <is>
          <t>TIERP</t>
        </is>
      </c>
      <c r="G621" t="n">
        <v>8.800000000000001</v>
      </c>
      <c r="H621" t="n">
        <v>0</v>
      </c>
      <c r="I621" t="n">
        <v>1</v>
      </c>
      <c r="J621" t="n">
        <v>0</v>
      </c>
      <c r="K621" t="n">
        <v>0</v>
      </c>
      <c r="L621" t="n">
        <v>0</v>
      </c>
      <c r="M621" t="n">
        <v>0</v>
      </c>
      <c r="N621" t="n">
        <v>0</v>
      </c>
      <c r="O621" t="n">
        <v>0</v>
      </c>
      <c r="P621" t="n">
        <v>0</v>
      </c>
      <c r="Q621" t="n">
        <v>1</v>
      </c>
      <c r="R621" s="2" t="inlineStr">
        <is>
          <t>Jättesvampmal</t>
        </is>
      </c>
      <c r="S621">
        <f>HYPERLINK("https://klasma.github.io/Logging_0360/artfynd/A 59454-2023 artfynd.xlsx", "A 59454-2023")</f>
        <v/>
      </c>
      <c r="T621">
        <f>HYPERLINK("https://klasma.github.io/Logging_0360/kartor/A 59454-2023 karta.png", "A 59454-2023")</f>
        <v/>
      </c>
      <c r="V621">
        <f>HYPERLINK("https://klasma.github.io/Logging_0360/klagomål/A 59454-2023 FSC-klagomål.docx", "A 59454-2023")</f>
        <v/>
      </c>
      <c r="W621">
        <f>HYPERLINK("https://klasma.github.io/Logging_0360/klagomålsmail/A 59454-2023 FSC-klagomål mail.docx", "A 59454-2023")</f>
        <v/>
      </c>
      <c r="X621">
        <f>HYPERLINK("https://klasma.github.io/Logging_0360/tillsyn/A 59454-2023 tillsynsbegäran.docx", "A 59454-2023")</f>
        <v/>
      </c>
      <c r="Y621">
        <f>HYPERLINK("https://klasma.github.io/Logging_0360/tillsynsmail/A 59454-2023 tillsynsbegäran mail.docx", "A 59454-2023")</f>
        <v/>
      </c>
    </row>
    <row r="622" ht="15" customHeight="1">
      <c r="A622" t="inlineStr">
        <is>
          <t>A 59708-2023</t>
        </is>
      </c>
      <c r="B622" s="1" t="n">
        <v>45256</v>
      </c>
      <c r="C622" s="1" t="n">
        <v>45706</v>
      </c>
      <c r="D622" t="inlineStr">
        <is>
          <t>UPPSALA LÄN</t>
        </is>
      </c>
      <c r="E622" t="inlineStr">
        <is>
          <t>HEBY</t>
        </is>
      </c>
      <c r="G622" t="n">
        <v>3.1</v>
      </c>
      <c r="H622" t="n">
        <v>1</v>
      </c>
      <c r="I622" t="n">
        <v>0</v>
      </c>
      <c r="J622" t="n">
        <v>0</v>
      </c>
      <c r="K622" t="n">
        <v>0</v>
      </c>
      <c r="L622" t="n">
        <v>0</v>
      </c>
      <c r="M622" t="n">
        <v>0</v>
      </c>
      <c r="N622" t="n">
        <v>0</v>
      </c>
      <c r="O622" t="n">
        <v>0</v>
      </c>
      <c r="P622" t="n">
        <v>0</v>
      </c>
      <c r="Q622" t="n">
        <v>1</v>
      </c>
      <c r="R622" s="2" t="inlineStr">
        <is>
          <t>Mindre vattensalamander</t>
        </is>
      </c>
      <c r="S622">
        <f>HYPERLINK("https://klasma.github.io/Logging_0331/artfynd/A 59708-2023 artfynd.xlsx", "A 59708-2023")</f>
        <v/>
      </c>
      <c r="T622">
        <f>HYPERLINK("https://klasma.github.io/Logging_0331/kartor/A 59708-2023 karta.png", "A 59708-2023")</f>
        <v/>
      </c>
      <c r="V622">
        <f>HYPERLINK("https://klasma.github.io/Logging_0331/klagomål/A 59708-2023 FSC-klagomål.docx", "A 59708-2023")</f>
        <v/>
      </c>
      <c r="W622">
        <f>HYPERLINK("https://klasma.github.io/Logging_0331/klagomålsmail/A 59708-2023 FSC-klagomål mail.docx", "A 59708-2023")</f>
        <v/>
      </c>
      <c r="X622">
        <f>HYPERLINK("https://klasma.github.io/Logging_0331/tillsyn/A 59708-2023 tillsynsbegäran.docx", "A 59708-2023")</f>
        <v/>
      </c>
      <c r="Y622">
        <f>HYPERLINK("https://klasma.github.io/Logging_0331/tillsynsmail/A 59708-2023 tillsynsbegäran mail.docx", "A 59708-2023")</f>
        <v/>
      </c>
    </row>
    <row r="623" ht="15" customHeight="1">
      <c r="A623" t="inlineStr">
        <is>
          <t>A 61068-2023</t>
        </is>
      </c>
      <c r="B623" s="1" t="n">
        <v>45259</v>
      </c>
      <c r="C623" s="1" t="n">
        <v>45706</v>
      </c>
      <c r="D623" t="inlineStr">
        <is>
          <t>UPPSALA LÄN</t>
        </is>
      </c>
      <c r="E623" t="inlineStr">
        <is>
          <t>UPPSALA</t>
        </is>
      </c>
      <c r="F623" t="inlineStr">
        <is>
          <t>Övriga Aktiebolag</t>
        </is>
      </c>
      <c r="G623" t="n">
        <v>8.800000000000001</v>
      </c>
      <c r="H623" t="n">
        <v>1</v>
      </c>
      <c r="I623" t="n">
        <v>0</v>
      </c>
      <c r="J623" t="n">
        <v>0</v>
      </c>
      <c r="K623" t="n">
        <v>1</v>
      </c>
      <c r="L623" t="n">
        <v>0</v>
      </c>
      <c r="M623" t="n">
        <v>0</v>
      </c>
      <c r="N623" t="n">
        <v>0</v>
      </c>
      <c r="O623" t="n">
        <v>1</v>
      </c>
      <c r="P623" t="n">
        <v>1</v>
      </c>
      <c r="Q623" t="n">
        <v>1</v>
      </c>
      <c r="R623" s="2" t="inlineStr">
        <is>
          <t>Knärot</t>
        </is>
      </c>
      <c r="S623">
        <f>HYPERLINK("https://klasma.github.io/Logging_0380/artfynd/A 61068-2023 artfynd.xlsx", "A 61068-2023")</f>
        <v/>
      </c>
      <c r="T623">
        <f>HYPERLINK("https://klasma.github.io/Logging_0380/kartor/A 61068-2023 karta.png", "A 61068-2023")</f>
        <v/>
      </c>
      <c r="U623">
        <f>HYPERLINK("https://klasma.github.io/Logging_0380/knärot/A 61068-2023 karta knärot.png", "A 61068-2023")</f>
        <v/>
      </c>
      <c r="V623">
        <f>HYPERLINK("https://klasma.github.io/Logging_0380/klagomål/A 61068-2023 FSC-klagomål.docx", "A 61068-2023")</f>
        <v/>
      </c>
      <c r="W623">
        <f>HYPERLINK("https://klasma.github.io/Logging_0380/klagomålsmail/A 61068-2023 FSC-klagomål mail.docx", "A 61068-2023")</f>
        <v/>
      </c>
      <c r="X623">
        <f>HYPERLINK("https://klasma.github.io/Logging_0380/tillsyn/A 61068-2023 tillsynsbegäran.docx", "A 61068-2023")</f>
        <v/>
      </c>
      <c r="Y623">
        <f>HYPERLINK("https://klasma.github.io/Logging_0380/tillsynsmail/A 61068-2023 tillsynsbegäran mail.docx", "A 61068-2023")</f>
        <v/>
      </c>
    </row>
    <row r="624" ht="15" customHeight="1">
      <c r="A624" t="inlineStr">
        <is>
          <t>A 61066-2023</t>
        </is>
      </c>
      <c r="B624" s="1" t="n">
        <v>45259</v>
      </c>
      <c r="C624" s="1" t="n">
        <v>45706</v>
      </c>
      <c r="D624" t="inlineStr">
        <is>
          <t>UPPSALA LÄN</t>
        </is>
      </c>
      <c r="E624" t="inlineStr">
        <is>
          <t>UPPSALA</t>
        </is>
      </c>
      <c r="F624" t="inlineStr">
        <is>
          <t>Övriga Aktiebolag</t>
        </is>
      </c>
      <c r="G624" t="n">
        <v>4.7</v>
      </c>
      <c r="H624" t="n">
        <v>0</v>
      </c>
      <c r="I624" t="n">
        <v>0</v>
      </c>
      <c r="J624" t="n">
        <v>1</v>
      </c>
      <c r="K624" t="n">
        <v>0</v>
      </c>
      <c r="L624" t="n">
        <v>0</v>
      </c>
      <c r="M624" t="n">
        <v>0</v>
      </c>
      <c r="N624" t="n">
        <v>0</v>
      </c>
      <c r="O624" t="n">
        <v>1</v>
      </c>
      <c r="P624" t="n">
        <v>0</v>
      </c>
      <c r="Q624" t="n">
        <v>1</v>
      </c>
      <c r="R624" s="2" t="inlineStr">
        <is>
          <t>Igelkott</t>
        </is>
      </c>
      <c r="S624">
        <f>HYPERLINK("https://klasma.github.io/Logging_0380/artfynd/A 61066-2023 artfynd.xlsx", "A 61066-2023")</f>
        <v/>
      </c>
      <c r="T624">
        <f>HYPERLINK("https://klasma.github.io/Logging_0380/kartor/A 61066-2023 karta.png", "A 61066-2023")</f>
        <v/>
      </c>
      <c r="V624">
        <f>HYPERLINK("https://klasma.github.io/Logging_0380/klagomål/A 61066-2023 FSC-klagomål.docx", "A 61066-2023")</f>
        <v/>
      </c>
      <c r="W624">
        <f>HYPERLINK("https://klasma.github.io/Logging_0380/klagomålsmail/A 61066-2023 FSC-klagomål mail.docx", "A 61066-2023")</f>
        <v/>
      </c>
      <c r="X624">
        <f>HYPERLINK("https://klasma.github.io/Logging_0380/tillsyn/A 61066-2023 tillsynsbegäran.docx", "A 61066-2023")</f>
        <v/>
      </c>
      <c r="Y624">
        <f>HYPERLINK("https://klasma.github.io/Logging_0380/tillsynsmail/A 61066-2023 tillsynsbegäran mail.docx", "A 61066-2023")</f>
        <v/>
      </c>
    </row>
    <row r="625" ht="15" customHeight="1">
      <c r="A625" t="inlineStr">
        <is>
          <t>A 63172-2023</t>
        </is>
      </c>
      <c r="B625" s="1" t="n">
        <v>45273</v>
      </c>
      <c r="C625" s="1" t="n">
        <v>45706</v>
      </c>
      <c r="D625" t="inlineStr">
        <is>
          <t>UPPSALA LÄN</t>
        </is>
      </c>
      <c r="E625" t="inlineStr">
        <is>
          <t>UPPSALA</t>
        </is>
      </c>
      <c r="G625" t="n">
        <v>1.8</v>
      </c>
      <c r="H625" t="n">
        <v>0</v>
      </c>
      <c r="I625" t="n">
        <v>1</v>
      </c>
      <c r="J625" t="n">
        <v>0</v>
      </c>
      <c r="K625" t="n">
        <v>0</v>
      </c>
      <c r="L625" t="n">
        <v>0</v>
      </c>
      <c r="M625" t="n">
        <v>0</v>
      </c>
      <c r="N625" t="n">
        <v>0</v>
      </c>
      <c r="O625" t="n">
        <v>0</v>
      </c>
      <c r="P625" t="n">
        <v>0</v>
      </c>
      <c r="Q625" t="n">
        <v>1</v>
      </c>
      <c r="R625" s="2" t="inlineStr">
        <is>
          <t>Ögonpyrola</t>
        </is>
      </c>
      <c r="S625">
        <f>HYPERLINK("https://klasma.github.io/Logging_0380/artfynd/A 63172-2023 artfynd.xlsx", "A 63172-2023")</f>
        <v/>
      </c>
      <c r="T625">
        <f>HYPERLINK("https://klasma.github.io/Logging_0380/kartor/A 63172-2023 karta.png", "A 63172-2023")</f>
        <v/>
      </c>
      <c r="V625">
        <f>HYPERLINK("https://klasma.github.io/Logging_0380/klagomål/A 63172-2023 FSC-klagomål.docx", "A 63172-2023")</f>
        <v/>
      </c>
      <c r="W625">
        <f>HYPERLINK("https://klasma.github.io/Logging_0380/klagomålsmail/A 63172-2023 FSC-klagomål mail.docx", "A 63172-2023")</f>
        <v/>
      </c>
      <c r="X625">
        <f>HYPERLINK("https://klasma.github.io/Logging_0380/tillsyn/A 63172-2023 tillsynsbegäran.docx", "A 63172-2023")</f>
        <v/>
      </c>
      <c r="Y625">
        <f>HYPERLINK("https://klasma.github.io/Logging_0380/tillsynsmail/A 63172-2023 tillsynsbegäran mail.docx", "A 63172-2023")</f>
        <v/>
      </c>
    </row>
    <row r="626" ht="15" customHeight="1">
      <c r="A626" t="inlineStr">
        <is>
          <t>A 425-2024</t>
        </is>
      </c>
      <c r="B626" s="1" t="n">
        <v>45296</v>
      </c>
      <c r="C626" s="1" t="n">
        <v>45706</v>
      </c>
      <c r="D626" t="inlineStr">
        <is>
          <t>UPPSALA LÄN</t>
        </is>
      </c>
      <c r="E626" t="inlineStr">
        <is>
          <t>ENKÖPING</t>
        </is>
      </c>
      <c r="G626" t="n">
        <v>8.300000000000001</v>
      </c>
      <c r="H626" t="n">
        <v>1</v>
      </c>
      <c r="I626" t="n">
        <v>0</v>
      </c>
      <c r="J626" t="n">
        <v>0</v>
      </c>
      <c r="K626" t="n">
        <v>0</v>
      </c>
      <c r="L626" t="n">
        <v>0</v>
      </c>
      <c r="M626" t="n">
        <v>0</v>
      </c>
      <c r="N626" t="n">
        <v>0</v>
      </c>
      <c r="O626" t="n">
        <v>0</v>
      </c>
      <c r="P626" t="n">
        <v>0</v>
      </c>
      <c r="Q626" t="n">
        <v>1</v>
      </c>
      <c r="R626" s="2" t="inlineStr">
        <is>
          <t>Orre</t>
        </is>
      </c>
      <c r="S626">
        <f>HYPERLINK("https://klasma.github.io/Logging_0381/artfynd/A 425-2024 artfynd.xlsx", "A 425-2024")</f>
        <v/>
      </c>
      <c r="T626">
        <f>HYPERLINK("https://klasma.github.io/Logging_0381/kartor/A 425-2024 karta.png", "A 425-2024")</f>
        <v/>
      </c>
      <c r="V626">
        <f>HYPERLINK("https://klasma.github.io/Logging_0381/klagomål/A 425-2024 FSC-klagomål.docx", "A 425-2024")</f>
        <v/>
      </c>
      <c r="W626">
        <f>HYPERLINK("https://klasma.github.io/Logging_0381/klagomålsmail/A 425-2024 FSC-klagomål mail.docx", "A 425-2024")</f>
        <v/>
      </c>
      <c r="X626">
        <f>HYPERLINK("https://klasma.github.io/Logging_0381/tillsyn/A 425-2024 tillsynsbegäran.docx", "A 425-2024")</f>
        <v/>
      </c>
      <c r="Y626">
        <f>HYPERLINK("https://klasma.github.io/Logging_0381/tillsynsmail/A 425-2024 tillsynsbegäran mail.docx", "A 425-2024")</f>
        <v/>
      </c>
      <c r="Z626">
        <f>HYPERLINK("https://klasma.github.io/Logging_0381/fåglar/A 425-2024 prioriterade fågelarter.docx", "A 425-2024")</f>
        <v/>
      </c>
    </row>
    <row r="627" ht="15" customHeight="1">
      <c r="A627" t="inlineStr">
        <is>
          <t>A 584-2024</t>
        </is>
      </c>
      <c r="B627" s="1" t="n">
        <v>45299</v>
      </c>
      <c r="C627" s="1" t="n">
        <v>45706</v>
      </c>
      <c r="D627" t="inlineStr">
        <is>
          <t>UPPSALA LÄN</t>
        </is>
      </c>
      <c r="E627" t="inlineStr">
        <is>
          <t>UPPSALA</t>
        </is>
      </c>
      <c r="G627" t="n">
        <v>0.8</v>
      </c>
      <c r="H627" t="n">
        <v>1</v>
      </c>
      <c r="I627" t="n">
        <v>0</v>
      </c>
      <c r="J627" t="n">
        <v>0</v>
      </c>
      <c r="K627" t="n">
        <v>1</v>
      </c>
      <c r="L627" t="n">
        <v>0</v>
      </c>
      <c r="M627" t="n">
        <v>0</v>
      </c>
      <c r="N627" t="n">
        <v>0</v>
      </c>
      <c r="O627" t="n">
        <v>1</v>
      </c>
      <c r="P627" t="n">
        <v>1</v>
      </c>
      <c r="Q627" t="n">
        <v>1</v>
      </c>
      <c r="R627" s="2" t="inlineStr">
        <is>
          <t>Väddnätfjäril</t>
        </is>
      </c>
      <c r="S627">
        <f>HYPERLINK("https://klasma.github.io/Logging_0380/artfynd/A 584-2024 artfynd.xlsx", "A 584-2024")</f>
        <v/>
      </c>
      <c r="T627">
        <f>HYPERLINK("https://klasma.github.io/Logging_0380/kartor/A 584-2024 karta.png", "A 584-2024")</f>
        <v/>
      </c>
      <c r="V627">
        <f>HYPERLINK("https://klasma.github.io/Logging_0380/klagomål/A 584-2024 FSC-klagomål.docx", "A 584-2024")</f>
        <v/>
      </c>
      <c r="W627">
        <f>HYPERLINK("https://klasma.github.io/Logging_0380/klagomålsmail/A 584-2024 FSC-klagomål mail.docx", "A 584-2024")</f>
        <v/>
      </c>
      <c r="X627">
        <f>HYPERLINK("https://klasma.github.io/Logging_0380/tillsyn/A 584-2024 tillsynsbegäran.docx", "A 584-2024")</f>
        <v/>
      </c>
      <c r="Y627">
        <f>HYPERLINK("https://klasma.github.io/Logging_0380/tillsynsmail/A 584-2024 tillsynsbegäran mail.docx", "A 584-2024")</f>
        <v/>
      </c>
    </row>
    <row r="628" ht="15" customHeight="1">
      <c r="A628" t="inlineStr">
        <is>
          <t>A 2298-2024</t>
        </is>
      </c>
      <c r="B628" s="1" t="n">
        <v>45310</v>
      </c>
      <c r="C628" s="1" t="n">
        <v>45706</v>
      </c>
      <c r="D628" t="inlineStr">
        <is>
          <t>UPPSALA LÄN</t>
        </is>
      </c>
      <c r="E628" t="inlineStr">
        <is>
          <t>TIERP</t>
        </is>
      </c>
      <c r="G628" t="n">
        <v>0.7</v>
      </c>
      <c r="H628" t="n">
        <v>0</v>
      </c>
      <c r="I628" t="n">
        <v>0</v>
      </c>
      <c r="J628" t="n">
        <v>1</v>
      </c>
      <c r="K628" t="n">
        <v>0</v>
      </c>
      <c r="L628" t="n">
        <v>0</v>
      </c>
      <c r="M628" t="n">
        <v>0</v>
      </c>
      <c r="N628" t="n">
        <v>0</v>
      </c>
      <c r="O628" t="n">
        <v>1</v>
      </c>
      <c r="P628" t="n">
        <v>0</v>
      </c>
      <c r="Q628" t="n">
        <v>1</v>
      </c>
      <c r="R628" s="2" t="inlineStr">
        <is>
          <t>Fyrflikig jordstjärna</t>
        </is>
      </c>
      <c r="S628">
        <f>HYPERLINK("https://klasma.github.io/Logging_0360/artfynd/A 2298-2024 artfynd.xlsx", "A 2298-2024")</f>
        <v/>
      </c>
      <c r="T628">
        <f>HYPERLINK("https://klasma.github.io/Logging_0360/kartor/A 2298-2024 karta.png", "A 2298-2024")</f>
        <v/>
      </c>
      <c r="V628">
        <f>HYPERLINK("https://klasma.github.io/Logging_0360/klagomål/A 2298-2024 FSC-klagomål.docx", "A 2298-2024")</f>
        <v/>
      </c>
      <c r="W628">
        <f>HYPERLINK("https://klasma.github.io/Logging_0360/klagomålsmail/A 2298-2024 FSC-klagomål mail.docx", "A 2298-2024")</f>
        <v/>
      </c>
      <c r="X628">
        <f>HYPERLINK("https://klasma.github.io/Logging_0360/tillsyn/A 2298-2024 tillsynsbegäran.docx", "A 2298-2024")</f>
        <v/>
      </c>
      <c r="Y628">
        <f>HYPERLINK("https://klasma.github.io/Logging_0360/tillsynsmail/A 2298-2024 tillsynsbegäran mail.docx", "A 2298-2024")</f>
        <v/>
      </c>
    </row>
    <row r="629" ht="15" customHeight="1">
      <c r="A629" t="inlineStr">
        <is>
          <t>A 2332-2024</t>
        </is>
      </c>
      <c r="B629" s="1" t="n">
        <v>45310</v>
      </c>
      <c r="C629" s="1" t="n">
        <v>45706</v>
      </c>
      <c r="D629" t="inlineStr">
        <is>
          <t>UPPSALA LÄN</t>
        </is>
      </c>
      <c r="E629" t="inlineStr">
        <is>
          <t>TIERP</t>
        </is>
      </c>
      <c r="G629" t="n">
        <v>3.7</v>
      </c>
      <c r="H629" t="n">
        <v>1</v>
      </c>
      <c r="I629" t="n">
        <v>0</v>
      </c>
      <c r="J629" t="n">
        <v>1</v>
      </c>
      <c r="K629" t="n">
        <v>0</v>
      </c>
      <c r="L629" t="n">
        <v>0</v>
      </c>
      <c r="M629" t="n">
        <v>0</v>
      </c>
      <c r="N629" t="n">
        <v>0</v>
      </c>
      <c r="O629" t="n">
        <v>1</v>
      </c>
      <c r="P629" t="n">
        <v>0</v>
      </c>
      <c r="Q629" t="n">
        <v>1</v>
      </c>
      <c r="R629" s="2" t="inlineStr">
        <is>
          <t>Talltita</t>
        </is>
      </c>
      <c r="S629">
        <f>HYPERLINK("https://klasma.github.io/Logging_0360/artfynd/A 2332-2024 artfynd.xlsx", "A 2332-2024")</f>
        <v/>
      </c>
      <c r="T629">
        <f>HYPERLINK("https://klasma.github.io/Logging_0360/kartor/A 2332-2024 karta.png", "A 2332-2024")</f>
        <v/>
      </c>
      <c r="V629">
        <f>HYPERLINK("https://klasma.github.io/Logging_0360/klagomål/A 2332-2024 FSC-klagomål.docx", "A 2332-2024")</f>
        <v/>
      </c>
      <c r="W629">
        <f>HYPERLINK("https://klasma.github.io/Logging_0360/klagomålsmail/A 2332-2024 FSC-klagomål mail.docx", "A 2332-2024")</f>
        <v/>
      </c>
      <c r="X629">
        <f>HYPERLINK("https://klasma.github.io/Logging_0360/tillsyn/A 2332-2024 tillsynsbegäran.docx", "A 2332-2024")</f>
        <v/>
      </c>
      <c r="Y629">
        <f>HYPERLINK("https://klasma.github.io/Logging_0360/tillsynsmail/A 2332-2024 tillsynsbegäran mail.docx", "A 2332-2024")</f>
        <v/>
      </c>
      <c r="Z629">
        <f>HYPERLINK("https://klasma.github.io/Logging_0360/fåglar/A 2332-2024 prioriterade fågelarter.docx", "A 2332-2024")</f>
        <v/>
      </c>
    </row>
    <row r="630" ht="15" customHeight="1">
      <c r="A630" t="inlineStr">
        <is>
          <t>A 2729-2024</t>
        </is>
      </c>
      <c r="B630" s="1" t="n">
        <v>45314</v>
      </c>
      <c r="C630" s="1" t="n">
        <v>45706</v>
      </c>
      <c r="D630" t="inlineStr">
        <is>
          <t>UPPSALA LÄN</t>
        </is>
      </c>
      <c r="E630" t="inlineStr">
        <is>
          <t>UPPSALA</t>
        </is>
      </c>
      <c r="G630" t="n">
        <v>3.3</v>
      </c>
      <c r="H630" t="n">
        <v>1</v>
      </c>
      <c r="I630" t="n">
        <v>0</v>
      </c>
      <c r="J630" t="n">
        <v>0</v>
      </c>
      <c r="K630" t="n">
        <v>0</v>
      </c>
      <c r="L630" t="n">
        <v>0</v>
      </c>
      <c r="M630" t="n">
        <v>0</v>
      </c>
      <c r="N630" t="n">
        <v>0</v>
      </c>
      <c r="O630" t="n">
        <v>0</v>
      </c>
      <c r="P630" t="n">
        <v>0</v>
      </c>
      <c r="Q630" t="n">
        <v>1</v>
      </c>
      <c r="R630" s="2" t="inlineStr">
        <is>
          <t>Revlummer</t>
        </is>
      </c>
      <c r="S630">
        <f>HYPERLINK("https://klasma.github.io/Logging_0380/artfynd/A 2729-2024 artfynd.xlsx", "A 2729-2024")</f>
        <v/>
      </c>
      <c r="T630">
        <f>HYPERLINK("https://klasma.github.io/Logging_0380/kartor/A 2729-2024 karta.png", "A 2729-2024")</f>
        <v/>
      </c>
      <c r="V630">
        <f>HYPERLINK("https://klasma.github.io/Logging_0380/klagomål/A 2729-2024 FSC-klagomål.docx", "A 2729-2024")</f>
        <v/>
      </c>
      <c r="W630">
        <f>HYPERLINK("https://klasma.github.io/Logging_0380/klagomålsmail/A 2729-2024 FSC-klagomål mail.docx", "A 2729-2024")</f>
        <v/>
      </c>
      <c r="X630">
        <f>HYPERLINK("https://klasma.github.io/Logging_0380/tillsyn/A 2729-2024 tillsynsbegäran.docx", "A 2729-2024")</f>
        <v/>
      </c>
      <c r="Y630">
        <f>HYPERLINK("https://klasma.github.io/Logging_0380/tillsynsmail/A 2729-2024 tillsynsbegäran mail.docx", "A 2729-2024")</f>
        <v/>
      </c>
    </row>
    <row r="631" ht="15" customHeight="1">
      <c r="A631" t="inlineStr">
        <is>
          <t>A 4048-2024</t>
        </is>
      </c>
      <c r="B631" s="1" t="n">
        <v>45323</v>
      </c>
      <c r="C631" s="1" t="n">
        <v>45706</v>
      </c>
      <c r="D631" t="inlineStr">
        <is>
          <t>UPPSALA LÄN</t>
        </is>
      </c>
      <c r="E631" t="inlineStr">
        <is>
          <t>ÖSTHAMMAR</t>
        </is>
      </c>
      <c r="F631" t="inlineStr">
        <is>
          <t>Övriga Aktiebolag</t>
        </is>
      </c>
      <c r="G631" t="n">
        <v>21.2</v>
      </c>
      <c r="H631" t="n">
        <v>0</v>
      </c>
      <c r="I631" t="n">
        <v>0</v>
      </c>
      <c r="J631" t="n">
        <v>1</v>
      </c>
      <c r="K631" t="n">
        <v>0</v>
      </c>
      <c r="L631" t="n">
        <v>0</v>
      </c>
      <c r="M631" t="n">
        <v>0</v>
      </c>
      <c r="N631" t="n">
        <v>0</v>
      </c>
      <c r="O631" t="n">
        <v>1</v>
      </c>
      <c r="P631" t="n">
        <v>0</v>
      </c>
      <c r="Q631" t="n">
        <v>1</v>
      </c>
      <c r="R631" s="2" t="inlineStr">
        <is>
          <t>Slåtterfibbla</t>
        </is>
      </c>
      <c r="S631">
        <f>HYPERLINK("https://klasma.github.io/Logging_0382/artfynd/A 4048-2024 artfynd.xlsx", "A 4048-2024")</f>
        <v/>
      </c>
      <c r="T631">
        <f>HYPERLINK("https://klasma.github.io/Logging_0382/kartor/A 4048-2024 karta.png", "A 4048-2024")</f>
        <v/>
      </c>
      <c r="V631">
        <f>HYPERLINK("https://klasma.github.io/Logging_0382/klagomål/A 4048-2024 FSC-klagomål.docx", "A 4048-2024")</f>
        <v/>
      </c>
      <c r="W631">
        <f>HYPERLINK("https://klasma.github.io/Logging_0382/klagomålsmail/A 4048-2024 FSC-klagomål mail.docx", "A 4048-2024")</f>
        <v/>
      </c>
      <c r="X631">
        <f>HYPERLINK("https://klasma.github.io/Logging_0382/tillsyn/A 4048-2024 tillsynsbegäran.docx", "A 4048-2024")</f>
        <v/>
      </c>
      <c r="Y631">
        <f>HYPERLINK("https://klasma.github.io/Logging_0382/tillsynsmail/A 4048-2024 tillsynsbegäran mail.docx", "A 4048-2024")</f>
        <v/>
      </c>
    </row>
    <row r="632" ht="15" customHeight="1">
      <c r="A632" t="inlineStr">
        <is>
          <t>A 5209-2024</t>
        </is>
      </c>
      <c r="B632" s="1" t="n">
        <v>45330</v>
      </c>
      <c r="C632" s="1" t="n">
        <v>45706</v>
      </c>
      <c r="D632" t="inlineStr">
        <is>
          <t>UPPSALA LÄN</t>
        </is>
      </c>
      <c r="E632" t="inlineStr">
        <is>
          <t>ÄLVKARLEBY</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HYPERLINK("https://klasma.github.io/Logging_0319/artfynd/A 5209-2024 artfynd.xlsx", "A 5209-2024")</f>
        <v/>
      </c>
      <c r="T632">
        <f>HYPERLINK("https://klasma.github.io/Logging_0319/kartor/A 5209-2024 karta.png", "A 5209-2024")</f>
        <v/>
      </c>
      <c r="V632">
        <f>HYPERLINK("https://klasma.github.io/Logging_0319/klagomål/A 5209-2024 FSC-klagomål.docx", "A 5209-2024")</f>
        <v/>
      </c>
      <c r="W632">
        <f>HYPERLINK("https://klasma.github.io/Logging_0319/klagomålsmail/A 5209-2024 FSC-klagomål mail.docx", "A 5209-2024")</f>
        <v/>
      </c>
      <c r="X632">
        <f>HYPERLINK("https://klasma.github.io/Logging_0319/tillsyn/A 5209-2024 tillsynsbegäran.docx", "A 5209-2024")</f>
        <v/>
      </c>
      <c r="Y632">
        <f>HYPERLINK("https://klasma.github.io/Logging_0319/tillsynsmail/A 5209-2024 tillsynsbegäran mail.docx", "A 5209-2024")</f>
        <v/>
      </c>
    </row>
    <row r="633" ht="15" customHeight="1">
      <c r="A633" t="inlineStr">
        <is>
          <t>A 5700-2024</t>
        </is>
      </c>
      <c r="B633" s="1" t="n">
        <v>45335</v>
      </c>
      <c r="C633" s="1" t="n">
        <v>45706</v>
      </c>
      <c r="D633" t="inlineStr">
        <is>
          <t>UPPSALA LÄN</t>
        </is>
      </c>
      <c r="E633" t="inlineStr">
        <is>
          <t>TIERP</t>
        </is>
      </c>
      <c r="G633" t="n">
        <v>1.6</v>
      </c>
      <c r="H633" t="n">
        <v>0</v>
      </c>
      <c r="I633" t="n">
        <v>1</v>
      </c>
      <c r="J633" t="n">
        <v>0</v>
      </c>
      <c r="K633" t="n">
        <v>0</v>
      </c>
      <c r="L633" t="n">
        <v>0</v>
      </c>
      <c r="M633" t="n">
        <v>0</v>
      </c>
      <c r="N633" t="n">
        <v>0</v>
      </c>
      <c r="O633" t="n">
        <v>0</v>
      </c>
      <c r="P633" t="n">
        <v>0</v>
      </c>
      <c r="Q633" t="n">
        <v>1</v>
      </c>
      <c r="R633" s="2" t="inlineStr">
        <is>
          <t>Vårärt</t>
        </is>
      </c>
      <c r="S633">
        <f>HYPERLINK("https://klasma.github.io/Logging_0360/artfynd/A 5700-2024 artfynd.xlsx", "A 5700-2024")</f>
        <v/>
      </c>
      <c r="T633">
        <f>HYPERLINK("https://klasma.github.io/Logging_0360/kartor/A 5700-2024 karta.png", "A 5700-2024")</f>
        <v/>
      </c>
      <c r="V633">
        <f>HYPERLINK("https://klasma.github.io/Logging_0360/klagomål/A 5700-2024 FSC-klagomål.docx", "A 5700-2024")</f>
        <v/>
      </c>
      <c r="W633">
        <f>HYPERLINK("https://klasma.github.io/Logging_0360/klagomålsmail/A 5700-2024 FSC-klagomål mail.docx", "A 5700-2024")</f>
        <v/>
      </c>
      <c r="X633">
        <f>HYPERLINK("https://klasma.github.io/Logging_0360/tillsyn/A 5700-2024 tillsynsbegäran.docx", "A 5700-2024")</f>
        <v/>
      </c>
      <c r="Y633">
        <f>HYPERLINK("https://klasma.github.io/Logging_0360/tillsynsmail/A 5700-2024 tillsynsbegäran mail.docx", "A 5700-2024")</f>
        <v/>
      </c>
    </row>
    <row r="634" ht="15" customHeight="1">
      <c r="A634" t="inlineStr">
        <is>
          <t>A 5972-2024</t>
        </is>
      </c>
      <c r="B634" s="1" t="n">
        <v>45336</v>
      </c>
      <c r="C634" s="1" t="n">
        <v>45706</v>
      </c>
      <c r="D634" t="inlineStr">
        <is>
          <t>UPPSALA LÄN</t>
        </is>
      </c>
      <c r="E634" t="inlineStr">
        <is>
          <t>UPPSALA</t>
        </is>
      </c>
      <c r="G634" t="n">
        <v>1.6</v>
      </c>
      <c r="H634" t="n">
        <v>1</v>
      </c>
      <c r="I634" t="n">
        <v>0</v>
      </c>
      <c r="J634" t="n">
        <v>0</v>
      </c>
      <c r="K634" t="n">
        <v>0</v>
      </c>
      <c r="L634" t="n">
        <v>0</v>
      </c>
      <c r="M634" t="n">
        <v>0</v>
      </c>
      <c r="N634" t="n">
        <v>0</v>
      </c>
      <c r="O634" t="n">
        <v>0</v>
      </c>
      <c r="P634" t="n">
        <v>0</v>
      </c>
      <c r="Q634" t="n">
        <v>1</v>
      </c>
      <c r="R634" s="2" t="inlineStr">
        <is>
          <t>Sparvuggla</t>
        </is>
      </c>
      <c r="S634">
        <f>HYPERLINK("https://klasma.github.io/Logging_0380/artfynd/A 5972-2024 artfynd.xlsx", "A 5972-2024")</f>
        <v/>
      </c>
      <c r="T634">
        <f>HYPERLINK("https://klasma.github.io/Logging_0380/kartor/A 5972-2024 karta.png", "A 5972-2024")</f>
        <v/>
      </c>
      <c r="V634">
        <f>HYPERLINK("https://klasma.github.io/Logging_0380/klagomål/A 5972-2024 FSC-klagomål.docx", "A 5972-2024")</f>
        <v/>
      </c>
      <c r="W634">
        <f>HYPERLINK("https://klasma.github.io/Logging_0380/klagomålsmail/A 5972-2024 FSC-klagomål mail.docx", "A 5972-2024")</f>
        <v/>
      </c>
      <c r="X634">
        <f>HYPERLINK("https://klasma.github.io/Logging_0380/tillsyn/A 5972-2024 tillsynsbegäran.docx", "A 5972-2024")</f>
        <v/>
      </c>
      <c r="Y634">
        <f>HYPERLINK("https://klasma.github.io/Logging_0380/tillsynsmail/A 5972-2024 tillsynsbegäran mail.docx", "A 5972-2024")</f>
        <v/>
      </c>
      <c r="Z634">
        <f>HYPERLINK("https://klasma.github.io/Logging_0380/fåglar/A 5972-2024 prioriterade fågelarter.docx", "A 5972-2024")</f>
        <v/>
      </c>
    </row>
    <row r="635" ht="15" customHeight="1">
      <c r="A635" t="inlineStr">
        <is>
          <t>A 6044-2024</t>
        </is>
      </c>
      <c r="B635" s="1" t="n">
        <v>45336</v>
      </c>
      <c r="C635" s="1" t="n">
        <v>45706</v>
      </c>
      <c r="D635" t="inlineStr">
        <is>
          <t>UPPSALA LÄN</t>
        </is>
      </c>
      <c r="E635" t="inlineStr">
        <is>
          <t>UPPSALA</t>
        </is>
      </c>
      <c r="F635" t="inlineStr">
        <is>
          <t>Holmen skog AB</t>
        </is>
      </c>
      <c r="G635" t="n">
        <v>7.4</v>
      </c>
      <c r="H635" t="n">
        <v>0</v>
      </c>
      <c r="I635" t="n">
        <v>0</v>
      </c>
      <c r="J635" t="n">
        <v>1</v>
      </c>
      <c r="K635" t="n">
        <v>0</v>
      </c>
      <c r="L635" t="n">
        <v>0</v>
      </c>
      <c r="M635" t="n">
        <v>0</v>
      </c>
      <c r="N635" t="n">
        <v>0</v>
      </c>
      <c r="O635" t="n">
        <v>1</v>
      </c>
      <c r="P635" t="n">
        <v>0</v>
      </c>
      <c r="Q635" t="n">
        <v>1</v>
      </c>
      <c r="R635" s="2" t="inlineStr">
        <is>
          <t>Gul dropplav</t>
        </is>
      </c>
      <c r="S635">
        <f>HYPERLINK("https://klasma.github.io/Logging_0380/artfynd/A 6044-2024 artfynd.xlsx", "A 6044-2024")</f>
        <v/>
      </c>
      <c r="T635">
        <f>HYPERLINK("https://klasma.github.io/Logging_0380/kartor/A 6044-2024 karta.png", "A 6044-2024")</f>
        <v/>
      </c>
      <c r="V635">
        <f>HYPERLINK("https://klasma.github.io/Logging_0380/klagomål/A 6044-2024 FSC-klagomål.docx", "A 6044-2024")</f>
        <v/>
      </c>
      <c r="W635">
        <f>HYPERLINK("https://klasma.github.io/Logging_0380/klagomålsmail/A 6044-2024 FSC-klagomål mail.docx", "A 6044-2024")</f>
        <v/>
      </c>
      <c r="X635">
        <f>HYPERLINK("https://klasma.github.io/Logging_0380/tillsyn/A 6044-2024 tillsynsbegäran.docx", "A 6044-2024")</f>
        <v/>
      </c>
      <c r="Y635">
        <f>HYPERLINK("https://klasma.github.io/Logging_0380/tillsynsmail/A 6044-2024 tillsynsbegäran mail.docx", "A 6044-2024")</f>
        <v/>
      </c>
    </row>
    <row r="636" ht="15" customHeight="1">
      <c r="A636" t="inlineStr">
        <is>
          <t>A 7395-2024</t>
        </is>
      </c>
      <c r="B636" s="1" t="n">
        <v>45345</v>
      </c>
      <c r="C636" s="1" t="n">
        <v>45706</v>
      </c>
      <c r="D636" t="inlineStr">
        <is>
          <t>UPPSALA LÄN</t>
        </is>
      </c>
      <c r="E636" t="inlineStr">
        <is>
          <t>UPPSALA</t>
        </is>
      </c>
      <c r="G636" t="n">
        <v>1.3</v>
      </c>
      <c r="H636" t="n">
        <v>1</v>
      </c>
      <c r="I636" t="n">
        <v>0</v>
      </c>
      <c r="J636" t="n">
        <v>0</v>
      </c>
      <c r="K636" t="n">
        <v>1</v>
      </c>
      <c r="L636" t="n">
        <v>0</v>
      </c>
      <c r="M636" t="n">
        <v>0</v>
      </c>
      <c r="N636" t="n">
        <v>0</v>
      </c>
      <c r="O636" t="n">
        <v>1</v>
      </c>
      <c r="P636" t="n">
        <v>1</v>
      </c>
      <c r="Q636" t="n">
        <v>1</v>
      </c>
      <c r="R636" s="2" t="inlineStr">
        <is>
          <t>Knärot</t>
        </is>
      </c>
      <c r="S636">
        <f>HYPERLINK("https://klasma.github.io/Logging_0380/artfynd/A 7395-2024 artfynd.xlsx", "A 7395-2024")</f>
        <v/>
      </c>
      <c r="T636">
        <f>HYPERLINK("https://klasma.github.io/Logging_0380/kartor/A 7395-2024 karta.png", "A 7395-2024")</f>
        <v/>
      </c>
      <c r="U636">
        <f>HYPERLINK("https://klasma.github.io/Logging_0380/knärot/A 7395-2024 karta knärot.png", "A 7395-2024")</f>
        <v/>
      </c>
      <c r="V636">
        <f>HYPERLINK("https://klasma.github.io/Logging_0380/klagomål/A 7395-2024 FSC-klagomål.docx", "A 7395-2024")</f>
        <v/>
      </c>
      <c r="W636">
        <f>HYPERLINK("https://klasma.github.io/Logging_0380/klagomålsmail/A 7395-2024 FSC-klagomål mail.docx", "A 7395-2024")</f>
        <v/>
      </c>
      <c r="X636">
        <f>HYPERLINK("https://klasma.github.io/Logging_0380/tillsyn/A 7395-2024 tillsynsbegäran.docx", "A 7395-2024")</f>
        <v/>
      </c>
      <c r="Y636">
        <f>HYPERLINK("https://klasma.github.io/Logging_0380/tillsynsmail/A 7395-2024 tillsynsbegäran mail.docx", "A 7395-2024")</f>
        <v/>
      </c>
    </row>
    <row r="637" ht="15" customHeight="1">
      <c r="A637" t="inlineStr">
        <is>
          <t>A 7397-2024</t>
        </is>
      </c>
      <c r="B637" s="1" t="n">
        <v>45345</v>
      </c>
      <c r="C637" s="1" t="n">
        <v>45706</v>
      </c>
      <c r="D637" t="inlineStr">
        <is>
          <t>UPPSALA LÄN</t>
        </is>
      </c>
      <c r="E637" t="inlineStr">
        <is>
          <t>UPPSALA</t>
        </is>
      </c>
      <c r="G637" t="n">
        <v>3.4</v>
      </c>
      <c r="H637" t="n">
        <v>0</v>
      </c>
      <c r="I637" t="n">
        <v>1</v>
      </c>
      <c r="J637" t="n">
        <v>0</v>
      </c>
      <c r="K637" t="n">
        <v>0</v>
      </c>
      <c r="L637" t="n">
        <v>0</v>
      </c>
      <c r="M637" t="n">
        <v>0</v>
      </c>
      <c r="N637" t="n">
        <v>0</v>
      </c>
      <c r="O637" t="n">
        <v>0</v>
      </c>
      <c r="P637" t="n">
        <v>0</v>
      </c>
      <c r="Q637" t="n">
        <v>1</v>
      </c>
      <c r="R637" s="2" t="inlineStr">
        <is>
          <t>Svavelriska</t>
        </is>
      </c>
      <c r="S637">
        <f>HYPERLINK("https://klasma.github.io/Logging_0380/artfynd/A 7397-2024 artfynd.xlsx", "A 7397-2024")</f>
        <v/>
      </c>
      <c r="T637">
        <f>HYPERLINK("https://klasma.github.io/Logging_0380/kartor/A 7397-2024 karta.png", "A 7397-2024")</f>
        <v/>
      </c>
      <c r="U637">
        <f>HYPERLINK("https://klasma.github.io/Logging_0380/knärot/A 7397-2024 karta knärot.png", "A 7397-2024")</f>
        <v/>
      </c>
      <c r="V637">
        <f>HYPERLINK("https://klasma.github.io/Logging_0380/klagomål/A 7397-2024 FSC-klagomål.docx", "A 7397-2024")</f>
        <v/>
      </c>
      <c r="W637">
        <f>HYPERLINK("https://klasma.github.io/Logging_0380/klagomålsmail/A 7397-2024 FSC-klagomål mail.docx", "A 7397-2024")</f>
        <v/>
      </c>
      <c r="X637">
        <f>HYPERLINK("https://klasma.github.io/Logging_0380/tillsyn/A 7397-2024 tillsynsbegäran.docx", "A 7397-2024")</f>
        <v/>
      </c>
      <c r="Y637">
        <f>HYPERLINK("https://klasma.github.io/Logging_0380/tillsynsmail/A 7397-2024 tillsynsbegäran mail.docx", "A 7397-2024")</f>
        <v/>
      </c>
    </row>
    <row r="638" ht="15" customHeight="1">
      <c r="A638" t="inlineStr">
        <is>
          <t>A 8398-2024</t>
        </is>
      </c>
      <c r="B638" s="1" t="n">
        <v>45352</v>
      </c>
      <c r="C638" s="1" t="n">
        <v>45706</v>
      </c>
      <c r="D638" t="inlineStr">
        <is>
          <t>UPPSALA LÄN</t>
        </is>
      </c>
      <c r="E638" t="inlineStr">
        <is>
          <t>UPPSALA</t>
        </is>
      </c>
      <c r="G638" t="n">
        <v>6.2</v>
      </c>
      <c r="H638" t="n">
        <v>1</v>
      </c>
      <c r="I638" t="n">
        <v>0</v>
      </c>
      <c r="J638" t="n">
        <v>0</v>
      </c>
      <c r="K638" t="n">
        <v>0</v>
      </c>
      <c r="L638" t="n">
        <v>0</v>
      </c>
      <c r="M638" t="n">
        <v>0</v>
      </c>
      <c r="N638" t="n">
        <v>0</v>
      </c>
      <c r="O638" t="n">
        <v>0</v>
      </c>
      <c r="P638" t="n">
        <v>0</v>
      </c>
      <c r="Q638" t="n">
        <v>1</v>
      </c>
      <c r="R638" s="2" t="inlineStr">
        <is>
          <t>Tjäder</t>
        </is>
      </c>
      <c r="S638">
        <f>HYPERLINK("https://klasma.github.io/Logging_0380/artfynd/A 8398-2024 artfynd.xlsx", "A 8398-2024")</f>
        <v/>
      </c>
      <c r="T638">
        <f>HYPERLINK("https://klasma.github.io/Logging_0380/kartor/A 8398-2024 karta.png", "A 8398-2024")</f>
        <v/>
      </c>
      <c r="V638">
        <f>HYPERLINK("https://klasma.github.io/Logging_0380/klagomål/A 8398-2024 FSC-klagomål.docx", "A 8398-2024")</f>
        <v/>
      </c>
      <c r="W638">
        <f>HYPERLINK("https://klasma.github.io/Logging_0380/klagomålsmail/A 8398-2024 FSC-klagomål mail.docx", "A 8398-2024")</f>
        <v/>
      </c>
      <c r="X638">
        <f>HYPERLINK("https://klasma.github.io/Logging_0380/tillsyn/A 8398-2024 tillsynsbegäran.docx", "A 8398-2024")</f>
        <v/>
      </c>
      <c r="Y638">
        <f>HYPERLINK("https://klasma.github.io/Logging_0380/tillsynsmail/A 8398-2024 tillsynsbegäran mail.docx", "A 8398-2024")</f>
        <v/>
      </c>
      <c r="Z638">
        <f>HYPERLINK("https://klasma.github.io/Logging_0380/fåglar/A 8398-2024 prioriterade fågelarter.docx", "A 8398-2024")</f>
        <v/>
      </c>
    </row>
    <row r="639" ht="15" customHeight="1">
      <c r="A639" t="inlineStr">
        <is>
          <t>A 8624-2024</t>
        </is>
      </c>
      <c r="B639" s="1" t="n">
        <v>45355</v>
      </c>
      <c r="C639" s="1" t="n">
        <v>45706</v>
      </c>
      <c r="D639" t="inlineStr">
        <is>
          <t>UPPSALA LÄN</t>
        </is>
      </c>
      <c r="E639" t="inlineStr">
        <is>
          <t>HEBY</t>
        </is>
      </c>
      <c r="G639" t="n">
        <v>3.9</v>
      </c>
      <c r="H639" t="n">
        <v>0</v>
      </c>
      <c r="I639" t="n">
        <v>0</v>
      </c>
      <c r="J639" t="n">
        <v>1</v>
      </c>
      <c r="K639" t="n">
        <v>0</v>
      </c>
      <c r="L639" t="n">
        <v>0</v>
      </c>
      <c r="M639" t="n">
        <v>0</v>
      </c>
      <c r="N639" t="n">
        <v>0</v>
      </c>
      <c r="O639" t="n">
        <v>1</v>
      </c>
      <c r="P639" t="n">
        <v>0</v>
      </c>
      <c r="Q639" t="n">
        <v>1</v>
      </c>
      <c r="R639" s="2" t="inlineStr">
        <is>
          <t>Motaggsvamp</t>
        </is>
      </c>
      <c r="S639">
        <f>HYPERLINK("https://klasma.github.io/Logging_0331/artfynd/A 8624-2024 artfynd.xlsx", "A 8624-2024")</f>
        <v/>
      </c>
      <c r="T639">
        <f>HYPERLINK("https://klasma.github.io/Logging_0331/kartor/A 8624-2024 karta.png", "A 8624-2024")</f>
        <v/>
      </c>
      <c r="V639">
        <f>HYPERLINK("https://klasma.github.io/Logging_0331/klagomål/A 8624-2024 FSC-klagomål.docx", "A 8624-2024")</f>
        <v/>
      </c>
      <c r="W639">
        <f>HYPERLINK("https://klasma.github.io/Logging_0331/klagomålsmail/A 8624-2024 FSC-klagomål mail.docx", "A 8624-2024")</f>
        <v/>
      </c>
      <c r="X639">
        <f>HYPERLINK("https://klasma.github.io/Logging_0331/tillsyn/A 8624-2024 tillsynsbegäran.docx", "A 8624-2024")</f>
        <v/>
      </c>
      <c r="Y639">
        <f>HYPERLINK("https://klasma.github.io/Logging_0331/tillsynsmail/A 8624-2024 tillsynsbegäran mail.docx", "A 8624-2024")</f>
        <v/>
      </c>
    </row>
    <row r="640" ht="15" customHeight="1">
      <c r="A640" t="inlineStr">
        <is>
          <t>A 9206-2024</t>
        </is>
      </c>
      <c r="B640" s="1" t="n">
        <v>45358</v>
      </c>
      <c r="C640" s="1" t="n">
        <v>45706</v>
      </c>
      <c r="D640" t="inlineStr">
        <is>
          <t>UPPSALA LÄN</t>
        </is>
      </c>
      <c r="E640" t="inlineStr">
        <is>
          <t>UPPSALA</t>
        </is>
      </c>
      <c r="F640" t="inlineStr">
        <is>
          <t>Allmännings- och besparingsskogar</t>
        </is>
      </c>
      <c r="G640" t="n">
        <v>22.2</v>
      </c>
      <c r="H640" t="n">
        <v>1</v>
      </c>
      <c r="I640" t="n">
        <v>0</v>
      </c>
      <c r="J640" t="n">
        <v>0</v>
      </c>
      <c r="K640" t="n">
        <v>1</v>
      </c>
      <c r="L640" t="n">
        <v>0</v>
      </c>
      <c r="M640" t="n">
        <v>0</v>
      </c>
      <c r="N640" t="n">
        <v>0</v>
      </c>
      <c r="O640" t="n">
        <v>1</v>
      </c>
      <c r="P640" t="n">
        <v>1</v>
      </c>
      <c r="Q640" t="n">
        <v>1</v>
      </c>
      <c r="R640" s="2" t="inlineStr">
        <is>
          <t>Knärot</t>
        </is>
      </c>
      <c r="S640">
        <f>HYPERLINK("https://klasma.github.io/Logging_0380/artfynd/A 9206-2024 artfynd.xlsx", "A 9206-2024")</f>
        <v/>
      </c>
      <c r="T640">
        <f>HYPERLINK("https://klasma.github.io/Logging_0380/kartor/A 9206-2024 karta.png", "A 9206-2024")</f>
        <v/>
      </c>
      <c r="U640">
        <f>HYPERLINK("https://klasma.github.io/Logging_0380/knärot/A 9206-2024 karta knärot.png", "A 9206-2024")</f>
        <v/>
      </c>
      <c r="V640">
        <f>HYPERLINK("https://klasma.github.io/Logging_0380/klagomål/A 9206-2024 FSC-klagomål.docx", "A 9206-2024")</f>
        <v/>
      </c>
      <c r="W640">
        <f>HYPERLINK("https://klasma.github.io/Logging_0380/klagomålsmail/A 9206-2024 FSC-klagomål mail.docx", "A 9206-2024")</f>
        <v/>
      </c>
      <c r="X640">
        <f>HYPERLINK("https://klasma.github.io/Logging_0380/tillsyn/A 9206-2024 tillsynsbegäran.docx", "A 9206-2024")</f>
        <v/>
      </c>
      <c r="Y640">
        <f>HYPERLINK("https://klasma.github.io/Logging_0380/tillsynsmail/A 9206-2024 tillsynsbegäran mail.docx", "A 9206-2024")</f>
        <v/>
      </c>
    </row>
    <row r="641" ht="15" customHeight="1">
      <c r="A641" t="inlineStr">
        <is>
          <t>A 10210-2024</t>
        </is>
      </c>
      <c r="B641" s="1" t="n">
        <v>45364</v>
      </c>
      <c r="C641" s="1" t="n">
        <v>45706</v>
      </c>
      <c r="D641" t="inlineStr">
        <is>
          <t>UPPSALA LÄN</t>
        </is>
      </c>
      <c r="E641" t="inlineStr">
        <is>
          <t>ÖSTHAMMAR</t>
        </is>
      </c>
      <c r="F641" t="inlineStr">
        <is>
          <t>Bergvik skog öst AB</t>
        </is>
      </c>
      <c r="G641" t="n">
        <v>18</v>
      </c>
      <c r="H641" t="n">
        <v>1</v>
      </c>
      <c r="I641" t="n">
        <v>0</v>
      </c>
      <c r="J641" t="n">
        <v>0</v>
      </c>
      <c r="K641" t="n">
        <v>0</v>
      </c>
      <c r="L641" t="n">
        <v>0</v>
      </c>
      <c r="M641" t="n">
        <v>0</v>
      </c>
      <c r="N641" t="n">
        <v>0</v>
      </c>
      <c r="O641" t="n">
        <v>0</v>
      </c>
      <c r="P641" t="n">
        <v>0</v>
      </c>
      <c r="Q641" t="n">
        <v>1</v>
      </c>
      <c r="R641" s="2" t="inlineStr">
        <is>
          <t>Tjäder</t>
        </is>
      </c>
      <c r="S641">
        <f>HYPERLINK("https://klasma.github.io/Logging_0382/artfynd/A 10210-2024 artfynd.xlsx", "A 10210-2024")</f>
        <v/>
      </c>
      <c r="T641">
        <f>HYPERLINK("https://klasma.github.io/Logging_0382/kartor/A 10210-2024 karta.png", "A 10210-2024")</f>
        <v/>
      </c>
      <c r="V641">
        <f>HYPERLINK("https://klasma.github.io/Logging_0382/klagomål/A 10210-2024 FSC-klagomål.docx", "A 10210-2024")</f>
        <v/>
      </c>
      <c r="W641">
        <f>HYPERLINK("https://klasma.github.io/Logging_0382/klagomålsmail/A 10210-2024 FSC-klagomål mail.docx", "A 10210-2024")</f>
        <v/>
      </c>
      <c r="X641">
        <f>HYPERLINK("https://klasma.github.io/Logging_0382/tillsyn/A 10210-2024 tillsynsbegäran.docx", "A 10210-2024")</f>
        <v/>
      </c>
      <c r="Y641">
        <f>HYPERLINK("https://klasma.github.io/Logging_0382/tillsynsmail/A 10210-2024 tillsynsbegäran mail.docx", "A 10210-2024")</f>
        <v/>
      </c>
      <c r="Z641">
        <f>HYPERLINK("https://klasma.github.io/Logging_0382/fåglar/A 10210-2024 prioriterade fågelarter.docx", "A 10210-2024")</f>
        <v/>
      </c>
    </row>
    <row r="642" ht="15" customHeight="1">
      <c r="A642" t="inlineStr">
        <is>
          <t>A 10227-2024</t>
        </is>
      </c>
      <c r="B642" s="1" t="n">
        <v>45365</v>
      </c>
      <c r="C642" s="1" t="n">
        <v>45706</v>
      </c>
      <c r="D642" t="inlineStr">
        <is>
          <t>UPPSALA LÄN</t>
        </is>
      </c>
      <c r="E642" t="inlineStr">
        <is>
          <t>HÅBO</t>
        </is>
      </c>
      <c r="G642" t="n">
        <v>14.9</v>
      </c>
      <c r="H642" t="n">
        <v>0</v>
      </c>
      <c r="I642" t="n">
        <v>1</v>
      </c>
      <c r="J642" t="n">
        <v>0</v>
      </c>
      <c r="K642" t="n">
        <v>0</v>
      </c>
      <c r="L642" t="n">
        <v>0</v>
      </c>
      <c r="M642" t="n">
        <v>0</v>
      </c>
      <c r="N642" t="n">
        <v>0</v>
      </c>
      <c r="O642" t="n">
        <v>0</v>
      </c>
      <c r="P642" t="n">
        <v>0</v>
      </c>
      <c r="Q642" t="n">
        <v>1</v>
      </c>
      <c r="R642" s="2" t="inlineStr">
        <is>
          <t>Svavelriska</t>
        </is>
      </c>
      <c r="S642">
        <f>HYPERLINK("https://klasma.github.io/Logging_0305/artfynd/A 10227-2024 artfynd.xlsx", "A 10227-2024")</f>
        <v/>
      </c>
      <c r="T642">
        <f>HYPERLINK("https://klasma.github.io/Logging_0305/kartor/A 10227-2024 karta.png", "A 10227-2024")</f>
        <v/>
      </c>
      <c r="V642">
        <f>HYPERLINK("https://klasma.github.io/Logging_0305/klagomål/A 10227-2024 FSC-klagomål.docx", "A 10227-2024")</f>
        <v/>
      </c>
      <c r="W642">
        <f>HYPERLINK("https://klasma.github.io/Logging_0305/klagomålsmail/A 10227-2024 FSC-klagomål mail.docx", "A 10227-2024")</f>
        <v/>
      </c>
      <c r="X642">
        <f>HYPERLINK("https://klasma.github.io/Logging_0305/tillsyn/A 10227-2024 tillsynsbegäran.docx", "A 10227-2024")</f>
        <v/>
      </c>
      <c r="Y642">
        <f>HYPERLINK("https://klasma.github.io/Logging_0305/tillsynsmail/A 10227-2024 tillsynsbegäran mail.docx", "A 10227-2024")</f>
        <v/>
      </c>
    </row>
    <row r="643" ht="15" customHeight="1">
      <c r="A643" t="inlineStr">
        <is>
          <t>A 12753-2024</t>
        </is>
      </c>
      <c r="B643" s="1" t="n">
        <v>45384</v>
      </c>
      <c r="C643" s="1" t="n">
        <v>45706</v>
      </c>
      <c r="D643" t="inlineStr">
        <is>
          <t>UPPSALA LÄN</t>
        </is>
      </c>
      <c r="E643" t="inlineStr">
        <is>
          <t>ÖSTHAMMAR</t>
        </is>
      </c>
      <c r="G643" t="n">
        <v>1.7</v>
      </c>
      <c r="H643" t="n">
        <v>0</v>
      </c>
      <c r="I643" t="n">
        <v>0</v>
      </c>
      <c r="J643" t="n">
        <v>1</v>
      </c>
      <c r="K643" t="n">
        <v>0</v>
      </c>
      <c r="L643" t="n">
        <v>0</v>
      </c>
      <c r="M643" t="n">
        <v>0</v>
      </c>
      <c r="N643" t="n">
        <v>0</v>
      </c>
      <c r="O643" t="n">
        <v>1</v>
      </c>
      <c r="P643" t="n">
        <v>0</v>
      </c>
      <c r="Q643" t="n">
        <v>1</v>
      </c>
      <c r="R643" s="2" t="inlineStr">
        <is>
          <t>Flattoppad klubbsvamp</t>
        </is>
      </c>
      <c r="S643">
        <f>HYPERLINK("https://klasma.github.io/Logging_0382/artfynd/A 12753-2024 artfynd.xlsx", "A 12753-2024")</f>
        <v/>
      </c>
      <c r="T643">
        <f>HYPERLINK("https://klasma.github.io/Logging_0382/kartor/A 12753-2024 karta.png", "A 12753-2024")</f>
        <v/>
      </c>
      <c r="V643">
        <f>HYPERLINK("https://klasma.github.io/Logging_0382/klagomål/A 12753-2024 FSC-klagomål.docx", "A 12753-2024")</f>
        <v/>
      </c>
      <c r="W643">
        <f>HYPERLINK("https://klasma.github.io/Logging_0382/klagomålsmail/A 12753-2024 FSC-klagomål mail.docx", "A 12753-2024")</f>
        <v/>
      </c>
      <c r="X643">
        <f>HYPERLINK("https://klasma.github.io/Logging_0382/tillsyn/A 12753-2024 tillsynsbegäran.docx", "A 12753-2024")</f>
        <v/>
      </c>
      <c r="Y643">
        <f>HYPERLINK("https://klasma.github.io/Logging_0382/tillsynsmail/A 12753-2024 tillsynsbegäran mail.docx", "A 12753-2024")</f>
        <v/>
      </c>
    </row>
    <row r="644" ht="15" customHeight="1">
      <c r="A644" t="inlineStr">
        <is>
          <t>A 13093-2024</t>
        </is>
      </c>
      <c r="B644" s="1" t="n">
        <v>45385</v>
      </c>
      <c r="C644" s="1" t="n">
        <v>45706</v>
      </c>
      <c r="D644" t="inlineStr">
        <is>
          <t>UPPSALA LÄN</t>
        </is>
      </c>
      <c r="E644" t="inlineStr">
        <is>
          <t>UPPSALA</t>
        </is>
      </c>
      <c r="G644" t="n">
        <v>1.1</v>
      </c>
      <c r="H644" t="n">
        <v>1</v>
      </c>
      <c r="I644" t="n">
        <v>1</v>
      </c>
      <c r="J644" t="n">
        <v>0</v>
      </c>
      <c r="K644" t="n">
        <v>0</v>
      </c>
      <c r="L644" t="n">
        <v>0</v>
      </c>
      <c r="M644" t="n">
        <v>0</v>
      </c>
      <c r="N644" t="n">
        <v>0</v>
      </c>
      <c r="O644" t="n">
        <v>0</v>
      </c>
      <c r="P644" t="n">
        <v>0</v>
      </c>
      <c r="Q644" t="n">
        <v>1</v>
      </c>
      <c r="R644" s="2" t="inlineStr">
        <is>
          <t>Skogsknipprot</t>
        </is>
      </c>
      <c r="S644">
        <f>HYPERLINK("https://klasma.github.io/Logging_0380/artfynd/A 13093-2024 artfynd.xlsx", "A 13093-2024")</f>
        <v/>
      </c>
      <c r="T644">
        <f>HYPERLINK("https://klasma.github.io/Logging_0380/kartor/A 13093-2024 karta.png", "A 13093-2024")</f>
        <v/>
      </c>
      <c r="V644">
        <f>HYPERLINK("https://klasma.github.io/Logging_0380/klagomål/A 13093-2024 FSC-klagomål.docx", "A 13093-2024")</f>
        <v/>
      </c>
      <c r="W644">
        <f>HYPERLINK("https://klasma.github.io/Logging_0380/klagomålsmail/A 13093-2024 FSC-klagomål mail.docx", "A 13093-2024")</f>
        <v/>
      </c>
      <c r="X644">
        <f>HYPERLINK("https://klasma.github.io/Logging_0380/tillsyn/A 13093-2024 tillsynsbegäran.docx", "A 13093-2024")</f>
        <v/>
      </c>
      <c r="Y644">
        <f>HYPERLINK("https://klasma.github.io/Logging_0380/tillsynsmail/A 13093-2024 tillsynsbegäran mail.docx", "A 13093-2024")</f>
        <v/>
      </c>
    </row>
    <row r="645" ht="15" customHeight="1">
      <c r="A645" t="inlineStr">
        <is>
          <t>A 13255-2024</t>
        </is>
      </c>
      <c r="B645" s="1" t="n">
        <v>45386</v>
      </c>
      <c r="C645" s="1" t="n">
        <v>45706</v>
      </c>
      <c r="D645" t="inlineStr">
        <is>
          <t>UPPSALA LÄN</t>
        </is>
      </c>
      <c r="E645" t="inlineStr">
        <is>
          <t>ENKÖPING</t>
        </is>
      </c>
      <c r="G645" t="n">
        <v>3.8</v>
      </c>
      <c r="H645" t="n">
        <v>0</v>
      </c>
      <c r="I645" t="n">
        <v>1</v>
      </c>
      <c r="J645" t="n">
        <v>0</v>
      </c>
      <c r="K645" t="n">
        <v>0</v>
      </c>
      <c r="L645" t="n">
        <v>0</v>
      </c>
      <c r="M645" t="n">
        <v>0</v>
      </c>
      <c r="N645" t="n">
        <v>0</v>
      </c>
      <c r="O645" t="n">
        <v>0</v>
      </c>
      <c r="P645" t="n">
        <v>0</v>
      </c>
      <c r="Q645" t="n">
        <v>1</v>
      </c>
      <c r="R645" s="2" t="inlineStr">
        <is>
          <t>Stor aspticka</t>
        </is>
      </c>
      <c r="S645">
        <f>HYPERLINK("https://klasma.github.io/Logging_0381/artfynd/A 13255-2024 artfynd.xlsx", "A 13255-2024")</f>
        <v/>
      </c>
      <c r="T645">
        <f>HYPERLINK("https://klasma.github.io/Logging_0381/kartor/A 13255-2024 karta.png", "A 13255-2024")</f>
        <v/>
      </c>
      <c r="V645">
        <f>HYPERLINK("https://klasma.github.io/Logging_0381/klagomål/A 13255-2024 FSC-klagomål.docx", "A 13255-2024")</f>
        <v/>
      </c>
      <c r="W645">
        <f>HYPERLINK("https://klasma.github.io/Logging_0381/klagomålsmail/A 13255-2024 FSC-klagomål mail.docx", "A 13255-2024")</f>
        <v/>
      </c>
      <c r="X645">
        <f>HYPERLINK("https://klasma.github.io/Logging_0381/tillsyn/A 13255-2024 tillsynsbegäran.docx", "A 13255-2024")</f>
        <v/>
      </c>
      <c r="Y645">
        <f>HYPERLINK("https://klasma.github.io/Logging_0381/tillsynsmail/A 13255-2024 tillsynsbegäran mail.docx", "A 13255-2024")</f>
        <v/>
      </c>
    </row>
    <row r="646" ht="15" customHeight="1">
      <c r="A646" t="inlineStr">
        <is>
          <t>A 13661-2024</t>
        </is>
      </c>
      <c r="B646" s="1" t="n">
        <v>45390</v>
      </c>
      <c r="C646" s="1" t="n">
        <v>45706</v>
      </c>
      <c r="D646" t="inlineStr">
        <is>
          <t>UPPSALA LÄN</t>
        </is>
      </c>
      <c r="E646" t="inlineStr">
        <is>
          <t>UPPSALA</t>
        </is>
      </c>
      <c r="F646" t="inlineStr">
        <is>
          <t>Holmen skog AB</t>
        </is>
      </c>
      <c r="G646" t="n">
        <v>3.7</v>
      </c>
      <c r="H646" t="n">
        <v>0</v>
      </c>
      <c r="I646" t="n">
        <v>0</v>
      </c>
      <c r="J646" t="n">
        <v>1</v>
      </c>
      <c r="K646" t="n">
        <v>0</v>
      </c>
      <c r="L646" t="n">
        <v>0</v>
      </c>
      <c r="M646" t="n">
        <v>0</v>
      </c>
      <c r="N646" t="n">
        <v>0</v>
      </c>
      <c r="O646" t="n">
        <v>1</v>
      </c>
      <c r="P646" t="n">
        <v>0</v>
      </c>
      <c r="Q646" t="n">
        <v>1</v>
      </c>
      <c r="R646" s="2" t="inlineStr">
        <is>
          <t>Skogsklocka</t>
        </is>
      </c>
      <c r="S646">
        <f>HYPERLINK("https://klasma.github.io/Logging_0380/artfynd/A 13661-2024 artfynd.xlsx", "A 13661-2024")</f>
        <v/>
      </c>
      <c r="T646">
        <f>HYPERLINK("https://klasma.github.io/Logging_0380/kartor/A 13661-2024 karta.png", "A 13661-2024")</f>
        <v/>
      </c>
      <c r="V646">
        <f>HYPERLINK("https://klasma.github.io/Logging_0380/klagomål/A 13661-2024 FSC-klagomål.docx", "A 13661-2024")</f>
        <v/>
      </c>
      <c r="W646">
        <f>HYPERLINK("https://klasma.github.io/Logging_0380/klagomålsmail/A 13661-2024 FSC-klagomål mail.docx", "A 13661-2024")</f>
        <v/>
      </c>
      <c r="X646">
        <f>HYPERLINK("https://klasma.github.io/Logging_0380/tillsyn/A 13661-2024 tillsynsbegäran.docx", "A 13661-2024")</f>
        <v/>
      </c>
      <c r="Y646">
        <f>HYPERLINK("https://klasma.github.io/Logging_0380/tillsynsmail/A 13661-2024 tillsynsbegäran mail.docx", "A 13661-2024")</f>
        <v/>
      </c>
    </row>
    <row r="647" ht="15" customHeight="1">
      <c r="A647" t="inlineStr">
        <is>
          <t>A 14203-2024</t>
        </is>
      </c>
      <c r="B647" s="1" t="n">
        <v>45393</v>
      </c>
      <c r="C647" s="1" t="n">
        <v>45706</v>
      </c>
      <c r="D647" t="inlineStr">
        <is>
          <t>UPPSALA LÄN</t>
        </is>
      </c>
      <c r="E647" t="inlineStr">
        <is>
          <t>ÖSTHAMMAR</t>
        </is>
      </c>
      <c r="G647" t="n">
        <v>1.4</v>
      </c>
      <c r="H647" t="n">
        <v>0</v>
      </c>
      <c r="I647" t="n">
        <v>0</v>
      </c>
      <c r="J647" t="n">
        <v>1</v>
      </c>
      <c r="K647" t="n">
        <v>0</v>
      </c>
      <c r="L647" t="n">
        <v>0</v>
      </c>
      <c r="M647" t="n">
        <v>0</v>
      </c>
      <c r="N647" t="n">
        <v>0</v>
      </c>
      <c r="O647" t="n">
        <v>1</v>
      </c>
      <c r="P647" t="n">
        <v>0</v>
      </c>
      <c r="Q647" t="n">
        <v>1</v>
      </c>
      <c r="R647" s="2" t="inlineStr">
        <is>
          <t>Scharlakansvaxskivling</t>
        </is>
      </c>
      <c r="S647">
        <f>HYPERLINK("https://klasma.github.io/Logging_0382/artfynd/A 14203-2024 artfynd.xlsx", "A 14203-2024")</f>
        <v/>
      </c>
      <c r="T647">
        <f>HYPERLINK("https://klasma.github.io/Logging_0382/kartor/A 14203-2024 karta.png", "A 14203-2024")</f>
        <v/>
      </c>
      <c r="V647">
        <f>HYPERLINK("https://klasma.github.io/Logging_0382/klagomål/A 14203-2024 FSC-klagomål.docx", "A 14203-2024")</f>
        <v/>
      </c>
      <c r="W647">
        <f>HYPERLINK("https://klasma.github.io/Logging_0382/klagomålsmail/A 14203-2024 FSC-klagomål mail.docx", "A 14203-2024")</f>
        <v/>
      </c>
      <c r="X647">
        <f>HYPERLINK("https://klasma.github.io/Logging_0382/tillsyn/A 14203-2024 tillsynsbegäran.docx", "A 14203-2024")</f>
        <v/>
      </c>
      <c r="Y647">
        <f>HYPERLINK("https://klasma.github.io/Logging_0382/tillsynsmail/A 14203-2024 tillsynsbegäran mail.docx", "A 14203-2024")</f>
        <v/>
      </c>
    </row>
    <row r="648" ht="15" customHeight="1">
      <c r="A648" t="inlineStr">
        <is>
          <t>A 17006-2024</t>
        </is>
      </c>
      <c r="B648" s="1" t="n">
        <v>45411</v>
      </c>
      <c r="C648" s="1" t="n">
        <v>45706</v>
      </c>
      <c r="D648" t="inlineStr">
        <is>
          <t>UPPSALA LÄN</t>
        </is>
      </c>
      <c r="E648" t="inlineStr">
        <is>
          <t>HEBY</t>
        </is>
      </c>
      <c r="F648" t="inlineStr">
        <is>
          <t>Bergvik skog väst AB</t>
        </is>
      </c>
      <c r="G648" t="n">
        <v>14.6</v>
      </c>
      <c r="H648" t="n">
        <v>1</v>
      </c>
      <c r="I648" t="n">
        <v>0</v>
      </c>
      <c r="J648" t="n">
        <v>1</v>
      </c>
      <c r="K648" t="n">
        <v>0</v>
      </c>
      <c r="L648" t="n">
        <v>0</v>
      </c>
      <c r="M648" t="n">
        <v>0</v>
      </c>
      <c r="N648" t="n">
        <v>0</v>
      </c>
      <c r="O648" t="n">
        <v>1</v>
      </c>
      <c r="P648" t="n">
        <v>0</v>
      </c>
      <c r="Q648" t="n">
        <v>1</v>
      </c>
      <c r="R648" s="2" t="inlineStr">
        <is>
          <t>Järpe</t>
        </is>
      </c>
      <c r="S648">
        <f>HYPERLINK("https://klasma.github.io/Logging_0331/artfynd/A 17006-2024 artfynd.xlsx", "A 17006-2024")</f>
        <v/>
      </c>
      <c r="T648">
        <f>HYPERLINK("https://klasma.github.io/Logging_0331/kartor/A 17006-2024 karta.png", "A 17006-2024")</f>
        <v/>
      </c>
      <c r="V648">
        <f>HYPERLINK("https://klasma.github.io/Logging_0331/klagomål/A 17006-2024 FSC-klagomål.docx", "A 17006-2024")</f>
        <v/>
      </c>
      <c r="W648">
        <f>HYPERLINK("https://klasma.github.io/Logging_0331/klagomålsmail/A 17006-2024 FSC-klagomål mail.docx", "A 17006-2024")</f>
        <v/>
      </c>
      <c r="X648">
        <f>HYPERLINK("https://klasma.github.io/Logging_0331/tillsyn/A 17006-2024 tillsynsbegäran.docx", "A 17006-2024")</f>
        <v/>
      </c>
      <c r="Y648">
        <f>HYPERLINK("https://klasma.github.io/Logging_0331/tillsynsmail/A 17006-2024 tillsynsbegäran mail.docx", "A 17006-2024")</f>
        <v/>
      </c>
      <c r="Z648">
        <f>HYPERLINK("https://klasma.github.io/Logging_0331/fåglar/A 17006-2024 prioriterade fågelarter.docx", "A 17006-2024")</f>
        <v/>
      </c>
    </row>
    <row r="649" ht="15" customHeight="1">
      <c r="A649" t="inlineStr">
        <is>
          <t>A 16864-2024</t>
        </is>
      </c>
      <c r="B649" s="1" t="n">
        <v>45411</v>
      </c>
      <c r="C649" s="1" t="n">
        <v>45706</v>
      </c>
      <c r="D649" t="inlineStr">
        <is>
          <t>UPPSALA LÄN</t>
        </is>
      </c>
      <c r="E649" t="inlineStr">
        <is>
          <t>ENKÖPING</t>
        </is>
      </c>
      <c r="G649" t="n">
        <v>5.9</v>
      </c>
      <c r="H649" t="n">
        <v>1</v>
      </c>
      <c r="I649" t="n">
        <v>0</v>
      </c>
      <c r="J649" t="n">
        <v>1</v>
      </c>
      <c r="K649" t="n">
        <v>0</v>
      </c>
      <c r="L649" t="n">
        <v>0</v>
      </c>
      <c r="M649" t="n">
        <v>0</v>
      </c>
      <c r="N649" t="n">
        <v>0</v>
      </c>
      <c r="O649" t="n">
        <v>1</v>
      </c>
      <c r="P649" t="n">
        <v>0</v>
      </c>
      <c r="Q649" t="n">
        <v>1</v>
      </c>
      <c r="R649" s="2" t="inlineStr">
        <is>
          <t>Spillkråka</t>
        </is>
      </c>
      <c r="S649">
        <f>HYPERLINK("https://klasma.github.io/Logging_0381/artfynd/A 16864-2024 artfynd.xlsx", "A 16864-2024")</f>
        <v/>
      </c>
      <c r="T649">
        <f>HYPERLINK("https://klasma.github.io/Logging_0381/kartor/A 16864-2024 karta.png", "A 16864-2024")</f>
        <v/>
      </c>
      <c r="V649">
        <f>HYPERLINK("https://klasma.github.io/Logging_0381/klagomål/A 16864-2024 FSC-klagomål.docx", "A 16864-2024")</f>
        <v/>
      </c>
      <c r="W649">
        <f>HYPERLINK("https://klasma.github.io/Logging_0381/klagomålsmail/A 16864-2024 FSC-klagomål mail.docx", "A 16864-2024")</f>
        <v/>
      </c>
      <c r="X649">
        <f>HYPERLINK("https://klasma.github.io/Logging_0381/tillsyn/A 16864-2024 tillsynsbegäran.docx", "A 16864-2024")</f>
        <v/>
      </c>
      <c r="Y649">
        <f>HYPERLINK("https://klasma.github.io/Logging_0381/tillsynsmail/A 16864-2024 tillsynsbegäran mail.docx", "A 16864-2024")</f>
        <v/>
      </c>
      <c r="Z649">
        <f>HYPERLINK("https://klasma.github.io/Logging_0381/fåglar/A 16864-2024 prioriterade fågelarter.docx", "A 16864-2024")</f>
        <v/>
      </c>
    </row>
    <row r="650" ht="15" customHeight="1">
      <c r="A650" t="inlineStr">
        <is>
          <t>A 17942-2024</t>
        </is>
      </c>
      <c r="B650" s="1" t="n">
        <v>45419</v>
      </c>
      <c r="C650" s="1" t="n">
        <v>45706</v>
      </c>
      <c r="D650" t="inlineStr">
        <is>
          <t>UPPSALA LÄN</t>
        </is>
      </c>
      <c r="E650" t="inlineStr">
        <is>
          <t>ENKÖPING</t>
        </is>
      </c>
      <c r="G650" t="n">
        <v>0.8</v>
      </c>
      <c r="H650" t="n">
        <v>0</v>
      </c>
      <c r="I650" t="n">
        <v>0</v>
      </c>
      <c r="J650" t="n">
        <v>1</v>
      </c>
      <c r="K650" t="n">
        <v>0</v>
      </c>
      <c r="L650" t="n">
        <v>0</v>
      </c>
      <c r="M650" t="n">
        <v>0</v>
      </c>
      <c r="N650" t="n">
        <v>0</v>
      </c>
      <c r="O650" t="n">
        <v>1</v>
      </c>
      <c r="P650" t="n">
        <v>0</v>
      </c>
      <c r="Q650" t="n">
        <v>1</v>
      </c>
      <c r="R650" s="2" t="inlineStr">
        <is>
          <t>Ängsskära</t>
        </is>
      </c>
      <c r="S650">
        <f>HYPERLINK("https://klasma.github.io/Logging_0381/artfynd/A 17942-2024 artfynd.xlsx", "A 17942-2024")</f>
        <v/>
      </c>
      <c r="T650">
        <f>HYPERLINK("https://klasma.github.io/Logging_0381/kartor/A 17942-2024 karta.png", "A 17942-2024")</f>
        <v/>
      </c>
      <c r="V650">
        <f>HYPERLINK("https://klasma.github.io/Logging_0381/klagomål/A 17942-2024 FSC-klagomål.docx", "A 17942-2024")</f>
        <v/>
      </c>
      <c r="W650">
        <f>HYPERLINK("https://klasma.github.io/Logging_0381/klagomålsmail/A 17942-2024 FSC-klagomål mail.docx", "A 17942-2024")</f>
        <v/>
      </c>
      <c r="X650">
        <f>HYPERLINK("https://klasma.github.io/Logging_0381/tillsyn/A 17942-2024 tillsynsbegäran.docx", "A 17942-2024")</f>
        <v/>
      </c>
      <c r="Y650">
        <f>HYPERLINK("https://klasma.github.io/Logging_0381/tillsynsmail/A 17942-2024 tillsynsbegäran mail.docx", "A 17942-2024")</f>
        <v/>
      </c>
    </row>
    <row r="651" ht="15" customHeight="1">
      <c r="A651" t="inlineStr">
        <is>
          <t>A 17972-2024</t>
        </is>
      </c>
      <c r="B651" s="1" t="n">
        <v>45419</v>
      </c>
      <c r="C651" s="1" t="n">
        <v>45706</v>
      </c>
      <c r="D651" t="inlineStr">
        <is>
          <t>UPPSALA LÄN</t>
        </is>
      </c>
      <c r="E651" t="inlineStr">
        <is>
          <t>HEBY</t>
        </is>
      </c>
      <c r="F651" t="inlineStr">
        <is>
          <t>Bergvik skog väst AB</t>
        </is>
      </c>
      <c r="G651" t="n">
        <v>9.699999999999999</v>
      </c>
      <c r="H651" t="n">
        <v>0</v>
      </c>
      <c r="I651" t="n">
        <v>1</v>
      </c>
      <c r="J651" t="n">
        <v>0</v>
      </c>
      <c r="K651" t="n">
        <v>0</v>
      </c>
      <c r="L651" t="n">
        <v>0</v>
      </c>
      <c r="M651" t="n">
        <v>0</v>
      </c>
      <c r="N651" t="n">
        <v>0</v>
      </c>
      <c r="O651" t="n">
        <v>0</v>
      </c>
      <c r="P651" t="n">
        <v>0</v>
      </c>
      <c r="Q651" t="n">
        <v>1</v>
      </c>
      <c r="R651" s="2" t="inlineStr">
        <is>
          <t>Spädstarr</t>
        </is>
      </c>
      <c r="S651">
        <f>HYPERLINK("https://klasma.github.io/Logging_0331/artfynd/A 17972-2024 artfynd.xlsx", "A 17972-2024")</f>
        <v/>
      </c>
      <c r="T651">
        <f>HYPERLINK("https://klasma.github.io/Logging_0331/kartor/A 17972-2024 karta.png", "A 17972-2024")</f>
        <v/>
      </c>
      <c r="V651">
        <f>HYPERLINK("https://klasma.github.io/Logging_0331/klagomål/A 17972-2024 FSC-klagomål.docx", "A 17972-2024")</f>
        <v/>
      </c>
      <c r="W651">
        <f>HYPERLINK("https://klasma.github.io/Logging_0331/klagomålsmail/A 17972-2024 FSC-klagomål mail.docx", "A 17972-2024")</f>
        <v/>
      </c>
      <c r="X651">
        <f>HYPERLINK("https://klasma.github.io/Logging_0331/tillsyn/A 17972-2024 tillsynsbegäran.docx", "A 17972-2024")</f>
        <v/>
      </c>
      <c r="Y651">
        <f>HYPERLINK("https://klasma.github.io/Logging_0331/tillsynsmail/A 17972-2024 tillsynsbegäran mail.docx", "A 17972-2024")</f>
        <v/>
      </c>
    </row>
    <row r="652" ht="15" customHeight="1">
      <c r="A652" t="inlineStr">
        <is>
          <t>A 18348-2024</t>
        </is>
      </c>
      <c r="B652" s="1" t="n">
        <v>45422</v>
      </c>
      <c r="C652" s="1" t="n">
        <v>45706</v>
      </c>
      <c r="D652" t="inlineStr">
        <is>
          <t>UPPSALA LÄN</t>
        </is>
      </c>
      <c r="E652" t="inlineStr">
        <is>
          <t>UPPSALA</t>
        </is>
      </c>
      <c r="F652" t="inlineStr">
        <is>
          <t>Holmen skog AB</t>
        </is>
      </c>
      <c r="G652" t="n">
        <v>2.8</v>
      </c>
      <c r="H652" t="n">
        <v>0</v>
      </c>
      <c r="I652" t="n">
        <v>0</v>
      </c>
      <c r="J652" t="n">
        <v>1</v>
      </c>
      <c r="K652" t="n">
        <v>0</v>
      </c>
      <c r="L652" t="n">
        <v>0</v>
      </c>
      <c r="M652" t="n">
        <v>0</v>
      </c>
      <c r="N652" t="n">
        <v>0</v>
      </c>
      <c r="O652" t="n">
        <v>1</v>
      </c>
      <c r="P652" t="n">
        <v>0</v>
      </c>
      <c r="Q652" t="n">
        <v>1</v>
      </c>
      <c r="R652" s="2" t="inlineStr">
        <is>
          <t>Granticka</t>
        </is>
      </c>
      <c r="S652">
        <f>HYPERLINK("https://klasma.github.io/Logging_0380/artfynd/A 18348-2024 artfynd.xlsx", "A 18348-2024")</f>
        <v/>
      </c>
      <c r="T652">
        <f>HYPERLINK("https://klasma.github.io/Logging_0380/kartor/A 18348-2024 karta.png", "A 18348-2024")</f>
        <v/>
      </c>
      <c r="V652">
        <f>HYPERLINK("https://klasma.github.io/Logging_0380/klagomål/A 18348-2024 FSC-klagomål.docx", "A 18348-2024")</f>
        <v/>
      </c>
      <c r="W652">
        <f>HYPERLINK("https://klasma.github.io/Logging_0380/klagomålsmail/A 18348-2024 FSC-klagomål mail.docx", "A 18348-2024")</f>
        <v/>
      </c>
      <c r="X652">
        <f>HYPERLINK("https://klasma.github.io/Logging_0380/tillsyn/A 18348-2024 tillsynsbegäran.docx", "A 18348-2024")</f>
        <v/>
      </c>
      <c r="Y652">
        <f>HYPERLINK("https://klasma.github.io/Logging_0380/tillsynsmail/A 18348-2024 tillsynsbegäran mail.docx", "A 18348-2024")</f>
        <v/>
      </c>
    </row>
    <row r="653" ht="15" customHeight="1">
      <c r="A653" t="inlineStr">
        <is>
          <t>A 18416-2024</t>
        </is>
      </c>
      <c r="B653" s="1" t="n">
        <v>45425</v>
      </c>
      <c r="C653" s="1" t="n">
        <v>45706</v>
      </c>
      <c r="D653" t="inlineStr">
        <is>
          <t>UPPSALA LÄN</t>
        </is>
      </c>
      <c r="E653" t="inlineStr">
        <is>
          <t>ENKÖPING</t>
        </is>
      </c>
      <c r="G653" t="n">
        <v>4.5</v>
      </c>
      <c r="H653" t="n">
        <v>1</v>
      </c>
      <c r="I653" t="n">
        <v>1</v>
      </c>
      <c r="J653" t="n">
        <v>0</v>
      </c>
      <c r="K653" t="n">
        <v>0</v>
      </c>
      <c r="L653" t="n">
        <v>0</v>
      </c>
      <c r="M653" t="n">
        <v>0</v>
      </c>
      <c r="N653" t="n">
        <v>0</v>
      </c>
      <c r="O653" t="n">
        <v>0</v>
      </c>
      <c r="P653" t="n">
        <v>0</v>
      </c>
      <c r="Q653" t="n">
        <v>1</v>
      </c>
      <c r="R653" s="2" t="inlineStr">
        <is>
          <t>Grön sköldmossa</t>
        </is>
      </c>
      <c r="S653">
        <f>HYPERLINK("https://klasma.github.io/Logging_0381/artfynd/A 18416-2024 artfynd.xlsx", "A 18416-2024")</f>
        <v/>
      </c>
      <c r="T653">
        <f>HYPERLINK("https://klasma.github.io/Logging_0381/kartor/A 18416-2024 karta.png", "A 18416-2024")</f>
        <v/>
      </c>
      <c r="V653">
        <f>HYPERLINK("https://klasma.github.io/Logging_0381/klagomål/A 18416-2024 FSC-klagomål.docx", "A 18416-2024")</f>
        <v/>
      </c>
      <c r="W653">
        <f>HYPERLINK("https://klasma.github.io/Logging_0381/klagomålsmail/A 18416-2024 FSC-klagomål mail.docx", "A 18416-2024")</f>
        <v/>
      </c>
      <c r="X653">
        <f>HYPERLINK("https://klasma.github.io/Logging_0381/tillsyn/A 18416-2024 tillsynsbegäran.docx", "A 18416-2024")</f>
        <v/>
      </c>
      <c r="Y653">
        <f>HYPERLINK("https://klasma.github.io/Logging_0381/tillsynsmail/A 18416-2024 tillsynsbegäran mail.docx", "A 18416-2024")</f>
        <v/>
      </c>
    </row>
    <row r="654" ht="15" customHeight="1">
      <c r="A654" t="inlineStr">
        <is>
          <t>A 18509-2024</t>
        </is>
      </c>
      <c r="B654" s="1" t="n">
        <v>45425</v>
      </c>
      <c r="C654" s="1" t="n">
        <v>45706</v>
      </c>
      <c r="D654" t="inlineStr">
        <is>
          <t>UPPSALA LÄN</t>
        </is>
      </c>
      <c r="E654" t="inlineStr">
        <is>
          <t>UPPSALA</t>
        </is>
      </c>
      <c r="G654" t="n">
        <v>4</v>
      </c>
      <c r="H654" t="n">
        <v>0</v>
      </c>
      <c r="I654" t="n">
        <v>1</v>
      </c>
      <c r="J654" t="n">
        <v>0</v>
      </c>
      <c r="K654" t="n">
        <v>0</v>
      </c>
      <c r="L654" t="n">
        <v>0</v>
      </c>
      <c r="M654" t="n">
        <v>0</v>
      </c>
      <c r="N654" t="n">
        <v>0</v>
      </c>
      <c r="O654" t="n">
        <v>0</v>
      </c>
      <c r="P654" t="n">
        <v>0</v>
      </c>
      <c r="Q654" t="n">
        <v>1</v>
      </c>
      <c r="R654" s="2" t="inlineStr">
        <is>
          <t>Fällmossa</t>
        </is>
      </c>
      <c r="S654">
        <f>HYPERLINK("https://klasma.github.io/Logging_0380/artfynd/A 18509-2024 artfynd.xlsx", "A 18509-2024")</f>
        <v/>
      </c>
      <c r="T654">
        <f>HYPERLINK("https://klasma.github.io/Logging_0380/kartor/A 18509-2024 karta.png", "A 18509-2024")</f>
        <v/>
      </c>
      <c r="V654">
        <f>HYPERLINK("https://klasma.github.io/Logging_0380/klagomål/A 18509-2024 FSC-klagomål.docx", "A 18509-2024")</f>
        <v/>
      </c>
      <c r="W654">
        <f>HYPERLINK("https://klasma.github.io/Logging_0380/klagomålsmail/A 18509-2024 FSC-klagomål mail.docx", "A 18509-2024")</f>
        <v/>
      </c>
      <c r="X654">
        <f>HYPERLINK("https://klasma.github.io/Logging_0380/tillsyn/A 18509-2024 tillsynsbegäran.docx", "A 18509-2024")</f>
        <v/>
      </c>
      <c r="Y654">
        <f>HYPERLINK("https://klasma.github.io/Logging_0380/tillsynsmail/A 18509-2024 tillsynsbegäran mail.docx", "A 18509-2024")</f>
        <v/>
      </c>
    </row>
    <row r="655" ht="15" customHeight="1">
      <c r="A655" t="inlineStr">
        <is>
          <t>A 19139-2024</t>
        </is>
      </c>
      <c r="B655" s="1" t="n">
        <v>45428</v>
      </c>
      <c r="C655" s="1" t="n">
        <v>45706</v>
      </c>
      <c r="D655" t="inlineStr">
        <is>
          <t>UPPSALA LÄN</t>
        </is>
      </c>
      <c r="E655" t="inlineStr">
        <is>
          <t>HEBY</t>
        </is>
      </c>
      <c r="G655" t="n">
        <v>11.8</v>
      </c>
      <c r="H655" t="n">
        <v>0</v>
      </c>
      <c r="I655" t="n">
        <v>1</v>
      </c>
      <c r="J655" t="n">
        <v>0</v>
      </c>
      <c r="K655" t="n">
        <v>0</v>
      </c>
      <c r="L655" t="n">
        <v>0</v>
      </c>
      <c r="M655" t="n">
        <v>0</v>
      </c>
      <c r="N655" t="n">
        <v>0</v>
      </c>
      <c r="O655" t="n">
        <v>0</v>
      </c>
      <c r="P655" t="n">
        <v>0</v>
      </c>
      <c r="Q655" t="n">
        <v>1</v>
      </c>
      <c r="R655" s="2" t="inlineStr">
        <is>
          <t>Ögonpyrola</t>
        </is>
      </c>
      <c r="S655">
        <f>HYPERLINK("https://klasma.github.io/Logging_0331/artfynd/A 19139-2024 artfynd.xlsx", "A 19139-2024")</f>
        <v/>
      </c>
      <c r="T655">
        <f>HYPERLINK("https://klasma.github.io/Logging_0331/kartor/A 19139-2024 karta.png", "A 19139-2024")</f>
        <v/>
      </c>
      <c r="V655">
        <f>HYPERLINK("https://klasma.github.io/Logging_0331/klagomål/A 19139-2024 FSC-klagomål.docx", "A 19139-2024")</f>
        <v/>
      </c>
      <c r="W655">
        <f>HYPERLINK("https://klasma.github.io/Logging_0331/klagomålsmail/A 19139-2024 FSC-klagomål mail.docx", "A 19139-2024")</f>
        <v/>
      </c>
      <c r="X655">
        <f>HYPERLINK("https://klasma.github.io/Logging_0331/tillsyn/A 19139-2024 tillsynsbegäran.docx", "A 19139-2024")</f>
        <v/>
      </c>
      <c r="Y655">
        <f>HYPERLINK("https://klasma.github.io/Logging_0331/tillsynsmail/A 19139-2024 tillsynsbegäran mail.docx", "A 19139-2024")</f>
        <v/>
      </c>
    </row>
    <row r="656" ht="15" customHeight="1">
      <c r="A656" t="inlineStr">
        <is>
          <t>A 19300-2024</t>
        </is>
      </c>
      <c r="B656" s="1" t="n">
        <v>45428</v>
      </c>
      <c r="C656" s="1" t="n">
        <v>45706</v>
      </c>
      <c r="D656" t="inlineStr">
        <is>
          <t>UPPSALA LÄN</t>
        </is>
      </c>
      <c r="E656" t="inlineStr">
        <is>
          <t>ÄLVKARLEBY</t>
        </is>
      </c>
      <c r="G656" t="n">
        <v>0.9</v>
      </c>
      <c r="H656" t="n">
        <v>1</v>
      </c>
      <c r="I656" t="n">
        <v>0</v>
      </c>
      <c r="J656" t="n">
        <v>0</v>
      </c>
      <c r="K656" t="n">
        <v>1</v>
      </c>
      <c r="L656" t="n">
        <v>0</v>
      </c>
      <c r="M656" t="n">
        <v>0</v>
      </c>
      <c r="N656" t="n">
        <v>0</v>
      </c>
      <c r="O656" t="n">
        <v>1</v>
      </c>
      <c r="P656" t="n">
        <v>1</v>
      </c>
      <c r="Q656" t="n">
        <v>1</v>
      </c>
      <c r="R656" s="2" t="inlineStr">
        <is>
          <t>Kricka</t>
        </is>
      </c>
      <c r="S656">
        <f>HYPERLINK("https://klasma.github.io/Logging_0319/artfynd/A 19300-2024 artfynd.xlsx", "A 19300-2024")</f>
        <v/>
      </c>
      <c r="T656">
        <f>HYPERLINK("https://klasma.github.io/Logging_0319/kartor/A 19300-2024 karta.png", "A 19300-2024")</f>
        <v/>
      </c>
      <c r="V656">
        <f>HYPERLINK("https://klasma.github.io/Logging_0319/klagomål/A 19300-2024 FSC-klagomål.docx", "A 19300-2024")</f>
        <v/>
      </c>
      <c r="W656">
        <f>HYPERLINK("https://klasma.github.io/Logging_0319/klagomålsmail/A 19300-2024 FSC-klagomål mail.docx", "A 19300-2024")</f>
        <v/>
      </c>
      <c r="X656">
        <f>HYPERLINK("https://klasma.github.io/Logging_0319/tillsyn/A 19300-2024 tillsynsbegäran.docx", "A 19300-2024")</f>
        <v/>
      </c>
      <c r="Y656">
        <f>HYPERLINK("https://klasma.github.io/Logging_0319/tillsynsmail/A 19300-2024 tillsynsbegäran mail.docx", "A 19300-2024")</f>
        <v/>
      </c>
      <c r="Z656">
        <f>HYPERLINK("https://klasma.github.io/Logging_0319/fåglar/A 19300-2024 prioriterade fågelarter.docx", "A 19300-2024")</f>
        <v/>
      </c>
    </row>
    <row r="657" ht="15" customHeight="1">
      <c r="A657" t="inlineStr">
        <is>
          <t>A 19481-2024</t>
        </is>
      </c>
      <c r="B657" s="1" t="n">
        <v>45429</v>
      </c>
      <c r="C657" s="1" t="n">
        <v>45706</v>
      </c>
      <c r="D657" t="inlineStr">
        <is>
          <t>UPPSALA LÄN</t>
        </is>
      </c>
      <c r="E657" t="inlineStr">
        <is>
          <t>HEBY</t>
        </is>
      </c>
      <c r="G657" t="n">
        <v>15.7</v>
      </c>
      <c r="H657" t="n">
        <v>0</v>
      </c>
      <c r="I657" t="n">
        <v>0</v>
      </c>
      <c r="J657" t="n">
        <v>1</v>
      </c>
      <c r="K657" t="n">
        <v>0</v>
      </c>
      <c r="L657" t="n">
        <v>0</v>
      </c>
      <c r="M657" t="n">
        <v>0</v>
      </c>
      <c r="N657" t="n">
        <v>0</v>
      </c>
      <c r="O657" t="n">
        <v>1</v>
      </c>
      <c r="P657" t="n">
        <v>0</v>
      </c>
      <c r="Q657" t="n">
        <v>1</v>
      </c>
      <c r="R657" s="2" t="inlineStr">
        <is>
          <t>Ullticka</t>
        </is>
      </c>
      <c r="S657">
        <f>HYPERLINK("https://klasma.github.io/Logging_0331/artfynd/A 19481-2024 artfynd.xlsx", "A 19481-2024")</f>
        <v/>
      </c>
      <c r="T657">
        <f>HYPERLINK("https://klasma.github.io/Logging_0331/kartor/A 19481-2024 karta.png", "A 19481-2024")</f>
        <v/>
      </c>
      <c r="V657">
        <f>HYPERLINK("https://klasma.github.io/Logging_0331/klagomål/A 19481-2024 FSC-klagomål.docx", "A 19481-2024")</f>
        <v/>
      </c>
      <c r="W657">
        <f>HYPERLINK("https://klasma.github.io/Logging_0331/klagomålsmail/A 19481-2024 FSC-klagomål mail.docx", "A 19481-2024")</f>
        <v/>
      </c>
      <c r="X657">
        <f>HYPERLINK("https://klasma.github.io/Logging_0331/tillsyn/A 19481-2024 tillsynsbegäran.docx", "A 19481-2024")</f>
        <v/>
      </c>
      <c r="Y657">
        <f>HYPERLINK("https://klasma.github.io/Logging_0331/tillsynsmail/A 19481-2024 tillsynsbegäran mail.docx", "A 19481-2024")</f>
        <v/>
      </c>
    </row>
    <row r="658" ht="15" customHeight="1">
      <c r="A658" t="inlineStr">
        <is>
          <t>A 21671-2024</t>
        </is>
      </c>
      <c r="B658" s="1" t="n">
        <v>45442</v>
      </c>
      <c r="C658" s="1" t="n">
        <v>45706</v>
      </c>
      <c r="D658" t="inlineStr">
        <is>
          <t>UPPSALA LÄN</t>
        </is>
      </c>
      <c r="E658" t="inlineStr">
        <is>
          <t>UPPSALA</t>
        </is>
      </c>
      <c r="G658" t="n">
        <v>3.7</v>
      </c>
      <c r="H658" t="n">
        <v>1</v>
      </c>
      <c r="I658" t="n">
        <v>0</v>
      </c>
      <c r="J658" t="n">
        <v>0</v>
      </c>
      <c r="K658" t="n">
        <v>1</v>
      </c>
      <c r="L658" t="n">
        <v>0</v>
      </c>
      <c r="M658" t="n">
        <v>0</v>
      </c>
      <c r="N658" t="n">
        <v>0</v>
      </c>
      <c r="O658" t="n">
        <v>1</v>
      </c>
      <c r="P658" t="n">
        <v>1</v>
      </c>
      <c r="Q658" t="n">
        <v>1</v>
      </c>
      <c r="R658" s="2" t="inlineStr">
        <is>
          <t>Knärot</t>
        </is>
      </c>
      <c r="S658">
        <f>HYPERLINK("https://klasma.github.io/Logging_0380/artfynd/A 21671-2024 artfynd.xlsx", "A 21671-2024")</f>
        <v/>
      </c>
      <c r="T658">
        <f>HYPERLINK("https://klasma.github.io/Logging_0380/kartor/A 21671-2024 karta.png", "A 21671-2024")</f>
        <v/>
      </c>
      <c r="U658">
        <f>HYPERLINK("https://klasma.github.io/Logging_0380/knärot/A 21671-2024 karta knärot.png", "A 21671-2024")</f>
        <v/>
      </c>
      <c r="V658">
        <f>HYPERLINK("https://klasma.github.io/Logging_0380/klagomål/A 21671-2024 FSC-klagomål.docx", "A 21671-2024")</f>
        <v/>
      </c>
      <c r="W658">
        <f>HYPERLINK("https://klasma.github.io/Logging_0380/klagomålsmail/A 21671-2024 FSC-klagomål mail.docx", "A 21671-2024")</f>
        <v/>
      </c>
      <c r="X658">
        <f>HYPERLINK("https://klasma.github.io/Logging_0380/tillsyn/A 21671-2024 tillsynsbegäran.docx", "A 21671-2024")</f>
        <v/>
      </c>
      <c r="Y658">
        <f>HYPERLINK("https://klasma.github.io/Logging_0380/tillsynsmail/A 21671-2024 tillsynsbegäran mail.docx", "A 21671-2024")</f>
        <v/>
      </c>
    </row>
    <row r="659" ht="15" customHeight="1">
      <c r="A659" t="inlineStr">
        <is>
          <t>A 21700-2024</t>
        </is>
      </c>
      <c r="B659" s="1" t="n">
        <v>45442</v>
      </c>
      <c r="C659" s="1" t="n">
        <v>45706</v>
      </c>
      <c r="D659" t="inlineStr">
        <is>
          <t>UPPSALA LÄN</t>
        </is>
      </c>
      <c r="E659" t="inlineStr">
        <is>
          <t>ÄLVKARLEBY</t>
        </is>
      </c>
      <c r="F659" t="inlineStr">
        <is>
          <t>Bergvik skog väst AB</t>
        </is>
      </c>
      <c r="G659" t="n">
        <v>1.1</v>
      </c>
      <c r="H659" t="n">
        <v>0</v>
      </c>
      <c r="I659" t="n">
        <v>0</v>
      </c>
      <c r="J659" t="n">
        <v>0</v>
      </c>
      <c r="K659" t="n">
        <v>1</v>
      </c>
      <c r="L659" t="n">
        <v>0</v>
      </c>
      <c r="M659" t="n">
        <v>0</v>
      </c>
      <c r="N659" t="n">
        <v>0</v>
      </c>
      <c r="O659" t="n">
        <v>1</v>
      </c>
      <c r="P659" t="n">
        <v>1</v>
      </c>
      <c r="Q659" t="n">
        <v>1</v>
      </c>
      <c r="R659" s="2" t="inlineStr">
        <is>
          <t>Töcknig trymal</t>
        </is>
      </c>
      <c r="S659">
        <f>HYPERLINK("https://klasma.github.io/Logging_0319/artfynd/A 21700-2024 artfynd.xlsx", "A 21700-2024")</f>
        <v/>
      </c>
      <c r="T659">
        <f>HYPERLINK("https://klasma.github.io/Logging_0319/kartor/A 21700-2024 karta.png", "A 21700-2024")</f>
        <v/>
      </c>
      <c r="V659">
        <f>HYPERLINK("https://klasma.github.io/Logging_0319/klagomål/A 21700-2024 FSC-klagomål.docx", "A 21700-2024")</f>
        <v/>
      </c>
      <c r="W659">
        <f>HYPERLINK("https://klasma.github.io/Logging_0319/klagomålsmail/A 21700-2024 FSC-klagomål mail.docx", "A 21700-2024")</f>
        <v/>
      </c>
      <c r="X659">
        <f>HYPERLINK("https://klasma.github.io/Logging_0319/tillsyn/A 21700-2024 tillsynsbegäran.docx", "A 21700-2024")</f>
        <v/>
      </c>
      <c r="Y659">
        <f>HYPERLINK("https://klasma.github.io/Logging_0319/tillsynsmail/A 21700-2024 tillsynsbegäran mail.docx", "A 21700-2024")</f>
        <v/>
      </c>
    </row>
    <row r="660" ht="15" customHeight="1">
      <c r="A660" t="inlineStr">
        <is>
          <t>A 21831-2024</t>
        </is>
      </c>
      <c r="B660" s="1" t="n">
        <v>45442</v>
      </c>
      <c r="C660" s="1" t="n">
        <v>45706</v>
      </c>
      <c r="D660" t="inlineStr">
        <is>
          <t>UPPSALA LÄN</t>
        </is>
      </c>
      <c r="E660" t="inlineStr">
        <is>
          <t>KNIVSTA</t>
        </is>
      </c>
      <c r="G660" t="n">
        <v>4.5</v>
      </c>
      <c r="H660" t="n">
        <v>1</v>
      </c>
      <c r="I660" t="n">
        <v>0</v>
      </c>
      <c r="J660" t="n">
        <v>0</v>
      </c>
      <c r="K660" t="n">
        <v>0</v>
      </c>
      <c r="L660" t="n">
        <v>0</v>
      </c>
      <c r="M660" t="n">
        <v>0</v>
      </c>
      <c r="N660" t="n">
        <v>0</v>
      </c>
      <c r="O660" t="n">
        <v>0</v>
      </c>
      <c r="P660" t="n">
        <v>0</v>
      </c>
      <c r="Q660" t="n">
        <v>1</v>
      </c>
      <c r="R660" s="2" t="inlineStr">
        <is>
          <t>Blåsippa</t>
        </is>
      </c>
      <c r="S660">
        <f>HYPERLINK("https://klasma.github.io/Logging_0330/artfynd/A 21831-2024 artfynd.xlsx", "A 21831-2024")</f>
        <v/>
      </c>
      <c r="T660">
        <f>HYPERLINK("https://klasma.github.io/Logging_0330/kartor/A 21831-2024 karta.png", "A 21831-2024")</f>
        <v/>
      </c>
      <c r="V660">
        <f>HYPERLINK("https://klasma.github.io/Logging_0330/klagomål/A 21831-2024 FSC-klagomål.docx", "A 21831-2024")</f>
        <v/>
      </c>
      <c r="W660">
        <f>HYPERLINK("https://klasma.github.io/Logging_0330/klagomålsmail/A 21831-2024 FSC-klagomål mail.docx", "A 21831-2024")</f>
        <v/>
      </c>
      <c r="X660">
        <f>HYPERLINK("https://klasma.github.io/Logging_0330/tillsyn/A 21831-2024 tillsynsbegäran.docx", "A 21831-2024")</f>
        <v/>
      </c>
      <c r="Y660">
        <f>HYPERLINK("https://klasma.github.io/Logging_0330/tillsynsmail/A 21831-2024 tillsynsbegäran mail.docx", "A 21831-2024")</f>
        <v/>
      </c>
    </row>
    <row r="661" ht="15" customHeight="1">
      <c r="A661" t="inlineStr">
        <is>
          <t>A 22375-2024</t>
        </is>
      </c>
      <c r="B661" s="1" t="n">
        <v>45446</v>
      </c>
      <c r="C661" s="1" t="n">
        <v>45706</v>
      </c>
      <c r="D661" t="inlineStr">
        <is>
          <t>UPPSALA LÄN</t>
        </is>
      </c>
      <c r="E661" t="inlineStr">
        <is>
          <t>ÖSTHAMMAR</t>
        </is>
      </c>
      <c r="F661" t="inlineStr">
        <is>
          <t>Bergvik skog öst AB</t>
        </is>
      </c>
      <c r="G661" t="n">
        <v>2.2</v>
      </c>
      <c r="H661" t="n">
        <v>0</v>
      </c>
      <c r="I661" t="n">
        <v>0</v>
      </c>
      <c r="J661" t="n">
        <v>1</v>
      </c>
      <c r="K661" t="n">
        <v>0</v>
      </c>
      <c r="L661" t="n">
        <v>0</v>
      </c>
      <c r="M661" t="n">
        <v>0</v>
      </c>
      <c r="N661" t="n">
        <v>0</v>
      </c>
      <c r="O661" t="n">
        <v>1</v>
      </c>
      <c r="P661" t="n">
        <v>0</v>
      </c>
      <c r="Q661" t="n">
        <v>1</v>
      </c>
      <c r="R661" s="2" t="inlineStr">
        <is>
          <t>Slåtterfibbla</t>
        </is>
      </c>
      <c r="S661">
        <f>HYPERLINK("https://klasma.github.io/Logging_0382/artfynd/A 22375-2024 artfynd.xlsx", "A 22375-2024")</f>
        <v/>
      </c>
      <c r="T661">
        <f>HYPERLINK("https://klasma.github.io/Logging_0382/kartor/A 22375-2024 karta.png", "A 22375-2024")</f>
        <v/>
      </c>
      <c r="V661">
        <f>HYPERLINK("https://klasma.github.io/Logging_0382/klagomål/A 22375-2024 FSC-klagomål.docx", "A 22375-2024")</f>
        <v/>
      </c>
      <c r="W661">
        <f>HYPERLINK("https://klasma.github.io/Logging_0382/klagomålsmail/A 22375-2024 FSC-klagomål mail.docx", "A 22375-2024")</f>
        <v/>
      </c>
      <c r="X661">
        <f>HYPERLINK("https://klasma.github.io/Logging_0382/tillsyn/A 22375-2024 tillsynsbegäran.docx", "A 22375-2024")</f>
        <v/>
      </c>
      <c r="Y661">
        <f>HYPERLINK("https://klasma.github.io/Logging_0382/tillsynsmail/A 22375-2024 tillsynsbegäran mail.docx", "A 22375-2024")</f>
        <v/>
      </c>
    </row>
    <row r="662" ht="15" customHeight="1">
      <c r="A662" t="inlineStr">
        <is>
          <t>A 23321-2024</t>
        </is>
      </c>
      <c r="B662" s="1" t="n">
        <v>45453</v>
      </c>
      <c r="C662" s="1" t="n">
        <v>45706</v>
      </c>
      <c r="D662" t="inlineStr">
        <is>
          <t>UPPSALA LÄN</t>
        </is>
      </c>
      <c r="E662" t="inlineStr">
        <is>
          <t>UPPSALA</t>
        </is>
      </c>
      <c r="G662" t="n">
        <v>11.8</v>
      </c>
      <c r="H662" t="n">
        <v>1</v>
      </c>
      <c r="I662" t="n">
        <v>0</v>
      </c>
      <c r="J662" t="n">
        <v>1</v>
      </c>
      <c r="K662" t="n">
        <v>0</v>
      </c>
      <c r="L662" t="n">
        <v>0</v>
      </c>
      <c r="M662" t="n">
        <v>0</v>
      </c>
      <c r="N662" t="n">
        <v>0</v>
      </c>
      <c r="O662" t="n">
        <v>1</v>
      </c>
      <c r="P662" t="n">
        <v>0</v>
      </c>
      <c r="Q662" t="n">
        <v>1</v>
      </c>
      <c r="R662" s="2" t="inlineStr">
        <is>
          <t>Talltita</t>
        </is>
      </c>
      <c r="S662">
        <f>HYPERLINK("https://klasma.github.io/Logging_0380/artfynd/A 23321-2024 artfynd.xlsx", "A 23321-2024")</f>
        <v/>
      </c>
      <c r="T662">
        <f>HYPERLINK("https://klasma.github.io/Logging_0380/kartor/A 23321-2024 karta.png", "A 23321-2024")</f>
        <v/>
      </c>
      <c r="U662">
        <f>HYPERLINK("https://klasma.github.io/Logging_0380/knärot/A 23321-2024 karta knärot.png", "A 23321-2024")</f>
        <v/>
      </c>
      <c r="V662">
        <f>HYPERLINK("https://klasma.github.io/Logging_0380/klagomål/A 23321-2024 FSC-klagomål.docx", "A 23321-2024")</f>
        <v/>
      </c>
      <c r="W662">
        <f>HYPERLINK("https://klasma.github.io/Logging_0380/klagomålsmail/A 23321-2024 FSC-klagomål mail.docx", "A 23321-2024")</f>
        <v/>
      </c>
      <c r="X662">
        <f>HYPERLINK("https://klasma.github.io/Logging_0380/tillsyn/A 23321-2024 tillsynsbegäran.docx", "A 23321-2024")</f>
        <v/>
      </c>
      <c r="Y662">
        <f>HYPERLINK("https://klasma.github.io/Logging_0380/tillsynsmail/A 23321-2024 tillsynsbegäran mail.docx", "A 23321-2024")</f>
        <v/>
      </c>
      <c r="Z662">
        <f>HYPERLINK("https://klasma.github.io/Logging_0380/fåglar/A 23321-2024 prioriterade fågelarter.docx", "A 23321-2024")</f>
        <v/>
      </c>
    </row>
    <row r="663" ht="15" customHeight="1">
      <c r="A663" t="inlineStr">
        <is>
          <t>A 23384-2024</t>
        </is>
      </c>
      <c r="B663" s="1" t="n">
        <v>45453</v>
      </c>
      <c r="C663" s="1" t="n">
        <v>45706</v>
      </c>
      <c r="D663" t="inlineStr">
        <is>
          <t>UPPSALA LÄN</t>
        </is>
      </c>
      <c r="E663" t="inlineStr">
        <is>
          <t>HEBY</t>
        </is>
      </c>
      <c r="F663" t="inlineStr">
        <is>
          <t>Bergvik skog väst AB</t>
        </is>
      </c>
      <c r="G663" t="n">
        <v>30.3</v>
      </c>
      <c r="H663" t="n">
        <v>0</v>
      </c>
      <c r="I663" t="n">
        <v>1</v>
      </c>
      <c r="J663" t="n">
        <v>0</v>
      </c>
      <c r="K663" t="n">
        <v>0</v>
      </c>
      <c r="L663" t="n">
        <v>0</v>
      </c>
      <c r="M663" t="n">
        <v>0</v>
      </c>
      <c r="N663" t="n">
        <v>0</v>
      </c>
      <c r="O663" t="n">
        <v>0</v>
      </c>
      <c r="P663" t="n">
        <v>0</v>
      </c>
      <c r="Q663" t="n">
        <v>1</v>
      </c>
      <c r="R663" s="2" t="inlineStr">
        <is>
          <t>Grönpyrola</t>
        </is>
      </c>
      <c r="S663">
        <f>HYPERLINK("https://klasma.github.io/Logging_0331/artfynd/A 23384-2024 artfynd.xlsx", "A 23384-2024")</f>
        <v/>
      </c>
      <c r="T663">
        <f>HYPERLINK("https://klasma.github.io/Logging_0331/kartor/A 23384-2024 karta.png", "A 23384-2024")</f>
        <v/>
      </c>
      <c r="V663">
        <f>HYPERLINK("https://klasma.github.io/Logging_0331/klagomål/A 23384-2024 FSC-klagomål.docx", "A 23384-2024")</f>
        <v/>
      </c>
      <c r="W663">
        <f>HYPERLINK("https://klasma.github.io/Logging_0331/klagomålsmail/A 23384-2024 FSC-klagomål mail.docx", "A 23384-2024")</f>
        <v/>
      </c>
      <c r="X663">
        <f>HYPERLINK("https://klasma.github.io/Logging_0331/tillsyn/A 23384-2024 tillsynsbegäran.docx", "A 23384-2024")</f>
        <v/>
      </c>
      <c r="Y663">
        <f>HYPERLINK("https://klasma.github.io/Logging_0331/tillsynsmail/A 23384-2024 tillsynsbegäran mail.docx", "A 23384-2024")</f>
        <v/>
      </c>
    </row>
    <row r="664" ht="15" customHeight="1">
      <c r="A664" t="inlineStr">
        <is>
          <t>A 24221-2024</t>
        </is>
      </c>
      <c r="B664" s="1" t="n">
        <v>45457</v>
      </c>
      <c r="C664" s="1" t="n">
        <v>45706</v>
      </c>
      <c r="D664" t="inlineStr">
        <is>
          <t>UPPSALA LÄN</t>
        </is>
      </c>
      <c r="E664" t="inlineStr">
        <is>
          <t>TIERP</t>
        </is>
      </c>
      <c r="G664" t="n">
        <v>7.9</v>
      </c>
      <c r="H664" t="n">
        <v>1</v>
      </c>
      <c r="I664" t="n">
        <v>1</v>
      </c>
      <c r="J664" t="n">
        <v>0</v>
      </c>
      <c r="K664" t="n">
        <v>0</v>
      </c>
      <c r="L664" t="n">
        <v>0</v>
      </c>
      <c r="M664" t="n">
        <v>0</v>
      </c>
      <c r="N664" t="n">
        <v>0</v>
      </c>
      <c r="O664" t="n">
        <v>0</v>
      </c>
      <c r="P664" t="n">
        <v>0</v>
      </c>
      <c r="Q664" t="n">
        <v>1</v>
      </c>
      <c r="R664" s="2" t="inlineStr">
        <is>
          <t>Skogsknipprot</t>
        </is>
      </c>
      <c r="S664">
        <f>HYPERLINK("https://klasma.github.io/Logging_0360/artfynd/A 24221-2024 artfynd.xlsx", "A 24221-2024")</f>
        <v/>
      </c>
      <c r="T664">
        <f>HYPERLINK("https://klasma.github.io/Logging_0360/kartor/A 24221-2024 karta.png", "A 24221-2024")</f>
        <v/>
      </c>
      <c r="V664">
        <f>HYPERLINK("https://klasma.github.io/Logging_0360/klagomål/A 24221-2024 FSC-klagomål.docx", "A 24221-2024")</f>
        <v/>
      </c>
      <c r="W664">
        <f>HYPERLINK("https://klasma.github.io/Logging_0360/klagomålsmail/A 24221-2024 FSC-klagomål mail.docx", "A 24221-2024")</f>
        <v/>
      </c>
      <c r="X664">
        <f>HYPERLINK("https://klasma.github.io/Logging_0360/tillsyn/A 24221-2024 tillsynsbegäran.docx", "A 24221-2024")</f>
        <v/>
      </c>
      <c r="Y664">
        <f>HYPERLINK("https://klasma.github.io/Logging_0360/tillsynsmail/A 24221-2024 tillsynsbegäran mail.docx", "A 24221-2024")</f>
        <v/>
      </c>
    </row>
    <row r="665" ht="15" customHeight="1">
      <c r="A665" t="inlineStr">
        <is>
          <t>A 25482-2024</t>
        </is>
      </c>
      <c r="B665" s="1" t="n">
        <v>45463</v>
      </c>
      <c r="C665" s="1" t="n">
        <v>45706</v>
      </c>
      <c r="D665" t="inlineStr">
        <is>
          <t>UPPSALA LÄN</t>
        </is>
      </c>
      <c r="E665" t="inlineStr">
        <is>
          <t>UPPSALA</t>
        </is>
      </c>
      <c r="F665" t="inlineStr">
        <is>
          <t>Övriga Aktiebolag</t>
        </is>
      </c>
      <c r="G665" t="n">
        <v>1</v>
      </c>
      <c r="H665" t="n">
        <v>0</v>
      </c>
      <c r="I665" t="n">
        <v>1</v>
      </c>
      <c r="J665" t="n">
        <v>0</v>
      </c>
      <c r="K665" t="n">
        <v>0</v>
      </c>
      <c r="L665" t="n">
        <v>0</v>
      </c>
      <c r="M665" t="n">
        <v>0</v>
      </c>
      <c r="N665" t="n">
        <v>0</v>
      </c>
      <c r="O665" t="n">
        <v>0</v>
      </c>
      <c r="P665" t="n">
        <v>0</v>
      </c>
      <c r="Q665" t="n">
        <v>1</v>
      </c>
      <c r="R665" s="2" t="inlineStr">
        <is>
          <t>Stor aspticka</t>
        </is>
      </c>
      <c r="S665">
        <f>HYPERLINK("https://klasma.github.io/Logging_0380/artfynd/A 25482-2024 artfynd.xlsx", "A 25482-2024")</f>
        <v/>
      </c>
      <c r="T665">
        <f>HYPERLINK("https://klasma.github.io/Logging_0380/kartor/A 25482-2024 karta.png", "A 25482-2024")</f>
        <v/>
      </c>
      <c r="V665">
        <f>HYPERLINK("https://klasma.github.io/Logging_0380/klagomål/A 25482-2024 FSC-klagomål.docx", "A 25482-2024")</f>
        <v/>
      </c>
      <c r="W665">
        <f>HYPERLINK("https://klasma.github.io/Logging_0380/klagomålsmail/A 25482-2024 FSC-klagomål mail.docx", "A 25482-2024")</f>
        <v/>
      </c>
      <c r="X665">
        <f>HYPERLINK("https://klasma.github.io/Logging_0380/tillsyn/A 25482-2024 tillsynsbegäran.docx", "A 25482-2024")</f>
        <v/>
      </c>
      <c r="Y665">
        <f>HYPERLINK("https://klasma.github.io/Logging_0380/tillsynsmail/A 25482-2024 tillsynsbegäran mail.docx", "A 25482-2024")</f>
        <v/>
      </c>
    </row>
    <row r="666" ht="15" customHeight="1">
      <c r="A666" t="inlineStr">
        <is>
          <t>A 25729-2024</t>
        </is>
      </c>
      <c r="B666" s="1" t="n">
        <v>45464</v>
      </c>
      <c r="C666" s="1" t="n">
        <v>45706</v>
      </c>
      <c r="D666" t="inlineStr">
        <is>
          <t>UPPSALA LÄN</t>
        </is>
      </c>
      <c r="E666" t="inlineStr">
        <is>
          <t>UPPSALA</t>
        </is>
      </c>
      <c r="G666" t="n">
        <v>22.3</v>
      </c>
      <c r="H666" t="n">
        <v>0</v>
      </c>
      <c r="I666" t="n">
        <v>0</v>
      </c>
      <c r="J666" t="n">
        <v>1</v>
      </c>
      <c r="K666" t="n">
        <v>0</v>
      </c>
      <c r="L666" t="n">
        <v>0</v>
      </c>
      <c r="M666" t="n">
        <v>0</v>
      </c>
      <c r="N666" t="n">
        <v>0</v>
      </c>
      <c r="O666" t="n">
        <v>1</v>
      </c>
      <c r="P666" t="n">
        <v>0</v>
      </c>
      <c r="Q666" t="n">
        <v>1</v>
      </c>
      <c r="R666" s="2" t="inlineStr">
        <is>
          <t>Ullticka</t>
        </is>
      </c>
      <c r="S666">
        <f>HYPERLINK("https://klasma.github.io/Logging_0380/artfynd/A 25729-2024 artfynd.xlsx", "A 25729-2024")</f>
        <v/>
      </c>
      <c r="T666">
        <f>HYPERLINK("https://klasma.github.io/Logging_0380/kartor/A 25729-2024 karta.png", "A 25729-2024")</f>
        <v/>
      </c>
      <c r="V666">
        <f>HYPERLINK("https://klasma.github.io/Logging_0380/klagomål/A 25729-2024 FSC-klagomål.docx", "A 25729-2024")</f>
        <v/>
      </c>
      <c r="W666">
        <f>HYPERLINK("https://klasma.github.io/Logging_0380/klagomålsmail/A 25729-2024 FSC-klagomål mail.docx", "A 25729-2024")</f>
        <v/>
      </c>
      <c r="X666">
        <f>HYPERLINK("https://klasma.github.io/Logging_0380/tillsyn/A 25729-2024 tillsynsbegäran.docx", "A 25729-2024")</f>
        <v/>
      </c>
      <c r="Y666">
        <f>HYPERLINK("https://klasma.github.io/Logging_0380/tillsynsmail/A 25729-2024 tillsynsbegäran mail.docx", "A 25729-2024")</f>
        <v/>
      </c>
    </row>
    <row r="667" ht="15" customHeight="1">
      <c r="A667" t="inlineStr">
        <is>
          <t>A 26598-2024</t>
        </is>
      </c>
      <c r="B667" s="1" t="n">
        <v>45469</v>
      </c>
      <c r="C667" s="1" t="n">
        <v>45706</v>
      </c>
      <c r="D667" t="inlineStr">
        <is>
          <t>UPPSALA LÄN</t>
        </is>
      </c>
      <c r="E667" t="inlineStr">
        <is>
          <t>HEBY</t>
        </is>
      </c>
      <c r="G667" t="n">
        <v>3.5</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26598-2024 artfynd.xlsx", "A 26598-2024")</f>
        <v/>
      </c>
      <c r="T667">
        <f>HYPERLINK("https://klasma.github.io/Logging_0331/kartor/A 26598-2024 karta.png", "A 26598-2024")</f>
        <v/>
      </c>
      <c r="V667">
        <f>HYPERLINK("https://klasma.github.io/Logging_0331/klagomål/A 26598-2024 FSC-klagomål.docx", "A 26598-2024")</f>
        <v/>
      </c>
      <c r="W667">
        <f>HYPERLINK("https://klasma.github.io/Logging_0331/klagomålsmail/A 26598-2024 FSC-klagomål mail.docx", "A 26598-2024")</f>
        <v/>
      </c>
      <c r="X667">
        <f>HYPERLINK("https://klasma.github.io/Logging_0331/tillsyn/A 26598-2024 tillsynsbegäran.docx", "A 26598-2024")</f>
        <v/>
      </c>
      <c r="Y667">
        <f>HYPERLINK("https://klasma.github.io/Logging_0331/tillsynsmail/A 26598-2024 tillsynsbegäran mail.docx", "A 26598-2024")</f>
        <v/>
      </c>
    </row>
    <row r="668" ht="15" customHeight="1">
      <c r="A668" t="inlineStr">
        <is>
          <t>A 26591-2024</t>
        </is>
      </c>
      <c r="B668" s="1" t="n">
        <v>45469</v>
      </c>
      <c r="C668" s="1" t="n">
        <v>45706</v>
      </c>
      <c r="D668" t="inlineStr">
        <is>
          <t>UPPSALA LÄN</t>
        </is>
      </c>
      <c r="E668" t="inlineStr">
        <is>
          <t>HEBY</t>
        </is>
      </c>
      <c r="G668" t="n">
        <v>3.7</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26591-2024 artfynd.xlsx", "A 26591-2024")</f>
        <v/>
      </c>
      <c r="T668">
        <f>HYPERLINK("https://klasma.github.io/Logging_0331/kartor/A 26591-2024 karta.png", "A 26591-2024")</f>
        <v/>
      </c>
      <c r="V668">
        <f>HYPERLINK("https://klasma.github.io/Logging_0331/klagomål/A 26591-2024 FSC-klagomål.docx", "A 26591-2024")</f>
        <v/>
      </c>
      <c r="W668">
        <f>HYPERLINK("https://klasma.github.io/Logging_0331/klagomålsmail/A 26591-2024 FSC-klagomål mail.docx", "A 26591-2024")</f>
        <v/>
      </c>
      <c r="X668">
        <f>HYPERLINK("https://klasma.github.io/Logging_0331/tillsyn/A 26591-2024 tillsynsbegäran.docx", "A 26591-2024")</f>
        <v/>
      </c>
      <c r="Y668">
        <f>HYPERLINK("https://klasma.github.io/Logging_0331/tillsynsmail/A 26591-2024 tillsynsbegäran mail.docx", "A 26591-2024")</f>
        <v/>
      </c>
    </row>
    <row r="669" ht="15" customHeight="1">
      <c r="A669" t="inlineStr">
        <is>
          <t>A 26471-2024</t>
        </is>
      </c>
      <c r="B669" s="1" t="n">
        <v>45469</v>
      </c>
      <c r="C669" s="1" t="n">
        <v>45706</v>
      </c>
      <c r="D669" t="inlineStr">
        <is>
          <t>UPPSALA LÄN</t>
        </is>
      </c>
      <c r="E669" t="inlineStr">
        <is>
          <t>ÄLVKARLEBY</t>
        </is>
      </c>
      <c r="F669" t="inlineStr">
        <is>
          <t>Bergvik skog väst AB</t>
        </is>
      </c>
      <c r="G669" t="n">
        <v>5.3</v>
      </c>
      <c r="H669" t="n">
        <v>1</v>
      </c>
      <c r="I669" t="n">
        <v>0</v>
      </c>
      <c r="J669" t="n">
        <v>1</v>
      </c>
      <c r="K669" t="n">
        <v>0</v>
      </c>
      <c r="L669" t="n">
        <v>0</v>
      </c>
      <c r="M669" t="n">
        <v>0</v>
      </c>
      <c r="N669" t="n">
        <v>0</v>
      </c>
      <c r="O669" t="n">
        <v>1</v>
      </c>
      <c r="P669" t="n">
        <v>0</v>
      </c>
      <c r="Q669" t="n">
        <v>1</v>
      </c>
      <c r="R669" s="2" t="inlineStr">
        <is>
          <t>Slaguggla</t>
        </is>
      </c>
      <c r="S669">
        <f>HYPERLINK("https://klasma.github.io/Logging_0319/artfynd/A 26471-2024 artfynd.xlsx", "A 26471-2024")</f>
        <v/>
      </c>
      <c r="T669">
        <f>HYPERLINK("https://klasma.github.io/Logging_0319/kartor/A 26471-2024 karta.png", "A 26471-2024")</f>
        <v/>
      </c>
      <c r="V669">
        <f>HYPERLINK("https://klasma.github.io/Logging_0319/klagomål/A 26471-2024 FSC-klagomål.docx", "A 26471-2024")</f>
        <v/>
      </c>
      <c r="W669">
        <f>HYPERLINK("https://klasma.github.io/Logging_0319/klagomålsmail/A 26471-2024 FSC-klagomål mail.docx", "A 26471-2024")</f>
        <v/>
      </c>
      <c r="X669">
        <f>HYPERLINK("https://klasma.github.io/Logging_0319/tillsyn/A 26471-2024 tillsynsbegäran.docx", "A 26471-2024")</f>
        <v/>
      </c>
      <c r="Y669">
        <f>HYPERLINK("https://klasma.github.io/Logging_0319/tillsynsmail/A 26471-2024 tillsynsbegäran mail.docx", "A 26471-2024")</f>
        <v/>
      </c>
      <c r="Z669">
        <f>HYPERLINK("https://klasma.github.io/Logging_0319/fåglar/A 26471-2024 prioriterade fågelarter.docx", "A 26471-2024")</f>
        <v/>
      </c>
    </row>
    <row r="670" ht="15" customHeight="1">
      <c r="A670" t="inlineStr">
        <is>
          <t>A 28847-2024</t>
        </is>
      </c>
      <c r="B670" s="1" t="n">
        <v>45478</v>
      </c>
      <c r="C670" s="1" t="n">
        <v>45706</v>
      </c>
      <c r="D670" t="inlineStr">
        <is>
          <t>UPPSALA LÄN</t>
        </is>
      </c>
      <c r="E670" t="inlineStr">
        <is>
          <t>ENKÖPING</t>
        </is>
      </c>
      <c r="G670" t="n">
        <v>3</v>
      </c>
      <c r="H670" t="n">
        <v>1</v>
      </c>
      <c r="I670" t="n">
        <v>0</v>
      </c>
      <c r="J670" t="n">
        <v>0</v>
      </c>
      <c r="K670" t="n">
        <v>0</v>
      </c>
      <c r="L670" t="n">
        <v>0</v>
      </c>
      <c r="M670" t="n">
        <v>0</v>
      </c>
      <c r="N670" t="n">
        <v>0</v>
      </c>
      <c r="O670" t="n">
        <v>0</v>
      </c>
      <c r="P670" t="n">
        <v>0</v>
      </c>
      <c r="Q670" t="n">
        <v>1</v>
      </c>
      <c r="R670" s="2" t="inlineStr">
        <is>
          <t>Revlummer</t>
        </is>
      </c>
      <c r="S670">
        <f>HYPERLINK("https://klasma.github.io/Logging_0381/artfynd/A 28847-2024 artfynd.xlsx", "A 28847-2024")</f>
        <v/>
      </c>
      <c r="T670">
        <f>HYPERLINK("https://klasma.github.io/Logging_0381/kartor/A 28847-2024 karta.png", "A 28847-2024")</f>
        <v/>
      </c>
      <c r="V670">
        <f>HYPERLINK("https://klasma.github.io/Logging_0381/klagomål/A 28847-2024 FSC-klagomål.docx", "A 28847-2024")</f>
        <v/>
      </c>
      <c r="W670">
        <f>HYPERLINK("https://klasma.github.io/Logging_0381/klagomålsmail/A 28847-2024 FSC-klagomål mail.docx", "A 28847-2024")</f>
        <v/>
      </c>
      <c r="X670">
        <f>HYPERLINK("https://klasma.github.io/Logging_0381/tillsyn/A 28847-2024 tillsynsbegäran.docx", "A 28847-2024")</f>
        <v/>
      </c>
      <c r="Y670">
        <f>HYPERLINK("https://klasma.github.io/Logging_0381/tillsynsmail/A 28847-2024 tillsynsbegäran mail.docx", "A 28847-2024")</f>
        <v/>
      </c>
    </row>
    <row r="671" ht="15" customHeight="1">
      <c r="A671" t="inlineStr">
        <is>
          <t>A 28900-2024</t>
        </is>
      </c>
      <c r="B671" s="1" t="n">
        <v>45480</v>
      </c>
      <c r="C671" s="1" t="n">
        <v>45706</v>
      </c>
      <c r="D671" t="inlineStr">
        <is>
          <t>UPPSALA LÄN</t>
        </is>
      </c>
      <c r="E671" t="inlineStr">
        <is>
          <t>ENKÖPING</t>
        </is>
      </c>
      <c r="G671" t="n">
        <v>8.6</v>
      </c>
      <c r="H671" t="n">
        <v>1</v>
      </c>
      <c r="I671" t="n">
        <v>0</v>
      </c>
      <c r="J671" t="n">
        <v>0</v>
      </c>
      <c r="K671" t="n">
        <v>0</v>
      </c>
      <c r="L671" t="n">
        <v>0</v>
      </c>
      <c r="M671" t="n">
        <v>0</v>
      </c>
      <c r="N671" t="n">
        <v>0</v>
      </c>
      <c r="O671" t="n">
        <v>0</v>
      </c>
      <c r="P671" t="n">
        <v>0</v>
      </c>
      <c r="Q671" t="n">
        <v>1</v>
      </c>
      <c r="R671" s="2" t="inlineStr">
        <is>
          <t>Blåsippa</t>
        </is>
      </c>
      <c r="S671">
        <f>HYPERLINK("https://klasma.github.io/Logging_0381/artfynd/A 28900-2024 artfynd.xlsx", "A 28900-2024")</f>
        <v/>
      </c>
      <c r="T671">
        <f>HYPERLINK("https://klasma.github.io/Logging_0381/kartor/A 28900-2024 karta.png", "A 28900-2024")</f>
        <v/>
      </c>
      <c r="V671">
        <f>HYPERLINK("https://klasma.github.io/Logging_0381/klagomål/A 28900-2024 FSC-klagomål.docx", "A 28900-2024")</f>
        <v/>
      </c>
      <c r="W671">
        <f>HYPERLINK("https://klasma.github.io/Logging_0381/klagomålsmail/A 28900-2024 FSC-klagomål mail.docx", "A 28900-2024")</f>
        <v/>
      </c>
      <c r="X671">
        <f>HYPERLINK("https://klasma.github.io/Logging_0381/tillsyn/A 28900-2024 tillsynsbegäran.docx", "A 28900-2024")</f>
        <v/>
      </c>
      <c r="Y671">
        <f>HYPERLINK("https://klasma.github.io/Logging_0381/tillsynsmail/A 28900-2024 tillsynsbegäran mail.docx", "A 28900-2024")</f>
        <v/>
      </c>
    </row>
    <row r="672" ht="15" customHeight="1">
      <c r="A672" t="inlineStr">
        <is>
          <t>A 29139-2024</t>
        </is>
      </c>
      <c r="B672" s="1" t="n">
        <v>45482</v>
      </c>
      <c r="C672" s="1" t="n">
        <v>45706</v>
      </c>
      <c r="D672" t="inlineStr">
        <is>
          <t>UPPSALA LÄN</t>
        </is>
      </c>
      <c r="E672" t="inlineStr">
        <is>
          <t>UPPSALA</t>
        </is>
      </c>
      <c r="F672" t="inlineStr">
        <is>
          <t>Allmännings- och besparingsskogar</t>
        </is>
      </c>
      <c r="G672" t="n">
        <v>26.4</v>
      </c>
      <c r="H672" t="n">
        <v>0</v>
      </c>
      <c r="I672" t="n">
        <v>0</v>
      </c>
      <c r="J672" t="n">
        <v>1</v>
      </c>
      <c r="K672" t="n">
        <v>0</v>
      </c>
      <c r="L672" t="n">
        <v>0</v>
      </c>
      <c r="M672" t="n">
        <v>0</v>
      </c>
      <c r="N672" t="n">
        <v>0</v>
      </c>
      <c r="O672" t="n">
        <v>1</v>
      </c>
      <c r="P672" t="n">
        <v>0</v>
      </c>
      <c r="Q672" t="n">
        <v>1</v>
      </c>
      <c r="R672" s="2" t="inlineStr">
        <is>
          <t>Granskugglöpare</t>
        </is>
      </c>
      <c r="S672">
        <f>HYPERLINK("https://klasma.github.io/Logging_0380/artfynd/A 29139-2024 artfynd.xlsx", "A 29139-2024")</f>
        <v/>
      </c>
      <c r="T672">
        <f>HYPERLINK("https://klasma.github.io/Logging_0380/kartor/A 29139-2024 karta.png", "A 29139-2024")</f>
        <v/>
      </c>
      <c r="V672">
        <f>HYPERLINK("https://klasma.github.io/Logging_0380/klagomål/A 29139-2024 FSC-klagomål.docx", "A 29139-2024")</f>
        <v/>
      </c>
      <c r="W672">
        <f>HYPERLINK("https://klasma.github.io/Logging_0380/klagomålsmail/A 29139-2024 FSC-klagomål mail.docx", "A 29139-2024")</f>
        <v/>
      </c>
      <c r="X672">
        <f>HYPERLINK("https://klasma.github.io/Logging_0380/tillsyn/A 29139-2024 tillsynsbegäran.docx", "A 29139-2024")</f>
        <v/>
      </c>
      <c r="Y672">
        <f>HYPERLINK("https://klasma.github.io/Logging_0380/tillsynsmail/A 29139-2024 tillsynsbegäran mail.docx", "A 29139-2024")</f>
        <v/>
      </c>
    </row>
    <row r="673" ht="15" customHeight="1">
      <c r="A673" t="inlineStr">
        <is>
          <t>A 30122-2024</t>
        </is>
      </c>
      <c r="B673" s="1" t="n">
        <v>45489</v>
      </c>
      <c r="C673" s="1" t="n">
        <v>45706</v>
      </c>
      <c r="D673" t="inlineStr">
        <is>
          <t>UPPSALA LÄN</t>
        </is>
      </c>
      <c r="E673" t="inlineStr">
        <is>
          <t>TIERP</t>
        </is>
      </c>
      <c r="G673" t="n">
        <v>3.4</v>
      </c>
      <c r="H673" t="n">
        <v>1</v>
      </c>
      <c r="I673" t="n">
        <v>1</v>
      </c>
      <c r="J673" t="n">
        <v>0</v>
      </c>
      <c r="K673" t="n">
        <v>0</v>
      </c>
      <c r="L673" t="n">
        <v>0</v>
      </c>
      <c r="M673" t="n">
        <v>0</v>
      </c>
      <c r="N673" t="n">
        <v>0</v>
      </c>
      <c r="O673" t="n">
        <v>0</v>
      </c>
      <c r="P673" t="n">
        <v>0</v>
      </c>
      <c r="Q673" t="n">
        <v>1</v>
      </c>
      <c r="R673" s="2" t="inlineStr">
        <is>
          <t>Nästrot</t>
        </is>
      </c>
      <c r="S673">
        <f>HYPERLINK("https://klasma.github.io/Logging_0360/artfynd/A 30122-2024 artfynd.xlsx", "A 30122-2024")</f>
        <v/>
      </c>
      <c r="T673">
        <f>HYPERLINK("https://klasma.github.io/Logging_0360/kartor/A 30122-2024 karta.png", "A 30122-2024")</f>
        <v/>
      </c>
      <c r="V673">
        <f>HYPERLINK("https://klasma.github.io/Logging_0360/klagomål/A 30122-2024 FSC-klagomål.docx", "A 30122-2024")</f>
        <v/>
      </c>
      <c r="W673">
        <f>HYPERLINK("https://klasma.github.io/Logging_0360/klagomålsmail/A 30122-2024 FSC-klagomål mail.docx", "A 30122-2024")</f>
        <v/>
      </c>
      <c r="X673">
        <f>HYPERLINK("https://klasma.github.io/Logging_0360/tillsyn/A 30122-2024 tillsynsbegäran.docx", "A 30122-2024")</f>
        <v/>
      </c>
      <c r="Y673">
        <f>HYPERLINK("https://klasma.github.io/Logging_0360/tillsynsmail/A 30122-2024 tillsynsbegäran mail.docx", "A 30122-2024")</f>
        <v/>
      </c>
    </row>
    <row r="674" ht="15" customHeight="1">
      <c r="A674" t="inlineStr">
        <is>
          <t>A 30510-2024</t>
        </is>
      </c>
      <c r="B674" s="1" t="n">
        <v>45492</v>
      </c>
      <c r="C674" s="1" t="n">
        <v>45706</v>
      </c>
      <c r="D674" t="inlineStr">
        <is>
          <t>UPPSALA LÄN</t>
        </is>
      </c>
      <c r="E674" t="inlineStr">
        <is>
          <t>TIERP</t>
        </is>
      </c>
      <c r="F674" t="inlineStr">
        <is>
          <t>Bergvik skog öst AB</t>
        </is>
      </c>
      <c r="G674" t="n">
        <v>4.9</v>
      </c>
      <c r="H674" t="n">
        <v>1</v>
      </c>
      <c r="I674" t="n">
        <v>0</v>
      </c>
      <c r="J674" t="n">
        <v>1</v>
      </c>
      <c r="K674" t="n">
        <v>0</v>
      </c>
      <c r="L674" t="n">
        <v>0</v>
      </c>
      <c r="M674" t="n">
        <v>0</v>
      </c>
      <c r="N674" t="n">
        <v>0</v>
      </c>
      <c r="O674" t="n">
        <v>1</v>
      </c>
      <c r="P674" t="n">
        <v>0</v>
      </c>
      <c r="Q674" t="n">
        <v>1</v>
      </c>
      <c r="R674" s="2" t="inlineStr">
        <is>
          <t>Gulsparv</t>
        </is>
      </c>
      <c r="S674">
        <f>HYPERLINK("https://klasma.github.io/Logging_0360/artfynd/A 30510-2024 artfynd.xlsx", "A 30510-2024")</f>
        <v/>
      </c>
      <c r="T674">
        <f>HYPERLINK("https://klasma.github.io/Logging_0360/kartor/A 30510-2024 karta.png", "A 30510-2024")</f>
        <v/>
      </c>
      <c r="V674">
        <f>HYPERLINK("https://klasma.github.io/Logging_0360/klagomål/A 30510-2024 FSC-klagomål.docx", "A 30510-2024")</f>
        <v/>
      </c>
      <c r="W674">
        <f>HYPERLINK("https://klasma.github.io/Logging_0360/klagomålsmail/A 30510-2024 FSC-klagomål mail.docx", "A 30510-2024")</f>
        <v/>
      </c>
      <c r="X674">
        <f>HYPERLINK("https://klasma.github.io/Logging_0360/tillsyn/A 30510-2024 tillsynsbegäran.docx", "A 30510-2024")</f>
        <v/>
      </c>
      <c r="Y674">
        <f>HYPERLINK("https://klasma.github.io/Logging_0360/tillsynsmail/A 30510-2024 tillsynsbegäran mail.docx", "A 30510-2024")</f>
        <v/>
      </c>
      <c r="Z674">
        <f>HYPERLINK("https://klasma.github.io/Logging_0360/fåglar/A 30510-2024 prioriterade fågelarter.docx", "A 30510-2024")</f>
        <v/>
      </c>
    </row>
    <row r="675" ht="15" customHeight="1">
      <c r="A675" t="inlineStr">
        <is>
          <t>A 31171-2024</t>
        </is>
      </c>
      <c r="B675" s="1" t="n">
        <v>45503</v>
      </c>
      <c r="C675" s="1" t="n">
        <v>45706</v>
      </c>
      <c r="D675" t="inlineStr">
        <is>
          <t>UPPSALA LÄN</t>
        </is>
      </c>
      <c r="E675" t="inlineStr">
        <is>
          <t>HEBY</t>
        </is>
      </c>
      <c r="G675" t="n">
        <v>6.8</v>
      </c>
      <c r="H675" t="n">
        <v>0</v>
      </c>
      <c r="I675" t="n">
        <v>0</v>
      </c>
      <c r="J675" t="n">
        <v>1</v>
      </c>
      <c r="K675" t="n">
        <v>0</v>
      </c>
      <c r="L675" t="n">
        <v>0</v>
      </c>
      <c r="M675" t="n">
        <v>0</v>
      </c>
      <c r="N675" t="n">
        <v>0</v>
      </c>
      <c r="O675" t="n">
        <v>1</v>
      </c>
      <c r="P675" t="n">
        <v>0</v>
      </c>
      <c r="Q675" t="n">
        <v>1</v>
      </c>
      <c r="R675" s="2" t="inlineStr">
        <is>
          <t>Motaggsvamp</t>
        </is>
      </c>
      <c r="S675">
        <f>HYPERLINK("https://klasma.github.io/Logging_0331/artfynd/A 31171-2024 artfynd.xlsx", "A 31171-2024")</f>
        <v/>
      </c>
      <c r="T675">
        <f>HYPERLINK("https://klasma.github.io/Logging_0331/kartor/A 31171-2024 karta.png", "A 31171-2024")</f>
        <v/>
      </c>
      <c r="V675">
        <f>HYPERLINK("https://klasma.github.io/Logging_0331/klagomål/A 31171-2024 FSC-klagomål.docx", "A 31171-2024")</f>
        <v/>
      </c>
      <c r="W675">
        <f>HYPERLINK("https://klasma.github.io/Logging_0331/klagomålsmail/A 31171-2024 FSC-klagomål mail.docx", "A 31171-2024")</f>
        <v/>
      </c>
      <c r="X675">
        <f>HYPERLINK("https://klasma.github.io/Logging_0331/tillsyn/A 31171-2024 tillsynsbegäran.docx", "A 31171-2024")</f>
        <v/>
      </c>
      <c r="Y675">
        <f>HYPERLINK("https://klasma.github.io/Logging_0331/tillsynsmail/A 31171-2024 tillsynsbegäran mail.docx", "A 31171-2024")</f>
        <v/>
      </c>
    </row>
    <row r="676" ht="15" customHeight="1">
      <c r="A676" t="inlineStr">
        <is>
          <t>A 31781-2024</t>
        </is>
      </c>
      <c r="B676" s="1" t="n">
        <v>45509</v>
      </c>
      <c r="C676" s="1" t="n">
        <v>45706</v>
      </c>
      <c r="D676" t="inlineStr">
        <is>
          <t>UPPSALA LÄN</t>
        </is>
      </c>
      <c r="E676" t="inlineStr">
        <is>
          <t>HEBY</t>
        </is>
      </c>
      <c r="G676" t="n">
        <v>2.4</v>
      </c>
      <c r="H676" t="n">
        <v>0</v>
      </c>
      <c r="I676" t="n">
        <v>0</v>
      </c>
      <c r="J676" t="n">
        <v>1</v>
      </c>
      <c r="K676" t="n">
        <v>0</v>
      </c>
      <c r="L676" t="n">
        <v>0</v>
      </c>
      <c r="M676" t="n">
        <v>0</v>
      </c>
      <c r="N676" t="n">
        <v>0</v>
      </c>
      <c r="O676" t="n">
        <v>1</v>
      </c>
      <c r="P676" t="n">
        <v>0</v>
      </c>
      <c r="Q676" t="n">
        <v>1</v>
      </c>
      <c r="R676" s="2" t="inlineStr">
        <is>
          <t>Motaggsvamp</t>
        </is>
      </c>
      <c r="S676">
        <f>HYPERLINK("https://klasma.github.io/Logging_0331/artfynd/A 31781-2024 artfynd.xlsx", "A 31781-2024")</f>
        <v/>
      </c>
      <c r="T676">
        <f>HYPERLINK("https://klasma.github.io/Logging_0331/kartor/A 31781-2024 karta.png", "A 31781-2024")</f>
        <v/>
      </c>
      <c r="V676">
        <f>HYPERLINK("https://klasma.github.io/Logging_0331/klagomål/A 31781-2024 FSC-klagomål.docx", "A 31781-2024")</f>
        <v/>
      </c>
      <c r="W676">
        <f>HYPERLINK("https://klasma.github.io/Logging_0331/klagomålsmail/A 31781-2024 FSC-klagomål mail.docx", "A 31781-2024")</f>
        <v/>
      </c>
      <c r="X676">
        <f>HYPERLINK("https://klasma.github.io/Logging_0331/tillsyn/A 31781-2024 tillsynsbegäran.docx", "A 31781-2024")</f>
        <v/>
      </c>
      <c r="Y676">
        <f>HYPERLINK("https://klasma.github.io/Logging_0331/tillsynsmail/A 31781-2024 tillsynsbegäran mail.docx", "A 31781-2024")</f>
        <v/>
      </c>
    </row>
    <row r="677" ht="15" customHeight="1">
      <c r="A677" t="inlineStr">
        <is>
          <t>A 32694-2024</t>
        </is>
      </c>
      <c r="B677" s="1" t="n">
        <v>45516</v>
      </c>
      <c r="C677" s="1" t="n">
        <v>45706</v>
      </c>
      <c r="D677" t="inlineStr">
        <is>
          <t>UPPSALA LÄN</t>
        </is>
      </c>
      <c r="E677" t="inlineStr">
        <is>
          <t>ENKÖPING</t>
        </is>
      </c>
      <c r="G677" t="n">
        <v>5.6</v>
      </c>
      <c r="H677" t="n">
        <v>1</v>
      </c>
      <c r="I677" t="n">
        <v>0</v>
      </c>
      <c r="J677" t="n">
        <v>0</v>
      </c>
      <c r="K677" t="n">
        <v>1</v>
      </c>
      <c r="L677" t="n">
        <v>0</v>
      </c>
      <c r="M677" t="n">
        <v>0</v>
      </c>
      <c r="N677" t="n">
        <v>0</v>
      </c>
      <c r="O677" t="n">
        <v>1</v>
      </c>
      <c r="P677" t="n">
        <v>1</v>
      </c>
      <c r="Q677" t="n">
        <v>1</v>
      </c>
      <c r="R677" s="2" t="inlineStr">
        <is>
          <t>Knärot</t>
        </is>
      </c>
      <c r="S677">
        <f>HYPERLINK("https://klasma.github.io/Logging_0381/artfynd/A 32694-2024 artfynd.xlsx", "A 32694-2024")</f>
        <v/>
      </c>
      <c r="T677">
        <f>HYPERLINK("https://klasma.github.io/Logging_0381/kartor/A 32694-2024 karta.png", "A 32694-2024")</f>
        <v/>
      </c>
      <c r="U677">
        <f>HYPERLINK("https://klasma.github.io/Logging_0381/knärot/A 32694-2024 karta knärot.png", "A 32694-2024")</f>
        <v/>
      </c>
      <c r="V677">
        <f>HYPERLINK("https://klasma.github.io/Logging_0381/klagomål/A 32694-2024 FSC-klagomål.docx", "A 32694-2024")</f>
        <v/>
      </c>
      <c r="W677">
        <f>HYPERLINK("https://klasma.github.io/Logging_0381/klagomålsmail/A 32694-2024 FSC-klagomål mail.docx", "A 32694-2024")</f>
        <v/>
      </c>
      <c r="X677">
        <f>HYPERLINK("https://klasma.github.io/Logging_0381/tillsyn/A 32694-2024 tillsynsbegäran.docx", "A 32694-2024")</f>
        <v/>
      </c>
      <c r="Y677">
        <f>HYPERLINK("https://klasma.github.io/Logging_0381/tillsynsmail/A 32694-2024 tillsynsbegäran mail.docx", "A 32694-2024")</f>
        <v/>
      </c>
    </row>
    <row r="678" ht="15" customHeight="1">
      <c r="A678" t="inlineStr">
        <is>
          <t>A 33339-2024</t>
        </is>
      </c>
      <c r="B678" s="1" t="n">
        <v>45519</v>
      </c>
      <c r="C678" s="1" t="n">
        <v>45706</v>
      </c>
      <c r="D678" t="inlineStr">
        <is>
          <t>UPPSALA LÄN</t>
        </is>
      </c>
      <c r="E678" t="inlineStr">
        <is>
          <t>ENKÖPING</t>
        </is>
      </c>
      <c r="G678" t="n">
        <v>2.3</v>
      </c>
      <c r="H678" t="n">
        <v>0</v>
      </c>
      <c r="I678" t="n">
        <v>0</v>
      </c>
      <c r="J678" t="n">
        <v>1</v>
      </c>
      <c r="K678" t="n">
        <v>0</v>
      </c>
      <c r="L678" t="n">
        <v>0</v>
      </c>
      <c r="M678" t="n">
        <v>0</v>
      </c>
      <c r="N678" t="n">
        <v>0</v>
      </c>
      <c r="O678" t="n">
        <v>1</v>
      </c>
      <c r="P678" t="n">
        <v>0</v>
      </c>
      <c r="Q678" t="n">
        <v>1</v>
      </c>
      <c r="R678" s="2" t="inlineStr">
        <is>
          <t>Ullticka</t>
        </is>
      </c>
      <c r="S678">
        <f>HYPERLINK("https://klasma.github.io/Logging_0381/artfynd/A 33339-2024 artfynd.xlsx", "A 33339-2024")</f>
        <v/>
      </c>
      <c r="T678">
        <f>HYPERLINK("https://klasma.github.io/Logging_0381/kartor/A 33339-2024 karta.png", "A 33339-2024")</f>
        <v/>
      </c>
      <c r="V678">
        <f>HYPERLINK("https://klasma.github.io/Logging_0381/klagomål/A 33339-2024 FSC-klagomål.docx", "A 33339-2024")</f>
        <v/>
      </c>
      <c r="W678">
        <f>HYPERLINK("https://klasma.github.io/Logging_0381/klagomålsmail/A 33339-2024 FSC-klagomål mail.docx", "A 33339-2024")</f>
        <v/>
      </c>
      <c r="X678">
        <f>HYPERLINK("https://klasma.github.io/Logging_0381/tillsyn/A 33339-2024 tillsynsbegäran.docx", "A 33339-2024")</f>
        <v/>
      </c>
      <c r="Y678">
        <f>HYPERLINK("https://klasma.github.io/Logging_0381/tillsynsmail/A 33339-2024 tillsynsbegäran mail.docx", "A 33339-2024")</f>
        <v/>
      </c>
    </row>
    <row r="679" ht="15" customHeight="1">
      <c r="A679" t="inlineStr">
        <is>
          <t>A 33775-2024</t>
        </is>
      </c>
      <c r="B679" s="1" t="n">
        <v>45520</v>
      </c>
      <c r="C679" s="1" t="n">
        <v>45706</v>
      </c>
      <c r="D679" t="inlineStr">
        <is>
          <t>UPPSALA LÄN</t>
        </is>
      </c>
      <c r="E679" t="inlineStr">
        <is>
          <t>ÄLVKARLEBY</t>
        </is>
      </c>
      <c r="F679" t="inlineStr">
        <is>
          <t>Bergvik skog väst AB</t>
        </is>
      </c>
      <c r="G679" t="n">
        <v>5.6</v>
      </c>
      <c r="H679" t="n">
        <v>0</v>
      </c>
      <c r="I679" t="n">
        <v>1</v>
      </c>
      <c r="J679" t="n">
        <v>0</v>
      </c>
      <c r="K679" t="n">
        <v>0</v>
      </c>
      <c r="L679" t="n">
        <v>0</v>
      </c>
      <c r="M679" t="n">
        <v>0</v>
      </c>
      <c r="N679" t="n">
        <v>0</v>
      </c>
      <c r="O679" t="n">
        <v>0</v>
      </c>
      <c r="P679" t="n">
        <v>0</v>
      </c>
      <c r="Q679" t="n">
        <v>1</v>
      </c>
      <c r="R679" s="2" t="inlineStr">
        <is>
          <t>Tibast</t>
        </is>
      </c>
      <c r="S679">
        <f>HYPERLINK("https://klasma.github.io/Logging_0319/artfynd/A 33775-2024 artfynd.xlsx", "A 33775-2024")</f>
        <v/>
      </c>
      <c r="T679">
        <f>HYPERLINK("https://klasma.github.io/Logging_0319/kartor/A 33775-2024 karta.png", "A 33775-2024")</f>
        <v/>
      </c>
      <c r="V679">
        <f>HYPERLINK("https://klasma.github.io/Logging_0319/klagomål/A 33775-2024 FSC-klagomål.docx", "A 33775-2024")</f>
        <v/>
      </c>
      <c r="W679">
        <f>HYPERLINK("https://klasma.github.io/Logging_0319/klagomålsmail/A 33775-2024 FSC-klagomål mail.docx", "A 33775-2024")</f>
        <v/>
      </c>
      <c r="X679">
        <f>HYPERLINK("https://klasma.github.io/Logging_0319/tillsyn/A 33775-2024 tillsynsbegäran.docx", "A 33775-2024")</f>
        <v/>
      </c>
      <c r="Y679">
        <f>HYPERLINK("https://klasma.github.io/Logging_0319/tillsynsmail/A 33775-2024 tillsynsbegäran mail.docx", "A 33775-2024")</f>
        <v/>
      </c>
    </row>
    <row r="680" ht="15" customHeight="1">
      <c r="A680" t="inlineStr">
        <is>
          <t>A 33796-2024</t>
        </is>
      </c>
      <c r="B680" s="1" t="n">
        <v>45520</v>
      </c>
      <c r="C680" s="1" t="n">
        <v>45706</v>
      </c>
      <c r="D680" t="inlineStr">
        <is>
          <t>UPPSALA LÄN</t>
        </is>
      </c>
      <c r="E680" t="inlineStr">
        <is>
          <t>ÄLVKARLEBY</t>
        </is>
      </c>
      <c r="F680" t="inlineStr">
        <is>
          <t>Bergvik skog väst AB</t>
        </is>
      </c>
      <c r="G680" t="n">
        <v>4.6</v>
      </c>
      <c r="H680" t="n">
        <v>1</v>
      </c>
      <c r="I680" t="n">
        <v>0</v>
      </c>
      <c r="J680" t="n">
        <v>0</v>
      </c>
      <c r="K680" t="n">
        <v>0</v>
      </c>
      <c r="L680" t="n">
        <v>0</v>
      </c>
      <c r="M680" t="n">
        <v>0</v>
      </c>
      <c r="N680" t="n">
        <v>0</v>
      </c>
      <c r="O680" t="n">
        <v>0</v>
      </c>
      <c r="P680" t="n">
        <v>0</v>
      </c>
      <c r="Q680" t="n">
        <v>1</v>
      </c>
      <c r="R680" s="2" t="inlineStr">
        <is>
          <t>Revlummer</t>
        </is>
      </c>
      <c r="S680">
        <f>HYPERLINK("https://klasma.github.io/Logging_0319/artfynd/A 33796-2024 artfynd.xlsx", "A 33796-2024")</f>
        <v/>
      </c>
      <c r="T680">
        <f>HYPERLINK("https://klasma.github.io/Logging_0319/kartor/A 33796-2024 karta.png", "A 33796-2024")</f>
        <v/>
      </c>
      <c r="V680">
        <f>HYPERLINK("https://klasma.github.io/Logging_0319/klagomål/A 33796-2024 FSC-klagomål.docx", "A 33796-2024")</f>
        <v/>
      </c>
      <c r="W680">
        <f>HYPERLINK("https://klasma.github.io/Logging_0319/klagomålsmail/A 33796-2024 FSC-klagomål mail.docx", "A 33796-2024")</f>
        <v/>
      </c>
      <c r="X680">
        <f>HYPERLINK("https://klasma.github.io/Logging_0319/tillsyn/A 33796-2024 tillsynsbegäran.docx", "A 33796-2024")</f>
        <v/>
      </c>
      <c r="Y680">
        <f>HYPERLINK("https://klasma.github.io/Logging_0319/tillsynsmail/A 33796-2024 tillsynsbegäran mail.docx", "A 33796-2024")</f>
        <v/>
      </c>
    </row>
    <row r="681" ht="15" customHeight="1">
      <c r="A681" t="inlineStr">
        <is>
          <t>A 34159-2024</t>
        </is>
      </c>
      <c r="B681" s="1" t="n">
        <v>45524</v>
      </c>
      <c r="C681" s="1" t="n">
        <v>45706</v>
      </c>
      <c r="D681" t="inlineStr">
        <is>
          <t>UPPSALA LÄN</t>
        </is>
      </c>
      <c r="E681" t="inlineStr">
        <is>
          <t>UPPSALA</t>
        </is>
      </c>
      <c r="G681" t="n">
        <v>3.7</v>
      </c>
      <c r="H681" t="n">
        <v>0</v>
      </c>
      <c r="I681" t="n">
        <v>1</v>
      </c>
      <c r="J681" t="n">
        <v>0</v>
      </c>
      <c r="K681" t="n">
        <v>0</v>
      </c>
      <c r="L681" t="n">
        <v>0</v>
      </c>
      <c r="M681" t="n">
        <v>0</v>
      </c>
      <c r="N681" t="n">
        <v>0</v>
      </c>
      <c r="O681" t="n">
        <v>0</v>
      </c>
      <c r="P681" t="n">
        <v>0</v>
      </c>
      <c r="Q681" t="n">
        <v>1</v>
      </c>
      <c r="R681" s="2" t="inlineStr">
        <is>
          <t>Granbarkgnagare</t>
        </is>
      </c>
      <c r="S681">
        <f>HYPERLINK("https://klasma.github.io/Logging_0380/artfynd/A 34159-2024 artfynd.xlsx", "A 34159-2024")</f>
        <v/>
      </c>
      <c r="T681">
        <f>HYPERLINK("https://klasma.github.io/Logging_0380/kartor/A 34159-2024 karta.png", "A 34159-2024")</f>
        <v/>
      </c>
      <c r="V681">
        <f>HYPERLINK("https://klasma.github.io/Logging_0380/klagomål/A 34159-2024 FSC-klagomål.docx", "A 34159-2024")</f>
        <v/>
      </c>
      <c r="W681">
        <f>HYPERLINK("https://klasma.github.io/Logging_0380/klagomålsmail/A 34159-2024 FSC-klagomål mail.docx", "A 34159-2024")</f>
        <v/>
      </c>
      <c r="X681">
        <f>HYPERLINK("https://klasma.github.io/Logging_0380/tillsyn/A 34159-2024 tillsynsbegäran.docx", "A 34159-2024")</f>
        <v/>
      </c>
      <c r="Y681">
        <f>HYPERLINK("https://klasma.github.io/Logging_0380/tillsynsmail/A 34159-2024 tillsynsbegäran mail.docx", "A 34159-2024")</f>
        <v/>
      </c>
    </row>
    <row r="682" ht="15" customHeight="1">
      <c r="A682" t="inlineStr">
        <is>
          <t>A 34464-2024</t>
        </is>
      </c>
      <c r="B682" s="1" t="n">
        <v>45525</v>
      </c>
      <c r="C682" s="1" t="n">
        <v>45706</v>
      </c>
      <c r="D682" t="inlineStr">
        <is>
          <t>UPPSALA LÄN</t>
        </is>
      </c>
      <c r="E682" t="inlineStr">
        <is>
          <t>TIERP</t>
        </is>
      </c>
      <c r="F682" t="inlineStr">
        <is>
          <t>Bergvik skog öst AB</t>
        </is>
      </c>
      <c r="G682" t="n">
        <v>0.9</v>
      </c>
      <c r="H682" t="n">
        <v>0</v>
      </c>
      <c r="I682" t="n">
        <v>1</v>
      </c>
      <c r="J682" t="n">
        <v>0</v>
      </c>
      <c r="K682" t="n">
        <v>0</v>
      </c>
      <c r="L682" t="n">
        <v>0</v>
      </c>
      <c r="M682" t="n">
        <v>0</v>
      </c>
      <c r="N682" t="n">
        <v>0</v>
      </c>
      <c r="O682" t="n">
        <v>0</v>
      </c>
      <c r="P682" t="n">
        <v>0</v>
      </c>
      <c r="Q682" t="n">
        <v>1</v>
      </c>
      <c r="R682" s="2" t="inlineStr">
        <is>
          <t>Svart trolldruva</t>
        </is>
      </c>
      <c r="S682">
        <f>HYPERLINK("https://klasma.github.io/Logging_0360/artfynd/A 34464-2024 artfynd.xlsx", "A 34464-2024")</f>
        <v/>
      </c>
      <c r="T682">
        <f>HYPERLINK("https://klasma.github.io/Logging_0360/kartor/A 34464-2024 karta.png", "A 34464-2024")</f>
        <v/>
      </c>
      <c r="V682">
        <f>HYPERLINK("https://klasma.github.io/Logging_0360/klagomål/A 34464-2024 FSC-klagomål.docx", "A 34464-2024")</f>
        <v/>
      </c>
      <c r="W682">
        <f>HYPERLINK("https://klasma.github.io/Logging_0360/klagomålsmail/A 34464-2024 FSC-klagomål mail.docx", "A 34464-2024")</f>
        <v/>
      </c>
      <c r="X682">
        <f>HYPERLINK("https://klasma.github.io/Logging_0360/tillsyn/A 34464-2024 tillsynsbegäran.docx", "A 34464-2024")</f>
        <v/>
      </c>
      <c r="Y682">
        <f>HYPERLINK("https://klasma.github.io/Logging_0360/tillsynsmail/A 34464-2024 tillsynsbegäran mail.docx", "A 34464-2024")</f>
        <v/>
      </c>
    </row>
    <row r="683" ht="15" customHeight="1">
      <c r="A683" t="inlineStr">
        <is>
          <t>A 36622-2024</t>
        </is>
      </c>
      <c r="B683" s="1" t="n">
        <v>45537</v>
      </c>
      <c r="C683" s="1" t="n">
        <v>45706</v>
      </c>
      <c r="D683" t="inlineStr">
        <is>
          <t>UPPSALA LÄN</t>
        </is>
      </c>
      <c r="E683" t="inlineStr">
        <is>
          <t>ÖSTHAMMAR</t>
        </is>
      </c>
      <c r="F683" t="inlineStr">
        <is>
          <t>Bergvik skog väst AB</t>
        </is>
      </c>
      <c r="G683" t="n">
        <v>5.2</v>
      </c>
      <c r="H683" t="n">
        <v>1</v>
      </c>
      <c r="I683" t="n">
        <v>0</v>
      </c>
      <c r="J683" t="n">
        <v>0</v>
      </c>
      <c r="K683" t="n">
        <v>0</v>
      </c>
      <c r="L683" t="n">
        <v>0</v>
      </c>
      <c r="M683" t="n">
        <v>0</v>
      </c>
      <c r="N683" t="n">
        <v>0</v>
      </c>
      <c r="O683" t="n">
        <v>0</v>
      </c>
      <c r="P683" t="n">
        <v>0</v>
      </c>
      <c r="Q683" t="n">
        <v>1</v>
      </c>
      <c r="R683" s="2" t="inlineStr">
        <is>
          <t>Blåsippa</t>
        </is>
      </c>
      <c r="S683">
        <f>HYPERLINK("https://klasma.github.io/Logging_0382/artfynd/A 36622-2024 artfynd.xlsx", "A 36622-2024")</f>
        <v/>
      </c>
      <c r="T683">
        <f>HYPERLINK("https://klasma.github.io/Logging_0382/kartor/A 36622-2024 karta.png", "A 36622-2024")</f>
        <v/>
      </c>
      <c r="V683">
        <f>HYPERLINK("https://klasma.github.io/Logging_0382/klagomål/A 36622-2024 FSC-klagomål.docx", "A 36622-2024")</f>
        <v/>
      </c>
      <c r="W683">
        <f>HYPERLINK("https://klasma.github.io/Logging_0382/klagomålsmail/A 36622-2024 FSC-klagomål mail.docx", "A 36622-2024")</f>
        <v/>
      </c>
      <c r="X683">
        <f>HYPERLINK("https://klasma.github.io/Logging_0382/tillsyn/A 36622-2024 tillsynsbegäran.docx", "A 36622-2024")</f>
        <v/>
      </c>
      <c r="Y683">
        <f>HYPERLINK("https://klasma.github.io/Logging_0382/tillsynsmail/A 36622-2024 tillsynsbegäran mail.docx", "A 36622-2024")</f>
        <v/>
      </c>
    </row>
    <row r="684" ht="15" customHeight="1">
      <c r="A684" t="inlineStr">
        <is>
          <t>A 36785-2024</t>
        </is>
      </c>
      <c r="B684" s="1" t="n">
        <v>45538</v>
      </c>
      <c r="C684" s="1" t="n">
        <v>45706</v>
      </c>
      <c r="D684" t="inlineStr">
        <is>
          <t>UPPSALA LÄN</t>
        </is>
      </c>
      <c r="E684" t="inlineStr">
        <is>
          <t>TIERP</t>
        </is>
      </c>
      <c r="G684" t="n">
        <v>4.4</v>
      </c>
      <c r="H684" t="n">
        <v>1</v>
      </c>
      <c r="I684" t="n">
        <v>0</v>
      </c>
      <c r="J684" t="n">
        <v>0</v>
      </c>
      <c r="K684" t="n">
        <v>0</v>
      </c>
      <c r="L684" t="n">
        <v>0</v>
      </c>
      <c r="M684" t="n">
        <v>0</v>
      </c>
      <c r="N684" t="n">
        <v>0</v>
      </c>
      <c r="O684" t="n">
        <v>0</v>
      </c>
      <c r="P684" t="n">
        <v>0</v>
      </c>
      <c r="Q684" t="n">
        <v>1</v>
      </c>
      <c r="R684" s="2" t="inlineStr">
        <is>
          <t>Blåsippa</t>
        </is>
      </c>
      <c r="S684">
        <f>HYPERLINK("https://klasma.github.io/Logging_0360/artfynd/A 36785-2024 artfynd.xlsx", "A 36785-2024")</f>
        <v/>
      </c>
      <c r="T684">
        <f>HYPERLINK("https://klasma.github.io/Logging_0360/kartor/A 36785-2024 karta.png", "A 36785-2024")</f>
        <v/>
      </c>
      <c r="V684">
        <f>HYPERLINK("https://klasma.github.io/Logging_0360/klagomål/A 36785-2024 FSC-klagomål.docx", "A 36785-2024")</f>
        <v/>
      </c>
      <c r="W684">
        <f>HYPERLINK("https://klasma.github.io/Logging_0360/klagomålsmail/A 36785-2024 FSC-klagomål mail.docx", "A 36785-2024")</f>
        <v/>
      </c>
      <c r="X684">
        <f>HYPERLINK("https://klasma.github.io/Logging_0360/tillsyn/A 36785-2024 tillsynsbegäran.docx", "A 36785-2024")</f>
        <v/>
      </c>
      <c r="Y684">
        <f>HYPERLINK("https://klasma.github.io/Logging_0360/tillsynsmail/A 36785-2024 tillsynsbegäran mail.docx", "A 36785-2024")</f>
        <v/>
      </c>
    </row>
    <row r="685" ht="15" customHeight="1">
      <c r="A685" t="inlineStr">
        <is>
          <t>A 37563-2024</t>
        </is>
      </c>
      <c r="B685" s="1" t="n">
        <v>45541</v>
      </c>
      <c r="C685" s="1" t="n">
        <v>45706</v>
      </c>
      <c r="D685" t="inlineStr">
        <is>
          <t>UPPSALA LÄN</t>
        </is>
      </c>
      <c r="E685" t="inlineStr">
        <is>
          <t>UPPSALA</t>
        </is>
      </c>
      <c r="F685" t="inlineStr">
        <is>
          <t>Övriga Aktiebolag</t>
        </is>
      </c>
      <c r="G685" t="n">
        <v>6.1</v>
      </c>
      <c r="H685" t="n">
        <v>0</v>
      </c>
      <c r="I685" t="n">
        <v>0</v>
      </c>
      <c r="J685" t="n">
        <v>1</v>
      </c>
      <c r="K685" t="n">
        <v>0</v>
      </c>
      <c r="L685" t="n">
        <v>0</v>
      </c>
      <c r="M685" t="n">
        <v>0</v>
      </c>
      <c r="N685" t="n">
        <v>0</v>
      </c>
      <c r="O685" t="n">
        <v>1</v>
      </c>
      <c r="P685" t="n">
        <v>0</v>
      </c>
      <c r="Q685" t="n">
        <v>1</v>
      </c>
      <c r="R685" s="2" t="inlineStr">
        <is>
          <t>Skogshare</t>
        </is>
      </c>
      <c r="S685">
        <f>HYPERLINK("https://klasma.github.io/Logging_0380/artfynd/A 37563-2024 artfynd.xlsx", "A 37563-2024")</f>
        <v/>
      </c>
      <c r="T685">
        <f>HYPERLINK("https://klasma.github.io/Logging_0380/kartor/A 37563-2024 karta.png", "A 37563-2024")</f>
        <v/>
      </c>
      <c r="V685">
        <f>HYPERLINK("https://klasma.github.io/Logging_0380/klagomål/A 37563-2024 FSC-klagomål.docx", "A 37563-2024")</f>
        <v/>
      </c>
      <c r="W685">
        <f>HYPERLINK("https://klasma.github.io/Logging_0380/klagomålsmail/A 37563-2024 FSC-klagomål mail.docx", "A 37563-2024")</f>
        <v/>
      </c>
      <c r="X685">
        <f>HYPERLINK("https://klasma.github.io/Logging_0380/tillsyn/A 37563-2024 tillsynsbegäran.docx", "A 37563-2024")</f>
        <v/>
      </c>
      <c r="Y685">
        <f>HYPERLINK("https://klasma.github.io/Logging_0380/tillsynsmail/A 37563-2024 tillsynsbegäran mail.docx", "A 37563-2024")</f>
        <v/>
      </c>
    </row>
    <row r="686" ht="15" customHeight="1">
      <c r="A686" t="inlineStr">
        <is>
          <t>A 37595-2024</t>
        </is>
      </c>
      <c r="B686" s="1" t="n">
        <v>45541</v>
      </c>
      <c r="C686" s="1" t="n">
        <v>45706</v>
      </c>
      <c r="D686" t="inlineStr">
        <is>
          <t>UPPSALA LÄN</t>
        </is>
      </c>
      <c r="E686" t="inlineStr">
        <is>
          <t>KNIVSTA</t>
        </is>
      </c>
      <c r="G686" t="n">
        <v>6.4</v>
      </c>
      <c r="H686" t="n">
        <v>0</v>
      </c>
      <c r="I686" t="n">
        <v>0</v>
      </c>
      <c r="J686" t="n">
        <v>0</v>
      </c>
      <c r="K686" t="n">
        <v>1</v>
      </c>
      <c r="L686" t="n">
        <v>0</v>
      </c>
      <c r="M686" t="n">
        <v>0</v>
      </c>
      <c r="N686" t="n">
        <v>0</v>
      </c>
      <c r="O686" t="n">
        <v>1</v>
      </c>
      <c r="P686" t="n">
        <v>1</v>
      </c>
      <c r="Q686" t="n">
        <v>1</v>
      </c>
      <c r="R686" s="2" t="inlineStr">
        <is>
          <t>Violett fingersvamp</t>
        </is>
      </c>
      <c r="S686">
        <f>HYPERLINK("https://klasma.github.io/Logging_0330/artfynd/A 37595-2024 artfynd.xlsx", "A 37595-2024")</f>
        <v/>
      </c>
      <c r="T686">
        <f>HYPERLINK("https://klasma.github.io/Logging_0330/kartor/A 37595-2024 karta.png", "A 37595-2024")</f>
        <v/>
      </c>
      <c r="V686">
        <f>HYPERLINK("https://klasma.github.io/Logging_0330/klagomål/A 37595-2024 FSC-klagomål.docx", "A 37595-2024")</f>
        <v/>
      </c>
      <c r="W686">
        <f>HYPERLINK("https://klasma.github.io/Logging_0330/klagomålsmail/A 37595-2024 FSC-klagomål mail.docx", "A 37595-2024")</f>
        <v/>
      </c>
      <c r="X686">
        <f>HYPERLINK("https://klasma.github.io/Logging_0330/tillsyn/A 37595-2024 tillsynsbegäran.docx", "A 37595-2024")</f>
        <v/>
      </c>
      <c r="Y686">
        <f>HYPERLINK("https://klasma.github.io/Logging_0330/tillsynsmail/A 37595-2024 tillsynsbegäran mail.docx", "A 37595-2024")</f>
        <v/>
      </c>
    </row>
    <row r="687" ht="15" customHeight="1">
      <c r="A687" t="inlineStr">
        <is>
          <t>A 40720-2024</t>
        </is>
      </c>
      <c r="B687" s="1" t="n">
        <v>45558</v>
      </c>
      <c r="C687" s="1" t="n">
        <v>45706</v>
      </c>
      <c r="D687" t="inlineStr">
        <is>
          <t>UPPSALA LÄN</t>
        </is>
      </c>
      <c r="E687" t="inlineStr">
        <is>
          <t>TIERP</t>
        </is>
      </c>
      <c r="G687" t="n">
        <v>0.7</v>
      </c>
      <c r="H687" t="n">
        <v>1</v>
      </c>
      <c r="I687" t="n">
        <v>0</v>
      </c>
      <c r="J687" t="n">
        <v>1</v>
      </c>
      <c r="K687" t="n">
        <v>0</v>
      </c>
      <c r="L687" t="n">
        <v>0</v>
      </c>
      <c r="M687" t="n">
        <v>0</v>
      </c>
      <c r="N687" t="n">
        <v>0</v>
      </c>
      <c r="O687" t="n">
        <v>1</v>
      </c>
      <c r="P687" t="n">
        <v>0</v>
      </c>
      <c r="Q687" t="n">
        <v>1</v>
      </c>
      <c r="R687" s="2" t="inlineStr">
        <is>
          <t>Gulsparv</t>
        </is>
      </c>
      <c r="S687">
        <f>HYPERLINK("https://klasma.github.io/Logging_0360/artfynd/A 40720-2024 artfynd.xlsx", "A 40720-2024")</f>
        <v/>
      </c>
      <c r="T687">
        <f>HYPERLINK("https://klasma.github.io/Logging_0360/kartor/A 40720-2024 karta.png", "A 40720-2024")</f>
        <v/>
      </c>
      <c r="V687">
        <f>HYPERLINK("https://klasma.github.io/Logging_0360/klagomål/A 40720-2024 FSC-klagomål.docx", "A 40720-2024")</f>
        <v/>
      </c>
      <c r="W687">
        <f>HYPERLINK("https://klasma.github.io/Logging_0360/klagomålsmail/A 40720-2024 FSC-klagomål mail.docx", "A 40720-2024")</f>
        <v/>
      </c>
      <c r="X687">
        <f>HYPERLINK("https://klasma.github.io/Logging_0360/tillsyn/A 40720-2024 tillsynsbegäran.docx", "A 40720-2024")</f>
        <v/>
      </c>
      <c r="Y687">
        <f>HYPERLINK("https://klasma.github.io/Logging_0360/tillsynsmail/A 40720-2024 tillsynsbegäran mail.docx", "A 40720-2024")</f>
        <v/>
      </c>
      <c r="Z687">
        <f>HYPERLINK("https://klasma.github.io/Logging_0360/fåglar/A 40720-2024 prioriterade fågelarter.docx", "A 40720-2024")</f>
        <v/>
      </c>
    </row>
    <row r="688" ht="15" customHeight="1">
      <c r="A688" t="inlineStr">
        <is>
          <t>A 42787-2024</t>
        </is>
      </c>
      <c r="B688" s="1" t="n">
        <v>45566</v>
      </c>
      <c r="C688" s="1" t="n">
        <v>45706</v>
      </c>
      <c r="D688" t="inlineStr">
        <is>
          <t>UPPSALA LÄN</t>
        </is>
      </c>
      <c r="E688" t="inlineStr">
        <is>
          <t>UPPSALA</t>
        </is>
      </c>
      <c r="G688" t="n">
        <v>3.2</v>
      </c>
      <c r="H688" t="n">
        <v>1</v>
      </c>
      <c r="I688" t="n">
        <v>0</v>
      </c>
      <c r="J688" t="n">
        <v>0</v>
      </c>
      <c r="K688" t="n">
        <v>0</v>
      </c>
      <c r="L688" t="n">
        <v>0</v>
      </c>
      <c r="M688" t="n">
        <v>0</v>
      </c>
      <c r="N688" t="n">
        <v>0</v>
      </c>
      <c r="O688" t="n">
        <v>0</v>
      </c>
      <c r="P688" t="n">
        <v>0</v>
      </c>
      <c r="Q688" t="n">
        <v>1</v>
      </c>
      <c r="R688" s="2" t="inlineStr">
        <is>
          <t>Mattlummer</t>
        </is>
      </c>
      <c r="S688">
        <f>HYPERLINK("https://klasma.github.io/Logging_0380/artfynd/A 42787-2024 artfynd.xlsx", "A 42787-2024")</f>
        <v/>
      </c>
      <c r="T688">
        <f>HYPERLINK("https://klasma.github.io/Logging_0380/kartor/A 42787-2024 karta.png", "A 42787-2024")</f>
        <v/>
      </c>
      <c r="V688">
        <f>HYPERLINK("https://klasma.github.io/Logging_0380/klagomål/A 42787-2024 FSC-klagomål.docx", "A 42787-2024")</f>
        <v/>
      </c>
      <c r="W688">
        <f>HYPERLINK("https://klasma.github.io/Logging_0380/klagomålsmail/A 42787-2024 FSC-klagomål mail.docx", "A 42787-2024")</f>
        <v/>
      </c>
      <c r="X688">
        <f>HYPERLINK("https://klasma.github.io/Logging_0380/tillsyn/A 42787-2024 tillsynsbegäran.docx", "A 42787-2024")</f>
        <v/>
      </c>
      <c r="Y688">
        <f>HYPERLINK("https://klasma.github.io/Logging_0380/tillsynsmail/A 42787-2024 tillsynsbegäran mail.docx", "A 42787-2024")</f>
        <v/>
      </c>
    </row>
    <row r="689" ht="15" customHeight="1">
      <c r="A689" t="inlineStr">
        <is>
          <t>A 46527-2024</t>
        </is>
      </c>
      <c r="B689" s="1" t="n">
        <v>45582</v>
      </c>
      <c r="C689" s="1" t="n">
        <v>45706</v>
      </c>
      <c r="D689" t="inlineStr">
        <is>
          <t>UPPSALA LÄN</t>
        </is>
      </c>
      <c r="E689" t="inlineStr">
        <is>
          <t>TIERP</t>
        </is>
      </c>
      <c r="F689" t="inlineStr">
        <is>
          <t>Bergvik skog väst AB</t>
        </is>
      </c>
      <c r="G689" t="n">
        <v>7.2</v>
      </c>
      <c r="H689" t="n">
        <v>0</v>
      </c>
      <c r="I689" t="n">
        <v>1</v>
      </c>
      <c r="J689" t="n">
        <v>0</v>
      </c>
      <c r="K689" t="n">
        <v>0</v>
      </c>
      <c r="L689" t="n">
        <v>0</v>
      </c>
      <c r="M689" t="n">
        <v>0</v>
      </c>
      <c r="N689" t="n">
        <v>0</v>
      </c>
      <c r="O689" t="n">
        <v>0</v>
      </c>
      <c r="P689" t="n">
        <v>0</v>
      </c>
      <c r="Q689" t="n">
        <v>1</v>
      </c>
      <c r="R689" s="2" t="inlineStr">
        <is>
          <t>Rödgul trumpetsvamp</t>
        </is>
      </c>
      <c r="S689">
        <f>HYPERLINK("https://klasma.github.io/Logging_0360/artfynd/A 46527-2024 artfynd.xlsx", "A 46527-2024")</f>
        <v/>
      </c>
      <c r="T689">
        <f>HYPERLINK("https://klasma.github.io/Logging_0360/kartor/A 46527-2024 karta.png", "A 46527-2024")</f>
        <v/>
      </c>
      <c r="V689">
        <f>HYPERLINK("https://klasma.github.io/Logging_0360/klagomål/A 46527-2024 FSC-klagomål.docx", "A 46527-2024")</f>
        <v/>
      </c>
      <c r="W689">
        <f>HYPERLINK("https://klasma.github.io/Logging_0360/klagomålsmail/A 46527-2024 FSC-klagomål mail.docx", "A 46527-2024")</f>
        <v/>
      </c>
      <c r="X689">
        <f>HYPERLINK("https://klasma.github.io/Logging_0360/tillsyn/A 46527-2024 tillsynsbegäran.docx", "A 46527-2024")</f>
        <v/>
      </c>
      <c r="Y689">
        <f>HYPERLINK("https://klasma.github.io/Logging_0360/tillsynsmail/A 46527-2024 tillsynsbegäran mail.docx", "A 46527-2024")</f>
        <v/>
      </c>
    </row>
    <row r="690" ht="15" customHeight="1">
      <c r="A690" t="inlineStr">
        <is>
          <t>A 46632-2024</t>
        </is>
      </c>
      <c r="B690" s="1" t="n">
        <v>45583</v>
      </c>
      <c r="C690" s="1" t="n">
        <v>45706</v>
      </c>
      <c r="D690" t="inlineStr">
        <is>
          <t>UPPSALA LÄN</t>
        </is>
      </c>
      <c r="E690" t="inlineStr">
        <is>
          <t>ÖSTHAMMAR</t>
        </is>
      </c>
      <c r="F690" t="inlineStr">
        <is>
          <t>Bergvik skog öst AB</t>
        </is>
      </c>
      <c r="G690" t="n">
        <v>5.3</v>
      </c>
      <c r="H690" t="n">
        <v>0</v>
      </c>
      <c r="I690" t="n">
        <v>0</v>
      </c>
      <c r="J690" t="n">
        <v>1</v>
      </c>
      <c r="K690" t="n">
        <v>0</v>
      </c>
      <c r="L690" t="n">
        <v>0</v>
      </c>
      <c r="M690" t="n">
        <v>0</v>
      </c>
      <c r="N690" t="n">
        <v>0</v>
      </c>
      <c r="O690" t="n">
        <v>1</v>
      </c>
      <c r="P690" t="n">
        <v>0</v>
      </c>
      <c r="Q690" t="n">
        <v>1</v>
      </c>
      <c r="R690" s="2" t="inlineStr">
        <is>
          <t>Sexfläckig bastardsvärmare</t>
        </is>
      </c>
      <c r="S690">
        <f>HYPERLINK("https://klasma.github.io/Logging_0382/artfynd/A 46632-2024 artfynd.xlsx", "A 46632-2024")</f>
        <v/>
      </c>
      <c r="T690">
        <f>HYPERLINK("https://klasma.github.io/Logging_0382/kartor/A 46632-2024 karta.png", "A 46632-2024")</f>
        <v/>
      </c>
      <c r="V690">
        <f>HYPERLINK("https://klasma.github.io/Logging_0382/klagomål/A 46632-2024 FSC-klagomål.docx", "A 46632-2024")</f>
        <v/>
      </c>
      <c r="W690">
        <f>HYPERLINK("https://klasma.github.io/Logging_0382/klagomålsmail/A 46632-2024 FSC-klagomål mail.docx", "A 46632-2024")</f>
        <v/>
      </c>
      <c r="X690">
        <f>HYPERLINK("https://klasma.github.io/Logging_0382/tillsyn/A 46632-2024 tillsynsbegäran.docx", "A 46632-2024")</f>
        <v/>
      </c>
      <c r="Y690">
        <f>HYPERLINK("https://klasma.github.io/Logging_0382/tillsynsmail/A 46632-2024 tillsynsbegäran mail.docx", "A 46632-2024")</f>
        <v/>
      </c>
    </row>
    <row r="691" ht="15" customHeight="1">
      <c r="A691" t="inlineStr">
        <is>
          <t>A 46749-2024</t>
        </is>
      </c>
      <c r="B691" s="1" t="n">
        <v>45583</v>
      </c>
      <c r="C691" s="1" t="n">
        <v>45706</v>
      </c>
      <c r="D691" t="inlineStr">
        <is>
          <t>UPPSALA LÄN</t>
        </is>
      </c>
      <c r="E691" t="inlineStr">
        <is>
          <t>ENKÖPING</t>
        </is>
      </c>
      <c r="G691" t="n">
        <v>8.5</v>
      </c>
      <c r="H691" t="n">
        <v>0</v>
      </c>
      <c r="I691" t="n">
        <v>0</v>
      </c>
      <c r="J691" t="n">
        <v>1</v>
      </c>
      <c r="K691" t="n">
        <v>0</v>
      </c>
      <c r="L691" t="n">
        <v>0</v>
      </c>
      <c r="M691" t="n">
        <v>0</v>
      </c>
      <c r="N691" t="n">
        <v>0</v>
      </c>
      <c r="O691" t="n">
        <v>1</v>
      </c>
      <c r="P691" t="n">
        <v>0</v>
      </c>
      <c r="Q691" t="n">
        <v>1</v>
      </c>
      <c r="R691" s="2" t="inlineStr">
        <is>
          <t>Leptoporus erubescens</t>
        </is>
      </c>
      <c r="S691">
        <f>HYPERLINK("https://klasma.github.io/Logging_0381/artfynd/A 46749-2024 artfynd.xlsx", "A 46749-2024")</f>
        <v/>
      </c>
      <c r="T691">
        <f>HYPERLINK("https://klasma.github.io/Logging_0381/kartor/A 46749-2024 karta.png", "A 46749-2024")</f>
        <v/>
      </c>
      <c r="V691">
        <f>HYPERLINK("https://klasma.github.io/Logging_0381/klagomål/A 46749-2024 FSC-klagomål.docx", "A 46749-2024")</f>
        <v/>
      </c>
      <c r="W691">
        <f>HYPERLINK("https://klasma.github.io/Logging_0381/klagomålsmail/A 46749-2024 FSC-klagomål mail.docx", "A 46749-2024")</f>
        <v/>
      </c>
      <c r="X691">
        <f>HYPERLINK("https://klasma.github.io/Logging_0381/tillsyn/A 46749-2024 tillsynsbegäran.docx", "A 46749-2024")</f>
        <v/>
      </c>
      <c r="Y691">
        <f>HYPERLINK("https://klasma.github.io/Logging_0381/tillsynsmail/A 46749-2024 tillsynsbegäran mail.docx", "A 46749-2024")</f>
        <v/>
      </c>
    </row>
    <row r="692" ht="15" customHeight="1">
      <c r="A692" t="inlineStr">
        <is>
          <t>A 46629-2024</t>
        </is>
      </c>
      <c r="B692" s="1" t="n">
        <v>45583</v>
      </c>
      <c r="C692" s="1" t="n">
        <v>45706</v>
      </c>
      <c r="D692" t="inlineStr">
        <is>
          <t>UPPSALA LÄN</t>
        </is>
      </c>
      <c r="E692" t="inlineStr">
        <is>
          <t>ÖSTHAMMAR</t>
        </is>
      </c>
      <c r="F692" t="inlineStr">
        <is>
          <t>Bergvik skog öst AB</t>
        </is>
      </c>
      <c r="G692" t="n">
        <v>0.7</v>
      </c>
      <c r="H692" t="n">
        <v>0</v>
      </c>
      <c r="I692" t="n">
        <v>0</v>
      </c>
      <c r="J692" t="n">
        <v>1</v>
      </c>
      <c r="K692" t="n">
        <v>0</v>
      </c>
      <c r="L692" t="n">
        <v>0</v>
      </c>
      <c r="M692" t="n">
        <v>0</v>
      </c>
      <c r="N692" t="n">
        <v>0</v>
      </c>
      <c r="O692" t="n">
        <v>1</v>
      </c>
      <c r="P692" t="n">
        <v>0</v>
      </c>
      <c r="Q692" t="n">
        <v>1</v>
      </c>
      <c r="R692" s="2" t="inlineStr">
        <is>
          <t>Slåtterfibbla</t>
        </is>
      </c>
      <c r="S692">
        <f>HYPERLINK("https://klasma.github.io/Logging_0382/artfynd/A 46629-2024 artfynd.xlsx", "A 46629-2024")</f>
        <v/>
      </c>
      <c r="T692">
        <f>HYPERLINK("https://klasma.github.io/Logging_0382/kartor/A 46629-2024 karta.png", "A 46629-2024")</f>
        <v/>
      </c>
      <c r="V692">
        <f>HYPERLINK("https://klasma.github.io/Logging_0382/klagomål/A 46629-2024 FSC-klagomål.docx", "A 46629-2024")</f>
        <v/>
      </c>
      <c r="W692">
        <f>HYPERLINK("https://klasma.github.io/Logging_0382/klagomålsmail/A 46629-2024 FSC-klagomål mail.docx", "A 46629-2024")</f>
        <v/>
      </c>
      <c r="X692">
        <f>HYPERLINK("https://klasma.github.io/Logging_0382/tillsyn/A 46629-2024 tillsynsbegäran.docx", "A 46629-2024")</f>
        <v/>
      </c>
      <c r="Y692">
        <f>HYPERLINK("https://klasma.github.io/Logging_0382/tillsynsmail/A 46629-2024 tillsynsbegäran mail.docx", "A 46629-2024")</f>
        <v/>
      </c>
    </row>
    <row r="693" ht="15" customHeight="1">
      <c r="A693" t="inlineStr">
        <is>
          <t>A 47168-2024</t>
        </is>
      </c>
      <c r="B693" s="1" t="n">
        <v>45586</v>
      </c>
      <c r="C693" s="1" t="n">
        <v>45706</v>
      </c>
      <c r="D693" t="inlineStr">
        <is>
          <t>UPPSALA LÄN</t>
        </is>
      </c>
      <c r="E693" t="inlineStr">
        <is>
          <t>ENKÖPING</t>
        </is>
      </c>
      <c r="G693" t="n">
        <v>7.3</v>
      </c>
      <c r="H693" t="n">
        <v>0</v>
      </c>
      <c r="I693" t="n">
        <v>1</v>
      </c>
      <c r="J693" t="n">
        <v>0</v>
      </c>
      <c r="K693" t="n">
        <v>0</v>
      </c>
      <c r="L693" t="n">
        <v>0</v>
      </c>
      <c r="M693" t="n">
        <v>0</v>
      </c>
      <c r="N693" t="n">
        <v>0</v>
      </c>
      <c r="O693" t="n">
        <v>0</v>
      </c>
      <c r="P693" t="n">
        <v>0</v>
      </c>
      <c r="Q693" t="n">
        <v>1</v>
      </c>
      <c r="R693" s="2" t="inlineStr">
        <is>
          <t>Svavelriska</t>
        </is>
      </c>
      <c r="S693">
        <f>HYPERLINK("https://klasma.github.io/Logging_0381/artfynd/A 47168-2024 artfynd.xlsx", "A 47168-2024")</f>
        <v/>
      </c>
      <c r="T693">
        <f>HYPERLINK("https://klasma.github.io/Logging_0381/kartor/A 47168-2024 karta.png", "A 47168-2024")</f>
        <v/>
      </c>
      <c r="V693">
        <f>HYPERLINK("https://klasma.github.io/Logging_0381/klagomål/A 47168-2024 FSC-klagomål.docx", "A 47168-2024")</f>
        <v/>
      </c>
      <c r="W693">
        <f>HYPERLINK("https://klasma.github.io/Logging_0381/klagomålsmail/A 47168-2024 FSC-klagomål mail.docx", "A 47168-2024")</f>
        <v/>
      </c>
      <c r="X693">
        <f>HYPERLINK("https://klasma.github.io/Logging_0381/tillsyn/A 47168-2024 tillsynsbegäran.docx", "A 47168-2024")</f>
        <v/>
      </c>
      <c r="Y693">
        <f>HYPERLINK("https://klasma.github.io/Logging_0381/tillsynsmail/A 47168-2024 tillsynsbegäran mail.docx", "A 47168-2024")</f>
        <v/>
      </c>
    </row>
    <row r="694" ht="15" customHeight="1">
      <c r="A694" t="inlineStr">
        <is>
          <t>A 48722-2024</t>
        </is>
      </c>
      <c r="B694" s="1" t="n">
        <v>45593</v>
      </c>
      <c r="C694" s="1" t="n">
        <v>45706</v>
      </c>
      <c r="D694" t="inlineStr">
        <is>
          <t>UPPSALA LÄN</t>
        </is>
      </c>
      <c r="E694" t="inlineStr">
        <is>
          <t>HEBY</t>
        </is>
      </c>
      <c r="F694" t="inlineStr">
        <is>
          <t>Allmännings- och besparingsskogar</t>
        </is>
      </c>
      <c r="G694" t="n">
        <v>9.6</v>
      </c>
      <c r="H694" t="n">
        <v>0</v>
      </c>
      <c r="I694" t="n">
        <v>0</v>
      </c>
      <c r="J694" t="n">
        <v>1</v>
      </c>
      <c r="K694" t="n">
        <v>0</v>
      </c>
      <c r="L694" t="n">
        <v>0</v>
      </c>
      <c r="M694" t="n">
        <v>0</v>
      </c>
      <c r="N694" t="n">
        <v>0</v>
      </c>
      <c r="O694" t="n">
        <v>1</v>
      </c>
      <c r="P694" t="n">
        <v>0</v>
      </c>
      <c r="Q694" t="n">
        <v>1</v>
      </c>
      <c r="R694" s="2" t="inlineStr">
        <is>
          <t>Blå taggsvamp</t>
        </is>
      </c>
      <c r="S694">
        <f>HYPERLINK("https://klasma.github.io/Logging_0331/artfynd/A 48722-2024 artfynd.xlsx", "A 48722-2024")</f>
        <v/>
      </c>
      <c r="T694">
        <f>HYPERLINK("https://klasma.github.io/Logging_0331/kartor/A 48722-2024 karta.png", "A 48722-2024")</f>
        <v/>
      </c>
      <c r="V694">
        <f>HYPERLINK("https://klasma.github.io/Logging_0331/klagomål/A 48722-2024 FSC-klagomål.docx", "A 48722-2024")</f>
        <v/>
      </c>
      <c r="W694">
        <f>HYPERLINK("https://klasma.github.io/Logging_0331/klagomålsmail/A 48722-2024 FSC-klagomål mail.docx", "A 48722-2024")</f>
        <v/>
      </c>
      <c r="X694">
        <f>HYPERLINK("https://klasma.github.io/Logging_0331/tillsyn/A 48722-2024 tillsynsbegäran.docx", "A 48722-2024")</f>
        <v/>
      </c>
      <c r="Y694">
        <f>HYPERLINK("https://klasma.github.io/Logging_0331/tillsynsmail/A 48722-2024 tillsynsbegäran mail.docx", "A 48722-2024")</f>
        <v/>
      </c>
    </row>
    <row r="695" ht="15" customHeight="1">
      <c r="A695" t="inlineStr">
        <is>
          <t>A 49692-2024</t>
        </is>
      </c>
      <c r="B695" s="1" t="n">
        <v>45596</v>
      </c>
      <c r="C695" s="1" t="n">
        <v>45706</v>
      </c>
      <c r="D695" t="inlineStr">
        <is>
          <t>UPPSALA LÄN</t>
        </is>
      </c>
      <c r="E695" t="inlineStr">
        <is>
          <t>TIERP</t>
        </is>
      </c>
      <c r="G695" t="n">
        <v>3.7</v>
      </c>
      <c r="H695" t="n">
        <v>1</v>
      </c>
      <c r="I695" t="n">
        <v>0</v>
      </c>
      <c r="J695" t="n">
        <v>0</v>
      </c>
      <c r="K695" t="n">
        <v>0</v>
      </c>
      <c r="L695" t="n">
        <v>0</v>
      </c>
      <c r="M695" t="n">
        <v>0</v>
      </c>
      <c r="N695" t="n">
        <v>0</v>
      </c>
      <c r="O695" t="n">
        <v>0</v>
      </c>
      <c r="P695" t="n">
        <v>0</v>
      </c>
      <c r="Q695" t="n">
        <v>1</v>
      </c>
      <c r="R695" s="2" t="inlineStr">
        <is>
          <t>Mattlummer</t>
        </is>
      </c>
      <c r="S695">
        <f>HYPERLINK("https://klasma.github.io/Logging_0360/artfynd/A 49692-2024 artfynd.xlsx", "A 49692-2024")</f>
        <v/>
      </c>
      <c r="T695">
        <f>HYPERLINK("https://klasma.github.io/Logging_0360/kartor/A 49692-2024 karta.png", "A 49692-2024")</f>
        <v/>
      </c>
      <c r="V695">
        <f>HYPERLINK("https://klasma.github.io/Logging_0360/klagomål/A 49692-2024 FSC-klagomål.docx", "A 49692-2024")</f>
        <v/>
      </c>
      <c r="W695">
        <f>HYPERLINK("https://klasma.github.io/Logging_0360/klagomålsmail/A 49692-2024 FSC-klagomål mail.docx", "A 49692-2024")</f>
        <v/>
      </c>
      <c r="X695">
        <f>HYPERLINK("https://klasma.github.io/Logging_0360/tillsyn/A 49692-2024 tillsynsbegäran.docx", "A 49692-2024")</f>
        <v/>
      </c>
      <c r="Y695">
        <f>HYPERLINK("https://klasma.github.io/Logging_0360/tillsynsmail/A 49692-2024 tillsynsbegäran mail.docx", "A 49692-2024")</f>
        <v/>
      </c>
    </row>
    <row r="696" ht="15" customHeight="1">
      <c r="A696" t="inlineStr">
        <is>
          <t>A 50039-2024</t>
        </is>
      </c>
      <c r="B696" s="1" t="n">
        <v>45600</v>
      </c>
      <c r="C696" s="1" t="n">
        <v>45706</v>
      </c>
      <c r="D696" t="inlineStr">
        <is>
          <t>UPPSALA LÄN</t>
        </is>
      </c>
      <c r="E696" t="inlineStr">
        <is>
          <t>KNIVSTA</t>
        </is>
      </c>
      <c r="G696" t="n">
        <v>2</v>
      </c>
      <c r="H696" t="n">
        <v>0</v>
      </c>
      <c r="I696" t="n">
        <v>1</v>
      </c>
      <c r="J696" t="n">
        <v>0</v>
      </c>
      <c r="K696" t="n">
        <v>0</v>
      </c>
      <c r="L696" t="n">
        <v>0</v>
      </c>
      <c r="M696" t="n">
        <v>0</v>
      </c>
      <c r="N696" t="n">
        <v>0</v>
      </c>
      <c r="O696" t="n">
        <v>0</v>
      </c>
      <c r="P696" t="n">
        <v>0</v>
      </c>
      <c r="Q696" t="n">
        <v>1</v>
      </c>
      <c r="R696" s="2" t="inlineStr">
        <is>
          <t>Tallfingersvamp</t>
        </is>
      </c>
      <c r="S696">
        <f>HYPERLINK("https://klasma.github.io/Logging_0330/artfynd/A 50039-2024 artfynd.xlsx", "A 50039-2024")</f>
        <v/>
      </c>
      <c r="T696">
        <f>HYPERLINK("https://klasma.github.io/Logging_0330/kartor/A 50039-2024 karta.png", "A 50039-2024")</f>
        <v/>
      </c>
      <c r="V696">
        <f>HYPERLINK("https://klasma.github.io/Logging_0330/klagomål/A 50039-2024 FSC-klagomål.docx", "A 50039-2024")</f>
        <v/>
      </c>
      <c r="W696">
        <f>HYPERLINK("https://klasma.github.io/Logging_0330/klagomålsmail/A 50039-2024 FSC-klagomål mail.docx", "A 50039-2024")</f>
        <v/>
      </c>
      <c r="X696">
        <f>HYPERLINK("https://klasma.github.io/Logging_0330/tillsyn/A 50039-2024 tillsynsbegäran.docx", "A 50039-2024")</f>
        <v/>
      </c>
      <c r="Y696">
        <f>HYPERLINK("https://klasma.github.io/Logging_0330/tillsynsmail/A 50039-2024 tillsynsbegäran mail.docx", "A 50039-2024")</f>
        <v/>
      </c>
    </row>
    <row r="697" ht="15" customHeight="1">
      <c r="A697" t="inlineStr">
        <is>
          <t>A 53866-2024</t>
        </is>
      </c>
      <c r="B697" s="1" t="n">
        <v>45614</v>
      </c>
      <c r="C697" s="1" t="n">
        <v>45706</v>
      </c>
      <c r="D697" t="inlineStr">
        <is>
          <t>UPPSALA LÄN</t>
        </is>
      </c>
      <c r="E697" t="inlineStr">
        <is>
          <t>HÅBO</t>
        </is>
      </c>
      <c r="G697" t="n">
        <v>2.9</v>
      </c>
      <c r="H697" t="n">
        <v>1</v>
      </c>
      <c r="I697" t="n">
        <v>0</v>
      </c>
      <c r="J697" t="n">
        <v>0</v>
      </c>
      <c r="K697" t="n">
        <v>0</v>
      </c>
      <c r="L697" t="n">
        <v>0</v>
      </c>
      <c r="M697" t="n">
        <v>0</v>
      </c>
      <c r="N697" t="n">
        <v>0</v>
      </c>
      <c r="O697" t="n">
        <v>0</v>
      </c>
      <c r="P697" t="n">
        <v>0</v>
      </c>
      <c r="Q697" t="n">
        <v>1</v>
      </c>
      <c r="R697" s="2" t="inlineStr">
        <is>
          <t>Nattviol</t>
        </is>
      </c>
      <c r="S697">
        <f>HYPERLINK("https://klasma.github.io/Logging_0305/artfynd/A 53866-2024 artfynd.xlsx", "A 53866-2024")</f>
        <v/>
      </c>
      <c r="T697">
        <f>HYPERLINK("https://klasma.github.io/Logging_0305/kartor/A 53866-2024 karta.png", "A 53866-2024")</f>
        <v/>
      </c>
      <c r="V697">
        <f>HYPERLINK("https://klasma.github.io/Logging_0305/klagomål/A 53866-2024 FSC-klagomål.docx", "A 53866-2024")</f>
        <v/>
      </c>
      <c r="W697">
        <f>HYPERLINK("https://klasma.github.io/Logging_0305/klagomålsmail/A 53866-2024 FSC-klagomål mail.docx", "A 53866-2024")</f>
        <v/>
      </c>
      <c r="X697">
        <f>HYPERLINK("https://klasma.github.io/Logging_0305/tillsyn/A 53866-2024 tillsynsbegäran.docx", "A 53866-2024")</f>
        <v/>
      </c>
      <c r="Y697">
        <f>HYPERLINK("https://klasma.github.io/Logging_0305/tillsynsmail/A 53866-2024 tillsynsbegäran mail.docx", "A 53866-2024")</f>
        <v/>
      </c>
    </row>
    <row r="698" ht="15" customHeight="1">
      <c r="A698" t="inlineStr">
        <is>
          <t>A 54144-2024</t>
        </is>
      </c>
      <c r="B698" s="1" t="n">
        <v>45616</v>
      </c>
      <c r="C698" s="1" t="n">
        <v>45706</v>
      </c>
      <c r="D698" t="inlineStr">
        <is>
          <t>UPPSALA LÄN</t>
        </is>
      </c>
      <c r="E698" t="inlineStr">
        <is>
          <t>UPPSALA</t>
        </is>
      </c>
      <c r="G698" t="n">
        <v>3.2</v>
      </c>
      <c r="H698" t="n">
        <v>0</v>
      </c>
      <c r="I698" t="n">
        <v>1</v>
      </c>
      <c r="J698" t="n">
        <v>0</v>
      </c>
      <c r="K698" t="n">
        <v>0</v>
      </c>
      <c r="L698" t="n">
        <v>0</v>
      </c>
      <c r="M698" t="n">
        <v>0</v>
      </c>
      <c r="N698" t="n">
        <v>0</v>
      </c>
      <c r="O698" t="n">
        <v>0</v>
      </c>
      <c r="P698" t="n">
        <v>0</v>
      </c>
      <c r="Q698" t="n">
        <v>1</v>
      </c>
      <c r="R698" s="2" t="inlineStr">
        <is>
          <t>Svavelriska</t>
        </is>
      </c>
      <c r="S698">
        <f>HYPERLINK("https://klasma.github.io/Logging_0380/artfynd/A 54144-2024 artfynd.xlsx", "A 54144-2024")</f>
        <v/>
      </c>
      <c r="T698">
        <f>HYPERLINK("https://klasma.github.io/Logging_0380/kartor/A 54144-2024 karta.png", "A 54144-2024")</f>
        <v/>
      </c>
      <c r="V698">
        <f>HYPERLINK("https://klasma.github.io/Logging_0380/klagomål/A 54144-2024 FSC-klagomål.docx", "A 54144-2024")</f>
        <v/>
      </c>
      <c r="W698">
        <f>HYPERLINK("https://klasma.github.io/Logging_0380/klagomålsmail/A 54144-2024 FSC-klagomål mail.docx", "A 54144-2024")</f>
        <v/>
      </c>
      <c r="X698">
        <f>HYPERLINK("https://klasma.github.io/Logging_0380/tillsyn/A 54144-2024 tillsynsbegäran.docx", "A 54144-2024")</f>
        <v/>
      </c>
      <c r="Y698">
        <f>HYPERLINK("https://klasma.github.io/Logging_0380/tillsynsmail/A 54144-2024 tillsynsbegäran mail.docx", "A 54144-2024")</f>
        <v/>
      </c>
    </row>
    <row r="699" ht="15" customHeight="1">
      <c r="A699" t="inlineStr">
        <is>
          <t>A 55331-2024</t>
        </is>
      </c>
      <c r="B699" s="1" t="n">
        <v>45621</v>
      </c>
      <c r="C699" s="1" t="n">
        <v>45706</v>
      </c>
      <c r="D699" t="inlineStr">
        <is>
          <t>UPPSALA LÄN</t>
        </is>
      </c>
      <c r="E699" t="inlineStr">
        <is>
          <t>TIERP</t>
        </is>
      </c>
      <c r="F699" t="inlineStr">
        <is>
          <t>Bergvik skog väst AB</t>
        </is>
      </c>
      <c r="G699" t="n">
        <v>7.3</v>
      </c>
      <c r="H699" t="n">
        <v>1</v>
      </c>
      <c r="I699" t="n">
        <v>0</v>
      </c>
      <c r="J699" t="n">
        <v>1</v>
      </c>
      <c r="K699" t="n">
        <v>0</v>
      </c>
      <c r="L699" t="n">
        <v>0</v>
      </c>
      <c r="M699" t="n">
        <v>0</v>
      </c>
      <c r="N699" t="n">
        <v>0</v>
      </c>
      <c r="O699" t="n">
        <v>1</v>
      </c>
      <c r="P699" t="n">
        <v>0</v>
      </c>
      <c r="Q699" t="n">
        <v>1</v>
      </c>
      <c r="R699" s="2" t="inlineStr">
        <is>
          <t>Talltita</t>
        </is>
      </c>
      <c r="S699">
        <f>HYPERLINK("https://klasma.github.io/Logging_0360/artfynd/A 55331-2024 artfynd.xlsx", "A 55331-2024")</f>
        <v/>
      </c>
      <c r="T699">
        <f>HYPERLINK("https://klasma.github.io/Logging_0360/kartor/A 55331-2024 karta.png", "A 55331-2024")</f>
        <v/>
      </c>
      <c r="V699">
        <f>HYPERLINK("https://klasma.github.io/Logging_0360/klagomål/A 55331-2024 FSC-klagomål.docx", "A 55331-2024")</f>
        <v/>
      </c>
      <c r="W699">
        <f>HYPERLINK("https://klasma.github.io/Logging_0360/klagomålsmail/A 55331-2024 FSC-klagomål mail.docx", "A 55331-2024")</f>
        <v/>
      </c>
      <c r="X699">
        <f>HYPERLINK("https://klasma.github.io/Logging_0360/tillsyn/A 55331-2024 tillsynsbegäran.docx", "A 55331-2024")</f>
        <v/>
      </c>
      <c r="Y699">
        <f>HYPERLINK("https://klasma.github.io/Logging_0360/tillsynsmail/A 55331-2024 tillsynsbegäran mail.docx", "A 55331-2024")</f>
        <v/>
      </c>
      <c r="Z699">
        <f>HYPERLINK("https://klasma.github.io/Logging_0360/fåglar/A 55331-2024 prioriterade fågelarter.docx", "A 55331-2024")</f>
        <v/>
      </c>
    </row>
    <row r="700" ht="15" customHeight="1">
      <c r="A700" t="inlineStr">
        <is>
          <t>A 55082-2024</t>
        </is>
      </c>
      <c r="B700" s="1" t="n">
        <v>45621</v>
      </c>
      <c r="C700" s="1" t="n">
        <v>45706</v>
      </c>
      <c r="D700" t="inlineStr">
        <is>
          <t>UPPSALA LÄN</t>
        </is>
      </c>
      <c r="E700" t="inlineStr">
        <is>
          <t>HEBY</t>
        </is>
      </c>
      <c r="G700" t="n">
        <v>5.2</v>
      </c>
      <c r="H700" t="n">
        <v>0</v>
      </c>
      <c r="I700" t="n">
        <v>0</v>
      </c>
      <c r="J700" t="n">
        <v>1</v>
      </c>
      <c r="K700" t="n">
        <v>0</v>
      </c>
      <c r="L700" t="n">
        <v>0</v>
      </c>
      <c r="M700" t="n">
        <v>0</v>
      </c>
      <c r="N700" t="n">
        <v>0</v>
      </c>
      <c r="O700" t="n">
        <v>1</v>
      </c>
      <c r="P700" t="n">
        <v>0</v>
      </c>
      <c r="Q700" t="n">
        <v>1</v>
      </c>
      <c r="R700" s="2" t="inlineStr">
        <is>
          <t>Kolflarnlav</t>
        </is>
      </c>
      <c r="S700">
        <f>HYPERLINK("https://klasma.github.io/Logging_0331/artfynd/A 55082-2024 artfynd.xlsx", "A 55082-2024")</f>
        <v/>
      </c>
      <c r="T700">
        <f>HYPERLINK("https://klasma.github.io/Logging_0331/kartor/A 55082-2024 karta.png", "A 55082-2024")</f>
        <v/>
      </c>
      <c r="V700">
        <f>HYPERLINK("https://klasma.github.io/Logging_0331/klagomål/A 55082-2024 FSC-klagomål.docx", "A 55082-2024")</f>
        <v/>
      </c>
      <c r="W700">
        <f>HYPERLINK("https://klasma.github.io/Logging_0331/klagomålsmail/A 55082-2024 FSC-klagomål mail.docx", "A 55082-2024")</f>
        <v/>
      </c>
      <c r="X700">
        <f>HYPERLINK("https://klasma.github.io/Logging_0331/tillsyn/A 55082-2024 tillsynsbegäran.docx", "A 55082-2024")</f>
        <v/>
      </c>
      <c r="Y700">
        <f>HYPERLINK("https://klasma.github.io/Logging_0331/tillsynsmail/A 55082-2024 tillsynsbegäran mail.docx", "A 55082-2024")</f>
        <v/>
      </c>
    </row>
    <row r="701" ht="15" customHeight="1">
      <c r="A701" t="inlineStr">
        <is>
          <t>A 55169-2024</t>
        </is>
      </c>
      <c r="B701" s="1" t="n">
        <v>45621</v>
      </c>
      <c r="C701" s="1" t="n">
        <v>45706</v>
      </c>
      <c r="D701" t="inlineStr">
        <is>
          <t>UPPSALA LÄN</t>
        </is>
      </c>
      <c r="E701" t="inlineStr">
        <is>
          <t>ÖSTHAMMAR</t>
        </is>
      </c>
      <c r="G701" t="n">
        <v>1.1</v>
      </c>
      <c r="H701" t="n">
        <v>0</v>
      </c>
      <c r="I701" t="n">
        <v>1</v>
      </c>
      <c r="J701" t="n">
        <v>0</v>
      </c>
      <c r="K701" t="n">
        <v>0</v>
      </c>
      <c r="L701" t="n">
        <v>0</v>
      </c>
      <c r="M701" t="n">
        <v>0</v>
      </c>
      <c r="N701" t="n">
        <v>0</v>
      </c>
      <c r="O701" t="n">
        <v>0</v>
      </c>
      <c r="P701" t="n">
        <v>0</v>
      </c>
      <c r="Q701" t="n">
        <v>1</v>
      </c>
      <c r="R701" s="2" t="inlineStr">
        <is>
          <t>Svavelriska</t>
        </is>
      </c>
      <c r="S701">
        <f>HYPERLINK("https://klasma.github.io/Logging_0382/artfynd/A 55169-2024 artfynd.xlsx", "A 55169-2024")</f>
        <v/>
      </c>
      <c r="T701">
        <f>HYPERLINK("https://klasma.github.io/Logging_0382/kartor/A 55169-2024 karta.png", "A 55169-2024")</f>
        <v/>
      </c>
      <c r="V701">
        <f>HYPERLINK("https://klasma.github.io/Logging_0382/klagomål/A 55169-2024 FSC-klagomål.docx", "A 55169-2024")</f>
        <v/>
      </c>
      <c r="W701">
        <f>HYPERLINK("https://klasma.github.io/Logging_0382/klagomålsmail/A 55169-2024 FSC-klagomål mail.docx", "A 55169-2024")</f>
        <v/>
      </c>
      <c r="X701">
        <f>HYPERLINK("https://klasma.github.io/Logging_0382/tillsyn/A 55169-2024 tillsynsbegäran.docx", "A 55169-2024")</f>
        <v/>
      </c>
      <c r="Y701">
        <f>HYPERLINK("https://klasma.github.io/Logging_0382/tillsynsmail/A 55169-2024 tillsynsbegäran mail.docx", "A 55169-2024")</f>
        <v/>
      </c>
    </row>
    <row r="702" ht="15" customHeight="1">
      <c r="A702" t="inlineStr">
        <is>
          <t>A 55554-2024</t>
        </is>
      </c>
      <c r="B702" s="1" t="n">
        <v>45622</v>
      </c>
      <c r="C702" s="1" t="n">
        <v>45706</v>
      </c>
      <c r="D702" t="inlineStr">
        <is>
          <t>UPPSALA LÄN</t>
        </is>
      </c>
      <c r="E702" t="inlineStr">
        <is>
          <t>ÄLVKARLEBY</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HYPERLINK("https://klasma.github.io/Logging_0319/artfynd/A 55554-2024 artfynd.xlsx", "A 55554-2024")</f>
        <v/>
      </c>
      <c r="T702">
        <f>HYPERLINK("https://klasma.github.io/Logging_0319/kartor/A 55554-2024 karta.png", "A 55554-2024")</f>
        <v/>
      </c>
      <c r="U702">
        <f>HYPERLINK("https://klasma.github.io/Logging_0319/knärot/A 55554-2024 karta knärot.png", "A 55554-2024")</f>
        <v/>
      </c>
      <c r="V702">
        <f>HYPERLINK("https://klasma.github.io/Logging_0319/klagomål/A 55554-2024 FSC-klagomål.docx", "A 55554-2024")</f>
        <v/>
      </c>
      <c r="W702">
        <f>HYPERLINK("https://klasma.github.io/Logging_0319/klagomålsmail/A 55554-2024 FSC-klagomål mail.docx", "A 55554-2024")</f>
        <v/>
      </c>
      <c r="X702">
        <f>HYPERLINK("https://klasma.github.io/Logging_0319/tillsyn/A 55554-2024 tillsynsbegäran.docx", "A 55554-2024")</f>
        <v/>
      </c>
      <c r="Y702">
        <f>HYPERLINK("https://klasma.github.io/Logging_0319/tillsynsmail/A 55554-2024 tillsynsbegäran mail.docx", "A 55554-2024")</f>
        <v/>
      </c>
    </row>
    <row r="703" ht="15" customHeight="1">
      <c r="A703" t="inlineStr">
        <is>
          <t>A 55567-2024</t>
        </is>
      </c>
      <c r="B703" s="1" t="n">
        <v>45622</v>
      </c>
      <c r="C703" s="1" t="n">
        <v>45706</v>
      </c>
      <c r="D703" t="inlineStr">
        <is>
          <t>UPPSALA LÄN</t>
        </is>
      </c>
      <c r="E703" t="inlineStr">
        <is>
          <t>ÄLVKARLEBY</t>
        </is>
      </c>
      <c r="F703" t="inlineStr">
        <is>
          <t>Bergvik skog väst AB</t>
        </is>
      </c>
      <c r="G703" t="n">
        <v>2.7</v>
      </c>
      <c r="H703" t="n">
        <v>1</v>
      </c>
      <c r="I703" t="n">
        <v>0</v>
      </c>
      <c r="J703" t="n">
        <v>0</v>
      </c>
      <c r="K703" t="n">
        <v>1</v>
      </c>
      <c r="L703" t="n">
        <v>0</v>
      </c>
      <c r="M703" t="n">
        <v>0</v>
      </c>
      <c r="N703" t="n">
        <v>0</v>
      </c>
      <c r="O703" t="n">
        <v>1</v>
      </c>
      <c r="P703" t="n">
        <v>1</v>
      </c>
      <c r="Q703" t="n">
        <v>1</v>
      </c>
      <c r="R703" s="2" t="inlineStr">
        <is>
          <t>Knärot</t>
        </is>
      </c>
      <c r="S703">
        <f>HYPERLINK("https://klasma.github.io/Logging_0319/artfynd/A 55567-2024 artfynd.xlsx", "A 55567-2024")</f>
        <v/>
      </c>
      <c r="T703">
        <f>HYPERLINK("https://klasma.github.io/Logging_0319/kartor/A 55567-2024 karta.png", "A 55567-2024")</f>
        <v/>
      </c>
      <c r="U703">
        <f>HYPERLINK("https://klasma.github.io/Logging_0319/knärot/A 55567-2024 karta knärot.png", "A 55567-2024")</f>
        <v/>
      </c>
      <c r="V703">
        <f>HYPERLINK("https://klasma.github.io/Logging_0319/klagomål/A 55567-2024 FSC-klagomål.docx", "A 55567-2024")</f>
        <v/>
      </c>
      <c r="W703">
        <f>HYPERLINK("https://klasma.github.io/Logging_0319/klagomålsmail/A 55567-2024 FSC-klagomål mail.docx", "A 55567-2024")</f>
        <v/>
      </c>
      <c r="X703">
        <f>HYPERLINK("https://klasma.github.io/Logging_0319/tillsyn/A 55567-2024 tillsynsbegäran.docx", "A 55567-2024")</f>
        <v/>
      </c>
      <c r="Y703">
        <f>HYPERLINK("https://klasma.github.io/Logging_0319/tillsynsmail/A 55567-2024 tillsynsbegäran mail.docx", "A 55567-2024")</f>
        <v/>
      </c>
    </row>
    <row r="704" ht="15" customHeight="1">
      <c r="A704" t="inlineStr">
        <is>
          <t>A 55663-2024</t>
        </is>
      </c>
      <c r="B704" s="1" t="n">
        <v>45622</v>
      </c>
      <c r="C704" s="1" t="n">
        <v>45706</v>
      </c>
      <c r="D704" t="inlineStr">
        <is>
          <t>UPPSALA LÄN</t>
        </is>
      </c>
      <c r="E704" t="inlineStr">
        <is>
          <t>HEBY</t>
        </is>
      </c>
      <c r="F704" t="inlineStr">
        <is>
          <t>Bergvik skog väst AB</t>
        </is>
      </c>
      <c r="G704" t="n">
        <v>4.5</v>
      </c>
      <c r="H704" t="n">
        <v>0</v>
      </c>
      <c r="I704" t="n">
        <v>0</v>
      </c>
      <c r="J704" t="n">
        <v>1</v>
      </c>
      <c r="K704" t="n">
        <v>0</v>
      </c>
      <c r="L704" t="n">
        <v>0</v>
      </c>
      <c r="M704" t="n">
        <v>0</v>
      </c>
      <c r="N704" t="n">
        <v>0</v>
      </c>
      <c r="O704" t="n">
        <v>1</v>
      </c>
      <c r="P704" t="n">
        <v>0</v>
      </c>
      <c r="Q704" t="n">
        <v>1</v>
      </c>
      <c r="R704" s="2" t="inlineStr">
        <is>
          <t>Ullticka</t>
        </is>
      </c>
      <c r="S704">
        <f>HYPERLINK("https://klasma.github.io/Logging_0331/artfynd/A 55663-2024 artfynd.xlsx", "A 55663-2024")</f>
        <v/>
      </c>
      <c r="T704">
        <f>HYPERLINK("https://klasma.github.io/Logging_0331/kartor/A 55663-2024 karta.png", "A 55663-2024")</f>
        <v/>
      </c>
      <c r="V704">
        <f>HYPERLINK("https://klasma.github.io/Logging_0331/klagomål/A 55663-2024 FSC-klagomål.docx", "A 55663-2024")</f>
        <v/>
      </c>
      <c r="W704">
        <f>HYPERLINK("https://klasma.github.io/Logging_0331/klagomålsmail/A 55663-2024 FSC-klagomål mail.docx", "A 55663-2024")</f>
        <v/>
      </c>
      <c r="X704">
        <f>HYPERLINK("https://klasma.github.io/Logging_0331/tillsyn/A 55663-2024 tillsynsbegäran.docx", "A 55663-2024")</f>
        <v/>
      </c>
      <c r="Y704">
        <f>HYPERLINK("https://klasma.github.io/Logging_0331/tillsynsmail/A 55663-2024 tillsynsbegäran mail.docx", "A 55663-2024")</f>
        <v/>
      </c>
    </row>
    <row r="705" ht="15" customHeight="1">
      <c r="A705" t="inlineStr">
        <is>
          <t>A 57398-2024</t>
        </is>
      </c>
      <c r="B705" s="1" t="n">
        <v>45629</v>
      </c>
      <c r="C705" s="1" t="n">
        <v>45706</v>
      </c>
      <c r="D705" t="inlineStr">
        <is>
          <t>UPPSALA LÄN</t>
        </is>
      </c>
      <c r="E705" t="inlineStr">
        <is>
          <t>TIERP</t>
        </is>
      </c>
      <c r="G705" t="n">
        <v>2.2</v>
      </c>
      <c r="H705" t="n">
        <v>0</v>
      </c>
      <c r="I705" t="n">
        <v>0</v>
      </c>
      <c r="J705" t="n">
        <v>0</v>
      </c>
      <c r="K705" t="n">
        <v>1</v>
      </c>
      <c r="L705" t="n">
        <v>0</v>
      </c>
      <c r="M705" t="n">
        <v>0</v>
      </c>
      <c r="N705" t="n">
        <v>0</v>
      </c>
      <c r="O705" t="n">
        <v>1</v>
      </c>
      <c r="P705" t="n">
        <v>1</v>
      </c>
      <c r="Q705" t="n">
        <v>1</v>
      </c>
      <c r="R705" s="2" t="inlineStr">
        <is>
          <t>Ängsskäreplattmal</t>
        </is>
      </c>
      <c r="S705">
        <f>HYPERLINK("https://klasma.github.io/Logging_0360/artfynd/A 57398-2024 artfynd.xlsx", "A 57398-2024")</f>
        <v/>
      </c>
      <c r="T705">
        <f>HYPERLINK("https://klasma.github.io/Logging_0360/kartor/A 57398-2024 karta.png", "A 57398-2024")</f>
        <v/>
      </c>
      <c r="V705">
        <f>HYPERLINK("https://klasma.github.io/Logging_0360/klagomål/A 57398-2024 FSC-klagomål.docx", "A 57398-2024")</f>
        <v/>
      </c>
      <c r="W705">
        <f>HYPERLINK("https://klasma.github.io/Logging_0360/klagomålsmail/A 57398-2024 FSC-klagomål mail.docx", "A 57398-2024")</f>
        <v/>
      </c>
      <c r="X705">
        <f>HYPERLINK("https://klasma.github.io/Logging_0360/tillsyn/A 57398-2024 tillsynsbegäran.docx", "A 57398-2024")</f>
        <v/>
      </c>
      <c r="Y705">
        <f>HYPERLINK("https://klasma.github.io/Logging_0360/tillsynsmail/A 57398-2024 tillsynsbegäran mail.docx", "A 57398-2024")</f>
        <v/>
      </c>
    </row>
    <row r="706" ht="15" customHeight="1">
      <c r="A706" t="inlineStr">
        <is>
          <t>A 58107-2024</t>
        </is>
      </c>
      <c r="B706" s="1" t="n">
        <v>45632</v>
      </c>
      <c r="C706" s="1" t="n">
        <v>45706</v>
      </c>
      <c r="D706" t="inlineStr">
        <is>
          <t>UPPSALA LÄN</t>
        </is>
      </c>
      <c r="E706" t="inlineStr">
        <is>
          <t>TIERP</t>
        </is>
      </c>
      <c r="G706" t="n">
        <v>0.6</v>
      </c>
      <c r="H706" t="n">
        <v>1</v>
      </c>
      <c r="I706" t="n">
        <v>1</v>
      </c>
      <c r="J706" t="n">
        <v>0</v>
      </c>
      <c r="K706" t="n">
        <v>0</v>
      </c>
      <c r="L706" t="n">
        <v>0</v>
      </c>
      <c r="M706" t="n">
        <v>0</v>
      </c>
      <c r="N706" t="n">
        <v>0</v>
      </c>
      <c r="O706" t="n">
        <v>0</v>
      </c>
      <c r="P706" t="n">
        <v>0</v>
      </c>
      <c r="Q706" t="n">
        <v>1</v>
      </c>
      <c r="R706" s="2" t="inlineStr">
        <is>
          <t>Skogsknipprot</t>
        </is>
      </c>
      <c r="S706">
        <f>HYPERLINK("https://klasma.github.io/Logging_0360/artfynd/A 58107-2024 artfynd.xlsx", "A 58107-2024")</f>
        <v/>
      </c>
      <c r="T706">
        <f>HYPERLINK("https://klasma.github.io/Logging_0360/kartor/A 58107-2024 karta.png", "A 58107-2024")</f>
        <v/>
      </c>
      <c r="V706">
        <f>HYPERLINK("https://klasma.github.io/Logging_0360/klagomål/A 58107-2024 FSC-klagomål.docx", "A 58107-2024")</f>
        <v/>
      </c>
      <c r="W706">
        <f>HYPERLINK("https://klasma.github.io/Logging_0360/klagomålsmail/A 58107-2024 FSC-klagomål mail.docx", "A 58107-2024")</f>
        <v/>
      </c>
      <c r="X706">
        <f>HYPERLINK("https://klasma.github.io/Logging_0360/tillsyn/A 58107-2024 tillsynsbegäran.docx", "A 58107-2024")</f>
        <v/>
      </c>
      <c r="Y706">
        <f>HYPERLINK("https://klasma.github.io/Logging_0360/tillsynsmail/A 58107-2024 tillsynsbegäran mail.docx", "A 58107-2024")</f>
        <v/>
      </c>
    </row>
    <row r="707" ht="15" customHeight="1">
      <c r="A707" t="inlineStr">
        <is>
          <t>A 59117-2024</t>
        </is>
      </c>
      <c r="B707" s="1" t="n">
        <v>45637</v>
      </c>
      <c r="C707" s="1" t="n">
        <v>45706</v>
      </c>
      <c r="D707" t="inlineStr">
        <is>
          <t>UPPSALA LÄN</t>
        </is>
      </c>
      <c r="E707" t="inlineStr">
        <is>
          <t>TIERP</t>
        </is>
      </c>
      <c r="F707" t="inlineStr">
        <is>
          <t>Bergvik skog öst AB</t>
        </is>
      </c>
      <c r="G707" t="n">
        <v>14.9</v>
      </c>
      <c r="H707" t="n">
        <v>0</v>
      </c>
      <c r="I707" t="n">
        <v>1</v>
      </c>
      <c r="J707" t="n">
        <v>0</v>
      </c>
      <c r="K707" t="n">
        <v>0</v>
      </c>
      <c r="L707" t="n">
        <v>0</v>
      </c>
      <c r="M707" t="n">
        <v>0</v>
      </c>
      <c r="N707" t="n">
        <v>0</v>
      </c>
      <c r="O707" t="n">
        <v>0</v>
      </c>
      <c r="P707" t="n">
        <v>0</v>
      </c>
      <c r="Q707" t="n">
        <v>1</v>
      </c>
      <c r="R707" s="2" t="inlineStr">
        <is>
          <t>Fjällig taggsvamp s.str.</t>
        </is>
      </c>
      <c r="S707">
        <f>HYPERLINK("https://klasma.github.io/Logging_0360/artfynd/A 59117-2024 artfynd.xlsx", "A 59117-2024")</f>
        <v/>
      </c>
      <c r="T707">
        <f>HYPERLINK("https://klasma.github.io/Logging_0360/kartor/A 59117-2024 karta.png", "A 59117-2024")</f>
        <v/>
      </c>
      <c r="V707">
        <f>HYPERLINK("https://klasma.github.io/Logging_0360/klagomål/A 59117-2024 FSC-klagomål.docx", "A 59117-2024")</f>
        <v/>
      </c>
      <c r="W707">
        <f>HYPERLINK("https://klasma.github.io/Logging_0360/klagomålsmail/A 59117-2024 FSC-klagomål mail.docx", "A 59117-2024")</f>
        <v/>
      </c>
      <c r="X707">
        <f>HYPERLINK("https://klasma.github.io/Logging_0360/tillsyn/A 59117-2024 tillsynsbegäran.docx", "A 59117-2024")</f>
        <v/>
      </c>
      <c r="Y707">
        <f>HYPERLINK("https://klasma.github.io/Logging_0360/tillsynsmail/A 59117-2024 tillsynsbegäran mail.docx", "A 59117-2024")</f>
        <v/>
      </c>
    </row>
    <row r="708" ht="15" customHeight="1">
      <c r="A708" t="inlineStr">
        <is>
          <t>A 59588-2024</t>
        </is>
      </c>
      <c r="B708" s="1" t="n">
        <v>45638</v>
      </c>
      <c r="C708" s="1" t="n">
        <v>45706</v>
      </c>
      <c r="D708" t="inlineStr">
        <is>
          <t>UPPSALA LÄN</t>
        </is>
      </c>
      <c r="E708" t="inlineStr">
        <is>
          <t>UPPSALA</t>
        </is>
      </c>
      <c r="G708" t="n">
        <v>3.4</v>
      </c>
      <c r="H708" t="n">
        <v>1</v>
      </c>
      <c r="I708" t="n">
        <v>0</v>
      </c>
      <c r="J708" t="n">
        <v>0</v>
      </c>
      <c r="K708" t="n">
        <v>1</v>
      </c>
      <c r="L708" t="n">
        <v>0</v>
      </c>
      <c r="M708" t="n">
        <v>0</v>
      </c>
      <c r="N708" t="n">
        <v>0</v>
      </c>
      <c r="O708" t="n">
        <v>1</v>
      </c>
      <c r="P708" t="n">
        <v>1</v>
      </c>
      <c r="Q708" t="n">
        <v>1</v>
      </c>
      <c r="R708" s="2" t="inlineStr">
        <is>
          <t>Knärot</t>
        </is>
      </c>
      <c r="S708">
        <f>HYPERLINK("https://klasma.github.io/Logging_0380/artfynd/A 59588-2024 artfynd.xlsx", "A 59588-2024")</f>
        <v/>
      </c>
      <c r="T708">
        <f>HYPERLINK("https://klasma.github.io/Logging_0380/kartor/A 59588-2024 karta.png", "A 59588-2024")</f>
        <v/>
      </c>
      <c r="U708">
        <f>HYPERLINK("https://klasma.github.io/Logging_0380/knärot/A 59588-2024 karta knärot.png", "A 59588-2024")</f>
        <v/>
      </c>
      <c r="V708">
        <f>HYPERLINK("https://klasma.github.io/Logging_0380/klagomål/A 59588-2024 FSC-klagomål.docx", "A 59588-2024")</f>
        <v/>
      </c>
      <c r="W708">
        <f>HYPERLINK("https://klasma.github.io/Logging_0380/klagomålsmail/A 59588-2024 FSC-klagomål mail.docx", "A 59588-2024")</f>
        <v/>
      </c>
      <c r="X708">
        <f>HYPERLINK("https://klasma.github.io/Logging_0380/tillsyn/A 59588-2024 tillsynsbegäran.docx", "A 59588-2024")</f>
        <v/>
      </c>
      <c r="Y708">
        <f>HYPERLINK("https://klasma.github.io/Logging_0380/tillsynsmail/A 59588-2024 tillsynsbegäran mail.docx", "A 59588-2024")</f>
        <v/>
      </c>
    </row>
    <row r="709" ht="15" customHeight="1">
      <c r="A709" t="inlineStr">
        <is>
          <t>A 60266-2024</t>
        </is>
      </c>
      <c r="B709" s="1" t="n">
        <v>45642</v>
      </c>
      <c r="C709" s="1" t="n">
        <v>45706</v>
      </c>
      <c r="D709" t="inlineStr">
        <is>
          <t>UPPSALA LÄN</t>
        </is>
      </c>
      <c r="E709" t="inlineStr">
        <is>
          <t>ENKÖPING</t>
        </is>
      </c>
      <c r="G709" t="n">
        <v>14.5</v>
      </c>
      <c r="H709" t="n">
        <v>0</v>
      </c>
      <c r="I709" t="n">
        <v>1</v>
      </c>
      <c r="J709" t="n">
        <v>0</v>
      </c>
      <c r="K709" t="n">
        <v>0</v>
      </c>
      <c r="L709" t="n">
        <v>0</v>
      </c>
      <c r="M709" t="n">
        <v>0</v>
      </c>
      <c r="N709" t="n">
        <v>0</v>
      </c>
      <c r="O709" t="n">
        <v>0</v>
      </c>
      <c r="P709" t="n">
        <v>0</v>
      </c>
      <c r="Q709" t="n">
        <v>1</v>
      </c>
      <c r="R709" s="2" t="inlineStr">
        <is>
          <t>Skarp dropptaggsvamp</t>
        </is>
      </c>
      <c r="S709">
        <f>HYPERLINK("https://klasma.github.io/Logging_0381/artfynd/A 60266-2024 artfynd.xlsx", "A 60266-2024")</f>
        <v/>
      </c>
      <c r="T709">
        <f>HYPERLINK("https://klasma.github.io/Logging_0381/kartor/A 60266-2024 karta.png", "A 60266-2024")</f>
        <v/>
      </c>
      <c r="V709">
        <f>HYPERLINK("https://klasma.github.io/Logging_0381/klagomål/A 60266-2024 FSC-klagomål.docx", "A 60266-2024")</f>
        <v/>
      </c>
      <c r="W709">
        <f>HYPERLINK("https://klasma.github.io/Logging_0381/klagomålsmail/A 60266-2024 FSC-klagomål mail.docx", "A 60266-2024")</f>
        <v/>
      </c>
      <c r="X709">
        <f>HYPERLINK("https://klasma.github.io/Logging_0381/tillsyn/A 60266-2024 tillsynsbegäran.docx", "A 60266-2024")</f>
        <v/>
      </c>
      <c r="Y709">
        <f>HYPERLINK("https://klasma.github.io/Logging_0381/tillsynsmail/A 60266-2024 tillsynsbegäran mail.docx", "A 60266-2024")</f>
        <v/>
      </c>
    </row>
    <row r="710" ht="15" customHeight="1">
      <c r="A710" t="inlineStr">
        <is>
          <t>A 2592-2025</t>
        </is>
      </c>
      <c r="B710" s="1" t="n">
        <v>45674</v>
      </c>
      <c r="C710" s="1" t="n">
        <v>45706</v>
      </c>
      <c r="D710" t="inlineStr">
        <is>
          <t>UPPSALA LÄN</t>
        </is>
      </c>
      <c r="E710" t="inlineStr">
        <is>
          <t>HEBY</t>
        </is>
      </c>
      <c r="F710" t="inlineStr">
        <is>
          <t>Allmännings- och besparingsskogar</t>
        </is>
      </c>
      <c r="G710" t="n">
        <v>15.8</v>
      </c>
      <c r="H710" t="n">
        <v>1</v>
      </c>
      <c r="I710" t="n">
        <v>0</v>
      </c>
      <c r="J710" t="n">
        <v>0</v>
      </c>
      <c r="K710" t="n">
        <v>0</v>
      </c>
      <c r="L710" t="n">
        <v>0</v>
      </c>
      <c r="M710" t="n">
        <v>0</v>
      </c>
      <c r="N710" t="n">
        <v>0</v>
      </c>
      <c r="O710" t="n">
        <v>0</v>
      </c>
      <c r="P710" t="n">
        <v>0</v>
      </c>
      <c r="Q710" t="n">
        <v>1</v>
      </c>
      <c r="R710" s="2" t="inlineStr">
        <is>
          <t>Fläcknycklar</t>
        </is>
      </c>
      <c r="S710">
        <f>HYPERLINK("https://klasma.github.io/Logging_0331/artfynd/A 2592-2025 artfynd.xlsx", "A 2592-2025")</f>
        <v/>
      </c>
      <c r="T710">
        <f>HYPERLINK("https://klasma.github.io/Logging_0331/kartor/A 2592-2025 karta.png", "A 2592-2025")</f>
        <v/>
      </c>
      <c r="V710">
        <f>HYPERLINK("https://klasma.github.io/Logging_0331/klagomål/A 2592-2025 FSC-klagomål.docx", "A 2592-2025")</f>
        <v/>
      </c>
      <c r="W710">
        <f>HYPERLINK("https://klasma.github.io/Logging_0331/klagomålsmail/A 2592-2025 FSC-klagomål mail.docx", "A 2592-2025")</f>
        <v/>
      </c>
      <c r="X710">
        <f>HYPERLINK("https://klasma.github.io/Logging_0331/tillsyn/A 2592-2025 tillsynsbegäran.docx", "A 2592-2025")</f>
        <v/>
      </c>
      <c r="Y710">
        <f>HYPERLINK("https://klasma.github.io/Logging_0331/tillsynsmail/A 2592-2025 tillsynsbegäran mail.docx", "A 2592-2025")</f>
        <v/>
      </c>
    </row>
    <row r="711" ht="15" customHeight="1">
      <c r="A711" t="inlineStr">
        <is>
          <t>A 2731-2025</t>
        </is>
      </c>
      <c r="B711" s="1" t="n">
        <v>45677</v>
      </c>
      <c r="C711" s="1" t="n">
        <v>45706</v>
      </c>
      <c r="D711" t="inlineStr">
        <is>
          <t>UPPSALA LÄN</t>
        </is>
      </c>
      <c r="E711" t="inlineStr">
        <is>
          <t>TIERP</t>
        </is>
      </c>
      <c r="G711" t="n">
        <v>5.8</v>
      </c>
      <c r="H711" t="n">
        <v>1</v>
      </c>
      <c r="I711" t="n">
        <v>0</v>
      </c>
      <c r="J711" t="n">
        <v>1</v>
      </c>
      <c r="K711" t="n">
        <v>0</v>
      </c>
      <c r="L711" t="n">
        <v>0</v>
      </c>
      <c r="M711" t="n">
        <v>0</v>
      </c>
      <c r="N711" t="n">
        <v>0</v>
      </c>
      <c r="O711" t="n">
        <v>1</v>
      </c>
      <c r="P711" t="n">
        <v>0</v>
      </c>
      <c r="Q711" t="n">
        <v>1</v>
      </c>
      <c r="R711" s="2" t="inlineStr">
        <is>
          <t>Rödvingetrast</t>
        </is>
      </c>
      <c r="S711">
        <f>HYPERLINK("https://klasma.github.io/Logging_0360/artfynd/A 2731-2025 artfynd.xlsx", "A 2731-2025")</f>
        <v/>
      </c>
      <c r="T711">
        <f>HYPERLINK("https://klasma.github.io/Logging_0360/kartor/A 2731-2025 karta.png", "A 2731-2025")</f>
        <v/>
      </c>
      <c r="V711">
        <f>HYPERLINK("https://klasma.github.io/Logging_0360/klagomål/A 2731-2025 FSC-klagomål.docx", "A 2731-2025")</f>
        <v/>
      </c>
      <c r="W711">
        <f>HYPERLINK("https://klasma.github.io/Logging_0360/klagomålsmail/A 2731-2025 FSC-klagomål mail.docx", "A 2731-2025")</f>
        <v/>
      </c>
      <c r="X711">
        <f>HYPERLINK("https://klasma.github.io/Logging_0360/tillsyn/A 2731-2025 tillsynsbegäran.docx", "A 2731-2025")</f>
        <v/>
      </c>
      <c r="Y711">
        <f>HYPERLINK("https://klasma.github.io/Logging_0360/tillsynsmail/A 2731-2025 tillsynsbegäran mail.docx", "A 2731-2025")</f>
        <v/>
      </c>
      <c r="Z711">
        <f>HYPERLINK("https://klasma.github.io/Logging_0360/fåglar/A 2731-2025 prioriterade fågelarter.docx", "A 2731-2025")</f>
        <v/>
      </c>
    </row>
    <row r="712" ht="15" customHeight="1">
      <c r="A712" t="inlineStr">
        <is>
          <t>A 3304-2025</t>
        </is>
      </c>
      <c r="B712" s="1" t="n">
        <v>45679</v>
      </c>
      <c r="C712" s="1" t="n">
        <v>45706</v>
      </c>
      <c r="D712" t="inlineStr">
        <is>
          <t>UPPSALA LÄN</t>
        </is>
      </c>
      <c r="E712" t="inlineStr">
        <is>
          <t>UPPSALA</t>
        </is>
      </c>
      <c r="F712" t="inlineStr">
        <is>
          <t>Övriga statliga verk och myndigheter</t>
        </is>
      </c>
      <c r="G712" t="n">
        <v>3.8</v>
      </c>
      <c r="H712" t="n">
        <v>1</v>
      </c>
      <c r="I712" t="n">
        <v>0</v>
      </c>
      <c r="J712" t="n">
        <v>0</v>
      </c>
      <c r="K712" t="n">
        <v>0</v>
      </c>
      <c r="L712" t="n">
        <v>0</v>
      </c>
      <c r="M712" t="n">
        <v>0</v>
      </c>
      <c r="N712" t="n">
        <v>0</v>
      </c>
      <c r="O712" t="n">
        <v>0</v>
      </c>
      <c r="P712" t="n">
        <v>0</v>
      </c>
      <c r="Q712" t="n">
        <v>1</v>
      </c>
      <c r="R712" s="2" t="inlineStr">
        <is>
          <t>Blåsippa</t>
        </is>
      </c>
      <c r="S712">
        <f>HYPERLINK("https://klasma.github.io/Logging_0380/artfynd/A 3304-2025 artfynd.xlsx", "A 3304-2025")</f>
        <v/>
      </c>
      <c r="T712">
        <f>HYPERLINK("https://klasma.github.io/Logging_0380/kartor/A 3304-2025 karta.png", "A 3304-2025")</f>
        <v/>
      </c>
      <c r="V712">
        <f>HYPERLINK("https://klasma.github.io/Logging_0380/klagomål/A 3304-2025 FSC-klagomål.docx", "A 3304-2025")</f>
        <v/>
      </c>
      <c r="W712">
        <f>HYPERLINK("https://klasma.github.io/Logging_0380/klagomålsmail/A 3304-2025 FSC-klagomål mail.docx", "A 3304-2025")</f>
        <v/>
      </c>
      <c r="X712">
        <f>HYPERLINK("https://klasma.github.io/Logging_0380/tillsyn/A 3304-2025 tillsynsbegäran.docx", "A 3304-2025")</f>
        <v/>
      </c>
      <c r="Y712">
        <f>HYPERLINK("https://klasma.github.io/Logging_0380/tillsynsmail/A 3304-2025 tillsynsbegäran mail.docx", "A 3304-2025")</f>
        <v/>
      </c>
    </row>
    <row r="713" ht="15" customHeight="1">
      <c r="A713" t="inlineStr">
        <is>
          <t>A 4067-2025</t>
        </is>
      </c>
      <c r="B713" s="1" t="n">
        <v>45684</v>
      </c>
      <c r="C713" s="1" t="n">
        <v>45706</v>
      </c>
      <c r="D713" t="inlineStr">
        <is>
          <t>UPPSALA LÄN</t>
        </is>
      </c>
      <c r="E713" t="inlineStr">
        <is>
          <t>ENKÖPING</t>
        </is>
      </c>
      <c r="G713" t="n">
        <v>2.9</v>
      </c>
      <c r="H713" t="n">
        <v>0</v>
      </c>
      <c r="I713" t="n">
        <v>0</v>
      </c>
      <c r="J713" t="n">
        <v>1</v>
      </c>
      <c r="K713" t="n">
        <v>0</v>
      </c>
      <c r="L713" t="n">
        <v>0</v>
      </c>
      <c r="M713" t="n">
        <v>0</v>
      </c>
      <c r="N713" t="n">
        <v>0</v>
      </c>
      <c r="O713" t="n">
        <v>1</v>
      </c>
      <c r="P713" t="n">
        <v>0</v>
      </c>
      <c r="Q713" t="n">
        <v>1</v>
      </c>
      <c r="R713" s="2" t="inlineStr">
        <is>
          <t>Dofttaggsvamp</t>
        </is>
      </c>
      <c r="S713">
        <f>HYPERLINK("https://klasma.github.io/Logging_0381/artfynd/A 4067-2025 artfynd.xlsx", "A 4067-2025")</f>
        <v/>
      </c>
      <c r="T713">
        <f>HYPERLINK("https://klasma.github.io/Logging_0381/kartor/A 4067-2025 karta.png", "A 4067-2025")</f>
        <v/>
      </c>
      <c r="V713">
        <f>HYPERLINK("https://klasma.github.io/Logging_0381/klagomål/A 4067-2025 FSC-klagomål.docx", "A 4067-2025")</f>
        <v/>
      </c>
      <c r="W713">
        <f>HYPERLINK("https://klasma.github.io/Logging_0381/klagomålsmail/A 4067-2025 FSC-klagomål mail.docx", "A 4067-2025")</f>
        <v/>
      </c>
      <c r="X713">
        <f>HYPERLINK("https://klasma.github.io/Logging_0381/tillsyn/A 4067-2025 tillsynsbegäran.docx", "A 4067-2025")</f>
        <v/>
      </c>
      <c r="Y713">
        <f>HYPERLINK("https://klasma.github.io/Logging_0381/tillsynsmail/A 4067-2025 tillsynsbegäran mail.docx", "A 4067-2025")</f>
        <v/>
      </c>
    </row>
    <row r="714" ht="15" customHeight="1">
      <c r="A714" t="inlineStr">
        <is>
          <t>A 4657-2025</t>
        </is>
      </c>
      <c r="B714" s="1" t="n">
        <v>45687</v>
      </c>
      <c r="C714" s="1" t="n">
        <v>45706</v>
      </c>
      <c r="D714" t="inlineStr">
        <is>
          <t>UPPSALA LÄN</t>
        </is>
      </c>
      <c r="E714" t="inlineStr">
        <is>
          <t>UPPSALA</t>
        </is>
      </c>
      <c r="G714" t="n">
        <v>2.9</v>
      </c>
      <c r="H714" t="n">
        <v>1</v>
      </c>
      <c r="I714" t="n">
        <v>0</v>
      </c>
      <c r="J714" t="n">
        <v>1</v>
      </c>
      <c r="K714" t="n">
        <v>0</v>
      </c>
      <c r="L714" t="n">
        <v>0</v>
      </c>
      <c r="M714" t="n">
        <v>0</v>
      </c>
      <c r="N714" t="n">
        <v>0</v>
      </c>
      <c r="O714" t="n">
        <v>1</v>
      </c>
      <c r="P714" t="n">
        <v>0</v>
      </c>
      <c r="Q714" t="n">
        <v>1</v>
      </c>
      <c r="R714" s="2" t="inlineStr">
        <is>
          <t>Grönsångare</t>
        </is>
      </c>
      <c r="S714">
        <f>HYPERLINK("https://klasma.github.io/Logging_0380/artfynd/A 4657-2025 artfynd.xlsx", "A 4657-2025")</f>
        <v/>
      </c>
      <c r="T714">
        <f>HYPERLINK("https://klasma.github.io/Logging_0380/kartor/A 4657-2025 karta.png", "A 4657-2025")</f>
        <v/>
      </c>
      <c r="V714">
        <f>HYPERLINK("https://klasma.github.io/Logging_0380/klagomål/A 4657-2025 FSC-klagomål.docx", "A 4657-2025")</f>
        <v/>
      </c>
      <c r="W714">
        <f>HYPERLINK("https://klasma.github.io/Logging_0380/klagomålsmail/A 4657-2025 FSC-klagomål mail.docx", "A 4657-2025")</f>
        <v/>
      </c>
      <c r="X714">
        <f>HYPERLINK("https://klasma.github.io/Logging_0380/tillsyn/A 4657-2025 tillsynsbegäran.docx", "A 4657-2025")</f>
        <v/>
      </c>
      <c r="Y714">
        <f>HYPERLINK("https://klasma.github.io/Logging_0380/tillsynsmail/A 4657-2025 tillsynsbegäran mail.docx", "A 4657-2025")</f>
        <v/>
      </c>
      <c r="Z714">
        <f>HYPERLINK("https://klasma.github.io/Logging_0380/fåglar/A 4657-2025 prioriterade fågelarter.docx", "A 4657-2025")</f>
        <v/>
      </c>
    </row>
    <row r="715" ht="15" customHeight="1">
      <c r="A715" t="inlineStr">
        <is>
          <t>A 5619-2025</t>
        </is>
      </c>
      <c r="B715" s="1" t="n">
        <v>45693</v>
      </c>
      <c r="C715" s="1" t="n">
        <v>45706</v>
      </c>
      <c r="D715" t="inlineStr">
        <is>
          <t>UPPSALA LÄN</t>
        </is>
      </c>
      <c r="E715" t="inlineStr">
        <is>
          <t>UPPSALA</t>
        </is>
      </c>
      <c r="G715" t="n">
        <v>6.8</v>
      </c>
      <c r="H715" t="n">
        <v>1</v>
      </c>
      <c r="I715" t="n">
        <v>0</v>
      </c>
      <c r="J715" t="n">
        <v>1</v>
      </c>
      <c r="K715" t="n">
        <v>0</v>
      </c>
      <c r="L715" t="n">
        <v>0</v>
      </c>
      <c r="M715" t="n">
        <v>0</v>
      </c>
      <c r="N715" t="n">
        <v>0</v>
      </c>
      <c r="O715" t="n">
        <v>1</v>
      </c>
      <c r="P715" t="n">
        <v>0</v>
      </c>
      <c r="Q715" t="n">
        <v>1</v>
      </c>
      <c r="R715" s="2" t="inlineStr">
        <is>
          <t>Spillkråka</t>
        </is>
      </c>
      <c r="S715">
        <f>HYPERLINK("https://klasma.github.io/Logging_0380/artfynd/A 5619-2025 artfynd.xlsx", "A 5619-2025")</f>
        <v/>
      </c>
      <c r="T715">
        <f>HYPERLINK("https://klasma.github.io/Logging_0380/kartor/A 5619-2025 karta.png", "A 5619-2025")</f>
        <v/>
      </c>
      <c r="V715">
        <f>HYPERLINK("https://klasma.github.io/Logging_0380/klagomål/A 5619-2025 FSC-klagomål.docx", "A 5619-2025")</f>
        <v/>
      </c>
      <c r="W715">
        <f>HYPERLINK("https://klasma.github.io/Logging_0380/klagomålsmail/A 5619-2025 FSC-klagomål mail.docx", "A 5619-2025")</f>
        <v/>
      </c>
      <c r="X715">
        <f>HYPERLINK("https://klasma.github.io/Logging_0380/tillsyn/A 5619-2025 tillsynsbegäran.docx", "A 5619-2025")</f>
        <v/>
      </c>
      <c r="Y715">
        <f>HYPERLINK("https://klasma.github.io/Logging_0380/tillsynsmail/A 5619-2025 tillsynsbegäran mail.docx", "A 5619-2025")</f>
        <v/>
      </c>
      <c r="Z715">
        <f>HYPERLINK("https://klasma.github.io/Logging_0380/fåglar/A 5619-2025 prioriterade fågelarter.docx", "A 5619-2025")</f>
        <v/>
      </c>
    </row>
    <row r="716" ht="15" customHeight="1">
      <c r="A716" t="inlineStr">
        <is>
          <t>A 5732-2025</t>
        </is>
      </c>
      <c r="B716" s="1" t="n">
        <v>45694</v>
      </c>
      <c r="C716" s="1" t="n">
        <v>45706</v>
      </c>
      <c r="D716" t="inlineStr">
        <is>
          <t>UPPSALA LÄN</t>
        </is>
      </c>
      <c r="E716" t="inlineStr">
        <is>
          <t>UPPSALA</t>
        </is>
      </c>
      <c r="G716" t="n">
        <v>1.9</v>
      </c>
      <c r="H716" t="n">
        <v>0</v>
      </c>
      <c r="I716" t="n">
        <v>1</v>
      </c>
      <c r="J716" t="n">
        <v>0</v>
      </c>
      <c r="K716" t="n">
        <v>0</v>
      </c>
      <c r="L716" t="n">
        <v>0</v>
      </c>
      <c r="M716" t="n">
        <v>0</v>
      </c>
      <c r="N716" t="n">
        <v>0</v>
      </c>
      <c r="O716" t="n">
        <v>0</v>
      </c>
      <c r="P716" t="n">
        <v>0</v>
      </c>
      <c r="Q716" t="n">
        <v>1</v>
      </c>
      <c r="R716" s="2" t="inlineStr">
        <is>
          <t>Fällmossa</t>
        </is>
      </c>
      <c r="S716">
        <f>HYPERLINK("https://klasma.github.io/Logging_0380/artfynd/A 5732-2025 artfynd.xlsx", "A 5732-2025")</f>
        <v/>
      </c>
      <c r="T716">
        <f>HYPERLINK("https://klasma.github.io/Logging_0380/kartor/A 5732-2025 karta.png", "A 5732-2025")</f>
        <v/>
      </c>
      <c r="V716">
        <f>HYPERLINK("https://klasma.github.io/Logging_0380/klagomål/A 5732-2025 FSC-klagomål.docx", "A 5732-2025")</f>
        <v/>
      </c>
      <c r="W716">
        <f>HYPERLINK("https://klasma.github.io/Logging_0380/klagomålsmail/A 5732-2025 FSC-klagomål mail.docx", "A 5732-2025")</f>
        <v/>
      </c>
      <c r="X716">
        <f>HYPERLINK("https://klasma.github.io/Logging_0380/tillsyn/A 5732-2025 tillsynsbegäran.docx", "A 5732-2025")</f>
        <v/>
      </c>
      <c r="Y716">
        <f>HYPERLINK("https://klasma.github.io/Logging_0380/tillsynsmail/A 5732-2025 tillsynsbegäran mail.docx", "A 5732-2025")</f>
        <v/>
      </c>
    </row>
    <row r="717" ht="15" customHeight="1">
      <c r="A717" t="inlineStr">
        <is>
          <t>A 6143-2025</t>
        </is>
      </c>
      <c r="B717" s="1" t="n">
        <v>45698</v>
      </c>
      <c r="C717" s="1" t="n">
        <v>45706</v>
      </c>
      <c r="D717" t="inlineStr">
        <is>
          <t>UPPSALA LÄN</t>
        </is>
      </c>
      <c r="E717" t="inlineStr">
        <is>
          <t>ÖSTHAMMAR</t>
        </is>
      </c>
      <c r="F717" t="inlineStr">
        <is>
          <t>Bergvik skog öst AB</t>
        </is>
      </c>
      <c r="G717" t="n">
        <v>3.6</v>
      </c>
      <c r="H717" t="n">
        <v>0</v>
      </c>
      <c r="I717" t="n">
        <v>1</v>
      </c>
      <c r="J717" t="n">
        <v>0</v>
      </c>
      <c r="K717" t="n">
        <v>0</v>
      </c>
      <c r="L717" t="n">
        <v>0</v>
      </c>
      <c r="M717" t="n">
        <v>0</v>
      </c>
      <c r="N717" t="n">
        <v>0</v>
      </c>
      <c r="O717" t="n">
        <v>0</v>
      </c>
      <c r="P717" t="n">
        <v>0</v>
      </c>
      <c r="Q717" t="n">
        <v>1</v>
      </c>
      <c r="R717" s="2" t="inlineStr">
        <is>
          <t>Svavelriska</t>
        </is>
      </c>
      <c r="S717">
        <f>HYPERLINK("https://klasma.github.io/Logging_0382/artfynd/A 6143-2025 artfynd.xlsx", "A 6143-2025")</f>
        <v/>
      </c>
      <c r="T717">
        <f>HYPERLINK("https://klasma.github.io/Logging_0382/kartor/A 6143-2025 karta.png", "A 6143-2025")</f>
        <v/>
      </c>
      <c r="V717">
        <f>HYPERLINK("https://klasma.github.io/Logging_0382/klagomål/A 6143-2025 FSC-klagomål.docx", "A 6143-2025")</f>
        <v/>
      </c>
      <c r="W717">
        <f>HYPERLINK("https://klasma.github.io/Logging_0382/klagomålsmail/A 6143-2025 FSC-klagomål mail.docx", "A 6143-2025")</f>
        <v/>
      </c>
      <c r="X717">
        <f>HYPERLINK("https://klasma.github.io/Logging_0382/tillsyn/A 6143-2025 tillsynsbegäran.docx", "A 6143-2025")</f>
        <v/>
      </c>
      <c r="Y717">
        <f>HYPERLINK("https://klasma.github.io/Logging_0382/tillsynsmail/A 6143-2025 tillsynsbegäran mail.docx", "A 6143-2025")</f>
        <v/>
      </c>
    </row>
    <row r="718" ht="15" customHeight="1">
      <c r="A718" t="inlineStr">
        <is>
          <t>A 6829-2025</t>
        </is>
      </c>
      <c r="B718" s="1" t="n">
        <v>45700</v>
      </c>
      <c r="C718" s="1" t="n">
        <v>45706</v>
      </c>
      <c r="D718" t="inlineStr">
        <is>
          <t>UPPSALA LÄN</t>
        </is>
      </c>
      <c r="E718" t="inlineStr">
        <is>
          <t>TIERP</t>
        </is>
      </c>
      <c r="G718" t="n">
        <v>5.1</v>
      </c>
      <c r="H718" t="n">
        <v>0</v>
      </c>
      <c r="I718" t="n">
        <v>1</v>
      </c>
      <c r="J718" t="n">
        <v>0</v>
      </c>
      <c r="K718" t="n">
        <v>0</v>
      </c>
      <c r="L718" t="n">
        <v>0</v>
      </c>
      <c r="M718" t="n">
        <v>0</v>
      </c>
      <c r="N718" t="n">
        <v>0</v>
      </c>
      <c r="O718" t="n">
        <v>0</v>
      </c>
      <c r="P718" t="n">
        <v>0</v>
      </c>
      <c r="Q718" t="n">
        <v>1</v>
      </c>
      <c r="R718" s="2" t="inlineStr">
        <is>
          <t>Tibast</t>
        </is>
      </c>
      <c r="S718">
        <f>HYPERLINK("https://klasma.github.io/Logging_0360/artfynd/A 6829-2025 artfynd.xlsx", "A 6829-2025")</f>
        <v/>
      </c>
      <c r="T718">
        <f>HYPERLINK("https://klasma.github.io/Logging_0360/kartor/A 6829-2025 karta.png", "A 6829-2025")</f>
        <v/>
      </c>
      <c r="V718">
        <f>HYPERLINK("https://klasma.github.io/Logging_0360/klagomål/A 6829-2025 FSC-klagomål.docx", "A 6829-2025")</f>
        <v/>
      </c>
      <c r="W718">
        <f>HYPERLINK("https://klasma.github.io/Logging_0360/klagomålsmail/A 6829-2025 FSC-klagomål mail.docx", "A 6829-2025")</f>
        <v/>
      </c>
      <c r="X718">
        <f>HYPERLINK("https://klasma.github.io/Logging_0360/tillsyn/A 6829-2025 tillsynsbegäran.docx", "A 6829-2025")</f>
        <v/>
      </c>
      <c r="Y718">
        <f>HYPERLINK("https://klasma.github.io/Logging_0360/tillsynsmail/A 6829-2025 tillsynsbegäran mail.docx", "A 6829-2025")</f>
        <v/>
      </c>
    </row>
    <row r="719" ht="15" customHeight="1">
      <c r="A719" t="inlineStr">
        <is>
          <t>A 17828-2019</t>
        </is>
      </c>
      <c r="B719" s="1" t="n">
        <v>43556</v>
      </c>
      <c r="C719" s="1" t="n">
        <v>45706</v>
      </c>
      <c r="D719" t="inlineStr">
        <is>
          <t>UPPSALA LÄN</t>
        </is>
      </c>
      <c r="E719" t="inlineStr">
        <is>
          <t>UPPSALA</t>
        </is>
      </c>
      <c r="G719" t="n">
        <v>2.8</v>
      </c>
      <c r="H719" t="n">
        <v>0</v>
      </c>
      <c r="I719" t="n">
        <v>0</v>
      </c>
      <c r="J719" t="n">
        <v>0</v>
      </c>
      <c r="K719" t="n">
        <v>0</v>
      </c>
      <c r="L719" t="n">
        <v>0</v>
      </c>
      <c r="M719" t="n">
        <v>0</v>
      </c>
      <c r="N719" t="n">
        <v>0</v>
      </c>
      <c r="O719" t="n">
        <v>0</v>
      </c>
      <c r="P719" t="n">
        <v>0</v>
      </c>
      <c r="Q719" t="n">
        <v>0</v>
      </c>
      <c r="R719" s="2" t="inlineStr"/>
    </row>
    <row r="720" ht="15" customHeight="1">
      <c r="A720" t="inlineStr">
        <is>
          <t>A 17706-2019</t>
        </is>
      </c>
      <c r="B720" s="1" t="n">
        <v>43556</v>
      </c>
      <c r="C720" s="1" t="n">
        <v>45706</v>
      </c>
      <c r="D720" t="inlineStr">
        <is>
          <t>UPPSALA LÄN</t>
        </is>
      </c>
      <c r="E720" t="inlineStr">
        <is>
          <t>HEBY</t>
        </is>
      </c>
      <c r="G720" t="n">
        <v>2.4</v>
      </c>
      <c r="H720" t="n">
        <v>0</v>
      </c>
      <c r="I720" t="n">
        <v>0</v>
      </c>
      <c r="J720" t="n">
        <v>0</v>
      </c>
      <c r="K720" t="n">
        <v>0</v>
      </c>
      <c r="L720" t="n">
        <v>0</v>
      </c>
      <c r="M720" t="n">
        <v>0</v>
      </c>
      <c r="N720" t="n">
        <v>0</v>
      </c>
      <c r="O720" t="n">
        <v>0</v>
      </c>
      <c r="P720" t="n">
        <v>0</v>
      </c>
      <c r="Q720" t="n">
        <v>0</v>
      </c>
      <c r="R720" s="2" t="inlineStr"/>
    </row>
    <row r="721" ht="15" customHeight="1">
      <c r="A721" t="inlineStr">
        <is>
          <t>A 18148-2019</t>
        </is>
      </c>
      <c r="B721" s="1" t="n">
        <v>43558</v>
      </c>
      <c r="C721" s="1" t="n">
        <v>45706</v>
      </c>
      <c r="D721" t="inlineStr">
        <is>
          <t>UPPSALA LÄN</t>
        </is>
      </c>
      <c r="E721" t="inlineStr">
        <is>
          <t>ENKÖPING</t>
        </is>
      </c>
      <c r="G721" t="n">
        <v>4.5</v>
      </c>
      <c r="H721" t="n">
        <v>0</v>
      </c>
      <c r="I721" t="n">
        <v>0</v>
      </c>
      <c r="J721" t="n">
        <v>0</v>
      </c>
      <c r="K721" t="n">
        <v>0</v>
      </c>
      <c r="L721" t="n">
        <v>0</v>
      </c>
      <c r="M721" t="n">
        <v>0</v>
      </c>
      <c r="N721" t="n">
        <v>0</v>
      </c>
      <c r="O721" t="n">
        <v>0</v>
      </c>
      <c r="P721" t="n">
        <v>0</v>
      </c>
      <c r="Q721" t="n">
        <v>0</v>
      </c>
      <c r="R721" s="2" t="inlineStr"/>
    </row>
    <row r="722" ht="15" customHeight="1">
      <c r="A722" t="inlineStr">
        <is>
          <t>A 18264-2019</t>
        </is>
      </c>
      <c r="B722" s="1" t="n">
        <v>43558</v>
      </c>
      <c r="C722" s="1" t="n">
        <v>45706</v>
      </c>
      <c r="D722" t="inlineStr">
        <is>
          <t>UPPSALA LÄN</t>
        </is>
      </c>
      <c r="E722" t="inlineStr">
        <is>
          <t>HÅBO</t>
        </is>
      </c>
      <c r="G722" t="n">
        <v>5.6</v>
      </c>
      <c r="H722" t="n">
        <v>0</v>
      </c>
      <c r="I722" t="n">
        <v>0</v>
      </c>
      <c r="J722" t="n">
        <v>0</v>
      </c>
      <c r="K722" t="n">
        <v>0</v>
      </c>
      <c r="L722" t="n">
        <v>0</v>
      </c>
      <c r="M722" t="n">
        <v>0</v>
      </c>
      <c r="N722" t="n">
        <v>0</v>
      </c>
      <c r="O722" t="n">
        <v>0</v>
      </c>
      <c r="P722" t="n">
        <v>0</v>
      </c>
      <c r="Q722" t="n">
        <v>0</v>
      </c>
      <c r="R722" s="2" t="inlineStr"/>
    </row>
    <row r="723" ht="15" customHeight="1">
      <c r="A723" t="inlineStr">
        <is>
          <t>A 18323-2019</t>
        </is>
      </c>
      <c r="B723" s="1" t="n">
        <v>43559</v>
      </c>
      <c r="C723" s="1" t="n">
        <v>45706</v>
      </c>
      <c r="D723" t="inlineStr">
        <is>
          <t>UPPSALA LÄN</t>
        </is>
      </c>
      <c r="E723" t="inlineStr">
        <is>
          <t>HEBY</t>
        </is>
      </c>
      <c r="G723" t="n">
        <v>3.3</v>
      </c>
      <c r="H723" t="n">
        <v>0</v>
      </c>
      <c r="I723" t="n">
        <v>0</v>
      </c>
      <c r="J723" t="n">
        <v>0</v>
      </c>
      <c r="K723" t="n">
        <v>0</v>
      </c>
      <c r="L723" t="n">
        <v>0</v>
      </c>
      <c r="M723" t="n">
        <v>0</v>
      </c>
      <c r="N723" t="n">
        <v>0</v>
      </c>
      <c r="O723" t="n">
        <v>0</v>
      </c>
      <c r="P723" t="n">
        <v>0</v>
      </c>
      <c r="Q723" t="n">
        <v>0</v>
      </c>
      <c r="R723" s="2" t="inlineStr"/>
    </row>
    <row r="724" ht="15" customHeight="1">
      <c r="A724" t="inlineStr">
        <is>
          <t>A 18446-2019</t>
        </is>
      </c>
      <c r="B724" s="1" t="n">
        <v>43559</v>
      </c>
      <c r="C724" s="1" t="n">
        <v>45706</v>
      </c>
      <c r="D724" t="inlineStr">
        <is>
          <t>UPPSALA LÄN</t>
        </is>
      </c>
      <c r="E724" t="inlineStr">
        <is>
          <t>UPPSALA</t>
        </is>
      </c>
      <c r="G724" t="n">
        <v>9.1</v>
      </c>
      <c r="H724" t="n">
        <v>0</v>
      </c>
      <c r="I724" t="n">
        <v>0</v>
      </c>
      <c r="J724" t="n">
        <v>0</v>
      </c>
      <c r="K724" t="n">
        <v>0</v>
      </c>
      <c r="L724" t="n">
        <v>0</v>
      </c>
      <c r="M724" t="n">
        <v>0</v>
      </c>
      <c r="N724" t="n">
        <v>0</v>
      </c>
      <c r="O724" t="n">
        <v>0</v>
      </c>
      <c r="P724" t="n">
        <v>0</v>
      </c>
      <c r="Q724" t="n">
        <v>0</v>
      </c>
      <c r="R724" s="2" t="inlineStr"/>
    </row>
    <row r="725" ht="15" customHeight="1">
      <c r="A725" t="inlineStr">
        <is>
          <t>A 18466-2019</t>
        </is>
      </c>
      <c r="B725" s="1" t="n">
        <v>43559</v>
      </c>
      <c r="C725" s="1" t="n">
        <v>45706</v>
      </c>
      <c r="D725" t="inlineStr">
        <is>
          <t>UPPSALA LÄN</t>
        </is>
      </c>
      <c r="E725" t="inlineStr">
        <is>
          <t>TIERP</t>
        </is>
      </c>
      <c r="G725" t="n">
        <v>2.5</v>
      </c>
      <c r="H725" t="n">
        <v>0</v>
      </c>
      <c r="I725" t="n">
        <v>0</v>
      </c>
      <c r="J725" t="n">
        <v>0</v>
      </c>
      <c r="K725" t="n">
        <v>0</v>
      </c>
      <c r="L725" t="n">
        <v>0</v>
      </c>
      <c r="M725" t="n">
        <v>0</v>
      </c>
      <c r="N725" t="n">
        <v>0</v>
      </c>
      <c r="O725" t="n">
        <v>0</v>
      </c>
      <c r="P725" t="n">
        <v>0</v>
      </c>
      <c r="Q725" t="n">
        <v>0</v>
      </c>
      <c r="R725" s="2" t="inlineStr"/>
    </row>
    <row r="726" ht="15" customHeight="1">
      <c r="A726" t="inlineStr">
        <is>
          <t>A 18506-2019</t>
        </is>
      </c>
      <c r="B726" s="1" t="n">
        <v>43559</v>
      </c>
      <c r="C726" s="1" t="n">
        <v>45706</v>
      </c>
      <c r="D726" t="inlineStr">
        <is>
          <t>UPPSALA LÄN</t>
        </is>
      </c>
      <c r="E726" t="inlineStr">
        <is>
          <t>KNIVSTA</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18503-2019</t>
        </is>
      </c>
      <c r="B727" s="1" t="n">
        <v>43559</v>
      </c>
      <c r="C727" s="1" t="n">
        <v>45706</v>
      </c>
      <c r="D727" t="inlineStr">
        <is>
          <t>UPPSALA LÄN</t>
        </is>
      </c>
      <c r="E727" t="inlineStr">
        <is>
          <t>KNIVSTA</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18554-2019</t>
        </is>
      </c>
      <c r="B728" s="1" t="n">
        <v>43559</v>
      </c>
      <c r="C728" s="1" t="n">
        <v>45706</v>
      </c>
      <c r="D728" t="inlineStr">
        <is>
          <t>UPPSALA LÄN</t>
        </is>
      </c>
      <c r="E728" t="inlineStr">
        <is>
          <t>UPPSALA</t>
        </is>
      </c>
      <c r="G728" t="n">
        <v>5.6</v>
      </c>
      <c r="H728" t="n">
        <v>0</v>
      </c>
      <c r="I728" t="n">
        <v>0</v>
      </c>
      <c r="J728" t="n">
        <v>0</v>
      </c>
      <c r="K728" t="n">
        <v>0</v>
      </c>
      <c r="L728" t="n">
        <v>0</v>
      </c>
      <c r="M728" t="n">
        <v>0</v>
      </c>
      <c r="N728" t="n">
        <v>0</v>
      </c>
      <c r="O728" t="n">
        <v>0</v>
      </c>
      <c r="P728" t="n">
        <v>0</v>
      </c>
      <c r="Q728" t="n">
        <v>0</v>
      </c>
      <c r="R728" s="2" t="inlineStr"/>
    </row>
    <row r="729" ht="15" customHeight="1">
      <c r="A729" t="inlineStr">
        <is>
          <t>A 18699-2019</t>
        </is>
      </c>
      <c r="B729" s="1" t="n">
        <v>43560</v>
      </c>
      <c r="C729" s="1" t="n">
        <v>45706</v>
      </c>
      <c r="D729" t="inlineStr">
        <is>
          <t>UPPSALA LÄN</t>
        </is>
      </c>
      <c r="E729" t="inlineStr">
        <is>
          <t>HEBY</t>
        </is>
      </c>
      <c r="G729" t="n">
        <v>1.9</v>
      </c>
      <c r="H729" t="n">
        <v>0</v>
      </c>
      <c r="I729" t="n">
        <v>0</v>
      </c>
      <c r="J729" t="n">
        <v>0</v>
      </c>
      <c r="K729" t="n">
        <v>0</v>
      </c>
      <c r="L729" t="n">
        <v>0</v>
      </c>
      <c r="M729" t="n">
        <v>0</v>
      </c>
      <c r="N729" t="n">
        <v>0</v>
      </c>
      <c r="O729" t="n">
        <v>0</v>
      </c>
      <c r="P729" t="n">
        <v>0</v>
      </c>
      <c r="Q729" t="n">
        <v>0</v>
      </c>
      <c r="R729" s="2" t="inlineStr"/>
    </row>
    <row r="730" ht="15" customHeight="1">
      <c r="A730" t="inlineStr">
        <is>
          <t>A 18716-2019</t>
        </is>
      </c>
      <c r="B730" s="1" t="n">
        <v>43560</v>
      </c>
      <c r="C730" s="1" t="n">
        <v>45706</v>
      </c>
      <c r="D730" t="inlineStr">
        <is>
          <t>UPPSALA LÄN</t>
        </is>
      </c>
      <c r="E730" t="inlineStr">
        <is>
          <t>HEBY</t>
        </is>
      </c>
      <c r="G730" t="n">
        <v>4.7</v>
      </c>
      <c r="H730" t="n">
        <v>0</v>
      </c>
      <c r="I730" t="n">
        <v>0</v>
      </c>
      <c r="J730" t="n">
        <v>0</v>
      </c>
      <c r="K730" t="n">
        <v>0</v>
      </c>
      <c r="L730" t="n">
        <v>0</v>
      </c>
      <c r="M730" t="n">
        <v>0</v>
      </c>
      <c r="N730" t="n">
        <v>0</v>
      </c>
      <c r="O730" t="n">
        <v>0</v>
      </c>
      <c r="P730" t="n">
        <v>0</v>
      </c>
      <c r="Q730" t="n">
        <v>0</v>
      </c>
      <c r="R730" s="2" t="inlineStr"/>
    </row>
    <row r="731" ht="15" customHeight="1">
      <c r="A731" t="inlineStr">
        <is>
          <t>A 18810-2019</t>
        </is>
      </c>
      <c r="B731" s="1" t="n">
        <v>43560</v>
      </c>
      <c r="C731" s="1" t="n">
        <v>45706</v>
      </c>
      <c r="D731" t="inlineStr">
        <is>
          <t>UPPSALA LÄN</t>
        </is>
      </c>
      <c r="E731" t="inlineStr">
        <is>
          <t>UPPSALA</t>
        </is>
      </c>
      <c r="G731" t="n">
        <v>4</v>
      </c>
      <c r="H731" t="n">
        <v>0</v>
      </c>
      <c r="I731" t="n">
        <v>0</v>
      </c>
      <c r="J731" t="n">
        <v>0</v>
      </c>
      <c r="K731" t="n">
        <v>0</v>
      </c>
      <c r="L731" t="n">
        <v>0</v>
      </c>
      <c r="M731" t="n">
        <v>0</v>
      </c>
      <c r="N731" t="n">
        <v>0</v>
      </c>
      <c r="O731" t="n">
        <v>0</v>
      </c>
      <c r="P731" t="n">
        <v>0</v>
      </c>
      <c r="Q731" t="n">
        <v>0</v>
      </c>
      <c r="R731" s="2" t="inlineStr"/>
    </row>
    <row r="732" ht="15" customHeight="1">
      <c r="A732" t="inlineStr">
        <is>
          <t>A 18596-2019</t>
        </is>
      </c>
      <c r="B732" s="1" t="n">
        <v>43560</v>
      </c>
      <c r="C732" s="1" t="n">
        <v>45706</v>
      </c>
      <c r="D732" t="inlineStr">
        <is>
          <t>UPPSALA LÄN</t>
        </is>
      </c>
      <c r="E732" t="inlineStr">
        <is>
          <t>ÖSTHAMMAR</t>
        </is>
      </c>
      <c r="G732" t="n">
        <v>1.2</v>
      </c>
      <c r="H732" t="n">
        <v>0</v>
      </c>
      <c r="I732" t="n">
        <v>0</v>
      </c>
      <c r="J732" t="n">
        <v>0</v>
      </c>
      <c r="K732" t="n">
        <v>0</v>
      </c>
      <c r="L732" t="n">
        <v>0</v>
      </c>
      <c r="M732" t="n">
        <v>0</v>
      </c>
      <c r="N732" t="n">
        <v>0</v>
      </c>
      <c r="O732" t="n">
        <v>0</v>
      </c>
      <c r="P732" t="n">
        <v>0</v>
      </c>
      <c r="Q732" t="n">
        <v>0</v>
      </c>
      <c r="R732" s="2" t="inlineStr"/>
    </row>
    <row r="733" ht="15" customHeight="1">
      <c r="A733" t="inlineStr">
        <is>
          <t>A 18781-2019</t>
        </is>
      </c>
      <c r="B733" s="1" t="n">
        <v>43561</v>
      </c>
      <c r="C733" s="1" t="n">
        <v>45706</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18792-2019</t>
        </is>
      </c>
      <c r="B734" s="1" t="n">
        <v>43562</v>
      </c>
      <c r="C734" s="1" t="n">
        <v>45706</v>
      </c>
      <c r="D734" t="inlineStr">
        <is>
          <t>UPPSALA LÄN</t>
        </is>
      </c>
      <c r="E734" t="inlineStr">
        <is>
          <t>ÖSTHAMMAR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18800-2019</t>
        </is>
      </c>
      <c r="B735" s="1" t="n">
        <v>43562</v>
      </c>
      <c r="C735" s="1" t="n">
        <v>45706</v>
      </c>
      <c r="D735" t="inlineStr">
        <is>
          <t>UPPSALA LÄN</t>
        </is>
      </c>
      <c r="E735" t="inlineStr">
        <is>
          <t>ÖSTHAMMAR</t>
        </is>
      </c>
      <c r="F735" t="inlineStr">
        <is>
          <t>Bergvik skog öst AB</t>
        </is>
      </c>
      <c r="G735" t="n">
        <v>1.6</v>
      </c>
      <c r="H735" t="n">
        <v>0</v>
      </c>
      <c r="I735" t="n">
        <v>0</v>
      </c>
      <c r="J735" t="n">
        <v>0</v>
      </c>
      <c r="K735" t="n">
        <v>0</v>
      </c>
      <c r="L735" t="n">
        <v>0</v>
      </c>
      <c r="M735" t="n">
        <v>0</v>
      </c>
      <c r="N735" t="n">
        <v>0</v>
      </c>
      <c r="O735" t="n">
        <v>0</v>
      </c>
      <c r="P735" t="n">
        <v>0</v>
      </c>
      <c r="Q735" t="n">
        <v>0</v>
      </c>
      <c r="R735" s="2" t="inlineStr"/>
    </row>
    <row r="736" ht="15" customHeight="1">
      <c r="A736" t="inlineStr">
        <is>
          <t>A 18799-2019</t>
        </is>
      </c>
      <c r="B736" s="1" t="n">
        <v>43562</v>
      </c>
      <c r="C736" s="1" t="n">
        <v>45706</v>
      </c>
      <c r="D736" t="inlineStr">
        <is>
          <t>UPPSALA LÄN</t>
        </is>
      </c>
      <c r="E736" t="inlineStr">
        <is>
          <t>HEBY</t>
        </is>
      </c>
      <c r="G736" t="n">
        <v>5.8</v>
      </c>
      <c r="H736" t="n">
        <v>0</v>
      </c>
      <c r="I736" t="n">
        <v>0</v>
      </c>
      <c r="J736" t="n">
        <v>0</v>
      </c>
      <c r="K736" t="n">
        <v>0</v>
      </c>
      <c r="L736" t="n">
        <v>0</v>
      </c>
      <c r="M736" t="n">
        <v>0</v>
      </c>
      <c r="N736" t="n">
        <v>0</v>
      </c>
      <c r="O736" t="n">
        <v>0</v>
      </c>
      <c r="P736" t="n">
        <v>0</v>
      </c>
      <c r="Q736" t="n">
        <v>0</v>
      </c>
      <c r="R736" s="2" t="inlineStr"/>
    </row>
    <row r="737" ht="15" customHeight="1">
      <c r="A737" t="inlineStr">
        <is>
          <t>A 18997-2019</t>
        </is>
      </c>
      <c r="B737" s="1" t="n">
        <v>43563</v>
      </c>
      <c r="C737" s="1" t="n">
        <v>45706</v>
      </c>
      <c r="D737" t="inlineStr">
        <is>
          <t>UPPSALA LÄN</t>
        </is>
      </c>
      <c r="E737" t="inlineStr">
        <is>
          <t>HEBY</t>
        </is>
      </c>
      <c r="G737" t="n">
        <v>2.6</v>
      </c>
      <c r="H737" t="n">
        <v>0</v>
      </c>
      <c r="I737" t="n">
        <v>0</v>
      </c>
      <c r="J737" t="n">
        <v>0</v>
      </c>
      <c r="K737" t="n">
        <v>0</v>
      </c>
      <c r="L737" t="n">
        <v>0</v>
      </c>
      <c r="M737" t="n">
        <v>0</v>
      </c>
      <c r="N737" t="n">
        <v>0</v>
      </c>
      <c r="O737" t="n">
        <v>0</v>
      </c>
      <c r="P737" t="n">
        <v>0</v>
      </c>
      <c r="Q737" t="n">
        <v>0</v>
      </c>
      <c r="R737" s="2" t="inlineStr"/>
    </row>
    <row r="738" ht="15" customHeight="1">
      <c r="A738" t="inlineStr">
        <is>
          <t>A 19512-2019</t>
        </is>
      </c>
      <c r="B738" s="1" t="n">
        <v>43565</v>
      </c>
      <c r="C738" s="1" t="n">
        <v>45706</v>
      </c>
      <c r="D738" t="inlineStr">
        <is>
          <t>UPPSALA LÄN</t>
        </is>
      </c>
      <c r="E738" t="inlineStr">
        <is>
          <t>KNIVSTA</t>
        </is>
      </c>
      <c r="G738" t="n">
        <v>5.6</v>
      </c>
      <c r="H738" t="n">
        <v>0</v>
      </c>
      <c r="I738" t="n">
        <v>0</v>
      </c>
      <c r="J738" t="n">
        <v>0</v>
      </c>
      <c r="K738" t="n">
        <v>0</v>
      </c>
      <c r="L738" t="n">
        <v>0</v>
      </c>
      <c r="M738" t="n">
        <v>0</v>
      </c>
      <c r="N738" t="n">
        <v>0</v>
      </c>
      <c r="O738" t="n">
        <v>0</v>
      </c>
      <c r="P738" t="n">
        <v>0</v>
      </c>
      <c r="Q738" t="n">
        <v>0</v>
      </c>
      <c r="R738" s="2" t="inlineStr"/>
    </row>
    <row r="739" ht="15" customHeight="1">
      <c r="A739" t="inlineStr">
        <is>
          <t>A 19791-2019</t>
        </is>
      </c>
      <c r="B739" s="1" t="n">
        <v>43567</v>
      </c>
      <c r="C739" s="1" t="n">
        <v>45706</v>
      </c>
      <c r="D739" t="inlineStr">
        <is>
          <t>UPPSALA LÄN</t>
        </is>
      </c>
      <c r="E739" t="inlineStr">
        <is>
          <t>TIERP</t>
        </is>
      </c>
      <c r="G739" t="n">
        <v>6.2</v>
      </c>
      <c r="H739" t="n">
        <v>0</v>
      </c>
      <c r="I739" t="n">
        <v>0</v>
      </c>
      <c r="J739" t="n">
        <v>0</v>
      </c>
      <c r="K739" t="n">
        <v>0</v>
      </c>
      <c r="L739" t="n">
        <v>0</v>
      </c>
      <c r="M739" t="n">
        <v>0</v>
      </c>
      <c r="N739" t="n">
        <v>0</v>
      </c>
      <c r="O739" t="n">
        <v>0</v>
      </c>
      <c r="P739" t="n">
        <v>0</v>
      </c>
      <c r="Q739" t="n">
        <v>0</v>
      </c>
      <c r="R739" s="2" t="inlineStr"/>
    </row>
    <row r="740" ht="15" customHeight="1">
      <c r="A740" t="inlineStr">
        <is>
          <t>A 19779-2019</t>
        </is>
      </c>
      <c r="B740" s="1" t="n">
        <v>43567</v>
      </c>
      <c r="C740" s="1" t="n">
        <v>45706</v>
      </c>
      <c r="D740" t="inlineStr">
        <is>
          <t>UPPSALA LÄN</t>
        </is>
      </c>
      <c r="E740" t="inlineStr">
        <is>
          <t>HEBY</t>
        </is>
      </c>
      <c r="G740" t="n">
        <v>3.3</v>
      </c>
      <c r="H740" t="n">
        <v>0</v>
      </c>
      <c r="I740" t="n">
        <v>0</v>
      </c>
      <c r="J740" t="n">
        <v>0</v>
      </c>
      <c r="K740" t="n">
        <v>0</v>
      </c>
      <c r="L740" t="n">
        <v>0</v>
      </c>
      <c r="M740" t="n">
        <v>0</v>
      </c>
      <c r="N740" t="n">
        <v>0</v>
      </c>
      <c r="O740" t="n">
        <v>0</v>
      </c>
      <c r="P740" t="n">
        <v>0</v>
      </c>
      <c r="Q740" t="n">
        <v>0</v>
      </c>
      <c r="R740" s="2" t="inlineStr"/>
    </row>
    <row r="741" ht="15" customHeight="1">
      <c r="A741" t="inlineStr">
        <is>
          <t>A 19969-2019</t>
        </is>
      </c>
      <c r="B741" s="1" t="n">
        <v>43570</v>
      </c>
      <c r="C741" s="1" t="n">
        <v>45706</v>
      </c>
      <c r="D741" t="inlineStr">
        <is>
          <t>UPPSALA LÄN</t>
        </is>
      </c>
      <c r="E741" t="inlineStr">
        <is>
          <t>ÄLVKARLEBY</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20157-2019</t>
        </is>
      </c>
      <c r="B742" s="1" t="n">
        <v>43570</v>
      </c>
      <c r="C742" s="1" t="n">
        <v>45706</v>
      </c>
      <c r="D742" t="inlineStr">
        <is>
          <t>UPPSALA LÄN</t>
        </is>
      </c>
      <c r="E742" t="inlineStr">
        <is>
          <t>HEBY</t>
        </is>
      </c>
      <c r="G742" t="n">
        <v>4.5</v>
      </c>
      <c r="H742" t="n">
        <v>0</v>
      </c>
      <c r="I742" t="n">
        <v>0</v>
      </c>
      <c r="J742" t="n">
        <v>0</v>
      </c>
      <c r="K742" t="n">
        <v>0</v>
      </c>
      <c r="L742" t="n">
        <v>0</v>
      </c>
      <c r="M742" t="n">
        <v>0</v>
      </c>
      <c r="N742" t="n">
        <v>0</v>
      </c>
      <c r="O742" t="n">
        <v>0</v>
      </c>
      <c r="P742" t="n">
        <v>0</v>
      </c>
      <c r="Q742" t="n">
        <v>0</v>
      </c>
      <c r="R742" s="2" t="inlineStr"/>
    </row>
    <row r="743" ht="15" customHeight="1">
      <c r="A743" t="inlineStr">
        <is>
          <t>A 20011-2019</t>
        </is>
      </c>
      <c r="B743" s="1" t="n">
        <v>43570</v>
      </c>
      <c r="C743" s="1" t="n">
        <v>45706</v>
      </c>
      <c r="D743" t="inlineStr">
        <is>
          <t>UPPSALA LÄN</t>
        </is>
      </c>
      <c r="E743" t="inlineStr">
        <is>
          <t>UPPSALA</t>
        </is>
      </c>
      <c r="G743" t="n">
        <v>6.3</v>
      </c>
      <c r="H743" t="n">
        <v>0</v>
      </c>
      <c r="I743" t="n">
        <v>0</v>
      </c>
      <c r="J743" t="n">
        <v>0</v>
      </c>
      <c r="K743" t="n">
        <v>0</v>
      </c>
      <c r="L743" t="n">
        <v>0</v>
      </c>
      <c r="M743" t="n">
        <v>0</v>
      </c>
      <c r="N743" t="n">
        <v>0</v>
      </c>
      <c r="O743" t="n">
        <v>0</v>
      </c>
      <c r="P743" t="n">
        <v>0</v>
      </c>
      <c r="Q743" t="n">
        <v>0</v>
      </c>
      <c r="R743" s="2" t="inlineStr"/>
    </row>
    <row r="744" ht="15" customHeight="1">
      <c r="A744" t="inlineStr">
        <is>
          <t>A 19989-2019</t>
        </is>
      </c>
      <c r="B744" s="1" t="n">
        <v>43570</v>
      </c>
      <c r="C744" s="1" t="n">
        <v>45706</v>
      </c>
      <c r="D744" t="inlineStr">
        <is>
          <t>UPPSALA LÄN</t>
        </is>
      </c>
      <c r="E744" t="inlineStr">
        <is>
          <t>HEBY</t>
        </is>
      </c>
      <c r="G744" t="n">
        <v>2.7</v>
      </c>
      <c r="H744" t="n">
        <v>0</v>
      </c>
      <c r="I744" t="n">
        <v>0</v>
      </c>
      <c r="J744" t="n">
        <v>0</v>
      </c>
      <c r="K744" t="n">
        <v>0</v>
      </c>
      <c r="L744" t="n">
        <v>0</v>
      </c>
      <c r="M744" t="n">
        <v>0</v>
      </c>
      <c r="N744" t="n">
        <v>0</v>
      </c>
      <c r="O744" t="n">
        <v>0</v>
      </c>
      <c r="P744" t="n">
        <v>0</v>
      </c>
      <c r="Q744" t="n">
        <v>0</v>
      </c>
      <c r="R744" s="2" t="inlineStr"/>
    </row>
    <row r="745" ht="15" customHeight="1">
      <c r="A745" t="inlineStr">
        <is>
          <t>A 20683-2019</t>
        </is>
      </c>
      <c r="B745" s="1" t="n">
        <v>43573</v>
      </c>
      <c r="C745" s="1" t="n">
        <v>45706</v>
      </c>
      <c r="D745" t="inlineStr">
        <is>
          <t>UPPSALA LÄN</t>
        </is>
      </c>
      <c r="E745" t="inlineStr">
        <is>
          <t>ÖSTHAMMAR</t>
        </is>
      </c>
      <c r="G745" t="n">
        <v>2.6</v>
      </c>
      <c r="H745" t="n">
        <v>0</v>
      </c>
      <c r="I745" t="n">
        <v>0</v>
      </c>
      <c r="J745" t="n">
        <v>0</v>
      </c>
      <c r="K745" t="n">
        <v>0</v>
      </c>
      <c r="L745" t="n">
        <v>0</v>
      </c>
      <c r="M745" t="n">
        <v>0</v>
      </c>
      <c r="N745" t="n">
        <v>0</v>
      </c>
      <c r="O745" t="n">
        <v>0</v>
      </c>
      <c r="P745" t="n">
        <v>0</v>
      </c>
      <c r="Q745" t="n">
        <v>0</v>
      </c>
      <c r="R745" s="2" t="inlineStr"/>
    </row>
    <row r="746" ht="15" customHeight="1">
      <c r="A746" t="inlineStr">
        <is>
          <t>A 21087-2019</t>
        </is>
      </c>
      <c r="B746" s="1" t="n">
        <v>43578</v>
      </c>
      <c r="C746" s="1" t="n">
        <v>45706</v>
      </c>
      <c r="D746" t="inlineStr">
        <is>
          <t>UPPSALA LÄN</t>
        </is>
      </c>
      <c r="E746" t="inlineStr">
        <is>
          <t>UPPSALA</t>
        </is>
      </c>
      <c r="G746" t="n">
        <v>1.8</v>
      </c>
      <c r="H746" t="n">
        <v>0</v>
      </c>
      <c r="I746" t="n">
        <v>0</v>
      </c>
      <c r="J746" t="n">
        <v>0</v>
      </c>
      <c r="K746" t="n">
        <v>0</v>
      </c>
      <c r="L746" t="n">
        <v>0</v>
      </c>
      <c r="M746" t="n">
        <v>0</v>
      </c>
      <c r="N746" t="n">
        <v>0</v>
      </c>
      <c r="O746" t="n">
        <v>0</v>
      </c>
      <c r="P746" t="n">
        <v>0</v>
      </c>
      <c r="Q746" t="n">
        <v>0</v>
      </c>
      <c r="R746" s="2" t="inlineStr"/>
    </row>
    <row r="747" ht="15" customHeight="1">
      <c r="A747" t="inlineStr">
        <is>
          <t>A 21082-2019</t>
        </is>
      </c>
      <c r="B747" s="1" t="n">
        <v>43578</v>
      </c>
      <c r="C747" s="1" t="n">
        <v>45706</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21566-2019</t>
        </is>
      </c>
      <c r="B748" s="1" t="n">
        <v>43580</v>
      </c>
      <c r="C748" s="1" t="n">
        <v>45706</v>
      </c>
      <c r="D748" t="inlineStr">
        <is>
          <t>UPPSALA LÄN</t>
        </is>
      </c>
      <c r="E748" t="inlineStr">
        <is>
          <t>HEBY</t>
        </is>
      </c>
      <c r="G748" t="n">
        <v>2.1</v>
      </c>
      <c r="H748" t="n">
        <v>0</v>
      </c>
      <c r="I748" t="n">
        <v>0</v>
      </c>
      <c r="J748" t="n">
        <v>0</v>
      </c>
      <c r="K748" t="n">
        <v>0</v>
      </c>
      <c r="L748" t="n">
        <v>0</v>
      </c>
      <c r="M748" t="n">
        <v>0</v>
      </c>
      <c r="N748" t="n">
        <v>0</v>
      </c>
      <c r="O748" t="n">
        <v>0</v>
      </c>
      <c r="P748" t="n">
        <v>0</v>
      </c>
      <c r="Q748" t="n">
        <v>0</v>
      </c>
      <c r="R748" s="2" t="inlineStr"/>
    </row>
    <row r="749" ht="15" customHeight="1">
      <c r="A749" t="inlineStr">
        <is>
          <t>A 21565-2019</t>
        </is>
      </c>
      <c r="B749" s="1" t="n">
        <v>43580</v>
      </c>
      <c r="C749" s="1" t="n">
        <v>45706</v>
      </c>
      <c r="D749" t="inlineStr">
        <is>
          <t>UPPSALA LÄN</t>
        </is>
      </c>
      <c r="E749" t="inlineStr">
        <is>
          <t>HEBY</t>
        </is>
      </c>
      <c r="G749" t="n">
        <v>1.1</v>
      </c>
      <c r="H749" t="n">
        <v>0</v>
      </c>
      <c r="I749" t="n">
        <v>0</v>
      </c>
      <c r="J749" t="n">
        <v>0</v>
      </c>
      <c r="K749" t="n">
        <v>0</v>
      </c>
      <c r="L749" t="n">
        <v>0</v>
      </c>
      <c r="M749" t="n">
        <v>0</v>
      </c>
      <c r="N749" t="n">
        <v>0</v>
      </c>
      <c r="O749" t="n">
        <v>0</v>
      </c>
      <c r="P749" t="n">
        <v>0</v>
      </c>
      <c r="Q749" t="n">
        <v>0</v>
      </c>
      <c r="R749" s="2" t="inlineStr"/>
    </row>
    <row r="750" ht="15" customHeight="1">
      <c r="A750" t="inlineStr">
        <is>
          <t>A 21471-2019</t>
        </is>
      </c>
      <c r="B750" s="1" t="n">
        <v>43580</v>
      </c>
      <c r="C750" s="1" t="n">
        <v>45706</v>
      </c>
      <c r="D750" t="inlineStr">
        <is>
          <t>UPPSALA LÄN</t>
        </is>
      </c>
      <c r="E750" t="inlineStr">
        <is>
          <t>ÖSTHAMMAR</t>
        </is>
      </c>
      <c r="F750" t="inlineStr">
        <is>
          <t>Bergvik skog öst AB</t>
        </is>
      </c>
      <c r="G750" t="n">
        <v>1.4</v>
      </c>
      <c r="H750" t="n">
        <v>0</v>
      </c>
      <c r="I750" t="n">
        <v>0</v>
      </c>
      <c r="J750" t="n">
        <v>0</v>
      </c>
      <c r="K750" t="n">
        <v>0</v>
      </c>
      <c r="L750" t="n">
        <v>0</v>
      </c>
      <c r="M750" t="n">
        <v>0</v>
      </c>
      <c r="N750" t="n">
        <v>0</v>
      </c>
      <c r="O750" t="n">
        <v>0</v>
      </c>
      <c r="P750" t="n">
        <v>0</v>
      </c>
      <c r="Q750" t="n">
        <v>0</v>
      </c>
      <c r="R750" s="2" t="inlineStr"/>
    </row>
    <row r="751" ht="15" customHeight="1">
      <c r="A751" t="inlineStr">
        <is>
          <t>A 21760-2019</t>
        </is>
      </c>
      <c r="B751" s="1" t="n">
        <v>43581</v>
      </c>
      <c r="C751" s="1" t="n">
        <v>45706</v>
      </c>
      <c r="D751" t="inlineStr">
        <is>
          <t>UPPSALA LÄN</t>
        </is>
      </c>
      <c r="E751" t="inlineStr">
        <is>
          <t>HEBY</t>
        </is>
      </c>
      <c r="F751" t="inlineStr">
        <is>
          <t>Övriga Aktiebolag</t>
        </is>
      </c>
      <c r="G751" t="n">
        <v>12.3</v>
      </c>
      <c r="H751" t="n">
        <v>0</v>
      </c>
      <c r="I751" t="n">
        <v>0</v>
      </c>
      <c r="J751" t="n">
        <v>0</v>
      </c>
      <c r="K751" t="n">
        <v>0</v>
      </c>
      <c r="L751" t="n">
        <v>0</v>
      </c>
      <c r="M751" t="n">
        <v>0</v>
      </c>
      <c r="N751" t="n">
        <v>0</v>
      </c>
      <c r="O751" t="n">
        <v>0</v>
      </c>
      <c r="P751" t="n">
        <v>0</v>
      </c>
      <c r="Q751" t="n">
        <v>0</v>
      </c>
      <c r="R751" s="2" t="inlineStr"/>
    </row>
    <row r="752" ht="15" customHeight="1">
      <c r="A752" t="inlineStr">
        <is>
          <t>A 22153-2019</t>
        </is>
      </c>
      <c r="B752" s="1" t="n">
        <v>43585</v>
      </c>
      <c r="C752" s="1" t="n">
        <v>45706</v>
      </c>
      <c r="D752" t="inlineStr">
        <is>
          <t>UPPSALA LÄN</t>
        </is>
      </c>
      <c r="E752" t="inlineStr">
        <is>
          <t>UPPSALA</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22750-2019</t>
        </is>
      </c>
      <c r="B753" s="1" t="n">
        <v>43588</v>
      </c>
      <c r="C753" s="1" t="n">
        <v>45706</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22800-2019</t>
        </is>
      </c>
      <c r="B754" s="1" t="n">
        <v>43590</v>
      </c>
      <c r="C754" s="1" t="n">
        <v>45706</v>
      </c>
      <c r="D754" t="inlineStr">
        <is>
          <t>UPPSALA LÄN</t>
        </is>
      </c>
      <c r="E754" t="inlineStr">
        <is>
          <t>ÖSTHAMMAR</t>
        </is>
      </c>
      <c r="G754" t="n">
        <v>1.5</v>
      </c>
      <c r="H754" t="n">
        <v>0</v>
      </c>
      <c r="I754" t="n">
        <v>0</v>
      </c>
      <c r="J754" t="n">
        <v>0</v>
      </c>
      <c r="K754" t="n">
        <v>0</v>
      </c>
      <c r="L754" t="n">
        <v>0</v>
      </c>
      <c r="M754" t="n">
        <v>0</v>
      </c>
      <c r="N754" t="n">
        <v>0</v>
      </c>
      <c r="O754" t="n">
        <v>0</v>
      </c>
      <c r="P754" t="n">
        <v>0</v>
      </c>
      <c r="Q754" t="n">
        <v>0</v>
      </c>
      <c r="R754" s="2" t="inlineStr"/>
      <c r="U754">
        <f>HYPERLINK("https://klasma.github.io/Logging_0382/knärot/A 22800-2019 karta knärot.png", "A 22800-2019")</f>
        <v/>
      </c>
      <c r="V754">
        <f>HYPERLINK("https://klasma.github.io/Logging_0382/klagomål/A 22800-2019 FSC-klagomål.docx", "A 22800-2019")</f>
        <v/>
      </c>
      <c r="W754">
        <f>HYPERLINK("https://klasma.github.io/Logging_0382/klagomålsmail/A 22800-2019 FSC-klagomål mail.docx", "A 22800-2019")</f>
        <v/>
      </c>
      <c r="X754">
        <f>HYPERLINK("https://klasma.github.io/Logging_0382/tillsyn/A 22800-2019 tillsynsbegäran.docx", "A 22800-2019")</f>
        <v/>
      </c>
      <c r="Y754">
        <f>HYPERLINK("https://klasma.github.io/Logging_0382/tillsynsmail/A 22800-2019 tillsynsbegäran mail.docx", "A 22800-2019")</f>
        <v/>
      </c>
    </row>
    <row r="755" ht="15" customHeight="1">
      <c r="A755" t="inlineStr">
        <is>
          <t>A 22801-2019</t>
        </is>
      </c>
      <c r="B755" s="1" t="n">
        <v>43590</v>
      </c>
      <c r="C755" s="1" t="n">
        <v>45706</v>
      </c>
      <c r="D755" t="inlineStr">
        <is>
          <t>UPPSALA LÄN</t>
        </is>
      </c>
      <c r="E755" t="inlineStr">
        <is>
          <t>ÖSTHAMMAR</t>
        </is>
      </c>
      <c r="G755" t="n">
        <v>2.2</v>
      </c>
      <c r="H755" t="n">
        <v>0</v>
      </c>
      <c r="I755" t="n">
        <v>0</v>
      </c>
      <c r="J755" t="n">
        <v>0</v>
      </c>
      <c r="K755" t="n">
        <v>0</v>
      </c>
      <c r="L755" t="n">
        <v>0</v>
      </c>
      <c r="M755" t="n">
        <v>0</v>
      </c>
      <c r="N755" t="n">
        <v>0</v>
      </c>
      <c r="O755" t="n">
        <v>0</v>
      </c>
      <c r="P755" t="n">
        <v>0</v>
      </c>
      <c r="Q755" t="n">
        <v>0</v>
      </c>
      <c r="R755" s="2" t="inlineStr"/>
    </row>
    <row r="756" ht="15" customHeight="1">
      <c r="A756" t="inlineStr">
        <is>
          <t>A 23042-2019</t>
        </is>
      </c>
      <c r="B756" s="1" t="n">
        <v>43591</v>
      </c>
      <c r="C756" s="1" t="n">
        <v>45706</v>
      </c>
      <c r="D756" t="inlineStr">
        <is>
          <t>UPPSALA LÄN</t>
        </is>
      </c>
      <c r="E756" t="inlineStr">
        <is>
          <t>UPPSALA</t>
        </is>
      </c>
      <c r="G756" t="n">
        <v>2.7</v>
      </c>
      <c r="H756" t="n">
        <v>0</v>
      </c>
      <c r="I756" t="n">
        <v>0</v>
      </c>
      <c r="J756" t="n">
        <v>0</v>
      </c>
      <c r="K756" t="n">
        <v>0</v>
      </c>
      <c r="L756" t="n">
        <v>0</v>
      </c>
      <c r="M756" t="n">
        <v>0</v>
      </c>
      <c r="N756" t="n">
        <v>0</v>
      </c>
      <c r="O756" t="n">
        <v>0</v>
      </c>
      <c r="P756" t="n">
        <v>0</v>
      </c>
      <c r="Q756" t="n">
        <v>0</v>
      </c>
      <c r="R756" s="2" t="inlineStr"/>
    </row>
    <row r="757" ht="15" customHeight="1">
      <c r="A757" t="inlineStr">
        <is>
          <t>A 23051-2019</t>
        </is>
      </c>
      <c r="B757" s="1" t="n">
        <v>43591</v>
      </c>
      <c r="C757" s="1" t="n">
        <v>45706</v>
      </c>
      <c r="D757" t="inlineStr">
        <is>
          <t>UPPSALA LÄN</t>
        </is>
      </c>
      <c r="E757" t="inlineStr">
        <is>
          <t>KNIVSTA</t>
        </is>
      </c>
      <c r="G757" t="n">
        <v>1.5</v>
      </c>
      <c r="H757" t="n">
        <v>0</v>
      </c>
      <c r="I757" t="n">
        <v>0</v>
      </c>
      <c r="J757" t="n">
        <v>0</v>
      </c>
      <c r="K757" t="n">
        <v>0</v>
      </c>
      <c r="L757" t="n">
        <v>0</v>
      </c>
      <c r="M757" t="n">
        <v>0</v>
      </c>
      <c r="N757" t="n">
        <v>0</v>
      </c>
      <c r="O757" t="n">
        <v>0</v>
      </c>
      <c r="P757" t="n">
        <v>0</v>
      </c>
      <c r="Q757" t="n">
        <v>0</v>
      </c>
      <c r="R757" s="2" t="inlineStr"/>
    </row>
    <row r="758" ht="15" customHeight="1">
      <c r="A758" t="inlineStr">
        <is>
          <t>A 23008-2019</t>
        </is>
      </c>
      <c r="B758" s="1" t="n">
        <v>43591</v>
      </c>
      <c r="C758" s="1" t="n">
        <v>45706</v>
      </c>
      <c r="D758" t="inlineStr">
        <is>
          <t>UPPSALA LÄN</t>
        </is>
      </c>
      <c r="E758" t="inlineStr">
        <is>
          <t>ÖSTHAMMAR</t>
        </is>
      </c>
      <c r="G758" t="n">
        <v>4.5</v>
      </c>
      <c r="H758" t="n">
        <v>0</v>
      </c>
      <c r="I758" t="n">
        <v>0</v>
      </c>
      <c r="J758" t="n">
        <v>0</v>
      </c>
      <c r="K758" t="n">
        <v>0</v>
      </c>
      <c r="L758" t="n">
        <v>0</v>
      </c>
      <c r="M758" t="n">
        <v>0</v>
      </c>
      <c r="N758" t="n">
        <v>0</v>
      </c>
      <c r="O758" t="n">
        <v>0</v>
      </c>
      <c r="P758" t="n">
        <v>0</v>
      </c>
      <c r="Q758" t="n">
        <v>0</v>
      </c>
      <c r="R758" s="2" t="inlineStr"/>
    </row>
    <row r="759" ht="15" customHeight="1">
      <c r="A759" t="inlineStr">
        <is>
          <t>A 23262-2019</t>
        </is>
      </c>
      <c r="B759" s="1" t="n">
        <v>43592</v>
      </c>
      <c r="C759" s="1" t="n">
        <v>45706</v>
      </c>
      <c r="D759" t="inlineStr">
        <is>
          <t>UPPSALA LÄN</t>
        </is>
      </c>
      <c r="E759" t="inlineStr">
        <is>
          <t>UPPSALA</t>
        </is>
      </c>
      <c r="F759" t="inlineStr">
        <is>
          <t>Kyrkan</t>
        </is>
      </c>
      <c r="G759" t="n">
        <v>7.6</v>
      </c>
      <c r="H759" t="n">
        <v>0</v>
      </c>
      <c r="I759" t="n">
        <v>0</v>
      </c>
      <c r="J759" t="n">
        <v>0</v>
      </c>
      <c r="K759" t="n">
        <v>0</v>
      </c>
      <c r="L759" t="n">
        <v>0</v>
      </c>
      <c r="M759" t="n">
        <v>0</v>
      </c>
      <c r="N759" t="n">
        <v>0</v>
      </c>
      <c r="O759" t="n">
        <v>0</v>
      </c>
      <c r="P759" t="n">
        <v>0</v>
      </c>
      <c r="Q759" t="n">
        <v>0</v>
      </c>
      <c r="R759" s="2" t="inlineStr"/>
    </row>
    <row r="760" ht="15" customHeight="1">
      <c r="A760" t="inlineStr">
        <is>
          <t>A 23328-2019</t>
        </is>
      </c>
      <c r="B760" s="1" t="n">
        <v>43593</v>
      </c>
      <c r="C760" s="1" t="n">
        <v>45706</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24105-2019</t>
        </is>
      </c>
      <c r="B761" s="1" t="n">
        <v>43598</v>
      </c>
      <c r="C761" s="1" t="n">
        <v>45706</v>
      </c>
      <c r="D761" t="inlineStr">
        <is>
          <t>UPPSALA LÄN</t>
        </is>
      </c>
      <c r="E761" t="inlineStr">
        <is>
          <t>ÄLVKARLEBY</t>
        </is>
      </c>
      <c r="F761" t="inlineStr">
        <is>
          <t>Kyrkan</t>
        </is>
      </c>
      <c r="G761" t="n">
        <v>0.6</v>
      </c>
      <c r="H761" t="n">
        <v>0</v>
      </c>
      <c r="I761" t="n">
        <v>0</v>
      </c>
      <c r="J761" t="n">
        <v>0</v>
      </c>
      <c r="K761" t="n">
        <v>0</v>
      </c>
      <c r="L761" t="n">
        <v>0</v>
      </c>
      <c r="M761" t="n">
        <v>0</v>
      </c>
      <c r="N761" t="n">
        <v>0</v>
      </c>
      <c r="O761" t="n">
        <v>0</v>
      </c>
      <c r="P761" t="n">
        <v>0</v>
      </c>
      <c r="Q761" t="n">
        <v>0</v>
      </c>
      <c r="R761" s="2" t="inlineStr"/>
    </row>
    <row r="762" ht="15" customHeight="1">
      <c r="A762" t="inlineStr">
        <is>
          <t>A 24039-2019</t>
        </is>
      </c>
      <c r="B762" s="1" t="n">
        <v>43598</v>
      </c>
      <c r="C762" s="1" t="n">
        <v>45706</v>
      </c>
      <c r="D762" t="inlineStr">
        <is>
          <t>UPPSALA LÄN</t>
        </is>
      </c>
      <c r="E762" t="inlineStr">
        <is>
          <t>HEBY</t>
        </is>
      </c>
      <c r="G762" t="n">
        <v>1.1</v>
      </c>
      <c r="H762" t="n">
        <v>0</v>
      </c>
      <c r="I762" t="n">
        <v>0</v>
      </c>
      <c r="J762" t="n">
        <v>0</v>
      </c>
      <c r="K762" t="n">
        <v>0</v>
      </c>
      <c r="L762" t="n">
        <v>0</v>
      </c>
      <c r="M762" t="n">
        <v>0</v>
      </c>
      <c r="N762" t="n">
        <v>0</v>
      </c>
      <c r="O762" t="n">
        <v>0</v>
      </c>
      <c r="P762" t="n">
        <v>0</v>
      </c>
      <c r="Q762" t="n">
        <v>0</v>
      </c>
      <c r="R762" s="2" t="inlineStr"/>
    </row>
    <row r="763" ht="15" customHeight="1">
      <c r="A763" t="inlineStr">
        <is>
          <t>A 24297-2019</t>
        </is>
      </c>
      <c r="B763" s="1" t="n">
        <v>43598</v>
      </c>
      <c r="C763" s="1" t="n">
        <v>45706</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24998-2019</t>
        </is>
      </c>
      <c r="B764" s="1" t="n">
        <v>43600</v>
      </c>
      <c r="C764" s="1" t="n">
        <v>45706</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25164-2019</t>
        </is>
      </c>
      <c r="B765" s="1" t="n">
        <v>43605</v>
      </c>
      <c r="C765" s="1" t="n">
        <v>45706</v>
      </c>
      <c r="D765" t="inlineStr">
        <is>
          <t>UPPSALA LÄN</t>
        </is>
      </c>
      <c r="E765" t="inlineStr">
        <is>
          <t>UPPSALA</t>
        </is>
      </c>
      <c r="G765" t="n">
        <v>1.6</v>
      </c>
      <c r="H765" t="n">
        <v>0</v>
      </c>
      <c r="I765" t="n">
        <v>0</v>
      </c>
      <c r="J765" t="n">
        <v>0</v>
      </c>
      <c r="K765" t="n">
        <v>0</v>
      </c>
      <c r="L765" t="n">
        <v>0</v>
      </c>
      <c r="M765" t="n">
        <v>0</v>
      </c>
      <c r="N765" t="n">
        <v>0</v>
      </c>
      <c r="O765" t="n">
        <v>0</v>
      </c>
      <c r="P765" t="n">
        <v>0</v>
      </c>
      <c r="Q765" t="n">
        <v>0</v>
      </c>
      <c r="R765" s="2" t="inlineStr"/>
    </row>
    <row r="766" ht="15" customHeight="1">
      <c r="A766" t="inlineStr">
        <is>
          <t>A 25157-2019</t>
        </is>
      </c>
      <c r="B766" s="1" t="n">
        <v>43605</v>
      </c>
      <c r="C766" s="1" t="n">
        <v>45706</v>
      </c>
      <c r="D766" t="inlineStr">
        <is>
          <t>UPPSALA LÄN</t>
        </is>
      </c>
      <c r="E766" t="inlineStr">
        <is>
          <t>UPPSALA</t>
        </is>
      </c>
      <c r="G766" t="n">
        <v>3</v>
      </c>
      <c r="H766" t="n">
        <v>0</v>
      </c>
      <c r="I766" t="n">
        <v>0</v>
      </c>
      <c r="J766" t="n">
        <v>0</v>
      </c>
      <c r="K766" t="n">
        <v>0</v>
      </c>
      <c r="L766" t="n">
        <v>0</v>
      </c>
      <c r="M766" t="n">
        <v>0</v>
      </c>
      <c r="N766" t="n">
        <v>0</v>
      </c>
      <c r="O766" t="n">
        <v>0</v>
      </c>
      <c r="P766" t="n">
        <v>0</v>
      </c>
      <c r="Q766" t="n">
        <v>0</v>
      </c>
      <c r="R766" s="2" t="inlineStr"/>
    </row>
    <row r="767" ht="15" customHeight="1">
      <c r="A767" t="inlineStr">
        <is>
          <t>A 25874-2019</t>
        </is>
      </c>
      <c r="B767" s="1" t="n">
        <v>43605</v>
      </c>
      <c r="C767" s="1" t="n">
        <v>45706</v>
      </c>
      <c r="D767" t="inlineStr">
        <is>
          <t>UPPSALA LÄN</t>
        </is>
      </c>
      <c r="E767" t="inlineStr">
        <is>
          <t>ÖSTHAMMAR</t>
        </is>
      </c>
      <c r="G767" t="n">
        <v>1.1</v>
      </c>
      <c r="H767" t="n">
        <v>0</v>
      </c>
      <c r="I767" t="n">
        <v>0</v>
      </c>
      <c r="J767" t="n">
        <v>0</v>
      </c>
      <c r="K767" t="n">
        <v>0</v>
      </c>
      <c r="L767" t="n">
        <v>0</v>
      </c>
      <c r="M767" t="n">
        <v>0</v>
      </c>
      <c r="N767" t="n">
        <v>0</v>
      </c>
      <c r="O767" t="n">
        <v>0</v>
      </c>
      <c r="P767" t="n">
        <v>0</v>
      </c>
      <c r="Q767" t="n">
        <v>0</v>
      </c>
      <c r="R767" s="2" t="inlineStr"/>
    </row>
    <row r="768" ht="15" customHeight="1">
      <c r="A768" t="inlineStr">
        <is>
          <t>A 25317-2019</t>
        </is>
      </c>
      <c r="B768" s="1" t="n">
        <v>43606</v>
      </c>
      <c r="C768" s="1" t="n">
        <v>45706</v>
      </c>
      <c r="D768" t="inlineStr">
        <is>
          <t>UPPSALA LÄN</t>
        </is>
      </c>
      <c r="E768" t="inlineStr">
        <is>
          <t>HEBY</t>
        </is>
      </c>
      <c r="G768" t="n">
        <v>1</v>
      </c>
      <c r="H768" t="n">
        <v>0</v>
      </c>
      <c r="I768" t="n">
        <v>0</v>
      </c>
      <c r="J768" t="n">
        <v>0</v>
      </c>
      <c r="K768" t="n">
        <v>0</v>
      </c>
      <c r="L768" t="n">
        <v>0</v>
      </c>
      <c r="M768" t="n">
        <v>0</v>
      </c>
      <c r="N768" t="n">
        <v>0</v>
      </c>
      <c r="O768" t="n">
        <v>0</v>
      </c>
      <c r="P768" t="n">
        <v>0</v>
      </c>
      <c r="Q768" t="n">
        <v>0</v>
      </c>
      <c r="R768" s="2" t="inlineStr"/>
    </row>
    <row r="769" ht="15" customHeight="1">
      <c r="A769" t="inlineStr">
        <is>
          <t>A 25498-2019</t>
        </is>
      </c>
      <c r="B769" s="1" t="n">
        <v>43606</v>
      </c>
      <c r="C769" s="1" t="n">
        <v>45706</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25340-2019</t>
        </is>
      </c>
      <c r="B770" s="1" t="n">
        <v>43606</v>
      </c>
      <c r="C770" s="1" t="n">
        <v>45706</v>
      </c>
      <c r="D770" t="inlineStr">
        <is>
          <t>UPPSALA LÄN</t>
        </is>
      </c>
      <c r="E770" t="inlineStr">
        <is>
          <t>ÄLVKARLEBY</t>
        </is>
      </c>
      <c r="F770" t="inlineStr">
        <is>
          <t>Bergvik skog väst AB</t>
        </is>
      </c>
      <c r="G770" t="n">
        <v>2.9</v>
      </c>
      <c r="H770" t="n">
        <v>0</v>
      </c>
      <c r="I770" t="n">
        <v>0</v>
      </c>
      <c r="J770" t="n">
        <v>0</v>
      </c>
      <c r="K770" t="n">
        <v>0</v>
      </c>
      <c r="L770" t="n">
        <v>0</v>
      </c>
      <c r="M770" t="n">
        <v>0</v>
      </c>
      <c r="N770" t="n">
        <v>0</v>
      </c>
      <c r="O770" t="n">
        <v>0</v>
      </c>
      <c r="P770" t="n">
        <v>0</v>
      </c>
      <c r="Q770" t="n">
        <v>0</v>
      </c>
      <c r="R770" s="2" t="inlineStr"/>
    </row>
    <row r="771" ht="15" customHeight="1">
      <c r="A771" t="inlineStr">
        <is>
          <t>A 25502-2019</t>
        </is>
      </c>
      <c r="B771" s="1" t="n">
        <v>43606</v>
      </c>
      <c r="C771" s="1" t="n">
        <v>45706</v>
      </c>
      <c r="D771" t="inlineStr">
        <is>
          <t>UPPSALA LÄN</t>
        </is>
      </c>
      <c r="E771" t="inlineStr">
        <is>
          <t>TIERP</t>
        </is>
      </c>
      <c r="G771" t="n">
        <v>2.2</v>
      </c>
      <c r="H771" t="n">
        <v>0</v>
      </c>
      <c r="I771" t="n">
        <v>0</v>
      </c>
      <c r="J771" t="n">
        <v>0</v>
      </c>
      <c r="K771" t="n">
        <v>0</v>
      </c>
      <c r="L771" t="n">
        <v>0</v>
      </c>
      <c r="M771" t="n">
        <v>0</v>
      </c>
      <c r="N771" t="n">
        <v>0</v>
      </c>
      <c r="O771" t="n">
        <v>0</v>
      </c>
      <c r="P771" t="n">
        <v>0</v>
      </c>
      <c r="Q771" t="n">
        <v>0</v>
      </c>
      <c r="R771" s="2" t="inlineStr"/>
    </row>
    <row r="772" ht="15" customHeight="1">
      <c r="A772" t="inlineStr">
        <is>
          <t>A 25703-2019</t>
        </is>
      </c>
      <c r="B772" s="1" t="n">
        <v>43607</v>
      </c>
      <c r="C772" s="1" t="n">
        <v>45706</v>
      </c>
      <c r="D772" t="inlineStr">
        <is>
          <t>UPPSALA LÄN</t>
        </is>
      </c>
      <c r="E772" t="inlineStr">
        <is>
          <t>ÖSTHAMMAR</t>
        </is>
      </c>
      <c r="F772" t="inlineStr">
        <is>
          <t>Bergvik skog öst AB</t>
        </is>
      </c>
      <c r="G772" t="n">
        <v>2.2</v>
      </c>
      <c r="H772" t="n">
        <v>0</v>
      </c>
      <c r="I772" t="n">
        <v>0</v>
      </c>
      <c r="J772" t="n">
        <v>0</v>
      </c>
      <c r="K772" t="n">
        <v>0</v>
      </c>
      <c r="L772" t="n">
        <v>0</v>
      </c>
      <c r="M772" t="n">
        <v>0</v>
      </c>
      <c r="N772" t="n">
        <v>0</v>
      </c>
      <c r="O772" t="n">
        <v>0</v>
      </c>
      <c r="P772" t="n">
        <v>0</v>
      </c>
      <c r="Q772" t="n">
        <v>0</v>
      </c>
      <c r="R772" s="2" t="inlineStr"/>
    </row>
    <row r="773" ht="15" customHeight="1">
      <c r="A773" t="inlineStr">
        <is>
          <t>A 25667-2019</t>
        </is>
      </c>
      <c r="B773" s="1" t="n">
        <v>43607</v>
      </c>
      <c r="C773" s="1" t="n">
        <v>45706</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25708-2019</t>
        </is>
      </c>
      <c r="B774" s="1" t="n">
        <v>43607</v>
      </c>
      <c r="C774" s="1" t="n">
        <v>45706</v>
      </c>
      <c r="D774" t="inlineStr">
        <is>
          <t>UPPSALA LÄN</t>
        </is>
      </c>
      <c r="E774" t="inlineStr">
        <is>
          <t>ÖSTHAMMAR</t>
        </is>
      </c>
      <c r="F774" t="inlineStr">
        <is>
          <t>Bergvik skog öst AB</t>
        </is>
      </c>
      <c r="G774" t="n">
        <v>1.3</v>
      </c>
      <c r="H774" t="n">
        <v>0</v>
      </c>
      <c r="I774" t="n">
        <v>0</v>
      </c>
      <c r="J774" t="n">
        <v>0</v>
      </c>
      <c r="K774" t="n">
        <v>0</v>
      </c>
      <c r="L774" t="n">
        <v>0</v>
      </c>
      <c r="M774" t="n">
        <v>0</v>
      </c>
      <c r="N774" t="n">
        <v>0</v>
      </c>
      <c r="O774" t="n">
        <v>0</v>
      </c>
      <c r="P774" t="n">
        <v>0</v>
      </c>
      <c r="Q774" t="n">
        <v>0</v>
      </c>
      <c r="R774" s="2" t="inlineStr"/>
    </row>
    <row r="775" ht="15" customHeight="1">
      <c r="A775" t="inlineStr">
        <is>
          <t>A 25706-2019</t>
        </is>
      </c>
      <c r="B775" s="1" t="n">
        <v>43607</v>
      </c>
      <c r="C775" s="1" t="n">
        <v>45706</v>
      </c>
      <c r="D775" t="inlineStr">
        <is>
          <t>UPPSALA LÄN</t>
        </is>
      </c>
      <c r="E775" t="inlineStr">
        <is>
          <t>ÖSTHAMMAR</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25672-2019</t>
        </is>
      </c>
      <c r="B776" s="1" t="n">
        <v>43607</v>
      </c>
      <c r="C776" s="1" t="n">
        <v>45706</v>
      </c>
      <c r="D776" t="inlineStr">
        <is>
          <t>UPPSALA LÄN</t>
        </is>
      </c>
      <c r="E776" t="inlineStr">
        <is>
          <t>HEBY</t>
        </is>
      </c>
      <c r="G776" t="n">
        <v>1.7</v>
      </c>
      <c r="H776" t="n">
        <v>0</v>
      </c>
      <c r="I776" t="n">
        <v>0</v>
      </c>
      <c r="J776" t="n">
        <v>0</v>
      </c>
      <c r="K776" t="n">
        <v>0</v>
      </c>
      <c r="L776" t="n">
        <v>0</v>
      </c>
      <c r="M776" t="n">
        <v>0</v>
      </c>
      <c r="N776" t="n">
        <v>0</v>
      </c>
      <c r="O776" t="n">
        <v>0</v>
      </c>
      <c r="P776" t="n">
        <v>0</v>
      </c>
      <c r="Q776" t="n">
        <v>0</v>
      </c>
      <c r="R776" s="2" t="inlineStr"/>
    </row>
    <row r="777" ht="15" customHeight="1">
      <c r="A777" t="inlineStr">
        <is>
          <t>A 25791-2019</t>
        </is>
      </c>
      <c r="B777" s="1" t="n">
        <v>43608</v>
      </c>
      <c r="C777" s="1" t="n">
        <v>45706</v>
      </c>
      <c r="D777" t="inlineStr">
        <is>
          <t>UPPSALA LÄN</t>
        </is>
      </c>
      <c r="E777" t="inlineStr">
        <is>
          <t>HEBY</t>
        </is>
      </c>
      <c r="G777" t="n">
        <v>2.2</v>
      </c>
      <c r="H777" t="n">
        <v>0</v>
      </c>
      <c r="I777" t="n">
        <v>0</v>
      </c>
      <c r="J777" t="n">
        <v>0</v>
      </c>
      <c r="K777" t="n">
        <v>0</v>
      </c>
      <c r="L777" t="n">
        <v>0</v>
      </c>
      <c r="M777" t="n">
        <v>0</v>
      </c>
      <c r="N777" t="n">
        <v>0</v>
      </c>
      <c r="O777" t="n">
        <v>0</v>
      </c>
      <c r="P777" t="n">
        <v>0</v>
      </c>
      <c r="Q777" t="n">
        <v>0</v>
      </c>
      <c r="R777" s="2" t="inlineStr"/>
    </row>
    <row r="778" ht="15" customHeight="1">
      <c r="A778" t="inlineStr">
        <is>
          <t>A 26060-2019</t>
        </is>
      </c>
      <c r="B778" s="1" t="n">
        <v>43609</v>
      </c>
      <c r="C778" s="1" t="n">
        <v>45706</v>
      </c>
      <c r="D778" t="inlineStr">
        <is>
          <t>UPPSALA LÄN</t>
        </is>
      </c>
      <c r="E778" t="inlineStr">
        <is>
          <t>HEBY</t>
        </is>
      </c>
      <c r="G778" t="n">
        <v>1.7</v>
      </c>
      <c r="H778" t="n">
        <v>0</v>
      </c>
      <c r="I778" t="n">
        <v>0</v>
      </c>
      <c r="J778" t="n">
        <v>0</v>
      </c>
      <c r="K778" t="n">
        <v>0</v>
      </c>
      <c r="L778" t="n">
        <v>0</v>
      </c>
      <c r="M778" t="n">
        <v>0</v>
      </c>
      <c r="N778" t="n">
        <v>0</v>
      </c>
      <c r="O778" t="n">
        <v>0</v>
      </c>
      <c r="P778" t="n">
        <v>0</v>
      </c>
      <c r="Q778" t="n">
        <v>0</v>
      </c>
      <c r="R778" s="2" t="inlineStr"/>
    </row>
    <row r="779" ht="15" customHeight="1">
      <c r="A779" t="inlineStr">
        <is>
          <t>A 26366-2019</t>
        </is>
      </c>
      <c r="B779" s="1" t="n">
        <v>43612</v>
      </c>
      <c r="C779" s="1" t="n">
        <v>45706</v>
      </c>
      <c r="D779" t="inlineStr">
        <is>
          <t>UPPSALA LÄN</t>
        </is>
      </c>
      <c r="E779" t="inlineStr">
        <is>
          <t>TIERP</t>
        </is>
      </c>
      <c r="G779" t="n">
        <v>2.2</v>
      </c>
      <c r="H779" t="n">
        <v>0</v>
      </c>
      <c r="I779" t="n">
        <v>0</v>
      </c>
      <c r="J779" t="n">
        <v>0</v>
      </c>
      <c r="K779" t="n">
        <v>0</v>
      </c>
      <c r="L779" t="n">
        <v>0</v>
      </c>
      <c r="M779" t="n">
        <v>0</v>
      </c>
      <c r="N779" t="n">
        <v>0</v>
      </c>
      <c r="O779" t="n">
        <v>0</v>
      </c>
      <c r="P779" t="n">
        <v>0</v>
      </c>
      <c r="Q779" t="n">
        <v>0</v>
      </c>
      <c r="R779" s="2" t="inlineStr"/>
    </row>
    <row r="780" ht="15" customHeight="1">
      <c r="A780" t="inlineStr">
        <is>
          <t>A 26562-2019</t>
        </is>
      </c>
      <c r="B780" s="1" t="n">
        <v>43612</v>
      </c>
      <c r="C780" s="1" t="n">
        <v>45706</v>
      </c>
      <c r="D780" t="inlineStr">
        <is>
          <t>UPPSALA LÄN</t>
        </is>
      </c>
      <c r="E780" t="inlineStr">
        <is>
          <t>ÖSTHAMMAR</t>
        </is>
      </c>
      <c r="G780" t="n">
        <v>3.2</v>
      </c>
      <c r="H780" t="n">
        <v>0</v>
      </c>
      <c r="I780" t="n">
        <v>0</v>
      </c>
      <c r="J780" t="n">
        <v>0</v>
      </c>
      <c r="K780" t="n">
        <v>0</v>
      </c>
      <c r="L780" t="n">
        <v>0</v>
      </c>
      <c r="M780" t="n">
        <v>0</v>
      </c>
      <c r="N780" t="n">
        <v>0</v>
      </c>
      <c r="O780" t="n">
        <v>0</v>
      </c>
      <c r="P780" t="n">
        <v>0</v>
      </c>
      <c r="Q780" t="n">
        <v>0</v>
      </c>
      <c r="R780" s="2" t="inlineStr"/>
    </row>
    <row r="781" ht="15" customHeight="1">
      <c r="A781" t="inlineStr">
        <is>
          <t>A 26371-2019</t>
        </is>
      </c>
      <c r="B781" s="1" t="n">
        <v>43612</v>
      </c>
      <c r="C781" s="1" t="n">
        <v>45706</v>
      </c>
      <c r="D781" t="inlineStr">
        <is>
          <t>UPPSALA LÄN</t>
        </is>
      </c>
      <c r="E781" t="inlineStr">
        <is>
          <t>TIERP</t>
        </is>
      </c>
      <c r="G781" t="n">
        <v>0.7</v>
      </c>
      <c r="H781" t="n">
        <v>0</v>
      </c>
      <c r="I781" t="n">
        <v>0</v>
      </c>
      <c r="J781" t="n">
        <v>0</v>
      </c>
      <c r="K781" t="n">
        <v>0</v>
      </c>
      <c r="L781" t="n">
        <v>0</v>
      </c>
      <c r="M781" t="n">
        <v>0</v>
      </c>
      <c r="N781" t="n">
        <v>0</v>
      </c>
      <c r="O781" t="n">
        <v>0</v>
      </c>
      <c r="P781" t="n">
        <v>0</v>
      </c>
      <c r="Q781" t="n">
        <v>0</v>
      </c>
      <c r="R781" s="2" t="inlineStr"/>
    </row>
    <row r="782" ht="15" customHeight="1">
      <c r="A782" t="inlineStr">
        <is>
          <t>A 26926-2019</t>
        </is>
      </c>
      <c r="B782" s="1" t="n">
        <v>43613</v>
      </c>
      <c r="C782" s="1" t="n">
        <v>45706</v>
      </c>
      <c r="D782" t="inlineStr">
        <is>
          <t>UPPSALA LÄN</t>
        </is>
      </c>
      <c r="E782" t="inlineStr">
        <is>
          <t>ENKÖPING</t>
        </is>
      </c>
      <c r="G782" t="n">
        <v>1.4</v>
      </c>
      <c r="H782" t="n">
        <v>0</v>
      </c>
      <c r="I782" t="n">
        <v>0</v>
      </c>
      <c r="J782" t="n">
        <v>0</v>
      </c>
      <c r="K782" t="n">
        <v>0</v>
      </c>
      <c r="L782" t="n">
        <v>0</v>
      </c>
      <c r="M782" t="n">
        <v>0</v>
      </c>
      <c r="N782" t="n">
        <v>0</v>
      </c>
      <c r="O782" t="n">
        <v>0</v>
      </c>
      <c r="P782" t="n">
        <v>0</v>
      </c>
      <c r="Q782" t="n">
        <v>0</v>
      </c>
      <c r="R782" s="2" t="inlineStr"/>
    </row>
    <row r="783" ht="15" customHeight="1">
      <c r="A783" t="inlineStr">
        <is>
          <t>A 26724-2019</t>
        </is>
      </c>
      <c r="B783" s="1" t="n">
        <v>43613</v>
      </c>
      <c r="C783" s="1" t="n">
        <v>45706</v>
      </c>
      <c r="D783" t="inlineStr">
        <is>
          <t>UPPSALA LÄN</t>
        </is>
      </c>
      <c r="E783" t="inlineStr">
        <is>
          <t>ÖSTHAMMAR</t>
        </is>
      </c>
      <c r="F783" t="inlineStr">
        <is>
          <t>Bergvik skog öst AB</t>
        </is>
      </c>
      <c r="G783" t="n">
        <v>1.5</v>
      </c>
      <c r="H783" t="n">
        <v>0</v>
      </c>
      <c r="I783" t="n">
        <v>0</v>
      </c>
      <c r="J783" t="n">
        <v>0</v>
      </c>
      <c r="K783" t="n">
        <v>0</v>
      </c>
      <c r="L783" t="n">
        <v>0</v>
      </c>
      <c r="M783" t="n">
        <v>0</v>
      </c>
      <c r="N783" t="n">
        <v>0</v>
      </c>
      <c r="O783" t="n">
        <v>0</v>
      </c>
      <c r="P783" t="n">
        <v>0</v>
      </c>
      <c r="Q783" t="n">
        <v>0</v>
      </c>
      <c r="R783" s="2" t="inlineStr"/>
    </row>
    <row r="784" ht="15" customHeight="1">
      <c r="A784" t="inlineStr">
        <is>
          <t>A 26796-2019</t>
        </is>
      </c>
      <c r="B784" s="1" t="n">
        <v>43613</v>
      </c>
      <c r="C784" s="1" t="n">
        <v>45706</v>
      </c>
      <c r="D784" t="inlineStr">
        <is>
          <t>UPPSALA LÄN</t>
        </is>
      </c>
      <c r="E784" t="inlineStr">
        <is>
          <t>ÖSTHAMMAR</t>
        </is>
      </c>
      <c r="F784" t="inlineStr">
        <is>
          <t>Bergvik skog öst AB</t>
        </is>
      </c>
      <c r="G784" t="n">
        <v>4.4</v>
      </c>
      <c r="H784" t="n">
        <v>0</v>
      </c>
      <c r="I784" t="n">
        <v>0</v>
      </c>
      <c r="J784" t="n">
        <v>0</v>
      </c>
      <c r="K784" t="n">
        <v>0</v>
      </c>
      <c r="L784" t="n">
        <v>0</v>
      </c>
      <c r="M784" t="n">
        <v>0</v>
      </c>
      <c r="N784" t="n">
        <v>0</v>
      </c>
      <c r="O784" t="n">
        <v>0</v>
      </c>
      <c r="P784" t="n">
        <v>0</v>
      </c>
      <c r="Q784" t="n">
        <v>0</v>
      </c>
      <c r="R784" s="2" t="inlineStr"/>
    </row>
    <row r="785" ht="15" customHeight="1">
      <c r="A785" t="inlineStr">
        <is>
          <t>A 27277-2019</t>
        </is>
      </c>
      <c r="B785" s="1" t="n">
        <v>43615</v>
      </c>
      <c r="C785" s="1" t="n">
        <v>45706</v>
      </c>
      <c r="D785" t="inlineStr">
        <is>
          <t>UPPSALA LÄN</t>
        </is>
      </c>
      <c r="E785" t="inlineStr">
        <is>
          <t>HEBY</t>
        </is>
      </c>
      <c r="G785" t="n">
        <v>1.5</v>
      </c>
      <c r="H785" t="n">
        <v>0</v>
      </c>
      <c r="I785" t="n">
        <v>0</v>
      </c>
      <c r="J785" t="n">
        <v>0</v>
      </c>
      <c r="K785" t="n">
        <v>0</v>
      </c>
      <c r="L785" t="n">
        <v>0</v>
      </c>
      <c r="M785" t="n">
        <v>0</v>
      </c>
      <c r="N785" t="n">
        <v>0</v>
      </c>
      <c r="O785" t="n">
        <v>0</v>
      </c>
      <c r="P785" t="n">
        <v>0</v>
      </c>
      <c r="Q785" t="n">
        <v>0</v>
      </c>
      <c r="R785" s="2" t="inlineStr"/>
    </row>
    <row r="786" ht="15" customHeight="1">
      <c r="A786" t="inlineStr">
        <is>
          <t>A 27458-2019</t>
        </is>
      </c>
      <c r="B786" s="1" t="n">
        <v>43618</v>
      </c>
      <c r="C786" s="1" t="n">
        <v>45706</v>
      </c>
      <c r="D786" t="inlineStr">
        <is>
          <t>UPPSALA LÄN</t>
        </is>
      </c>
      <c r="E786" t="inlineStr">
        <is>
          <t>ÖSTHAMMAR</t>
        </is>
      </c>
      <c r="F786" t="inlineStr">
        <is>
          <t>Bergvik skog öst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28134-2019</t>
        </is>
      </c>
      <c r="B787" s="1" t="n">
        <v>43621</v>
      </c>
      <c r="C787" s="1" t="n">
        <v>45706</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29204-2019</t>
        </is>
      </c>
      <c r="B788" s="1" t="n">
        <v>43623</v>
      </c>
      <c r="C788" s="1" t="n">
        <v>45706</v>
      </c>
      <c r="D788" t="inlineStr">
        <is>
          <t>UPPSALA LÄN</t>
        </is>
      </c>
      <c r="E788" t="inlineStr">
        <is>
          <t>ÖSTHAMMAR</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28551-2019</t>
        </is>
      </c>
      <c r="B789" s="1" t="n">
        <v>43626</v>
      </c>
      <c r="C789" s="1" t="n">
        <v>45706</v>
      </c>
      <c r="D789" t="inlineStr">
        <is>
          <t>UPPSALA LÄN</t>
        </is>
      </c>
      <c r="E789" t="inlineStr">
        <is>
          <t>KNIVSTA</t>
        </is>
      </c>
      <c r="G789" t="n">
        <v>11.1</v>
      </c>
      <c r="H789" t="n">
        <v>0</v>
      </c>
      <c r="I789" t="n">
        <v>0</v>
      </c>
      <c r="J789" t="n">
        <v>0</v>
      </c>
      <c r="K789" t="n">
        <v>0</v>
      </c>
      <c r="L789" t="n">
        <v>0</v>
      </c>
      <c r="M789" t="n">
        <v>0</v>
      </c>
      <c r="N789" t="n">
        <v>0</v>
      </c>
      <c r="O789" t="n">
        <v>0</v>
      </c>
      <c r="P789" t="n">
        <v>0</v>
      </c>
      <c r="Q789" t="n">
        <v>0</v>
      </c>
      <c r="R789" s="2" t="inlineStr"/>
    </row>
    <row r="790" ht="15" customHeight="1">
      <c r="A790" t="inlineStr">
        <is>
          <t>A 29105-2019</t>
        </is>
      </c>
      <c r="B790" s="1" t="n">
        <v>43628</v>
      </c>
      <c r="C790" s="1" t="n">
        <v>45706</v>
      </c>
      <c r="D790" t="inlineStr">
        <is>
          <t>UPPSALA LÄN</t>
        </is>
      </c>
      <c r="E790" t="inlineStr">
        <is>
          <t>UPPSALA</t>
        </is>
      </c>
      <c r="G790" t="n">
        <v>2.1</v>
      </c>
      <c r="H790" t="n">
        <v>0</v>
      </c>
      <c r="I790" t="n">
        <v>0</v>
      </c>
      <c r="J790" t="n">
        <v>0</v>
      </c>
      <c r="K790" t="n">
        <v>0</v>
      </c>
      <c r="L790" t="n">
        <v>0</v>
      </c>
      <c r="M790" t="n">
        <v>0</v>
      </c>
      <c r="N790" t="n">
        <v>0</v>
      </c>
      <c r="O790" t="n">
        <v>0</v>
      </c>
      <c r="P790" t="n">
        <v>0</v>
      </c>
      <c r="Q790" t="n">
        <v>0</v>
      </c>
      <c r="R790" s="2" t="inlineStr"/>
    </row>
    <row r="791" ht="15" customHeight="1">
      <c r="A791" t="inlineStr">
        <is>
          <t>A 29183-2019</t>
        </is>
      </c>
      <c r="B791" s="1" t="n">
        <v>43628</v>
      </c>
      <c r="C791" s="1" t="n">
        <v>45706</v>
      </c>
      <c r="D791" t="inlineStr">
        <is>
          <t>UPPSALA LÄN</t>
        </is>
      </c>
      <c r="E791" t="inlineStr">
        <is>
          <t>UPPSALA</t>
        </is>
      </c>
      <c r="F791" t="inlineStr">
        <is>
          <t>Allmännings- och besparingsskogar</t>
        </is>
      </c>
      <c r="G791" t="n">
        <v>6.3</v>
      </c>
      <c r="H791" t="n">
        <v>0</v>
      </c>
      <c r="I791" t="n">
        <v>0</v>
      </c>
      <c r="J791" t="n">
        <v>0</v>
      </c>
      <c r="K791" t="n">
        <v>0</v>
      </c>
      <c r="L791" t="n">
        <v>0</v>
      </c>
      <c r="M791" t="n">
        <v>0</v>
      </c>
      <c r="N791" t="n">
        <v>0</v>
      </c>
      <c r="O791" t="n">
        <v>0</v>
      </c>
      <c r="P791" t="n">
        <v>0</v>
      </c>
      <c r="Q791" t="n">
        <v>0</v>
      </c>
      <c r="R791" s="2" t="inlineStr"/>
    </row>
    <row r="792" ht="15" customHeight="1">
      <c r="A792" t="inlineStr">
        <is>
          <t>A 29081-2019</t>
        </is>
      </c>
      <c r="B792" s="1" t="n">
        <v>43628</v>
      </c>
      <c r="C792" s="1" t="n">
        <v>45706</v>
      </c>
      <c r="D792" t="inlineStr">
        <is>
          <t>UPPSALA LÄN</t>
        </is>
      </c>
      <c r="E792" t="inlineStr">
        <is>
          <t>UPPSALA</t>
        </is>
      </c>
      <c r="G792" t="n">
        <v>8.4</v>
      </c>
      <c r="H792" t="n">
        <v>0</v>
      </c>
      <c r="I792" t="n">
        <v>0</v>
      </c>
      <c r="J792" t="n">
        <v>0</v>
      </c>
      <c r="K792" t="n">
        <v>0</v>
      </c>
      <c r="L792" t="n">
        <v>0</v>
      </c>
      <c r="M792" t="n">
        <v>0</v>
      </c>
      <c r="N792" t="n">
        <v>0</v>
      </c>
      <c r="O792" t="n">
        <v>0</v>
      </c>
      <c r="P792" t="n">
        <v>0</v>
      </c>
      <c r="Q792" t="n">
        <v>0</v>
      </c>
      <c r="R792" s="2" t="inlineStr"/>
    </row>
    <row r="793" ht="15" customHeight="1">
      <c r="A793" t="inlineStr">
        <is>
          <t>A 29637-2019</t>
        </is>
      </c>
      <c r="B793" s="1" t="n">
        <v>43628</v>
      </c>
      <c r="C793" s="1" t="n">
        <v>45706</v>
      </c>
      <c r="D793" t="inlineStr">
        <is>
          <t>UPPSALA LÄN</t>
        </is>
      </c>
      <c r="E793" t="inlineStr">
        <is>
          <t>HEBY</t>
        </is>
      </c>
      <c r="G793" t="n">
        <v>2.4</v>
      </c>
      <c r="H793" t="n">
        <v>0</v>
      </c>
      <c r="I793" t="n">
        <v>0</v>
      </c>
      <c r="J793" t="n">
        <v>0</v>
      </c>
      <c r="K793" t="n">
        <v>0</v>
      </c>
      <c r="L793" t="n">
        <v>0</v>
      </c>
      <c r="M793" t="n">
        <v>0</v>
      </c>
      <c r="N793" t="n">
        <v>0</v>
      </c>
      <c r="O793" t="n">
        <v>0</v>
      </c>
      <c r="P793" t="n">
        <v>0</v>
      </c>
      <c r="Q793" t="n">
        <v>0</v>
      </c>
      <c r="R793" s="2" t="inlineStr"/>
    </row>
    <row r="794" ht="15" customHeight="1">
      <c r="A794" t="inlineStr">
        <is>
          <t>A 29719-2019</t>
        </is>
      </c>
      <c r="B794" s="1" t="n">
        <v>43630</v>
      </c>
      <c r="C794" s="1" t="n">
        <v>45706</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29713-2019</t>
        </is>
      </c>
      <c r="B795" s="1" t="n">
        <v>43630</v>
      </c>
      <c r="C795" s="1" t="n">
        <v>45706</v>
      </c>
      <c r="D795" t="inlineStr">
        <is>
          <t>UPPSALA LÄN</t>
        </is>
      </c>
      <c r="E795" t="inlineStr">
        <is>
          <t>UPPSALA</t>
        </is>
      </c>
      <c r="G795" t="n">
        <v>1</v>
      </c>
      <c r="H795" t="n">
        <v>0</v>
      </c>
      <c r="I795" t="n">
        <v>0</v>
      </c>
      <c r="J795" t="n">
        <v>0</v>
      </c>
      <c r="K795" t="n">
        <v>0</v>
      </c>
      <c r="L795" t="n">
        <v>0</v>
      </c>
      <c r="M795" t="n">
        <v>0</v>
      </c>
      <c r="N795" t="n">
        <v>0</v>
      </c>
      <c r="O795" t="n">
        <v>0</v>
      </c>
      <c r="P795" t="n">
        <v>0</v>
      </c>
      <c r="Q795" t="n">
        <v>0</v>
      </c>
      <c r="R795" s="2" t="inlineStr"/>
    </row>
    <row r="796" ht="15" customHeight="1">
      <c r="A796" t="inlineStr">
        <is>
          <t>A 29792-2019</t>
        </is>
      </c>
      <c r="B796" s="1" t="n">
        <v>43633</v>
      </c>
      <c r="C796" s="1" t="n">
        <v>45706</v>
      </c>
      <c r="D796" t="inlineStr">
        <is>
          <t>UPPSALA LÄN</t>
        </is>
      </c>
      <c r="E796" t="inlineStr">
        <is>
          <t>TIERP</t>
        </is>
      </c>
      <c r="F796" t="inlineStr">
        <is>
          <t>Bergvik skog väst AB</t>
        </is>
      </c>
      <c r="G796" t="n">
        <v>0.9</v>
      </c>
      <c r="H796" t="n">
        <v>0</v>
      </c>
      <c r="I796" t="n">
        <v>0</v>
      </c>
      <c r="J796" t="n">
        <v>0</v>
      </c>
      <c r="K796" t="n">
        <v>0</v>
      </c>
      <c r="L796" t="n">
        <v>0</v>
      </c>
      <c r="M796" t="n">
        <v>0</v>
      </c>
      <c r="N796" t="n">
        <v>0</v>
      </c>
      <c r="O796" t="n">
        <v>0</v>
      </c>
      <c r="P796" t="n">
        <v>0</v>
      </c>
      <c r="Q796" t="n">
        <v>0</v>
      </c>
      <c r="R796" s="2" t="inlineStr"/>
    </row>
    <row r="797" ht="15" customHeight="1">
      <c r="A797" t="inlineStr">
        <is>
          <t>A 29954-2019</t>
        </is>
      </c>
      <c r="B797" s="1" t="n">
        <v>43633</v>
      </c>
      <c r="C797" s="1" t="n">
        <v>45706</v>
      </c>
      <c r="D797" t="inlineStr">
        <is>
          <t>UPPSALA LÄN</t>
        </is>
      </c>
      <c r="E797" t="inlineStr">
        <is>
          <t>HEBY</t>
        </is>
      </c>
      <c r="F797" t="inlineStr">
        <is>
          <t>Bergvik skog väst AB</t>
        </is>
      </c>
      <c r="G797" t="n">
        <v>4.8</v>
      </c>
      <c r="H797" t="n">
        <v>0</v>
      </c>
      <c r="I797" t="n">
        <v>0</v>
      </c>
      <c r="J797" t="n">
        <v>0</v>
      </c>
      <c r="K797" t="n">
        <v>0</v>
      </c>
      <c r="L797" t="n">
        <v>0</v>
      </c>
      <c r="M797" t="n">
        <v>0</v>
      </c>
      <c r="N797" t="n">
        <v>0</v>
      </c>
      <c r="O797" t="n">
        <v>0</v>
      </c>
      <c r="P797" t="n">
        <v>0</v>
      </c>
      <c r="Q797" t="n">
        <v>0</v>
      </c>
      <c r="R797" s="2" t="inlineStr"/>
    </row>
    <row r="798" ht="15" customHeight="1">
      <c r="A798" t="inlineStr">
        <is>
          <t>A 30036-2019</t>
        </is>
      </c>
      <c r="B798" s="1" t="n">
        <v>43633</v>
      </c>
      <c r="C798" s="1" t="n">
        <v>45706</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29979-2019</t>
        </is>
      </c>
      <c r="B799" s="1" t="n">
        <v>43633</v>
      </c>
      <c r="C799" s="1" t="n">
        <v>45706</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31106-2019</t>
        </is>
      </c>
      <c r="B800" s="1" t="n">
        <v>43635</v>
      </c>
      <c r="C800" s="1" t="n">
        <v>45706</v>
      </c>
      <c r="D800" t="inlineStr">
        <is>
          <t>UPPSALA LÄN</t>
        </is>
      </c>
      <c r="E800" t="inlineStr">
        <is>
          <t>ÖSTHAMMAR</t>
        </is>
      </c>
      <c r="F800" t="inlineStr">
        <is>
          <t>Övriga statliga verk och myndigheter</t>
        </is>
      </c>
      <c r="G800" t="n">
        <v>1.5</v>
      </c>
      <c r="H800" t="n">
        <v>0</v>
      </c>
      <c r="I800" t="n">
        <v>0</v>
      </c>
      <c r="J800" t="n">
        <v>0</v>
      </c>
      <c r="K800" t="n">
        <v>0</v>
      </c>
      <c r="L800" t="n">
        <v>0</v>
      </c>
      <c r="M800" t="n">
        <v>0</v>
      </c>
      <c r="N800" t="n">
        <v>0</v>
      </c>
      <c r="O800" t="n">
        <v>0</v>
      </c>
      <c r="P800" t="n">
        <v>0</v>
      </c>
      <c r="Q800" t="n">
        <v>0</v>
      </c>
      <c r="R800" s="2" t="inlineStr"/>
    </row>
    <row r="801" ht="15" customHeight="1">
      <c r="A801" t="inlineStr">
        <is>
          <t>A 30838-2019</t>
        </is>
      </c>
      <c r="B801" s="1" t="n">
        <v>43636</v>
      </c>
      <c r="C801" s="1" t="n">
        <v>45706</v>
      </c>
      <c r="D801" t="inlineStr">
        <is>
          <t>UPPSALA LÄN</t>
        </is>
      </c>
      <c r="E801" t="inlineStr">
        <is>
          <t>HEBY</t>
        </is>
      </c>
      <c r="G801" t="n">
        <v>5.4</v>
      </c>
      <c r="H801" t="n">
        <v>0</v>
      </c>
      <c r="I801" t="n">
        <v>0</v>
      </c>
      <c r="J801" t="n">
        <v>0</v>
      </c>
      <c r="K801" t="n">
        <v>0</v>
      </c>
      <c r="L801" t="n">
        <v>0</v>
      </c>
      <c r="M801" t="n">
        <v>0</v>
      </c>
      <c r="N801" t="n">
        <v>0</v>
      </c>
      <c r="O801" t="n">
        <v>0</v>
      </c>
      <c r="P801" t="n">
        <v>0</v>
      </c>
      <c r="Q801" t="n">
        <v>0</v>
      </c>
      <c r="R801" s="2" t="inlineStr"/>
    </row>
    <row r="802" ht="15" customHeight="1">
      <c r="A802" t="inlineStr">
        <is>
          <t>A 31081-2019</t>
        </is>
      </c>
      <c r="B802" s="1" t="n">
        <v>43640</v>
      </c>
      <c r="C802" s="1" t="n">
        <v>45706</v>
      </c>
      <c r="D802" t="inlineStr">
        <is>
          <t>UPPSALA LÄN</t>
        </is>
      </c>
      <c r="E802" t="inlineStr">
        <is>
          <t>ENKÖPING</t>
        </is>
      </c>
      <c r="G802" t="n">
        <v>3.1</v>
      </c>
      <c r="H802" t="n">
        <v>0</v>
      </c>
      <c r="I802" t="n">
        <v>0</v>
      </c>
      <c r="J802" t="n">
        <v>0</v>
      </c>
      <c r="K802" t="n">
        <v>0</v>
      </c>
      <c r="L802" t="n">
        <v>0</v>
      </c>
      <c r="M802" t="n">
        <v>0</v>
      </c>
      <c r="N802" t="n">
        <v>0</v>
      </c>
      <c r="O802" t="n">
        <v>0</v>
      </c>
      <c r="P802" t="n">
        <v>0</v>
      </c>
      <c r="Q802" t="n">
        <v>0</v>
      </c>
      <c r="R802" s="2" t="inlineStr"/>
    </row>
    <row r="803" ht="15" customHeight="1">
      <c r="A803" t="inlineStr">
        <is>
          <t>A 31074-2019</t>
        </is>
      </c>
      <c r="B803" s="1" t="n">
        <v>43640</v>
      </c>
      <c r="C803" s="1" t="n">
        <v>45706</v>
      </c>
      <c r="D803" t="inlineStr">
        <is>
          <t>UPPSALA LÄN</t>
        </is>
      </c>
      <c r="E803" t="inlineStr">
        <is>
          <t>ENKÖPING</t>
        </is>
      </c>
      <c r="G803" t="n">
        <v>1.3</v>
      </c>
      <c r="H803" t="n">
        <v>0</v>
      </c>
      <c r="I803" t="n">
        <v>0</v>
      </c>
      <c r="J803" t="n">
        <v>0</v>
      </c>
      <c r="K803" t="n">
        <v>0</v>
      </c>
      <c r="L803" t="n">
        <v>0</v>
      </c>
      <c r="M803" t="n">
        <v>0</v>
      </c>
      <c r="N803" t="n">
        <v>0</v>
      </c>
      <c r="O803" t="n">
        <v>0</v>
      </c>
      <c r="P803" t="n">
        <v>0</v>
      </c>
      <c r="Q803" t="n">
        <v>0</v>
      </c>
      <c r="R803" s="2" t="inlineStr"/>
    </row>
    <row r="804" ht="15" customHeight="1">
      <c r="A804" t="inlineStr">
        <is>
          <t>A 31438-2019</t>
        </is>
      </c>
      <c r="B804" s="1" t="n">
        <v>43641</v>
      </c>
      <c r="C804" s="1" t="n">
        <v>45706</v>
      </c>
      <c r="D804" t="inlineStr">
        <is>
          <t>UPPSALA LÄN</t>
        </is>
      </c>
      <c r="E804" t="inlineStr">
        <is>
          <t>HEBY</t>
        </is>
      </c>
      <c r="G804" t="n">
        <v>1.6</v>
      </c>
      <c r="H804" t="n">
        <v>0</v>
      </c>
      <c r="I804" t="n">
        <v>0</v>
      </c>
      <c r="J804" t="n">
        <v>0</v>
      </c>
      <c r="K804" t="n">
        <v>0</v>
      </c>
      <c r="L804" t="n">
        <v>0</v>
      </c>
      <c r="M804" t="n">
        <v>0</v>
      </c>
      <c r="N804" t="n">
        <v>0</v>
      </c>
      <c r="O804" t="n">
        <v>0</v>
      </c>
      <c r="P804" t="n">
        <v>0</v>
      </c>
      <c r="Q804" t="n">
        <v>0</v>
      </c>
      <c r="R804" s="2" t="inlineStr"/>
    </row>
    <row r="805" ht="15" customHeight="1">
      <c r="A805" t="inlineStr">
        <is>
          <t>A 31319-2019</t>
        </is>
      </c>
      <c r="B805" s="1" t="n">
        <v>43641</v>
      </c>
      <c r="C805" s="1" t="n">
        <v>45706</v>
      </c>
      <c r="D805" t="inlineStr">
        <is>
          <t>UPPSALA LÄN</t>
        </is>
      </c>
      <c r="E805" t="inlineStr">
        <is>
          <t>TIERP</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31436-2019</t>
        </is>
      </c>
      <c r="B806" s="1" t="n">
        <v>43641</v>
      </c>
      <c r="C806" s="1" t="n">
        <v>45706</v>
      </c>
      <c r="D806" t="inlineStr">
        <is>
          <t>UPPSALA LÄN</t>
        </is>
      </c>
      <c r="E806" t="inlineStr">
        <is>
          <t>HEBY</t>
        </is>
      </c>
      <c r="F806" t="inlineStr">
        <is>
          <t>Bergvik skog öst AB</t>
        </is>
      </c>
      <c r="G806" t="n">
        <v>1.6</v>
      </c>
      <c r="H806" t="n">
        <v>0</v>
      </c>
      <c r="I806" t="n">
        <v>0</v>
      </c>
      <c r="J806" t="n">
        <v>0</v>
      </c>
      <c r="K806" t="n">
        <v>0</v>
      </c>
      <c r="L806" t="n">
        <v>0</v>
      </c>
      <c r="M806" t="n">
        <v>0</v>
      </c>
      <c r="N806" t="n">
        <v>0</v>
      </c>
      <c r="O806" t="n">
        <v>0</v>
      </c>
      <c r="P806" t="n">
        <v>0</v>
      </c>
      <c r="Q806" t="n">
        <v>0</v>
      </c>
      <c r="R806" s="2" t="inlineStr"/>
    </row>
    <row r="807" ht="15" customHeight="1">
      <c r="A807" t="inlineStr">
        <is>
          <t>A 31716-2019</t>
        </is>
      </c>
      <c r="B807" s="1" t="n">
        <v>43642</v>
      </c>
      <c r="C807" s="1" t="n">
        <v>45706</v>
      </c>
      <c r="D807" t="inlineStr">
        <is>
          <t>UPPSALA LÄN</t>
        </is>
      </c>
      <c r="E807" t="inlineStr">
        <is>
          <t>ÖSTHAMMAR</t>
        </is>
      </c>
      <c r="G807" t="n">
        <v>1.5</v>
      </c>
      <c r="H807" t="n">
        <v>0</v>
      </c>
      <c r="I807" t="n">
        <v>0</v>
      </c>
      <c r="J807" t="n">
        <v>0</v>
      </c>
      <c r="K807" t="n">
        <v>0</v>
      </c>
      <c r="L807" t="n">
        <v>0</v>
      </c>
      <c r="M807" t="n">
        <v>0</v>
      </c>
      <c r="N807" t="n">
        <v>0</v>
      </c>
      <c r="O807" t="n">
        <v>0</v>
      </c>
      <c r="P807" t="n">
        <v>0</v>
      </c>
      <c r="Q807" t="n">
        <v>0</v>
      </c>
      <c r="R807" s="2" t="inlineStr"/>
    </row>
    <row r="808" ht="15" customHeight="1">
      <c r="A808" t="inlineStr">
        <is>
          <t>A 31882-2019</t>
        </is>
      </c>
      <c r="B808" s="1" t="n">
        <v>43642</v>
      </c>
      <c r="C808" s="1" t="n">
        <v>45706</v>
      </c>
      <c r="D808" t="inlineStr">
        <is>
          <t>UPPSALA LÄN</t>
        </is>
      </c>
      <c r="E808" t="inlineStr">
        <is>
          <t>ÖSTHAMMAR</t>
        </is>
      </c>
      <c r="G808" t="n">
        <v>3.5</v>
      </c>
      <c r="H808" t="n">
        <v>0</v>
      </c>
      <c r="I808" t="n">
        <v>0</v>
      </c>
      <c r="J808" t="n">
        <v>0</v>
      </c>
      <c r="K808" t="n">
        <v>0</v>
      </c>
      <c r="L808" t="n">
        <v>0</v>
      </c>
      <c r="M808" t="n">
        <v>0</v>
      </c>
      <c r="N808" t="n">
        <v>0</v>
      </c>
      <c r="O808" t="n">
        <v>0</v>
      </c>
      <c r="P808" t="n">
        <v>0</v>
      </c>
      <c r="Q808" t="n">
        <v>0</v>
      </c>
      <c r="R808" s="2" t="inlineStr"/>
    </row>
    <row r="809" ht="15" customHeight="1">
      <c r="A809" t="inlineStr">
        <is>
          <t>A 31884-2019</t>
        </is>
      </c>
      <c r="B809" s="1" t="n">
        <v>43642</v>
      </c>
      <c r="C809" s="1" t="n">
        <v>45706</v>
      </c>
      <c r="D809" t="inlineStr">
        <is>
          <t>UPPSALA LÄN</t>
        </is>
      </c>
      <c r="E809" t="inlineStr">
        <is>
          <t>TIERP</t>
        </is>
      </c>
      <c r="G809" t="n">
        <v>1.9</v>
      </c>
      <c r="H809" t="n">
        <v>0</v>
      </c>
      <c r="I809" t="n">
        <v>0</v>
      </c>
      <c r="J809" t="n">
        <v>0</v>
      </c>
      <c r="K809" t="n">
        <v>0</v>
      </c>
      <c r="L809" t="n">
        <v>0</v>
      </c>
      <c r="M809" t="n">
        <v>0</v>
      </c>
      <c r="N809" t="n">
        <v>0</v>
      </c>
      <c r="O809" t="n">
        <v>0</v>
      </c>
      <c r="P809" t="n">
        <v>0</v>
      </c>
      <c r="Q809" t="n">
        <v>0</v>
      </c>
      <c r="R809" s="2" t="inlineStr"/>
    </row>
    <row r="810" ht="15" customHeight="1">
      <c r="A810" t="inlineStr">
        <is>
          <t>A 32299-2019</t>
        </is>
      </c>
      <c r="B810" s="1" t="n">
        <v>43644</v>
      </c>
      <c r="C810" s="1" t="n">
        <v>45706</v>
      </c>
      <c r="D810" t="inlineStr">
        <is>
          <t>UPPSALA LÄN</t>
        </is>
      </c>
      <c r="E810" t="inlineStr">
        <is>
          <t>HEBY</t>
        </is>
      </c>
      <c r="G810" t="n">
        <v>12.8</v>
      </c>
      <c r="H810" t="n">
        <v>0</v>
      </c>
      <c r="I810" t="n">
        <v>0</v>
      </c>
      <c r="J810" t="n">
        <v>0</v>
      </c>
      <c r="K810" t="n">
        <v>0</v>
      </c>
      <c r="L810" t="n">
        <v>0</v>
      </c>
      <c r="M810" t="n">
        <v>0</v>
      </c>
      <c r="N810" t="n">
        <v>0</v>
      </c>
      <c r="O810" t="n">
        <v>0</v>
      </c>
      <c r="P810" t="n">
        <v>0</v>
      </c>
      <c r="Q810" t="n">
        <v>0</v>
      </c>
      <c r="R810" s="2" t="inlineStr"/>
    </row>
    <row r="811" ht="15" customHeight="1">
      <c r="A811" t="inlineStr">
        <is>
          <t>A 32310-2019</t>
        </is>
      </c>
      <c r="B811" s="1" t="n">
        <v>43644</v>
      </c>
      <c r="C811" s="1" t="n">
        <v>45706</v>
      </c>
      <c r="D811" t="inlineStr">
        <is>
          <t>UPPSALA LÄN</t>
        </is>
      </c>
      <c r="E811" t="inlineStr">
        <is>
          <t>ENKÖPING</t>
        </is>
      </c>
      <c r="G811" t="n">
        <v>2.7</v>
      </c>
      <c r="H811" t="n">
        <v>0</v>
      </c>
      <c r="I811" t="n">
        <v>0</v>
      </c>
      <c r="J811" t="n">
        <v>0</v>
      </c>
      <c r="K811" t="n">
        <v>0</v>
      </c>
      <c r="L811" t="n">
        <v>0</v>
      </c>
      <c r="M811" t="n">
        <v>0</v>
      </c>
      <c r="N811" t="n">
        <v>0</v>
      </c>
      <c r="O811" t="n">
        <v>0</v>
      </c>
      <c r="P811" t="n">
        <v>0</v>
      </c>
      <c r="Q811" t="n">
        <v>0</v>
      </c>
      <c r="R811" s="2" t="inlineStr"/>
    </row>
    <row r="812" ht="15" customHeight="1">
      <c r="A812" t="inlineStr">
        <is>
          <t>A 32558-2019</t>
        </is>
      </c>
      <c r="B812" s="1" t="n">
        <v>43647</v>
      </c>
      <c r="C812" s="1" t="n">
        <v>45706</v>
      </c>
      <c r="D812" t="inlineStr">
        <is>
          <t>UPPSALA LÄN</t>
        </is>
      </c>
      <c r="E812" t="inlineStr">
        <is>
          <t>UPPSALA</t>
        </is>
      </c>
      <c r="G812" t="n">
        <v>4.2</v>
      </c>
      <c r="H812" t="n">
        <v>0</v>
      </c>
      <c r="I812" t="n">
        <v>0</v>
      </c>
      <c r="J812" t="n">
        <v>0</v>
      </c>
      <c r="K812" t="n">
        <v>0</v>
      </c>
      <c r="L812" t="n">
        <v>0</v>
      </c>
      <c r="M812" t="n">
        <v>0</v>
      </c>
      <c r="N812" t="n">
        <v>0</v>
      </c>
      <c r="O812" t="n">
        <v>0</v>
      </c>
      <c r="P812" t="n">
        <v>0</v>
      </c>
      <c r="Q812" t="n">
        <v>0</v>
      </c>
      <c r="R812" s="2" t="inlineStr"/>
    </row>
    <row r="813" ht="15" customHeight="1">
      <c r="A813" t="inlineStr">
        <is>
          <t>A 32640-2019</t>
        </is>
      </c>
      <c r="B813" s="1" t="n">
        <v>43647</v>
      </c>
      <c r="C813" s="1" t="n">
        <v>45706</v>
      </c>
      <c r="D813" t="inlineStr">
        <is>
          <t>UPPSALA LÄN</t>
        </is>
      </c>
      <c r="E813" t="inlineStr">
        <is>
          <t>ENKÖPING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32718-2019</t>
        </is>
      </c>
      <c r="B814" s="1" t="n">
        <v>43647</v>
      </c>
      <c r="C814" s="1" t="n">
        <v>45706</v>
      </c>
      <c r="D814" t="inlineStr">
        <is>
          <t>UPPSALA LÄN</t>
        </is>
      </c>
      <c r="E814" t="inlineStr">
        <is>
          <t>ÖSTHAMMAR</t>
        </is>
      </c>
      <c r="G814" t="n">
        <v>0.5</v>
      </c>
      <c r="H814" t="n">
        <v>0</v>
      </c>
      <c r="I814" t="n">
        <v>0</v>
      </c>
      <c r="J814" t="n">
        <v>0</v>
      </c>
      <c r="K814" t="n">
        <v>0</v>
      </c>
      <c r="L814" t="n">
        <v>0</v>
      </c>
      <c r="M814" t="n">
        <v>0</v>
      </c>
      <c r="N814" t="n">
        <v>0</v>
      </c>
      <c r="O814" t="n">
        <v>0</v>
      </c>
      <c r="P814" t="n">
        <v>0</v>
      </c>
      <c r="Q814" t="n">
        <v>0</v>
      </c>
      <c r="R814" s="2" t="inlineStr"/>
    </row>
    <row r="815" ht="15" customHeight="1">
      <c r="A815" t="inlineStr">
        <is>
          <t>A 34560-2019</t>
        </is>
      </c>
      <c r="B815" s="1" t="n">
        <v>43647</v>
      </c>
      <c r="C815" s="1" t="n">
        <v>45706</v>
      </c>
      <c r="D815" t="inlineStr">
        <is>
          <t>UPPSALA LÄN</t>
        </is>
      </c>
      <c r="E815" t="inlineStr">
        <is>
          <t>UPPSALA</t>
        </is>
      </c>
      <c r="G815" t="n">
        <v>8.6</v>
      </c>
      <c r="H815" t="n">
        <v>0</v>
      </c>
      <c r="I815" t="n">
        <v>0</v>
      </c>
      <c r="J815" t="n">
        <v>0</v>
      </c>
      <c r="K815" t="n">
        <v>0</v>
      </c>
      <c r="L815" t="n">
        <v>0</v>
      </c>
      <c r="M815" t="n">
        <v>0</v>
      </c>
      <c r="N815" t="n">
        <v>0</v>
      </c>
      <c r="O815" t="n">
        <v>0</v>
      </c>
      <c r="P815" t="n">
        <v>0</v>
      </c>
      <c r="Q815" t="n">
        <v>0</v>
      </c>
      <c r="R815" s="2" t="inlineStr"/>
    </row>
    <row r="816" ht="15" customHeight="1">
      <c r="A816" t="inlineStr">
        <is>
          <t>A 32830-2019</t>
        </is>
      </c>
      <c r="B816" s="1" t="n">
        <v>43648</v>
      </c>
      <c r="C816" s="1" t="n">
        <v>45706</v>
      </c>
      <c r="D816" t="inlineStr">
        <is>
          <t>UPPSALA LÄN</t>
        </is>
      </c>
      <c r="E816" t="inlineStr">
        <is>
          <t>UPPSALA</t>
        </is>
      </c>
      <c r="G816" t="n">
        <v>13.6</v>
      </c>
      <c r="H816" t="n">
        <v>0</v>
      </c>
      <c r="I816" t="n">
        <v>0</v>
      </c>
      <c r="J816" t="n">
        <v>0</v>
      </c>
      <c r="K816" t="n">
        <v>0</v>
      </c>
      <c r="L816" t="n">
        <v>0</v>
      </c>
      <c r="M816" t="n">
        <v>0</v>
      </c>
      <c r="N816" t="n">
        <v>0</v>
      </c>
      <c r="O816" t="n">
        <v>0</v>
      </c>
      <c r="P816" t="n">
        <v>0</v>
      </c>
      <c r="Q816" t="n">
        <v>0</v>
      </c>
      <c r="R816" s="2" t="inlineStr"/>
    </row>
    <row r="817" ht="15" customHeight="1">
      <c r="A817" t="inlineStr">
        <is>
          <t>A 33339-2019</t>
        </is>
      </c>
      <c r="B817" s="1" t="n">
        <v>43650</v>
      </c>
      <c r="C817" s="1" t="n">
        <v>45706</v>
      </c>
      <c r="D817" t="inlineStr">
        <is>
          <t>UPPSALA LÄN</t>
        </is>
      </c>
      <c r="E817" t="inlineStr">
        <is>
          <t>ENKÖPING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33532-2019</t>
        </is>
      </c>
      <c r="B818" s="1" t="n">
        <v>43651</v>
      </c>
      <c r="C818" s="1" t="n">
        <v>45706</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33544-2019</t>
        </is>
      </c>
      <c r="B819" s="1" t="n">
        <v>43651</v>
      </c>
      <c r="C819" s="1" t="n">
        <v>45706</v>
      </c>
      <c r="D819" t="inlineStr">
        <is>
          <t>UPPSALA LÄN</t>
        </is>
      </c>
      <c r="E819" t="inlineStr">
        <is>
          <t>ÖSTHAMMAR</t>
        </is>
      </c>
      <c r="G819" t="n">
        <v>4.3</v>
      </c>
      <c r="H819" t="n">
        <v>0</v>
      </c>
      <c r="I819" t="n">
        <v>0</v>
      </c>
      <c r="J819" t="n">
        <v>0</v>
      </c>
      <c r="K819" t="n">
        <v>0</v>
      </c>
      <c r="L819" t="n">
        <v>0</v>
      </c>
      <c r="M819" t="n">
        <v>0</v>
      </c>
      <c r="N819" t="n">
        <v>0</v>
      </c>
      <c r="O819" t="n">
        <v>0</v>
      </c>
      <c r="P819" t="n">
        <v>0</v>
      </c>
      <c r="Q819" t="n">
        <v>0</v>
      </c>
      <c r="R819" s="2" t="inlineStr"/>
    </row>
    <row r="820" ht="15" customHeight="1">
      <c r="A820" t="inlineStr">
        <is>
          <t>A 33602-2019</t>
        </is>
      </c>
      <c r="B820" s="1" t="n">
        <v>43651</v>
      </c>
      <c r="C820" s="1" t="n">
        <v>45706</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33539-2019</t>
        </is>
      </c>
      <c r="B821" s="1" t="n">
        <v>43651</v>
      </c>
      <c r="C821" s="1" t="n">
        <v>45706</v>
      </c>
      <c r="D821" t="inlineStr">
        <is>
          <t>UPPSALA LÄN</t>
        </is>
      </c>
      <c r="E821" t="inlineStr">
        <is>
          <t>ÖSTHAMMAR</t>
        </is>
      </c>
      <c r="G821" t="n">
        <v>4.6</v>
      </c>
      <c r="H821" t="n">
        <v>0</v>
      </c>
      <c r="I821" t="n">
        <v>0</v>
      </c>
      <c r="J821" t="n">
        <v>0</v>
      </c>
      <c r="K821" t="n">
        <v>0</v>
      </c>
      <c r="L821" t="n">
        <v>0</v>
      </c>
      <c r="M821" t="n">
        <v>0</v>
      </c>
      <c r="N821" t="n">
        <v>0</v>
      </c>
      <c r="O821" t="n">
        <v>0</v>
      </c>
      <c r="P821" t="n">
        <v>0</v>
      </c>
      <c r="Q821" t="n">
        <v>0</v>
      </c>
      <c r="R821" s="2" t="inlineStr"/>
    </row>
    <row r="822" ht="15" customHeight="1">
      <c r="A822" t="inlineStr">
        <is>
          <t>A 33551-2019</t>
        </is>
      </c>
      <c r="B822" s="1" t="n">
        <v>43651</v>
      </c>
      <c r="C822" s="1" t="n">
        <v>45706</v>
      </c>
      <c r="D822" t="inlineStr">
        <is>
          <t>UPPSALA LÄN</t>
        </is>
      </c>
      <c r="E822" t="inlineStr">
        <is>
          <t>ÖSTHAMMAR</t>
        </is>
      </c>
      <c r="G822" t="n">
        <v>1.5</v>
      </c>
      <c r="H822" t="n">
        <v>0</v>
      </c>
      <c r="I822" t="n">
        <v>0</v>
      </c>
      <c r="J822" t="n">
        <v>0</v>
      </c>
      <c r="K822" t="n">
        <v>0</v>
      </c>
      <c r="L822" t="n">
        <v>0</v>
      </c>
      <c r="M822" t="n">
        <v>0</v>
      </c>
      <c r="N822" t="n">
        <v>0</v>
      </c>
      <c r="O822" t="n">
        <v>0</v>
      </c>
      <c r="P822" t="n">
        <v>0</v>
      </c>
      <c r="Q822" t="n">
        <v>0</v>
      </c>
      <c r="R822" s="2" t="inlineStr"/>
    </row>
    <row r="823" ht="15" customHeight="1">
      <c r="A823" t="inlineStr">
        <is>
          <t>A 33575-2019</t>
        </is>
      </c>
      <c r="B823" s="1" t="n">
        <v>43651</v>
      </c>
      <c r="C823" s="1" t="n">
        <v>45706</v>
      </c>
      <c r="D823" t="inlineStr">
        <is>
          <t>UPPSALA LÄN</t>
        </is>
      </c>
      <c r="E823" t="inlineStr">
        <is>
          <t>HEBY</t>
        </is>
      </c>
      <c r="G823" t="n">
        <v>0.8</v>
      </c>
      <c r="H823" t="n">
        <v>0</v>
      </c>
      <c r="I823" t="n">
        <v>0</v>
      </c>
      <c r="J823" t="n">
        <v>0</v>
      </c>
      <c r="K823" t="n">
        <v>0</v>
      </c>
      <c r="L823" t="n">
        <v>0</v>
      </c>
      <c r="M823" t="n">
        <v>0</v>
      </c>
      <c r="N823" t="n">
        <v>0</v>
      </c>
      <c r="O823" t="n">
        <v>0</v>
      </c>
      <c r="P823" t="n">
        <v>0</v>
      </c>
      <c r="Q823" t="n">
        <v>0</v>
      </c>
      <c r="R823" s="2" t="inlineStr"/>
    </row>
    <row r="824" ht="15" customHeight="1">
      <c r="A824" t="inlineStr">
        <is>
          <t>A 33584-2019</t>
        </is>
      </c>
      <c r="B824" s="1" t="n">
        <v>43651</v>
      </c>
      <c r="C824" s="1" t="n">
        <v>45706</v>
      </c>
      <c r="D824" t="inlineStr">
        <is>
          <t>UPPSALA LÄN</t>
        </is>
      </c>
      <c r="E824" t="inlineStr">
        <is>
          <t>HEBY</t>
        </is>
      </c>
      <c r="G824" t="n">
        <v>1</v>
      </c>
      <c r="H824" t="n">
        <v>0</v>
      </c>
      <c r="I824" t="n">
        <v>0</v>
      </c>
      <c r="J824" t="n">
        <v>0</v>
      </c>
      <c r="K824" t="n">
        <v>0</v>
      </c>
      <c r="L824" t="n">
        <v>0</v>
      </c>
      <c r="M824" t="n">
        <v>0</v>
      </c>
      <c r="N824" t="n">
        <v>0</v>
      </c>
      <c r="O824" t="n">
        <v>0</v>
      </c>
      <c r="P824" t="n">
        <v>0</v>
      </c>
      <c r="Q824" t="n">
        <v>0</v>
      </c>
      <c r="R824" s="2" t="inlineStr"/>
    </row>
    <row r="825" ht="15" customHeight="1">
      <c r="A825" t="inlineStr">
        <is>
          <t>A 33614-2019</t>
        </is>
      </c>
      <c r="B825" s="1" t="n">
        <v>43651</v>
      </c>
      <c r="C825" s="1" t="n">
        <v>45706</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33670-2019</t>
        </is>
      </c>
      <c r="B826" s="1" t="n">
        <v>43651</v>
      </c>
      <c r="C826" s="1" t="n">
        <v>45706</v>
      </c>
      <c r="D826" t="inlineStr">
        <is>
          <t>UPPSALA LÄN</t>
        </is>
      </c>
      <c r="E826" t="inlineStr">
        <is>
          <t>TIERP</t>
        </is>
      </c>
      <c r="F826" t="inlineStr">
        <is>
          <t>Bergvik skog öst AB</t>
        </is>
      </c>
      <c r="G826" t="n">
        <v>1.9</v>
      </c>
      <c r="H826" t="n">
        <v>0</v>
      </c>
      <c r="I826" t="n">
        <v>0</v>
      </c>
      <c r="J826" t="n">
        <v>0</v>
      </c>
      <c r="K826" t="n">
        <v>0</v>
      </c>
      <c r="L826" t="n">
        <v>0</v>
      </c>
      <c r="M826" t="n">
        <v>0</v>
      </c>
      <c r="N826" t="n">
        <v>0</v>
      </c>
      <c r="O826" t="n">
        <v>0</v>
      </c>
      <c r="P826" t="n">
        <v>0</v>
      </c>
      <c r="Q826" t="n">
        <v>0</v>
      </c>
      <c r="R826" s="2" t="inlineStr"/>
    </row>
    <row r="827" ht="15" customHeight="1">
      <c r="A827" t="inlineStr">
        <is>
          <t>A 33615-2019</t>
        </is>
      </c>
      <c r="B827" s="1" t="n">
        <v>43651</v>
      </c>
      <c r="C827" s="1" t="n">
        <v>45706</v>
      </c>
      <c r="D827" t="inlineStr">
        <is>
          <t>UPPSALA LÄN</t>
        </is>
      </c>
      <c r="E827" t="inlineStr">
        <is>
          <t>UPPSALA</t>
        </is>
      </c>
      <c r="G827" t="n">
        <v>1.4</v>
      </c>
      <c r="H827" t="n">
        <v>0</v>
      </c>
      <c r="I827" t="n">
        <v>0</v>
      </c>
      <c r="J827" t="n">
        <v>0</v>
      </c>
      <c r="K827" t="n">
        <v>0</v>
      </c>
      <c r="L827" t="n">
        <v>0</v>
      </c>
      <c r="M827" t="n">
        <v>0</v>
      </c>
      <c r="N827" t="n">
        <v>0</v>
      </c>
      <c r="O827" t="n">
        <v>0</v>
      </c>
      <c r="P827" t="n">
        <v>0</v>
      </c>
      <c r="Q827" t="n">
        <v>0</v>
      </c>
      <c r="R827" s="2" t="inlineStr"/>
    </row>
    <row r="828" ht="15" customHeight="1">
      <c r="A828" t="inlineStr">
        <is>
          <t>A 33596-2019</t>
        </is>
      </c>
      <c r="B828" s="1" t="n">
        <v>43651</v>
      </c>
      <c r="C828" s="1" t="n">
        <v>45706</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33784-2019</t>
        </is>
      </c>
      <c r="B829" s="1" t="n">
        <v>43651</v>
      </c>
      <c r="C829" s="1" t="n">
        <v>45706</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33932-2019</t>
        </is>
      </c>
      <c r="B830" s="1" t="n">
        <v>43654</v>
      </c>
      <c r="C830" s="1" t="n">
        <v>45706</v>
      </c>
      <c r="D830" t="inlineStr">
        <is>
          <t>UPPSALA LÄN</t>
        </is>
      </c>
      <c r="E830" t="inlineStr">
        <is>
          <t>HEBY</t>
        </is>
      </c>
      <c r="F830" t="inlineStr">
        <is>
          <t>Bergvik skog öst AB</t>
        </is>
      </c>
      <c r="G830" t="n">
        <v>0.5</v>
      </c>
      <c r="H830" t="n">
        <v>0</v>
      </c>
      <c r="I830" t="n">
        <v>0</v>
      </c>
      <c r="J830" t="n">
        <v>0</v>
      </c>
      <c r="K830" t="n">
        <v>0</v>
      </c>
      <c r="L830" t="n">
        <v>0</v>
      </c>
      <c r="M830" t="n">
        <v>0</v>
      </c>
      <c r="N830" t="n">
        <v>0</v>
      </c>
      <c r="O830" t="n">
        <v>0</v>
      </c>
      <c r="P830" t="n">
        <v>0</v>
      </c>
      <c r="Q830" t="n">
        <v>0</v>
      </c>
      <c r="R830" s="2" t="inlineStr"/>
    </row>
    <row r="831" ht="15" customHeight="1">
      <c r="A831" t="inlineStr">
        <is>
          <t>A 34007-2019</t>
        </is>
      </c>
      <c r="B831" s="1" t="n">
        <v>43654</v>
      </c>
      <c r="C831" s="1" t="n">
        <v>45706</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34063-2019</t>
        </is>
      </c>
      <c r="B832" s="1" t="n">
        <v>43654</v>
      </c>
      <c r="C832" s="1" t="n">
        <v>45706</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34386-2019</t>
        </is>
      </c>
      <c r="B833" s="1" t="n">
        <v>43656</v>
      </c>
      <c r="C833" s="1" t="n">
        <v>45706</v>
      </c>
      <c r="D833" t="inlineStr">
        <is>
          <t>UPPSALA LÄN</t>
        </is>
      </c>
      <c r="E833" t="inlineStr">
        <is>
          <t>TIERP</t>
        </is>
      </c>
      <c r="G833" t="n">
        <v>1.5</v>
      </c>
      <c r="H833" t="n">
        <v>0</v>
      </c>
      <c r="I833" t="n">
        <v>0</v>
      </c>
      <c r="J833" t="n">
        <v>0</v>
      </c>
      <c r="K833" t="n">
        <v>0</v>
      </c>
      <c r="L833" t="n">
        <v>0</v>
      </c>
      <c r="M833" t="n">
        <v>0</v>
      </c>
      <c r="N833" t="n">
        <v>0</v>
      </c>
      <c r="O833" t="n">
        <v>0</v>
      </c>
      <c r="P833" t="n">
        <v>0</v>
      </c>
      <c r="Q833" t="n">
        <v>0</v>
      </c>
      <c r="R833" s="2" t="inlineStr"/>
    </row>
    <row r="834" ht="15" customHeight="1">
      <c r="A834" t="inlineStr">
        <is>
          <t>A 34331-2019</t>
        </is>
      </c>
      <c r="B834" s="1" t="n">
        <v>43656</v>
      </c>
      <c r="C834" s="1" t="n">
        <v>45706</v>
      </c>
      <c r="D834" t="inlineStr">
        <is>
          <t>UPPSALA LÄN</t>
        </is>
      </c>
      <c r="E834" t="inlineStr">
        <is>
          <t>UPPSALA</t>
        </is>
      </c>
      <c r="G834" t="n">
        <v>2</v>
      </c>
      <c r="H834" t="n">
        <v>0</v>
      </c>
      <c r="I834" t="n">
        <v>0</v>
      </c>
      <c r="J834" t="n">
        <v>0</v>
      </c>
      <c r="K834" t="n">
        <v>0</v>
      </c>
      <c r="L834" t="n">
        <v>0</v>
      </c>
      <c r="M834" t="n">
        <v>0</v>
      </c>
      <c r="N834" t="n">
        <v>0</v>
      </c>
      <c r="O834" t="n">
        <v>0</v>
      </c>
      <c r="P834" t="n">
        <v>0</v>
      </c>
      <c r="Q834" t="n">
        <v>0</v>
      </c>
      <c r="R834" s="2" t="inlineStr"/>
    </row>
    <row r="835" ht="15" customHeight="1">
      <c r="A835" t="inlineStr">
        <is>
          <t>A 35811-2019</t>
        </is>
      </c>
      <c r="B835" s="1" t="n">
        <v>43656</v>
      </c>
      <c r="C835" s="1" t="n">
        <v>45706</v>
      </c>
      <c r="D835" t="inlineStr">
        <is>
          <t>UPPSALA LÄN</t>
        </is>
      </c>
      <c r="E835" t="inlineStr">
        <is>
          <t>HEBY</t>
        </is>
      </c>
      <c r="F835" t="inlineStr">
        <is>
          <t>Allmännings- och besparingsskogar</t>
        </is>
      </c>
      <c r="G835" t="n">
        <v>16.5</v>
      </c>
      <c r="H835" t="n">
        <v>0</v>
      </c>
      <c r="I835" t="n">
        <v>0</v>
      </c>
      <c r="J835" t="n">
        <v>0</v>
      </c>
      <c r="K835" t="n">
        <v>0</v>
      </c>
      <c r="L835" t="n">
        <v>0</v>
      </c>
      <c r="M835" t="n">
        <v>0</v>
      </c>
      <c r="N835" t="n">
        <v>0</v>
      </c>
      <c r="O835" t="n">
        <v>0</v>
      </c>
      <c r="P835" t="n">
        <v>0</v>
      </c>
      <c r="Q835" t="n">
        <v>0</v>
      </c>
      <c r="R835" s="2" t="inlineStr"/>
    </row>
    <row r="836" ht="15" customHeight="1">
      <c r="A836" t="inlineStr">
        <is>
          <t>A 34392-2019</t>
        </is>
      </c>
      <c r="B836" s="1" t="n">
        <v>43656</v>
      </c>
      <c r="C836" s="1" t="n">
        <v>45706</v>
      </c>
      <c r="D836" t="inlineStr">
        <is>
          <t>UPPSALA LÄN</t>
        </is>
      </c>
      <c r="E836" t="inlineStr">
        <is>
          <t>TIERP</t>
        </is>
      </c>
      <c r="G836" t="n">
        <v>2.8</v>
      </c>
      <c r="H836" t="n">
        <v>0</v>
      </c>
      <c r="I836" t="n">
        <v>0</v>
      </c>
      <c r="J836" t="n">
        <v>0</v>
      </c>
      <c r="K836" t="n">
        <v>0</v>
      </c>
      <c r="L836" t="n">
        <v>0</v>
      </c>
      <c r="M836" t="n">
        <v>0</v>
      </c>
      <c r="N836" t="n">
        <v>0</v>
      </c>
      <c r="O836" t="n">
        <v>0</v>
      </c>
      <c r="P836" t="n">
        <v>0</v>
      </c>
      <c r="Q836" t="n">
        <v>0</v>
      </c>
      <c r="R836" s="2" t="inlineStr"/>
    </row>
    <row r="837" ht="15" customHeight="1">
      <c r="A837" t="inlineStr">
        <is>
          <t>A 35059-2019</t>
        </is>
      </c>
      <c r="B837" s="1" t="n">
        <v>43661</v>
      </c>
      <c r="C837" s="1" t="n">
        <v>45706</v>
      </c>
      <c r="D837" t="inlineStr">
        <is>
          <t>UPPSALA LÄN</t>
        </is>
      </c>
      <c r="E837" t="inlineStr">
        <is>
          <t>KNIVSTA</t>
        </is>
      </c>
      <c r="G837" t="n">
        <v>1.3</v>
      </c>
      <c r="H837" t="n">
        <v>0</v>
      </c>
      <c r="I837" t="n">
        <v>0</v>
      </c>
      <c r="J837" t="n">
        <v>0</v>
      </c>
      <c r="K837" t="n">
        <v>0</v>
      </c>
      <c r="L837" t="n">
        <v>0</v>
      </c>
      <c r="M837" t="n">
        <v>0</v>
      </c>
      <c r="N837" t="n">
        <v>0</v>
      </c>
      <c r="O837" t="n">
        <v>0</v>
      </c>
      <c r="P837" t="n">
        <v>0</v>
      </c>
      <c r="Q837" t="n">
        <v>0</v>
      </c>
      <c r="R837" s="2" t="inlineStr"/>
    </row>
    <row r="838" ht="15" customHeight="1">
      <c r="A838" t="inlineStr">
        <is>
          <t>A 36345-2019</t>
        </is>
      </c>
      <c r="B838" s="1" t="n">
        <v>43661</v>
      </c>
      <c r="C838" s="1" t="n">
        <v>45706</v>
      </c>
      <c r="D838" t="inlineStr">
        <is>
          <t>UPPSALA LÄN</t>
        </is>
      </c>
      <c r="E838" t="inlineStr">
        <is>
          <t>UPPSALA</t>
        </is>
      </c>
      <c r="G838" t="n">
        <v>5.3</v>
      </c>
      <c r="H838" t="n">
        <v>0</v>
      </c>
      <c r="I838" t="n">
        <v>0</v>
      </c>
      <c r="J838" t="n">
        <v>0</v>
      </c>
      <c r="K838" t="n">
        <v>0</v>
      </c>
      <c r="L838" t="n">
        <v>0</v>
      </c>
      <c r="M838" t="n">
        <v>0</v>
      </c>
      <c r="N838" t="n">
        <v>0</v>
      </c>
      <c r="O838" t="n">
        <v>0</v>
      </c>
      <c r="P838" t="n">
        <v>0</v>
      </c>
      <c r="Q838" t="n">
        <v>0</v>
      </c>
      <c r="R838" s="2" t="inlineStr"/>
    </row>
    <row r="839" ht="15" customHeight="1">
      <c r="A839" t="inlineStr">
        <is>
          <t>A 36394-2019</t>
        </is>
      </c>
      <c r="B839" s="1" t="n">
        <v>43663</v>
      </c>
      <c r="C839" s="1" t="n">
        <v>45706</v>
      </c>
      <c r="D839" t="inlineStr">
        <is>
          <t>UPPSALA LÄN</t>
        </is>
      </c>
      <c r="E839" t="inlineStr">
        <is>
          <t>UPPSALA</t>
        </is>
      </c>
      <c r="G839" t="n">
        <v>2.4</v>
      </c>
      <c r="H839" t="n">
        <v>0</v>
      </c>
      <c r="I839" t="n">
        <v>0</v>
      </c>
      <c r="J839" t="n">
        <v>0</v>
      </c>
      <c r="K839" t="n">
        <v>0</v>
      </c>
      <c r="L839" t="n">
        <v>0</v>
      </c>
      <c r="M839" t="n">
        <v>0</v>
      </c>
      <c r="N839" t="n">
        <v>0</v>
      </c>
      <c r="O839" t="n">
        <v>0</v>
      </c>
      <c r="P839" t="n">
        <v>0</v>
      </c>
      <c r="Q839" t="n">
        <v>0</v>
      </c>
      <c r="R839" s="2" t="inlineStr"/>
    </row>
    <row r="840" ht="15" customHeight="1">
      <c r="A840" t="inlineStr">
        <is>
          <t>A 35752-2019</t>
        </is>
      </c>
      <c r="B840" s="1" t="n">
        <v>43665</v>
      </c>
      <c r="C840" s="1" t="n">
        <v>45706</v>
      </c>
      <c r="D840" t="inlineStr">
        <is>
          <t>UPPSALA LÄN</t>
        </is>
      </c>
      <c r="E840" t="inlineStr">
        <is>
          <t>ENKÖPING</t>
        </is>
      </c>
      <c r="G840" t="n">
        <v>2.9</v>
      </c>
      <c r="H840" t="n">
        <v>0</v>
      </c>
      <c r="I840" t="n">
        <v>0</v>
      </c>
      <c r="J840" t="n">
        <v>0</v>
      </c>
      <c r="K840" t="n">
        <v>0</v>
      </c>
      <c r="L840" t="n">
        <v>0</v>
      </c>
      <c r="M840" t="n">
        <v>0</v>
      </c>
      <c r="N840" t="n">
        <v>0</v>
      </c>
      <c r="O840" t="n">
        <v>0</v>
      </c>
      <c r="P840" t="n">
        <v>0</v>
      </c>
      <c r="Q840" t="n">
        <v>0</v>
      </c>
      <c r="R840" s="2" t="inlineStr"/>
    </row>
    <row r="841" ht="15" customHeight="1">
      <c r="A841" t="inlineStr">
        <is>
          <t>A 36019-2019</t>
        </is>
      </c>
      <c r="B841" s="1" t="n">
        <v>43668</v>
      </c>
      <c r="C841" s="1" t="n">
        <v>45706</v>
      </c>
      <c r="D841" t="inlineStr">
        <is>
          <t>UPPSALA LÄN</t>
        </is>
      </c>
      <c r="E841" t="inlineStr">
        <is>
          <t>TIERP</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36370-2019</t>
        </is>
      </c>
      <c r="B842" s="1" t="n">
        <v>43670</v>
      </c>
      <c r="C842" s="1" t="n">
        <v>45706</v>
      </c>
      <c r="D842" t="inlineStr">
        <is>
          <t>UPPSALA LÄN</t>
        </is>
      </c>
      <c r="E842" t="inlineStr">
        <is>
          <t>ENKÖPING</t>
        </is>
      </c>
      <c r="G842" t="n">
        <v>26.9</v>
      </c>
      <c r="H842" t="n">
        <v>0</v>
      </c>
      <c r="I842" t="n">
        <v>0</v>
      </c>
      <c r="J842" t="n">
        <v>0</v>
      </c>
      <c r="K842" t="n">
        <v>0</v>
      </c>
      <c r="L842" t="n">
        <v>0</v>
      </c>
      <c r="M842" t="n">
        <v>0</v>
      </c>
      <c r="N842" t="n">
        <v>0</v>
      </c>
      <c r="O842" t="n">
        <v>0</v>
      </c>
      <c r="P842" t="n">
        <v>0</v>
      </c>
      <c r="Q842" t="n">
        <v>0</v>
      </c>
      <c r="R842" s="2" t="inlineStr"/>
    </row>
    <row r="843" ht="15" customHeight="1">
      <c r="A843" t="inlineStr">
        <is>
          <t>A 36733-2019</t>
        </is>
      </c>
      <c r="B843" s="1" t="n">
        <v>43672</v>
      </c>
      <c r="C843" s="1" t="n">
        <v>45706</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37114-2019</t>
        </is>
      </c>
      <c r="B844" s="1" t="n">
        <v>43676</v>
      </c>
      <c r="C844" s="1" t="n">
        <v>45706</v>
      </c>
      <c r="D844" t="inlineStr">
        <is>
          <t>UPPSALA LÄN</t>
        </is>
      </c>
      <c r="E844" t="inlineStr">
        <is>
          <t>TIERP</t>
        </is>
      </c>
      <c r="G844" t="n">
        <v>1.9</v>
      </c>
      <c r="H844" t="n">
        <v>0</v>
      </c>
      <c r="I844" t="n">
        <v>0</v>
      </c>
      <c r="J844" t="n">
        <v>0</v>
      </c>
      <c r="K844" t="n">
        <v>0</v>
      </c>
      <c r="L844" t="n">
        <v>0</v>
      </c>
      <c r="M844" t="n">
        <v>0</v>
      </c>
      <c r="N844" t="n">
        <v>0</v>
      </c>
      <c r="O844" t="n">
        <v>0</v>
      </c>
      <c r="P844" t="n">
        <v>0</v>
      </c>
      <c r="Q844" t="n">
        <v>0</v>
      </c>
      <c r="R844" s="2" t="inlineStr"/>
    </row>
    <row r="845" ht="15" customHeight="1">
      <c r="A845" t="inlineStr">
        <is>
          <t>A 37092-2019</t>
        </is>
      </c>
      <c r="B845" s="1" t="n">
        <v>43676</v>
      </c>
      <c r="C845" s="1" t="n">
        <v>45706</v>
      </c>
      <c r="D845" t="inlineStr">
        <is>
          <t>UPPSALA LÄN</t>
        </is>
      </c>
      <c r="E845" t="inlineStr">
        <is>
          <t>HEBY</t>
        </is>
      </c>
      <c r="G845" t="n">
        <v>4.6</v>
      </c>
      <c r="H845" t="n">
        <v>0</v>
      </c>
      <c r="I845" t="n">
        <v>0</v>
      </c>
      <c r="J845" t="n">
        <v>0</v>
      </c>
      <c r="K845" t="n">
        <v>0</v>
      </c>
      <c r="L845" t="n">
        <v>0</v>
      </c>
      <c r="M845" t="n">
        <v>0</v>
      </c>
      <c r="N845" t="n">
        <v>0</v>
      </c>
      <c r="O845" t="n">
        <v>0</v>
      </c>
      <c r="P845" t="n">
        <v>0</v>
      </c>
      <c r="Q845" t="n">
        <v>0</v>
      </c>
      <c r="R845" s="2" t="inlineStr"/>
    </row>
    <row r="846" ht="15" customHeight="1">
      <c r="A846" t="inlineStr">
        <is>
          <t>A 37234-2019</t>
        </is>
      </c>
      <c r="B846" s="1" t="n">
        <v>43677</v>
      </c>
      <c r="C846" s="1" t="n">
        <v>45706</v>
      </c>
      <c r="D846" t="inlineStr">
        <is>
          <t>UPPSALA LÄN</t>
        </is>
      </c>
      <c r="E846" t="inlineStr">
        <is>
          <t>UPPSALA</t>
        </is>
      </c>
      <c r="G846" t="n">
        <v>3.2</v>
      </c>
      <c r="H846" t="n">
        <v>0</v>
      </c>
      <c r="I846" t="n">
        <v>0</v>
      </c>
      <c r="J846" t="n">
        <v>0</v>
      </c>
      <c r="K846" t="n">
        <v>0</v>
      </c>
      <c r="L846" t="n">
        <v>0</v>
      </c>
      <c r="M846" t="n">
        <v>0</v>
      </c>
      <c r="N846" t="n">
        <v>0</v>
      </c>
      <c r="O846" t="n">
        <v>0</v>
      </c>
      <c r="P846" t="n">
        <v>0</v>
      </c>
      <c r="Q846" t="n">
        <v>0</v>
      </c>
      <c r="R846" s="2" t="inlineStr"/>
    </row>
    <row r="847" ht="15" customHeight="1">
      <c r="A847" t="inlineStr">
        <is>
          <t>A 37519-2019</t>
        </is>
      </c>
      <c r="B847" s="1" t="n">
        <v>43679</v>
      </c>
      <c r="C847" s="1" t="n">
        <v>45706</v>
      </c>
      <c r="D847" t="inlineStr">
        <is>
          <t>UPPSALA LÄN</t>
        </is>
      </c>
      <c r="E847" t="inlineStr">
        <is>
          <t>ENKÖPING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37702-2019</t>
        </is>
      </c>
      <c r="B848" s="1" t="n">
        <v>43682</v>
      </c>
      <c r="C848" s="1" t="n">
        <v>45706</v>
      </c>
      <c r="D848" t="inlineStr">
        <is>
          <t>UPPSALA LÄN</t>
        </is>
      </c>
      <c r="E848" t="inlineStr">
        <is>
          <t>ENKÖPING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37711-2019</t>
        </is>
      </c>
      <c r="B849" s="1" t="n">
        <v>43682</v>
      </c>
      <c r="C849" s="1" t="n">
        <v>45706</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37700-2019</t>
        </is>
      </c>
      <c r="B850" s="1" t="n">
        <v>43682</v>
      </c>
      <c r="C850" s="1" t="n">
        <v>45706</v>
      </c>
      <c r="D850" t="inlineStr">
        <is>
          <t>UPPSALA LÄN</t>
        </is>
      </c>
      <c r="E850" t="inlineStr">
        <is>
          <t>ENKÖPING</t>
        </is>
      </c>
      <c r="G850" t="n">
        <v>2.9</v>
      </c>
      <c r="H850" t="n">
        <v>0</v>
      </c>
      <c r="I850" t="n">
        <v>0</v>
      </c>
      <c r="J850" t="n">
        <v>0</v>
      </c>
      <c r="K850" t="n">
        <v>0</v>
      </c>
      <c r="L850" t="n">
        <v>0</v>
      </c>
      <c r="M850" t="n">
        <v>0</v>
      </c>
      <c r="N850" t="n">
        <v>0</v>
      </c>
      <c r="O850" t="n">
        <v>0</v>
      </c>
      <c r="P850" t="n">
        <v>0</v>
      </c>
      <c r="Q850" t="n">
        <v>0</v>
      </c>
      <c r="R850" s="2" t="inlineStr"/>
    </row>
    <row r="851" ht="15" customHeight="1">
      <c r="A851" t="inlineStr">
        <is>
          <t>A 37936-2019</t>
        </is>
      </c>
      <c r="B851" s="1" t="n">
        <v>43683</v>
      </c>
      <c r="C851" s="1" t="n">
        <v>45706</v>
      </c>
      <c r="D851" t="inlineStr">
        <is>
          <t>UPPSALA LÄN</t>
        </is>
      </c>
      <c r="E851" t="inlineStr">
        <is>
          <t>ENKÖPING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38204-2019</t>
        </is>
      </c>
      <c r="B852" s="1" t="n">
        <v>43683</v>
      </c>
      <c r="C852" s="1" t="n">
        <v>45706</v>
      </c>
      <c r="D852" t="inlineStr">
        <is>
          <t>UPPSALA LÄN</t>
        </is>
      </c>
      <c r="E852" t="inlineStr">
        <is>
          <t>ENKÖPING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38189-2019</t>
        </is>
      </c>
      <c r="B853" s="1" t="n">
        <v>43684</v>
      </c>
      <c r="C853" s="1" t="n">
        <v>45706</v>
      </c>
      <c r="D853" t="inlineStr">
        <is>
          <t>UPPSALA LÄN</t>
        </is>
      </c>
      <c r="E853" t="inlineStr">
        <is>
          <t>ENKÖPING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38205-2019</t>
        </is>
      </c>
      <c r="B854" s="1" t="n">
        <v>43684</v>
      </c>
      <c r="C854" s="1" t="n">
        <v>45706</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40148-2019</t>
        </is>
      </c>
      <c r="B855" s="1" t="n">
        <v>43684</v>
      </c>
      <c r="C855" s="1" t="n">
        <v>45706</v>
      </c>
      <c r="D855" t="inlineStr">
        <is>
          <t>UPPSALA LÄN</t>
        </is>
      </c>
      <c r="E855" t="inlineStr">
        <is>
          <t>HÅBO</t>
        </is>
      </c>
      <c r="G855" t="n">
        <v>1.5</v>
      </c>
      <c r="H855" t="n">
        <v>0</v>
      </c>
      <c r="I855" t="n">
        <v>0</v>
      </c>
      <c r="J855" t="n">
        <v>0</v>
      </c>
      <c r="K855" t="n">
        <v>0</v>
      </c>
      <c r="L855" t="n">
        <v>0</v>
      </c>
      <c r="M855" t="n">
        <v>0</v>
      </c>
      <c r="N855" t="n">
        <v>0</v>
      </c>
      <c r="O855" t="n">
        <v>0</v>
      </c>
      <c r="P855" t="n">
        <v>0</v>
      </c>
      <c r="Q855" t="n">
        <v>0</v>
      </c>
      <c r="R855" s="2" t="inlineStr"/>
    </row>
    <row r="856" ht="15" customHeight="1">
      <c r="A856" t="inlineStr">
        <is>
          <t>A 38475-2019</t>
        </is>
      </c>
      <c r="B856" s="1" t="n">
        <v>43685</v>
      </c>
      <c r="C856" s="1" t="n">
        <v>45706</v>
      </c>
      <c r="D856" t="inlineStr">
        <is>
          <t>UPPSALA LÄN</t>
        </is>
      </c>
      <c r="E856" t="inlineStr">
        <is>
          <t>ENKÖPING</t>
        </is>
      </c>
      <c r="G856" t="n">
        <v>1.9</v>
      </c>
      <c r="H856" t="n">
        <v>0</v>
      </c>
      <c r="I856" t="n">
        <v>0</v>
      </c>
      <c r="J856" t="n">
        <v>0</v>
      </c>
      <c r="K856" t="n">
        <v>0</v>
      </c>
      <c r="L856" t="n">
        <v>0</v>
      </c>
      <c r="M856" t="n">
        <v>0</v>
      </c>
      <c r="N856" t="n">
        <v>0</v>
      </c>
      <c r="O856" t="n">
        <v>0</v>
      </c>
      <c r="P856" t="n">
        <v>0</v>
      </c>
      <c r="Q856" t="n">
        <v>0</v>
      </c>
      <c r="R856" s="2" t="inlineStr"/>
    </row>
    <row r="857" ht="15" customHeight="1">
      <c r="A857" t="inlineStr">
        <is>
          <t>A 38684-2019</t>
        </is>
      </c>
      <c r="B857" s="1" t="n">
        <v>43686</v>
      </c>
      <c r="C857" s="1" t="n">
        <v>45706</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39554-2019</t>
        </is>
      </c>
      <c r="B858" s="1" t="n">
        <v>43686</v>
      </c>
      <c r="C858" s="1" t="n">
        <v>45706</v>
      </c>
      <c r="D858" t="inlineStr">
        <is>
          <t>UPPSALA LÄN</t>
        </is>
      </c>
      <c r="E858" t="inlineStr">
        <is>
          <t>TIERP</t>
        </is>
      </c>
      <c r="G858" t="n">
        <v>2.6</v>
      </c>
      <c r="H858" t="n">
        <v>0</v>
      </c>
      <c r="I858" t="n">
        <v>0</v>
      </c>
      <c r="J858" t="n">
        <v>0</v>
      </c>
      <c r="K858" t="n">
        <v>0</v>
      </c>
      <c r="L858" t="n">
        <v>0</v>
      </c>
      <c r="M858" t="n">
        <v>0</v>
      </c>
      <c r="N858" t="n">
        <v>0</v>
      </c>
      <c r="O858" t="n">
        <v>0</v>
      </c>
      <c r="P858" t="n">
        <v>0</v>
      </c>
      <c r="Q858" t="n">
        <v>0</v>
      </c>
      <c r="R858" s="2" t="inlineStr"/>
    </row>
    <row r="859" ht="15" customHeight="1">
      <c r="A859" t="inlineStr">
        <is>
          <t>A 39582-2019</t>
        </is>
      </c>
      <c r="B859" s="1" t="n">
        <v>43686</v>
      </c>
      <c r="C859" s="1" t="n">
        <v>45706</v>
      </c>
      <c r="D859" t="inlineStr">
        <is>
          <t>UPPSALA LÄN</t>
        </is>
      </c>
      <c r="E859" t="inlineStr">
        <is>
          <t>ÖSTHAMMAR</t>
        </is>
      </c>
      <c r="G859" t="n">
        <v>12.2</v>
      </c>
      <c r="H859" t="n">
        <v>0</v>
      </c>
      <c r="I859" t="n">
        <v>0</v>
      </c>
      <c r="J859" t="n">
        <v>0</v>
      </c>
      <c r="K859" t="n">
        <v>0</v>
      </c>
      <c r="L859" t="n">
        <v>0</v>
      </c>
      <c r="M859" t="n">
        <v>0</v>
      </c>
      <c r="N859" t="n">
        <v>0</v>
      </c>
      <c r="O859" t="n">
        <v>0</v>
      </c>
      <c r="P859" t="n">
        <v>0</v>
      </c>
      <c r="Q859" t="n">
        <v>0</v>
      </c>
      <c r="R859" s="2" t="inlineStr"/>
    </row>
    <row r="860" ht="15" customHeight="1">
      <c r="A860" t="inlineStr">
        <is>
          <t>A 38896-2019</t>
        </is>
      </c>
      <c r="B860" s="1" t="n">
        <v>43689</v>
      </c>
      <c r="C860" s="1" t="n">
        <v>45706</v>
      </c>
      <c r="D860" t="inlineStr">
        <is>
          <t>UPPSALA LÄN</t>
        </is>
      </c>
      <c r="E860" t="inlineStr">
        <is>
          <t>ENKÖPING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39918-2019</t>
        </is>
      </c>
      <c r="B861" s="1" t="n">
        <v>43689</v>
      </c>
      <c r="C861" s="1" t="n">
        <v>45706</v>
      </c>
      <c r="D861" t="inlineStr">
        <is>
          <t>UPPSALA LÄN</t>
        </is>
      </c>
      <c r="E861" t="inlineStr">
        <is>
          <t>HEBY</t>
        </is>
      </c>
      <c r="G861" t="n">
        <v>4.1</v>
      </c>
      <c r="H861" t="n">
        <v>0</v>
      </c>
      <c r="I861" t="n">
        <v>0</v>
      </c>
      <c r="J861" t="n">
        <v>0</v>
      </c>
      <c r="K861" t="n">
        <v>0</v>
      </c>
      <c r="L861" t="n">
        <v>0</v>
      </c>
      <c r="M861" t="n">
        <v>0</v>
      </c>
      <c r="N861" t="n">
        <v>0</v>
      </c>
      <c r="O861" t="n">
        <v>0</v>
      </c>
      <c r="P861" t="n">
        <v>0</v>
      </c>
      <c r="Q861" t="n">
        <v>0</v>
      </c>
      <c r="R861" s="2" t="inlineStr"/>
    </row>
    <row r="862" ht="15" customHeight="1">
      <c r="A862" t="inlineStr">
        <is>
          <t>A 39087-2019</t>
        </is>
      </c>
      <c r="B862" s="1" t="n">
        <v>43689</v>
      </c>
      <c r="C862" s="1" t="n">
        <v>45706</v>
      </c>
      <c r="D862" t="inlineStr">
        <is>
          <t>UPPSALA LÄN</t>
        </is>
      </c>
      <c r="E862" t="inlineStr">
        <is>
          <t>HEBY</t>
        </is>
      </c>
      <c r="G862" t="n">
        <v>1.2</v>
      </c>
      <c r="H862" t="n">
        <v>0</v>
      </c>
      <c r="I862" t="n">
        <v>0</v>
      </c>
      <c r="J862" t="n">
        <v>0</v>
      </c>
      <c r="K862" t="n">
        <v>0</v>
      </c>
      <c r="L862" t="n">
        <v>0</v>
      </c>
      <c r="M862" t="n">
        <v>0</v>
      </c>
      <c r="N862" t="n">
        <v>0</v>
      </c>
      <c r="O862" t="n">
        <v>0</v>
      </c>
      <c r="P862" t="n">
        <v>0</v>
      </c>
      <c r="Q862" t="n">
        <v>0</v>
      </c>
      <c r="R862" s="2" t="inlineStr"/>
    </row>
    <row r="863" ht="15" customHeight="1">
      <c r="A863" t="inlineStr">
        <is>
          <t>A 38899-2019</t>
        </is>
      </c>
      <c r="B863" s="1" t="n">
        <v>43689</v>
      </c>
      <c r="C863" s="1" t="n">
        <v>45706</v>
      </c>
      <c r="D863" t="inlineStr">
        <is>
          <t>UPPSALA LÄN</t>
        </is>
      </c>
      <c r="E863" t="inlineStr">
        <is>
          <t>ENKÖPING</t>
        </is>
      </c>
      <c r="G863" t="n">
        <v>0.5</v>
      </c>
      <c r="H863" t="n">
        <v>0</v>
      </c>
      <c r="I863" t="n">
        <v>0</v>
      </c>
      <c r="J863" t="n">
        <v>0</v>
      </c>
      <c r="K863" t="n">
        <v>0</v>
      </c>
      <c r="L863" t="n">
        <v>0</v>
      </c>
      <c r="M863" t="n">
        <v>0</v>
      </c>
      <c r="N863" t="n">
        <v>0</v>
      </c>
      <c r="O863" t="n">
        <v>0</v>
      </c>
      <c r="P863" t="n">
        <v>0</v>
      </c>
      <c r="Q863" t="n">
        <v>0</v>
      </c>
      <c r="R863" s="2" t="inlineStr"/>
    </row>
    <row r="864" ht="15" customHeight="1">
      <c r="A864" t="inlineStr">
        <is>
          <t>A 39911-2019</t>
        </is>
      </c>
      <c r="B864" s="1" t="n">
        <v>43692</v>
      </c>
      <c r="C864" s="1" t="n">
        <v>45706</v>
      </c>
      <c r="D864" t="inlineStr">
        <is>
          <t>UPPSALA LÄN</t>
        </is>
      </c>
      <c r="E864" t="inlineStr">
        <is>
          <t>TIERP</t>
        </is>
      </c>
      <c r="G864" t="n">
        <v>5.2</v>
      </c>
      <c r="H864" t="n">
        <v>0</v>
      </c>
      <c r="I864" t="n">
        <v>0</v>
      </c>
      <c r="J864" t="n">
        <v>0</v>
      </c>
      <c r="K864" t="n">
        <v>0</v>
      </c>
      <c r="L864" t="n">
        <v>0</v>
      </c>
      <c r="M864" t="n">
        <v>0</v>
      </c>
      <c r="N864" t="n">
        <v>0</v>
      </c>
      <c r="O864" t="n">
        <v>0</v>
      </c>
      <c r="P864" t="n">
        <v>0</v>
      </c>
      <c r="Q864" t="n">
        <v>0</v>
      </c>
      <c r="R864" s="2" t="inlineStr"/>
    </row>
    <row r="865" ht="15" customHeight="1">
      <c r="A865" t="inlineStr">
        <is>
          <t>A 39914-2019</t>
        </is>
      </c>
      <c r="B865" s="1" t="n">
        <v>43692</v>
      </c>
      <c r="C865" s="1" t="n">
        <v>45706</v>
      </c>
      <c r="D865" t="inlineStr">
        <is>
          <t>UPPSALA LÄN</t>
        </is>
      </c>
      <c r="E865" t="inlineStr">
        <is>
          <t>TIERP</t>
        </is>
      </c>
      <c r="G865" t="n">
        <v>0.6</v>
      </c>
      <c r="H865" t="n">
        <v>0</v>
      </c>
      <c r="I865" t="n">
        <v>0</v>
      </c>
      <c r="J865" t="n">
        <v>0</v>
      </c>
      <c r="K865" t="n">
        <v>0</v>
      </c>
      <c r="L865" t="n">
        <v>0</v>
      </c>
      <c r="M865" t="n">
        <v>0</v>
      </c>
      <c r="N865" t="n">
        <v>0</v>
      </c>
      <c r="O865" t="n">
        <v>0</v>
      </c>
      <c r="P865" t="n">
        <v>0</v>
      </c>
      <c r="Q865" t="n">
        <v>0</v>
      </c>
      <c r="R865" s="2" t="inlineStr"/>
    </row>
    <row r="866" ht="15" customHeight="1">
      <c r="A866" t="inlineStr">
        <is>
          <t>A 39910-2019</t>
        </is>
      </c>
      <c r="B866" s="1" t="n">
        <v>43692</v>
      </c>
      <c r="C866" s="1" t="n">
        <v>45706</v>
      </c>
      <c r="D866" t="inlineStr">
        <is>
          <t>UPPSALA LÄN</t>
        </is>
      </c>
      <c r="E866" t="inlineStr">
        <is>
          <t>ÖSTHAMMAR</t>
        </is>
      </c>
      <c r="G866" t="n">
        <v>3.9</v>
      </c>
      <c r="H866" t="n">
        <v>0</v>
      </c>
      <c r="I866" t="n">
        <v>0</v>
      </c>
      <c r="J866" t="n">
        <v>0</v>
      </c>
      <c r="K866" t="n">
        <v>0</v>
      </c>
      <c r="L866" t="n">
        <v>0</v>
      </c>
      <c r="M866" t="n">
        <v>0</v>
      </c>
      <c r="N866" t="n">
        <v>0</v>
      </c>
      <c r="O866" t="n">
        <v>0</v>
      </c>
      <c r="P866" t="n">
        <v>0</v>
      </c>
      <c r="Q866" t="n">
        <v>0</v>
      </c>
      <c r="R866" s="2" t="inlineStr"/>
    </row>
    <row r="867" ht="15" customHeight="1">
      <c r="A867" t="inlineStr">
        <is>
          <t>A 40151-2019</t>
        </is>
      </c>
      <c r="B867" s="1" t="n">
        <v>43693</v>
      </c>
      <c r="C867" s="1" t="n">
        <v>45706</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40247-2019</t>
        </is>
      </c>
      <c r="B868" s="1" t="n">
        <v>43695</v>
      </c>
      <c r="C868" s="1" t="n">
        <v>45706</v>
      </c>
      <c r="D868" t="inlineStr">
        <is>
          <t>UPPSALA LÄN</t>
        </is>
      </c>
      <c r="E868" t="inlineStr">
        <is>
          <t>ENKÖPING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40336-2019</t>
        </is>
      </c>
      <c r="B869" s="1" t="n">
        <v>43696</v>
      </c>
      <c r="C869" s="1" t="n">
        <v>45706</v>
      </c>
      <c r="D869" t="inlineStr">
        <is>
          <t>UPPSALA LÄN</t>
        </is>
      </c>
      <c r="E869" t="inlineStr">
        <is>
          <t>HEBY</t>
        </is>
      </c>
      <c r="G869" t="n">
        <v>2.2</v>
      </c>
      <c r="H869" t="n">
        <v>0</v>
      </c>
      <c r="I869" t="n">
        <v>0</v>
      </c>
      <c r="J869" t="n">
        <v>0</v>
      </c>
      <c r="K869" t="n">
        <v>0</v>
      </c>
      <c r="L869" t="n">
        <v>0</v>
      </c>
      <c r="M869" t="n">
        <v>0</v>
      </c>
      <c r="N869" t="n">
        <v>0</v>
      </c>
      <c r="O869" t="n">
        <v>0</v>
      </c>
      <c r="P869" t="n">
        <v>0</v>
      </c>
      <c r="Q869" t="n">
        <v>0</v>
      </c>
      <c r="R869" s="2" t="inlineStr"/>
    </row>
    <row r="870" ht="15" customHeight="1">
      <c r="A870" t="inlineStr">
        <is>
          <t>A 41609-2019</t>
        </is>
      </c>
      <c r="B870" s="1" t="n">
        <v>43696</v>
      </c>
      <c r="C870" s="1" t="n">
        <v>45706</v>
      </c>
      <c r="D870" t="inlineStr">
        <is>
          <t>UPPSALA LÄN</t>
        </is>
      </c>
      <c r="E870" t="inlineStr">
        <is>
          <t>UPPSALA</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41653-2019</t>
        </is>
      </c>
      <c r="B871" s="1" t="n">
        <v>43696</v>
      </c>
      <c r="C871" s="1" t="n">
        <v>45706</v>
      </c>
      <c r="D871" t="inlineStr">
        <is>
          <t>UPPSALA LÄN</t>
        </is>
      </c>
      <c r="E871" t="inlineStr">
        <is>
          <t>UPPSALA</t>
        </is>
      </c>
      <c r="G871" t="n">
        <v>5.2</v>
      </c>
      <c r="H871" t="n">
        <v>0</v>
      </c>
      <c r="I871" t="n">
        <v>0</v>
      </c>
      <c r="J871" t="n">
        <v>0</v>
      </c>
      <c r="K871" t="n">
        <v>0</v>
      </c>
      <c r="L871" t="n">
        <v>0</v>
      </c>
      <c r="M871" t="n">
        <v>0</v>
      </c>
      <c r="N871" t="n">
        <v>0</v>
      </c>
      <c r="O871" t="n">
        <v>0</v>
      </c>
      <c r="P871" t="n">
        <v>0</v>
      </c>
      <c r="Q871" t="n">
        <v>0</v>
      </c>
      <c r="R871" s="2" t="inlineStr"/>
    </row>
    <row r="872" ht="15" customHeight="1">
      <c r="A872" t="inlineStr">
        <is>
          <t>A 40792-2019</t>
        </is>
      </c>
      <c r="B872" s="1" t="n">
        <v>43697</v>
      </c>
      <c r="C872" s="1" t="n">
        <v>45706</v>
      </c>
      <c r="D872" t="inlineStr">
        <is>
          <t>UPPSALA LÄN</t>
        </is>
      </c>
      <c r="E872" t="inlineStr">
        <is>
          <t>HEBY</t>
        </is>
      </c>
      <c r="G872" t="n">
        <v>1.1</v>
      </c>
      <c r="H872" t="n">
        <v>0</v>
      </c>
      <c r="I872" t="n">
        <v>0</v>
      </c>
      <c r="J872" t="n">
        <v>0</v>
      </c>
      <c r="K872" t="n">
        <v>0</v>
      </c>
      <c r="L872" t="n">
        <v>0</v>
      </c>
      <c r="M872" t="n">
        <v>0</v>
      </c>
      <c r="N872" t="n">
        <v>0</v>
      </c>
      <c r="O872" t="n">
        <v>0</v>
      </c>
      <c r="P872" t="n">
        <v>0</v>
      </c>
      <c r="Q872" t="n">
        <v>0</v>
      </c>
      <c r="R872" s="2" t="inlineStr"/>
    </row>
    <row r="873" ht="15" customHeight="1">
      <c r="A873" t="inlineStr">
        <is>
          <t>A 40839-2019</t>
        </is>
      </c>
      <c r="B873" s="1" t="n">
        <v>43697</v>
      </c>
      <c r="C873" s="1" t="n">
        <v>45706</v>
      </c>
      <c r="D873" t="inlineStr">
        <is>
          <t>UPPSALA LÄN</t>
        </is>
      </c>
      <c r="E873" t="inlineStr">
        <is>
          <t>ENKÖPING</t>
        </is>
      </c>
      <c r="G873" t="n">
        <v>1.9</v>
      </c>
      <c r="H873" t="n">
        <v>0</v>
      </c>
      <c r="I873" t="n">
        <v>0</v>
      </c>
      <c r="J873" t="n">
        <v>0</v>
      </c>
      <c r="K873" t="n">
        <v>0</v>
      </c>
      <c r="L873" t="n">
        <v>0</v>
      </c>
      <c r="M873" t="n">
        <v>0</v>
      </c>
      <c r="N873" t="n">
        <v>0</v>
      </c>
      <c r="O873" t="n">
        <v>0</v>
      </c>
      <c r="P873" t="n">
        <v>0</v>
      </c>
      <c r="Q873" t="n">
        <v>0</v>
      </c>
      <c r="R873" s="2" t="inlineStr"/>
    </row>
    <row r="874" ht="15" customHeight="1">
      <c r="A874" t="inlineStr">
        <is>
          <t>A 40843-2019</t>
        </is>
      </c>
      <c r="B874" s="1" t="n">
        <v>43697</v>
      </c>
      <c r="C874" s="1" t="n">
        <v>45706</v>
      </c>
      <c r="D874" t="inlineStr">
        <is>
          <t>UPPSALA LÄN</t>
        </is>
      </c>
      <c r="E874" t="inlineStr">
        <is>
          <t>ENKÖPING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41512-2019</t>
        </is>
      </c>
      <c r="B875" s="1" t="n">
        <v>43699</v>
      </c>
      <c r="C875" s="1" t="n">
        <v>45706</v>
      </c>
      <c r="D875" t="inlineStr">
        <is>
          <t>UPPSALA LÄN</t>
        </is>
      </c>
      <c r="E875" t="inlineStr">
        <is>
          <t>ENKÖPING</t>
        </is>
      </c>
      <c r="G875" t="n">
        <v>5.8</v>
      </c>
      <c r="H875" t="n">
        <v>0</v>
      </c>
      <c r="I875" t="n">
        <v>0</v>
      </c>
      <c r="J875" t="n">
        <v>0</v>
      </c>
      <c r="K875" t="n">
        <v>0</v>
      </c>
      <c r="L875" t="n">
        <v>0</v>
      </c>
      <c r="M875" t="n">
        <v>0</v>
      </c>
      <c r="N875" t="n">
        <v>0</v>
      </c>
      <c r="O875" t="n">
        <v>0</v>
      </c>
      <c r="P875" t="n">
        <v>0</v>
      </c>
      <c r="Q875" t="n">
        <v>0</v>
      </c>
      <c r="R875" s="2" t="inlineStr"/>
    </row>
    <row r="876" ht="15" customHeight="1">
      <c r="A876" t="inlineStr">
        <is>
          <t>A 41697-2019</t>
        </is>
      </c>
      <c r="B876" s="1" t="n">
        <v>43699</v>
      </c>
      <c r="C876" s="1" t="n">
        <v>45706</v>
      </c>
      <c r="D876" t="inlineStr">
        <is>
          <t>UPPSALA LÄN</t>
        </is>
      </c>
      <c r="E876" t="inlineStr">
        <is>
          <t>ÖSTHAMMAR</t>
        </is>
      </c>
      <c r="F876" t="inlineStr">
        <is>
          <t>Bergvik skog öst AB</t>
        </is>
      </c>
      <c r="G876" t="n">
        <v>0.8</v>
      </c>
      <c r="H876" t="n">
        <v>0</v>
      </c>
      <c r="I876" t="n">
        <v>0</v>
      </c>
      <c r="J876" t="n">
        <v>0</v>
      </c>
      <c r="K876" t="n">
        <v>0</v>
      </c>
      <c r="L876" t="n">
        <v>0</v>
      </c>
      <c r="M876" t="n">
        <v>0</v>
      </c>
      <c r="N876" t="n">
        <v>0</v>
      </c>
      <c r="O876" t="n">
        <v>0</v>
      </c>
      <c r="P876" t="n">
        <v>0</v>
      </c>
      <c r="Q876" t="n">
        <v>0</v>
      </c>
      <c r="R876" s="2" t="inlineStr"/>
    </row>
    <row r="877" ht="15" customHeight="1">
      <c r="A877" t="inlineStr">
        <is>
          <t>A 41524-2019</t>
        </is>
      </c>
      <c r="B877" s="1" t="n">
        <v>43699</v>
      </c>
      <c r="C877" s="1" t="n">
        <v>45706</v>
      </c>
      <c r="D877" t="inlineStr">
        <is>
          <t>UPPSALA LÄN</t>
        </is>
      </c>
      <c r="E877" t="inlineStr">
        <is>
          <t>UPPSALA</t>
        </is>
      </c>
      <c r="G877" t="n">
        <v>2.4</v>
      </c>
      <c r="H877" t="n">
        <v>0</v>
      </c>
      <c r="I877" t="n">
        <v>0</v>
      </c>
      <c r="J877" t="n">
        <v>0</v>
      </c>
      <c r="K877" t="n">
        <v>0</v>
      </c>
      <c r="L877" t="n">
        <v>0</v>
      </c>
      <c r="M877" t="n">
        <v>0</v>
      </c>
      <c r="N877" t="n">
        <v>0</v>
      </c>
      <c r="O877" t="n">
        <v>0</v>
      </c>
      <c r="P877" t="n">
        <v>0</v>
      </c>
      <c r="Q877" t="n">
        <v>0</v>
      </c>
      <c r="R877" s="2" t="inlineStr"/>
    </row>
    <row r="878" ht="15" customHeight="1">
      <c r="A878" t="inlineStr">
        <is>
          <t>A 41539-2019</t>
        </is>
      </c>
      <c r="B878" s="1" t="n">
        <v>43699</v>
      </c>
      <c r="C878" s="1" t="n">
        <v>45706</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41535-2019</t>
        </is>
      </c>
      <c r="B879" s="1" t="n">
        <v>43699</v>
      </c>
      <c r="C879" s="1" t="n">
        <v>45706</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41695-2019</t>
        </is>
      </c>
      <c r="B880" s="1" t="n">
        <v>43699</v>
      </c>
      <c r="C880" s="1" t="n">
        <v>45706</v>
      </c>
      <c r="D880" t="inlineStr">
        <is>
          <t>UPPSALA LÄN</t>
        </is>
      </c>
      <c r="E880" t="inlineStr">
        <is>
          <t>UPPSALA</t>
        </is>
      </c>
      <c r="G880" t="n">
        <v>3.1</v>
      </c>
      <c r="H880" t="n">
        <v>0</v>
      </c>
      <c r="I880" t="n">
        <v>0</v>
      </c>
      <c r="J880" t="n">
        <v>0</v>
      </c>
      <c r="K880" t="n">
        <v>0</v>
      </c>
      <c r="L880" t="n">
        <v>0</v>
      </c>
      <c r="M880" t="n">
        <v>0</v>
      </c>
      <c r="N880" t="n">
        <v>0</v>
      </c>
      <c r="O880" t="n">
        <v>0</v>
      </c>
      <c r="P880" t="n">
        <v>0</v>
      </c>
      <c r="Q880" t="n">
        <v>0</v>
      </c>
      <c r="R880" s="2" t="inlineStr"/>
    </row>
    <row r="881" ht="15" customHeight="1">
      <c r="A881" t="inlineStr">
        <is>
          <t>A 42350-2019</t>
        </is>
      </c>
      <c r="B881" s="1" t="n">
        <v>43703</v>
      </c>
      <c r="C881" s="1" t="n">
        <v>45706</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42111-2019</t>
        </is>
      </c>
      <c r="B882" s="1" t="n">
        <v>43703</v>
      </c>
      <c r="C882" s="1" t="n">
        <v>45706</v>
      </c>
      <c r="D882" t="inlineStr">
        <is>
          <t>UPPSALA LÄN</t>
        </is>
      </c>
      <c r="E882" t="inlineStr">
        <is>
          <t>UPPSALA</t>
        </is>
      </c>
      <c r="G882" t="n">
        <v>2.7</v>
      </c>
      <c r="H882" t="n">
        <v>0</v>
      </c>
      <c r="I882" t="n">
        <v>0</v>
      </c>
      <c r="J882" t="n">
        <v>0</v>
      </c>
      <c r="K882" t="n">
        <v>0</v>
      </c>
      <c r="L882" t="n">
        <v>0</v>
      </c>
      <c r="M882" t="n">
        <v>0</v>
      </c>
      <c r="N882" t="n">
        <v>0</v>
      </c>
      <c r="O882" t="n">
        <v>0</v>
      </c>
      <c r="P882" t="n">
        <v>0</v>
      </c>
      <c r="Q882" t="n">
        <v>0</v>
      </c>
      <c r="R882" s="2" t="inlineStr"/>
    </row>
    <row r="883" ht="15" customHeight="1">
      <c r="A883" t="inlineStr">
        <is>
          <t>A 42624-2019</t>
        </is>
      </c>
      <c r="B883" s="1" t="n">
        <v>43704</v>
      </c>
      <c r="C883" s="1" t="n">
        <v>45706</v>
      </c>
      <c r="D883" t="inlineStr">
        <is>
          <t>UPPSALA LÄN</t>
        </is>
      </c>
      <c r="E883" t="inlineStr">
        <is>
          <t>ENKÖPING</t>
        </is>
      </c>
      <c r="G883" t="n">
        <v>1.5</v>
      </c>
      <c r="H883" t="n">
        <v>0</v>
      </c>
      <c r="I883" t="n">
        <v>0</v>
      </c>
      <c r="J883" t="n">
        <v>0</v>
      </c>
      <c r="K883" t="n">
        <v>0</v>
      </c>
      <c r="L883" t="n">
        <v>0</v>
      </c>
      <c r="M883" t="n">
        <v>0</v>
      </c>
      <c r="N883" t="n">
        <v>0</v>
      </c>
      <c r="O883" t="n">
        <v>0</v>
      </c>
      <c r="P883" t="n">
        <v>0</v>
      </c>
      <c r="Q883" t="n">
        <v>0</v>
      </c>
      <c r="R883" s="2" t="inlineStr"/>
    </row>
    <row r="884" ht="15" customHeight="1">
      <c r="A884" t="inlineStr">
        <is>
          <t>A 42986-2019</t>
        </is>
      </c>
      <c r="B884" s="1" t="n">
        <v>43705</v>
      </c>
      <c r="C884" s="1" t="n">
        <v>45706</v>
      </c>
      <c r="D884" t="inlineStr">
        <is>
          <t>UPPSALA LÄN</t>
        </is>
      </c>
      <c r="E884" t="inlineStr">
        <is>
          <t>UPPSALA</t>
        </is>
      </c>
      <c r="G884" t="n">
        <v>1.7</v>
      </c>
      <c r="H884" t="n">
        <v>0</v>
      </c>
      <c r="I884" t="n">
        <v>0</v>
      </c>
      <c r="J884" t="n">
        <v>0</v>
      </c>
      <c r="K884" t="n">
        <v>0</v>
      </c>
      <c r="L884" t="n">
        <v>0</v>
      </c>
      <c r="M884" t="n">
        <v>0</v>
      </c>
      <c r="N884" t="n">
        <v>0</v>
      </c>
      <c r="O884" t="n">
        <v>0</v>
      </c>
      <c r="P884" t="n">
        <v>0</v>
      </c>
      <c r="Q884" t="n">
        <v>0</v>
      </c>
      <c r="R884" s="2" t="inlineStr"/>
    </row>
    <row r="885" ht="15" customHeight="1">
      <c r="A885" t="inlineStr">
        <is>
          <t>A 42841-2019</t>
        </is>
      </c>
      <c r="B885" s="1" t="n">
        <v>43705</v>
      </c>
      <c r="C885" s="1" t="n">
        <v>45706</v>
      </c>
      <c r="D885" t="inlineStr">
        <is>
          <t>UPPSALA LÄN</t>
        </is>
      </c>
      <c r="E885" t="inlineStr">
        <is>
          <t>HEBY</t>
        </is>
      </c>
      <c r="G885" t="n">
        <v>1.2</v>
      </c>
      <c r="H885" t="n">
        <v>0</v>
      </c>
      <c r="I885" t="n">
        <v>0</v>
      </c>
      <c r="J885" t="n">
        <v>0</v>
      </c>
      <c r="K885" t="n">
        <v>0</v>
      </c>
      <c r="L885" t="n">
        <v>0</v>
      </c>
      <c r="M885" t="n">
        <v>0</v>
      </c>
      <c r="N885" t="n">
        <v>0</v>
      </c>
      <c r="O885" t="n">
        <v>0</v>
      </c>
      <c r="P885" t="n">
        <v>0</v>
      </c>
      <c r="Q885" t="n">
        <v>0</v>
      </c>
      <c r="R885" s="2" t="inlineStr"/>
    </row>
    <row r="886" ht="15" customHeight="1">
      <c r="A886" t="inlineStr">
        <is>
          <t>A 43039-2019</t>
        </is>
      </c>
      <c r="B886" s="1" t="n">
        <v>43705</v>
      </c>
      <c r="C886" s="1" t="n">
        <v>45706</v>
      </c>
      <c r="D886" t="inlineStr">
        <is>
          <t>UPPSALA LÄN</t>
        </is>
      </c>
      <c r="E886" t="inlineStr">
        <is>
          <t>HEBY</t>
        </is>
      </c>
      <c r="G886" t="n">
        <v>1.4</v>
      </c>
      <c r="H886" t="n">
        <v>0</v>
      </c>
      <c r="I886" t="n">
        <v>0</v>
      </c>
      <c r="J886" t="n">
        <v>0</v>
      </c>
      <c r="K886" t="n">
        <v>0</v>
      </c>
      <c r="L886" t="n">
        <v>0</v>
      </c>
      <c r="M886" t="n">
        <v>0</v>
      </c>
      <c r="N886" t="n">
        <v>0</v>
      </c>
      <c r="O886" t="n">
        <v>0</v>
      </c>
      <c r="P886" t="n">
        <v>0</v>
      </c>
      <c r="Q886" t="n">
        <v>0</v>
      </c>
      <c r="R886" s="2" t="inlineStr"/>
    </row>
    <row r="887" ht="15" customHeight="1">
      <c r="A887" t="inlineStr">
        <is>
          <t>A 42829-2019</t>
        </is>
      </c>
      <c r="B887" s="1" t="n">
        <v>43705</v>
      </c>
      <c r="C887" s="1" t="n">
        <v>45706</v>
      </c>
      <c r="D887" t="inlineStr">
        <is>
          <t>UPPSALA LÄN</t>
        </is>
      </c>
      <c r="E887" t="inlineStr">
        <is>
          <t>ENKÖPING</t>
        </is>
      </c>
      <c r="G887" t="n">
        <v>6.7</v>
      </c>
      <c r="H887" t="n">
        <v>0</v>
      </c>
      <c r="I887" t="n">
        <v>0</v>
      </c>
      <c r="J887" t="n">
        <v>0</v>
      </c>
      <c r="K887" t="n">
        <v>0</v>
      </c>
      <c r="L887" t="n">
        <v>0</v>
      </c>
      <c r="M887" t="n">
        <v>0</v>
      </c>
      <c r="N887" t="n">
        <v>0</v>
      </c>
      <c r="O887" t="n">
        <v>0</v>
      </c>
      <c r="P887" t="n">
        <v>0</v>
      </c>
      <c r="Q887" t="n">
        <v>0</v>
      </c>
      <c r="R887" s="2" t="inlineStr"/>
    </row>
    <row r="888" ht="15" customHeight="1">
      <c r="A888" t="inlineStr">
        <is>
          <t>A 43222-2019</t>
        </is>
      </c>
      <c r="B888" s="1" t="n">
        <v>43706</v>
      </c>
      <c r="C888" s="1" t="n">
        <v>45706</v>
      </c>
      <c r="D888" t="inlineStr">
        <is>
          <t>UPPSALA LÄN</t>
        </is>
      </c>
      <c r="E888" t="inlineStr">
        <is>
          <t>UPPSALA</t>
        </is>
      </c>
      <c r="F888" t="inlineStr">
        <is>
          <t>Bergvik skog öst AB</t>
        </is>
      </c>
      <c r="G888" t="n">
        <v>3.6</v>
      </c>
      <c r="H888" t="n">
        <v>0</v>
      </c>
      <c r="I888" t="n">
        <v>0</v>
      </c>
      <c r="J888" t="n">
        <v>0</v>
      </c>
      <c r="K888" t="n">
        <v>0</v>
      </c>
      <c r="L888" t="n">
        <v>0</v>
      </c>
      <c r="M888" t="n">
        <v>0</v>
      </c>
      <c r="N888" t="n">
        <v>0</v>
      </c>
      <c r="O888" t="n">
        <v>0</v>
      </c>
      <c r="P888" t="n">
        <v>0</v>
      </c>
      <c r="Q888" t="n">
        <v>0</v>
      </c>
      <c r="R888" s="2" t="inlineStr"/>
    </row>
    <row r="889" ht="15" customHeight="1">
      <c r="A889" t="inlineStr">
        <is>
          <t>A 43426-2019</t>
        </is>
      </c>
      <c r="B889" s="1" t="n">
        <v>43706</v>
      </c>
      <c r="C889" s="1" t="n">
        <v>45706</v>
      </c>
      <c r="D889" t="inlineStr">
        <is>
          <t>UPPSALA LÄN</t>
        </is>
      </c>
      <c r="E889" t="inlineStr">
        <is>
          <t>ÖSTHAMMAR</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43410-2019</t>
        </is>
      </c>
      <c r="B890" s="1" t="n">
        <v>43706</v>
      </c>
      <c r="C890" s="1" t="n">
        <v>45706</v>
      </c>
      <c r="D890" t="inlineStr">
        <is>
          <t>UPPSALA LÄN</t>
        </is>
      </c>
      <c r="E890" t="inlineStr">
        <is>
          <t>UPPSALA</t>
        </is>
      </c>
      <c r="F890" t="inlineStr">
        <is>
          <t>Övriga statliga verk och myndigheter</t>
        </is>
      </c>
      <c r="G890" t="n">
        <v>8.6</v>
      </c>
      <c r="H890" t="n">
        <v>0</v>
      </c>
      <c r="I890" t="n">
        <v>0</v>
      </c>
      <c r="J890" t="n">
        <v>0</v>
      </c>
      <c r="K890" t="n">
        <v>0</v>
      </c>
      <c r="L890" t="n">
        <v>0</v>
      </c>
      <c r="M890" t="n">
        <v>0</v>
      </c>
      <c r="N890" t="n">
        <v>0</v>
      </c>
      <c r="O890" t="n">
        <v>0</v>
      </c>
      <c r="P890" t="n">
        <v>0</v>
      </c>
      <c r="Q890" t="n">
        <v>0</v>
      </c>
      <c r="R890" s="2" t="inlineStr"/>
    </row>
    <row r="891" ht="15" customHeight="1">
      <c r="A891" t="inlineStr">
        <is>
          <t>A 43715-2019</t>
        </is>
      </c>
      <c r="B891" s="1" t="n">
        <v>43706</v>
      </c>
      <c r="C891" s="1" t="n">
        <v>45706</v>
      </c>
      <c r="D891" t="inlineStr">
        <is>
          <t>UPPSALA LÄN</t>
        </is>
      </c>
      <c r="E891" t="inlineStr">
        <is>
          <t>UPPSALA</t>
        </is>
      </c>
      <c r="F891" t="inlineStr">
        <is>
          <t>Övriga statliga verk och myndigheter</t>
        </is>
      </c>
      <c r="G891" t="n">
        <v>0.8</v>
      </c>
      <c r="H891" t="n">
        <v>0</v>
      </c>
      <c r="I891" t="n">
        <v>0</v>
      </c>
      <c r="J891" t="n">
        <v>0</v>
      </c>
      <c r="K891" t="n">
        <v>0</v>
      </c>
      <c r="L891" t="n">
        <v>0</v>
      </c>
      <c r="M891" t="n">
        <v>0</v>
      </c>
      <c r="N891" t="n">
        <v>0</v>
      </c>
      <c r="O891" t="n">
        <v>0</v>
      </c>
      <c r="P891" t="n">
        <v>0</v>
      </c>
      <c r="Q891" t="n">
        <v>0</v>
      </c>
      <c r="R891" s="2" t="inlineStr"/>
    </row>
    <row r="892" ht="15" customHeight="1">
      <c r="A892" t="inlineStr">
        <is>
          <t>A 43535-2019</t>
        </is>
      </c>
      <c r="B892" s="1" t="n">
        <v>43706</v>
      </c>
      <c r="C892" s="1" t="n">
        <v>45706</v>
      </c>
      <c r="D892" t="inlineStr">
        <is>
          <t>UPPSALA LÄN</t>
        </is>
      </c>
      <c r="E892" t="inlineStr">
        <is>
          <t>TIERP</t>
        </is>
      </c>
      <c r="G892" t="n">
        <v>2.8</v>
      </c>
      <c r="H892" t="n">
        <v>0</v>
      </c>
      <c r="I892" t="n">
        <v>0</v>
      </c>
      <c r="J892" t="n">
        <v>0</v>
      </c>
      <c r="K892" t="n">
        <v>0</v>
      </c>
      <c r="L892" t="n">
        <v>0</v>
      </c>
      <c r="M892" t="n">
        <v>0</v>
      </c>
      <c r="N892" t="n">
        <v>0</v>
      </c>
      <c r="O892" t="n">
        <v>0</v>
      </c>
      <c r="P892" t="n">
        <v>0</v>
      </c>
      <c r="Q892" t="n">
        <v>0</v>
      </c>
      <c r="R892" s="2" t="inlineStr"/>
    </row>
    <row r="893" ht="15" customHeight="1">
      <c r="A893" t="inlineStr">
        <is>
          <t>A 43224-2019</t>
        </is>
      </c>
      <c r="B893" s="1" t="n">
        <v>43706</v>
      </c>
      <c r="C893" s="1" t="n">
        <v>45706</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43435-2019</t>
        </is>
      </c>
      <c r="B894" s="1" t="n">
        <v>43706</v>
      </c>
      <c r="C894" s="1" t="n">
        <v>45706</v>
      </c>
      <c r="D894" t="inlineStr">
        <is>
          <t>UPPSALA LÄN</t>
        </is>
      </c>
      <c r="E894" t="inlineStr">
        <is>
          <t>UPPSALA</t>
        </is>
      </c>
      <c r="G894" t="n">
        <v>5.4</v>
      </c>
      <c r="H894" t="n">
        <v>0</v>
      </c>
      <c r="I894" t="n">
        <v>0</v>
      </c>
      <c r="J894" t="n">
        <v>0</v>
      </c>
      <c r="K894" t="n">
        <v>0</v>
      </c>
      <c r="L894" t="n">
        <v>0</v>
      </c>
      <c r="M894" t="n">
        <v>0</v>
      </c>
      <c r="N894" t="n">
        <v>0</v>
      </c>
      <c r="O894" t="n">
        <v>0</v>
      </c>
      <c r="P894" t="n">
        <v>0</v>
      </c>
      <c r="Q894" t="n">
        <v>0</v>
      </c>
      <c r="R894" s="2" t="inlineStr"/>
    </row>
    <row r="895" ht="15" customHeight="1">
      <c r="A895" t="inlineStr">
        <is>
          <t>A 43722-2019</t>
        </is>
      </c>
      <c r="B895" s="1" t="n">
        <v>43706</v>
      </c>
      <c r="C895" s="1" t="n">
        <v>45706</v>
      </c>
      <c r="D895" t="inlineStr">
        <is>
          <t>UPPSALA LÄN</t>
        </is>
      </c>
      <c r="E895" t="inlineStr">
        <is>
          <t>UPPSALA</t>
        </is>
      </c>
      <c r="F895" t="inlineStr">
        <is>
          <t>Övriga statliga verk och myndigheter</t>
        </is>
      </c>
      <c r="G895" t="n">
        <v>0.6</v>
      </c>
      <c r="H895" t="n">
        <v>0</v>
      </c>
      <c r="I895" t="n">
        <v>0</v>
      </c>
      <c r="J895" t="n">
        <v>0</v>
      </c>
      <c r="K895" t="n">
        <v>0</v>
      </c>
      <c r="L895" t="n">
        <v>0</v>
      </c>
      <c r="M895" t="n">
        <v>0</v>
      </c>
      <c r="N895" t="n">
        <v>0</v>
      </c>
      <c r="O895" t="n">
        <v>0</v>
      </c>
      <c r="P895" t="n">
        <v>0</v>
      </c>
      <c r="Q895" t="n">
        <v>0</v>
      </c>
      <c r="R895" s="2" t="inlineStr"/>
    </row>
    <row r="896" ht="15" customHeight="1">
      <c r="A896" t="inlineStr">
        <is>
          <t>A 43308-2019</t>
        </is>
      </c>
      <c r="B896" s="1" t="n">
        <v>43706</v>
      </c>
      <c r="C896" s="1" t="n">
        <v>45706</v>
      </c>
      <c r="D896" t="inlineStr">
        <is>
          <t>UPPSALA LÄN</t>
        </is>
      </c>
      <c r="E896" t="inlineStr">
        <is>
          <t>ENKÖPING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43625-2019</t>
        </is>
      </c>
      <c r="B897" s="1" t="n">
        <v>43707</v>
      </c>
      <c r="C897" s="1" t="n">
        <v>45706</v>
      </c>
      <c r="D897" t="inlineStr">
        <is>
          <t>UPPSALA LÄN</t>
        </is>
      </c>
      <c r="E897" t="inlineStr">
        <is>
          <t>TIERP</t>
        </is>
      </c>
      <c r="F897" t="inlineStr">
        <is>
          <t>Bergvik skog väst AB</t>
        </is>
      </c>
      <c r="G897" t="n">
        <v>1.1</v>
      </c>
      <c r="H897" t="n">
        <v>0</v>
      </c>
      <c r="I897" t="n">
        <v>0</v>
      </c>
      <c r="J897" t="n">
        <v>0</v>
      </c>
      <c r="K897" t="n">
        <v>0</v>
      </c>
      <c r="L897" t="n">
        <v>0</v>
      </c>
      <c r="M897" t="n">
        <v>0</v>
      </c>
      <c r="N897" t="n">
        <v>0</v>
      </c>
      <c r="O897" t="n">
        <v>0</v>
      </c>
      <c r="P897" t="n">
        <v>0</v>
      </c>
      <c r="Q897" t="n">
        <v>0</v>
      </c>
      <c r="R897" s="2" t="inlineStr"/>
    </row>
    <row r="898" ht="15" customHeight="1">
      <c r="A898" t="inlineStr">
        <is>
          <t>A 43704-2019</t>
        </is>
      </c>
      <c r="B898" s="1" t="n">
        <v>43707</v>
      </c>
      <c r="C898" s="1" t="n">
        <v>45706</v>
      </c>
      <c r="D898" t="inlineStr">
        <is>
          <t>UPPSALA LÄN</t>
        </is>
      </c>
      <c r="E898" t="inlineStr">
        <is>
          <t>UPPSALA</t>
        </is>
      </c>
      <c r="F898" t="inlineStr">
        <is>
          <t>Bergvik skog öst AB</t>
        </is>
      </c>
      <c r="G898" t="n">
        <v>2.7</v>
      </c>
      <c r="H898" t="n">
        <v>0</v>
      </c>
      <c r="I898" t="n">
        <v>0</v>
      </c>
      <c r="J898" t="n">
        <v>0</v>
      </c>
      <c r="K898" t="n">
        <v>0</v>
      </c>
      <c r="L898" t="n">
        <v>0</v>
      </c>
      <c r="M898" t="n">
        <v>0</v>
      </c>
      <c r="N898" t="n">
        <v>0</v>
      </c>
      <c r="O898" t="n">
        <v>0</v>
      </c>
      <c r="P898" t="n">
        <v>0</v>
      </c>
      <c r="Q898" t="n">
        <v>0</v>
      </c>
      <c r="R898" s="2" t="inlineStr"/>
    </row>
    <row r="899" ht="15" customHeight="1">
      <c r="A899" t="inlineStr">
        <is>
          <t>A 43725-2019</t>
        </is>
      </c>
      <c r="B899" s="1" t="n">
        <v>43707</v>
      </c>
      <c r="C899" s="1" t="n">
        <v>45706</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44109-2019</t>
        </is>
      </c>
      <c r="B900" s="1" t="n">
        <v>43707</v>
      </c>
      <c r="C900" s="1" t="n">
        <v>45706</v>
      </c>
      <c r="D900" t="inlineStr">
        <is>
          <t>UPPSALA LÄN</t>
        </is>
      </c>
      <c r="E900" t="inlineStr">
        <is>
          <t>UPPSALA</t>
        </is>
      </c>
      <c r="F900" t="inlineStr">
        <is>
          <t>Allmännings- och besparingsskogar</t>
        </is>
      </c>
      <c r="G900" t="n">
        <v>81.3</v>
      </c>
      <c r="H900" t="n">
        <v>0</v>
      </c>
      <c r="I900" t="n">
        <v>0</v>
      </c>
      <c r="J900" t="n">
        <v>0</v>
      </c>
      <c r="K900" t="n">
        <v>0</v>
      </c>
      <c r="L900" t="n">
        <v>0</v>
      </c>
      <c r="M900" t="n">
        <v>0</v>
      </c>
      <c r="N900" t="n">
        <v>0</v>
      </c>
      <c r="O900" t="n">
        <v>0</v>
      </c>
      <c r="P900" t="n">
        <v>0</v>
      </c>
      <c r="Q900" t="n">
        <v>0</v>
      </c>
      <c r="R900" s="2" t="inlineStr"/>
    </row>
    <row r="901" ht="15" customHeight="1">
      <c r="A901" t="inlineStr">
        <is>
          <t>A 43713-2019</t>
        </is>
      </c>
      <c r="B901" s="1" t="n">
        <v>43707</v>
      </c>
      <c r="C901" s="1" t="n">
        <v>45706</v>
      </c>
      <c r="D901" t="inlineStr">
        <is>
          <t>UPPSALA LÄN</t>
        </is>
      </c>
      <c r="E901" t="inlineStr">
        <is>
          <t>UPPSALA</t>
        </is>
      </c>
      <c r="F901" t="inlineStr">
        <is>
          <t>Bergvik skog öst AB</t>
        </is>
      </c>
      <c r="G901" t="n">
        <v>7.9</v>
      </c>
      <c r="H901" t="n">
        <v>0</v>
      </c>
      <c r="I901" t="n">
        <v>0</v>
      </c>
      <c r="J901" t="n">
        <v>0</v>
      </c>
      <c r="K901" t="n">
        <v>0</v>
      </c>
      <c r="L901" t="n">
        <v>0</v>
      </c>
      <c r="M901" t="n">
        <v>0</v>
      </c>
      <c r="N901" t="n">
        <v>0</v>
      </c>
      <c r="O901" t="n">
        <v>0</v>
      </c>
      <c r="P901" t="n">
        <v>0</v>
      </c>
      <c r="Q901" t="n">
        <v>0</v>
      </c>
      <c r="R901" s="2" t="inlineStr"/>
    </row>
    <row r="902" ht="15" customHeight="1">
      <c r="A902" t="inlineStr">
        <is>
          <t>A 43853-2019</t>
        </is>
      </c>
      <c r="B902" s="1" t="n">
        <v>43707</v>
      </c>
      <c r="C902" s="1" t="n">
        <v>45706</v>
      </c>
      <c r="D902" t="inlineStr">
        <is>
          <t>UPPSALA LÄN</t>
        </is>
      </c>
      <c r="E902" t="inlineStr">
        <is>
          <t>UPPSALA</t>
        </is>
      </c>
      <c r="F902" t="inlineStr">
        <is>
          <t>Övriga statliga verk och myndigheter</t>
        </is>
      </c>
      <c r="G902" t="n">
        <v>1.8</v>
      </c>
      <c r="H902" t="n">
        <v>0</v>
      </c>
      <c r="I902" t="n">
        <v>0</v>
      </c>
      <c r="J902" t="n">
        <v>0</v>
      </c>
      <c r="K902" t="n">
        <v>0</v>
      </c>
      <c r="L902" t="n">
        <v>0</v>
      </c>
      <c r="M902" t="n">
        <v>0</v>
      </c>
      <c r="N902" t="n">
        <v>0</v>
      </c>
      <c r="O902" t="n">
        <v>0</v>
      </c>
      <c r="P902" t="n">
        <v>0</v>
      </c>
      <c r="Q902" t="n">
        <v>0</v>
      </c>
      <c r="R902" s="2" t="inlineStr"/>
    </row>
    <row r="903" ht="15" customHeight="1">
      <c r="A903" t="inlineStr">
        <is>
          <t>A 43998-2019</t>
        </is>
      </c>
      <c r="B903" s="1" t="n">
        <v>43709</v>
      </c>
      <c r="C903" s="1" t="n">
        <v>45706</v>
      </c>
      <c r="D903" t="inlineStr">
        <is>
          <t>UPPSALA LÄN</t>
        </is>
      </c>
      <c r="E903" t="inlineStr">
        <is>
          <t>ENKÖPING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43999-2019</t>
        </is>
      </c>
      <c r="B904" s="1" t="n">
        <v>43709</v>
      </c>
      <c r="C904" s="1" t="n">
        <v>45706</v>
      </c>
      <c r="D904" t="inlineStr">
        <is>
          <t>UPPSALA LÄN</t>
        </is>
      </c>
      <c r="E904" t="inlineStr">
        <is>
          <t>ENKÖPING</t>
        </is>
      </c>
      <c r="G904" t="n">
        <v>0.1</v>
      </c>
      <c r="H904" t="n">
        <v>0</v>
      </c>
      <c r="I904" t="n">
        <v>0</v>
      </c>
      <c r="J904" t="n">
        <v>0</v>
      </c>
      <c r="K904" t="n">
        <v>0</v>
      </c>
      <c r="L904" t="n">
        <v>0</v>
      </c>
      <c r="M904" t="n">
        <v>0</v>
      </c>
      <c r="N904" t="n">
        <v>0</v>
      </c>
      <c r="O904" t="n">
        <v>0</v>
      </c>
      <c r="P904" t="n">
        <v>0</v>
      </c>
      <c r="Q904" t="n">
        <v>0</v>
      </c>
      <c r="R904" s="2" t="inlineStr"/>
    </row>
    <row r="905" ht="15" customHeight="1">
      <c r="A905" t="inlineStr">
        <is>
          <t>A 44141-2019</t>
        </is>
      </c>
      <c r="B905" s="1" t="n">
        <v>43710</v>
      </c>
      <c r="C905" s="1" t="n">
        <v>45706</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45500-2019</t>
        </is>
      </c>
      <c r="B906" s="1" t="n">
        <v>43710</v>
      </c>
      <c r="C906" s="1" t="n">
        <v>45706</v>
      </c>
      <c r="D906" t="inlineStr">
        <is>
          <t>UPPSALA LÄN</t>
        </is>
      </c>
      <c r="E906" t="inlineStr">
        <is>
          <t>HEBY</t>
        </is>
      </c>
      <c r="G906" t="n">
        <v>4</v>
      </c>
      <c r="H906" t="n">
        <v>0</v>
      </c>
      <c r="I906" t="n">
        <v>0</v>
      </c>
      <c r="J906" t="n">
        <v>0</v>
      </c>
      <c r="K906" t="n">
        <v>0</v>
      </c>
      <c r="L906" t="n">
        <v>0</v>
      </c>
      <c r="M906" t="n">
        <v>0</v>
      </c>
      <c r="N906" t="n">
        <v>0</v>
      </c>
      <c r="O906" t="n">
        <v>0</v>
      </c>
      <c r="P906" t="n">
        <v>0</v>
      </c>
      <c r="Q906" t="n">
        <v>0</v>
      </c>
      <c r="R906" s="2" t="inlineStr"/>
    </row>
    <row r="907" ht="15" customHeight="1">
      <c r="A907" t="inlineStr">
        <is>
          <t>A 45493-2019</t>
        </is>
      </c>
      <c r="B907" s="1" t="n">
        <v>43710</v>
      </c>
      <c r="C907" s="1" t="n">
        <v>45706</v>
      </c>
      <c r="D907" t="inlineStr">
        <is>
          <t>UPPSALA LÄN</t>
        </is>
      </c>
      <c r="E907" t="inlineStr">
        <is>
          <t>HEBY</t>
        </is>
      </c>
      <c r="G907" t="n">
        <v>3.4</v>
      </c>
      <c r="H907" t="n">
        <v>0</v>
      </c>
      <c r="I907" t="n">
        <v>0</v>
      </c>
      <c r="J907" t="n">
        <v>0</v>
      </c>
      <c r="K907" t="n">
        <v>0</v>
      </c>
      <c r="L907" t="n">
        <v>0</v>
      </c>
      <c r="M907" t="n">
        <v>0</v>
      </c>
      <c r="N907" t="n">
        <v>0</v>
      </c>
      <c r="O907" t="n">
        <v>0</v>
      </c>
      <c r="P907" t="n">
        <v>0</v>
      </c>
      <c r="Q907" t="n">
        <v>0</v>
      </c>
      <c r="R907" s="2" t="inlineStr"/>
    </row>
    <row r="908" ht="15" customHeight="1">
      <c r="A908" t="inlineStr">
        <is>
          <t>A 44497-2019</t>
        </is>
      </c>
      <c r="B908" s="1" t="n">
        <v>43711</v>
      </c>
      <c r="C908" s="1" t="n">
        <v>45706</v>
      </c>
      <c r="D908" t="inlineStr">
        <is>
          <t>UPPSALA LÄN</t>
        </is>
      </c>
      <c r="E908" t="inlineStr">
        <is>
          <t>HEBY</t>
        </is>
      </c>
      <c r="G908" t="n">
        <v>0.5</v>
      </c>
      <c r="H908" t="n">
        <v>0</v>
      </c>
      <c r="I908" t="n">
        <v>0</v>
      </c>
      <c r="J908" t="n">
        <v>0</v>
      </c>
      <c r="K908" t="n">
        <v>0</v>
      </c>
      <c r="L908" t="n">
        <v>0</v>
      </c>
      <c r="M908" t="n">
        <v>0</v>
      </c>
      <c r="N908" t="n">
        <v>0</v>
      </c>
      <c r="O908" t="n">
        <v>0</v>
      </c>
      <c r="P908" t="n">
        <v>0</v>
      </c>
      <c r="Q908" t="n">
        <v>0</v>
      </c>
      <c r="R908" s="2" t="inlineStr"/>
    </row>
    <row r="909" ht="15" customHeight="1">
      <c r="A909" t="inlineStr">
        <is>
          <t>A 44569-2019</t>
        </is>
      </c>
      <c r="B909" s="1" t="n">
        <v>43711</v>
      </c>
      <c r="C909" s="1" t="n">
        <v>45706</v>
      </c>
      <c r="D909" t="inlineStr">
        <is>
          <t>UPPSALA LÄN</t>
        </is>
      </c>
      <c r="E909" t="inlineStr">
        <is>
          <t>TIERP</t>
        </is>
      </c>
      <c r="F909" t="inlineStr">
        <is>
          <t>Bergvik skog öst AB</t>
        </is>
      </c>
      <c r="G909" t="n">
        <v>3.3</v>
      </c>
      <c r="H909" t="n">
        <v>0</v>
      </c>
      <c r="I909" t="n">
        <v>0</v>
      </c>
      <c r="J909" t="n">
        <v>0</v>
      </c>
      <c r="K909" t="n">
        <v>0</v>
      </c>
      <c r="L909" t="n">
        <v>0</v>
      </c>
      <c r="M909" t="n">
        <v>0</v>
      </c>
      <c r="N909" t="n">
        <v>0</v>
      </c>
      <c r="O909" t="n">
        <v>0</v>
      </c>
      <c r="P909" t="n">
        <v>0</v>
      </c>
      <c r="Q909" t="n">
        <v>0</v>
      </c>
      <c r="R909" s="2" t="inlineStr"/>
    </row>
    <row r="910" ht="15" customHeight="1">
      <c r="A910" t="inlineStr">
        <is>
          <t>A 44457-2019</t>
        </is>
      </c>
      <c r="B910" s="1" t="n">
        <v>43711</v>
      </c>
      <c r="C910" s="1" t="n">
        <v>45706</v>
      </c>
      <c r="D910" t="inlineStr">
        <is>
          <t>UPPSALA LÄN</t>
        </is>
      </c>
      <c r="E910" t="inlineStr">
        <is>
          <t>ÄLVKARLEBY</t>
        </is>
      </c>
      <c r="F910" t="inlineStr">
        <is>
          <t>Bergvik skog väst AB</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44749-2019</t>
        </is>
      </c>
      <c r="B911" s="1" t="n">
        <v>43712</v>
      </c>
      <c r="C911" s="1" t="n">
        <v>45706</v>
      </c>
      <c r="D911" t="inlineStr">
        <is>
          <t>UPPSALA LÄN</t>
        </is>
      </c>
      <c r="E911" t="inlineStr">
        <is>
          <t>ENKÖPING</t>
        </is>
      </c>
      <c r="G911" t="n">
        <v>2.6</v>
      </c>
      <c r="H911" t="n">
        <v>0</v>
      </c>
      <c r="I911" t="n">
        <v>0</v>
      </c>
      <c r="J911" t="n">
        <v>0</v>
      </c>
      <c r="K911" t="n">
        <v>0</v>
      </c>
      <c r="L911" t="n">
        <v>0</v>
      </c>
      <c r="M911" t="n">
        <v>0</v>
      </c>
      <c r="N911" t="n">
        <v>0</v>
      </c>
      <c r="O911" t="n">
        <v>0</v>
      </c>
      <c r="P911" t="n">
        <v>0</v>
      </c>
      <c r="Q911" t="n">
        <v>0</v>
      </c>
      <c r="R911" s="2" t="inlineStr"/>
    </row>
    <row r="912" ht="15" customHeight="1">
      <c r="A912" t="inlineStr">
        <is>
          <t>A 44701-2019</t>
        </is>
      </c>
      <c r="B912" s="1" t="n">
        <v>43712</v>
      </c>
      <c r="C912" s="1" t="n">
        <v>45706</v>
      </c>
      <c r="D912" t="inlineStr">
        <is>
          <t>UPPSALA LÄN</t>
        </is>
      </c>
      <c r="E912" t="inlineStr">
        <is>
          <t>UPPSALA</t>
        </is>
      </c>
      <c r="G912" t="n">
        <v>3.4</v>
      </c>
      <c r="H912" t="n">
        <v>0</v>
      </c>
      <c r="I912" t="n">
        <v>0</v>
      </c>
      <c r="J912" t="n">
        <v>0</v>
      </c>
      <c r="K912" t="n">
        <v>0</v>
      </c>
      <c r="L912" t="n">
        <v>0</v>
      </c>
      <c r="M912" t="n">
        <v>0</v>
      </c>
      <c r="N912" t="n">
        <v>0</v>
      </c>
      <c r="O912" t="n">
        <v>0</v>
      </c>
      <c r="P912" t="n">
        <v>0</v>
      </c>
      <c r="Q912" t="n">
        <v>0</v>
      </c>
      <c r="R912" s="2" t="inlineStr"/>
    </row>
    <row r="913" ht="15" customHeight="1">
      <c r="A913" t="inlineStr">
        <is>
          <t>A 44687-2019</t>
        </is>
      </c>
      <c r="B913" s="1" t="n">
        <v>43712</v>
      </c>
      <c r="C913" s="1" t="n">
        <v>45706</v>
      </c>
      <c r="D913" t="inlineStr">
        <is>
          <t>UPPSALA LÄN</t>
        </is>
      </c>
      <c r="E913" t="inlineStr">
        <is>
          <t>UPPSALA</t>
        </is>
      </c>
      <c r="G913" t="n">
        <v>3.3</v>
      </c>
      <c r="H913" t="n">
        <v>0</v>
      </c>
      <c r="I913" t="n">
        <v>0</v>
      </c>
      <c r="J913" t="n">
        <v>0</v>
      </c>
      <c r="K913" t="n">
        <v>0</v>
      </c>
      <c r="L913" t="n">
        <v>0</v>
      </c>
      <c r="M913" t="n">
        <v>0</v>
      </c>
      <c r="N913" t="n">
        <v>0</v>
      </c>
      <c r="O913" t="n">
        <v>0</v>
      </c>
      <c r="P913" t="n">
        <v>0</v>
      </c>
      <c r="Q913" t="n">
        <v>0</v>
      </c>
      <c r="R913" s="2" t="inlineStr"/>
    </row>
    <row r="914" ht="15" customHeight="1">
      <c r="A914" t="inlineStr">
        <is>
          <t>A 45010-2019</t>
        </is>
      </c>
      <c r="B914" s="1" t="n">
        <v>43713</v>
      </c>
      <c r="C914" s="1" t="n">
        <v>45706</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45140-2019</t>
        </is>
      </c>
      <c r="B915" s="1" t="n">
        <v>43713</v>
      </c>
      <c r="C915" s="1" t="n">
        <v>45706</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45007-2019</t>
        </is>
      </c>
      <c r="B916" s="1" t="n">
        <v>43713</v>
      </c>
      <c r="C916" s="1" t="n">
        <v>45706</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44991-2019</t>
        </is>
      </c>
      <c r="B917" s="1" t="n">
        <v>43713</v>
      </c>
      <c r="C917" s="1" t="n">
        <v>45706</v>
      </c>
      <c r="D917" t="inlineStr">
        <is>
          <t>UPPSALA LÄN</t>
        </is>
      </c>
      <c r="E917" t="inlineStr">
        <is>
          <t>HEBY</t>
        </is>
      </c>
      <c r="G917" t="n">
        <v>0.6</v>
      </c>
      <c r="H917" t="n">
        <v>0</v>
      </c>
      <c r="I917" t="n">
        <v>0</v>
      </c>
      <c r="J917" t="n">
        <v>0</v>
      </c>
      <c r="K917" t="n">
        <v>0</v>
      </c>
      <c r="L917" t="n">
        <v>0</v>
      </c>
      <c r="M917" t="n">
        <v>0</v>
      </c>
      <c r="N917" t="n">
        <v>0</v>
      </c>
      <c r="O917" t="n">
        <v>0</v>
      </c>
      <c r="P917" t="n">
        <v>0</v>
      </c>
      <c r="Q917" t="n">
        <v>0</v>
      </c>
      <c r="R917" s="2" t="inlineStr"/>
    </row>
    <row r="918" ht="15" customHeight="1">
      <c r="A918" t="inlineStr">
        <is>
          <t>A 45481-2019</t>
        </is>
      </c>
      <c r="B918" s="1" t="n">
        <v>43714</v>
      </c>
      <c r="C918" s="1" t="n">
        <v>45706</v>
      </c>
      <c r="D918" t="inlineStr">
        <is>
          <t>UPPSALA LÄN</t>
        </is>
      </c>
      <c r="E918" t="inlineStr">
        <is>
          <t>ENKÖPING</t>
        </is>
      </c>
      <c r="G918" t="n">
        <v>2</v>
      </c>
      <c r="H918" t="n">
        <v>0</v>
      </c>
      <c r="I918" t="n">
        <v>0</v>
      </c>
      <c r="J918" t="n">
        <v>0</v>
      </c>
      <c r="K918" t="n">
        <v>0</v>
      </c>
      <c r="L918" t="n">
        <v>0</v>
      </c>
      <c r="M918" t="n">
        <v>0</v>
      </c>
      <c r="N918" t="n">
        <v>0</v>
      </c>
      <c r="O918" t="n">
        <v>0</v>
      </c>
      <c r="P918" t="n">
        <v>0</v>
      </c>
      <c r="Q918" t="n">
        <v>0</v>
      </c>
      <c r="R918" s="2" t="inlineStr"/>
    </row>
    <row r="919" ht="15" customHeight="1">
      <c r="A919" t="inlineStr">
        <is>
          <t>A 45574-2019</t>
        </is>
      </c>
      <c r="B919" s="1" t="n">
        <v>43716</v>
      </c>
      <c r="C919" s="1" t="n">
        <v>45706</v>
      </c>
      <c r="D919" t="inlineStr">
        <is>
          <t>UPPSALA LÄN</t>
        </is>
      </c>
      <c r="E919" t="inlineStr">
        <is>
          <t>UPPSALA</t>
        </is>
      </c>
      <c r="G919" t="n">
        <v>0.8</v>
      </c>
      <c r="H919" t="n">
        <v>0</v>
      </c>
      <c r="I919" t="n">
        <v>0</v>
      </c>
      <c r="J919" t="n">
        <v>0</v>
      </c>
      <c r="K919" t="n">
        <v>0</v>
      </c>
      <c r="L919" t="n">
        <v>0</v>
      </c>
      <c r="M919" t="n">
        <v>0</v>
      </c>
      <c r="N919" t="n">
        <v>0</v>
      </c>
      <c r="O919" t="n">
        <v>0</v>
      </c>
      <c r="P919" t="n">
        <v>0</v>
      </c>
      <c r="Q919" t="n">
        <v>0</v>
      </c>
      <c r="R919" s="2" t="inlineStr"/>
    </row>
    <row r="920" ht="15" customHeight="1">
      <c r="A920" t="inlineStr">
        <is>
          <t>A 45681-2019</t>
        </is>
      </c>
      <c r="B920" s="1" t="n">
        <v>43717</v>
      </c>
      <c r="C920" s="1" t="n">
        <v>45706</v>
      </c>
      <c r="D920" t="inlineStr">
        <is>
          <t>UPPSALA LÄN</t>
        </is>
      </c>
      <c r="E920" t="inlineStr">
        <is>
          <t>ÖSTHAMMAR</t>
        </is>
      </c>
      <c r="F920" t="inlineStr">
        <is>
          <t>Bergvik skog öst AB</t>
        </is>
      </c>
      <c r="G920" t="n">
        <v>3</v>
      </c>
      <c r="H920" t="n">
        <v>0</v>
      </c>
      <c r="I920" t="n">
        <v>0</v>
      </c>
      <c r="J920" t="n">
        <v>0</v>
      </c>
      <c r="K920" t="n">
        <v>0</v>
      </c>
      <c r="L920" t="n">
        <v>0</v>
      </c>
      <c r="M920" t="n">
        <v>0</v>
      </c>
      <c r="N920" t="n">
        <v>0</v>
      </c>
      <c r="O920" t="n">
        <v>0</v>
      </c>
      <c r="P920" t="n">
        <v>0</v>
      </c>
      <c r="Q920" t="n">
        <v>0</v>
      </c>
      <c r="R920" s="2" t="inlineStr"/>
    </row>
    <row r="921" ht="15" customHeight="1">
      <c r="A921" t="inlineStr">
        <is>
          <t>A 45729-2019</t>
        </is>
      </c>
      <c r="B921" s="1" t="n">
        <v>43717</v>
      </c>
      <c r="C921" s="1" t="n">
        <v>45706</v>
      </c>
      <c r="D921" t="inlineStr">
        <is>
          <t>UPPSALA LÄN</t>
        </is>
      </c>
      <c r="E921" t="inlineStr">
        <is>
          <t>ENKÖPING</t>
        </is>
      </c>
      <c r="G921" t="n">
        <v>0.3</v>
      </c>
      <c r="H921" t="n">
        <v>0</v>
      </c>
      <c r="I921" t="n">
        <v>0</v>
      </c>
      <c r="J921" t="n">
        <v>0</v>
      </c>
      <c r="K921" t="n">
        <v>0</v>
      </c>
      <c r="L921" t="n">
        <v>0</v>
      </c>
      <c r="M921" t="n">
        <v>0</v>
      </c>
      <c r="N921" t="n">
        <v>0</v>
      </c>
      <c r="O921" t="n">
        <v>0</v>
      </c>
      <c r="P921" t="n">
        <v>0</v>
      </c>
      <c r="Q921" t="n">
        <v>0</v>
      </c>
      <c r="R921" s="2" t="inlineStr"/>
    </row>
    <row r="922" ht="15" customHeight="1">
      <c r="A922" t="inlineStr">
        <is>
          <t>A 45767-2019</t>
        </is>
      </c>
      <c r="B922" s="1" t="n">
        <v>43717</v>
      </c>
      <c r="C922" s="1" t="n">
        <v>45706</v>
      </c>
      <c r="D922" t="inlineStr">
        <is>
          <t>UPPSALA LÄN</t>
        </is>
      </c>
      <c r="E922" t="inlineStr">
        <is>
          <t>ENKÖPING</t>
        </is>
      </c>
      <c r="G922" t="n">
        <v>2.6</v>
      </c>
      <c r="H922" t="n">
        <v>0</v>
      </c>
      <c r="I922" t="n">
        <v>0</v>
      </c>
      <c r="J922" t="n">
        <v>0</v>
      </c>
      <c r="K922" t="n">
        <v>0</v>
      </c>
      <c r="L922" t="n">
        <v>0</v>
      </c>
      <c r="M922" t="n">
        <v>0</v>
      </c>
      <c r="N922" t="n">
        <v>0</v>
      </c>
      <c r="O922" t="n">
        <v>0</v>
      </c>
      <c r="P922" t="n">
        <v>0</v>
      </c>
      <c r="Q922" t="n">
        <v>0</v>
      </c>
      <c r="R922" s="2" t="inlineStr"/>
    </row>
    <row r="923" ht="15" customHeight="1">
      <c r="A923" t="inlineStr">
        <is>
          <t>A 45784-2019</t>
        </is>
      </c>
      <c r="B923" s="1" t="n">
        <v>43717</v>
      </c>
      <c r="C923" s="1" t="n">
        <v>45706</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45667-2019</t>
        </is>
      </c>
      <c r="B924" s="1" t="n">
        <v>43717</v>
      </c>
      <c r="C924" s="1" t="n">
        <v>45706</v>
      </c>
      <c r="D924" t="inlineStr">
        <is>
          <t>UPPSALA LÄN</t>
        </is>
      </c>
      <c r="E924" t="inlineStr">
        <is>
          <t>HEBY</t>
        </is>
      </c>
      <c r="G924" t="n">
        <v>0.8</v>
      </c>
      <c r="H924" t="n">
        <v>0</v>
      </c>
      <c r="I924" t="n">
        <v>0</v>
      </c>
      <c r="J924" t="n">
        <v>0</v>
      </c>
      <c r="K924" t="n">
        <v>0</v>
      </c>
      <c r="L924" t="n">
        <v>0</v>
      </c>
      <c r="M924" t="n">
        <v>0</v>
      </c>
      <c r="N924" t="n">
        <v>0</v>
      </c>
      <c r="O924" t="n">
        <v>0</v>
      </c>
      <c r="P924" t="n">
        <v>0</v>
      </c>
      <c r="Q924" t="n">
        <v>0</v>
      </c>
      <c r="R924" s="2" t="inlineStr"/>
    </row>
    <row r="925" ht="15" customHeight="1">
      <c r="A925" t="inlineStr">
        <is>
          <t>A 46292-2019</t>
        </is>
      </c>
      <c r="B925" s="1" t="n">
        <v>43718</v>
      </c>
      <c r="C925" s="1" t="n">
        <v>45706</v>
      </c>
      <c r="D925" t="inlineStr">
        <is>
          <t>UPPSALA LÄN</t>
        </is>
      </c>
      <c r="E925" t="inlineStr">
        <is>
          <t>ENKÖPING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46274-2019</t>
        </is>
      </c>
      <c r="B926" s="1" t="n">
        <v>43718</v>
      </c>
      <c r="C926" s="1" t="n">
        <v>45706</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46311-2019</t>
        </is>
      </c>
      <c r="B927" s="1" t="n">
        <v>43718</v>
      </c>
      <c r="C927" s="1" t="n">
        <v>45706</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46307-2019</t>
        </is>
      </c>
      <c r="B928" s="1" t="n">
        <v>43718</v>
      </c>
      <c r="C928" s="1" t="n">
        <v>45706</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46151-2019</t>
        </is>
      </c>
      <c r="B929" s="1" t="n">
        <v>43718</v>
      </c>
      <c r="C929" s="1" t="n">
        <v>45706</v>
      </c>
      <c r="D929" t="inlineStr">
        <is>
          <t>UPPSALA LÄN</t>
        </is>
      </c>
      <c r="E929" t="inlineStr">
        <is>
          <t>UPPSALA</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46157-2019</t>
        </is>
      </c>
      <c r="B930" s="1" t="n">
        <v>43718</v>
      </c>
      <c r="C930" s="1" t="n">
        <v>45706</v>
      </c>
      <c r="D930" t="inlineStr">
        <is>
          <t>UPPSALA LÄN</t>
        </is>
      </c>
      <c r="E930" t="inlineStr">
        <is>
          <t>UPPSALA</t>
        </is>
      </c>
      <c r="F930" t="inlineStr">
        <is>
          <t>Övriga Aktiebolag</t>
        </is>
      </c>
      <c r="G930" t="n">
        <v>4.5</v>
      </c>
      <c r="H930" t="n">
        <v>0</v>
      </c>
      <c r="I930" t="n">
        <v>0</v>
      </c>
      <c r="J930" t="n">
        <v>0</v>
      </c>
      <c r="K930" t="n">
        <v>0</v>
      </c>
      <c r="L930" t="n">
        <v>0</v>
      </c>
      <c r="M930" t="n">
        <v>0</v>
      </c>
      <c r="N930" t="n">
        <v>0</v>
      </c>
      <c r="O930" t="n">
        <v>0</v>
      </c>
      <c r="P930" t="n">
        <v>0</v>
      </c>
      <c r="Q930" t="n">
        <v>0</v>
      </c>
      <c r="R930" s="2" t="inlineStr"/>
    </row>
    <row r="931" ht="15" customHeight="1">
      <c r="A931" t="inlineStr">
        <is>
          <t>A 46310-2019</t>
        </is>
      </c>
      <c r="B931" s="1" t="n">
        <v>43718</v>
      </c>
      <c r="C931" s="1" t="n">
        <v>45706</v>
      </c>
      <c r="D931" t="inlineStr">
        <is>
          <t>UPPSALA LÄN</t>
        </is>
      </c>
      <c r="E931" t="inlineStr">
        <is>
          <t>UPPSALA</t>
        </is>
      </c>
      <c r="G931" t="n">
        <v>7</v>
      </c>
      <c r="H931" t="n">
        <v>0</v>
      </c>
      <c r="I931" t="n">
        <v>0</v>
      </c>
      <c r="J931" t="n">
        <v>0</v>
      </c>
      <c r="K931" t="n">
        <v>0</v>
      </c>
      <c r="L931" t="n">
        <v>0</v>
      </c>
      <c r="M931" t="n">
        <v>0</v>
      </c>
      <c r="N931" t="n">
        <v>0</v>
      </c>
      <c r="O931" t="n">
        <v>0</v>
      </c>
      <c r="P931" t="n">
        <v>0</v>
      </c>
      <c r="Q931" t="n">
        <v>0</v>
      </c>
      <c r="R931" s="2" t="inlineStr"/>
    </row>
    <row r="932" ht="15" customHeight="1">
      <c r="A932" t="inlineStr">
        <is>
          <t>A 46147-2019</t>
        </is>
      </c>
      <c r="B932" s="1" t="n">
        <v>43718</v>
      </c>
      <c r="C932" s="1" t="n">
        <v>45706</v>
      </c>
      <c r="D932" t="inlineStr">
        <is>
          <t>UPPSALA LÄN</t>
        </is>
      </c>
      <c r="E932" t="inlineStr">
        <is>
          <t>UPPSALA</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46563-2019</t>
        </is>
      </c>
      <c r="B933" s="1" t="n">
        <v>43719</v>
      </c>
      <c r="C933" s="1" t="n">
        <v>45706</v>
      </c>
      <c r="D933" t="inlineStr">
        <is>
          <t>UPPSALA LÄN</t>
        </is>
      </c>
      <c r="E933" t="inlineStr">
        <is>
          <t>HEBY</t>
        </is>
      </c>
      <c r="G933" t="n">
        <v>6.7</v>
      </c>
      <c r="H933" t="n">
        <v>0</v>
      </c>
      <c r="I933" t="n">
        <v>0</v>
      </c>
      <c r="J933" t="n">
        <v>0</v>
      </c>
      <c r="K933" t="n">
        <v>0</v>
      </c>
      <c r="L933" t="n">
        <v>0</v>
      </c>
      <c r="M933" t="n">
        <v>0</v>
      </c>
      <c r="N933" t="n">
        <v>0</v>
      </c>
      <c r="O933" t="n">
        <v>0</v>
      </c>
      <c r="P933" t="n">
        <v>0</v>
      </c>
      <c r="Q933" t="n">
        <v>0</v>
      </c>
      <c r="R933" s="2" t="inlineStr"/>
    </row>
    <row r="934" ht="15" customHeight="1">
      <c r="A934" t="inlineStr">
        <is>
          <t>A 46545-2019</t>
        </is>
      </c>
      <c r="B934" s="1" t="n">
        <v>43719</v>
      </c>
      <c r="C934" s="1" t="n">
        <v>45706</v>
      </c>
      <c r="D934" t="inlineStr">
        <is>
          <t>UPPSALA LÄN</t>
        </is>
      </c>
      <c r="E934" t="inlineStr">
        <is>
          <t>HEBY</t>
        </is>
      </c>
      <c r="G934" t="n">
        <v>4.9</v>
      </c>
      <c r="H934" t="n">
        <v>0</v>
      </c>
      <c r="I934" t="n">
        <v>0</v>
      </c>
      <c r="J934" t="n">
        <v>0</v>
      </c>
      <c r="K934" t="n">
        <v>0</v>
      </c>
      <c r="L934" t="n">
        <v>0</v>
      </c>
      <c r="M934" t="n">
        <v>0</v>
      </c>
      <c r="N934" t="n">
        <v>0</v>
      </c>
      <c r="O934" t="n">
        <v>0</v>
      </c>
      <c r="P934" t="n">
        <v>0</v>
      </c>
      <c r="Q934" t="n">
        <v>0</v>
      </c>
      <c r="R934" s="2" t="inlineStr"/>
    </row>
    <row r="935" ht="15" customHeight="1">
      <c r="A935" t="inlineStr">
        <is>
          <t>A 46877-2019</t>
        </is>
      </c>
      <c r="B935" s="1" t="n">
        <v>43720</v>
      </c>
      <c r="C935" s="1" t="n">
        <v>45706</v>
      </c>
      <c r="D935" t="inlineStr">
        <is>
          <t>UPPSALA LÄN</t>
        </is>
      </c>
      <c r="E935" t="inlineStr">
        <is>
          <t>UPPSALA</t>
        </is>
      </c>
      <c r="G935" t="n">
        <v>1.9</v>
      </c>
      <c r="H935" t="n">
        <v>0</v>
      </c>
      <c r="I935" t="n">
        <v>0</v>
      </c>
      <c r="J935" t="n">
        <v>0</v>
      </c>
      <c r="K935" t="n">
        <v>0</v>
      </c>
      <c r="L935" t="n">
        <v>0</v>
      </c>
      <c r="M935" t="n">
        <v>0</v>
      </c>
      <c r="N935" t="n">
        <v>0</v>
      </c>
      <c r="O935" t="n">
        <v>0</v>
      </c>
      <c r="P935" t="n">
        <v>0</v>
      </c>
      <c r="Q935" t="n">
        <v>0</v>
      </c>
      <c r="R935" s="2" t="inlineStr"/>
    </row>
    <row r="936" ht="15" customHeight="1">
      <c r="A936" t="inlineStr">
        <is>
          <t>A 46896-2019</t>
        </is>
      </c>
      <c r="B936" s="1" t="n">
        <v>43720</v>
      </c>
      <c r="C936" s="1" t="n">
        <v>45706</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46971-2019</t>
        </is>
      </c>
      <c r="B937" s="1" t="n">
        <v>43720</v>
      </c>
      <c r="C937" s="1" t="n">
        <v>45706</v>
      </c>
      <c r="D937" t="inlineStr">
        <is>
          <t>UPPSALA LÄN</t>
        </is>
      </c>
      <c r="E937" t="inlineStr">
        <is>
          <t>ENKÖPING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47039-2019</t>
        </is>
      </c>
      <c r="B938" s="1" t="n">
        <v>43720</v>
      </c>
      <c r="C938" s="1" t="n">
        <v>45706</v>
      </c>
      <c r="D938" t="inlineStr">
        <is>
          <t>UPPSALA LÄN</t>
        </is>
      </c>
      <c r="E938" t="inlineStr">
        <is>
          <t>ENKÖPING</t>
        </is>
      </c>
      <c r="G938" t="n">
        <v>0.3</v>
      </c>
      <c r="H938" t="n">
        <v>0</v>
      </c>
      <c r="I938" t="n">
        <v>0</v>
      </c>
      <c r="J938" t="n">
        <v>0</v>
      </c>
      <c r="K938" t="n">
        <v>0</v>
      </c>
      <c r="L938" t="n">
        <v>0</v>
      </c>
      <c r="M938" t="n">
        <v>0</v>
      </c>
      <c r="N938" t="n">
        <v>0</v>
      </c>
      <c r="O938" t="n">
        <v>0</v>
      </c>
      <c r="P938" t="n">
        <v>0</v>
      </c>
      <c r="Q938" t="n">
        <v>0</v>
      </c>
      <c r="R938" s="2" t="inlineStr"/>
    </row>
    <row r="939" ht="15" customHeight="1">
      <c r="A939" t="inlineStr">
        <is>
          <t>A 47368-2019</t>
        </is>
      </c>
      <c r="B939" s="1" t="n">
        <v>43721</v>
      </c>
      <c r="C939" s="1" t="n">
        <v>45706</v>
      </c>
      <c r="D939" t="inlineStr">
        <is>
          <t>UPPSALA LÄN</t>
        </is>
      </c>
      <c r="E939" t="inlineStr">
        <is>
          <t>ENKÖPING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47440-2019</t>
        </is>
      </c>
      <c r="B940" s="1" t="n">
        <v>43723</v>
      </c>
      <c r="C940" s="1" t="n">
        <v>45706</v>
      </c>
      <c r="D940" t="inlineStr">
        <is>
          <t>UPPSALA LÄN</t>
        </is>
      </c>
      <c r="E940" t="inlineStr">
        <is>
          <t>ÖSTHAMMAR</t>
        </is>
      </c>
      <c r="G940" t="n">
        <v>0.1</v>
      </c>
      <c r="H940" t="n">
        <v>0</v>
      </c>
      <c r="I940" t="n">
        <v>0</v>
      </c>
      <c r="J940" t="n">
        <v>0</v>
      </c>
      <c r="K940" t="n">
        <v>0</v>
      </c>
      <c r="L940" t="n">
        <v>0</v>
      </c>
      <c r="M940" t="n">
        <v>0</v>
      </c>
      <c r="N940" t="n">
        <v>0</v>
      </c>
      <c r="O940" t="n">
        <v>0</v>
      </c>
      <c r="P940" t="n">
        <v>0</v>
      </c>
      <c r="Q940" t="n">
        <v>0</v>
      </c>
      <c r="R940" s="2" t="inlineStr"/>
    </row>
    <row r="941" ht="15" customHeight="1">
      <c r="A941" t="inlineStr">
        <is>
          <t>A 47436-2019</t>
        </is>
      </c>
      <c r="B941" s="1" t="n">
        <v>43723</v>
      </c>
      <c r="C941" s="1" t="n">
        <v>45706</v>
      </c>
      <c r="D941" t="inlineStr">
        <is>
          <t>UPPSALA LÄN</t>
        </is>
      </c>
      <c r="E941" t="inlineStr">
        <is>
          <t>ÖSTHAMMAR</t>
        </is>
      </c>
      <c r="G941" t="n">
        <v>0.7</v>
      </c>
      <c r="H941" t="n">
        <v>0</v>
      </c>
      <c r="I941" t="n">
        <v>0</v>
      </c>
      <c r="J941" t="n">
        <v>0</v>
      </c>
      <c r="K941" t="n">
        <v>0</v>
      </c>
      <c r="L941" t="n">
        <v>0</v>
      </c>
      <c r="M941" t="n">
        <v>0</v>
      </c>
      <c r="N941" t="n">
        <v>0</v>
      </c>
      <c r="O941" t="n">
        <v>0</v>
      </c>
      <c r="P941" t="n">
        <v>0</v>
      </c>
      <c r="Q941" t="n">
        <v>0</v>
      </c>
      <c r="R941" s="2" t="inlineStr"/>
    </row>
    <row r="942" ht="15" customHeight="1">
      <c r="A942" t="inlineStr">
        <is>
          <t>A 47476-2019</t>
        </is>
      </c>
      <c r="B942" s="1" t="n">
        <v>43724</v>
      </c>
      <c r="C942" s="1" t="n">
        <v>45706</v>
      </c>
      <c r="D942" t="inlineStr">
        <is>
          <t>UPPSALA LÄN</t>
        </is>
      </c>
      <c r="E942" t="inlineStr">
        <is>
          <t>ENKÖPING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48086-2019</t>
        </is>
      </c>
      <c r="B943" s="1" t="n">
        <v>43725</v>
      </c>
      <c r="C943" s="1" t="n">
        <v>45706</v>
      </c>
      <c r="D943" t="inlineStr">
        <is>
          <t>UPPSALA LÄN</t>
        </is>
      </c>
      <c r="E943" t="inlineStr">
        <is>
          <t>HEBY</t>
        </is>
      </c>
      <c r="G943" t="n">
        <v>2.5</v>
      </c>
      <c r="H943" t="n">
        <v>0</v>
      </c>
      <c r="I943" t="n">
        <v>0</v>
      </c>
      <c r="J943" t="n">
        <v>0</v>
      </c>
      <c r="K943" t="n">
        <v>0</v>
      </c>
      <c r="L943" t="n">
        <v>0</v>
      </c>
      <c r="M943" t="n">
        <v>0</v>
      </c>
      <c r="N943" t="n">
        <v>0</v>
      </c>
      <c r="O943" t="n">
        <v>0</v>
      </c>
      <c r="P943" t="n">
        <v>0</v>
      </c>
      <c r="Q943" t="n">
        <v>0</v>
      </c>
      <c r="R943" s="2" t="inlineStr"/>
    </row>
    <row r="944" ht="15" customHeight="1">
      <c r="A944" t="inlineStr">
        <is>
          <t>A 48098-2019</t>
        </is>
      </c>
      <c r="B944" s="1" t="n">
        <v>43725</v>
      </c>
      <c r="C944" s="1" t="n">
        <v>45706</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48095-2019</t>
        </is>
      </c>
      <c r="B945" s="1" t="n">
        <v>43725</v>
      </c>
      <c r="C945" s="1" t="n">
        <v>45706</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48096-2019</t>
        </is>
      </c>
      <c r="B946" s="1" t="n">
        <v>43725</v>
      </c>
      <c r="C946" s="1" t="n">
        <v>45706</v>
      </c>
      <c r="D946" t="inlineStr">
        <is>
          <t>UPPSALA LÄN</t>
        </is>
      </c>
      <c r="E946" t="inlineStr">
        <is>
          <t>ENKÖPING</t>
        </is>
      </c>
      <c r="G946" t="n">
        <v>0.2</v>
      </c>
      <c r="H946" t="n">
        <v>0</v>
      </c>
      <c r="I946" t="n">
        <v>0</v>
      </c>
      <c r="J946" t="n">
        <v>0</v>
      </c>
      <c r="K946" t="n">
        <v>0</v>
      </c>
      <c r="L946" t="n">
        <v>0</v>
      </c>
      <c r="M946" t="n">
        <v>0</v>
      </c>
      <c r="N946" t="n">
        <v>0</v>
      </c>
      <c r="O946" t="n">
        <v>0</v>
      </c>
      <c r="P946" t="n">
        <v>0</v>
      </c>
      <c r="Q946" t="n">
        <v>0</v>
      </c>
      <c r="R946" s="2" t="inlineStr"/>
    </row>
    <row r="947" ht="15" customHeight="1">
      <c r="A947" t="inlineStr">
        <is>
          <t>A 48515-2019</t>
        </is>
      </c>
      <c r="B947" s="1" t="n">
        <v>43727</v>
      </c>
      <c r="C947" s="1" t="n">
        <v>45706</v>
      </c>
      <c r="D947" t="inlineStr">
        <is>
          <t>UPPSALA LÄN</t>
        </is>
      </c>
      <c r="E947" t="inlineStr">
        <is>
          <t>ENKÖPING</t>
        </is>
      </c>
      <c r="G947" t="n">
        <v>0.4</v>
      </c>
      <c r="H947" t="n">
        <v>0</v>
      </c>
      <c r="I947" t="n">
        <v>0</v>
      </c>
      <c r="J947" t="n">
        <v>0</v>
      </c>
      <c r="K947" t="n">
        <v>0</v>
      </c>
      <c r="L947" t="n">
        <v>0</v>
      </c>
      <c r="M947" t="n">
        <v>0</v>
      </c>
      <c r="N947" t="n">
        <v>0</v>
      </c>
      <c r="O947" t="n">
        <v>0</v>
      </c>
      <c r="P947" t="n">
        <v>0</v>
      </c>
      <c r="Q947" t="n">
        <v>0</v>
      </c>
      <c r="R947" s="2" t="inlineStr"/>
    </row>
    <row r="948" ht="15" customHeight="1">
      <c r="A948" t="inlineStr">
        <is>
          <t>A 48485-2019</t>
        </is>
      </c>
      <c r="B948" s="1" t="n">
        <v>43727</v>
      </c>
      <c r="C948" s="1" t="n">
        <v>45706</v>
      </c>
      <c r="D948" t="inlineStr">
        <is>
          <t>UPPSALA LÄN</t>
        </is>
      </c>
      <c r="E948" t="inlineStr">
        <is>
          <t>UPPSALA</t>
        </is>
      </c>
      <c r="G948" t="n">
        <v>3</v>
      </c>
      <c r="H948" t="n">
        <v>0</v>
      </c>
      <c r="I948" t="n">
        <v>0</v>
      </c>
      <c r="J948" t="n">
        <v>0</v>
      </c>
      <c r="K948" t="n">
        <v>0</v>
      </c>
      <c r="L948" t="n">
        <v>0</v>
      </c>
      <c r="M948" t="n">
        <v>0</v>
      </c>
      <c r="N948" t="n">
        <v>0</v>
      </c>
      <c r="O948" t="n">
        <v>0</v>
      </c>
      <c r="P948" t="n">
        <v>0</v>
      </c>
      <c r="Q948" t="n">
        <v>0</v>
      </c>
      <c r="R948" s="2" t="inlineStr"/>
    </row>
    <row r="949" ht="15" customHeight="1">
      <c r="A949" t="inlineStr">
        <is>
          <t>A 48511-2019</t>
        </is>
      </c>
      <c r="B949" s="1" t="n">
        <v>43727</v>
      </c>
      <c r="C949" s="1" t="n">
        <v>45706</v>
      </c>
      <c r="D949" t="inlineStr">
        <is>
          <t>UPPSALA LÄN</t>
        </is>
      </c>
      <c r="E949" t="inlineStr">
        <is>
          <t>ENKÖPING</t>
        </is>
      </c>
      <c r="G949" t="n">
        <v>1.4</v>
      </c>
      <c r="H949" t="n">
        <v>0</v>
      </c>
      <c r="I949" t="n">
        <v>0</v>
      </c>
      <c r="J949" t="n">
        <v>0</v>
      </c>
      <c r="K949" t="n">
        <v>0</v>
      </c>
      <c r="L949" t="n">
        <v>0</v>
      </c>
      <c r="M949" t="n">
        <v>0</v>
      </c>
      <c r="N949" t="n">
        <v>0</v>
      </c>
      <c r="O949" t="n">
        <v>0</v>
      </c>
      <c r="P949" t="n">
        <v>0</v>
      </c>
      <c r="Q949" t="n">
        <v>0</v>
      </c>
      <c r="R949" s="2" t="inlineStr"/>
    </row>
    <row r="950" ht="15" customHeight="1">
      <c r="A950" t="inlineStr">
        <is>
          <t>A 48822-2019</t>
        </is>
      </c>
      <c r="B950" s="1" t="n">
        <v>43728</v>
      </c>
      <c r="C950" s="1" t="n">
        <v>45706</v>
      </c>
      <c r="D950" t="inlineStr">
        <is>
          <t>UPPSALA LÄN</t>
        </is>
      </c>
      <c r="E950" t="inlineStr">
        <is>
          <t>ÄLVKARLEBY</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49567-2019</t>
        </is>
      </c>
      <c r="B951" s="1" t="n">
        <v>43730</v>
      </c>
      <c r="C951" s="1" t="n">
        <v>45706</v>
      </c>
      <c r="D951" t="inlineStr">
        <is>
          <t>UPPSALA LÄN</t>
        </is>
      </c>
      <c r="E951" t="inlineStr">
        <is>
          <t>UPPSALA</t>
        </is>
      </c>
      <c r="G951" t="n">
        <v>6</v>
      </c>
      <c r="H951" t="n">
        <v>0</v>
      </c>
      <c r="I951" t="n">
        <v>0</v>
      </c>
      <c r="J951" t="n">
        <v>0</v>
      </c>
      <c r="K951" t="n">
        <v>0</v>
      </c>
      <c r="L951" t="n">
        <v>0</v>
      </c>
      <c r="M951" t="n">
        <v>0</v>
      </c>
      <c r="N951" t="n">
        <v>0</v>
      </c>
      <c r="O951" t="n">
        <v>0</v>
      </c>
      <c r="P951" t="n">
        <v>0</v>
      </c>
      <c r="Q951" t="n">
        <v>0</v>
      </c>
      <c r="R951" s="2" t="inlineStr"/>
    </row>
    <row r="952" ht="15" customHeight="1">
      <c r="A952" t="inlineStr">
        <is>
          <t>A 49082-2019</t>
        </is>
      </c>
      <c r="B952" s="1" t="n">
        <v>43731</v>
      </c>
      <c r="C952" s="1" t="n">
        <v>45706</v>
      </c>
      <c r="D952" t="inlineStr">
        <is>
          <t>UPPSALA LÄN</t>
        </is>
      </c>
      <c r="E952" t="inlineStr">
        <is>
          <t>KNIVSTA</t>
        </is>
      </c>
      <c r="G952" t="n">
        <v>0.9</v>
      </c>
      <c r="H952" t="n">
        <v>0</v>
      </c>
      <c r="I952" t="n">
        <v>0</v>
      </c>
      <c r="J952" t="n">
        <v>0</v>
      </c>
      <c r="K952" t="n">
        <v>0</v>
      </c>
      <c r="L952" t="n">
        <v>0</v>
      </c>
      <c r="M952" t="n">
        <v>0</v>
      </c>
      <c r="N952" t="n">
        <v>0</v>
      </c>
      <c r="O952" t="n">
        <v>0</v>
      </c>
      <c r="P952" t="n">
        <v>0</v>
      </c>
      <c r="Q952" t="n">
        <v>0</v>
      </c>
      <c r="R952" s="2" t="inlineStr"/>
    </row>
    <row r="953" ht="15" customHeight="1">
      <c r="A953" t="inlineStr">
        <is>
          <t>A 50358-2019</t>
        </is>
      </c>
      <c r="B953" s="1" t="n">
        <v>43731</v>
      </c>
      <c r="C953" s="1" t="n">
        <v>45706</v>
      </c>
      <c r="D953" t="inlineStr">
        <is>
          <t>UPPSALA LÄN</t>
        </is>
      </c>
      <c r="E953" t="inlineStr">
        <is>
          <t>HEBY</t>
        </is>
      </c>
      <c r="F953" t="inlineStr">
        <is>
          <t>Bergvik skog väst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50414-2019</t>
        </is>
      </c>
      <c r="B954" s="1" t="n">
        <v>43731</v>
      </c>
      <c r="C954" s="1" t="n">
        <v>45706</v>
      </c>
      <c r="D954" t="inlineStr">
        <is>
          <t>UPPSALA LÄN</t>
        </is>
      </c>
      <c r="E954" t="inlineStr">
        <is>
          <t>HEBY</t>
        </is>
      </c>
      <c r="F954" t="inlineStr">
        <is>
          <t>Bergvik skog väst AB</t>
        </is>
      </c>
      <c r="G954" t="n">
        <v>3.4</v>
      </c>
      <c r="H954" t="n">
        <v>0</v>
      </c>
      <c r="I954" t="n">
        <v>0</v>
      </c>
      <c r="J954" t="n">
        <v>0</v>
      </c>
      <c r="K954" t="n">
        <v>0</v>
      </c>
      <c r="L954" t="n">
        <v>0</v>
      </c>
      <c r="M954" t="n">
        <v>0</v>
      </c>
      <c r="N954" t="n">
        <v>0</v>
      </c>
      <c r="O954" t="n">
        <v>0</v>
      </c>
      <c r="P954" t="n">
        <v>0</v>
      </c>
      <c r="Q954" t="n">
        <v>0</v>
      </c>
      <c r="R954" s="2" t="inlineStr"/>
    </row>
    <row r="955" ht="15" customHeight="1">
      <c r="A955" t="inlineStr">
        <is>
          <t>A 49568-2019</t>
        </is>
      </c>
      <c r="B955" s="1" t="n">
        <v>43732</v>
      </c>
      <c r="C955" s="1" t="n">
        <v>45706</v>
      </c>
      <c r="D955" t="inlineStr">
        <is>
          <t>UPPSALA LÄN</t>
        </is>
      </c>
      <c r="E955" t="inlineStr">
        <is>
          <t>HÅBO</t>
        </is>
      </c>
      <c r="G955" t="n">
        <v>5.5</v>
      </c>
      <c r="H955" t="n">
        <v>0</v>
      </c>
      <c r="I955" t="n">
        <v>0</v>
      </c>
      <c r="J955" t="n">
        <v>0</v>
      </c>
      <c r="K955" t="n">
        <v>0</v>
      </c>
      <c r="L955" t="n">
        <v>0</v>
      </c>
      <c r="M955" t="n">
        <v>0</v>
      </c>
      <c r="N955" t="n">
        <v>0</v>
      </c>
      <c r="O955" t="n">
        <v>0</v>
      </c>
      <c r="P955" t="n">
        <v>0</v>
      </c>
      <c r="Q955" t="n">
        <v>0</v>
      </c>
      <c r="R955" s="2" t="inlineStr"/>
    </row>
    <row r="956" ht="15" customHeight="1">
      <c r="A956" t="inlineStr">
        <is>
          <t>A 49856-2019</t>
        </is>
      </c>
      <c r="B956" s="1" t="n">
        <v>43733</v>
      </c>
      <c r="C956" s="1" t="n">
        <v>45706</v>
      </c>
      <c r="D956" t="inlineStr">
        <is>
          <t>UPPSALA LÄN</t>
        </is>
      </c>
      <c r="E956" t="inlineStr">
        <is>
          <t>ENKÖPING</t>
        </is>
      </c>
      <c r="G956" t="n">
        <v>9.9</v>
      </c>
      <c r="H956" t="n">
        <v>0</v>
      </c>
      <c r="I956" t="n">
        <v>0</v>
      </c>
      <c r="J956" t="n">
        <v>0</v>
      </c>
      <c r="K956" t="n">
        <v>0</v>
      </c>
      <c r="L956" t="n">
        <v>0</v>
      </c>
      <c r="M956" t="n">
        <v>0</v>
      </c>
      <c r="N956" t="n">
        <v>0</v>
      </c>
      <c r="O956" t="n">
        <v>0</v>
      </c>
      <c r="P956" t="n">
        <v>0</v>
      </c>
      <c r="Q956" t="n">
        <v>0</v>
      </c>
      <c r="R956" s="2" t="inlineStr"/>
    </row>
    <row r="957" ht="15" customHeight="1">
      <c r="A957" t="inlineStr">
        <is>
          <t>A 49877-2019</t>
        </is>
      </c>
      <c r="B957" s="1" t="n">
        <v>43733</v>
      </c>
      <c r="C957" s="1" t="n">
        <v>45706</v>
      </c>
      <c r="D957" t="inlineStr">
        <is>
          <t>UPPSALA LÄN</t>
        </is>
      </c>
      <c r="E957" t="inlineStr">
        <is>
          <t>TIERP</t>
        </is>
      </c>
      <c r="G957" t="n">
        <v>2.4</v>
      </c>
      <c r="H957" t="n">
        <v>0</v>
      </c>
      <c r="I957" t="n">
        <v>0</v>
      </c>
      <c r="J957" t="n">
        <v>0</v>
      </c>
      <c r="K957" t="n">
        <v>0</v>
      </c>
      <c r="L957" t="n">
        <v>0</v>
      </c>
      <c r="M957" t="n">
        <v>0</v>
      </c>
      <c r="N957" t="n">
        <v>0</v>
      </c>
      <c r="O957" t="n">
        <v>0</v>
      </c>
      <c r="P957" t="n">
        <v>0</v>
      </c>
      <c r="Q957" t="n">
        <v>0</v>
      </c>
      <c r="R957" s="2" t="inlineStr"/>
    </row>
    <row r="958" ht="15" customHeight="1">
      <c r="A958" t="inlineStr">
        <is>
          <t>A 50180-2019</t>
        </is>
      </c>
      <c r="B958" s="1" t="n">
        <v>43733</v>
      </c>
      <c r="C958" s="1" t="n">
        <v>45706</v>
      </c>
      <c r="D958" t="inlineStr">
        <is>
          <t>UPPSALA LÄN</t>
        </is>
      </c>
      <c r="E958" t="inlineStr">
        <is>
          <t>UPPSALA</t>
        </is>
      </c>
      <c r="F958" t="inlineStr">
        <is>
          <t>Allmännings- och besparingsskogar</t>
        </is>
      </c>
      <c r="G958" t="n">
        <v>3.7</v>
      </c>
      <c r="H958" t="n">
        <v>0</v>
      </c>
      <c r="I958" t="n">
        <v>0</v>
      </c>
      <c r="J958" t="n">
        <v>0</v>
      </c>
      <c r="K958" t="n">
        <v>0</v>
      </c>
      <c r="L958" t="n">
        <v>0</v>
      </c>
      <c r="M958" t="n">
        <v>0</v>
      </c>
      <c r="N958" t="n">
        <v>0</v>
      </c>
      <c r="O958" t="n">
        <v>0</v>
      </c>
      <c r="P958" t="n">
        <v>0</v>
      </c>
      <c r="Q958" t="n">
        <v>0</v>
      </c>
      <c r="R958" s="2" t="inlineStr"/>
    </row>
    <row r="959" ht="15" customHeight="1">
      <c r="A959" t="inlineStr">
        <is>
          <t>A 49900-2019</t>
        </is>
      </c>
      <c r="B959" s="1" t="n">
        <v>43733</v>
      </c>
      <c r="C959" s="1" t="n">
        <v>45706</v>
      </c>
      <c r="D959" t="inlineStr">
        <is>
          <t>UPPSALA LÄN</t>
        </is>
      </c>
      <c r="E959" t="inlineStr">
        <is>
          <t>TIERP</t>
        </is>
      </c>
      <c r="G959" t="n">
        <v>0.7</v>
      </c>
      <c r="H959" t="n">
        <v>0</v>
      </c>
      <c r="I959" t="n">
        <v>0</v>
      </c>
      <c r="J959" t="n">
        <v>0</v>
      </c>
      <c r="K959" t="n">
        <v>0</v>
      </c>
      <c r="L959" t="n">
        <v>0</v>
      </c>
      <c r="M959" t="n">
        <v>0</v>
      </c>
      <c r="N959" t="n">
        <v>0</v>
      </c>
      <c r="O959" t="n">
        <v>0</v>
      </c>
      <c r="P959" t="n">
        <v>0</v>
      </c>
      <c r="Q959" t="n">
        <v>0</v>
      </c>
      <c r="R959" s="2" t="inlineStr"/>
    </row>
    <row r="960" ht="15" customHeight="1">
      <c r="A960" t="inlineStr">
        <is>
          <t>A 49941-2019</t>
        </is>
      </c>
      <c r="B960" s="1" t="n">
        <v>43733</v>
      </c>
      <c r="C960" s="1" t="n">
        <v>45706</v>
      </c>
      <c r="D960" t="inlineStr">
        <is>
          <t>UPPSALA LÄN</t>
        </is>
      </c>
      <c r="E960" t="inlineStr">
        <is>
          <t>ENKÖPING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50156-2019</t>
        </is>
      </c>
      <c r="B961" s="1" t="n">
        <v>43734</v>
      </c>
      <c r="C961" s="1" t="n">
        <v>45706</v>
      </c>
      <c r="D961" t="inlineStr">
        <is>
          <t>UPPSALA LÄN</t>
        </is>
      </c>
      <c r="E961" t="inlineStr">
        <is>
          <t>TIERP</t>
        </is>
      </c>
      <c r="G961" t="n">
        <v>3.2</v>
      </c>
      <c r="H961" t="n">
        <v>0</v>
      </c>
      <c r="I961" t="n">
        <v>0</v>
      </c>
      <c r="J961" t="n">
        <v>0</v>
      </c>
      <c r="K961" t="n">
        <v>0</v>
      </c>
      <c r="L961" t="n">
        <v>0</v>
      </c>
      <c r="M961" t="n">
        <v>0</v>
      </c>
      <c r="N961" t="n">
        <v>0</v>
      </c>
      <c r="O961" t="n">
        <v>0</v>
      </c>
      <c r="P961" t="n">
        <v>0</v>
      </c>
      <c r="Q961" t="n">
        <v>0</v>
      </c>
      <c r="R961" s="2" t="inlineStr"/>
    </row>
    <row r="962" ht="15" customHeight="1">
      <c r="A962" t="inlineStr">
        <is>
          <t>A 50348-2019</t>
        </is>
      </c>
      <c r="B962" s="1" t="n">
        <v>43735</v>
      </c>
      <c r="C962" s="1" t="n">
        <v>45706</v>
      </c>
      <c r="D962" t="inlineStr">
        <is>
          <t>UPPSALA LÄN</t>
        </is>
      </c>
      <c r="E962" t="inlineStr">
        <is>
          <t>HEBY</t>
        </is>
      </c>
      <c r="G962" t="n">
        <v>1.9</v>
      </c>
      <c r="H962" t="n">
        <v>0</v>
      </c>
      <c r="I962" t="n">
        <v>0</v>
      </c>
      <c r="J962" t="n">
        <v>0</v>
      </c>
      <c r="K962" t="n">
        <v>0</v>
      </c>
      <c r="L962" t="n">
        <v>0</v>
      </c>
      <c r="M962" t="n">
        <v>0</v>
      </c>
      <c r="N962" t="n">
        <v>0</v>
      </c>
      <c r="O962" t="n">
        <v>0</v>
      </c>
      <c r="P962" t="n">
        <v>0</v>
      </c>
      <c r="Q962" t="n">
        <v>0</v>
      </c>
      <c r="R962" s="2" t="inlineStr"/>
    </row>
    <row r="963" ht="15" customHeight="1">
      <c r="A963" t="inlineStr">
        <is>
          <t>A 50361-2019</t>
        </is>
      </c>
      <c r="B963" s="1" t="n">
        <v>43735</v>
      </c>
      <c r="C963" s="1" t="n">
        <v>45706</v>
      </c>
      <c r="D963" t="inlineStr">
        <is>
          <t>UPPSALA LÄN</t>
        </is>
      </c>
      <c r="E963" t="inlineStr">
        <is>
          <t>HEBY</t>
        </is>
      </c>
      <c r="G963" t="n">
        <v>2.5</v>
      </c>
      <c r="H963" t="n">
        <v>0</v>
      </c>
      <c r="I963" t="n">
        <v>0</v>
      </c>
      <c r="J963" t="n">
        <v>0</v>
      </c>
      <c r="K963" t="n">
        <v>0</v>
      </c>
      <c r="L963" t="n">
        <v>0</v>
      </c>
      <c r="M963" t="n">
        <v>0</v>
      </c>
      <c r="N963" t="n">
        <v>0</v>
      </c>
      <c r="O963" t="n">
        <v>0</v>
      </c>
      <c r="P963" t="n">
        <v>0</v>
      </c>
      <c r="Q963" t="n">
        <v>0</v>
      </c>
      <c r="R963" s="2" t="inlineStr"/>
    </row>
    <row r="964" ht="15" customHeight="1">
      <c r="A964" t="inlineStr">
        <is>
          <t>A 50346-2019</t>
        </is>
      </c>
      <c r="B964" s="1" t="n">
        <v>43735</v>
      </c>
      <c r="C964" s="1" t="n">
        <v>45706</v>
      </c>
      <c r="D964" t="inlineStr">
        <is>
          <t>UPPSALA LÄN</t>
        </is>
      </c>
      <c r="E964" t="inlineStr">
        <is>
          <t>HEBY</t>
        </is>
      </c>
      <c r="G964" t="n">
        <v>2</v>
      </c>
      <c r="H964" t="n">
        <v>0</v>
      </c>
      <c r="I964" t="n">
        <v>0</v>
      </c>
      <c r="J964" t="n">
        <v>0</v>
      </c>
      <c r="K964" t="n">
        <v>0</v>
      </c>
      <c r="L964" t="n">
        <v>0</v>
      </c>
      <c r="M964" t="n">
        <v>0</v>
      </c>
      <c r="N964" t="n">
        <v>0</v>
      </c>
      <c r="O964" t="n">
        <v>0</v>
      </c>
      <c r="P964" t="n">
        <v>0</v>
      </c>
      <c r="Q964" t="n">
        <v>0</v>
      </c>
      <c r="R964" s="2" t="inlineStr"/>
    </row>
    <row r="965" ht="15" customHeight="1">
      <c r="A965" t="inlineStr">
        <is>
          <t>A 50387-2019</t>
        </is>
      </c>
      <c r="B965" s="1" t="n">
        <v>43735</v>
      </c>
      <c r="C965" s="1" t="n">
        <v>45706</v>
      </c>
      <c r="D965" t="inlineStr">
        <is>
          <t>UPPSALA LÄN</t>
        </is>
      </c>
      <c r="E965" t="inlineStr">
        <is>
          <t>UPPSALA</t>
        </is>
      </c>
      <c r="F965" t="inlineStr">
        <is>
          <t>Kyrkan</t>
        </is>
      </c>
      <c r="G965" t="n">
        <v>1</v>
      </c>
      <c r="H965" t="n">
        <v>0</v>
      </c>
      <c r="I965" t="n">
        <v>0</v>
      </c>
      <c r="J965" t="n">
        <v>0</v>
      </c>
      <c r="K965" t="n">
        <v>0</v>
      </c>
      <c r="L965" t="n">
        <v>0</v>
      </c>
      <c r="M965" t="n">
        <v>0</v>
      </c>
      <c r="N965" t="n">
        <v>0</v>
      </c>
      <c r="O965" t="n">
        <v>0</v>
      </c>
      <c r="P965" t="n">
        <v>0</v>
      </c>
      <c r="Q965" t="n">
        <v>0</v>
      </c>
      <c r="R965" s="2" t="inlineStr"/>
    </row>
    <row r="966" ht="15" customHeight="1">
      <c r="A966" t="inlineStr">
        <is>
          <t>A 50415-2019</t>
        </is>
      </c>
      <c r="B966" s="1" t="n">
        <v>43735</v>
      </c>
      <c r="C966" s="1" t="n">
        <v>45706</v>
      </c>
      <c r="D966" t="inlineStr">
        <is>
          <t>UPPSALA LÄN</t>
        </is>
      </c>
      <c r="E966" t="inlineStr">
        <is>
          <t>UPPSALA</t>
        </is>
      </c>
      <c r="F966" t="inlineStr">
        <is>
          <t>Kyrkan</t>
        </is>
      </c>
      <c r="G966" t="n">
        <v>13.6</v>
      </c>
      <c r="H966" t="n">
        <v>0</v>
      </c>
      <c r="I966" t="n">
        <v>0</v>
      </c>
      <c r="J966" t="n">
        <v>0</v>
      </c>
      <c r="K966" t="n">
        <v>0</v>
      </c>
      <c r="L966" t="n">
        <v>0</v>
      </c>
      <c r="M966" t="n">
        <v>0</v>
      </c>
      <c r="N966" t="n">
        <v>0</v>
      </c>
      <c r="O966" t="n">
        <v>0</v>
      </c>
      <c r="P966" t="n">
        <v>0</v>
      </c>
      <c r="Q966" t="n">
        <v>0</v>
      </c>
      <c r="R966" s="2" t="inlineStr"/>
    </row>
    <row r="967" ht="15" customHeight="1">
      <c r="A967" t="inlineStr">
        <is>
          <t>A 50616-2019</t>
        </is>
      </c>
      <c r="B967" s="1" t="n">
        <v>43736</v>
      </c>
      <c r="C967" s="1" t="n">
        <v>45706</v>
      </c>
      <c r="D967" t="inlineStr">
        <is>
          <t>UPPSALA LÄN</t>
        </is>
      </c>
      <c r="E967" t="inlineStr">
        <is>
          <t>UPPSALA</t>
        </is>
      </c>
      <c r="G967" t="n">
        <v>4.8</v>
      </c>
      <c r="H967" t="n">
        <v>0</v>
      </c>
      <c r="I967" t="n">
        <v>0</v>
      </c>
      <c r="J967" t="n">
        <v>0</v>
      </c>
      <c r="K967" t="n">
        <v>0</v>
      </c>
      <c r="L967" t="n">
        <v>0</v>
      </c>
      <c r="M967" t="n">
        <v>0</v>
      </c>
      <c r="N967" t="n">
        <v>0</v>
      </c>
      <c r="O967" t="n">
        <v>0</v>
      </c>
      <c r="P967" t="n">
        <v>0</v>
      </c>
      <c r="Q967" t="n">
        <v>0</v>
      </c>
      <c r="R967" s="2" t="inlineStr"/>
    </row>
    <row r="968" ht="15" customHeight="1">
      <c r="A968" t="inlineStr">
        <is>
          <t>A 50785-2019</t>
        </is>
      </c>
      <c r="B968" s="1" t="n">
        <v>43737</v>
      </c>
      <c r="C968" s="1" t="n">
        <v>45706</v>
      </c>
      <c r="D968" t="inlineStr">
        <is>
          <t>UPPSALA LÄN</t>
        </is>
      </c>
      <c r="E968" t="inlineStr">
        <is>
          <t>HEBY</t>
        </is>
      </c>
      <c r="G968" t="n">
        <v>2</v>
      </c>
      <c r="H968" t="n">
        <v>0</v>
      </c>
      <c r="I968" t="n">
        <v>0</v>
      </c>
      <c r="J968" t="n">
        <v>0</v>
      </c>
      <c r="K968" t="n">
        <v>0</v>
      </c>
      <c r="L968" t="n">
        <v>0</v>
      </c>
      <c r="M968" t="n">
        <v>0</v>
      </c>
      <c r="N968" t="n">
        <v>0</v>
      </c>
      <c r="O968" t="n">
        <v>0</v>
      </c>
      <c r="P968" t="n">
        <v>0</v>
      </c>
      <c r="Q968" t="n">
        <v>0</v>
      </c>
      <c r="R968" s="2" t="inlineStr"/>
    </row>
    <row r="969" ht="15" customHeight="1">
      <c r="A969" t="inlineStr">
        <is>
          <t>A 50858-2019</t>
        </is>
      </c>
      <c r="B969" s="1" t="n">
        <v>43738</v>
      </c>
      <c r="C969" s="1" t="n">
        <v>45706</v>
      </c>
      <c r="D969" t="inlineStr">
        <is>
          <t>UPPSALA LÄN</t>
        </is>
      </c>
      <c r="E969" t="inlineStr">
        <is>
          <t>TIERP</t>
        </is>
      </c>
      <c r="G969" t="n">
        <v>1.6</v>
      </c>
      <c r="H969" t="n">
        <v>0</v>
      </c>
      <c r="I969" t="n">
        <v>0</v>
      </c>
      <c r="J969" t="n">
        <v>0</v>
      </c>
      <c r="K969" t="n">
        <v>0</v>
      </c>
      <c r="L969" t="n">
        <v>0</v>
      </c>
      <c r="M969" t="n">
        <v>0</v>
      </c>
      <c r="N969" t="n">
        <v>0</v>
      </c>
      <c r="O969" t="n">
        <v>0</v>
      </c>
      <c r="P969" t="n">
        <v>0</v>
      </c>
      <c r="Q969" t="n">
        <v>0</v>
      </c>
      <c r="R969" s="2" t="inlineStr"/>
    </row>
    <row r="970" ht="15" customHeight="1">
      <c r="A970" t="inlineStr">
        <is>
          <t>A 50893-2019</t>
        </is>
      </c>
      <c r="B970" s="1" t="n">
        <v>43738</v>
      </c>
      <c r="C970" s="1" t="n">
        <v>45706</v>
      </c>
      <c r="D970" t="inlineStr">
        <is>
          <t>UPPSALA LÄN</t>
        </is>
      </c>
      <c r="E970" t="inlineStr">
        <is>
          <t>ENKÖPING</t>
        </is>
      </c>
      <c r="G970" t="n">
        <v>4.3</v>
      </c>
      <c r="H970" t="n">
        <v>0</v>
      </c>
      <c r="I970" t="n">
        <v>0</v>
      </c>
      <c r="J970" t="n">
        <v>0</v>
      </c>
      <c r="K970" t="n">
        <v>0</v>
      </c>
      <c r="L970" t="n">
        <v>0</v>
      </c>
      <c r="M970" t="n">
        <v>0</v>
      </c>
      <c r="N970" t="n">
        <v>0</v>
      </c>
      <c r="O970" t="n">
        <v>0</v>
      </c>
      <c r="P970" t="n">
        <v>0</v>
      </c>
      <c r="Q970" t="n">
        <v>0</v>
      </c>
      <c r="R970" s="2" t="inlineStr"/>
    </row>
    <row r="971" ht="15" customHeight="1">
      <c r="A971" t="inlineStr">
        <is>
          <t>A 50688-2019</t>
        </is>
      </c>
      <c r="B971" s="1" t="n">
        <v>43738</v>
      </c>
      <c r="C971" s="1" t="n">
        <v>45706</v>
      </c>
      <c r="D971" t="inlineStr">
        <is>
          <t>UPPSALA LÄN</t>
        </is>
      </c>
      <c r="E971" t="inlineStr">
        <is>
          <t>HEBY</t>
        </is>
      </c>
      <c r="G971" t="n">
        <v>0.8</v>
      </c>
      <c r="H971" t="n">
        <v>0</v>
      </c>
      <c r="I971" t="n">
        <v>0</v>
      </c>
      <c r="J971" t="n">
        <v>0</v>
      </c>
      <c r="K971" t="n">
        <v>0</v>
      </c>
      <c r="L971" t="n">
        <v>0</v>
      </c>
      <c r="M971" t="n">
        <v>0</v>
      </c>
      <c r="N971" t="n">
        <v>0</v>
      </c>
      <c r="O971" t="n">
        <v>0</v>
      </c>
      <c r="P971" t="n">
        <v>0</v>
      </c>
      <c r="Q971" t="n">
        <v>0</v>
      </c>
      <c r="R971" s="2" t="inlineStr"/>
    </row>
    <row r="972" ht="15" customHeight="1">
      <c r="A972" t="inlineStr">
        <is>
          <t>A 52516-2019</t>
        </is>
      </c>
      <c r="B972" s="1" t="n">
        <v>43738</v>
      </c>
      <c r="C972" s="1" t="n">
        <v>45706</v>
      </c>
      <c r="D972" t="inlineStr">
        <is>
          <t>UPPSALA LÄN</t>
        </is>
      </c>
      <c r="E972" t="inlineStr">
        <is>
          <t>ENKÖPING</t>
        </is>
      </c>
      <c r="G972" t="n">
        <v>1.7</v>
      </c>
      <c r="H972" t="n">
        <v>0</v>
      </c>
      <c r="I972" t="n">
        <v>0</v>
      </c>
      <c r="J972" t="n">
        <v>0</v>
      </c>
      <c r="K972" t="n">
        <v>0</v>
      </c>
      <c r="L972" t="n">
        <v>0</v>
      </c>
      <c r="M972" t="n">
        <v>0</v>
      </c>
      <c r="N972" t="n">
        <v>0</v>
      </c>
      <c r="O972" t="n">
        <v>0</v>
      </c>
      <c r="P972" t="n">
        <v>0</v>
      </c>
      <c r="Q972" t="n">
        <v>0</v>
      </c>
      <c r="R972" s="2" t="inlineStr"/>
    </row>
    <row r="973" ht="15" customHeight="1">
      <c r="A973" t="inlineStr">
        <is>
          <t>A 51025-2019</t>
        </is>
      </c>
      <c r="B973" s="1" t="n">
        <v>43739</v>
      </c>
      <c r="C973" s="1" t="n">
        <v>45706</v>
      </c>
      <c r="D973" t="inlineStr">
        <is>
          <t>UPPSALA LÄN</t>
        </is>
      </c>
      <c r="E973" t="inlineStr">
        <is>
          <t>ÖSTHAMMAR</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51488-2019</t>
        </is>
      </c>
      <c r="B974" s="1" t="n">
        <v>43740</v>
      </c>
      <c r="C974" s="1" t="n">
        <v>45706</v>
      </c>
      <c r="D974" t="inlineStr">
        <is>
          <t>UPPSALA LÄN</t>
        </is>
      </c>
      <c r="E974" t="inlineStr">
        <is>
          <t>TIERP</t>
        </is>
      </c>
      <c r="G974" t="n">
        <v>0.6</v>
      </c>
      <c r="H974" t="n">
        <v>0</v>
      </c>
      <c r="I974" t="n">
        <v>0</v>
      </c>
      <c r="J974" t="n">
        <v>0</v>
      </c>
      <c r="K974" t="n">
        <v>0</v>
      </c>
      <c r="L974" t="n">
        <v>0</v>
      </c>
      <c r="M974" t="n">
        <v>0</v>
      </c>
      <c r="N974" t="n">
        <v>0</v>
      </c>
      <c r="O974" t="n">
        <v>0</v>
      </c>
      <c r="P974" t="n">
        <v>0</v>
      </c>
      <c r="Q974" t="n">
        <v>0</v>
      </c>
      <c r="R974" s="2" t="inlineStr"/>
    </row>
    <row r="975" ht="15" customHeight="1">
      <c r="A975" t="inlineStr">
        <is>
          <t>A 53320-2019</t>
        </is>
      </c>
      <c r="B975" s="1" t="n">
        <v>43740</v>
      </c>
      <c r="C975" s="1" t="n">
        <v>45706</v>
      </c>
      <c r="D975" t="inlineStr">
        <is>
          <t>UPPSALA LÄN</t>
        </is>
      </c>
      <c r="E975" t="inlineStr">
        <is>
          <t>HEBY</t>
        </is>
      </c>
      <c r="G975" t="n">
        <v>1</v>
      </c>
      <c r="H975" t="n">
        <v>0</v>
      </c>
      <c r="I975" t="n">
        <v>0</v>
      </c>
      <c r="J975" t="n">
        <v>0</v>
      </c>
      <c r="K975" t="n">
        <v>0</v>
      </c>
      <c r="L975" t="n">
        <v>0</v>
      </c>
      <c r="M975" t="n">
        <v>0</v>
      </c>
      <c r="N975" t="n">
        <v>0</v>
      </c>
      <c r="O975" t="n">
        <v>0</v>
      </c>
      <c r="P975" t="n">
        <v>0</v>
      </c>
      <c r="Q975" t="n">
        <v>0</v>
      </c>
      <c r="R975" s="2" t="inlineStr"/>
    </row>
    <row r="976" ht="15" customHeight="1">
      <c r="A976" t="inlineStr">
        <is>
          <t>A 51862-2019</t>
        </is>
      </c>
      <c r="B976" s="1" t="n">
        <v>43741</v>
      </c>
      <c r="C976" s="1" t="n">
        <v>45706</v>
      </c>
      <c r="D976" t="inlineStr">
        <is>
          <t>UPPSALA LÄN</t>
        </is>
      </c>
      <c r="E976" t="inlineStr">
        <is>
          <t>HEBY</t>
        </is>
      </c>
      <c r="G976" t="n">
        <v>3.4</v>
      </c>
      <c r="H976" t="n">
        <v>0</v>
      </c>
      <c r="I976" t="n">
        <v>0</v>
      </c>
      <c r="J976" t="n">
        <v>0</v>
      </c>
      <c r="K976" t="n">
        <v>0</v>
      </c>
      <c r="L976" t="n">
        <v>0</v>
      </c>
      <c r="M976" t="n">
        <v>0</v>
      </c>
      <c r="N976" t="n">
        <v>0</v>
      </c>
      <c r="O976" t="n">
        <v>0</v>
      </c>
      <c r="P976" t="n">
        <v>0</v>
      </c>
      <c r="Q976" t="n">
        <v>0</v>
      </c>
      <c r="R976" s="2" t="inlineStr"/>
    </row>
    <row r="977" ht="15" customHeight="1">
      <c r="A977" t="inlineStr">
        <is>
          <t>A 51782-2019</t>
        </is>
      </c>
      <c r="B977" s="1" t="n">
        <v>43741</v>
      </c>
      <c r="C977" s="1" t="n">
        <v>45706</v>
      </c>
      <c r="D977" t="inlineStr">
        <is>
          <t>UPPSALA LÄN</t>
        </is>
      </c>
      <c r="E977" t="inlineStr">
        <is>
          <t>ENKÖPING</t>
        </is>
      </c>
      <c r="G977" t="n">
        <v>2.5</v>
      </c>
      <c r="H977" t="n">
        <v>0</v>
      </c>
      <c r="I977" t="n">
        <v>0</v>
      </c>
      <c r="J977" t="n">
        <v>0</v>
      </c>
      <c r="K977" t="n">
        <v>0</v>
      </c>
      <c r="L977" t="n">
        <v>0</v>
      </c>
      <c r="M977" t="n">
        <v>0</v>
      </c>
      <c r="N977" t="n">
        <v>0</v>
      </c>
      <c r="O977" t="n">
        <v>0</v>
      </c>
      <c r="P977" t="n">
        <v>0</v>
      </c>
      <c r="Q977" t="n">
        <v>0</v>
      </c>
      <c r="R977" s="2" t="inlineStr"/>
    </row>
    <row r="978" ht="15" customHeight="1">
      <c r="A978" t="inlineStr">
        <is>
          <t>A 51796-2019</t>
        </is>
      </c>
      <c r="B978" s="1" t="n">
        <v>43741</v>
      </c>
      <c r="C978" s="1" t="n">
        <v>45706</v>
      </c>
      <c r="D978" t="inlineStr">
        <is>
          <t>UPPSALA LÄN</t>
        </is>
      </c>
      <c r="E978" t="inlineStr">
        <is>
          <t>TIERP</t>
        </is>
      </c>
      <c r="G978" t="n">
        <v>3.1</v>
      </c>
      <c r="H978" t="n">
        <v>0</v>
      </c>
      <c r="I978" t="n">
        <v>0</v>
      </c>
      <c r="J978" t="n">
        <v>0</v>
      </c>
      <c r="K978" t="n">
        <v>0</v>
      </c>
      <c r="L978" t="n">
        <v>0</v>
      </c>
      <c r="M978" t="n">
        <v>0</v>
      </c>
      <c r="N978" t="n">
        <v>0</v>
      </c>
      <c r="O978" t="n">
        <v>0</v>
      </c>
      <c r="P978" t="n">
        <v>0</v>
      </c>
      <c r="Q978" t="n">
        <v>0</v>
      </c>
      <c r="R978" s="2" t="inlineStr"/>
    </row>
    <row r="979" ht="15" customHeight="1">
      <c r="A979" t="inlineStr">
        <is>
          <t>A 51802-2019</t>
        </is>
      </c>
      <c r="B979" s="1" t="n">
        <v>43741</v>
      </c>
      <c r="C979" s="1" t="n">
        <v>45706</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51836-2019</t>
        </is>
      </c>
      <c r="B980" s="1" t="n">
        <v>43741</v>
      </c>
      <c r="C980" s="1" t="n">
        <v>45706</v>
      </c>
      <c r="D980" t="inlineStr">
        <is>
          <t>UPPSALA LÄN</t>
        </is>
      </c>
      <c r="E980" t="inlineStr">
        <is>
          <t>ENKÖPING</t>
        </is>
      </c>
      <c r="G980" t="n">
        <v>0.8</v>
      </c>
      <c r="H980" t="n">
        <v>0</v>
      </c>
      <c r="I980" t="n">
        <v>0</v>
      </c>
      <c r="J980" t="n">
        <v>0</v>
      </c>
      <c r="K980" t="n">
        <v>0</v>
      </c>
      <c r="L980" t="n">
        <v>0</v>
      </c>
      <c r="M980" t="n">
        <v>0</v>
      </c>
      <c r="N980" t="n">
        <v>0</v>
      </c>
      <c r="O980" t="n">
        <v>0</v>
      </c>
      <c r="P980" t="n">
        <v>0</v>
      </c>
      <c r="Q980" t="n">
        <v>0</v>
      </c>
      <c r="R980" s="2" t="inlineStr"/>
    </row>
    <row r="981" ht="15" customHeight="1">
      <c r="A981" t="inlineStr">
        <is>
          <t>A 51805-2019</t>
        </is>
      </c>
      <c r="B981" s="1" t="n">
        <v>43741</v>
      </c>
      <c r="C981" s="1" t="n">
        <v>45706</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51905-2019</t>
        </is>
      </c>
      <c r="B982" s="1" t="n">
        <v>43741</v>
      </c>
      <c r="C982" s="1" t="n">
        <v>45706</v>
      </c>
      <c r="D982" t="inlineStr">
        <is>
          <t>UPPSALA LÄN</t>
        </is>
      </c>
      <c r="E982" t="inlineStr">
        <is>
          <t>ENKÖPING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51912-2019</t>
        </is>
      </c>
      <c r="B983" s="1" t="n">
        <v>43741</v>
      </c>
      <c r="C983" s="1" t="n">
        <v>45706</v>
      </c>
      <c r="D983" t="inlineStr">
        <is>
          <t>UPPSALA LÄN</t>
        </is>
      </c>
      <c r="E983" t="inlineStr">
        <is>
          <t>ENKÖPING</t>
        </is>
      </c>
      <c r="G983" t="n">
        <v>3</v>
      </c>
      <c r="H983" t="n">
        <v>0</v>
      </c>
      <c r="I983" t="n">
        <v>0</v>
      </c>
      <c r="J983" t="n">
        <v>0</v>
      </c>
      <c r="K983" t="n">
        <v>0</v>
      </c>
      <c r="L983" t="n">
        <v>0</v>
      </c>
      <c r="M983" t="n">
        <v>0</v>
      </c>
      <c r="N983" t="n">
        <v>0</v>
      </c>
      <c r="O983" t="n">
        <v>0</v>
      </c>
      <c r="P983" t="n">
        <v>0</v>
      </c>
      <c r="Q983" t="n">
        <v>0</v>
      </c>
      <c r="R983" s="2" t="inlineStr"/>
    </row>
    <row r="984" ht="15" customHeight="1">
      <c r="A984" t="inlineStr">
        <is>
          <t>A 52187-2019</t>
        </is>
      </c>
      <c r="B984" s="1" t="n">
        <v>43742</v>
      </c>
      <c r="C984" s="1" t="n">
        <v>45706</v>
      </c>
      <c r="D984" t="inlineStr">
        <is>
          <t>UPPSALA LÄN</t>
        </is>
      </c>
      <c r="E984" t="inlineStr">
        <is>
          <t>HEBY</t>
        </is>
      </c>
      <c r="G984" t="n">
        <v>2.9</v>
      </c>
      <c r="H984" t="n">
        <v>0</v>
      </c>
      <c r="I984" t="n">
        <v>0</v>
      </c>
      <c r="J984" t="n">
        <v>0</v>
      </c>
      <c r="K984" t="n">
        <v>0</v>
      </c>
      <c r="L984" t="n">
        <v>0</v>
      </c>
      <c r="M984" t="n">
        <v>0</v>
      </c>
      <c r="N984" t="n">
        <v>0</v>
      </c>
      <c r="O984" t="n">
        <v>0</v>
      </c>
      <c r="P984" t="n">
        <v>0</v>
      </c>
      <c r="Q984" t="n">
        <v>0</v>
      </c>
      <c r="R984" s="2" t="inlineStr"/>
    </row>
    <row r="985" ht="15" customHeight="1">
      <c r="A985" t="inlineStr">
        <is>
          <t>A 52386-2019</t>
        </is>
      </c>
      <c r="B985" s="1" t="n">
        <v>43745</v>
      </c>
      <c r="C985" s="1" t="n">
        <v>45706</v>
      </c>
      <c r="D985" t="inlineStr">
        <is>
          <t>UPPSALA LÄN</t>
        </is>
      </c>
      <c r="E985" t="inlineStr">
        <is>
          <t>UPPSALA</t>
        </is>
      </c>
      <c r="G985" t="n">
        <v>15.7</v>
      </c>
      <c r="H985" t="n">
        <v>0</v>
      </c>
      <c r="I985" t="n">
        <v>0</v>
      </c>
      <c r="J985" t="n">
        <v>0</v>
      </c>
      <c r="K985" t="n">
        <v>0</v>
      </c>
      <c r="L985" t="n">
        <v>0</v>
      </c>
      <c r="M985" t="n">
        <v>0</v>
      </c>
      <c r="N985" t="n">
        <v>0</v>
      </c>
      <c r="O985" t="n">
        <v>0</v>
      </c>
      <c r="P985" t="n">
        <v>0</v>
      </c>
      <c r="Q985" t="n">
        <v>0</v>
      </c>
      <c r="R985" s="2" t="inlineStr"/>
    </row>
    <row r="986" ht="15" customHeight="1">
      <c r="A986" t="inlineStr">
        <is>
          <t>A 52524-2019</t>
        </is>
      </c>
      <c r="B986" s="1" t="n">
        <v>43745</v>
      </c>
      <c r="C986" s="1" t="n">
        <v>45706</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52394-2019</t>
        </is>
      </c>
      <c r="B987" s="1" t="n">
        <v>43745</v>
      </c>
      <c r="C987" s="1" t="n">
        <v>45706</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52419-2019</t>
        </is>
      </c>
      <c r="B988" s="1" t="n">
        <v>43745</v>
      </c>
      <c r="C988" s="1" t="n">
        <v>45706</v>
      </c>
      <c r="D988" t="inlineStr">
        <is>
          <t>UPPSALA LÄN</t>
        </is>
      </c>
      <c r="E988" t="inlineStr">
        <is>
          <t>UPPSALA</t>
        </is>
      </c>
      <c r="F988" t="inlineStr">
        <is>
          <t>Allmännings- och besparingsskogar</t>
        </is>
      </c>
      <c r="G988" t="n">
        <v>5.3</v>
      </c>
      <c r="H988" t="n">
        <v>0</v>
      </c>
      <c r="I988" t="n">
        <v>0</v>
      </c>
      <c r="J988" t="n">
        <v>0</v>
      </c>
      <c r="K988" t="n">
        <v>0</v>
      </c>
      <c r="L988" t="n">
        <v>0</v>
      </c>
      <c r="M988" t="n">
        <v>0</v>
      </c>
      <c r="N988" t="n">
        <v>0</v>
      </c>
      <c r="O988" t="n">
        <v>0</v>
      </c>
      <c r="P988" t="n">
        <v>0</v>
      </c>
      <c r="Q988" t="n">
        <v>0</v>
      </c>
      <c r="R988" s="2" t="inlineStr"/>
    </row>
    <row r="989" ht="15" customHeight="1">
      <c r="A989" t="inlineStr">
        <is>
          <t>A 54280-2019</t>
        </is>
      </c>
      <c r="B989" s="1" t="n">
        <v>43745</v>
      </c>
      <c r="C989" s="1" t="n">
        <v>45706</v>
      </c>
      <c r="D989" t="inlineStr">
        <is>
          <t>UPPSALA LÄN</t>
        </is>
      </c>
      <c r="E989" t="inlineStr">
        <is>
          <t>HEBY</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54258-2019</t>
        </is>
      </c>
      <c r="B990" s="1" t="n">
        <v>43745</v>
      </c>
      <c r="C990" s="1" t="n">
        <v>45706</v>
      </c>
      <c r="D990" t="inlineStr">
        <is>
          <t>UPPSALA LÄN</t>
        </is>
      </c>
      <c r="E990" t="inlineStr">
        <is>
          <t>HEBY</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52726-2019</t>
        </is>
      </c>
      <c r="B991" s="1" t="n">
        <v>43746</v>
      </c>
      <c r="C991" s="1" t="n">
        <v>45706</v>
      </c>
      <c r="D991" t="inlineStr">
        <is>
          <t>UPPSALA LÄN</t>
        </is>
      </c>
      <c r="E991" t="inlineStr">
        <is>
          <t>ENKÖPING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52831-2019</t>
        </is>
      </c>
      <c r="B992" s="1" t="n">
        <v>43746</v>
      </c>
      <c r="C992" s="1" t="n">
        <v>45706</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52955-2019</t>
        </is>
      </c>
      <c r="B993" s="1" t="n">
        <v>43747</v>
      </c>
      <c r="C993" s="1" t="n">
        <v>45706</v>
      </c>
      <c r="D993" t="inlineStr">
        <is>
          <t>UPPSALA LÄN</t>
        </is>
      </c>
      <c r="E993" t="inlineStr">
        <is>
          <t>TIERP</t>
        </is>
      </c>
      <c r="G993" t="n">
        <v>1.1</v>
      </c>
      <c r="H993" t="n">
        <v>0</v>
      </c>
      <c r="I993" t="n">
        <v>0</v>
      </c>
      <c r="J993" t="n">
        <v>0</v>
      </c>
      <c r="K993" t="n">
        <v>0</v>
      </c>
      <c r="L993" t="n">
        <v>0</v>
      </c>
      <c r="M993" t="n">
        <v>0</v>
      </c>
      <c r="N993" t="n">
        <v>0</v>
      </c>
      <c r="O993" t="n">
        <v>0</v>
      </c>
      <c r="P993" t="n">
        <v>0</v>
      </c>
      <c r="Q993" t="n">
        <v>0</v>
      </c>
      <c r="R993" s="2" t="inlineStr"/>
    </row>
    <row r="994" ht="15" customHeight="1">
      <c r="A994" t="inlineStr">
        <is>
          <t>A 52950-2019</t>
        </is>
      </c>
      <c r="B994" s="1" t="n">
        <v>43747</v>
      </c>
      <c r="C994" s="1" t="n">
        <v>45706</v>
      </c>
      <c r="D994" t="inlineStr">
        <is>
          <t>UPPSALA LÄN</t>
        </is>
      </c>
      <c r="E994" t="inlineStr">
        <is>
          <t>UPPSALA</t>
        </is>
      </c>
      <c r="G994" t="n">
        <v>0.2</v>
      </c>
      <c r="H994" t="n">
        <v>0</v>
      </c>
      <c r="I994" t="n">
        <v>0</v>
      </c>
      <c r="J994" t="n">
        <v>0</v>
      </c>
      <c r="K994" t="n">
        <v>0</v>
      </c>
      <c r="L994" t="n">
        <v>0</v>
      </c>
      <c r="M994" t="n">
        <v>0</v>
      </c>
      <c r="N994" t="n">
        <v>0</v>
      </c>
      <c r="O994" t="n">
        <v>0</v>
      </c>
      <c r="P994" t="n">
        <v>0</v>
      </c>
      <c r="Q994" t="n">
        <v>0</v>
      </c>
      <c r="R994" s="2" t="inlineStr"/>
    </row>
    <row r="995" ht="15" customHeight="1">
      <c r="A995" t="inlineStr">
        <is>
          <t>A 53303-2019</t>
        </is>
      </c>
      <c r="B995" s="1" t="n">
        <v>43747</v>
      </c>
      <c r="C995" s="1" t="n">
        <v>45706</v>
      </c>
      <c r="D995" t="inlineStr">
        <is>
          <t>UPPSALA LÄN</t>
        </is>
      </c>
      <c r="E995" t="inlineStr">
        <is>
          <t>UPPSALA</t>
        </is>
      </c>
      <c r="F995" t="inlineStr">
        <is>
          <t>Allmännings- och besparingsskogar</t>
        </is>
      </c>
      <c r="G995" t="n">
        <v>17.5</v>
      </c>
      <c r="H995" t="n">
        <v>0</v>
      </c>
      <c r="I995" t="n">
        <v>0</v>
      </c>
      <c r="J995" t="n">
        <v>0</v>
      </c>
      <c r="K995" t="n">
        <v>0</v>
      </c>
      <c r="L995" t="n">
        <v>0</v>
      </c>
      <c r="M995" t="n">
        <v>0</v>
      </c>
      <c r="N995" t="n">
        <v>0</v>
      </c>
      <c r="O995" t="n">
        <v>0</v>
      </c>
      <c r="P995" t="n">
        <v>0</v>
      </c>
      <c r="Q995" t="n">
        <v>0</v>
      </c>
      <c r="R995" s="2" t="inlineStr"/>
    </row>
    <row r="996" ht="15" customHeight="1">
      <c r="A996" t="inlineStr">
        <is>
          <t>A 54479-2019</t>
        </is>
      </c>
      <c r="B996" s="1" t="n">
        <v>43747</v>
      </c>
      <c r="C996" s="1" t="n">
        <v>45706</v>
      </c>
      <c r="D996" t="inlineStr">
        <is>
          <t>UPPSALA LÄN</t>
        </is>
      </c>
      <c r="E996" t="inlineStr">
        <is>
          <t>HEBY</t>
        </is>
      </c>
      <c r="F996" t="inlineStr">
        <is>
          <t>Bergvik skog väst AB</t>
        </is>
      </c>
      <c r="G996" t="n">
        <v>7.4</v>
      </c>
      <c r="H996" t="n">
        <v>0</v>
      </c>
      <c r="I996" t="n">
        <v>0</v>
      </c>
      <c r="J996" t="n">
        <v>0</v>
      </c>
      <c r="K996" t="n">
        <v>0</v>
      </c>
      <c r="L996" t="n">
        <v>0</v>
      </c>
      <c r="M996" t="n">
        <v>0</v>
      </c>
      <c r="N996" t="n">
        <v>0</v>
      </c>
      <c r="O996" t="n">
        <v>0</v>
      </c>
      <c r="P996" t="n">
        <v>0</v>
      </c>
      <c r="Q996" t="n">
        <v>0</v>
      </c>
      <c r="R996" s="2" t="inlineStr"/>
    </row>
    <row r="997" ht="15" customHeight="1">
      <c r="A997" t="inlineStr">
        <is>
          <t>A 53316-2019</t>
        </is>
      </c>
      <c r="B997" s="1" t="n">
        <v>43748</v>
      </c>
      <c r="C997" s="1" t="n">
        <v>45706</v>
      </c>
      <c r="D997" t="inlineStr">
        <is>
          <t>UPPSALA LÄN</t>
        </is>
      </c>
      <c r="E997" t="inlineStr">
        <is>
          <t>UPPSALA</t>
        </is>
      </c>
      <c r="G997" t="n">
        <v>2.3</v>
      </c>
      <c r="H997" t="n">
        <v>0</v>
      </c>
      <c r="I997" t="n">
        <v>0</v>
      </c>
      <c r="J997" t="n">
        <v>0</v>
      </c>
      <c r="K997" t="n">
        <v>0</v>
      </c>
      <c r="L997" t="n">
        <v>0</v>
      </c>
      <c r="M997" t="n">
        <v>0</v>
      </c>
      <c r="N997" t="n">
        <v>0</v>
      </c>
      <c r="O997" t="n">
        <v>0</v>
      </c>
      <c r="P997" t="n">
        <v>0</v>
      </c>
      <c r="Q997" t="n">
        <v>0</v>
      </c>
      <c r="R997" s="2" t="inlineStr"/>
    </row>
    <row r="998" ht="15" customHeight="1">
      <c r="A998" t="inlineStr">
        <is>
          <t>A 53442-2019</t>
        </is>
      </c>
      <c r="B998" s="1" t="n">
        <v>43748</v>
      </c>
      <c r="C998" s="1" t="n">
        <v>45706</v>
      </c>
      <c r="D998" t="inlineStr">
        <is>
          <t>UPPSALA LÄN</t>
        </is>
      </c>
      <c r="E998" t="inlineStr">
        <is>
          <t>ÖSTHAMMAR</t>
        </is>
      </c>
      <c r="F998" t="inlineStr">
        <is>
          <t>Bergvik skog öst AB</t>
        </is>
      </c>
      <c r="G998" t="n">
        <v>1.9</v>
      </c>
      <c r="H998" t="n">
        <v>0</v>
      </c>
      <c r="I998" t="n">
        <v>0</v>
      </c>
      <c r="J998" t="n">
        <v>0</v>
      </c>
      <c r="K998" t="n">
        <v>0</v>
      </c>
      <c r="L998" t="n">
        <v>0</v>
      </c>
      <c r="M998" t="n">
        <v>0</v>
      </c>
      <c r="N998" t="n">
        <v>0</v>
      </c>
      <c r="O998" t="n">
        <v>0</v>
      </c>
      <c r="P998" t="n">
        <v>0</v>
      </c>
      <c r="Q998" t="n">
        <v>0</v>
      </c>
      <c r="R998" s="2" t="inlineStr"/>
    </row>
    <row r="999" ht="15" customHeight="1">
      <c r="A999" t="inlineStr">
        <is>
          <t>A 53733-2019</t>
        </is>
      </c>
      <c r="B999" s="1" t="n">
        <v>43749</v>
      </c>
      <c r="C999" s="1" t="n">
        <v>45706</v>
      </c>
      <c r="D999" t="inlineStr">
        <is>
          <t>UPPSALA LÄN</t>
        </is>
      </c>
      <c r="E999" t="inlineStr">
        <is>
          <t>HEBY</t>
        </is>
      </c>
      <c r="G999" t="n">
        <v>4.9</v>
      </c>
      <c r="H999" t="n">
        <v>0</v>
      </c>
      <c r="I999" t="n">
        <v>0</v>
      </c>
      <c r="J999" t="n">
        <v>0</v>
      </c>
      <c r="K999" t="n">
        <v>0</v>
      </c>
      <c r="L999" t="n">
        <v>0</v>
      </c>
      <c r="M999" t="n">
        <v>0</v>
      </c>
      <c r="N999" t="n">
        <v>0</v>
      </c>
      <c r="O999" t="n">
        <v>0</v>
      </c>
      <c r="P999" t="n">
        <v>0</v>
      </c>
      <c r="Q999" t="n">
        <v>0</v>
      </c>
      <c r="R999" s="2" t="inlineStr"/>
    </row>
    <row r="1000" ht="15" customHeight="1">
      <c r="A1000" t="inlineStr">
        <is>
          <t>A 53738-2019</t>
        </is>
      </c>
      <c r="B1000" s="1" t="n">
        <v>43749</v>
      </c>
      <c r="C1000" s="1" t="n">
        <v>45706</v>
      </c>
      <c r="D1000" t="inlineStr">
        <is>
          <t>UPPSALA LÄN</t>
        </is>
      </c>
      <c r="E1000" t="inlineStr">
        <is>
          <t>HEBY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53840-2019</t>
        </is>
      </c>
      <c r="B1001" s="1" t="n">
        <v>43752</v>
      </c>
      <c r="C1001" s="1" t="n">
        <v>45706</v>
      </c>
      <c r="D1001" t="inlineStr">
        <is>
          <t>UPPSALA LÄN</t>
        </is>
      </c>
      <c r="E1001" t="inlineStr">
        <is>
          <t>ENKÖPING</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55369-2019</t>
        </is>
      </c>
      <c r="B1002" s="1" t="n">
        <v>43754</v>
      </c>
      <c r="C1002" s="1" t="n">
        <v>45706</v>
      </c>
      <c r="D1002" t="inlineStr">
        <is>
          <t>UPPSALA LÄN</t>
        </is>
      </c>
      <c r="E1002" t="inlineStr">
        <is>
          <t>HEBY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54757-2019</t>
        </is>
      </c>
      <c r="B1003" s="1" t="n">
        <v>43755</v>
      </c>
      <c r="C1003" s="1" t="n">
        <v>45706</v>
      </c>
      <c r="D1003" t="inlineStr">
        <is>
          <t>UPPSALA LÄN</t>
        </is>
      </c>
      <c r="E1003" t="inlineStr">
        <is>
          <t>UPPSALA</t>
        </is>
      </c>
      <c r="F1003" t="inlineStr">
        <is>
          <t>Övriga statliga verk och myndigheter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55382-2019</t>
        </is>
      </c>
      <c r="B1004" s="1" t="n">
        <v>43755</v>
      </c>
      <c r="C1004" s="1" t="n">
        <v>45706</v>
      </c>
      <c r="D1004" t="inlineStr">
        <is>
          <t>UPPSALA LÄN</t>
        </is>
      </c>
      <c r="E1004" t="inlineStr">
        <is>
          <t>ÖSTHAMMAR</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55170-2019</t>
        </is>
      </c>
      <c r="B1005" s="1" t="n">
        <v>43756</v>
      </c>
      <c r="C1005" s="1" t="n">
        <v>45706</v>
      </c>
      <c r="D1005" t="inlineStr">
        <is>
          <t>UPPSALA LÄN</t>
        </is>
      </c>
      <c r="E1005" t="inlineStr">
        <is>
          <t>KNIVSTA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56380-2019</t>
        </is>
      </c>
      <c r="B1006" s="1" t="n">
        <v>43756</v>
      </c>
      <c r="C1006" s="1" t="n">
        <v>45706</v>
      </c>
      <c r="D1006" t="inlineStr">
        <is>
          <t>UPPSALA LÄN</t>
        </is>
      </c>
      <c r="E1006" t="inlineStr">
        <is>
          <t>TIERP</t>
        </is>
      </c>
      <c r="F1006" t="inlineStr">
        <is>
          <t>Bergvik skog väst AB</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56153-2019</t>
        </is>
      </c>
      <c r="B1007" s="1" t="n">
        <v>43756</v>
      </c>
      <c r="C1007" s="1" t="n">
        <v>45706</v>
      </c>
      <c r="D1007" t="inlineStr">
        <is>
          <t>UPPSALA LÄN</t>
        </is>
      </c>
      <c r="E1007" t="inlineStr">
        <is>
          <t>ENKÖPING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55516-2019</t>
        </is>
      </c>
      <c r="B1008" s="1" t="n">
        <v>43759</v>
      </c>
      <c r="C1008" s="1" t="n">
        <v>45706</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55872-2019</t>
        </is>
      </c>
      <c r="B1009" s="1" t="n">
        <v>43759</v>
      </c>
      <c r="C1009" s="1" t="n">
        <v>45706</v>
      </c>
      <c r="D1009" t="inlineStr">
        <is>
          <t>UPPSALA LÄN</t>
        </is>
      </c>
      <c r="E1009" t="inlineStr">
        <is>
          <t>ENKÖPING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55876-2019</t>
        </is>
      </c>
      <c r="B1010" s="1" t="n">
        <v>43759</v>
      </c>
      <c r="C1010" s="1" t="n">
        <v>45706</v>
      </c>
      <c r="D1010" t="inlineStr">
        <is>
          <t>UPPSALA LÄN</t>
        </is>
      </c>
      <c r="E1010" t="inlineStr">
        <is>
          <t>HÅBO</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55512-2019</t>
        </is>
      </c>
      <c r="B1011" s="1" t="n">
        <v>43759</v>
      </c>
      <c r="C1011" s="1" t="n">
        <v>45706</v>
      </c>
      <c r="D1011" t="inlineStr">
        <is>
          <t>UPPSALA LÄN</t>
        </is>
      </c>
      <c r="E1011" t="inlineStr">
        <is>
          <t>ENKÖPING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56041-2019</t>
        </is>
      </c>
      <c r="B1012" s="1" t="n">
        <v>43759</v>
      </c>
      <c r="C1012" s="1" t="n">
        <v>45706</v>
      </c>
      <c r="D1012" t="inlineStr">
        <is>
          <t>UPPSALA LÄN</t>
        </is>
      </c>
      <c r="E1012" t="inlineStr">
        <is>
          <t>UPPSALA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55944-2019</t>
        </is>
      </c>
      <c r="B1013" s="1" t="n">
        <v>43761</v>
      </c>
      <c r="C1013" s="1" t="n">
        <v>45706</v>
      </c>
      <c r="D1013" t="inlineStr">
        <is>
          <t>UPPSALA LÄN</t>
        </is>
      </c>
      <c r="E1013" t="inlineStr">
        <is>
          <t>TIERP</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57686-2019</t>
        </is>
      </c>
      <c r="B1014" s="1" t="n">
        <v>43761</v>
      </c>
      <c r="C1014" s="1" t="n">
        <v>45706</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56309-2019</t>
        </is>
      </c>
      <c r="B1015" s="1" t="n">
        <v>43762</v>
      </c>
      <c r="C1015" s="1" t="n">
        <v>45706</v>
      </c>
      <c r="D1015" t="inlineStr">
        <is>
          <t>UPPSALA LÄN</t>
        </is>
      </c>
      <c r="E1015" t="inlineStr">
        <is>
          <t>ENKÖPING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56634-2019</t>
        </is>
      </c>
      <c r="B1016" s="1" t="n">
        <v>43763</v>
      </c>
      <c r="C1016" s="1" t="n">
        <v>45706</v>
      </c>
      <c r="D1016" t="inlineStr">
        <is>
          <t>UPPSALA LÄN</t>
        </is>
      </c>
      <c r="E1016" t="inlineStr">
        <is>
          <t>UPPSALA</t>
        </is>
      </c>
      <c r="F1016" t="inlineStr">
        <is>
          <t>Övriga Aktiebolag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56932-2019</t>
        </is>
      </c>
      <c r="B1017" s="1" t="n">
        <v>43766</v>
      </c>
      <c r="C1017" s="1" t="n">
        <v>45706</v>
      </c>
      <c r="D1017" t="inlineStr">
        <is>
          <t>UPPSALA LÄN</t>
        </is>
      </c>
      <c r="E1017" t="inlineStr">
        <is>
          <t>ENKÖPING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56910-2019</t>
        </is>
      </c>
      <c r="B1018" s="1" t="n">
        <v>43766</v>
      </c>
      <c r="C1018" s="1" t="n">
        <v>45706</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57023-2019</t>
        </is>
      </c>
      <c r="B1019" s="1" t="n">
        <v>43766</v>
      </c>
      <c r="C1019" s="1" t="n">
        <v>45706</v>
      </c>
      <c r="D1019" t="inlineStr">
        <is>
          <t>UPPSALA LÄN</t>
        </is>
      </c>
      <c r="E1019" t="inlineStr">
        <is>
          <t>HEBY</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57066-2019</t>
        </is>
      </c>
      <c r="B1020" s="1" t="n">
        <v>43766</v>
      </c>
      <c r="C1020" s="1" t="n">
        <v>45706</v>
      </c>
      <c r="D1020" t="inlineStr">
        <is>
          <t>UPPSALA LÄN</t>
        </is>
      </c>
      <c r="E1020" t="inlineStr">
        <is>
          <t>ENKÖPING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56897-2019</t>
        </is>
      </c>
      <c r="B1021" s="1" t="n">
        <v>43766</v>
      </c>
      <c r="C1021" s="1" t="n">
        <v>45706</v>
      </c>
      <c r="D1021" t="inlineStr">
        <is>
          <t>UPPSALA LÄN</t>
        </is>
      </c>
      <c r="E1021" t="inlineStr">
        <is>
          <t>ENKÖPING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57126-2019</t>
        </is>
      </c>
      <c r="B1022" s="1" t="n">
        <v>43766</v>
      </c>
      <c r="C1022" s="1" t="n">
        <v>45706</v>
      </c>
      <c r="D1022" t="inlineStr">
        <is>
          <t>UPPSALA LÄN</t>
        </is>
      </c>
      <c r="E1022" t="inlineStr">
        <is>
          <t>ENKÖPING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57134-2019</t>
        </is>
      </c>
      <c r="B1023" s="1" t="n">
        <v>43766</v>
      </c>
      <c r="C1023" s="1" t="n">
        <v>45706</v>
      </c>
      <c r="D1023" t="inlineStr">
        <is>
          <t>UPPSALA LÄN</t>
        </is>
      </c>
      <c r="E1023" t="inlineStr">
        <is>
          <t>HEBY</t>
        </is>
      </c>
      <c r="G1023" t="n">
        <v>6.9</v>
      </c>
      <c r="H1023" t="n">
        <v>0</v>
      </c>
      <c r="I1023" t="n">
        <v>0</v>
      </c>
      <c r="J1023" t="n">
        <v>0</v>
      </c>
      <c r="K1023" t="n">
        <v>0</v>
      </c>
      <c r="L1023" t="n">
        <v>0</v>
      </c>
      <c r="M1023" t="n">
        <v>0</v>
      </c>
      <c r="N1023" t="n">
        <v>0</v>
      </c>
      <c r="O1023" t="n">
        <v>0</v>
      </c>
      <c r="P1023" t="n">
        <v>0</v>
      </c>
      <c r="Q1023" t="n">
        <v>0</v>
      </c>
      <c r="R1023" s="2" t="inlineStr"/>
      <c r="U1023">
        <f>HYPERLINK("https://klasma.github.io/Logging_0331/knärot/A 57134-2019 karta knärot.png", "A 57134-2019")</f>
        <v/>
      </c>
      <c r="V1023">
        <f>HYPERLINK("https://klasma.github.io/Logging_0331/klagomål/A 57134-2019 FSC-klagomål.docx", "A 57134-2019")</f>
        <v/>
      </c>
      <c r="W1023">
        <f>HYPERLINK("https://klasma.github.io/Logging_0331/klagomålsmail/A 57134-2019 FSC-klagomål mail.docx", "A 57134-2019")</f>
        <v/>
      </c>
      <c r="X1023">
        <f>HYPERLINK("https://klasma.github.io/Logging_0331/tillsyn/A 57134-2019 tillsynsbegäran.docx", "A 57134-2019")</f>
        <v/>
      </c>
      <c r="Y1023">
        <f>HYPERLINK("https://klasma.github.io/Logging_0331/tillsynsmail/A 57134-2019 tillsynsbegäran mail.docx", "A 57134-2019")</f>
        <v/>
      </c>
    </row>
    <row r="1024" ht="15" customHeight="1">
      <c r="A1024" t="inlineStr">
        <is>
          <t>A 57304-2019</t>
        </is>
      </c>
      <c r="B1024" s="1" t="n">
        <v>43767</v>
      </c>
      <c r="C1024" s="1" t="n">
        <v>45706</v>
      </c>
      <c r="D1024" t="inlineStr">
        <is>
          <t>UPPSALA LÄN</t>
        </is>
      </c>
      <c r="E1024" t="inlineStr">
        <is>
          <t>ÖSTHAMMAR</t>
        </is>
      </c>
      <c r="F1024" t="inlineStr">
        <is>
          <t>Bergvik skog öst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57813-2019</t>
        </is>
      </c>
      <c r="B1025" s="1" t="n">
        <v>43768</v>
      </c>
      <c r="C1025" s="1" t="n">
        <v>45706</v>
      </c>
      <c r="D1025" t="inlineStr">
        <is>
          <t>UPPSALA LÄN</t>
        </is>
      </c>
      <c r="E1025" t="inlineStr">
        <is>
          <t>ENKÖPING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57792-2019</t>
        </is>
      </c>
      <c r="B1026" s="1" t="n">
        <v>43768</v>
      </c>
      <c r="C1026" s="1" t="n">
        <v>45706</v>
      </c>
      <c r="D1026" t="inlineStr">
        <is>
          <t>UPPSALA LÄN</t>
        </is>
      </c>
      <c r="E1026" t="inlineStr">
        <is>
          <t>HEBY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57821-2019</t>
        </is>
      </c>
      <c r="B1027" s="1" t="n">
        <v>43768</v>
      </c>
      <c r="C1027" s="1" t="n">
        <v>45706</v>
      </c>
      <c r="D1027" t="inlineStr">
        <is>
          <t>UPPSALA LÄN</t>
        </is>
      </c>
      <c r="E1027" t="inlineStr">
        <is>
          <t>ENKÖPING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57820-2019</t>
        </is>
      </c>
      <c r="B1028" s="1" t="n">
        <v>43768</v>
      </c>
      <c r="C1028" s="1" t="n">
        <v>45706</v>
      </c>
      <c r="D1028" t="inlineStr">
        <is>
          <t>UPPSALA LÄN</t>
        </is>
      </c>
      <c r="E1028" t="inlineStr">
        <is>
          <t>ENKÖPING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57745-2019</t>
        </is>
      </c>
      <c r="B1029" s="1" t="n">
        <v>43768</v>
      </c>
      <c r="C1029" s="1" t="n">
        <v>45706</v>
      </c>
      <c r="D1029" t="inlineStr">
        <is>
          <t>UPPSALA LÄN</t>
        </is>
      </c>
      <c r="E1029" t="inlineStr">
        <is>
          <t>ÄLVKARLEBY</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58146-2019</t>
        </is>
      </c>
      <c r="B1030" s="1" t="n">
        <v>43769</v>
      </c>
      <c r="C1030" s="1" t="n">
        <v>45706</v>
      </c>
      <c r="D1030" t="inlineStr">
        <is>
          <t>UPPSALA LÄN</t>
        </is>
      </c>
      <c r="E1030" t="inlineStr">
        <is>
          <t>KNIVSTA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59227-2019</t>
        </is>
      </c>
      <c r="B1031" s="1" t="n">
        <v>43770</v>
      </c>
      <c r="C1031" s="1" t="n">
        <v>45706</v>
      </c>
      <c r="D1031" t="inlineStr">
        <is>
          <t>UPPSALA LÄN</t>
        </is>
      </c>
      <c r="E1031" t="inlineStr">
        <is>
          <t>TIERP</t>
        </is>
      </c>
      <c r="F1031" t="inlineStr">
        <is>
          <t>Bergvik skog väst AB</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58276-2019</t>
        </is>
      </c>
      <c r="B1032" s="1" t="n">
        <v>43770</v>
      </c>
      <c r="C1032" s="1" t="n">
        <v>45706</v>
      </c>
      <c r="D1032" t="inlineStr">
        <is>
          <t>UPPSALA LÄN</t>
        </is>
      </c>
      <c r="E1032" t="inlineStr">
        <is>
          <t>TIERP</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58491-2019</t>
        </is>
      </c>
      <c r="B1033" s="1" t="n">
        <v>43773</v>
      </c>
      <c r="C1033" s="1" t="n">
        <v>45706</v>
      </c>
      <c r="D1033" t="inlineStr">
        <is>
          <t>UPPSALA LÄN</t>
        </is>
      </c>
      <c r="E1033" t="inlineStr">
        <is>
          <t>ENKÖPING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58445-2019</t>
        </is>
      </c>
      <c r="B1034" s="1" t="n">
        <v>43773</v>
      </c>
      <c r="C1034" s="1" t="n">
        <v>45706</v>
      </c>
      <c r="D1034" t="inlineStr">
        <is>
          <t>UPPSALA LÄN</t>
        </is>
      </c>
      <c r="E1034" t="inlineStr">
        <is>
          <t>UPPSALA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58527-2019</t>
        </is>
      </c>
      <c r="B1035" s="1" t="n">
        <v>43773</v>
      </c>
      <c r="C1035" s="1" t="n">
        <v>45706</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58558-2019</t>
        </is>
      </c>
      <c r="B1036" s="1" t="n">
        <v>43773</v>
      </c>
      <c r="C1036" s="1" t="n">
        <v>45706</v>
      </c>
      <c r="D1036" t="inlineStr">
        <is>
          <t>UPPSALA LÄN</t>
        </is>
      </c>
      <c r="E1036" t="inlineStr">
        <is>
          <t>ENKÖPING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58903-2019</t>
        </is>
      </c>
      <c r="B1037" s="1" t="n">
        <v>43773</v>
      </c>
      <c r="C1037" s="1" t="n">
        <v>45706</v>
      </c>
      <c r="D1037" t="inlineStr">
        <is>
          <t>UPPSALA LÄN</t>
        </is>
      </c>
      <c r="E1037" t="inlineStr">
        <is>
          <t>UPPSALA</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59283-2019</t>
        </is>
      </c>
      <c r="B1038" s="1" t="n">
        <v>43773</v>
      </c>
      <c r="C1038" s="1" t="n">
        <v>45706</v>
      </c>
      <c r="D1038" t="inlineStr">
        <is>
          <t>UPPSALA LÄN</t>
        </is>
      </c>
      <c r="E1038" t="inlineStr">
        <is>
          <t>HÅBO</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58665-2019</t>
        </is>
      </c>
      <c r="B1039" s="1" t="n">
        <v>43773</v>
      </c>
      <c r="C1039" s="1" t="n">
        <v>45706</v>
      </c>
      <c r="D1039" t="inlineStr">
        <is>
          <t>UPPSALA LÄN</t>
        </is>
      </c>
      <c r="E1039" t="inlineStr">
        <is>
          <t>ÖSTHAMMAR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59058-2019</t>
        </is>
      </c>
      <c r="B1040" s="1" t="n">
        <v>43774</v>
      </c>
      <c r="C1040" s="1" t="n">
        <v>45706</v>
      </c>
      <c r="D1040" t="inlineStr">
        <is>
          <t>UPPSALA LÄN</t>
        </is>
      </c>
      <c r="E1040" t="inlineStr">
        <is>
          <t>TIERP</t>
        </is>
      </c>
      <c r="F1040" t="inlineStr">
        <is>
          <t>Bergvik skog väst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59239-2019</t>
        </is>
      </c>
      <c r="B1041" s="1" t="n">
        <v>43775</v>
      </c>
      <c r="C1041" s="1" t="n">
        <v>45706</v>
      </c>
      <c r="D1041" t="inlineStr">
        <is>
          <t>UPPSALA LÄN</t>
        </is>
      </c>
      <c r="E1041" t="inlineStr">
        <is>
          <t>HEBY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60054-2019</t>
        </is>
      </c>
      <c r="B1042" s="1" t="n">
        <v>43775</v>
      </c>
      <c r="C1042" s="1" t="n">
        <v>45706</v>
      </c>
      <c r="D1042" t="inlineStr">
        <is>
          <t>UPPSALA LÄN</t>
        </is>
      </c>
      <c r="E1042" t="inlineStr">
        <is>
          <t>ENKÖPING</t>
        </is>
      </c>
      <c r="G1042" t="n">
        <v>18.4</v>
      </c>
      <c r="H1042" t="n">
        <v>0</v>
      </c>
      <c r="I1042" t="n">
        <v>0</v>
      </c>
      <c r="J1042" t="n">
        <v>0</v>
      </c>
      <c r="K1042" t="n">
        <v>0</v>
      </c>
      <c r="L1042" t="n">
        <v>0</v>
      </c>
      <c r="M1042" t="n">
        <v>0</v>
      </c>
      <c r="N1042" t="n">
        <v>0</v>
      </c>
      <c r="O1042" t="n">
        <v>0</v>
      </c>
      <c r="P1042" t="n">
        <v>0</v>
      </c>
      <c r="Q1042" t="n">
        <v>0</v>
      </c>
      <c r="R1042" s="2" t="inlineStr"/>
    </row>
    <row r="1043" ht="15" customHeight="1">
      <c r="A1043" t="inlineStr">
        <is>
          <t>A 59600-2019</t>
        </is>
      </c>
      <c r="B1043" s="1" t="n">
        <v>43776</v>
      </c>
      <c r="C1043" s="1" t="n">
        <v>45706</v>
      </c>
      <c r="D1043" t="inlineStr">
        <is>
          <t>UPPSALA LÄN</t>
        </is>
      </c>
      <c r="E1043" t="inlineStr">
        <is>
          <t>ENKÖPING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60070-2019</t>
        </is>
      </c>
      <c r="B1044" s="1" t="n">
        <v>43777</v>
      </c>
      <c r="C1044" s="1" t="n">
        <v>45706</v>
      </c>
      <c r="D1044" t="inlineStr">
        <is>
          <t>UPPSALA LÄN</t>
        </is>
      </c>
      <c r="E1044" t="inlineStr">
        <is>
          <t>ENKÖPING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60011-2019</t>
        </is>
      </c>
      <c r="B1045" s="1" t="n">
        <v>43777</v>
      </c>
      <c r="C1045" s="1" t="n">
        <v>45706</v>
      </c>
      <c r="D1045" t="inlineStr">
        <is>
          <t>UPPSALA LÄN</t>
        </is>
      </c>
      <c r="E1045" t="inlineStr">
        <is>
          <t>UPPSALA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60062-2019</t>
        </is>
      </c>
      <c r="B1046" s="1" t="n">
        <v>43777</v>
      </c>
      <c r="C1046" s="1" t="n">
        <v>45706</v>
      </c>
      <c r="D1046" t="inlineStr">
        <is>
          <t>UPPSALA LÄN</t>
        </is>
      </c>
      <c r="E1046" t="inlineStr">
        <is>
          <t>ENKÖPING</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60159-2019</t>
        </is>
      </c>
      <c r="B1047" s="1" t="n">
        <v>43777</v>
      </c>
      <c r="C1047" s="1" t="n">
        <v>45706</v>
      </c>
      <c r="D1047" t="inlineStr">
        <is>
          <t>UPPSALA LÄN</t>
        </is>
      </c>
      <c r="E1047" t="inlineStr">
        <is>
          <t>UPPSALA</t>
        </is>
      </c>
      <c r="F1047" t="inlineStr">
        <is>
          <t>Övriga Aktiebolag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60230-2019</t>
        </is>
      </c>
      <c r="B1048" s="1" t="n">
        <v>43780</v>
      </c>
      <c r="C1048" s="1" t="n">
        <v>45706</v>
      </c>
      <c r="D1048" t="inlineStr">
        <is>
          <t>UPPSALA LÄN</t>
        </is>
      </c>
      <c r="E1048" t="inlineStr">
        <is>
          <t>TIERP</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60163-2019</t>
        </is>
      </c>
      <c r="B1049" s="1" t="n">
        <v>43780</v>
      </c>
      <c r="C1049" s="1" t="n">
        <v>45706</v>
      </c>
      <c r="D1049" t="inlineStr">
        <is>
          <t>UPPSALA LÄN</t>
        </is>
      </c>
      <c r="E1049" t="inlineStr">
        <is>
          <t>UPPSALA</t>
        </is>
      </c>
      <c r="F1049" t="inlineStr">
        <is>
          <t>Övriga Aktiebolag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60222-2019</t>
        </is>
      </c>
      <c r="B1050" s="1" t="n">
        <v>43780</v>
      </c>
      <c r="C1050" s="1" t="n">
        <v>45706</v>
      </c>
      <c r="D1050" t="inlineStr">
        <is>
          <t>UPPSALA LÄN</t>
        </is>
      </c>
      <c r="E1050" t="inlineStr">
        <is>
          <t>TIERP</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61322-2019</t>
        </is>
      </c>
      <c r="B1051" s="1" t="n">
        <v>43780</v>
      </c>
      <c r="C1051" s="1" t="n">
        <v>45706</v>
      </c>
      <c r="D1051" t="inlineStr">
        <is>
          <t>UPPSALA LÄN</t>
        </is>
      </c>
      <c r="E1051" t="inlineStr">
        <is>
          <t>TIERP</t>
        </is>
      </c>
      <c r="F1051" t="inlineStr">
        <is>
          <t>Bergvik skog väst AB</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60579-2019</t>
        </is>
      </c>
      <c r="B1052" s="1" t="n">
        <v>43780</v>
      </c>
      <c r="C1052" s="1" t="n">
        <v>45706</v>
      </c>
      <c r="D1052" t="inlineStr">
        <is>
          <t>UPPSALA LÄN</t>
        </is>
      </c>
      <c r="E1052" t="inlineStr">
        <is>
          <t>UPPSALA</t>
        </is>
      </c>
      <c r="F1052" t="inlineStr">
        <is>
          <t>Övriga Aktiebolag</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60806-2019</t>
        </is>
      </c>
      <c r="B1053" s="1" t="n">
        <v>43781</v>
      </c>
      <c r="C1053" s="1" t="n">
        <v>45706</v>
      </c>
      <c r="D1053" t="inlineStr">
        <is>
          <t>UPPSALA LÄN</t>
        </is>
      </c>
      <c r="E1053" t="inlineStr">
        <is>
          <t>HEBY</t>
        </is>
      </c>
      <c r="F1053" t="inlineStr">
        <is>
          <t>Allmännings- och besparingsskogar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60977-2019</t>
        </is>
      </c>
      <c r="B1054" s="1" t="n">
        <v>43782</v>
      </c>
      <c r="C1054" s="1" t="n">
        <v>45706</v>
      </c>
      <c r="D1054" t="inlineStr">
        <is>
          <t>UPPSALA LÄN</t>
        </is>
      </c>
      <c r="E1054" t="inlineStr">
        <is>
          <t>ÖSTHAMMAR</t>
        </is>
      </c>
      <c r="F1054" t="inlineStr">
        <is>
          <t>Bergvik skog öst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61005-2019</t>
        </is>
      </c>
      <c r="B1055" s="1" t="n">
        <v>43782</v>
      </c>
      <c r="C1055" s="1" t="n">
        <v>45706</v>
      </c>
      <c r="D1055" t="inlineStr">
        <is>
          <t>UPPSALA LÄN</t>
        </is>
      </c>
      <c r="E1055" t="inlineStr">
        <is>
          <t>ENKÖPING</t>
        </is>
      </c>
      <c r="G1055" t="n">
        <v>11.8</v>
      </c>
      <c r="H1055" t="n">
        <v>0</v>
      </c>
      <c r="I1055" t="n">
        <v>0</v>
      </c>
      <c r="J1055" t="n">
        <v>0</v>
      </c>
      <c r="K1055" t="n">
        <v>0</v>
      </c>
      <c r="L1055" t="n">
        <v>0</v>
      </c>
      <c r="M1055" t="n">
        <v>0</v>
      </c>
      <c r="N1055" t="n">
        <v>0</v>
      </c>
      <c r="O1055" t="n">
        <v>0</v>
      </c>
      <c r="P1055" t="n">
        <v>0</v>
      </c>
      <c r="Q1055" t="n">
        <v>0</v>
      </c>
      <c r="R1055" s="2" t="inlineStr"/>
    </row>
    <row r="1056" ht="15" customHeight="1">
      <c r="A1056" t="inlineStr">
        <is>
          <t>A 62096-2019</t>
        </is>
      </c>
      <c r="B1056" s="1" t="n">
        <v>43782</v>
      </c>
      <c r="C1056" s="1" t="n">
        <v>45706</v>
      </c>
      <c r="D1056" t="inlineStr">
        <is>
          <t>UPPSALA LÄN</t>
        </is>
      </c>
      <c r="E1056" t="inlineStr">
        <is>
          <t>HEBY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62308-2019</t>
        </is>
      </c>
      <c r="B1057" s="1" t="n">
        <v>43782</v>
      </c>
      <c r="C1057" s="1" t="n">
        <v>45706</v>
      </c>
      <c r="D1057" t="inlineStr">
        <is>
          <t>UPPSALA LÄN</t>
        </is>
      </c>
      <c r="E1057" t="inlineStr">
        <is>
          <t>UPPSALA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61351-2019</t>
        </is>
      </c>
      <c r="B1058" s="1" t="n">
        <v>43783</v>
      </c>
      <c r="C1058" s="1" t="n">
        <v>45706</v>
      </c>
      <c r="D1058" t="inlineStr">
        <is>
          <t>UPPSALA LÄN</t>
        </is>
      </c>
      <c r="E1058" t="inlineStr">
        <is>
          <t>HEBY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61395-2019</t>
        </is>
      </c>
      <c r="B1059" s="1" t="n">
        <v>43783</v>
      </c>
      <c r="C1059" s="1" t="n">
        <v>45706</v>
      </c>
      <c r="D1059" t="inlineStr">
        <is>
          <t>UPPSALA LÄN</t>
        </is>
      </c>
      <c r="E1059" t="inlineStr">
        <is>
          <t>HEBY</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61388-2019</t>
        </is>
      </c>
      <c r="B1060" s="1" t="n">
        <v>43783</v>
      </c>
      <c r="C1060" s="1" t="n">
        <v>45706</v>
      </c>
      <c r="D1060" t="inlineStr">
        <is>
          <t>UPPSALA LÄN</t>
        </is>
      </c>
      <c r="E1060" t="inlineStr">
        <is>
          <t>HEBY</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61667-2019</t>
        </is>
      </c>
      <c r="B1061" s="1" t="n">
        <v>43784</v>
      </c>
      <c r="C1061" s="1" t="n">
        <v>45706</v>
      </c>
      <c r="D1061" t="inlineStr">
        <is>
          <t>UPPSALA LÄN</t>
        </is>
      </c>
      <c r="E1061" t="inlineStr">
        <is>
          <t>UPPSALA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61924-2019</t>
        </is>
      </c>
      <c r="B1062" s="1" t="n">
        <v>43787</v>
      </c>
      <c r="C1062" s="1" t="n">
        <v>45706</v>
      </c>
      <c r="D1062" t="inlineStr">
        <is>
          <t>UPPSALA LÄN</t>
        </is>
      </c>
      <c r="E1062" t="inlineStr">
        <is>
          <t>HEBY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61866-2019</t>
        </is>
      </c>
      <c r="B1063" s="1" t="n">
        <v>43787</v>
      </c>
      <c r="C1063" s="1" t="n">
        <v>45706</v>
      </c>
      <c r="D1063" t="inlineStr">
        <is>
          <t>UPPSALA LÄN</t>
        </is>
      </c>
      <c r="E1063" t="inlineStr">
        <is>
          <t>ÖSTHAMMAR</t>
        </is>
      </c>
      <c r="F1063" t="inlineStr">
        <is>
          <t>Bergvik skog öst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62026-2019</t>
        </is>
      </c>
      <c r="B1064" s="1" t="n">
        <v>43787</v>
      </c>
      <c r="C1064" s="1" t="n">
        <v>45706</v>
      </c>
      <c r="D1064" t="inlineStr">
        <is>
          <t>UPPSALA LÄN</t>
        </is>
      </c>
      <c r="E1064" t="inlineStr">
        <is>
          <t>HEBY</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62022-2019</t>
        </is>
      </c>
      <c r="B1065" s="1" t="n">
        <v>43787</v>
      </c>
      <c r="C1065" s="1" t="n">
        <v>45706</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62808-2019</t>
        </is>
      </c>
      <c r="B1066" s="1" t="n">
        <v>43790</v>
      </c>
      <c r="C1066" s="1" t="n">
        <v>45706</v>
      </c>
      <c r="D1066" t="inlineStr">
        <is>
          <t>UPPSALA LÄN</t>
        </is>
      </c>
      <c r="E1066" t="inlineStr">
        <is>
          <t>ÖSTHAMMAR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62868-2019</t>
        </is>
      </c>
      <c r="B1067" s="1" t="n">
        <v>43790</v>
      </c>
      <c r="C1067" s="1" t="n">
        <v>45706</v>
      </c>
      <c r="D1067" t="inlineStr">
        <is>
          <t>UPPSALA LÄN</t>
        </is>
      </c>
      <c r="E1067" t="inlineStr">
        <is>
          <t>ENKÖPING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63145-2019</t>
        </is>
      </c>
      <c r="B1068" s="1" t="n">
        <v>43791</v>
      </c>
      <c r="C1068" s="1" t="n">
        <v>45706</v>
      </c>
      <c r="D1068" t="inlineStr">
        <is>
          <t>UPPSALA LÄN</t>
        </is>
      </c>
      <c r="E1068" t="inlineStr">
        <is>
          <t>UPPSALA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63091-2019</t>
        </is>
      </c>
      <c r="B1069" s="1" t="n">
        <v>43791</v>
      </c>
      <c r="C1069" s="1" t="n">
        <v>45706</v>
      </c>
      <c r="D1069" t="inlineStr">
        <is>
          <t>UPPSALA LÄN</t>
        </is>
      </c>
      <c r="E1069" t="inlineStr">
        <is>
          <t>UPPSALA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63099-2019</t>
        </is>
      </c>
      <c r="B1070" s="1" t="n">
        <v>43791</v>
      </c>
      <c r="C1070" s="1" t="n">
        <v>45706</v>
      </c>
      <c r="D1070" t="inlineStr">
        <is>
          <t>UPPSALA LÄN</t>
        </is>
      </c>
      <c r="E1070" t="inlineStr">
        <is>
          <t>UPPSALA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63118-2019</t>
        </is>
      </c>
      <c r="B1071" s="1" t="n">
        <v>43791</v>
      </c>
      <c r="C1071" s="1" t="n">
        <v>45706</v>
      </c>
      <c r="D1071" t="inlineStr">
        <is>
          <t>UPPSALA LÄN</t>
        </is>
      </c>
      <c r="E1071" t="inlineStr">
        <is>
          <t>UPPSALA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63376-2019</t>
        </is>
      </c>
      <c r="B1072" s="1" t="n">
        <v>43794</v>
      </c>
      <c r="C1072" s="1" t="n">
        <v>45706</v>
      </c>
      <c r="D1072" t="inlineStr">
        <is>
          <t>UPPSALA LÄN</t>
        </is>
      </c>
      <c r="E1072" t="inlineStr">
        <is>
          <t>HEBY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63589-2019</t>
        </is>
      </c>
      <c r="B1073" s="1" t="n">
        <v>43795</v>
      </c>
      <c r="C1073" s="1" t="n">
        <v>45706</v>
      </c>
      <c r="D1073" t="inlineStr">
        <is>
          <t>UPPSALA LÄN</t>
        </is>
      </c>
      <c r="E1073" t="inlineStr">
        <is>
          <t>UPPSALA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63564-2019</t>
        </is>
      </c>
      <c r="B1074" s="1" t="n">
        <v>43795</v>
      </c>
      <c r="C1074" s="1" t="n">
        <v>45706</v>
      </c>
      <c r="D1074" t="inlineStr">
        <is>
          <t>UPPSALA LÄN</t>
        </is>
      </c>
      <c r="E1074" t="inlineStr">
        <is>
          <t>ÖSTHAMMAR</t>
        </is>
      </c>
      <c r="F1074" t="inlineStr">
        <is>
          <t>Övriga Aktiebolag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63769-2019</t>
        </is>
      </c>
      <c r="B1075" s="1" t="n">
        <v>43795</v>
      </c>
      <c r="C1075" s="1" t="n">
        <v>45706</v>
      </c>
      <c r="D1075" t="inlineStr">
        <is>
          <t>UPPSALA LÄN</t>
        </is>
      </c>
      <c r="E1075" t="inlineStr">
        <is>
          <t>TIERP</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63757-2019</t>
        </is>
      </c>
      <c r="B1076" s="1" t="n">
        <v>43795</v>
      </c>
      <c r="C1076" s="1" t="n">
        <v>45706</v>
      </c>
      <c r="D1076" t="inlineStr">
        <is>
          <t>UPPSALA LÄN</t>
        </is>
      </c>
      <c r="E1076" t="inlineStr">
        <is>
          <t>UPPSALA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63756-2019</t>
        </is>
      </c>
      <c r="B1077" s="1" t="n">
        <v>43795</v>
      </c>
      <c r="C1077" s="1" t="n">
        <v>45706</v>
      </c>
      <c r="D1077" t="inlineStr">
        <is>
          <t>UPPSALA LÄN</t>
        </is>
      </c>
      <c r="E1077" t="inlineStr">
        <is>
          <t>UPPSALA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63872-2019</t>
        </is>
      </c>
      <c r="B1078" s="1" t="n">
        <v>43796</v>
      </c>
      <c r="C1078" s="1" t="n">
        <v>45706</v>
      </c>
      <c r="D1078" t="inlineStr">
        <is>
          <t>UPPSALA LÄN</t>
        </is>
      </c>
      <c r="E1078" t="inlineStr">
        <is>
          <t>TIERP</t>
        </is>
      </c>
      <c r="F1078" t="inlineStr">
        <is>
          <t>Bergvik skog väst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64252-2019</t>
        </is>
      </c>
      <c r="B1079" s="1" t="n">
        <v>43797</v>
      </c>
      <c r="C1079" s="1" t="n">
        <v>45706</v>
      </c>
      <c r="D1079" t="inlineStr">
        <is>
          <t>UPPSALA LÄN</t>
        </is>
      </c>
      <c r="E1079" t="inlineStr">
        <is>
          <t>TIERP</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64250-2019</t>
        </is>
      </c>
      <c r="B1080" s="1" t="n">
        <v>43797</v>
      </c>
      <c r="C1080" s="1" t="n">
        <v>45706</v>
      </c>
      <c r="D1080" t="inlineStr">
        <is>
          <t>UPPSALA LÄN</t>
        </is>
      </c>
      <c r="E1080" t="inlineStr">
        <is>
          <t>HEBY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64271-2019</t>
        </is>
      </c>
      <c r="B1081" s="1" t="n">
        <v>43797</v>
      </c>
      <c r="C1081" s="1" t="n">
        <v>45706</v>
      </c>
      <c r="D1081" t="inlineStr">
        <is>
          <t>UPPSALA LÄN</t>
        </is>
      </c>
      <c r="E1081" t="inlineStr">
        <is>
          <t>TIERP</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64344-2019</t>
        </is>
      </c>
      <c r="B1082" s="1" t="n">
        <v>43797</v>
      </c>
      <c r="C1082" s="1" t="n">
        <v>45706</v>
      </c>
      <c r="D1082" t="inlineStr">
        <is>
          <t>UPPSALA LÄN</t>
        </is>
      </c>
      <c r="E1082" t="inlineStr">
        <is>
          <t>ÖSTHAMMAR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65903-2019</t>
        </is>
      </c>
      <c r="B1083" s="1" t="n">
        <v>43800</v>
      </c>
      <c r="C1083" s="1" t="n">
        <v>45706</v>
      </c>
      <c r="D1083" t="inlineStr">
        <is>
          <t>UPPSALA LÄN</t>
        </is>
      </c>
      <c r="E1083" t="inlineStr">
        <is>
          <t>KNIVSTA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64836-2019</t>
        </is>
      </c>
      <c r="B1084" s="1" t="n">
        <v>43801</v>
      </c>
      <c r="C1084" s="1" t="n">
        <v>45706</v>
      </c>
      <c r="D1084" t="inlineStr">
        <is>
          <t>UPPSALA LÄN</t>
        </is>
      </c>
      <c r="E1084" t="inlineStr">
        <is>
          <t>UPPSALA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64834-2019</t>
        </is>
      </c>
      <c r="B1085" s="1" t="n">
        <v>43801</v>
      </c>
      <c r="C1085" s="1" t="n">
        <v>45706</v>
      </c>
      <c r="D1085" t="inlineStr">
        <is>
          <t>UPPSALA LÄN</t>
        </is>
      </c>
      <c r="E1085" t="inlineStr">
        <is>
          <t>UPPSALA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64986-2019</t>
        </is>
      </c>
      <c r="B1086" s="1" t="n">
        <v>43801</v>
      </c>
      <c r="C1086" s="1" t="n">
        <v>45706</v>
      </c>
      <c r="D1086" t="inlineStr">
        <is>
          <t>UPPSALA LÄN</t>
        </is>
      </c>
      <c r="E1086" t="inlineStr">
        <is>
          <t>TIERP</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64983-2019</t>
        </is>
      </c>
      <c r="B1087" s="1" t="n">
        <v>43801</v>
      </c>
      <c r="C1087" s="1" t="n">
        <v>45706</v>
      </c>
      <c r="D1087" t="inlineStr">
        <is>
          <t>UPPSALA LÄN</t>
        </is>
      </c>
      <c r="E1087" t="inlineStr">
        <is>
          <t>TIERP</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65087-2019</t>
        </is>
      </c>
      <c r="B1088" s="1" t="n">
        <v>43802</v>
      </c>
      <c r="C1088" s="1" t="n">
        <v>45706</v>
      </c>
      <c r="D1088" t="inlineStr">
        <is>
          <t>UPPSALA LÄN</t>
        </is>
      </c>
      <c r="E1088" t="inlineStr">
        <is>
          <t>TIERP</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65111-2019</t>
        </is>
      </c>
      <c r="B1089" s="1" t="n">
        <v>43802</v>
      </c>
      <c r="C1089" s="1" t="n">
        <v>45706</v>
      </c>
      <c r="D1089" t="inlineStr">
        <is>
          <t>UPPSALA LÄN</t>
        </is>
      </c>
      <c r="E1089" t="inlineStr">
        <is>
          <t>HEBY</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65182-2019</t>
        </is>
      </c>
      <c r="B1090" s="1" t="n">
        <v>43802</v>
      </c>
      <c r="C1090" s="1" t="n">
        <v>45706</v>
      </c>
      <c r="D1090" t="inlineStr">
        <is>
          <t>UPPSALA LÄN</t>
        </is>
      </c>
      <c r="E1090" t="inlineStr">
        <is>
          <t>ENKÖPING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65107-2019</t>
        </is>
      </c>
      <c r="B1091" s="1" t="n">
        <v>43802</v>
      </c>
      <c r="C1091" s="1" t="n">
        <v>45706</v>
      </c>
      <c r="D1091" t="inlineStr">
        <is>
          <t>UPPSALA LÄN</t>
        </is>
      </c>
      <c r="E1091" t="inlineStr">
        <is>
          <t>ÖSTHAMMAR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65527-2019</t>
        </is>
      </c>
      <c r="B1092" s="1" t="n">
        <v>43803</v>
      </c>
      <c r="C1092" s="1" t="n">
        <v>45706</v>
      </c>
      <c r="D1092" t="inlineStr">
        <is>
          <t>UPPSALA LÄN</t>
        </is>
      </c>
      <c r="E1092" t="inlineStr">
        <is>
          <t>UPPSALA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66556-2019</t>
        </is>
      </c>
      <c r="B1093" s="1" t="n">
        <v>43803</v>
      </c>
      <c r="C1093" s="1" t="n">
        <v>45706</v>
      </c>
      <c r="D1093" t="inlineStr">
        <is>
          <t>UPPSALA LÄN</t>
        </is>
      </c>
      <c r="E1093" t="inlineStr">
        <is>
          <t>ENKÖPING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65668-2019</t>
        </is>
      </c>
      <c r="B1094" s="1" t="n">
        <v>43804</v>
      </c>
      <c r="C1094" s="1" t="n">
        <v>45706</v>
      </c>
      <c r="D1094" t="inlineStr">
        <is>
          <t>UPPSALA LÄN</t>
        </is>
      </c>
      <c r="E1094" t="inlineStr">
        <is>
          <t>UPPSALA</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66125-2019</t>
        </is>
      </c>
      <c r="B1095" s="1" t="n">
        <v>43808</v>
      </c>
      <c r="C1095" s="1" t="n">
        <v>45706</v>
      </c>
      <c r="D1095" t="inlineStr">
        <is>
          <t>UPPSALA LÄN</t>
        </is>
      </c>
      <c r="E1095" t="inlineStr">
        <is>
          <t>HEBY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66167-2019</t>
        </is>
      </c>
      <c r="B1096" s="1" t="n">
        <v>43808</v>
      </c>
      <c r="C1096" s="1" t="n">
        <v>45706</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66270-2019</t>
        </is>
      </c>
      <c r="B1097" s="1" t="n">
        <v>43808</v>
      </c>
      <c r="C1097" s="1" t="n">
        <v>45706</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66298-2019</t>
        </is>
      </c>
      <c r="B1098" s="1" t="n">
        <v>43808</v>
      </c>
      <c r="C1098" s="1" t="n">
        <v>45706</v>
      </c>
      <c r="D1098" t="inlineStr">
        <is>
          <t>UPPSALA LÄN</t>
        </is>
      </c>
      <c r="E1098" t="inlineStr">
        <is>
          <t>ENKÖPING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67647-2019</t>
        </is>
      </c>
      <c r="B1099" s="1" t="n">
        <v>43808</v>
      </c>
      <c r="C1099" s="1" t="n">
        <v>45706</v>
      </c>
      <c r="D1099" t="inlineStr">
        <is>
          <t>UPPSALA LÄN</t>
        </is>
      </c>
      <c r="E1099" t="inlineStr">
        <is>
          <t>ÖSTHAMMAR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66641-2019</t>
        </is>
      </c>
      <c r="B1100" s="1" t="n">
        <v>43809</v>
      </c>
      <c r="C1100" s="1" t="n">
        <v>45706</v>
      </c>
      <c r="D1100" t="inlineStr">
        <is>
          <t>UPPSALA LÄN</t>
        </is>
      </c>
      <c r="E1100" t="inlineStr">
        <is>
          <t>TIERP</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66640-2019</t>
        </is>
      </c>
      <c r="B1101" s="1" t="n">
        <v>43809</v>
      </c>
      <c r="C1101" s="1" t="n">
        <v>45706</v>
      </c>
      <c r="D1101" t="inlineStr">
        <is>
          <t>UPPSALA LÄN</t>
        </is>
      </c>
      <c r="E1101" t="inlineStr">
        <is>
          <t>TIERP</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66607-2019</t>
        </is>
      </c>
      <c r="B1102" s="1" t="n">
        <v>43809</v>
      </c>
      <c r="C1102" s="1" t="n">
        <v>45706</v>
      </c>
      <c r="D1102" t="inlineStr">
        <is>
          <t>UPPSALA LÄN</t>
        </is>
      </c>
      <c r="E1102" t="inlineStr">
        <is>
          <t>KNIVSTA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66802-2019</t>
        </is>
      </c>
      <c r="B1103" s="1" t="n">
        <v>43810</v>
      </c>
      <c r="C1103" s="1" t="n">
        <v>45706</v>
      </c>
      <c r="D1103" t="inlineStr">
        <is>
          <t>UPPSALA LÄN</t>
        </is>
      </c>
      <c r="E1103" t="inlineStr">
        <is>
          <t>ÖSTHAMMAR</t>
        </is>
      </c>
      <c r="F1103" t="inlineStr">
        <is>
          <t>Bergvik skog öst AB</t>
        </is>
      </c>
      <c r="G1103" t="n">
        <v>34.8</v>
      </c>
      <c r="H1103" t="n">
        <v>0</v>
      </c>
      <c r="I1103" t="n">
        <v>0</v>
      </c>
      <c r="J1103" t="n">
        <v>0</v>
      </c>
      <c r="K1103" t="n">
        <v>0</v>
      </c>
      <c r="L1103" t="n">
        <v>0</v>
      </c>
      <c r="M1103" t="n">
        <v>0</v>
      </c>
      <c r="N1103" t="n">
        <v>0</v>
      </c>
      <c r="O1103" t="n">
        <v>0</v>
      </c>
      <c r="P1103" t="n">
        <v>0</v>
      </c>
      <c r="Q1103" t="n">
        <v>0</v>
      </c>
      <c r="R1103" s="2" t="inlineStr"/>
    </row>
    <row r="1104" ht="15" customHeight="1">
      <c r="A1104" t="inlineStr">
        <is>
          <t>A 67165-2019</t>
        </is>
      </c>
      <c r="B1104" s="1" t="n">
        <v>43811</v>
      </c>
      <c r="C1104" s="1" t="n">
        <v>45706</v>
      </c>
      <c r="D1104" t="inlineStr">
        <is>
          <t>UPPSALA LÄN</t>
        </is>
      </c>
      <c r="E1104" t="inlineStr">
        <is>
          <t>KNIVSTA</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67166-2019</t>
        </is>
      </c>
      <c r="B1105" s="1" t="n">
        <v>43811</v>
      </c>
      <c r="C1105" s="1" t="n">
        <v>45706</v>
      </c>
      <c r="D1105" t="inlineStr">
        <is>
          <t>UPPSALA LÄN</t>
        </is>
      </c>
      <c r="E1105" t="inlineStr">
        <is>
          <t>KNIVSTA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67190-2019</t>
        </is>
      </c>
      <c r="B1106" s="1" t="n">
        <v>43811</v>
      </c>
      <c r="C1106" s="1" t="n">
        <v>45706</v>
      </c>
      <c r="D1106" t="inlineStr">
        <is>
          <t>UPPSALA LÄN</t>
        </is>
      </c>
      <c r="E1106" t="inlineStr">
        <is>
          <t>ENKÖPING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67196-2019</t>
        </is>
      </c>
      <c r="B1107" s="1" t="n">
        <v>43811</v>
      </c>
      <c r="C1107" s="1" t="n">
        <v>45706</v>
      </c>
      <c r="D1107" t="inlineStr">
        <is>
          <t>UPPSALA LÄN</t>
        </is>
      </c>
      <c r="E1107" t="inlineStr">
        <is>
          <t>ENKÖPING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67108-2019</t>
        </is>
      </c>
      <c r="B1108" s="1" t="n">
        <v>43811</v>
      </c>
      <c r="C1108" s="1" t="n">
        <v>45706</v>
      </c>
      <c r="D1108" t="inlineStr">
        <is>
          <t>UPPSALA LÄN</t>
        </is>
      </c>
      <c r="E1108" t="inlineStr">
        <is>
          <t>UPPSALA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67253-2019</t>
        </is>
      </c>
      <c r="B1109" s="1" t="n">
        <v>43812</v>
      </c>
      <c r="C1109" s="1" t="n">
        <v>45706</v>
      </c>
      <c r="D1109" t="inlineStr">
        <is>
          <t>UPPSALA LÄN</t>
        </is>
      </c>
      <c r="E1109" t="inlineStr">
        <is>
          <t>TIERP</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67281-2019</t>
        </is>
      </c>
      <c r="B1110" s="1" t="n">
        <v>43812</v>
      </c>
      <c r="C1110" s="1" t="n">
        <v>45706</v>
      </c>
      <c r="D1110" t="inlineStr">
        <is>
          <t>UPPSALA LÄN</t>
        </is>
      </c>
      <c r="E1110" t="inlineStr">
        <is>
          <t>UPPSALA</t>
        </is>
      </c>
      <c r="F1110" t="inlineStr">
        <is>
          <t>Allmännings- och besparingsskogar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67244-2019</t>
        </is>
      </c>
      <c r="B1111" s="1" t="n">
        <v>43812</v>
      </c>
      <c r="C1111" s="1" t="n">
        <v>45706</v>
      </c>
      <c r="D1111" t="inlineStr">
        <is>
          <t>UPPSALA LÄN</t>
        </is>
      </c>
      <c r="E1111" t="inlineStr">
        <is>
          <t>ENKÖPING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67448-2019</t>
        </is>
      </c>
      <c r="B1112" s="1" t="n">
        <v>43812</v>
      </c>
      <c r="C1112" s="1" t="n">
        <v>45706</v>
      </c>
      <c r="D1112" t="inlineStr">
        <is>
          <t>UPPSALA LÄN</t>
        </is>
      </c>
      <c r="E1112" t="inlineStr">
        <is>
          <t>ENKÖPING</t>
        </is>
      </c>
      <c r="F1112" t="inlineStr">
        <is>
          <t>Allmännings- och besparingsskogar</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67254-2019</t>
        </is>
      </c>
      <c r="B1113" s="1" t="n">
        <v>43812</v>
      </c>
      <c r="C1113" s="1" t="n">
        <v>45706</v>
      </c>
      <c r="D1113" t="inlineStr">
        <is>
          <t>UPPSALA LÄN</t>
        </is>
      </c>
      <c r="E1113" t="inlineStr">
        <is>
          <t>ÖSTHAMMAR</t>
        </is>
      </c>
      <c r="F1113" t="inlineStr">
        <is>
          <t>Allmännings- och besparingsskogar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67508-2019</t>
        </is>
      </c>
      <c r="B1114" s="1" t="n">
        <v>43814</v>
      </c>
      <c r="C1114" s="1" t="n">
        <v>45706</v>
      </c>
      <c r="D1114" t="inlineStr">
        <is>
          <t>UPPSALA LÄN</t>
        </is>
      </c>
      <c r="E1114" t="inlineStr">
        <is>
          <t>UPPSALA</t>
        </is>
      </c>
      <c r="F1114" t="inlineStr">
        <is>
          <t>Allmännings- och besparingsskogar</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67504-2019</t>
        </is>
      </c>
      <c r="B1115" s="1" t="n">
        <v>43814</v>
      </c>
      <c r="C1115" s="1" t="n">
        <v>45706</v>
      </c>
      <c r="D1115" t="inlineStr">
        <is>
          <t>UPPSALA LÄN</t>
        </is>
      </c>
      <c r="E1115" t="inlineStr">
        <is>
          <t>UPPSALA</t>
        </is>
      </c>
      <c r="F1115" t="inlineStr">
        <is>
          <t>Allmännings- och besparingsskogar</t>
        </is>
      </c>
      <c r="G1115" t="n">
        <v>21.9</v>
      </c>
      <c r="H1115" t="n">
        <v>0</v>
      </c>
      <c r="I1115" t="n">
        <v>0</v>
      </c>
      <c r="J1115" t="n">
        <v>0</v>
      </c>
      <c r="K1115" t="n">
        <v>0</v>
      </c>
      <c r="L1115" t="n">
        <v>0</v>
      </c>
      <c r="M1115" t="n">
        <v>0</v>
      </c>
      <c r="N1115" t="n">
        <v>0</v>
      </c>
      <c r="O1115" t="n">
        <v>0</v>
      </c>
      <c r="P1115" t="n">
        <v>0</v>
      </c>
      <c r="Q1115" t="n">
        <v>0</v>
      </c>
      <c r="R1115" s="2" t="inlineStr"/>
    </row>
    <row r="1116" ht="15" customHeight="1">
      <c r="A1116" t="inlineStr">
        <is>
          <t>A 67720-2019</t>
        </is>
      </c>
      <c r="B1116" s="1" t="n">
        <v>43815</v>
      </c>
      <c r="C1116" s="1" t="n">
        <v>45706</v>
      </c>
      <c r="D1116" t="inlineStr">
        <is>
          <t>UPPSALA LÄN</t>
        </is>
      </c>
      <c r="E1116" t="inlineStr">
        <is>
          <t>UPPSALA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67592-2019</t>
        </is>
      </c>
      <c r="B1117" s="1" t="n">
        <v>43815</v>
      </c>
      <c r="C1117" s="1" t="n">
        <v>45706</v>
      </c>
      <c r="D1117" t="inlineStr">
        <is>
          <t>UPPSALA LÄN</t>
        </is>
      </c>
      <c r="E1117" t="inlineStr">
        <is>
          <t>UPPSALA</t>
        </is>
      </c>
      <c r="F1117" t="inlineStr">
        <is>
          <t>Övriga statliga verk och myndigheter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67598-2019</t>
        </is>
      </c>
      <c r="B1118" s="1" t="n">
        <v>43815</v>
      </c>
      <c r="C1118" s="1" t="n">
        <v>45706</v>
      </c>
      <c r="D1118" t="inlineStr">
        <is>
          <t>UPPSALA LÄN</t>
        </is>
      </c>
      <c r="E1118" t="inlineStr">
        <is>
          <t>KNIVSTA</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68196-2019</t>
        </is>
      </c>
      <c r="B1119" s="1" t="n">
        <v>43817</v>
      </c>
      <c r="C1119" s="1" t="n">
        <v>45706</v>
      </c>
      <c r="D1119" t="inlineStr">
        <is>
          <t>UPPSALA LÄN</t>
        </is>
      </c>
      <c r="E1119" t="inlineStr">
        <is>
          <t>HEBY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618-2020</t>
        </is>
      </c>
      <c r="B1120" s="1" t="n">
        <v>43817</v>
      </c>
      <c r="C1120" s="1" t="n">
        <v>45706</v>
      </c>
      <c r="D1120" t="inlineStr">
        <is>
          <t>UPPSALA LÄN</t>
        </is>
      </c>
      <c r="E1120" t="inlineStr">
        <is>
          <t>ÖSTHAMMAR</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68186-2019</t>
        </is>
      </c>
      <c r="B1121" s="1" t="n">
        <v>43817</v>
      </c>
      <c r="C1121" s="1" t="n">
        <v>45706</v>
      </c>
      <c r="D1121" t="inlineStr">
        <is>
          <t>UPPSALA LÄN</t>
        </is>
      </c>
      <c r="E1121" t="inlineStr">
        <is>
          <t>ENKÖPING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68188-2019</t>
        </is>
      </c>
      <c r="B1122" s="1" t="n">
        <v>43817</v>
      </c>
      <c r="C1122" s="1" t="n">
        <v>45706</v>
      </c>
      <c r="D1122" t="inlineStr">
        <is>
          <t>UPPSALA LÄN</t>
        </is>
      </c>
      <c r="E1122" t="inlineStr">
        <is>
          <t>ENKÖPING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68264-2019</t>
        </is>
      </c>
      <c r="B1123" s="1" t="n">
        <v>43817</v>
      </c>
      <c r="C1123" s="1" t="n">
        <v>45706</v>
      </c>
      <c r="D1123" t="inlineStr">
        <is>
          <t>UPPSALA LÄN</t>
        </is>
      </c>
      <c r="E1123" t="inlineStr">
        <is>
          <t>UPPSALA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68265-2019</t>
        </is>
      </c>
      <c r="B1124" s="1" t="n">
        <v>43817</v>
      </c>
      <c r="C1124" s="1" t="n">
        <v>45706</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68317-2019</t>
        </is>
      </c>
      <c r="B1125" s="1" t="n">
        <v>43818</v>
      </c>
      <c r="C1125" s="1" t="n">
        <v>45706</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68412-2019</t>
        </is>
      </c>
      <c r="B1126" s="1" t="n">
        <v>43818</v>
      </c>
      <c r="C1126" s="1" t="n">
        <v>45706</v>
      </c>
      <c r="D1126" t="inlineStr">
        <is>
          <t>UPPSALA LÄN</t>
        </is>
      </c>
      <c r="E1126" t="inlineStr">
        <is>
          <t>HEBY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68316-2019</t>
        </is>
      </c>
      <c r="B1127" s="1" t="n">
        <v>43818</v>
      </c>
      <c r="C1127" s="1" t="n">
        <v>45706</v>
      </c>
      <c r="D1127" t="inlineStr">
        <is>
          <t>UPPSALA LÄN</t>
        </is>
      </c>
      <c r="E1127" t="inlineStr">
        <is>
          <t>UPPSALA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68870-2019</t>
        </is>
      </c>
      <c r="B1128" s="1" t="n">
        <v>43821</v>
      </c>
      <c r="C1128" s="1" t="n">
        <v>45706</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68871-2019</t>
        </is>
      </c>
      <c r="B1129" s="1" t="n">
        <v>43821</v>
      </c>
      <c r="C1129" s="1" t="n">
        <v>45706</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68868-2019</t>
        </is>
      </c>
      <c r="B1130" s="1" t="n">
        <v>43821</v>
      </c>
      <c r="C1130" s="1" t="n">
        <v>45706</v>
      </c>
      <c r="D1130" t="inlineStr">
        <is>
          <t>UPPSALA LÄN</t>
        </is>
      </c>
      <c r="E1130" t="inlineStr">
        <is>
          <t>ÖSTHAMMAR</t>
        </is>
      </c>
      <c r="F1130" t="inlineStr">
        <is>
          <t>Bergvik skog öst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68908-2019</t>
        </is>
      </c>
      <c r="B1131" s="1" t="n">
        <v>43822</v>
      </c>
      <c r="C1131" s="1" t="n">
        <v>45706</v>
      </c>
      <c r="D1131" t="inlineStr">
        <is>
          <t>UPPSALA LÄN</t>
        </is>
      </c>
      <c r="E1131" t="inlineStr">
        <is>
          <t>UPPSALA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69015-2019</t>
        </is>
      </c>
      <c r="B1132" s="1" t="n">
        <v>43826</v>
      </c>
      <c r="C1132" s="1" t="n">
        <v>45706</v>
      </c>
      <c r="D1132" t="inlineStr">
        <is>
          <t>UPPSALA LÄN</t>
        </is>
      </c>
      <c r="E1132" t="inlineStr">
        <is>
          <t>ENKÖPING</t>
        </is>
      </c>
      <c r="G1132" t="n">
        <v>15.7</v>
      </c>
      <c r="H1132" t="n">
        <v>0</v>
      </c>
      <c r="I1132" t="n">
        <v>0</v>
      </c>
      <c r="J1132" t="n">
        <v>0</v>
      </c>
      <c r="K1132" t="n">
        <v>0</v>
      </c>
      <c r="L1132" t="n">
        <v>0</v>
      </c>
      <c r="M1132" t="n">
        <v>0</v>
      </c>
      <c r="N1132" t="n">
        <v>0</v>
      </c>
      <c r="O1132" t="n">
        <v>0</v>
      </c>
      <c r="P1132" t="n">
        <v>0</v>
      </c>
      <c r="Q1132" t="n">
        <v>0</v>
      </c>
      <c r="R1132" s="2" t="inlineStr"/>
    </row>
    <row r="1133" ht="15" customHeight="1">
      <c r="A1133" t="inlineStr">
        <is>
          <t>A 69029-2019</t>
        </is>
      </c>
      <c r="B1133" s="1" t="n">
        <v>43826</v>
      </c>
      <c r="C1133" s="1" t="n">
        <v>45706</v>
      </c>
      <c r="D1133" t="inlineStr">
        <is>
          <t>UPPSALA LÄN</t>
        </is>
      </c>
      <c r="E1133" t="inlineStr">
        <is>
          <t>ENKÖPING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69016-2019</t>
        </is>
      </c>
      <c r="B1134" s="1" t="n">
        <v>43826</v>
      </c>
      <c r="C1134" s="1" t="n">
        <v>45706</v>
      </c>
      <c r="D1134" t="inlineStr">
        <is>
          <t>UPPSALA LÄN</t>
        </is>
      </c>
      <c r="E1134" t="inlineStr">
        <is>
          <t>ENKÖPING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69020-2019</t>
        </is>
      </c>
      <c r="B1135" s="1" t="n">
        <v>43826</v>
      </c>
      <c r="C1135" s="1" t="n">
        <v>45706</v>
      </c>
      <c r="D1135" t="inlineStr">
        <is>
          <t>UPPSALA LÄN</t>
        </is>
      </c>
      <c r="E1135" t="inlineStr">
        <is>
          <t>ENKÖPING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69141-2019</t>
        </is>
      </c>
      <c r="B1136" s="1" t="n">
        <v>43829</v>
      </c>
      <c r="C1136" s="1" t="n">
        <v>45706</v>
      </c>
      <c r="D1136" t="inlineStr">
        <is>
          <t>UPPSALA LÄN</t>
        </is>
      </c>
      <c r="E1136" t="inlineStr">
        <is>
          <t>TIERP</t>
        </is>
      </c>
      <c r="F1136" t="inlineStr">
        <is>
          <t>Bergvik skog väst AB</t>
        </is>
      </c>
      <c r="G1136" t="n">
        <v>20.5</v>
      </c>
      <c r="H1136" t="n">
        <v>0</v>
      </c>
      <c r="I1136" t="n">
        <v>0</v>
      </c>
      <c r="J1136" t="n">
        <v>0</v>
      </c>
      <c r="K1136" t="n">
        <v>0</v>
      </c>
      <c r="L1136" t="n">
        <v>0</v>
      </c>
      <c r="M1136" t="n">
        <v>0</v>
      </c>
      <c r="N1136" t="n">
        <v>0</v>
      </c>
      <c r="O1136" t="n">
        <v>0</v>
      </c>
      <c r="P1136" t="n">
        <v>0</v>
      </c>
      <c r="Q1136" t="n">
        <v>0</v>
      </c>
      <c r="R1136" s="2" t="inlineStr"/>
    </row>
    <row r="1137" ht="15" customHeight="1">
      <c r="A1137" t="inlineStr">
        <is>
          <t>A 38-2020</t>
        </is>
      </c>
      <c r="B1137" s="1" t="n">
        <v>43832</v>
      </c>
      <c r="C1137" s="1" t="n">
        <v>45706</v>
      </c>
      <c r="D1137" t="inlineStr">
        <is>
          <t>UPPSALA LÄN</t>
        </is>
      </c>
      <c r="E1137" t="inlineStr">
        <is>
          <t>ENKÖPING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529-2020</t>
        </is>
      </c>
      <c r="B1138" s="1" t="n">
        <v>43837</v>
      </c>
      <c r="C1138" s="1" t="n">
        <v>45706</v>
      </c>
      <c r="D1138" t="inlineStr">
        <is>
          <t>UPPSALA LÄN</t>
        </is>
      </c>
      <c r="E1138" t="inlineStr">
        <is>
          <t>UPPSALA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499-2020</t>
        </is>
      </c>
      <c r="B1139" s="1" t="n">
        <v>43837</v>
      </c>
      <c r="C1139" s="1" t="n">
        <v>45706</v>
      </c>
      <c r="D1139" t="inlineStr">
        <is>
          <t>UPPSALA LÄN</t>
        </is>
      </c>
      <c r="E1139" t="inlineStr">
        <is>
          <t>ENKÖPING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1891-2020</t>
        </is>
      </c>
      <c r="B1140" s="1" t="n">
        <v>43837</v>
      </c>
      <c r="C1140" s="1" t="n">
        <v>45706</v>
      </c>
      <c r="D1140" t="inlineStr">
        <is>
          <t>UPPSALA LÄN</t>
        </is>
      </c>
      <c r="E1140" t="inlineStr">
        <is>
          <t>UPPSALA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701-2020</t>
        </is>
      </c>
      <c r="B1141" s="1" t="n">
        <v>43838</v>
      </c>
      <c r="C1141" s="1" t="n">
        <v>45706</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685-2020</t>
        </is>
      </c>
      <c r="B1142" s="1" t="n">
        <v>43838</v>
      </c>
      <c r="C1142" s="1" t="n">
        <v>45706</v>
      </c>
      <c r="D1142" t="inlineStr">
        <is>
          <t>UPPSALA LÄN</t>
        </is>
      </c>
      <c r="E1142" t="inlineStr">
        <is>
          <t>ÖSTHAMMAR</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724-2020</t>
        </is>
      </c>
      <c r="B1143" s="1" t="n">
        <v>43838</v>
      </c>
      <c r="C1143" s="1" t="n">
        <v>45706</v>
      </c>
      <c r="D1143" t="inlineStr">
        <is>
          <t>UPPSALA LÄN</t>
        </is>
      </c>
      <c r="E1143" t="inlineStr">
        <is>
          <t>ENKÖPING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962-2020</t>
        </is>
      </c>
      <c r="B1144" s="1" t="n">
        <v>43839</v>
      </c>
      <c r="C1144" s="1" t="n">
        <v>45706</v>
      </c>
      <c r="D1144" t="inlineStr">
        <is>
          <t>UPPSALA LÄN</t>
        </is>
      </c>
      <c r="E1144" t="inlineStr">
        <is>
          <t>TIERP</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892-2020</t>
        </is>
      </c>
      <c r="B1145" s="1" t="n">
        <v>43839</v>
      </c>
      <c r="C1145" s="1" t="n">
        <v>45706</v>
      </c>
      <c r="D1145" t="inlineStr">
        <is>
          <t>UPPSALA LÄN</t>
        </is>
      </c>
      <c r="E1145" t="inlineStr">
        <is>
          <t>ENKÖPING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1171-2020</t>
        </is>
      </c>
      <c r="B1146" s="1" t="n">
        <v>43840</v>
      </c>
      <c r="C1146" s="1" t="n">
        <v>45706</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1348-2020</t>
        </is>
      </c>
      <c r="B1147" s="1" t="n">
        <v>43843</v>
      </c>
      <c r="C1147" s="1" t="n">
        <v>45706</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1387-2020</t>
        </is>
      </c>
      <c r="B1148" s="1" t="n">
        <v>43843</v>
      </c>
      <c r="C1148" s="1" t="n">
        <v>45706</v>
      </c>
      <c r="D1148" t="inlineStr">
        <is>
          <t>UPPSALA LÄN</t>
        </is>
      </c>
      <c r="E1148" t="inlineStr">
        <is>
          <t>HEBY</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1432-2020</t>
        </is>
      </c>
      <c r="B1149" s="1" t="n">
        <v>43843</v>
      </c>
      <c r="C1149" s="1" t="n">
        <v>45706</v>
      </c>
      <c r="D1149" t="inlineStr">
        <is>
          <t>UPPSALA LÄN</t>
        </is>
      </c>
      <c r="E1149" t="inlineStr">
        <is>
          <t>TIERP</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1685-2020</t>
        </is>
      </c>
      <c r="B1150" s="1" t="n">
        <v>43844</v>
      </c>
      <c r="C1150" s="1" t="n">
        <v>45706</v>
      </c>
      <c r="D1150" t="inlineStr">
        <is>
          <t>UPPSALA LÄN</t>
        </is>
      </c>
      <c r="E1150" t="inlineStr">
        <is>
          <t>ÖSTHAMMAR</t>
        </is>
      </c>
      <c r="F1150" t="inlineStr">
        <is>
          <t>Övriga Aktiebolag</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1681-2020</t>
        </is>
      </c>
      <c r="B1151" s="1" t="n">
        <v>43844</v>
      </c>
      <c r="C1151" s="1" t="n">
        <v>45706</v>
      </c>
      <c r="D1151" t="inlineStr">
        <is>
          <t>UPPSALA LÄN</t>
        </is>
      </c>
      <c r="E1151" t="inlineStr">
        <is>
          <t>ÖSTHAMMAR</t>
        </is>
      </c>
      <c r="F1151" t="inlineStr">
        <is>
          <t>Övriga Aktiebolag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1717-2020</t>
        </is>
      </c>
      <c r="B1152" s="1" t="n">
        <v>43844</v>
      </c>
      <c r="C1152" s="1" t="n">
        <v>45706</v>
      </c>
      <c r="D1152" t="inlineStr">
        <is>
          <t>UPPSALA LÄN</t>
        </is>
      </c>
      <c r="E1152" t="inlineStr">
        <is>
          <t>HEBY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1688-2020</t>
        </is>
      </c>
      <c r="B1153" s="1" t="n">
        <v>43844</v>
      </c>
      <c r="C1153" s="1" t="n">
        <v>45706</v>
      </c>
      <c r="D1153" t="inlineStr">
        <is>
          <t>UPPSALA LÄN</t>
        </is>
      </c>
      <c r="E1153" t="inlineStr">
        <is>
          <t>UPPSALA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1929-2020</t>
        </is>
      </c>
      <c r="B1154" s="1" t="n">
        <v>43845</v>
      </c>
      <c r="C1154" s="1" t="n">
        <v>45706</v>
      </c>
      <c r="D1154" t="inlineStr">
        <is>
          <t>UPPSALA LÄN</t>
        </is>
      </c>
      <c r="E1154" t="inlineStr">
        <is>
          <t>HEBY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2182-2020</t>
        </is>
      </c>
      <c r="B1155" s="1" t="n">
        <v>43846</v>
      </c>
      <c r="C1155" s="1" t="n">
        <v>45706</v>
      </c>
      <c r="D1155" t="inlineStr">
        <is>
          <t>UPPSALA LÄN</t>
        </is>
      </c>
      <c r="E1155" t="inlineStr">
        <is>
          <t>ENKÖPING</t>
        </is>
      </c>
      <c r="F1155" t="inlineStr">
        <is>
          <t>Övriga statliga verk och myndigheter</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2205-2020</t>
        </is>
      </c>
      <c r="B1156" s="1" t="n">
        <v>43846</v>
      </c>
      <c r="C1156" s="1" t="n">
        <v>45706</v>
      </c>
      <c r="D1156" t="inlineStr">
        <is>
          <t>UPPSALA LÄN</t>
        </is>
      </c>
      <c r="E1156" t="inlineStr">
        <is>
          <t>ENKÖPING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2162-2020</t>
        </is>
      </c>
      <c r="B1157" s="1" t="n">
        <v>43846</v>
      </c>
      <c r="C1157" s="1" t="n">
        <v>45706</v>
      </c>
      <c r="D1157" t="inlineStr">
        <is>
          <t>UPPSALA LÄN</t>
        </is>
      </c>
      <c r="E1157" t="inlineStr">
        <is>
          <t>UPPSALA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2177-2020</t>
        </is>
      </c>
      <c r="B1158" s="1" t="n">
        <v>43846</v>
      </c>
      <c r="C1158" s="1" t="n">
        <v>45706</v>
      </c>
      <c r="D1158" t="inlineStr">
        <is>
          <t>UPPSALA LÄN</t>
        </is>
      </c>
      <c r="E1158" t="inlineStr">
        <is>
          <t>ENKÖPING</t>
        </is>
      </c>
      <c r="F1158" t="inlineStr">
        <is>
          <t>Övriga statliga verk och myndigheter</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2220-2020</t>
        </is>
      </c>
      <c r="B1159" s="1" t="n">
        <v>43846</v>
      </c>
      <c r="C1159" s="1" t="n">
        <v>45706</v>
      </c>
      <c r="D1159" t="inlineStr">
        <is>
          <t>UPPSALA LÄN</t>
        </is>
      </c>
      <c r="E1159" t="inlineStr">
        <is>
          <t>ENKÖPING</t>
        </is>
      </c>
      <c r="F1159" t="inlineStr">
        <is>
          <t>Övriga statliga verk och myndigheter</t>
        </is>
      </c>
      <c r="G1159" t="n">
        <v>11.8</v>
      </c>
      <c r="H1159" t="n">
        <v>0</v>
      </c>
      <c r="I1159" t="n">
        <v>0</v>
      </c>
      <c r="J1159" t="n">
        <v>0</v>
      </c>
      <c r="K1159" t="n">
        <v>0</v>
      </c>
      <c r="L1159" t="n">
        <v>0</v>
      </c>
      <c r="M1159" t="n">
        <v>0</v>
      </c>
      <c r="N1159" t="n">
        <v>0</v>
      </c>
      <c r="O1159" t="n">
        <v>0</v>
      </c>
      <c r="P1159" t="n">
        <v>0</v>
      </c>
      <c r="Q1159" t="n">
        <v>0</v>
      </c>
      <c r="R1159" s="2" t="inlineStr"/>
    </row>
    <row r="1160" ht="15" customHeight="1">
      <c r="A1160" t="inlineStr">
        <is>
          <t>A 2186-2020</t>
        </is>
      </c>
      <c r="B1160" s="1" t="n">
        <v>43846</v>
      </c>
      <c r="C1160" s="1" t="n">
        <v>45706</v>
      </c>
      <c r="D1160" t="inlineStr">
        <is>
          <t>UPPSALA LÄN</t>
        </is>
      </c>
      <c r="E1160" t="inlineStr">
        <is>
          <t>ENKÖPING</t>
        </is>
      </c>
      <c r="F1160" t="inlineStr">
        <is>
          <t>Övriga statliga verk och myndigheter</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2225-2020</t>
        </is>
      </c>
      <c r="B1161" s="1" t="n">
        <v>43846</v>
      </c>
      <c r="C1161" s="1" t="n">
        <v>45706</v>
      </c>
      <c r="D1161" t="inlineStr">
        <is>
          <t>UPPSALA LÄN</t>
        </is>
      </c>
      <c r="E1161" t="inlineStr">
        <is>
          <t>ENKÖPING</t>
        </is>
      </c>
      <c r="F1161" t="inlineStr">
        <is>
          <t>Övriga statliga verk och myndigheter</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2306-2020</t>
        </is>
      </c>
      <c r="B1162" s="1" t="n">
        <v>43846</v>
      </c>
      <c r="C1162" s="1" t="n">
        <v>45706</v>
      </c>
      <c r="D1162" t="inlineStr">
        <is>
          <t>UPPSALA LÄN</t>
        </is>
      </c>
      <c r="E1162" t="inlineStr">
        <is>
          <t>HEBY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2315-2020</t>
        </is>
      </c>
      <c r="B1163" s="1" t="n">
        <v>43846</v>
      </c>
      <c r="C1163" s="1" t="n">
        <v>45706</v>
      </c>
      <c r="D1163" t="inlineStr">
        <is>
          <t>UPPSALA LÄN</t>
        </is>
      </c>
      <c r="E1163" t="inlineStr">
        <is>
          <t>HEBY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2217-2020</t>
        </is>
      </c>
      <c r="B1164" s="1" t="n">
        <v>43846</v>
      </c>
      <c r="C1164" s="1" t="n">
        <v>45706</v>
      </c>
      <c r="D1164" t="inlineStr">
        <is>
          <t>UPPSALA LÄN</t>
        </is>
      </c>
      <c r="E1164" t="inlineStr">
        <is>
          <t>ENKÖPING</t>
        </is>
      </c>
      <c r="F1164" t="inlineStr">
        <is>
          <t>Övriga statliga verk och myndigheter</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2222-2020</t>
        </is>
      </c>
      <c r="B1165" s="1" t="n">
        <v>43846</v>
      </c>
      <c r="C1165" s="1" t="n">
        <v>45706</v>
      </c>
      <c r="D1165" t="inlineStr">
        <is>
          <t>UPPSALA LÄN</t>
        </is>
      </c>
      <c r="E1165" t="inlineStr">
        <is>
          <t>ENKÖPING</t>
        </is>
      </c>
      <c r="F1165" t="inlineStr">
        <is>
          <t>Övriga statliga verk och myndigheter</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2499-2020</t>
        </is>
      </c>
      <c r="B1166" s="1" t="n">
        <v>43847</v>
      </c>
      <c r="C1166" s="1" t="n">
        <v>45706</v>
      </c>
      <c r="D1166" t="inlineStr">
        <is>
          <t>UPPSALA LÄN</t>
        </is>
      </c>
      <c r="E1166" t="inlineStr">
        <is>
          <t>HEBY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4265-2020</t>
        </is>
      </c>
      <c r="B1167" s="1" t="n">
        <v>43847</v>
      </c>
      <c r="C1167" s="1" t="n">
        <v>45706</v>
      </c>
      <c r="D1167" t="inlineStr">
        <is>
          <t>UPPSALA LÄN</t>
        </is>
      </c>
      <c r="E1167" t="inlineStr">
        <is>
          <t>HÅBO</t>
        </is>
      </c>
      <c r="F1167" t="inlineStr">
        <is>
          <t>Övriga statliga verk och myndigheter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2663-2020</t>
        </is>
      </c>
      <c r="B1168" s="1" t="n">
        <v>43849</v>
      </c>
      <c r="C1168" s="1" t="n">
        <v>45706</v>
      </c>
      <c r="D1168" t="inlineStr">
        <is>
          <t>UPPSALA LÄN</t>
        </is>
      </c>
      <c r="E1168" t="inlineStr">
        <is>
          <t>KNIVSTA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2895-2020</t>
        </is>
      </c>
      <c r="B1169" s="1" t="n">
        <v>43850</v>
      </c>
      <c r="C1169" s="1" t="n">
        <v>45706</v>
      </c>
      <c r="D1169" t="inlineStr">
        <is>
          <t>UPPSALA LÄN</t>
        </is>
      </c>
      <c r="E1169" t="inlineStr">
        <is>
          <t>UPPSALA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4473-2020</t>
        </is>
      </c>
      <c r="B1170" s="1" t="n">
        <v>43850</v>
      </c>
      <c r="C1170" s="1" t="n">
        <v>45706</v>
      </c>
      <c r="D1170" t="inlineStr">
        <is>
          <t>UPPSALA LÄN</t>
        </is>
      </c>
      <c r="E1170" t="inlineStr">
        <is>
          <t>ÖSTHAMMAR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3276-2020</t>
        </is>
      </c>
      <c r="B1171" s="1" t="n">
        <v>43852</v>
      </c>
      <c r="C1171" s="1" t="n">
        <v>45706</v>
      </c>
      <c r="D1171" t="inlineStr">
        <is>
          <t>UPPSALA LÄN</t>
        </is>
      </c>
      <c r="E1171" t="inlineStr">
        <is>
          <t>HEBY</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3242-2020</t>
        </is>
      </c>
      <c r="B1172" s="1" t="n">
        <v>43852</v>
      </c>
      <c r="C1172" s="1" t="n">
        <v>45706</v>
      </c>
      <c r="D1172" t="inlineStr">
        <is>
          <t>UPPSALA LÄN</t>
        </is>
      </c>
      <c r="E1172" t="inlineStr">
        <is>
          <t>HEBY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3334-2020</t>
        </is>
      </c>
      <c r="B1173" s="1" t="n">
        <v>43852</v>
      </c>
      <c r="C1173" s="1" t="n">
        <v>45706</v>
      </c>
      <c r="D1173" t="inlineStr">
        <is>
          <t>UPPSALA LÄN</t>
        </is>
      </c>
      <c r="E1173" t="inlineStr">
        <is>
          <t>ÖSTHAMMAR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3522-2020</t>
        </is>
      </c>
      <c r="B1174" s="1" t="n">
        <v>43853</v>
      </c>
      <c r="C1174" s="1" t="n">
        <v>45706</v>
      </c>
      <c r="D1174" t="inlineStr">
        <is>
          <t>UPPSALA LÄN</t>
        </is>
      </c>
      <c r="E1174" t="inlineStr">
        <is>
          <t>TIERP</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3693-2020</t>
        </is>
      </c>
      <c r="B1175" s="1" t="n">
        <v>43853</v>
      </c>
      <c r="C1175" s="1" t="n">
        <v>45706</v>
      </c>
      <c r="D1175" t="inlineStr">
        <is>
          <t>UPPSALA LÄN</t>
        </is>
      </c>
      <c r="E1175" t="inlineStr">
        <is>
          <t>UPPSALA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3734-2020</t>
        </is>
      </c>
      <c r="B1176" s="1" t="n">
        <v>43853</v>
      </c>
      <c r="C1176" s="1" t="n">
        <v>45706</v>
      </c>
      <c r="D1176" t="inlineStr">
        <is>
          <t>UPPSALA LÄN</t>
        </is>
      </c>
      <c r="E1176" t="inlineStr">
        <is>
          <t>TIERP</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3516-2020</t>
        </is>
      </c>
      <c r="B1177" s="1" t="n">
        <v>43853</v>
      </c>
      <c r="C1177" s="1" t="n">
        <v>45706</v>
      </c>
      <c r="D1177" t="inlineStr">
        <is>
          <t>UPPSALA LÄN</t>
        </is>
      </c>
      <c r="E1177" t="inlineStr">
        <is>
          <t>UPPSALA</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3984-2020</t>
        </is>
      </c>
      <c r="B1178" s="1" t="n">
        <v>43855</v>
      </c>
      <c r="C1178" s="1" t="n">
        <v>45706</v>
      </c>
      <c r="D1178" t="inlineStr">
        <is>
          <t>UPPSALA LÄN</t>
        </is>
      </c>
      <c r="E1178" t="inlineStr">
        <is>
          <t>ÖSTHAMMAR</t>
        </is>
      </c>
      <c r="F1178" t="inlineStr">
        <is>
          <t>Bergvik skog öst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4073-2020</t>
        </is>
      </c>
      <c r="B1179" s="1" t="n">
        <v>43857</v>
      </c>
      <c r="C1179" s="1" t="n">
        <v>45706</v>
      </c>
      <c r="D1179" t="inlineStr">
        <is>
          <t>UPPSALA LÄN</t>
        </is>
      </c>
      <c r="E1179" t="inlineStr">
        <is>
          <t>ENKÖPING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4549-2020</t>
        </is>
      </c>
      <c r="B1180" s="1" t="n">
        <v>43858</v>
      </c>
      <c r="C1180" s="1" t="n">
        <v>45706</v>
      </c>
      <c r="D1180" t="inlineStr">
        <is>
          <t>UPPSALA LÄN</t>
        </is>
      </c>
      <c r="E1180" t="inlineStr">
        <is>
          <t>HEBY</t>
        </is>
      </c>
      <c r="F1180" t="inlineStr">
        <is>
          <t>Kyrkan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4567-2020</t>
        </is>
      </c>
      <c r="B1181" s="1" t="n">
        <v>43858</v>
      </c>
      <c r="C1181" s="1" t="n">
        <v>45706</v>
      </c>
      <c r="D1181" t="inlineStr">
        <is>
          <t>UPPSALA LÄN</t>
        </is>
      </c>
      <c r="E1181" t="inlineStr">
        <is>
          <t>KNIVSTA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4899-2020</t>
        </is>
      </c>
      <c r="B1182" s="1" t="n">
        <v>43859</v>
      </c>
      <c r="C1182" s="1" t="n">
        <v>45706</v>
      </c>
      <c r="D1182" t="inlineStr">
        <is>
          <t>UPPSALA LÄN</t>
        </is>
      </c>
      <c r="E1182" t="inlineStr">
        <is>
          <t>TIERP</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5032-2020</t>
        </is>
      </c>
      <c r="B1183" s="1" t="n">
        <v>43859</v>
      </c>
      <c r="C1183" s="1" t="n">
        <v>45706</v>
      </c>
      <c r="D1183" t="inlineStr">
        <is>
          <t>UPPSALA LÄN</t>
        </is>
      </c>
      <c r="E1183" t="inlineStr">
        <is>
          <t>ENKÖPING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5048-2020</t>
        </is>
      </c>
      <c r="B1184" s="1" t="n">
        <v>43859</v>
      </c>
      <c r="C1184" s="1" t="n">
        <v>45706</v>
      </c>
      <c r="D1184" t="inlineStr">
        <is>
          <t>UPPSALA LÄN</t>
        </is>
      </c>
      <c r="E1184" t="inlineStr">
        <is>
          <t>TIERP</t>
        </is>
      </c>
      <c r="F1184" t="inlineStr">
        <is>
          <t>Bergvik skog öst AB</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5395-2020</t>
        </is>
      </c>
      <c r="B1185" s="1" t="n">
        <v>43860</v>
      </c>
      <c r="C1185" s="1" t="n">
        <v>45706</v>
      </c>
      <c r="D1185" t="inlineStr">
        <is>
          <t>UPPSALA LÄN</t>
        </is>
      </c>
      <c r="E1185" t="inlineStr">
        <is>
          <t>HEBY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5345-2020</t>
        </is>
      </c>
      <c r="B1186" s="1" t="n">
        <v>43860</v>
      </c>
      <c r="C1186" s="1" t="n">
        <v>45706</v>
      </c>
      <c r="D1186" t="inlineStr">
        <is>
          <t>UPPSALA LÄN</t>
        </is>
      </c>
      <c r="E1186" t="inlineStr">
        <is>
          <t>ENKÖPING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5178-2020</t>
        </is>
      </c>
      <c r="B1187" s="1" t="n">
        <v>43860</v>
      </c>
      <c r="C1187" s="1" t="n">
        <v>45706</v>
      </c>
      <c r="D1187" t="inlineStr">
        <is>
          <t>UPPSALA LÄN</t>
        </is>
      </c>
      <c r="E1187" t="inlineStr">
        <is>
          <t>ENKÖPING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5511-2020</t>
        </is>
      </c>
      <c r="B1188" s="1" t="n">
        <v>43861</v>
      </c>
      <c r="C1188" s="1" t="n">
        <v>45706</v>
      </c>
      <c r="D1188" t="inlineStr">
        <is>
          <t>UPPSALA LÄN</t>
        </is>
      </c>
      <c r="E1188" t="inlineStr">
        <is>
          <t>ÄLVKARLEBY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5539-2020</t>
        </is>
      </c>
      <c r="B1189" s="1" t="n">
        <v>43861</v>
      </c>
      <c r="C1189" s="1" t="n">
        <v>45706</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5740-2020</t>
        </is>
      </c>
      <c r="B1190" s="1" t="n">
        <v>43863</v>
      </c>
      <c r="C1190" s="1" t="n">
        <v>45706</v>
      </c>
      <c r="D1190" t="inlineStr">
        <is>
          <t>UPPSALA LÄN</t>
        </is>
      </c>
      <c r="E1190" t="inlineStr">
        <is>
          <t>HEBY</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5774-2020</t>
        </is>
      </c>
      <c r="B1191" s="1" t="n">
        <v>43864</v>
      </c>
      <c r="C1191" s="1" t="n">
        <v>45706</v>
      </c>
      <c r="D1191" t="inlineStr">
        <is>
          <t>UPPSALA LÄN</t>
        </is>
      </c>
      <c r="E1191" t="inlineStr">
        <is>
          <t>HEBY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6052-2020</t>
        </is>
      </c>
      <c r="B1192" s="1" t="n">
        <v>43864</v>
      </c>
      <c r="C1192" s="1" t="n">
        <v>45706</v>
      </c>
      <c r="D1192" t="inlineStr">
        <is>
          <t>UPPSALA LÄN</t>
        </is>
      </c>
      <c r="E1192" t="inlineStr">
        <is>
          <t>ÖSTHAMMAR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5759-2020</t>
        </is>
      </c>
      <c r="B1193" s="1" t="n">
        <v>43864</v>
      </c>
      <c r="C1193" s="1" t="n">
        <v>45706</v>
      </c>
      <c r="D1193" t="inlineStr">
        <is>
          <t>UPPSALA LÄN</t>
        </is>
      </c>
      <c r="E1193" t="inlineStr">
        <is>
          <t>HEBY</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6026-2020</t>
        </is>
      </c>
      <c r="B1194" s="1" t="n">
        <v>43865</v>
      </c>
      <c r="C1194" s="1" t="n">
        <v>45706</v>
      </c>
      <c r="D1194" t="inlineStr">
        <is>
          <t>UPPSALA LÄN</t>
        </is>
      </c>
      <c r="E1194" t="inlineStr">
        <is>
          <t>ÖSTHAMMAR</t>
        </is>
      </c>
      <c r="F1194" t="inlineStr">
        <is>
          <t>Övriga Aktiebolag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6045-2020</t>
        </is>
      </c>
      <c r="B1195" s="1" t="n">
        <v>43865</v>
      </c>
      <c r="C1195" s="1" t="n">
        <v>45706</v>
      </c>
      <c r="D1195" t="inlineStr">
        <is>
          <t>UPPSALA LÄN</t>
        </is>
      </c>
      <c r="E1195" t="inlineStr">
        <is>
          <t>ENKÖPING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6313-2020</t>
        </is>
      </c>
      <c r="B1196" s="1" t="n">
        <v>43866</v>
      </c>
      <c r="C1196" s="1" t="n">
        <v>45706</v>
      </c>
      <c r="D1196" t="inlineStr">
        <is>
          <t>UPPSALA LÄN</t>
        </is>
      </c>
      <c r="E1196" t="inlineStr">
        <is>
          <t>UPPSALA</t>
        </is>
      </c>
      <c r="F1196" t="inlineStr">
        <is>
          <t>Övriga statliga verk och myndigheter</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6315-2020</t>
        </is>
      </c>
      <c r="B1197" s="1" t="n">
        <v>43866</v>
      </c>
      <c r="C1197" s="1" t="n">
        <v>45706</v>
      </c>
      <c r="D1197" t="inlineStr">
        <is>
          <t>UPPSALA LÄN</t>
        </is>
      </c>
      <c r="E1197" t="inlineStr">
        <is>
          <t>UPPSALA</t>
        </is>
      </c>
      <c r="F1197" t="inlineStr">
        <is>
          <t>Övriga statliga verk och myndigheter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6320-2020</t>
        </is>
      </c>
      <c r="B1198" s="1" t="n">
        <v>43866</v>
      </c>
      <c r="C1198" s="1" t="n">
        <v>45706</v>
      </c>
      <c r="D1198" t="inlineStr">
        <is>
          <t>UPPSALA LÄN</t>
        </is>
      </c>
      <c r="E1198" t="inlineStr">
        <is>
          <t>ENKÖPING</t>
        </is>
      </c>
      <c r="F1198" t="inlineStr">
        <is>
          <t>Övriga statliga verk och myndigheter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6345-2020</t>
        </is>
      </c>
      <c r="B1199" s="1" t="n">
        <v>43866</v>
      </c>
      <c r="C1199" s="1" t="n">
        <v>45706</v>
      </c>
      <c r="D1199" t="inlineStr">
        <is>
          <t>UPPSALA LÄN</t>
        </is>
      </c>
      <c r="E1199" t="inlineStr">
        <is>
          <t>ENKÖPING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6754-2020</t>
        </is>
      </c>
      <c r="B1200" s="1" t="n">
        <v>43866</v>
      </c>
      <c r="C1200" s="1" t="n">
        <v>45706</v>
      </c>
      <c r="D1200" t="inlineStr">
        <is>
          <t>UPPSALA LÄN</t>
        </is>
      </c>
      <c r="E1200" t="inlineStr">
        <is>
          <t>HEBY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6700-2020</t>
        </is>
      </c>
      <c r="B1201" s="1" t="n">
        <v>43866</v>
      </c>
      <c r="C1201" s="1" t="n">
        <v>45706</v>
      </c>
      <c r="D1201" t="inlineStr">
        <is>
          <t>UPPSALA LÄN</t>
        </is>
      </c>
      <c r="E1201" t="inlineStr">
        <is>
          <t>ENKÖPING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6434-2020</t>
        </is>
      </c>
      <c r="B1202" s="1" t="n">
        <v>43866</v>
      </c>
      <c r="C1202" s="1" t="n">
        <v>45706</v>
      </c>
      <c r="D1202" t="inlineStr">
        <is>
          <t>UPPSALA LÄN</t>
        </is>
      </c>
      <c r="E1202" t="inlineStr">
        <is>
          <t>ENKÖPING</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6536-2020</t>
        </is>
      </c>
      <c r="B1203" s="1" t="n">
        <v>43867</v>
      </c>
      <c r="C1203" s="1" t="n">
        <v>45706</v>
      </c>
      <c r="D1203" t="inlineStr">
        <is>
          <t>UPPSALA LÄN</t>
        </is>
      </c>
      <c r="E1203" t="inlineStr">
        <is>
          <t>HEBY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6676-2020</t>
        </is>
      </c>
      <c r="B1204" s="1" t="n">
        <v>43867</v>
      </c>
      <c r="C1204" s="1" t="n">
        <v>45706</v>
      </c>
      <c r="D1204" t="inlineStr">
        <is>
          <t>UPPSALA LÄN</t>
        </is>
      </c>
      <c r="E1204" t="inlineStr">
        <is>
          <t>HEBY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6791-2020</t>
        </is>
      </c>
      <c r="B1205" s="1" t="n">
        <v>43867</v>
      </c>
      <c r="C1205" s="1" t="n">
        <v>45706</v>
      </c>
      <c r="D1205" t="inlineStr">
        <is>
          <t>UPPSALA LÄN</t>
        </is>
      </c>
      <c r="E1205" t="inlineStr">
        <is>
          <t>ÖSTHAMMAR</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6655-2020</t>
        </is>
      </c>
      <c r="B1206" s="1" t="n">
        <v>43867</v>
      </c>
      <c r="C1206" s="1" t="n">
        <v>45706</v>
      </c>
      <c r="D1206" t="inlineStr">
        <is>
          <t>UPPSALA LÄN</t>
        </is>
      </c>
      <c r="E1206" t="inlineStr">
        <is>
          <t>UPPSALA</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6990-2020</t>
        </is>
      </c>
      <c r="B1207" s="1" t="n">
        <v>43868</v>
      </c>
      <c r="C1207" s="1" t="n">
        <v>45706</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7329-2020</t>
        </is>
      </c>
      <c r="B1208" s="1" t="n">
        <v>43871</v>
      </c>
      <c r="C1208" s="1" t="n">
        <v>45706</v>
      </c>
      <c r="D1208" t="inlineStr">
        <is>
          <t>UPPSALA LÄN</t>
        </is>
      </c>
      <c r="E1208" t="inlineStr">
        <is>
          <t>HEBY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7397-2020</t>
        </is>
      </c>
      <c r="B1209" s="1" t="n">
        <v>43871</v>
      </c>
      <c r="C1209" s="1" t="n">
        <v>45706</v>
      </c>
      <c r="D1209" t="inlineStr">
        <is>
          <t>UPPSALA LÄN</t>
        </is>
      </c>
      <c r="E1209" t="inlineStr">
        <is>
          <t>HEBY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7847-2020</t>
        </is>
      </c>
      <c r="B1210" s="1" t="n">
        <v>43873</v>
      </c>
      <c r="C1210" s="1" t="n">
        <v>45706</v>
      </c>
      <c r="D1210" t="inlineStr">
        <is>
          <t>UPPSALA LÄN</t>
        </is>
      </c>
      <c r="E1210" t="inlineStr">
        <is>
          <t>ÖSTHAMMAR</t>
        </is>
      </c>
      <c r="F1210" t="inlineStr">
        <is>
          <t>Övriga Aktiebolag</t>
        </is>
      </c>
      <c r="G1210" t="n">
        <v>15.3</v>
      </c>
      <c r="H1210" t="n">
        <v>0</v>
      </c>
      <c r="I1210" t="n">
        <v>0</v>
      </c>
      <c r="J1210" t="n">
        <v>0</v>
      </c>
      <c r="K1210" t="n">
        <v>0</v>
      </c>
      <c r="L1210" t="n">
        <v>0</v>
      </c>
      <c r="M1210" t="n">
        <v>0</v>
      </c>
      <c r="N1210" t="n">
        <v>0</v>
      </c>
      <c r="O1210" t="n">
        <v>0</v>
      </c>
      <c r="P1210" t="n">
        <v>0</v>
      </c>
      <c r="Q1210" t="n">
        <v>0</v>
      </c>
      <c r="R1210" s="2" t="inlineStr"/>
    </row>
    <row r="1211" ht="15" customHeight="1">
      <c r="A1211" t="inlineStr">
        <is>
          <t>A 8185-2020</t>
        </is>
      </c>
      <c r="B1211" s="1" t="n">
        <v>43874</v>
      </c>
      <c r="C1211" s="1" t="n">
        <v>45706</v>
      </c>
      <c r="D1211" t="inlineStr">
        <is>
          <t>UPPSALA LÄN</t>
        </is>
      </c>
      <c r="E1211" t="inlineStr">
        <is>
          <t>ENKÖPING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8214-2020</t>
        </is>
      </c>
      <c r="B1212" s="1" t="n">
        <v>43874</v>
      </c>
      <c r="C1212" s="1" t="n">
        <v>45706</v>
      </c>
      <c r="D1212" t="inlineStr">
        <is>
          <t>UPPSALA LÄN</t>
        </is>
      </c>
      <c r="E1212" t="inlineStr">
        <is>
          <t>TIERP</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8261-2020</t>
        </is>
      </c>
      <c r="B1213" s="1" t="n">
        <v>43874</v>
      </c>
      <c r="C1213" s="1" t="n">
        <v>45706</v>
      </c>
      <c r="D1213" t="inlineStr">
        <is>
          <t>UPPSALA LÄN</t>
        </is>
      </c>
      <c r="E1213" t="inlineStr">
        <is>
          <t>UPPSALA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8320-2020</t>
        </is>
      </c>
      <c r="B1214" s="1" t="n">
        <v>43875</v>
      </c>
      <c r="C1214" s="1" t="n">
        <v>45706</v>
      </c>
      <c r="D1214" t="inlineStr">
        <is>
          <t>UPPSALA LÄN</t>
        </is>
      </c>
      <c r="E1214" t="inlineStr">
        <is>
          <t>ENKÖPING</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8344-2020</t>
        </is>
      </c>
      <c r="B1215" s="1" t="n">
        <v>43875</v>
      </c>
      <c r="C1215" s="1" t="n">
        <v>45706</v>
      </c>
      <c r="D1215" t="inlineStr">
        <is>
          <t>UPPSALA LÄN</t>
        </is>
      </c>
      <c r="E1215" t="inlineStr">
        <is>
          <t>ENKÖPING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8703-2020</t>
        </is>
      </c>
      <c r="B1216" s="1" t="n">
        <v>43875</v>
      </c>
      <c r="C1216" s="1" t="n">
        <v>45706</v>
      </c>
      <c r="D1216" t="inlineStr">
        <is>
          <t>UPPSALA LÄN</t>
        </is>
      </c>
      <c r="E1216" t="inlineStr">
        <is>
          <t>TIERP</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8692-2020</t>
        </is>
      </c>
      <c r="B1217" s="1" t="n">
        <v>43878</v>
      </c>
      <c r="C1217" s="1" t="n">
        <v>45706</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8646-2020</t>
        </is>
      </c>
      <c r="B1218" s="1" t="n">
        <v>43878</v>
      </c>
      <c r="C1218" s="1" t="n">
        <v>45706</v>
      </c>
      <c r="D1218" t="inlineStr">
        <is>
          <t>UPPSALA LÄN</t>
        </is>
      </c>
      <c r="E1218" t="inlineStr">
        <is>
          <t>UPPSALA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8700-2020</t>
        </is>
      </c>
      <c r="B1219" s="1" t="n">
        <v>43878</v>
      </c>
      <c r="C1219" s="1" t="n">
        <v>45706</v>
      </c>
      <c r="D1219" t="inlineStr">
        <is>
          <t>UPPSALA LÄN</t>
        </is>
      </c>
      <c r="E1219" t="inlineStr">
        <is>
          <t>ENKÖPING</t>
        </is>
      </c>
      <c r="F1219" t="inlineStr">
        <is>
          <t>Kyrkan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8757-2020</t>
        </is>
      </c>
      <c r="B1220" s="1" t="n">
        <v>43878</v>
      </c>
      <c r="C1220" s="1" t="n">
        <v>45706</v>
      </c>
      <c r="D1220" t="inlineStr">
        <is>
          <t>UPPSALA LÄN</t>
        </is>
      </c>
      <c r="E1220" t="inlineStr">
        <is>
          <t>TIERP</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8902-2020</t>
        </is>
      </c>
      <c r="B1221" s="1" t="n">
        <v>43878</v>
      </c>
      <c r="C1221" s="1" t="n">
        <v>45706</v>
      </c>
      <c r="D1221" t="inlineStr">
        <is>
          <t>UPPSALA LÄN</t>
        </is>
      </c>
      <c r="E1221" t="inlineStr">
        <is>
          <t>UPPSALA</t>
        </is>
      </c>
      <c r="F1221" t="inlineStr">
        <is>
          <t>Kyrkan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9011-2020</t>
        </is>
      </c>
      <c r="B1222" s="1" t="n">
        <v>43879</v>
      </c>
      <c r="C1222" s="1" t="n">
        <v>45706</v>
      </c>
      <c r="D1222" t="inlineStr">
        <is>
          <t>UPPSALA LÄN</t>
        </is>
      </c>
      <c r="E1222" t="inlineStr">
        <is>
          <t>UPPSALA</t>
        </is>
      </c>
      <c r="F1222" t="inlineStr">
        <is>
          <t>Övriga statliga verk och myndigheter</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9084-2020</t>
        </is>
      </c>
      <c r="B1223" s="1" t="n">
        <v>43879</v>
      </c>
      <c r="C1223" s="1" t="n">
        <v>45706</v>
      </c>
      <c r="D1223" t="inlineStr">
        <is>
          <t>UPPSALA LÄN</t>
        </is>
      </c>
      <c r="E1223" t="inlineStr">
        <is>
          <t>UPPSALA</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9122-2020</t>
        </is>
      </c>
      <c r="B1224" s="1" t="n">
        <v>43879</v>
      </c>
      <c r="C1224" s="1" t="n">
        <v>45706</v>
      </c>
      <c r="D1224" t="inlineStr">
        <is>
          <t>UPPSALA LÄN</t>
        </is>
      </c>
      <c r="E1224" t="inlineStr">
        <is>
          <t>ENKÖPING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9257-2020</t>
        </is>
      </c>
      <c r="B1225" s="1" t="n">
        <v>43879</v>
      </c>
      <c r="C1225" s="1" t="n">
        <v>45706</v>
      </c>
      <c r="D1225" t="inlineStr">
        <is>
          <t>UPPSALA LÄN</t>
        </is>
      </c>
      <c r="E1225" t="inlineStr">
        <is>
          <t>UPPSALA</t>
        </is>
      </c>
      <c r="F1225" t="inlineStr">
        <is>
          <t>Bergvik skog öst AB</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9351-2020</t>
        </is>
      </c>
      <c r="B1226" s="1" t="n">
        <v>43880</v>
      </c>
      <c r="C1226" s="1" t="n">
        <v>45706</v>
      </c>
      <c r="D1226" t="inlineStr">
        <is>
          <t>UPPSALA LÄN</t>
        </is>
      </c>
      <c r="E1226" t="inlineStr">
        <is>
          <t>ENKÖPING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9380-2020</t>
        </is>
      </c>
      <c r="B1227" s="1" t="n">
        <v>43880</v>
      </c>
      <c r="C1227" s="1" t="n">
        <v>45706</v>
      </c>
      <c r="D1227" t="inlineStr">
        <is>
          <t>UPPSALA LÄN</t>
        </is>
      </c>
      <c r="E1227" t="inlineStr">
        <is>
          <t>ENKÖPING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9334-2020</t>
        </is>
      </c>
      <c r="B1228" s="1" t="n">
        <v>43880</v>
      </c>
      <c r="C1228" s="1" t="n">
        <v>45706</v>
      </c>
      <c r="D1228" t="inlineStr">
        <is>
          <t>UPPSALA LÄN</t>
        </is>
      </c>
      <c r="E1228" t="inlineStr">
        <is>
          <t>TIERP</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9658-2020</t>
        </is>
      </c>
      <c r="B1229" s="1" t="n">
        <v>43881</v>
      </c>
      <c r="C1229" s="1" t="n">
        <v>45706</v>
      </c>
      <c r="D1229" t="inlineStr">
        <is>
          <t>UPPSALA LÄN</t>
        </is>
      </c>
      <c r="E1229" t="inlineStr">
        <is>
          <t>UPPSALA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9927-2020</t>
        </is>
      </c>
      <c r="B1230" s="1" t="n">
        <v>43882</v>
      </c>
      <c r="C1230" s="1" t="n">
        <v>45706</v>
      </c>
      <c r="D1230" t="inlineStr">
        <is>
          <t>UPPSALA LÄN</t>
        </is>
      </c>
      <c r="E1230" t="inlineStr">
        <is>
          <t>HEBY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10003-2020</t>
        </is>
      </c>
      <c r="B1231" s="1" t="n">
        <v>43882</v>
      </c>
      <c r="C1231" s="1" t="n">
        <v>45706</v>
      </c>
      <c r="D1231" t="inlineStr">
        <is>
          <t>UPPSALA LÄN</t>
        </is>
      </c>
      <c r="E1231" t="inlineStr">
        <is>
          <t>UPPSALA</t>
        </is>
      </c>
      <c r="F1231" t="inlineStr">
        <is>
          <t>Kyrkan</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10039-2020</t>
        </is>
      </c>
      <c r="B1232" s="1" t="n">
        <v>43882</v>
      </c>
      <c r="C1232" s="1" t="n">
        <v>45706</v>
      </c>
      <c r="D1232" t="inlineStr">
        <is>
          <t>UPPSALA LÄN</t>
        </is>
      </c>
      <c r="E1232" t="inlineStr">
        <is>
          <t>TIERP</t>
        </is>
      </c>
      <c r="F1232" t="inlineStr">
        <is>
          <t>Bergvik skog väst AB</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9914-2020</t>
        </is>
      </c>
      <c r="B1233" s="1" t="n">
        <v>43882</v>
      </c>
      <c r="C1233" s="1" t="n">
        <v>45706</v>
      </c>
      <c r="D1233" t="inlineStr">
        <is>
          <t>UPPSALA LÄN</t>
        </is>
      </c>
      <c r="E1233" t="inlineStr">
        <is>
          <t>HEBY</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9949-2020</t>
        </is>
      </c>
      <c r="B1234" s="1" t="n">
        <v>43882</v>
      </c>
      <c r="C1234" s="1" t="n">
        <v>45706</v>
      </c>
      <c r="D1234" t="inlineStr">
        <is>
          <t>UPPSALA LÄN</t>
        </is>
      </c>
      <c r="E1234" t="inlineStr">
        <is>
          <t>UPPSALA</t>
        </is>
      </c>
      <c r="F1234" t="inlineStr">
        <is>
          <t>Kyrkan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10033-2020</t>
        </is>
      </c>
      <c r="B1235" s="1" t="n">
        <v>43882</v>
      </c>
      <c r="C1235" s="1" t="n">
        <v>45706</v>
      </c>
      <c r="D1235" t="inlineStr">
        <is>
          <t>UPPSALA LÄN</t>
        </is>
      </c>
      <c r="E1235" t="inlineStr">
        <is>
          <t>UPPSALA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10008-2020</t>
        </is>
      </c>
      <c r="B1236" s="1" t="n">
        <v>43882</v>
      </c>
      <c r="C1236" s="1" t="n">
        <v>45706</v>
      </c>
      <c r="D1236" t="inlineStr">
        <is>
          <t>UPPSALA LÄN</t>
        </is>
      </c>
      <c r="E1236" t="inlineStr">
        <is>
          <t>ÖSTHAMMAR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10345-2020</t>
        </is>
      </c>
      <c r="B1237" s="1" t="n">
        <v>43885</v>
      </c>
      <c r="C1237" s="1" t="n">
        <v>45706</v>
      </c>
      <c r="D1237" t="inlineStr">
        <is>
          <t>UPPSALA LÄN</t>
        </is>
      </c>
      <c r="E1237" t="inlineStr">
        <is>
          <t>ÖSTHAMMAR</t>
        </is>
      </c>
      <c r="F1237" t="inlineStr">
        <is>
          <t>Allmännings- och besparingsskogar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10347-2020</t>
        </is>
      </c>
      <c r="B1238" s="1" t="n">
        <v>43885</v>
      </c>
      <c r="C1238" s="1" t="n">
        <v>45706</v>
      </c>
      <c r="D1238" t="inlineStr">
        <is>
          <t>UPPSALA LÄN</t>
        </is>
      </c>
      <c r="E1238" t="inlineStr">
        <is>
          <t>ÖSTHAMMAR</t>
        </is>
      </c>
      <c r="F1238" t="inlineStr">
        <is>
          <t>Allmännings- och besparingsskogar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10478-2020</t>
        </is>
      </c>
      <c r="B1239" s="1" t="n">
        <v>43886</v>
      </c>
      <c r="C1239" s="1" t="n">
        <v>45706</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11540-2020</t>
        </is>
      </c>
      <c r="B1240" s="1" t="n">
        <v>43887</v>
      </c>
      <c r="C1240" s="1" t="n">
        <v>45706</v>
      </c>
      <c r="D1240" t="inlineStr">
        <is>
          <t>UPPSALA LÄN</t>
        </is>
      </c>
      <c r="E1240" t="inlineStr">
        <is>
          <t>UPPSALA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10795-2020</t>
        </is>
      </c>
      <c r="B1241" s="1" t="n">
        <v>43888</v>
      </c>
      <c r="C1241" s="1" t="n">
        <v>45706</v>
      </c>
      <c r="D1241" t="inlineStr">
        <is>
          <t>UPPSALA LÄN</t>
        </is>
      </c>
      <c r="E1241" t="inlineStr">
        <is>
          <t>ENKÖPING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11060-2020</t>
        </is>
      </c>
      <c r="B1242" s="1" t="n">
        <v>43889</v>
      </c>
      <c r="C1242" s="1" t="n">
        <v>45706</v>
      </c>
      <c r="D1242" t="inlineStr">
        <is>
          <t>UPPSALA LÄN</t>
        </is>
      </c>
      <c r="E1242" t="inlineStr">
        <is>
          <t>ENKÖPING</t>
        </is>
      </c>
      <c r="G1242" t="n">
        <v>22.7</v>
      </c>
      <c r="H1242" t="n">
        <v>0</v>
      </c>
      <c r="I1242" t="n">
        <v>0</v>
      </c>
      <c r="J1242" t="n">
        <v>0</v>
      </c>
      <c r="K1242" t="n">
        <v>0</v>
      </c>
      <c r="L1242" t="n">
        <v>0</v>
      </c>
      <c r="M1242" t="n">
        <v>0</v>
      </c>
      <c r="N1242" t="n">
        <v>0</v>
      </c>
      <c r="O1242" t="n">
        <v>0</v>
      </c>
      <c r="P1242" t="n">
        <v>0</v>
      </c>
      <c r="Q1242" t="n">
        <v>0</v>
      </c>
      <c r="R1242" s="2" t="inlineStr"/>
    </row>
    <row r="1243" ht="15" customHeight="1">
      <c r="A1243" t="inlineStr">
        <is>
          <t>A 11152-2020</t>
        </is>
      </c>
      <c r="B1243" s="1" t="n">
        <v>43891</v>
      </c>
      <c r="C1243" s="1" t="n">
        <v>45706</v>
      </c>
      <c r="D1243" t="inlineStr">
        <is>
          <t>UPPSALA LÄN</t>
        </is>
      </c>
      <c r="E1243" t="inlineStr">
        <is>
          <t>HEBY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11151-2020</t>
        </is>
      </c>
      <c r="B1244" s="1" t="n">
        <v>43891</v>
      </c>
      <c r="C1244" s="1" t="n">
        <v>45706</v>
      </c>
      <c r="D1244" t="inlineStr">
        <is>
          <t>UPPSALA LÄN</t>
        </is>
      </c>
      <c r="E1244" t="inlineStr">
        <is>
          <t>HEBY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11174-2020</t>
        </is>
      </c>
      <c r="B1245" s="1" t="n">
        <v>43891</v>
      </c>
      <c r="C1245" s="1" t="n">
        <v>45706</v>
      </c>
      <c r="D1245" t="inlineStr">
        <is>
          <t>UPPSALA LÄN</t>
        </is>
      </c>
      <c r="E1245" t="inlineStr">
        <is>
          <t>UPPSALA</t>
        </is>
      </c>
      <c r="F1245" t="inlineStr">
        <is>
          <t>Övriga statliga verk och myndigheter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11166-2020</t>
        </is>
      </c>
      <c r="B1246" s="1" t="n">
        <v>43891</v>
      </c>
      <c r="C1246" s="1" t="n">
        <v>45706</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11165-2020</t>
        </is>
      </c>
      <c r="B1247" s="1" t="n">
        <v>43891</v>
      </c>
      <c r="C1247" s="1" t="n">
        <v>45706</v>
      </c>
      <c r="D1247" t="inlineStr">
        <is>
          <t>UPPSALA LÄN</t>
        </is>
      </c>
      <c r="E1247" t="inlineStr">
        <is>
          <t>HEBY</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11281-2020</t>
        </is>
      </c>
      <c r="B1248" s="1" t="n">
        <v>43892</v>
      </c>
      <c r="C1248" s="1" t="n">
        <v>45706</v>
      </c>
      <c r="D1248" t="inlineStr">
        <is>
          <t>UPPSALA LÄN</t>
        </is>
      </c>
      <c r="E1248" t="inlineStr">
        <is>
          <t>HÅBO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12626-2020</t>
        </is>
      </c>
      <c r="B1249" s="1" t="n">
        <v>43892</v>
      </c>
      <c r="C1249" s="1" t="n">
        <v>45706</v>
      </c>
      <c r="D1249" t="inlineStr">
        <is>
          <t>UPPSALA LÄN</t>
        </is>
      </c>
      <c r="E1249" t="inlineStr">
        <is>
          <t>UPPSALA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11336-2020</t>
        </is>
      </c>
      <c r="B1250" s="1" t="n">
        <v>43892</v>
      </c>
      <c r="C1250" s="1" t="n">
        <v>45706</v>
      </c>
      <c r="D1250" t="inlineStr">
        <is>
          <t>UPPSALA LÄN</t>
        </is>
      </c>
      <c r="E1250" t="inlineStr">
        <is>
          <t>UPPSALA</t>
        </is>
      </c>
      <c r="F1250" t="inlineStr">
        <is>
          <t>Kyrkan</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11320-2020</t>
        </is>
      </c>
      <c r="B1251" s="1" t="n">
        <v>43892</v>
      </c>
      <c r="C1251" s="1" t="n">
        <v>45706</v>
      </c>
      <c r="D1251" t="inlineStr">
        <is>
          <t>UPPSALA LÄN</t>
        </is>
      </c>
      <c r="E1251" t="inlineStr">
        <is>
          <t>UPPSALA</t>
        </is>
      </c>
      <c r="F1251" t="inlineStr">
        <is>
          <t>Kyrkan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11228-2020</t>
        </is>
      </c>
      <c r="B1252" s="1" t="n">
        <v>43892</v>
      </c>
      <c r="C1252" s="1" t="n">
        <v>45706</v>
      </c>
      <c r="D1252" t="inlineStr">
        <is>
          <t>UPPSALA LÄN</t>
        </is>
      </c>
      <c r="E1252" t="inlineStr">
        <is>
          <t>ENKÖPING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11433-2020</t>
        </is>
      </c>
      <c r="B1253" s="1" t="n">
        <v>43893</v>
      </c>
      <c r="C1253" s="1" t="n">
        <v>45706</v>
      </c>
      <c r="D1253" t="inlineStr">
        <is>
          <t>UPPSALA LÄN</t>
        </is>
      </c>
      <c r="E1253" t="inlineStr">
        <is>
          <t>TIERP</t>
        </is>
      </c>
      <c r="F1253" t="inlineStr">
        <is>
          <t>Bergvik skog väst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12028-2020</t>
        </is>
      </c>
      <c r="B1254" s="1" t="n">
        <v>43894</v>
      </c>
      <c r="C1254" s="1" t="n">
        <v>45706</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12055-2020</t>
        </is>
      </c>
      <c r="B1255" s="1" t="n">
        <v>43894</v>
      </c>
      <c r="C1255" s="1" t="n">
        <v>45706</v>
      </c>
      <c r="D1255" t="inlineStr">
        <is>
          <t>UPPSALA LÄN</t>
        </is>
      </c>
      <c r="E1255" t="inlineStr">
        <is>
          <t>UPPSALA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12080-2020</t>
        </is>
      </c>
      <c r="B1256" s="1" t="n">
        <v>43895</v>
      </c>
      <c r="C1256" s="1" t="n">
        <v>45706</v>
      </c>
      <c r="D1256" t="inlineStr">
        <is>
          <t>UPPSALA LÄN</t>
        </is>
      </c>
      <c r="E1256" t="inlineStr">
        <is>
          <t>ÖSTHAMMAR</t>
        </is>
      </c>
      <c r="F1256" t="inlineStr">
        <is>
          <t>Övriga Aktiebolag</t>
        </is>
      </c>
      <c r="G1256" t="n">
        <v>13.9</v>
      </c>
      <c r="H1256" t="n">
        <v>0</v>
      </c>
      <c r="I1256" t="n">
        <v>0</v>
      </c>
      <c r="J1256" t="n">
        <v>0</v>
      </c>
      <c r="K1256" t="n">
        <v>0</v>
      </c>
      <c r="L1256" t="n">
        <v>0</v>
      </c>
      <c r="M1256" t="n">
        <v>0</v>
      </c>
      <c r="N1256" t="n">
        <v>0</v>
      </c>
      <c r="O1256" t="n">
        <v>0</v>
      </c>
      <c r="P1256" t="n">
        <v>0</v>
      </c>
      <c r="Q1256" t="n">
        <v>0</v>
      </c>
      <c r="R1256" s="2" t="inlineStr"/>
    </row>
    <row r="1257" ht="15" customHeight="1">
      <c r="A1257" t="inlineStr">
        <is>
          <t>A 12272-2020</t>
        </is>
      </c>
      <c r="B1257" s="1" t="n">
        <v>43895</v>
      </c>
      <c r="C1257" s="1" t="n">
        <v>45706</v>
      </c>
      <c r="D1257" t="inlineStr">
        <is>
          <t>UPPSALA LÄN</t>
        </is>
      </c>
      <c r="E1257" t="inlineStr">
        <is>
          <t>ENKÖPING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12427-2020</t>
        </is>
      </c>
      <c r="B1258" s="1" t="n">
        <v>43896</v>
      </c>
      <c r="C1258" s="1" t="n">
        <v>45706</v>
      </c>
      <c r="D1258" t="inlineStr">
        <is>
          <t>UPPSALA LÄN</t>
        </is>
      </c>
      <c r="E1258" t="inlineStr">
        <is>
          <t>TIERP</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12848-2020</t>
        </is>
      </c>
      <c r="B1259" s="1" t="n">
        <v>43899</v>
      </c>
      <c r="C1259" s="1" t="n">
        <v>45706</v>
      </c>
      <c r="D1259" t="inlineStr">
        <is>
          <t>UPPSALA LÄN</t>
        </is>
      </c>
      <c r="E1259" t="inlineStr">
        <is>
          <t>UPPSALA</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12781-2020</t>
        </is>
      </c>
      <c r="B1260" s="1" t="n">
        <v>43899</v>
      </c>
      <c r="C1260" s="1" t="n">
        <v>45706</v>
      </c>
      <c r="D1260" t="inlineStr">
        <is>
          <t>UPPSALA LÄN</t>
        </is>
      </c>
      <c r="E1260" t="inlineStr">
        <is>
          <t>UPPSALA</t>
        </is>
      </c>
      <c r="F1260" t="inlineStr">
        <is>
          <t>Kyrkan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13447-2020</t>
        </is>
      </c>
      <c r="B1261" s="1" t="n">
        <v>43900</v>
      </c>
      <c r="C1261" s="1" t="n">
        <v>45706</v>
      </c>
      <c r="D1261" t="inlineStr">
        <is>
          <t>UPPSALA LÄN</t>
        </is>
      </c>
      <c r="E1261" t="inlineStr">
        <is>
          <t>HÅBO</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12912-2020</t>
        </is>
      </c>
      <c r="B1262" s="1" t="n">
        <v>43900</v>
      </c>
      <c r="C1262" s="1" t="n">
        <v>45706</v>
      </c>
      <c r="D1262" t="inlineStr">
        <is>
          <t>UPPSALA LÄN</t>
        </is>
      </c>
      <c r="E1262" t="inlineStr">
        <is>
          <t>TIERP</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13140-2020</t>
        </is>
      </c>
      <c r="B1263" s="1" t="n">
        <v>43901</v>
      </c>
      <c r="C1263" s="1" t="n">
        <v>45706</v>
      </c>
      <c r="D1263" t="inlineStr">
        <is>
          <t>UPPSALA LÄN</t>
        </is>
      </c>
      <c r="E1263" t="inlineStr">
        <is>
          <t>HEBY</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13175-2020</t>
        </is>
      </c>
      <c r="B1264" s="1" t="n">
        <v>43901</v>
      </c>
      <c r="C1264" s="1" t="n">
        <v>45706</v>
      </c>
      <c r="D1264" t="inlineStr">
        <is>
          <t>UPPSALA LÄN</t>
        </is>
      </c>
      <c r="E1264" t="inlineStr">
        <is>
          <t>HEBY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13141-2020</t>
        </is>
      </c>
      <c r="B1265" s="1" t="n">
        <v>43901</v>
      </c>
      <c r="C1265" s="1" t="n">
        <v>45706</v>
      </c>
      <c r="D1265" t="inlineStr">
        <is>
          <t>UPPSALA LÄN</t>
        </is>
      </c>
      <c r="E1265" t="inlineStr">
        <is>
          <t>HEBY</t>
        </is>
      </c>
      <c r="F1265" t="inlineStr">
        <is>
          <t>Kyrkan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13180-2020</t>
        </is>
      </c>
      <c r="B1266" s="1" t="n">
        <v>43901</v>
      </c>
      <c r="C1266" s="1" t="n">
        <v>45706</v>
      </c>
      <c r="D1266" t="inlineStr">
        <is>
          <t>UPPSALA LÄN</t>
        </is>
      </c>
      <c r="E1266" t="inlineStr">
        <is>
          <t>HEBY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13112-2020</t>
        </is>
      </c>
      <c r="B1267" s="1" t="n">
        <v>43901</v>
      </c>
      <c r="C1267" s="1" t="n">
        <v>45706</v>
      </c>
      <c r="D1267" t="inlineStr">
        <is>
          <t>UPPSALA LÄN</t>
        </is>
      </c>
      <c r="E1267" t="inlineStr">
        <is>
          <t>ÖSTHAMMAR</t>
        </is>
      </c>
      <c r="F1267" t="inlineStr">
        <is>
          <t>Övriga Aktiebolag</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13582-2020</t>
        </is>
      </c>
      <c r="B1268" s="1" t="n">
        <v>43901</v>
      </c>
      <c r="C1268" s="1" t="n">
        <v>45706</v>
      </c>
      <c r="D1268" t="inlineStr">
        <is>
          <t>UPPSALA LÄN</t>
        </is>
      </c>
      <c r="E1268" t="inlineStr">
        <is>
          <t>HÅBO</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14627-2020</t>
        </is>
      </c>
      <c r="B1269" s="1" t="n">
        <v>43901</v>
      </c>
      <c r="C1269" s="1" t="n">
        <v>45706</v>
      </c>
      <c r="D1269" t="inlineStr">
        <is>
          <t>UPPSALA LÄN</t>
        </is>
      </c>
      <c r="E1269" t="inlineStr">
        <is>
          <t>TIERP</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13310-2020</t>
        </is>
      </c>
      <c r="B1270" s="1" t="n">
        <v>43902</v>
      </c>
      <c r="C1270" s="1" t="n">
        <v>45706</v>
      </c>
      <c r="D1270" t="inlineStr">
        <is>
          <t>UPPSALA LÄN</t>
        </is>
      </c>
      <c r="E1270" t="inlineStr">
        <is>
          <t>ÖSTHAMMAR</t>
        </is>
      </c>
      <c r="F1270" t="inlineStr">
        <is>
          <t>Bergvik skog öst AB</t>
        </is>
      </c>
      <c r="G1270" t="n">
        <v>14.4</v>
      </c>
      <c r="H1270" t="n">
        <v>0</v>
      </c>
      <c r="I1270" t="n">
        <v>0</v>
      </c>
      <c r="J1270" t="n">
        <v>0</v>
      </c>
      <c r="K1270" t="n">
        <v>0</v>
      </c>
      <c r="L1270" t="n">
        <v>0</v>
      </c>
      <c r="M1270" t="n">
        <v>0</v>
      </c>
      <c r="N1270" t="n">
        <v>0</v>
      </c>
      <c r="O1270" t="n">
        <v>0</v>
      </c>
      <c r="P1270" t="n">
        <v>0</v>
      </c>
      <c r="Q1270" t="n">
        <v>0</v>
      </c>
      <c r="R1270" s="2" t="inlineStr"/>
    </row>
    <row r="1271" ht="15" customHeight="1">
      <c r="A1271" t="inlineStr">
        <is>
          <t>A 13547-2020</t>
        </is>
      </c>
      <c r="B1271" s="1" t="n">
        <v>43902</v>
      </c>
      <c r="C1271" s="1" t="n">
        <v>45706</v>
      </c>
      <c r="D1271" t="inlineStr">
        <is>
          <t>UPPSALA LÄN</t>
        </is>
      </c>
      <c r="E1271" t="inlineStr">
        <is>
          <t>KNIVSTA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13636-2020</t>
        </is>
      </c>
      <c r="B1272" s="1" t="n">
        <v>43903</v>
      </c>
      <c r="C1272" s="1" t="n">
        <v>45706</v>
      </c>
      <c r="D1272" t="inlineStr">
        <is>
          <t>UPPSALA LÄN</t>
        </is>
      </c>
      <c r="E1272" t="inlineStr">
        <is>
          <t>UPPSALA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13595-2020</t>
        </is>
      </c>
      <c r="B1273" s="1" t="n">
        <v>43903</v>
      </c>
      <c r="C1273" s="1" t="n">
        <v>45706</v>
      </c>
      <c r="D1273" t="inlineStr">
        <is>
          <t>UPPSALA LÄN</t>
        </is>
      </c>
      <c r="E1273" t="inlineStr">
        <is>
          <t>ÖSTHAMMAR</t>
        </is>
      </c>
      <c r="F1273" t="inlineStr">
        <is>
          <t>Bergvik skog öst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13996-2020</t>
        </is>
      </c>
      <c r="B1274" s="1" t="n">
        <v>43906</v>
      </c>
      <c r="C1274" s="1" t="n">
        <v>45706</v>
      </c>
      <c r="D1274" t="inlineStr">
        <is>
          <t>UPPSALA LÄN</t>
        </is>
      </c>
      <c r="E1274" t="inlineStr">
        <is>
          <t>KNIVSTA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13865-2020</t>
        </is>
      </c>
      <c r="B1275" s="1" t="n">
        <v>43906</v>
      </c>
      <c r="C1275" s="1" t="n">
        <v>45706</v>
      </c>
      <c r="D1275" t="inlineStr">
        <is>
          <t>UPPSALA LÄN</t>
        </is>
      </c>
      <c r="E1275" t="inlineStr">
        <is>
          <t>HEBY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14005-2020</t>
        </is>
      </c>
      <c r="B1276" s="1" t="n">
        <v>43906</v>
      </c>
      <c r="C1276" s="1" t="n">
        <v>45706</v>
      </c>
      <c r="D1276" t="inlineStr">
        <is>
          <t>UPPSALA LÄN</t>
        </is>
      </c>
      <c r="E1276" t="inlineStr">
        <is>
          <t>KNIVSTA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13945-2020</t>
        </is>
      </c>
      <c r="B1277" s="1" t="n">
        <v>43906</v>
      </c>
      <c r="C1277" s="1" t="n">
        <v>45706</v>
      </c>
      <c r="D1277" t="inlineStr">
        <is>
          <t>UPPSALA LÄN</t>
        </is>
      </c>
      <c r="E1277" t="inlineStr">
        <is>
          <t>ÖSTHAMMAR</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14017-2020</t>
        </is>
      </c>
      <c r="B1278" s="1" t="n">
        <v>43906</v>
      </c>
      <c r="C1278" s="1" t="n">
        <v>45706</v>
      </c>
      <c r="D1278" t="inlineStr">
        <is>
          <t>UPPSALA LÄN</t>
        </is>
      </c>
      <c r="E1278" t="inlineStr">
        <is>
          <t>TIERP</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14469-2020</t>
        </is>
      </c>
      <c r="B1279" s="1" t="n">
        <v>43908</v>
      </c>
      <c r="C1279" s="1" t="n">
        <v>45706</v>
      </c>
      <c r="D1279" t="inlineStr">
        <is>
          <t>UPPSALA LÄN</t>
        </is>
      </c>
      <c r="E1279" t="inlineStr">
        <is>
          <t>UPPSALA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14423-2020</t>
        </is>
      </c>
      <c r="B1280" s="1" t="n">
        <v>43908</v>
      </c>
      <c r="C1280" s="1" t="n">
        <v>45706</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14472-2020</t>
        </is>
      </c>
      <c r="B1281" s="1" t="n">
        <v>43908</v>
      </c>
      <c r="C1281" s="1" t="n">
        <v>45706</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14427-2020</t>
        </is>
      </c>
      <c r="B1282" s="1" t="n">
        <v>43908</v>
      </c>
      <c r="C1282" s="1" t="n">
        <v>45706</v>
      </c>
      <c r="D1282" t="inlineStr">
        <is>
          <t>UPPSALA LÄN</t>
        </is>
      </c>
      <c r="E1282" t="inlineStr">
        <is>
          <t>UPPSALA</t>
        </is>
      </c>
      <c r="F1282" t="inlineStr">
        <is>
          <t>Bergvik skog öst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14783-2020</t>
        </is>
      </c>
      <c r="B1283" s="1" t="n">
        <v>43909</v>
      </c>
      <c r="C1283" s="1" t="n">
        <v>45706</v>
      </c>
      <c r="D1283" t="inlineStr">
        <is>
          <t>UPPSALA LÄN</t>
        </is>
      </c>
      <c r="E1283" t="inlineStr">
        <is>
          <t>HEBY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14802-2020</t>
        </is>
      </c>
      <c r="B1284" s="1" t="n">
        <v>43909</v>
      </c>
      <c r="C1284" s="1" t="n">
        <v>45706</v>
      </c>
      <c r="D1284" t="inlineStr">
        <is>
          <t>UPPSALA LÄN</t>
        </is>
      </c>
      <c r="E1284" t="inlineStr">
        <is>
          <t>ÖSTHAMMAR</t>
        </is>
      </c>
      <c r="F1284" t="inlineStr">
        <is>
          <t>Allmännings- och besparingsskogar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14817-2020</t>
        </is>
      </c>
      <c r="B1285" s="1" t="n">
        <v>43909</v>
      </c>
      <c r="C1285" s="1" t="n">
        <v>45706</v>
      </c>
      <c r="D1285" t="inlineStr">
        <is>
          <t>UPPSALA LÄN</t>
        </is>
      </c>
      <c r="E1285" t="inlineStr">
        <is>
          <t>ÖSTHAMMAR</t>
        </is>
      </c>
      <c r="F1285" t="inlineStr">
        <is>
          <t>Bergvik skog öst AB</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14823-2020</t>
        </is>
      </c>
      <c r="B1286" s="1" t="n">
        <v>43909</v>
      </c>
      <c r="C1286" s="1" t="n">
        <v>45706</v>
      </c>
      <c r="D1286" t="inlineStr">
        <is>
          <t>UPPSALA LÄN</t>
        </is>
      </c>
      <c r="E1286" t="inlineStr">
        <is>
          <t>HEBY</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14777-2020</t>
        </is>
      </c>
      <c r="B1287" s="1" t="n">
        <v>43909</v>
      </c>
      <c r="C1287" s="1" t="n">
        <v>45706</v>
      </c>
      <c r="D1287" t="inlineStr">
        <is>
          <t>UPPSALA LÄN</t>
        </is>
      </c>
      <c r="E1287" t="inlineStr">
        <is>
          <t>HEBY</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14814-2020</t>
        </is>
      </c>
      <c r="B1288" s="1" t="n">
        <v>43909</v>
      </c>
      <c r="C1288" s="1" t="n">
        <v>45706</v>
      </c>
      <c r="D1288" t="inlineStr">
        <is>
          <t>UPPSALA LÄN</t>
        </is>
      </c>
      <c r="E1288" t="inlineStr">
        <is>
          <t>HEBY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15067-2020</t>
        </is>
      </c>
      <c r="B1289" s="1" t="n">
        <v>43910</v>
      </c>
      <c r="C1289" s="1" t="n">
        <v>45706</v>
      </c>
      <c r="D1289" t="inlineStr">
        <is>
          <t>UPPSALA LÄN</t>
        </is>
      </c>
      <c r="E1289" t="inlineStr">
        <is>
          <t>ÖSTHAMMAR</t>
        </is>
      </c>
      <c r="F1289" t="inlineStr">
        <is>
          <t>Bergvik skog öst AB</t>
        </is>
      </c>
      <c r="G1289" t="n">
        <v>20.5</v>
      </c>
      <c r="H1289" t="n">
        <v>0</v>
      </c>
      <c r="I1289" t="n">
        <v>0</v>
      </c>
      <c r="J1289" t="n">
        <v>0</v>
      </c>
      <c r="K1289" t="n">
        <v>0</v>
      </c>
      <c r="L1289" t="n">
        <v>0</v>
      </c>
      <c r="M1289" t="n">
        <v>0</v>
      </c>
      <c r="N1289" t="n">
        <v>0</v>
      </c>
      <c r="O1289" t="n">
        <v>0</v>
      </c>
      <c r="P1289" t="n">
        <v>0</v>
      </c>
      <c r="Q1289" t="n">
        <v>0</v>
      </c>
      <c r="R1289" s="2" t="inlineStr"/>
    </row>
    <row r="1290" ht="15" customHeight="1">
      <c r="A1290" t="inlineStr">
        <is>
          <t>A 15213-2020</t>
        </is>
      </c>
      <c r="B1290" s="1" t="n">
        <v>43913</v>
      </c>
      <c r="C1290" s="1" t="n">
        <v>45706</v>
      </c>
      <c r="D1290" t="inlineStr">
        <is>
          <t>UPPSALA LÄN</t>
        </is>
      </c>
      <c r="E1290" t="inlineStr">
        <is>
          <t>ÄLVKARLEBY</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15326-2020</t>
        </is>
      </c>
      <c r="B1291" s="1" t="n">
        <v>43913</v>
      </c>
      <c r="C1291" s="1" t="n">
        <v>45706</v>
      </c>
      <c r="D1291" t="inlineStr">
        <is>
          <t>UPPSALA LÄN</t>
        </is>
      </c>
      <c r="E1291" t="inlineStr">
        <is>
          <t>TIERP</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15344-2020</t>
        </is>
      </c>
      <c r="B1292" s="1" t="n">
        <v>43913</v>
      </c>
      <c r="C1292" s="1" t="n">
        <v>45706</v>
      </c>
      <c r="D1292" t="inlineStr">
        <is>
          <t>UPPSALA LÄN</t>
        </is>
      </c>
      <c r="E1292" t="inlineStr">
        <is>
          <t>UPPSALA</t>
        </is>
      </c>
      <c r="F1292" t="inlineStr">
        <is>
          <t>Holmen skog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15233-2020</t>
        </is>
      </c>
      <c r="B1293" s="1" t="n">
        <v>43913</v>
      </c>
      <c r="C1293" s="1" t="n">
        <v>45706</v>
      </c>
      <c r="D1293" t="inlineStr">
        <is>
          <t>UPPSALA LÄN</t>
        </is>
      </c>
      <c r="E1293" t="inlineStr">
        <is>
          <t>TIERP</t>
        </is>
      </c>
      <c r="F1293" t="inlineStr">
        <is>
          <t>Bergvik skog väst AB</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15389-2020</t>
        </is>
      </c>
      <c r="B1294" s="1" t="n">
        <v>43913</v>
      </c>
      <c r="C1294" s="1" t="n">
        <v>45706</v>
      </c>
      <c r="D1294" t="inlineStr">
        <is>
          <t>UPPSALA LÄN</t>
        </is>
      </c>
      <c r="E1294" t="inlineStr">
        <is>
          <t>HEBY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15805-2020</t>
        </is>
      </c>
      <c r="B1295" s="1" t="n">
        <v>43915</v>
      </c>
      <c r="C1295" s="1" t="n">
        <v>45706</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16071-2020</t>
        </is>
      </c>
      <c r="B1296" s="1" t="n">
        <v>43916</v>
      </c>
      <c r="C1296" s="1" t="n">
        <v>45706</v>
      </c>
      <c r="D1296" t="inlineStr">
        <is>
          <t>UPPSALA LÄN</t>
        </is>
      </c>
      <c r="E1296" t="inlineStr">
        <is>
          <t>HEBY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16320-2020</t>
        </is>
      </c>
      <c r="B1297" s="1" t="n">
        <v>43917</v>
      </c>
      <c r="C1297" s="1" t="n">
        <v>45706</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16758-2020</t>
        </is>
      </c>
      <c r="B1298" s="1" t="n">
        <v>43920</v>
      </c>
      <c r="C1298" s="1" t="n">
        <v>45706</v>
      </c>
      <c r="D1298" t="inlineStr">
        <is>
          <t>UPPSALA LÄN</t>
        </is>
      </c>
      <c r="E1298" t="inlineStr">
        <is>
          <t>HEBY</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17549-2020</t>
        </is>
      </c>
      <c r="B1299" s="1" t="n">
        <v>43920</v>
      </c>
      <c r="C1299" s="1" t="n">
        <v>45706</v>
      </c>
      <c r="D1299" t="inlineStr">
        <is>
          <t>UPPSALA LÄN</t>
        </is>
      </c>
      <c r="E1299" t="inlineStr">
        <is>
          <t>ÖSTHAMMAR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17468-2020</t>
        </is>
      </c>
      <c r="B1300" s="1" t="n">
        <v>43920</v>
      </c>
      <c r="C1300" s="1" t="n">
        <v>45706</v>
      </c>
      <c r="D1300" t="inlineStr">
        <is>
          <t>UPPSALA LÄN</t>
        </is>
      </c>
      <c r="E1300" t="inlineStr">
        <is>
          <t>HEBY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17888-2020</t>
        </is>
      </c>
      <c r="B1301" s="1" t="n">
        <v>43924</v>
      </c>
      <c r="C1301" s="1" t="n">
        <v>45706</v>
      </c>
      <c r="D1301" t="inlineStr">
        <is>
          <t>UPPSALA LÄN</t>
        </is>
      </c>
      <c r="E1301" t="inlineStr">
        <is>
          <t>ENKÖPING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18106-2020</t>
        </is>
      </c>
      <c r="B1302" s="1" t="n">
        <v>43927</v>
      </c>
      <c r="C1302" s="1" t="n">
        <v>45706</v>
      </c>
      <c r="D1302" t="inlineStr">
        <is>
          <t>UPPSALA LÄN</t>
        </is>
      </c>
      <c r="E1302" t="inlineStr">
        <is>
          <t>UPPSALA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18101-2020</t>
        </is>
      </c>
      <c r="B1303" s="1" t="n">
        <v>43927</v>
      </c>
      <c r="C1303" s="1" t="n">
        <v>45706</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18114-2020</t>
        </is>
      </c>
      <c r="B1304" s="1" t="n">
        <v>43927</v>
      </c>
      <c r="C1304" s="1" t="n">
        <v>45706</v>
      </c>
      <c r="D1304" t="inlineStr">
        <is>
          <t>UPPSALA LÄN</t>
        </is>
      </c>
      <c r="E1304" t="inlineStr">
        <is>
          <t>UPPSALA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18097-2020</t>
        </is>
      </c>
      <c r="B1305" s="1" t="n">
        <v>43927</v>
      </c>
      <c r="C1305" s="1" t="n">
        <v>45706</v>
      </c>
      <c r="D1305" t="inlineStr">
        <is>
          <t>UPPSALA LÄN</t>
        </is>
      </c>
      <c r="E1305" t="inlineStr">
        <is>
          <t>ENKÖPING</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18489-2020</t>
        </is>
      </c>
      <c r="B1306" s="1" t="n">
        <v>43929</v>
      </c>
      <c r="C1306" s="1" t="n">
        <v>45706</v>
      </c>
      <c r="D1306" t="inlineStr">
        <is>
          <t>UPPSALA LÄN</t>
        </is>
      </c>
      <c r="E1306" t="inlineStr">
        <is>
          <t>ENKÖPING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18486-2020</t>
        </is>
      </c>
      <c r="B1307" s="1" t="n">
        <v>43929</v>
      </c>
      <c r="C1307" s="1" t="n">
        <v>45706</v>
      </c>
      <c r="D1307" t="inlineStr">
        <is>
          <t>UPPSALA LÄN</t>
        </is>
      </c>
      <c r="E1307" t="inlineStr">
        <is>
          <t>ENKÖPING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18469-2020</t>
        </is>
      </c>
      <c r="B1308" s="1" t="n">
        <v>43929</v>
      </c>
      <c r="C1308" s="1" t="n">
        <v>45706</v>
      </c>
      <c r="D1308" t="inlineStr">
        <is>
          <t>UPPSALA LÄN</t>
        </is>
      </c>
      <c r="E1308" t="inlineStr">
        <is>
          <t>UPPSALA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18774-2020</t>
        </is>
      </c>
      <c r="B1309" s="1" t="n">
        <v>43930</v>
      </c>
      <c r="C1309" s="1" t="n">
        <v>45706</v>
      </c>
      <c r="D1309" t="inlineStr">
        <is>
          <t>UPPSALA LÄN</t>
        </is>
      </c>
      <c r="E1309" t="inlineStr">
        <is>
          <t>TIERP</t>
        </is>
      </c>
      <c r="F1309" t="inlineStr">
        <is>
          <t>Bergvik skog väst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19556-2020</t>
        </is>
      </c>
      <c r="B1310" s="1" t="n">
        <v>43936</v>
      </c>
      <c r="C1310" s="1" t="n">
        <v>45706</v>
      </c>
      <c r="D1310" t="inlineStr">
        <is>
          <t>UPPSALA LÄN</t>
        </is>
      </c>
      <c r="E1310" t="inlineStr">
        <is>
          <t>ÖSTHAMMAR</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19136-2020</t>
        </is>
      </c>
      <c r="B1311" s="1" t="n">
        <v>43936</v>
      </c>
      <c r="C1311" s="1" t="n">
        <v>45706</v>
      </c>
      <c r="D1311" t="inlineStr">
        <is>
          <t>UPPSALA LÄN</t>
        </is>
      </c>
      <c r="E1311" t="inlineStr">
        <is>
          <t>TIERP</t>
        </is>
      </c>
      <c r="F1311" t="inlineStr">
        <is>
          <t>Bergvik skog väst AB</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19210-2020</t>
        </is>
      </c>
      <c r="B1312" s="1" t="n">
        <v>43937</v>
      </c>
      <c r="C1312" s="1" t="n">
        <v>45706</v>
      </c>
      <c r="D1312" t="inlineStr">
        <is>
          <t>UPPSALA LÄN</t>
        </is>
      </c>
      <c r="E1312" t="inlineStr">
        <is>
          <t>UPPSALA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19332-2020</t>
        </is>
      </c>
      <c r="B1313" s="1" t="n">
        <v>43938</v>
      </c>
      <c r="C1313" s="1" t="n">
        <v>45706</v>
      </c>
      <c r="D1313" t="inlineStr">
        <is>
          <t>UPPSALA LÄN</t>
        </is>
      </c>
      <c r="E1313" t="inlineStr">
        <is>
          <t>TIERP</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19499-2020</t>
        </is>
      </c>
      <c r="B1314" s="1" t="n">
        <v>43938</v>
      </c>
      <c r="C1314" s="1" t="n">
        <v>45706</v>
      </c>
      <c r="D1314" t="inlineStr">
        <is>
          <t>UPPSALA LÄN</t>
        </is>
      </c>
      <c r="E1314" t="inlineStr">
        <is>
          <t>ENKÖPING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19463-2020</t>
        </is>
      </c>
      <c r="B1315" s="1" t="n">
        <v>43938</v>
      </c>
      <c r="C1315" s="1" t="n">
        <v>45706</v>
      </c>
      <c r="D1315" t="inlineStr">
        <is>
          <t>UPPSALA LÄN</t>
        </is>
      </c>
      <c r="E1315" t="inlineStr">
        <is>
          <t>ENKÖPING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19914-2020</t>
        </is>
      </c>
      <c r="B1316" s="1" t="n">
        <v>43943</v>
      </c>
      <c r="C1316" s="1" t="n">
        <v>45706</v>
      </c>
      <c r="D1316" t="inlineStr">
        <is>
          <t>UPPSALA LÄN</t>
        </is>
      </c>
      <c r="E1316" t="inlineStr">
        <is>
          <t>HEBY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20175-2020</t>
        </is>
      </c>
      <c r="B1317" s="1" t="n">
        <v>43944</v>
      </c>
      <c r="C1317" s="1" t="n">
        <v>45706</v>
      </c>
      <c r="D1317" t="inlineStr">
        <is>
          <t>UPPSALA LÄN</t>
        </is>
      </c>
      <c r="E1317" t="inlineStr">
        <is>
          <t>HEBY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20218-2020</t>
        </is>
      </c>
      <c r="B1318" s="1" t="n">
        <v>43944</v>
      </c>
      <c r="C1318" s="1" t="n">
        <v>45706</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20395-2020</t>
        </is>
      </c>
      <c r="B1319" s="1" t="n">
        <v>43945</v>
      </c>
      <c r="C1319" s="1" t="n">
        <v>45706</v>
      </c>
      <c r="D1319" t="inlineStr">
        <is>
          <t>UPPSALA LÄN</t>
        </is>
      </c>
      <c r="E1319" t="inlineStr">
        <is>
          <t>KNIVSTA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20286-2020</t>
        </is>
      </c>
      <c r="B1320" s="1" t="n">
        <v>43945</v>
      </c>
      <c r="C1320" s="1" t="n">
        <v>45706</v>
      </c>
      <c r="D1320" t="inlineStr">
        <is>
          <t>UPPSALA LÄN</t>
        </is>
      </c>
      <c r="E1320" t="inlineStr">
        <is>
          <t>ENKÖPING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20552-2020</t>
        </is>
      </c>
      <c r="B1321" s="1" t="n">
        <v>43948</v>
      </c>
      <c r="C1321" s="1" t="n">
        <v>45706</v>
      </c>
      <c r="D1321" t="inlineStr">
        <is>
          <t>UPPSALA LÄN</t>
        </is>
      </c>
      <c r="E1321" t="inlineStr">
        <is>
          <t>ENKÖPING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20506-2020</t>
        </is>
      </c>
      <c r="B1322" s="1" t="n">
        <v>43948</v>
      </c>
      <c r="C1322" s="1" t="n">
        <v>45706</v>
      </c>
      <c r="D1322" t="inlineStr">
        <is>
          <t>UPPSALA LÄN</t>
        </is>
      </c>
      <c r="E1322" t="inlineStr">
        <is>
          <t>UPPSALA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20490-2020</t>
        </is>
      </c>
      <c r="B1323" s="1" t="n">
        <v>43948</v>
      </c>
      <c r="C1323" s="1" t="n">
        <v>45706</v>
      </c>
      <c r="D1323" t="inlineStr">
        <is>
          <t>UPPSALA LÄN</t>
        </is>
      </c>
      <c r="E1323" t="inlineStr">
        <is>
          <t>UPPSALA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20877-2020</t>
        </is>
      </c>
      <c r="B1324" s="1" t="n">
        <v>43950</v>
      </c>
      <c r="C1324" s="1" t="n">
        <v>45706</v>
      </c>
      <c r="D1324" t="inlineStr">
        <is>
          <t>UPPSALA LÄN</t>
        </is>
      </c>
      <c r="E1324" t="inlineStr">
        <is>
          <t>HEBY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20928-2020</t>
        </is>
      </c>
      <c r="B1325" s="1" t="n">
        <v>43950</v>
      </c>
      <c r="C1325" s="1" t="n">
        <v>45706</v>
      </c>
      <c r="D1325" t="inlineStr">
        <is>
          <t>UPPSALA LÄN</t>
        </is>
      </c>
      <c r="E1325" t="inlineStr">
        <is>
          <t>HEBY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20960-2020</t>
        </is>
      </c>
      <c r="B1326" s="1" t="n">
        <v>43950</v>
      </c>
      <c r="C1326" s="1" t="n">
        <v>45706</v>
      </c>
      <c r="D1326" t="inlineStr">
        <is>
          <t>UPPSALA LÄN</t>
        </is>
      </c>
      <c r="E1326" t="inlineStr">
        <is>
          <t>UPPSALA</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21573-2020</t>
        </is>
      </c>
      <c r="B1327" s="1" t="n">
        <v>43956</v>
      </c>
      <c r="C1327" s="1" t="n">
        <v>45706</v>
      </c>
      <c r="D1327" t="inlineStr">
        <is>
          <t>UPPSALA LÄN</t>
        </is>
      </c>
      <c r="E1327" t="inlineStr">
        <is>
          <t>ENKÖPING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21466-2020</t>
        </is>
      </c>
      <c r="B1328" s="1" t="n">
        <v>43956</v>
      </c>
      <c r="C1328" s="1" t="n">
        <v>45706</v>
      </c>
      <c r="D1328" t="inlineStr">
        <is>
          <t>UPPSALA LÄN</t>
        </is>
      </c>
      <c r="E1328" t="inlineStr">
        <is>
          <t>HEBY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21651-2020</t>
        </is>
      </c>
      <c r="B1329" s="1" t="n">
        <v>43957</v>
      </c>
      <c r="C1329" s="1" t="n">
        <v>45706</v>
      </c>
      <c r="D1329" t="inlineStr">
        <is>
          <t>UPPSALA LÄN</t>
        </is>
      </c>
      <c r="E1329" t="inlineStr">
        <is>
          <t>ENKÖPING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21730-2020</t>
        </is>
      </c>
      <c r="B1330" s="1" t="n">
        <v>43957</v>
      </c>
      <c r="C1330" s="1" t="n">
        <v>45706</v>
      </c>
      <c r="D1330" t="inlineStr">
        <is>
          <t>UPPSALA LÄN</t>
        </is>
      </c>
      <c r="E1330" t="inlineStr">
        <is>
          <t>TIERP</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21666-2020</t>
        </is>
      </c>
      <c r="B1331" s="1" t="n">
        <v>43957</v>
      </c>
      <c r="C1331" s="1" t="n">
        <v>45706</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21708-2020</t>
        </is>
      </c>
      <c r="B1332" s="1" t="n">
        <v>43957</v>
      </c>
      <c r="C1332" s="1" t="n">
        <v>45706</v>
      </c>
      <c r="D1332" t="inlineStr">
        <is>
          <t>UPPSALA LÄN</t>
        </is>
      </c>
      <c r="E1332" t="inlineStr">
        <is>
          <t>HÅBO</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21896-2020</t>
        </is>
      </c>
      <c r="B1333" s="1" t="n">
        <v>43958</v>
      </c>
      <c r="C1333" s="1" t="n">
        <v>45706</v>
      </c>
      <c r="D1333" t="inlineStr">
        <is>
          <t>UPPSALA LÄN</t>
        </is>
      </c>
      <c r="E1333" t="inlineStr">
        <is>
          <t>ENKÖPING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21916-2020</t>
        </is>
      </c>
      <c r="B1334" s="1" t="n">
        <v>43958</v>
      </c>
      <c r="C1334" s="1" t="n">
        <v>45706</v>
      </c>
      <c r="D1334" t="inlineStr">
        <is>
          <t>UPPSALA LÄN</t>
        </is>
      </c>
      <c r="E1334" t="inlineStr">
        <is>
          <t>HEBY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21814-2020</t>
        </is>
      </c>
      <c r="B1335" s="1" t="n">
        <v>43958</v>
      </c>
      <c r="C1335" s="1" t="n">
        <v>45706</v>
      </c>
      <c r="D1335" t="inlineStr">
        <is>
          <t>UPPSALA LÄN</t>
        </is>
      </c>
      <c r="E1335" t="inlineStr">
        <is>
          <t>TIERP</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21973-2020</t>
        </is>
      </c>
      <c r="B1336" s="1" t="n">
        <v>43959</v>
      </c>
      <c r="C1336" s="1" t="n">
        <v>45706</v>
      </c>
      <c r="D1336" t="inlineStr">
        <is>
          <t>UPPSALA LÄN</t>
        </is>
      </c>
      <c r="E1336" t="inlineStr">
        <is>
          <t>HEBY</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22056-2020</t>
        </is>
      </c>
      <c r="B1337" s="1" t="n">
        <v>43959</v>
      </c>
      <c r="C1337" s="1" t="n">
        <v>45706</v>
      </c>
      <c r="D1337" t="inlineStr">
        <is>
          <t>UPPSALA LÄN</t>
        </is>
      </c>
      <c r="E1337" t="inlineStr">
        <is>
          <t>HEBY</t>
        </is>
      </c>
      <c r="F1337" t="inlineStr">
        <is>
          <t>Bergvik skog väst AB</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22152-2020</t>
        </is>
      </c>
      <c r="B1338" s="1" t="n">
        <v>43962</v>
      </c>
      <c r="C1338" s="1" t="n">
        <v>45706</v>
      </c>
      <c r="D1338" t="inlineStr">
        <is>
          <t>UPPSALA LÄN</t>
        </is>
      </c>
      <c r="E1338" t="inlineStr">
        <is>
          <t>HEBY</t>
        </is>
      </c>
      <c r="G1338" t="n">
        <v>10.8</v>
      </c>
      <c r="H1338" t="n">
        <v>0</v>
      </c>
      <c r="I1338" t="n">
        <v>0</v>
      </c>
      <c r="J1338" t="n">
        <v>0</v>
      </c>
      <c r="K1338" t="n">
        <v>0</v>
      </c>
      <c r="L1338" t="n">
        <v>0</v>
      </c>
      <c r="M1338" t="n">
        <v>0</v>
      </c>
      <c r="N1338" t="n">
        <v>0</v>
      </c>
      <c r="O1338" t="n">
        <v>0</v>
      </c>
      <c r="P1338" t="n">
        <v>0</v>
      </c>
      <c r="Q1338" t="n">
        <v>0</v>
      </c>
      <c r="R1338" s="2" t="inlineStr"/>
    </row>
    <row r="1339" ht="15" customHeight="1">
      <c r="A1339" t="inlineStr">
        <is>
          <t>A 22763-2020</t>
        </is>
      </c>
      <c r="B1339" s="1" t="n">
        <v>43963</v>
      </c>
      <c r="C1339" s="1" t="n">
        <v>45706</v>
      </c>
      <c r="D1339" t="inlineStr">
        <is>
          <t>UPPSALA LÄN</t>
        </is>
      </c>
      <c r="E1339" t="inlineStr">
        <is>
          <t>TIERP</t>
        </is>
      </c>
      <c r="F1339" t="inlineStr">
        <is>
          <t>Kommuner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22737-2020</t>
        </is>
      </c>
      <c r="B1340" s="1" t="n">
        <v>43963</v>
      </c>
      <c r="C1340" s="1" t="n">
        <v>45706</v>
      </c>
      <c r="D1340" t="inlineStr">
        <is>
          <t>UPPSALA LÄN</t>
        </is>
      </c>
      <c r="E1340" t="inlineStr">
        <is>
          <t>HEBY</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22772-2020</t>
        </is>
      </c>
      <c r="B1341" s="1" t="n">
        <v>43964</v>
      </c>
      <c r="C1341" s="1" t="n">
        <v>45706</v>
      </c>
      <c r="D1341" t="inlineStr">
        <is>
          <t>UPPSALA LÄN</t>
        </is>
      </c>
      <c r="E1341" t="inlineStr">
        <is>
          <t>ENKÖPING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22802-2020</t>
        </is>
      </c>
      <c r="B1342" s="1" t="n">
        <v>43964</v>
      </c>
      <c r="C1342" s="1" t="n">
        <v>45706</v>
      </c>
      <c r="D1342" t="inlineStr">
        <is>
          <t>UPPSALA LÄN</t>
        </is>
      </c>
      <c r="E1342" t="inlineStr">
        <is>
          <t>TIERP</t>
        </is>
      </c>
      <c r="F1342" t="inlineStr">
        <is>
          <t>Bergvik skog öst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22816-2020</t>
        </is>
      </c>
      <c r="B1343" s="1" t="n">
        <v>43964</v>
      </c>
      <c r="C1343" s="1" t="n">
        <v>45706</v>
      </c>
      <c r="D1343" t="inlineStr">
        <is>
          <t>UPPSALA LÄN</t>
        </is>
      </c>
      <c r="E1343" t="inlineStr">
        <is>
          <t>ENKÖPING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22970-2020</t>
        </is>
      </c>
      <c r="B1344" s="1" t="n">
        <v>43965</v>
      </c>
      <c r="C1344" s="1" t="n">
        <v>45706</v>
      </c>
      <c r="D1344" t="inlineStr">
        <is>
          <t>UPPSALA LÄN</t>
        </is>
      </c>
      <c r="E1344" t="inlineStr">
        <is>
          <t>ENKÖPING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22961-2020</t>
        </is>
      </c>
      <c r="B1345" s="1" t="n">
        <v>43965</v>
      </c>
      <c r="C1345" s="1" t="n">
        <v>45706</v>
      </c>
      <c r="D1345" t="inlineStr">
        <is>
          <t>UPPSALA LÄN</t>
        </is>
      </c>
      <c r="E1345" t="inlineStr">
        <is>
          <t>TIERP</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23621-2020</t>
        </is>
      </c>
      <c r="B1346" s="1" t="n">
        <v>43969</v>
      </c>
      <c r="C1346" s="1" t="n">
        <v>45706</v>
      </c>
      <c r="D1346" t="inlineStr">
        <is>
          <t>UPPSALA LÄN</t>
        </is>
      </c>
      <c r="E1346" t="inlineStr">
        <is>
          <t>ÖSTHAMMAR</t>
        </is>
      </c>
      <c r="F1346" t="inlineStr">
        <is>
          <t>Bergvik skog väst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23782-2020</t>
        </is>
      </c>
      <c r="B1347" s="1" t="n">
        <v>43970</v>
      </c>
      <c r="C1347" s="1" t="n">
        <v>45706</v>
      </c>
      <c r="D1347" t="inlineStr">
        <is>
          <t>UPPSALA LÄN</t>
        </is>
      </c>
      <c r="E1347" t="inlineStr">
        <is>
          <t>ENKÖPING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23809-2020</t>
        </is>
      </c>
      <c r="B1348" s="1" t="n">
        <v>43970</v>
      </c>
      <c r="C1348" s="1" t="n">
        <v>45706</v>
      </c>
      <c r="D1348" t="inlineStr">
        <is>
          <t>UPPSALA LÄN</t>
        </is>
      </c>
      <c r="E1348" t="inlineStr">
        <is>
          <t>ENKÖPING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23808-2020</t>
        </is>
      </c>
      <c r="B1349" s="1" t="n">
        <v>43970</v>
      </c>
      <c r="C1349" s="1" t="n">
        <v>45706</v>
      </c>
      <c r="D1349" t="inlineStr">
        <is>
          <t>UPPSALA LÄN</t>
        </is>
      </c>
      <c r="E1349" t="inlineStr">
        <is>
          <t>ENKÖPING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23906-2020</t>
        </is>
      </c>
      <c r="B1350" s="1" t="n">
        <v>43971</v>
      </c>
      <c r="C1350" s="1" t="n">
        <v>45706</v>
      </c>
      <c r="D1350" t="inlineStr">
        <is>
          <t>UPPSALA LÄN</t>
        </is>
      </c>
      <c r="E1350" t="inlineStr">
        <is>
          <t>HÅBO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24300-2020</t>
        </is>
      </c>
      <c r="B1351" s="1" t="n">
        <v>43973</v>
      </c>
      <c r="C1351" s="1" t="n">
        <v>45706</v>
      </c>
      <c r="D1351" t="inlineStr">
        <is>
          <t>UPPSALA LÄN</t>
        </is>
      </c>
      <c r="E1351" t="inlineStr">
        <is>
          <t>UPPSALA</t>
        </is>
      </c>
      <c r="F1351" t="inlineStr">
        <is>
          <t>Övriga Aktiebolag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24287-2020</t>
        </is>
      </c>
      <c r="B1352" s="1" t="n">
        <v>43976</v>
      </c>
      <c r="C1352" s="1" t="n">
        <v>45706</v>
      </c>
      <c r="D1352" t="inlineStr">
        <is>
          <t>UPPSALA LÄN</t>
        </is>
      </c>
      <c r="E1352" t="inlineStr">
        <is>
          <t>UPPSALA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24476-2020</t>
        </is>
      </c>
      <c r="B1353" s="1" t="n">
        <v>43977</v>
      </c>
      <c r="C1353" s="1" t="n">
        <v>45706</v>
      </c>
      <c r="D1353" t="inlineStr">
        <is>
          <t>UPPSALA LÄN</t>
        </is>
      </c>
      <c r="E1353" t="inlineStr">
        <is>
          <t>ENKÖPING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24496-2020</t>
        </is>
      </c>
      <c r="B1354" s="1" t="n">
        <v>43977</v>
      </c>
      <c r="C1354" s="1" t="n">
        <v>45706</v>
      </c>
      <c r="D1354" t="inlineStr">
        <is>
          <t>UPPSALA LÄN</t>
        </is>
      </c>
      <c r="E1354" t="inlineStr">
        <is>
          <t>ENKÖPING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25081-2020</t>
        </is>
      </c>
      <c r="B1355" s="1" t="n">
        <v>43979</v>
      </c>
      <c r="C1355" s="1" t="n">
        <v>45706</v>
      </c>
      <c r="D1355" t="inlineStr">
        <is>
          <t>UPPSALA LÄN</t>
        </is>
      </c>
      <c r="E1355" t="inlineStr">
        <is>
          <t>ENKÖPING</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25588-2020</t>
        </is>
      </c>
      <c r="B1356" s="1" t="n">
        <v>43983</v>
      </c>
      <c r="C1356" s="1" t="n">
        <v>45706</v>
      </c>
      <c r="D1356" t="inlineStr">
        <is>
          <t>UPPSALA LÄN</t>
        </is>
      </c>
      <c r="E1356" t="inlineStr">
        <is>
          <t>HEBY</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25544-2020</t>
        </is>
      </c>
      <c r="B1357" s="1" t="n">
        <v>43983</v>
      </c>
      <c r="C1357" s="1" t="n">
        <v>45706</v>
      </c>
      <c r="D1357" t="inlineStr">
        <is>
          <t>UPPSALA LÄN</t>
        </is>
      </c>
      <c r="E1357" t="inlineStr">
        <is>
          <t>HEBY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25641-2020</t>
        </is>
      </c>
      <c r="B1358" s="1" t="n">
        <v>43983</v>
      </c>
      <c r="C1358" s="1" t="n">
        <v>45706</v>
      </c>
      <c r="D1358" t="inlineStr">
        <is>
          <t>UPPSALA LÄN</t>
        </is>
      </c>
      <c r="E1358" t="inlineStr">
        <is>
          <t>TIERP</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25658-2020</t>
        </is>
      </c>
      <c r="B1359" s="1" t="n">
        <v>43983</v>
      </c>
      <c r="C1359" s="1" t="n">
        <v>45706</v>
      </c>
      <c r="D1359" t="inlineStr">
        <is>
          <t>UPPSALA LÄN</t>
        </is>
      </c>
      <c r="E1359" t="inlineStr">
        <is>
          <t>KNIVSTA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25687-2020</t>
        </is>
      </c>
      <c r="B1360" s="1" t="n">
        <v>43984</v>
      </c>
      <c r="C1360" s="1" t="n">
        <v>45706</v>
      </c>
      <c r="D1360" t="inlineStr">
        <is>
          <t>UPPSALA LÄN</t>
        </is>
      </c>
      <c r="E1360" t="inlineStr">
        <is>
          <t>HEBY</t>
        </is>
      </c>
      <c r="F1360" t="inlineStr">
        <is>
          <t>Bergvik skog väst AB</t>
        </is>
      </c>
      <c r="G1360" t="n">
        <v>13.6</v>
      </c>
      <c r="H1360" t="n">
        <v>0</v>
      </c>
      <c r="I1360" t="n">
        <v>0</v>
      </c>
      <c r="J1360" t="n">
        <v>0</v>
      </c>
      <c r="K1360" t="n">
        <v>0</v>
      </c>
      <c r="L1360" t="n">
        <v>0</v>
      </c>
      <c r="M1360" t="n">
        <v>0</v>
      </c>
      <c r="N1360" t="n">
        <v>0</v>
      </c>
      <c r="O1360" t="n">
        <v>0</v>
      </c>
      <c r="P1360" t="n">
        <v>0</v>
      </c>
      <c r="Q1360" t="n">
        <v>0</v>
      </c>
      <c r="R1360" s="2" t="inlineStr"/>
    </row>
    <row r="1361" ht="15" customHeight="1">
      <c r="A1361" t="inlineStr">
        <is>
          <t>A 25798-2020</t>
        </is>
      </c>
      <c r="B1361" s="1" t="n">
        <v>43984</v>
      </c>
      <c r="C1361" s="1" t="n">
        <v>45706</v>
      </c>
      <c r="D1361" t="inlineStr">
        <is>
          <t>UPPSALA LÄN</t>
        </is>
      </c>
      <c r="E1361" t="inlineStr">
        <is>
          <t>UPPSALA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25895-2020</t>
        </is>
      </c>
      <c r="B1362" s="1" t="n">
        <v>43984</v>
      </c>
      <c r="C1362" s="1" t="n">
        <v>45706</v>
      </c>
      <c r="D1362" t="inlineStr">
        <is>
          <t>UPPSALA LÄN</t>
        </is>
      </c>
      <c r="E1362" t="inlineStr">
        <is>
          <t>ENKÖPING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26090-2020</t>
        </is>
      </c>
      <c r="B1363" s="1" t="n">
        <v>43985</v>
      </c>
      <c r="C1363" s="1" t="n">
        <v>45706</v>
      </c>
      <c r="D1363" t="inlineStr">
        <is>
          <t>UPPSALA LÄN</t>
        </is>
      </c>
      <c r="E1363" t="inlineStr">
        <is>
          <t>TIERP</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26101-2020</t>
        </is>
      </c>
      <c r="B1364" s="1" t="n">
        <v>43985</v>
      </c>
      <c r="C1364" s="1" t="n">
        <v>45706</v>
      </c>
      <c r="D1364" t="inlineStr">
        <is>
          <t>UPPSALA LÄN</t>
        </is>
      </c>
      <c r="E1364" t="inlineStr">
        <is>
          <t>TIERP</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26032-2020</t>
        </is>
      </c>
      <c r="B1365" s="1" t="n">
        <v>43985</v>
      </c>
      <c r="C1365" s="1" t="n">
        <v>45706</v>
      </c>
      <c r="D1365" t="inlineStr">
        <is>
          <t>UPPSALA LÄN</t>
        </is>
      </c>
      <c r="E1365" t="inlineStr">
        <is>
          <t>ENKÖPING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26095-2020</t>
        </is>
      </c>
      <c r="B1366" s="1" t="n">
        <v>43985</v>
      </c>
      <c r="C1366" s="1" t="n">
        <v>45706</v>
      </c>
      <c r="D1366" t="inlineStr">
        <is>
          <t>UPPSALA LÄN</t>
        </is>
      </c>
      <c r="E1366" t="inlineStr">
        <is>
          <t>TIERP</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26151-2020</t>
        </is>
      </c>
      <c r="B1367" s="1" t="n">
        <v>43985</v>
      </c>
      <c r="C1367" s="1" t="n">
        <v>45706</v>
      </c>
      <c r="D1367" t="inlineStr">
        <is>
          <t>UPPSALA LÄN</t>
        </is>
      </c>
      <c r="E1367" t="inlineStr">
        <is>
          <t>ENKÖPING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26198-2020</t>
        </is>
      </c>
      <c r="B1368" s="1" t="n">
        <v>43986</v>
      </c>
      <c r="C1368" s="1" t="n">
        <v>45706</v>
      </c>
      <c r="D1368" t="inlineStr">
        <is>
          <t>UPPSALA LÄN</t>
        </is>
      </c>
      <c r="E1368" t="inlineStr">
        <is>
          <t>ÖSTHAMMAR</t>
        </is>
      </c>
      <c r="F1368" t="inlineStr">
        <is>
          <t>Bergvik skog öst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26389-2020</t>
        </is>
      </c>
      <c r="B1369" s="1" t="n">
        <v>43987</v>
      </c>
      <c r="C1369" s="1" t="n">
        <v>45706</v>
      </c>
      <c r="D1369" t="inlineStr">
        <is>
          <t>UPPSALA LÄN</t>
        </is>
      </c>
      <c r="E1369" t="inlineStr">
        <is>
          <t>HEBY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26488-2020</t>
        </is>
      </c>
      <c r="B1370" s="1" t="n">
        <v>43987</v>
      </c>
      <c r="C1370" s="1" t="n">
        <v>45706</v>
      </c>
      <c r="D1370" t="inlineStr">
        <is>
          <t>UPPSALA LÄN</t>
        </is>
      </c>
      <c r="E1370" t="inlineStr">
        <is>
          <t>UPPSALA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26492-2020</t>
        </is>
      </c>
      <c r="B1371" s="1" t="n">
        <v>43987</v>
      </c>
      <c r="C1371" s="1" t="n">
        <v>45706</v>
      </c>
      <c r="D1371" t="inlineStr">
        <is>
          <t>UPPSALA LÄN</t>
        </is>
      </c>
      <c r="E1371" t="inlineStr">
        <is>
          <t>UPPSALA</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26856-2020</t>
        </is>
      </c>
      <c r="B1372" s="1" t="n">
        <v>43990</v>
      </c>
      <c r="C1372" s="1" t="n">
        <v>45706</v>
      </c>
      <c r="D1372" t="inlineStr">
        <is>
          <t>UPPSALA LÄN</t>
        </is>
      </c>
      <c r="E1372" t="inlineStr">
        <is>
          <t>UPPSALA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26860-2020</t>
        </is>
      </c>
      <c r="B1373" s="1" t="n">
        <v>43990</v>
      </c>
      <c r="C1373" s="1" t="n">
        <v>45706</v>
      </c>
      <c r="D1373" t="inlineStr">
        <is>
          <t>UPPSALA LÄN</t>
        </is>
      </c>
      <c r="E1373" t="inlineStr">
        <is>
          <t>ENKÖPING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27462-2020</t>
        </is>
      </c>
      <c r="B1374" s="1" t="n">
        <v>43993</v>
      </c>
      <c r="C1374" s="1" t="n">
        <v>45706</v>
      </c>
      <c r="D1374" t="inlineStr">
        <is>
          <t>UPPSALA LÄN</t>
        </is>
      </c>
      <c r="E1374" t="inlineStr">
        <is>
          <t>TIERP</t>
        </is>
      </c>
      <c r="F1374" t="inlineStr">
        <is>
          <t>Bergvik skog öst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28565-2020</t>
        </is>
      </c>
      <c r="B1375" s="1" t="n">
        <v>43999</v>
      </c>
      <c r="C1375" s="1" t="n">
        <v>45706</v>
      </c>
      <c r="D1375" t="inlineStr">
        <is>
          <t>UPPSALA LÄN</t>
        </is>
      </c>
      <c r="E1375" t="inlineStr">
        <is>
          <t>UPPSALA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28514-2020</t>
        </is>
      </c>
      <c r="B1376" s="1" t="n">
        <v>43999</v>
      </c>
      <c r="C1376" s="1" t="n">
        <v>45706</v>
      </c>
      <c r="D1376" t="inlineStr">
        <is>
          <t>UPPSALA LÄN</t>
        </is>
      </c>
      <c r="E1376" t="inlineStr">
        <is>
          <t>UPPSALA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28799-2020</t>
        </is>
      </c>
      <c r="B1377" s="1" t="n">
        <v>44000</v>
      </c>
      <c r="C1377" s="1" t="n">
        <v>45706</v>
      </c>
      <c r="D1377" t="inlineStr">
        <is>
          <t>UPPSALA LÄN</t>
        </is>
      </c>
      <c r="E1377" t="inlineStr">
        <is>
          <t>ENKÖPING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28993-2020</t>
        </is>
      </c>
      <c r="B1378" s="1" t="n">
        <v>44000</v>
      </c>
      <c r="C1378" s="1" t="n">
        <v>45706</v>
      </c>
      <c r="D1378" t="inlineStr">
        <is>
          <t>UPPSALA LÄN</t>
        </is>
      </c>
      <c r="E1378" t="inlineStr">
        <is>
          <t>UPPSALA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29034-2020</t>
        </is>
      </c>
      <c r="B1379" s="1" t="n">
        <v>44000</v>
      </c>
      <c r="C1379" s="1" t="n">
        <v>45706</v>
      </c>
      <c r="D1379" t="inlineStr">
        <is>
          <t>UPPSALA LÄN</t>
        </is>
      </c>
      <c r="E1379" t="inlineStr">
        <is>
          <t>UPPSALA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28801-2020</t>
        </is>
      </c>
      <c r="B1380" s="1" t="n">
        <v>44000</v>
      </c>
      <c r="C1380" s="1" t="n">
        <v>45706</v>
      </c>
      <c r="D1380" t="inlineStr">
        <is>
          <t>UPPSALA LÄN</t>
        </is>
      </c>
      <c r="E1380" t="inlineStr">
        <is>
          <t>ENKÖPING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29934-2020</t>
        </is>
      </c>
      <c r="B1381" s="1" t="n">
        <v>44006</v>
      </c>
      <c r="C1381" s="1" t="n">
        <v>45706</v>
      </c>
      <c r="D1381" t="inlineStr">
        <is>
          <t>UPPSALA LÄN</t>
        </is>
      </c>
      <c r="E1381" t="inlineStr">
        <is>
          <t>ENKÖPING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29948-2020</t>
        </is>
      </c>
      <c r="B1382" s="1" t="n">
        <v>44006</v>
      </c>
      <c r="C1382" s="1" t="n">
        <v>45706</v>
      </c>
      <c r="D1382" t="inlineStr">
        <is>
          <t>UPPSALA LÄN</t>
        </is>
      </c>
      <c r="E1382" t="inlineStr">
        <is>
          <t>ENKÖPING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29989-2020</t>
        </is>
      </c>
      <c r="B1383" s="1" t="n">
        <v>44006</v>
      </c>
      <c r="C1383" s="1" t="n">
        <v>45706</v>
      </c>
      <c r="D1383" t="inlineStr">
        <is>
          <t>UPPSALA LÄN</t>
        </is>
      </c>
      <c r="E1383" t="inlineStr">
        <is>
          <t>TIERP</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30196-2020</t>
        </is>
      </c>
      <c r="B1384" s="1" t="n">
        <v>44007</v>
      </c>
      <c r="C1384" s="1" t="n">
        <v>45706</v>
      </c>
      <c r="D1384" t="inlineStr">
        <is>
          <t>UPPSALA LÄN</t>
        </is>
      </c>
      <c r="E1384" t="inlineStr">
        <is>
          <t>UPPSALA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30208-2020</t>
        </is>
      </c>
      <c r="B1385" s="1" t="n">
        <v>44007</v>
      </c>
      <c r="C1385" s="1" t="n">
        <v>45706</v>
      </c>
      <c r="D1385" t="inlineStr">
        <is>
          <t>UPPSALA LÄN</t>
        </is>
      </c>
      <c r="E1385" t="inlineStr">
        <is>
          <t>UPPSALA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30245-2020</t>
        </is>
      </c>
      <c r="B1386" s="1" t="n">
        <v>44007</v>
      </c>
      <c r="C1386" s="1" t="n">
        <v>45706</v>
      </c>
      <c r="D1386" t="inlineStr">
        <is>
          <t>UPPSALA LÄN</t>
        </is>
      </c>
      <c r="E1386" t="inlineStr">
        <is>
          <t>TIERP</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30338-2020</t>
        </is>
      </c>
      <c r="B1387" s="1" t="n">
        <v>44007</v>
      </c>
      <c r="C1387" s="1" t="n">
        <v>45706</v>
      </c>
      <c r="D1387" t="inlineStr">
        <is>
          <t>UPPSALA LÄN</t>
        </is>
      </c>
      <c r="E1387" t="inlineStr">
        <is>
          <t>ÖSTHAMMAR</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30280-2020</t>
        </is>
      </c>
      <c r="B1388" s="1" t="n">
        <v>44007</v>
      </c>
      <c r="C1388" s="1" t="n">
        <v>45706</v>
      </c>
      <c r="D1388" t="inlineStr">
        <is>
          <t>UPPSALA LÄN</t>
        </is>
      </c>
      <c r="E1388" t="inlineStr">
        <is>
          <t>ENKÖPING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30419-2020</t>
        </is>
      </c>
      <c r="B1389" s="1" t="n">
        <v>44007</v>
      </c>
      <c r="C1389" s="1" t="n">
        <v>45706</v>
      </c>
      <c r="D1389" t="inlineStr">
        <is>
          <t>UPPSALA LÄN</t>
        </is>
      </c>
      <c r="E1389" t="inlineStr">
        <is>
          <t>ÖSTHAMMAR</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30176-2020</t>
        </is>
      </c>
      <c r="B1390" s="1" t="n">
        <v>44007</v>
      </c>
      <c r="C1390" s="1" t="n">
        <v>45706</v>
      </c>
      <c r="D1390" t="inlineStr">
        <is>
          <t>UPPSALA LÄN</t>
        </is>
      </c>
      <c r="E1390" t="inlineStr">
        <is>
          <t>HEBY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30544-2020</t>
        </is>
      </c>
      <c r="B1391" s="1" t="n">
        <v>44008</v>
      </c>
      <c r="C1391" s="1" t="n">
        <v>45706</v>
      </c>
      <c r="D1391" t="inlineStr">
        <is>
          <t>UPPSALA LÄN</t>
        </is>
      </c>
      <c r="E1391" t="inlineStr">
        <is>
          <t>TIERP</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30571-2020</t>
        </is>
      </c>
      <c r="B1392" s="1" t="n">
        <v>44008</v>
      </c>
      <c r="C1392" s="1" t="n">
        <v>45706</v>
      </c>
      <c r="D1392" t="inlineStr">
        <is>
          <t>UPPSALA LÄN</t>
        </is>
      </c>
      <c r="E1392" t="inlineStr">
        <is>
          <t>ENKÖPING</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31219-2020</t>
        </is>
      </c>
      <c r="B1393" s="1" t="n">
        <v>44012</v>
      </c>
      <c r="C1393" s="1" t="n">
        <v>45706</v>
      </c>
      <c r="D1393" t="inlineStr">
        <is>
          <t>UPPSALA LÄN</t>
        </is>
      </c>
      <c r="E1393" t="inlineStr">
        <is>
          <t>UPPSALA</t>
        </is>
      </c>
      <c r="F1393" t="inlineStr">
        <is>
          <t>Bergvik skog öst AB</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31472-2020</t>
        </is>
      </c>
      <c r="B1394" s="1" t="n">
        <v>44013</v>
      </c>
      <c r="C1394" s="1" t="n">
        <v>45706</v>
      </c>
      <c r="D1394" t="inlineStr">
        <is>
          <t>UPPSALA LÄN</t>
        </is>
      </c>
      <c r="E1394" t="inlineStr">
        <is>
          <t>ENKÖPING</t>
        </is>
      </c>
      <c r="F1394" t="inlineStr">
        <is>
          <t>Kyrkan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31430-2020</t>
        </is>
      </c>
      <c r="B1395" s="1" t="n">
        <v>44013</v>
      </c>
      <c r="C1395" s="1" t="n">
        <v>45706</v>
      </c>
      <c r="D1395" t="inlineStr">
        <is>
          <t>UPPSALA LÄN</t>
        </is>
      </c>
      <c r="E1395" t="inlineStr">
        <is>
          <t>UPPSALA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31473-2020</t>
        </is>
      </c>
      <c r="B1396" s="1" t="n">
        <v>44013</v>
      </c>
      <c r="C1396" s="1" t="n">
        <v>45706</v>
      </c>
      <c r="D1396" t="inlineStr">
        <is>
          <t>UPPSALA LÄN</t>
        </is>
      </c>
      <c r="E1396" t="inlineStr">
        <is>
          <t>ENKÖPING</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31539-2020</t>
        </is>
      </c>
      <c r="B1397" s="1" t="n">
        <v>44013</v>
      </c>
      <c r="C1397" s="1" t="n">
        <v>45706</v>
      </c>
      <c r="D1397" t="inlineStr">
        <is>
          <t>UPPSALA LÄN</t>
        </is>
      </c>
      <c r="E1397" t="inlineStr">
        <is>
          <t>HEBY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31685-2020</t>
        </is>
      </c>
      <c r="B1398" s="1" t="n">
        <v>44013</v>
      </c>
      <c r="C1398" s="1" t="n">
        <v>45706</v>
      </c>
      <c r="D1398" t="inlineStr">
        <is>
          <t>UPPSALA LÄN</t>
        </is>
      </c>
      <c r="E1398" t="inlineStr">
        <is>
          <t>TIERP</t>
        </is>
      </c>
      <c r="F1398" t="inlineStr">
        <is>
          <t>Bergvik skog väst AB</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31932-2020</t>
        </is>
      </c>
      <c r="B1399" s="1" t="n">
        <v>44014</v>
      </c>
      <c r="C1399" s="1" t="n">
        <v>45706</v>
      </c>
      <c r="D1399" t="inlineStr">
        <is>
          <t>UPPSALA LÄN</t>
        </is>
      </c>
      <c r="E1399" t="inlineStr">
        <is>
          <t>UPPSALA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32192-2020</t>
        </is>
      </c>
      <c r="B1400" s="1" t="n">
        <v>44015</v>
      </c>
      <c r="C1400" s="1" t="n">
        <v>45706</v>
      </c>
      <c r="D1400" t="inlineStr">
        <is>
          <t>UPPSALA LÄN</t>
        </is>
      </c>
      <c r="E1400" t="inlineStr">
        <is>
          <t>ÖSTHAMMAR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32209-2020</t>
        </is>
      </c>
      <c r="B1401" s="1" t="n">
        <v>44015</v>
      </c>
      <c r="C1401" s="1" t="n">
        <v>45706</v>
      </c>
      <c r="D1401" t="inlineStr">
        <is>
          <t>UPPSALA LÄN</t>
        </is>
      </c>
      <c r="E1401" t="inlineStr">
        <is>
          <t>ENKÖPING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32047-2020</t>
        </is>
      </c>
      <c r="B1402" s="1" t="n">
        <v>44015</v>
      </c>
      <c r="C1402" s="1" t="n">
        <v>45706</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32235-2020</t>
        </is>
      </c>
      <c r="B1403" s="1" t="n">
        <v>44015</v>
      </c>
      <c r="C1403" s="1" t="n">
        <v>45706</v>
      </c>
      <c r="D1403" t="inlineStr">
        <is>
          <t>UPPSALA LÄN</t>
        </is>
      </c>
      <c r="E1403" t="inlineStr">
        <is>
          <t>UPPSALA</t>
        </is>
      </c>
      <c r="F1403" t="inlineStr">
        <is>
          <t>Bergvik skog öst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32340-2020</t>
        </is>
      </c>
      <c r="B1404" s="1" t="n">
        <v>44016</v>
      </c>
      <c r="C1404" s="1" t="n">
        <v>45706</v>
      </c>
      <c r="D1404" t="inlineStr">
        <is>
          <t>UPPSALA LÄN</t>
        </is>
      </c>
      <c r="E1404" t="inlineStr">
        <is>
          <t>UPPSALA</t>
        </is>
      </c>
      <c r="F1404" t="inlineStr">
        <is>
          <t>Bergvik skog öst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32416-2020</t>
        </is>
      </c>
      <c r="B1405" s="1" t="n">
        <v>44018</v>
      </c>
      <c r="C1405" s="1" t="n">
        <v>45706</v>
      </c>
      <c r="D1405" t="inlineStr">
        <is>
          <t>UPPSALA LÄN</t>
        </is>
      </c>
      <c r="E1405" t="inlineStr">
        <is>
          <t>ÄLVKARLEBY</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32454-2020</t>
        </is>
      </c>
      <c r="B1406" s="1" t="n">
        <v>44018</v>
      </c>
      <c r="C1406" s="1" t="n">
        <v>45706</v>
      </c>
      <c r="D1406" t="inlineStr">
        <is>
          <t>UPPSALA LÄN</t>
        </is>
      </c>
      <c r="E1406" t="inlineStr">
        <is>
          <t>ENKÖPING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32497-2020</t>
        </is>
      </c>
      <c r="B1407" s="1" t="n">
        <v>44018</v>
      </c>
      <c r="C1407" s="1" t="n">
        <v>45706</v>
      </c>
      <c r="D1407" t="inlineStr">
        <is>
          <t>UPPSALA LÄN</t>
        </is>
      </c>
      <c r="E1407" t="inlineStr">
        <is>
          <t>ENKÖPING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32608-2020</t>
        </is>
      </c>
      <c r="B1408" s="1" t="n">
        <v>44019</v>
      </c>
      <c r="C1408" s="1" t="n">
        <v>45706</v>
      </c>
      <c r="D1408" t="inlineStr">
        <is>
          <t>UPPSALA LÄN</t>
        </is>
      </c>
      <c r="E1408" t="inlineStr">
        <is>
          <t>UPPSALA</t>
        </is>
      </c>
      <c r="F1408" t="inlineStr">
        <is>
          <t>Bergvik skog öst AB</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32953-2020</t>
        </is>
      </c>
      <c r="B1409" s="1" t="n">
        <v>44020</v>
      </c>
      <c r="C1409" s="1" t="n">
        <v>45706</v>
      </c>
      <c r="D1409" t="inlineStr">
        <is>
          <t>UPPSALA LÄN</t>
        </is>
      </c>
      <c r="E1409" t="inlineStr">
        <is>
          <t>KNIVSTA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33076-2020</t>
        </is>
      </c>
      <c r="B1410" s="1" t="n">
        <v>44021</v>
      </c>
      <c r="C1410" s="1" t="n">
        <v>45706</v>
      </c>
      <c r="D1410" t="inlineStr">
        <is>
          <t>UPPSALA LÄN</t>
        </is>
      </c>
      <c r="E1410" t="inlineStr">
        <is>
          <t>TIERP</t>
        </is>
      </c>
      <c r="F1410" t="inlineStr">
        <is>
          <t>Bergvik skog väst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33098-2020</t>
        </is>
      </c>
      <c r="B1411" s="1" t="n">
        <v>44021</v>
      </c>
      <c r="C1411" s="1" t="n">
        <v>45706</v>
      </c>
      <c r="D1411" t="inlineStr">
        <is>
          <t>UPPSALA LÄN</t>
        </is>
      </c>
      <c r="E1411" t="inlineStr">
        <is>
          <t>ÖSTHAMMAR</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33026-2020</t>
        </is>
      </c>
      <c r="B1412" s="1" t="n">
        <v>44021</v>
      </c>
      <c r="C1412" s="1" t="n">
        <v>45706</v>
      </c>
      <c r="D1412" t="inlineStr">
        <is>
          <t>UPPSALA LÄN</t>
        </is>
      </c>
      <c r="E1412" t="inlineStr">
        <is>
          <t>HEBY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33585-2020</t>
        </is>
      </c>
      <c r="B1413" s="1" t="n">
        <v>44022</v>
      </c>
      <c r="C1413" s="1" t="n">
        <v>45706</v>
      </c>
      <c r="D1413" t="inlineStr">
        <is>
          <t>UPPSALA LÄN</t>
        </is>
      </c>
      <c r="E1413" t="inlineStr">
        <is>
          <t>ENKÖPING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33378-2020</t>
        </is>
      </c>
      <c r="B1414" s="1" t="n">
        <v>44022</v>
      </c>
      <c r="C1414" s="1" t="n">
        <v>45706</v>
      </c>
      <c r="D1414" t="inlineStr">
        <is>
          <t>UPPSALA LÄN</t>
        </is>
      </c>
      <c r="E1414" t="inlineStr">
        <is>
          <t>TIERP</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33545-2020</t>
        </is>
      </c>
      <c r="B1415" s="1" t="n">
        <v>44025</v>
      </c>
      <c r="C1415" s="1" t="n">
        <v>45706</v>
      </c>
      <c r="D1415" t="inlineStr">
        <is>
          <t>UPPSALA LÄN</t>
        </is>
      </c>
      <c r="E1415" t="inlineStr">
        <is>
          <t>HEBY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33873-2020</t>
        </is>
      </c>
      <c r="B1416" s="1" t="n">
        <v>44025</v>
      </c>
      <c r="C1416" s="1" t="n">
        <v>45706</v>
      </c>
      <c r="D1416" t="inlineStr">
        <is>
          <t>UPPSALA LÄN</t>
        </is>
      </c>
      <c r="E1416" t="inlineStr">
        <is>
          <t>TIERP</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33671-2020</t>
        </is>
      </c>
      <c r="B1417" s="1" t="n">
        <v>44026</v>
      </c>
      <c r="C1417" s="1" t="n">
        <v>45706</v>
      </c>
      <c r="D1417" t="inlineStr">
        <is>
          <t>UPPSALA LÄN</t>
        </is>
      </c>
      <c r="E1417" t="inlineStr">
        <is>
          <t>HEBY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33658-2020</t>
        </is>
      </c>
      <c r="B1418" s="1" t="n">
        <v>44026</v>
      </c>
      <c r="C1418" s="1" t="n">
        <v>45706</v>
      </c>
      <c r="D1418" t="inlineStr">
        <is>
          <t>UPPSALA LÄN</t>
        </is>
      </c>
      <c r="E1418" t="inlineStr">
        <is>
          <t>UPPSALA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34205-2020</t>
        </is>
      </c>
      <c r="B1419" s="1" t="n">
        <v>44029</v>
      </c>
      <c r="C1419" s="1" t="n">
        <v>45706</v>
      </c>
      <c r="D1419" t="inlineStr">
        <is>
          <t>UPPSALA LÄN</t>
        </is>
      </c>
      <c r="E1419" t="inlineStr">
        <is>
          <t>UPPSALA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34490-2020</t>
        </is>
      </c>
      <c r="B1420" s="1" t="n">
        <v>44029</v>
      </c>
      <c r="C1420" s="1" t="n">
        <v>45706</v>
      </c>
      <c r="D1420" t="inlineStr">
        <is>
          <t>UPPSALA LÄN</t>
        </is>
      </c>
      <c r="E1420" t="inlineStr">
        <is>
          <t>HÅBO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34494-2020</t>
        </is>
      </c>
      <c r="B1421" s="1" t="n">
        <v>44029</v>
      </c>
      <c r="C1421" s="1" t="n">
        <v>45706</v>
      </c>
      <c r="D1421" t="inlineStr">
        <is>
          <t>UPPSALA LÄN</t>
        </is>
      </c>
      <c r="E1421" t="inlineStr">
        <is>
          <t>TIERP</t>
        </is>
      </c>
      <c r="F1421" t="inlineStr">
        <is>
          <t>Bergvik skog väst AB</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34497-2020</t>
        </is>
      </c>
      <c r="B1422" s="1" t="n">
        <v>44033</v>
      </c>
      <c r="C1422" s="1" t="n">
        <v>45706</v>
      </c>
      <c r="D1422" t="inlineStr">
        <is>
          <t>UPPSALA LÄN</t>
        </is>
      </c>
      <c r="E1422" t="inlineStr">
        <is>
          <t>HÅBO</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34565-2020</t>
        </is>
      </c>
      <c r="B1423" s="1" t="n">
        <v>44033</v>
      </c>
      <c r="C1423" s="1" t="n">
        <v>45706</v>
      </c>
      <c r="D1423" t="inlineStr">
        <is>
          <t>UPPSALA LÄN</t>
        </is>
      </c>
      <c r="E1423" t="inlineStr">
        <is>
          <t>UPPSALA</t>
        </is>
      </c>
      <c r="F1423" t="inlineStr">
        <is>
          <t>Bergvik skog öst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34700-2020</t>
        </is>
      </c>
      <c r="B1424" s="1" t="n">
        <v>44035</v>
      </c>
      <c r="C1424" s="1" t="n">
        <v>45706</v>
      </c>
      <c r="D1424" t="inlineStr">
        <is>
          <t>UPPSALA LÄN</t>
        </is>
      </c>
      <c r="E1424" t="inlineStr">
        <is>
          <t>HEBY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34729-2020</t>
        </is>
      </c>
      <c r="B1425" s="1" t="n">
        <v>44035</v>
      </c>
      <c r="C1425" s="1" t="n">
        <v>45706</v>
      </c>
      <c r="D1425" t="inlineStr">
        <is>
          <t>UPPSALA LÄN</t>
        </is>
      </c>
      <c r="E1425" t="inlineStr">
        <is>
          <t>HEBY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34753-2020</t>
        </is>
      </c>
      <c r="B1426" s="1" t="n">
        <v>44035</v>
      </c>
      <c r="C1426" s="1" t="n">
        <v>45706</v>
      </c>
      <c r="D1426" t="inlineStr">
        <is>
          <t>UPPSALA LÄN</t>
        </is>
      </c>
      <c r="E1426" t="inlineStr">
        <is>
          <t>UPPSALA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34697-2020</t>
        </is>
      </c>
      <c r="B1427" s="1" t="n">
        <v>44035</v>
      </c>
      <c r="C1427" s="1" t="n">
        <v>45706</v>
      </c>
      <c r="D1427" t="inlineStr">
        <is>
          <t>UPPSALA LÄN</t>
        </is>
      </c>
      <c r="E1427" t="inlineStr">
        <is>
          <t>HEBY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34749-2020</t>
        </is>
      </c>
      <c r="B1428" s="1" t="n">
        <v>44035</v>
      </c>
      <c r="C1428" s="1" t="n">
        <v>45706</v>
      </c>
      <c r="D1428" t="inlineStr">
        <is>
          <t>UPPSALA LÄN</t>
        </is>
      </c>
      <c r="E1428" t="inlineStr">
        <is>
          <t>UPPSALA</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34943-2020</t>
        </is>
      </c>
      <c r="B1429" s="1" t="n">
        <v>44038</v>
      </c>
      <c r="C1429" s="1" t="n">
        <v>45706</v>
      </c>
      <c r="D1429" t="inlineStr">
        <is>
          <t>UPPSALA LÄN</t>
        </is>
      </c>
      <c r="E1429" t="inlineStr">
        <is>
          <t>ÖSTHAMMAR</t>
        </is>
      </c>
      <c r="F1429" t="inlineStr">
        <is>
          <t>Bergvik skog öst AB</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34941-2020</t>
        </is>
      </c>
      <c r="B1430" s="1" t="n">
        <v>44038</v>
      </c>
      <c r="C1430" s="1" t="n">
        <v>45706</v>
      </c>
      <c r="D1430" t="inlineStr">
        <is>
          <t>UPPSALA LÄN</t>
        </is>
      </c>
      <c r="E1430" t="inlineStr">
        <is>
          <t>ÖSTHAMMAR</t>
        </is>
      </c>
      <c r="F1430" t="inlineStr">
        <is>
          <t>Bergvik skog öst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34940-2020</t>
        </is>
      </c>
      <c r="B1431" s="1" t="n">
        <v>44038</v>
      </c>
      <c r="C1431" s="1" t="n">
        <v>45706</v>
      </c>
      <c r="D1431" t="inlineStr">
        <is>
          <t>UPPSALA LÄN</t>
        </is>
      </c>
      <c r="E1431" t="inlineStr">
        <is>
          <t>ÖSTHAMMAR</t>
        </is>
      </c>
      <c r="F1431" t="inlineStr">
        <is>
          <t>Bergvik skog öst AB</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35094-2020</t>
        </is>
      </c>
      <c r="B1432" s="1" t="n">
        <v>44040</v>
      </c>
      <c r="C1432" s="1" t="n">
        <v>45706</v>
      </c>
      <c r="D1432" t="inlineStr">
        <is>
          <t>UPPSALA LÄN</t>
        </is>
      </c>
      <c r="E1432" t="inlineStr">
        <is>
          <t>ÖSTHAMMAR</t>
        </is>
      </c>
      <c r="F1432" t="inlineStr">
        <is>
          <t>Bergvik skog öst AB</t>
        </is>
      </c>
      <c r="G1432" t="n">
        <v>14.5</v>
      </c>
      <c r="H1432" t="n">
        <v>0</v>
      </c>
      <c r="I1432" t="n">
        <v>0</v>
      </c>
      <c r="J1432" t="n">
        <v>0</v>
      </c>
      <c r="K1432" t="n">
        <v>0</v>
      </c>
      <c r="L1432" t="n">
        <v>0</v>
      </c>
      <c r="M1432" t="n">
        <v>0</v>
      </c>
      <c r="N1432" t="n">
        <v>0</v>
      </c>
      <c r="O1432" t="n">
        <v>0</v>
      </c>
      <c r="P1432" t="n">
        <v>0</v>
      </c>
      <c r="Q1432" t="n">
        <v>0</v>
      </c>
      <c r="R1432" s="2" t="inlineStr"/>
    </row>
    <row r="1433" ht="15" customHeight="1">
      <c r="A1433" t="inlineStr">
        <is>
          <t>A 35096-2020</t>
        </is>
      </c>
      <c r="B1433" s="1" t="n">
        <v>44040</v>
      </c>
      <c r="C1433" s="1" t="n">
        <v>45706</v>
      </c>
      <c r="D1433" t="inlineStr">
        <is>
          <t>UPPSALA LÄN</t>
        </is>
      </c>
      <c r="E1433" t="inlineStr">
        <is>
          <t>ÖSTHAMMAR</t>
        </is>
      </c>
      <c r="F1433" t="inlineStr">
        <is>
          <t>Bergvik skog öst AB</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35281-2020</t>
        </is>
      </c>
      <c r="B1434" s="1" t="n">
        <v>44041</v>
      </c>
      <c r="C1434" s="1" t="n">
        <v>45706</v>
      </c>
      <c r="D1434" t="inlineStr">
        <is>
          <t>UPPSALA LÄN</t>
        </is>
      </c>
      <c r="E1434" t="inlineStr">
        <is>
          <t>UPPSALA</t>
        </is>
      </c>
      <c r="F1434" t="inlineStr">
        <is>
          <t>Bergvik skog öst AB</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35573-2020</t>
        </is>
      </c>
      <c r="B1435" s="1" t="n">
        <v>44043</v>
      </c>
      <c r="C1435" s="1" t="n">
        <v>45706</v>
      </c>
      <c r="D1435" t="inlineStr">
        <is>
          <t>UPPSALA LÄN</t>
        </is>
      </c>
      <c r="E1435" t="inlineStr">
        <is>
          <t>TIERP</t>
        </is>
      </c>
      <c r="F1435" t="inlineStr">
        <is>
          <t>Bergvik skog öst AB</t>
        </is>
      </c>
      <c r="G1435" t="n">
        <v>30.2</v>
      </c>
      <c r="H1435" t="n">
        <v>0</v>
      </c>
      <c r="I1435" t="n">
        <v>0</v>
      </c>
      <c r="J1435" t="n">
        <v>0</v>
      </c>
      <c r="K1435" t="n">
        <v>0</v>
      </c>
      <c r="L1435" t="n">
        <v>0</v>
      </c>
      <c r="M1435" t="n">
        <v>0</v>
      </c>
      <c r="N1435" t="n">
        <v>0</v>
      </c>
      <c r="O1435" t="n">
        <v>0</v>
      </c>
      <c r="P1435" t="n">
        <v>0</v>
      </c>
      <c r="Q1435" t="n">
        <v>0</v>
      </c>
      <c r="R1435" s="2" t="inlineStr"/>
    </row>
    <row r="1436" ht="15" customHeight="1">
      <c r="A1436" t="inlineStr">
        <is>
          <t>A 36035-2020</t>
        </is>
      </c>
      <c r="B1436" s="1" t="n">
        <v>44048</v>
      </c>
      <c r="C1436" s="1" t="n">
        <v>45706</v>
      </c>
      <c r="D1436" t="inlineStr">
        <is>
          <t>UPPSALA LÄN</t>
        </is>
      </c>
      <c r="E1436" t="inlineStr">
        <is>
          <t>UPPSALA</t>
        </is>
      </c>
      <c r="F1436" t="inlineStr">
        <is>
          <t>Bergvik skog öst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36061-2020</t>
        </is>
      </c>
      <c r="B1437" s="1" t="n">
        <v>44048</v>
      </c>
      <c r="C1437" s="1" t="n">
        <v>45706</v>
      </c>
      <c r="D1437" t="inlineStr">
        <is>
          <t>UPPSALA LÄN</t>
        </is>
      </c>
      <c r="E1437" t="inlineStr">
        <is>
          <t>HEBY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36202-2020</t>
        </is>
      </c>
      <c r="B1438" s="1" t="n">
        <v>44048</v>
      </c>
      <c r="C1438" s="1" t="n">
        <v>45706</v>
      </c>
      <c r="D1438" t="inlineStr">
        <is>
          <t>UPPSALA LÄN</t>
        </is>
      </c>
      <c r="E1438" t="inlineStr">
        <is>
          <t>UPPSALA</t>
        </is>
      </c>
      <c r="F1438" t="inlineStr">
        <is>
          <t>Bergvik skog öst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36075-2020</t>
        </is>
      </c>
      <c r="B1439" s="1" t="n">
        <v>44048</v>
      </c>
      <c r="C1439" s="1" t="n">
        <v>45706</v>
      </c>
      <c r="D1439" t="inlineStr">
        <is>
          <t>UPPSALA LÄN</t>
        </is>
      </c>
      <c r="E1439" t="inlineStr">
        <is>
          <t>HEBY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36198-2020</t>
        </is>
      </c>
      <c r="B1440" s="1" t="n">
        <v>44048</v>
      </c>
      <c r="C1440" s="1" t="n">
        <v>45706</v>
      </c>
      <c r="D1440" t="inlineStr">
        <is>
          <t>UPPSALA LÄN</t>
        </is>
      </c>
      <c r="E1440" t="inlineStr">
        <is>
          <t>UPPSALA</t>
        </is>
      </c>
      <c r="F1440" t="inlineStr">
        <is>
          <t>Bergvik skog öst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36350-2020</t>
        </is>
      </c>
      <c r="B1441" s="1" t="n">
        <v>44049</v>
      </c>
      <c r="C1441" s="1" t="n">
        <v>45706</v>
      </c>
      <c r="D1441" t="inlineStr">
        <is>
          <t>UPPSALA LÄN</t>
        </is>
      </c>
      <c r="E1441" t="inlineStr">
        <is>
          <t>UPPSALA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36412-2020</t>
        </is>
      </c>
      <c r="B1442" s="1" t="n">
        <v>44049</v>
      </c>
      <c r="C1442" s="1" t="n">
        <v>45706</v>
      </c>
      <c r="D1442" t="inlineStr">
        <is>
          <t>UPPSALA LÄN</t>
        </is>
      </c>
      <c r="E1442" t="inlineStr">
        <is>
          <t>TIERP</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36512-2020</t>
        </is>
      </c>
      <c r="B1443" s="1" t="n">
        <v>44050</v>
      </c>
      <c r="C1443" s="1" t="n">
        <v>45706</v>
      </c>
      <c r="D1443" t="inlineStr">
        <is>
          <t>UPPSALA LÄN</t>
        </is>
      </c>
      <c r="E1443" t="inlineStr">
        <is>
          <t>UPPSALA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36939-2020</t>
        </is>
      </c>
      <c r="B1444" s="1" t="n">
        <v>44053</v>
      </c>
      <c r="C1444" s="1" t="n">
        <v>45706</v>
      </c>
      <c r="D1444" t="inlineStr">
        <is>
          <t>UPPSALA LÄN</t>
        </is>
      </c>
      <c r="E1444" t="inlineStr">
        <is>
          <t>HEBY</t>
        </is>
      </c>
      <c r="F1444" t="inlineStr">
        <is>
          <t>Bergvik skog väst AB</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37193-2020</t>
        </is>
      </c>
      <c r="B1445" s="1" t="n">
        <v>44054</v>
      </c>
      <c r="C1445" s="1" t="n">
        <v>45706</v>
      </c>
      <c r="D1445" t="inlineStr">
        <is>
          <t>UPPSALA LÄN</t>
        </is>
      </c>
      <c r="E1445" t="inlineStr">
        <is>
          <t>ÄLVKARLEBY</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37276-2020</t>
        </is>
      </c>
      <c r="B1446" s="1" t="n">
        <v>44055</v>
      </c>
      <c r="C1446" s="1" t="n">
        <v>45706</v>
      </c>
      <c r="D1446" t="inlineStr">
        <is>
          <t>UPPSALA LÄN</t>
        </is>
      </c>
      <c r="E1446" t="inlineStr">
        <is>
          <t>UPPSALA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37596-2020</t>
        </is>
      </c>
      <c r="B1447" s="1" t="n">
        <v>44056</v>
      </c>
      <c r="C1447" s="1" t="n">
        <v>45706</v>
      </c>
      <c r="D1447" t="inlineStr">
        <is>
          <t>UPPSALA LÄN</t>
        </is>
      </c>
      <c r="E1447" t="inlineStr">
        <is>
          <t>TIERP</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37669-2020</t>
        </is>
      </c>
      <c r="B1448" s="1" t="n">
        <v>44056</v>
      </c>
      <c r="C1448" s="1" t="n">
        <v>45706</v>
      </c>
      <c r="D1448" t="inlineStr">
        <is>
          <t>UPPSALA LÄN</t>
        </is>
      </c>
      <c r="E1448" t="inlineStr">
        <is>
          <t>UPPSALA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37680-2020</t>
        </is>
      </c>
      <c r="B1449" s="1" t="n">
        <v>44056</v>
      </c>
      <c r="C1449" s="1" t="n">
        <v>45706</v>
      </c>
      <c r="D1449" t="inlineStr">
        <is>
          <t>UPPSALA LÄN</t>
        </is>
      </c>
      <c r="E1449" t="inlineStr">
        <is>
          <t>TIERP</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37738-2020</t>
        </is>
      </c>
      <c r="B1450" s="1" t="n">
        <v>44056</v>
      </c>
      <c r="C1450" s="1" t="n">
        <v>45706</v>
      </c>
      <c r="D1450" t="inlineStr">
        <is>
          <t>UPPSALA LÄN</t>
        </is>
      </c>
      <c r="E1450" t="inlineStr">
        <is>
          <t>ENKÖPING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37691-2020</t>
        </is>
      </c>
      <c r="B1451" s="1" t="n">
        <v>44056</v>
      </c>
      <c r="C1451" s="1" t="n">
        <v>45706</v>
      </c>
      <c r="D1451" t="inlineStr">
        <is>
          <t>UPPSALA LÄN</t>
        </is>
      </c>
      <c r="E1451" t="inlineStr">
        <is>
          <t>TIERP</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38285-2020</t>
        </is>
      </c>
      <c r="B1452" s="1" t="n">
        <v>44060</v>
      </c>
      <c r="C1452" s="1" t="n">
        <v>45706</v>
      </c>
      <c r="D1452" t="inlineStr">
        <is>
          <t>UPPSALA LÄN</t>
        </is>
      </c>
      <c r="E1452" t="inlineStr">
        <is>
          <t>ÖSTHAMMAR</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38630-2020</t>
        </is>
      </c>
      <c r="B1453" s="1" t="n">
        <v>44061</v>
      </c>
      <c r="C1453" s="1" t="n">
        <v>45706</v>
      </c>
      <c r="D1453" t="inlineStr">
        <is>
          <t>UPPSALA LÄN</t>
        </is>
      </c>
      <c r="E1453" t="inlineStr">
        <is>
          <t>ÖSTHAMMAR</t>
        </is>
      </c>
      <c r="F1453" t="inlineStr">
        <is>
          <t>Bergvik skog öst AB</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39233-2020</t>
        </is>
      </c>
      <c r="B1454" s="1" t="n">
        <v>44063</v>
      </c>
      <c r="C1454" s="1" t="n">
        <v>45706</v>
      </c>
      <c r="D1454" t="inlineStr">
        <is>
          <t>UPPSALA LÄN</t>
        </is>
      </c>
      <c r="E1454" t="inlineStr">
        <is>
          <t>UPPSALA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39178-2020</t>
        </is>
      </c>
      <c r="B1455" s="1" t="n">
        <v>44063</v>
      </c>
      <c r="C1455" s="1" t="n">
        <v>45706</v>
      </c>
      <c r="D1455" t="inlineStr">
        <is>
          <t>UPPSALA LÄN</t>
        </is>
      </c>
      <c r="E1455" t="inlineStr">
        <is>
          <t>UPPSALA</t>
        </is>
      </c>
      <c r="F1455" t="inlineStr">
        <is>
          <t>Bergvik skog öst AB</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39236-2020</t>
        </is>
      </c>
      <c r="B1456" s="1" t="n">
        <v>44063</v>
      </c>
      <c r="C1456" s="1" t="n">
        <v>45706</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39272-2020</t>
        </is>
      </c>
      <c r="B1457" s="1" t="n">
        <v>44063</v>
      </c>
      <c r="C1457" s="1" t="n">
        <v>45706</v>
      </c>
      <c r="D1457" t="inlineStr">
        <is>
          <t>UPPSALA LÄN</t>
        </is>
      </c>
      <c r="E1457" t="inlineStr">
        <is>
          <t>UPPSALA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39640-2020</t>
        </is>
      </c>
      <c r="B1458" s="1" t="n">
        <v>44064</v>
      </c>
      <c r="C1458" s="1" t="n">
        <v>45706</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39935-2020</t>
        </is>
      </c>
      <c r="B1459" s="1" t="n">
        <v>44067</v>
      </c>
      <c r="C1459" s="1" t="n">
        <v>45706</v>
      </c>
      <c r="D1459" t="inlineStr">
        <is>
          <t>UPPSALA LÄN</t>
        </is>
      </c>
      <c r="E1459" t="inlineStr">
        <is>
          <t>ENKÖPING</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40667-2020</t>
        </is>
      </c>
      <c r="B1460" s="1" t="n">
        <v>44069</v>
      </c>
      <c r="C1460" s="1" t="n">
        <v>45706</v>
      </c>
      <c r="D1460" t="inlineStr">
        <is>
          <t>UPPSALA LÄN</t>
        </is>
      </c>
      <c r="E1460" t="inlineStr">
        <is>
          <t>ÄLVKARLEBY</t>
        </is>
      </c>
      <c r="F1460" t="inlineStr">
        <is>
          <t>Bergvik skog väst AB</t>
        </is>
      </c>
      <c r="G1460" t="n">
        <v>20.7</v>
      </c>
      <c r="H1460" t="n">
        <v>0</v>
      </c>
      <c r="I1460" t="n">
        <v>0</v>
      </c>
      <c r="J1460" t="n">
        <v>0</v>
      </c>
      <c r="K1460" t="n">
        <v>0</v>
      </c>
      <c r="L1460" t="n">
        <v>0</v>
      </c>
      <c r="M1460" t="n">
        <v>0</v>
      </c>
      <c r="N1460" t="n">
        <v>0</v>
      </c>
      <c r="O1460" t="n">
        <v>0</v>
      </c>
      <c r="P1460" t="n">
        <v>0</v>
      </c>
      <c r="Q1460" t="n">
        <v>0</v>
      </c>
      <c r="R1460" s="2" t="inlineStr"/>
    </row>
    <row r="1461" ht="15" customHeight="1">
      <c r="A1461" t="inlineStr">
        <is>
          <t>A 40803-2020</t>
        </is>
      </c>
      <c r="B1461" s="1" t="n">
        <v>44070</v>
      </c>
      <c r="C1461" s="1" t="n">
        <v>45706</v>
      </c>
      <c r="D1461" t="inlineStr">
        <is>
          <t>UPPSALA LÄN</t>
        </is>
      </c>
      <c r="E1461" t="inlineStr">
        <is>
          <t>HEBY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40894-2020</t>
        </is>
      </c>
      <c r="B1462" s="1" t="n">
        <v>44070</v>
      </c>
      <c r="C1462" s="1" t="n">
        <v>45706</v>
      </c>
      <c r="D1462" t="inlineStr">
        <is>
          <t>UPPSALA LÄN</t>
        </is>
      </c>
      <c r="E1462" t="inlineStr">
        <is>
          <t>UPPSALA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41849-2020</t>
        </is>
      </c>
      <c r="B1463" s="1" t="n">
        <v>44074</v>
      </c>
      <c r="C1463" s="1" t="n">
        <v>45706</v>
      </c>
      <c r="D1463" t="inlineStr">
        <is>
          <t>UPPSALA LÄN</t>
        </is>
      </c>
      <c r="E1463" t="inlineStr">
        <is>
          <t>ÖSTHAMMAR</t>
        </is>
      </c>
      <c r="F1463" t="inlineStr">
        <is>
          <t>Bergvik skog öst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42341-2020</t>
        </is>
      </c>
      <c r="B1464" s="1" t="n">
        <v>44076</v>
      </c>
      <c r="C1464" s="1" t="n">
        <v>45706</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42549-2020</t>
        </is>
      </c>
      <c r="B1465" s="1" t="n">
        <v>44077</v>
      </c>
      <c r="C1465" s="1" t="n">
        <v>45706</v>
      </c>
      <c r="D1465" t="inlineStr">
        <is>
          <t>UPPSALA LÄN</t>
        </is>
      </c>
      <c r="E1465" t="inlineStr">
        <is>
          <t>ÖSTHAMMAR</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43968-2020</t>
        </is>
      </c>
      <c r="B1466" s="1" t="n">
        <v>44083</v>
      </c>
      <c r="C1466" s="1" t="n">
        <v>45706</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44089-2020</t>
        </is>
      </c>
      <c r="B1467" s="1" t="n">
        <v>44083</v>
      </c>
      <c r="C1467" s="1" t="n">
        <v>45706</v>
      </c>
      <c r="D1467" t="inlineStr">
        <is>
          <t>UPPSALA LÄN</t>
        </is>
      </c>
      <c r="E1467" t="inlineStr">
        <is>
          <t>KNIVSTA</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45513-2020</t>
        </is>
      </c>
      <c r="B1468" s="1" t="n">
        <v>44085</v>
      </c>
      <c r="C1468" s="1" t="n">
        <v>45706</v>
      </c>
      <c r="D1468" t="inlineStr">
        <is>
          <t>UPPSALA LÄN</t>
        </is>
      </c>
      <c r="E1468" t="inlineStr">
        <is>
          <t>TIERP</t>
        </is>
      </c>
      <c r="F1468" t="inlineStr">
        <is>
          <t>Bergvik skog väst AB</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45938-2020</t>
        </is>
      </c>
      <c r="B1469" s="1" t="n">
        <v>44088</v>
      </c>
      <c r="C1469" s="1" t="n">
        <v>45706</v>
      </c>
      <c r="D1469" t="inlineStr">
        <is>
          <t>UPPSALA LÄN</t>
        </is>
      </c>
      <c r="E1469" t="inlineStr">
        <is>
          <t>TIERP</t>
        </is>
      </c>
      <c r="F1469" t="inlineStr">
        <is>
          <t>Bergvik skog väst AB</t>
        </is>
      </c>
      <c r="G1469" t="n">
        <v>18.5</v>
      </c>
      <c r="H1469" t="n">
        <v>0</v>
      </c>
      <c r="I1469" t="n">
        <v>0</v>
      </c>
      <c r="J1469" t="n">
        <v>0</v>
      </c>
      <c r="K1469" t="n">
        <v>0</v>
      </c>
      <c r="L1469" t="n">
        <v>0</v>
      </c>
      <c r="M1469" t="n">
        <v>0</v>
      </c>
      <c r="N1469" t="n">
        <v>0</v>
      </c>
      <c r="O1469" t="n">
        <v>0</v>
      </c>
      <c r="P1469" t="n">
        <v>0</v>
      </c>
      <c r="Q1469" t="n">
        <v>0</v>
      </c>
      <c r="R1469" s="2" t="inlineStr"/>
    </row>
    <row r="1470" ht="15" customHeight="1">
      <c r="A1470" t="inlineStr">
        <is>
          <t>A 45378-2020</t>
        </is>
      </c>
      <c r="B1470" s="1" t="n">
        <v>44089</v>
      </c>
      <c r="C1470" s="1" t="n">
        <v>45706</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45497-2020</t>
        </is>
      </c>
      <c r="B1471" s="1" t="n">
        <v>44089</v>
      </c>
      <c r="C1471" s="1" t="n">
        <v>45706</v>
      </c>
      <c r="D1471" t="inlineStr">
        <is>
          <t>UPPSALA LÄN</t>
        </is>
      </c>
      <c r="E1471" t="inlineStr">
        <is>
          <t>HEBY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45930-2020</t>
        </is>
      </c>
      <c r="B1472" s="1" t="n">
        <v>44091</v>
      </c>
      <c r="C1472" s="1" t="n">
        <v>45706</v>
      </c>
      <c r="D1472" t="inlineStr">
        <is>
          <t>UPPSALA LÄN</t>
        </is>
      </c>
      <c r="E1472" t="inlineStr">
        <is>
          <t>UPPSALA</t>
        </is>
      </c>
      <c r="F1472" t="inlineStr">
        <is>
          <t>Holmen skog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46223-2020</t>
        </is>
      </c>
      <c r="B1473" s="1" t="n">
        <v>44092</v>
      </c>
      <c r="C1473" s="1" t="n">
        <v>45706</v>
      </c>
      <c r="D1473" t="inlineStr">
        <is>
          <t>UPPSALA LÄN</t>
        </is>
      </c>
      <c r="E1473" t="inlineStr">
        <is>
          <t>HEBY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46311-2020</t>
        </is>
      </c>
      <c r="B1474" s="1" t="n">
        <v>44092</v>
      </c>
      <c r="C1474" s="1" t="n">
        <v>45706</v>
      </c>
      <c r="D1474" t="inlineStr">
        <is>
          <t>UPPSALA LÄN</t>
        </is>
      </c>
      <c r="E1474" t="inlineStr">
        <is>
          <t>ÖSTHAMMAR</t>
        </is>
      </c>
      <c r="F1474" t="inlineStr">
        <is>
          <t>Bergvik skog öst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46593-2020</t>
        </is>
      </c>
      <c r="B1475" s="1" t="n">
        <v>44095</v>
      </c>
      <c r="C1475" s="1" t="n">
        <v>45706</v>
      </c>
      <c r="D1475" t="inlineStr">
        <is>
          <t>UPPSALA LÄN</t>
        </is>
      </c>
      <c r="E1475" t="inlineStr">
        <is>
          <t>ENKÖPING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46633-2020</t>
        </is>
      </c>
      <c r="B1476" s="1" t="n">
        <v>44095</v>
      </c>
      <c r="C1476" s="1" t="n">
        <v>45706</v>
      </c>
      <c r="D1476" t="inlineStr">
        <is>
          <t>UPPSALA LÄN</t>
        </is>
      </c>
      <c r="E1476" t="inlineStr">
        <is>
          <t>UPPSALA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46423-2020</t>
        </is>
      </c>
      <c r="B1477" s="1" t="n">
        <v>44095</v>
      </c>
      <c r="C1477" s="1" t="n">
        <v>45706</v>
      </c>
      <c r="D1477" t="inlineStr">
        <is>
          <t>UPPSALA LÄN</t>
        </is>
      </c>
      <c r="E1477" t="inlineStr">
        <is>
          <t>ÖSTHAMMAR</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46643-2020</t>
        </is>
      </c>
      <c r="B1478" s="1" t="n">
        <v>44095</v>
      </c>
      <c r="C1478" s="1" t="n">
        <v>45706</v>
      </c>
      <c r="D1478" t="inlineStr">
        <is>
          <t>UPPSALA LÄN</t>
        </is>
      </c>
      <c r="E1478" t="inlineStr">
        <is>
          <t>HEBY</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46647-2020</t>
        </is>
      </c>
      <c r="B1479" s="1" t="n">
        <v>44095</v>
      </c>
      <c r="C1479" s="1" t="n">
        <v>45706</v>
      </c>
      <c r="D1479" t="inlineStr">
        <is>
          <t>UPPSALA LÄN</t>
        </is>
      </c>
      <c r="E1479" t="inlineStr">
        <is>
          <t>UPPSALA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46988-2020</t>
        </is>
      </c>
      <c r="B1480" s="1" t="n">
        <v>44096</v>
      </c>
      <c r="C1480" s="1" t="n">
        <v>45706</v>
      </c>
      <c r="D1480" t="inlineStr">
        <is>
          <t>UPPSALA LÄN</t>
        </is>
      </c>
      <c r="E1480" t="inlineStr">
        <is>
          <t>KNIVSTA</t>
        </is>
      </c>
      <c r="F1480" t="inlineStr">
        <is>
          <t>Holmen skog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47234-2020</t>
        </is>
      </c>
      <c r="B1481" s="1" t="n">
        <v>44097</v>
      </c>
      <c r="C1481" s="1" t="n">
        <v>45706</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47149-2020</t>
        </is>
      </c>
      <c r="B1482" s="1" t="n">
        <v>44097</v>
      </c>
      <c r="C1482" s="1" t="n">
        <v>45706</v>
      </c>
      <c r="D1482" t="inlineStr">
        <is>
          <t>UPPSALA LÄN</t>
        </is>
      </c>
      <c r="E1482" t="inlineStr">
        <is>
          <t>HEBY</t>
        </is>
      </c>
      <c r="F1482" t="inlineStr">
        <is>
          <t>Övriga Aktiebolag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47628-2020</t>
        </is>
      </c>
      <c r="B1483" s="1" t="n">
        <v>44098</v>
      </c>
      <c r="C1483" s="1" t="n">
        <v>45706</v>
      </c>
      <c r="D1483" t="inlineStr">
        <is>
          <t>UPPSALA LÄN</t>
        </is>
      </c>
      <c r="E1483" t="inlineStr">
        <is>
          <t>HEBY</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47481-2020</t>
        </is>
      </c>
      <c r="B1484" s="1" t="n">
        <v>44098</v>
      </c>
      <c r="C1484" s="1" t="n">
        <v>45706</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48181-2020</t>
        </is>
      </c>
      <c r="B1485" s="1" t="n">
        <v>44102</v>
      </c>
      <c r="C1485" s="1" t="n">
        <v>45706</v>
      </c>
      <c r="D1485" t="inlineStr">
        <is>
          <t>UPPSALA LÄN</t>
        </is>
      </c>
      <c r="E1485" t="inlineStr">
        <is>
          <t>HEBY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48362-2020</t>
        </is>
      </c>
      <c r="B1486" s="1" t="n">
        <v>44102</v>
      </c>
      <c r="C1486" s="1" t="n">
        <v>45706</v>
      </c>
      <c r="D1486" t="inlineStr">
        <is>
          <t>UPPSALA LÄN</t>
        </is>
      </c>
      <c r="E1486" t="inlineStr">
        <is>
          <t>ENKÖPING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48484-2020</t>
        </is>
      </c>
      <c r="B1487" s="1" t="n">
        <v>44103</v>
      </c>
      <c r="C1487" s="1" t="n">
        <v>45706</v>
      </c>
      <c r="D1487" t="inlineStr">
        <is>
          <t>UPPSALA LÄN</t>
        </is>
      </c>
      <c r="E1487" t="inlineStr">
        <is>
          <t>ENKÖPING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48548-2020</t>
        </is>
      </c>
      <c r="B1488" s="1" t="n">
        <v>44103</v>
      </c>
      <c r="C1488" s="1" t="n">
        <v>45706</v>
      </c>
      <c r="D1488" t="inlineStr">
        <is>
          <t>UPPSALA LÄN</t>
        </is>
      </c>
      <c r="E1488" t="inlineStr">
        <is>
          <t>HEBY</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48786-2020</t>
        </is>
      </c>
      <c r="B1489" s="1" t="n">
        <v>44103</v>
      </c>
      <c r="C1489" s="1" t="n">
        <v>45706</v>
      </c>
      <c r="D1489" t="inlineStr">
        <is>
          <t>UPPSALA LÄN</t>
        </is>
      </c>
      <c r="E1489" t="inlineStr">
        <is>
          <t>UPPSALA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49206-2020</t>
        </is>
      </c>
      <c r="B1490" s="1" t="n">
        <v>44105</v>
      </c>
      <c r="C1490" s="1" t="n">
        <v>45706</v>
      </c>
      <c r="D1490" t="inlineStr">
        <is>
          <t>UPPSALA LÄN</t>
        </is>
      </c>
      <c r="E1490" t="inlineStr">
        <is>
          <t>ÖSTHAMMAR</t>
        </is>
      </c>
      <c r="F1490" t="inlineStr">
        <is>
          <t>Bergvik skog öst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49336-2020</t>
        </is>
      </c>
      <c r="B1491" s="1" t="n">
        <v>44105</v>
      </c>
      <c r="C1491" s="1" t="n">
        <v>45706</v>
      </c>
      <c r="D1491" t="inlineStr">
        <is>
          <t>UPPSALA LÄN</t>
        </is>
      </c>
      <c r="E1491" t="inlineStr">
        <is>
          <t>ÖSTHAMMAR</t>
        </is>
      </c>
      <c r="F1491" t="inlineStr">
        <is>
          <t>Övriga Aktiebolag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49363-2020</t>
        </is>
      </c>
      <c r="B1492" s="1" t="n">
        <v>44105</v>
      </c>
      <c r="C1492" s="1" t="n">
        <v>45706</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49409-2020</t>
        </is>
      </c>
      <c r="B1493" s="1" t="n">
        <v>44105</v>
      </c>
      <c r="C1493" s="1" t="n">
        <v>45706</v>
      </c>
      <c r="D1493" t="inlineStr">
        <is>
          <t>UPPSALA LÄN</t>
        </is>
      </c>
      <c r="E1493" t="inlineStr">
        <is>
          <t>UPPSALA</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49404-2020</t>
        </is>
      </c>
      <c r="B1494" s="1" t="n">
        <v>44105</v>
      </c>
      <c r="C1494" s="1" t="n">
        <v>45706</v>
      </c>
      <c r="D1494" t="inlineStr">
        <is>
          <t>UPPSALA LÄN</t>
        </is>
      </c>
      <c r="E1494" t="inlineStr">
        <is>
          <t>UPPSALA</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49718-2020</t>
        </is>
      </c>
      <c r="B1495" s="1" t="n">
        <v>44106</v>
      </c>
      <c r="C1495" s="1" t="n">
        <v>45706</v>
      </c>
      <c r="D1495" t="inlineStr">
        <is>
          <t>UPPSALA LÄN</t>
        </is>
      </c>
      <c r="E1495" t="inlineStr">
        <is>
          <t>TIERP</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49821-2020</t>
        </is>
      </c>
      <c r="B1496" s="1" t="n">
        <v>44106</v>
      </c>
      <c r="C1496" s="1" t="n">
        <v>45706</v>
      </c>
      <c r="D1496" t="inlineStr">
        <is>
          <t>UPPSALA LÄN</t>
        </is>
      </c>
      <c r="E1496" t="inlineStr">
        <is>
          <t>UPPSALA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51400-2020</t>
        </is>
      </c>
      <c r="B1497" s="1" t="n">
        <v>44106</v>
      </c>
      <c r="C1497" s="1" t="n">
        <v>45706</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49931-2020</t>
        </is>
      </c>
      <c r="B1498" s="1" t="n">
        <v>44109</v>
      </c>
      <c r="C1498" s="1" t="n">
        <v>45706</v>
      </c>
      <c r="D1498" t="inlineStr">
        <is>
          <t>UPPSALA LÄN</t>
        </is>
      </c>
      <c r="E1498" t="inlineStr">
        <is>
          <t>UPPSALA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50413-2020</t>
        </is>
      </c>
      <c r="B1499" s="1" t="n">
        <v>44110</v>
      </c>
      <c r="C1499" s="1" t="n">
        <v>45706</v>
      </c>
      <c r="D1499" t="inlineStr">
        <is>
          <t>UPPSALA LÄN</t>
        </is>
      </c>
      <c r="E1499" t="inlineStr">
        <is>
          <t>ÄLVKARLEBY</t>
        </is>
      </c>
      <c r="F1499" t="inlineStr">
        <is>
          <t>Bergvik skog väst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50416-2020</t>
        </is>
      </c>
      <c r="B1500" s="1" t="n">
        <v>44110</v>
      </c>
      <c r="C1500" s="1" t="n">
        <v>45706</v>
      </c>
      <c r="D1500" t="inlineStr">
        <is>
          <t>UPPSALA LÄN</t>
        </is>
      </c>
      <c r="E1500" t="inlineStr">
        <is>
          <t>ÄLVKARLEBY</t>
        </is>
      </c>
      <c r="F1500" t="inlineStr">
        <is>
          <t>Bergvik skog väst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50409-2020</t>
        </is>
      </c>
      <c r="B1501" s="1" t="n">
        <v>44110</v>
      </c>
      <c r="C1501" s="1" t="n">
        <v>45706</v>
      </c>
      <c r="D1501" t="inlineStr">
        <is>
          <t>UPPSALA LÄN</t>
        </is>
      </c>
      <c r="E1501" t="inlineStr">
        <is>
          <t>ÄLVKARLEBY</t>
        </is>
      </c>
      <c r="F1501" t="inlineStr">
        <is>
          <t>Bergvik skog väst AB</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50589-2020</t>
        </is>
      </c>
      <c r="B1502" s="1" t="n">
        <v>44110</v>
      </c>
      <c r="C1502" s="1" t="n">
        <v>45706</v>
      </c>
      <c r="D1502" t="inlineStr">
        <is>
          <t>UPPSALA LÄN</t>
        </is>
      </c>
      <c r="E1502" t="inlineStr">
        <is>
          <t>HEBY</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51943-2020</t>
        </is>
      </c>
      <c r="B1503" s="1" t="n">
        <v>44110</v>
      </c>
      <c r="C1503" s="1" t="n">
        <v>45706</v>
      </c>
      <c r="D1503" t="inlineStr">
        <is>
          <t>UPPSALA LÄN</t>
        </is>
      </c>
      <c r="E1503" t="inlineStr">
        <is>
          <t>HEBY</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50677-2020</t>
        </is>
      </c>
      <c r="B1504" s="1" t="n">
        <v>44111</v>
      </c>
      <c r="C1504" s="1" t="n">
        <v>45706</v>
      </c>
      <c r="D1504" t="inlineStr">
        <is>
          <t>UPPSALA LÄN</t>
        </is>
      </c>
      <c r="E1504" t="inlineStr">
        <is>
          <t>TIERP</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50735-2020</t>
        </is>
      </c>
      <c r="B1505" s="1" t="n">
        <v>44111</v>
      </c>
      <c r="C1505" s="1" t="n">
        <v>45706</v>
      </c>
      <c r="D1505" t="inlineStr">
        <is>
          <t>UPPSALA LÄN</t>
        </is>
      </c>
      <c r="E1505" t="inlineStr">
        <is>
          <t>TIERP</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51092-2020</t>
        </is>
      </c>
      <c r="B1506" s="1" t="n">
        <v>44112</v>
      </c>
      <c r="C1506" s="1" t="n">
        <v>45706</v>
      </c>
      <c r="D1506" t="inlineStr">
        <is>
          <t>UPPSALA LÄN</t>
        </is>
      </c>
      <c r="E1506" t="inlineStr">
        <is>
          <t>ENKÖPING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51091-2020</t>
        </is>
      </c>
      <c r="B1507" s="1" t="n">
        <v>44112</v>
      </c>
      <c r="C1507" s="1" t="n">
        <v>45706</v>
      </c>
      <c r="D1507" t="inlineStr">
        <is>
          <t>UPPSALA LÄN</t>
        </is>
      </c>
      <c r="E1507" t="inlineStr">
        <is>
          <t>ENKÖPING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51808-2020</t>
        </is>
      </c>
      <c r="B1508" s="1" t="n">
        <v>44116</v>
      </c>
      <c r="C1508" s="1" t="n">
        <v>45706</v>
      </c>
      <c r="D1508" t="inlineStr">
        <is>
          <t>UPPSALA LÄN</t>
        </is>
      </c>
      <c r="E1508" t="inlineStr">
        <is>
          <t>TIERP</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52182-2020</t>
        </is>
      </c>
      <c r="B1509" s="1" t="n">
        <v>44117</v>
      </c>
      <c r="C1509" s="1" t="n">
        <v>45706</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52308-2020</t>
        </is>
      </c>
      <c r="B1510" s="1" t="n">
        <v>44117</v>
      </c>
      <c r="C1510" s="1" t="n">
        <v>45706</v>
      </c>
      <c r="D1510" t="inlineStr">
        <is>
          <t>UPPSALA LÄN</t>
        </is>
      </c>
      <c r="E1510" t="inlineStr">
        <is>
          <t>ENKÖPING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52102-2020</t>
        </is>
      </c>
      <c r="B1511" s="1" t="n">
        <v>44117</v>
      </c>
      <c r="C1511" s="1" t="n">
        <v>45706</v>
      </c>
      <c r="D1511" t="inlineStr">
        <is>
          <t>UPPSALA LÄN</t>
        </is>
      </c>
      <c r="E1511" t="inlineStr">
        <is>
          <t>ENKÖPING</t>
        </is>
      </c>
      <c r="F1511" t="inlineStr">
        <is>
          <t>Allmännings- och besparingsskogar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52169-2020</t>
        </is>
      </c>
      <c r="B1512" s="1" t="n">
        <v>44117</v>
      </c>
      <c r="C1512" s="1" t="n">
        <v>45706</v>
      </c>
      <c r="D1512" t="inlineStr">
        <is>
          <t>UPPSALA LÄN</t>
        </is>
      </c>
      <c r="E1512" t="inlineStr">
        <is>
          <t>ENKÖPING</t>
        </is>
      </c>
      <c r="F1512" t="inlineStr">
        <is>
          <t>Allmännings- och besparingsskogar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52243-2020</t>
        </is>
      </c>
      <c r="B1513" s="1" t="n">
        <v>44117</v>
      </c>
      <c r="C1513" s="1" t="n">
        <v>45706</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52223-2020</t>
        </is>
      </c>
      <c r="B1514" s="1" t="n">
        <v>44117</v>
      </c>
      <c r="C1514" s="1" t="n">
        <v>45706</v>
      </c>
      <c r="D1514" t="inlineStr">
        <is>
          <t>UPPSALA LÄN</t>
        </is>
      </c>
      <c r="E1514" t="inlineStr">
        <is>
          <t>ENKÖPING</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52432-2020</t>
        </is>
      </c>
      <c r="B1515" s="1" t="n">
        <v>44118</v>
      </c>
      <c r="C1515" s="1" t="n">
        <v>45706</v>
      </c>
      <c r="D1515" t="inlineStr">
        <is>
          <t>UPPSALA LÄN</t>
        </is>
      </c>
      <c r="E1515" t="inlineStr">
        <is>
          <t>ÖSTHAMMAR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52464-2020</t>
        </is>
      </c>
      <c r="B1516" s="1" t="n">
        <v>44118</v>
      </c>
      <c r="C1516" s="1" t="n">
        <v>45706</v>
      </c>
      <c r="D1516" t="inlineStr">
        <is>
          <t>UPPSALA LÄN</t>
        </is>
      </c>
      <c r="E1516" t="inlineStr">
        <is>
          <t>ENKÖPING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52434-2020</t>
        </is>
      </c>
      <c r="B1517" s="1" t="n">
        <v>44118</v>
      </c>
      <c r="C1517" s="1" t="n">
        <v>45706</v>
      </c>
      <c r="D1517" t="inlineStr">
        <is>
          <t>UPPSALA LÄN</t>
        </is>
      </c>
      <c r="E1517" t="inlineStr">
        <is>
          <t>ÖSTHAMMAR</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52717-2020</t>
        </is>
      </c>
      <c r="B1518" s="1" t="n">
        <v>44119</v>
      </c>
      <c r="C1518" s="1" t="n">
        <v>45706</v>
      </c>
      <c r="D1518" t="inlineStr">
        <is>
          <t>UPPSALA LÄN</t>
        </is>
      </c>
      <c r="E1518" t="inlineStr">
        <is>
          <t>UPPSALA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53137-2020</t>
        </is>
      </c>
      <c r="B1519" s="1" t="n">
        <v>44120</v>
      </c>
      <c r="C1519" s="1" t="n">
        <v>45706</v>
      </c>
      <c r="D1519" t="inlineStr">
        <is>
          <t>UPPSALA LÄN</t>
        </is>
      </c>
      <c r="E1519" t="inlineStr">
        <is>
          <t>ÖSTHAMMAR</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53149-2020</t>
        </is>
      </c>
      <c r="B1520" s="1" t="n">
        <v>44120</v>
      </c>
      <c r="C1520" s="1" t="n">
        <v>45706</v>
      </c>
      <c r="D1520" t="inlineStr">
        <is>
          <t>UPPSALA LÄN</t>
        </is>
      </c>
      <c r="E1520" t="inlineStr">
        <is>
          <t>ENKÖPING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53338-2020</t>
        </is>
      </c>
      <c r="B1521" s="1" t="n">
        <v>44123</v>
      </c>
      <c r="C1521" s="1" t="n">
        <v>45706</v>
      </c>
      <c r="D1521" t="inlineStr">
        <is>
          <t>UPPSALA LÄN</t>
        </is>
      </c>
      <c r="E1521" t="inlineStr">
        <is>
          <t>ENKÖPING</t>
        </is>
      </c>
      <c r="G1521" t="n">
        <v>12.1</v>
      </c>
      <c r="H1521" t="n">
        <v>0</v>
      </c>
      <c r="I1521" t="n">
        <v>0</v>
      </c>
      <c r="J1521" t="n">
        <v>0</v>
      </c>
      <c r="K1521" t="n">
        <v>0</v>
      </c>
      <c r="L1521" t="n">
        <v>0</v>
      </c>
      <c r="M1521" t="n">
        <v>0</v>
      </c>
      <c r="N1521" t="n">
        <v>0</v>
      </c>
      <c r="O1521" t="n">
        <v>0</v>
      </c>
      <c r="P1521" t="n">
        <v>0</v>
      </c>
      <c r="Q1521" t="n">
        <v>0</v>
      </c>
      <c r="R1521" s="2" t="inlineStr"/>
    </row>
    <row r="1522" ht="15" customHeight="1">
      <c r="A1522" t="inlineStr">
        <is>
          <t>A 53352-2020</t>
        </is>
      </c>
      <c r="B1522" s="1" t="n">
        <v>44123</v>
      </c>
      <c r="C1522" s="1" t="n">
        <v>45706</v>
      </c>
      <c r="D1522" t="inlineStr">
        <is>
          <t>UPPSALA LÄN</t>
        </is>
      </c>
      <c r="E1522" t="inlineStr">
        <is>
          <t>ENKÖPING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53343-2020</t>
        </is>
      </c>
      <c r="B1523" s="1" t="n">
        <v>44123</v>
      </c>
      <c r="C1523" s="1" t="n">
        <v>45706</v>
      </c>
      <c r="D1523" t="inlineStr">
        <is>
          <t>UPPSALA LÄN</t>
        </is>
      </c>
      <c r="E1523" t="inlineStr">
        <is>
          <t>ENKÖPING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53337-2020</t>
        </is>
      </c>
      <c r="B1524" s="1" t="n">
        <v>44123</v>
      </c>
      <c r="C1524" s="1" t="n">
        <v>45706</v>
      </c>
      <c r="D1524" t="inlineStr">
        <is>
          <t>UPPSALA LÄN</t>
        </is>
      </c>
      <c r="E1524" t="inlineStr">
        <is>
          <t>ENKÖPING</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53346-2020</t>
        </is>
      </c>
      <c r="B1525" s="1" t="n">
        <v>44123</v>
      </c>
      <c r="C1525" s="1" t="n">
        <v>45706</v>
      </c>
      <c r="D1525" t="inlineStr">
        <is>
          <t>UPPSALA LÄN</t>
        </is>
      </c>
      <c r="E1525" t="inlineStr">
        <is>
          <t>UPPSALA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53344-2020</t>
        </is>
      </c>
      <c r="B1526" s="1" t="n">
        <v>44123</v>
      </c>
      <c r="C1526" s="1" t="n">
        <v>45706</v>
      </c>
      <c r="D1526" t="inlineStr">
        <is>
          <t>UPPSALA LÄN</t>
        </is>
      </c>
      <c r="E1526" t="inlineStr">
        <is>
          <t>ENKÖPING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53379-2020</t>
        </is>
      </c>
      <c r="B1527" s="1" t="n">
        <v>44123</v>
      </c>
      <c r="C1527" s="1" t="n">
        <v>45706</v>
      </c>
      <c r="D1527" t="inlineStr">
        <is>
          <t>UPPSALA LÄN</t>
        </is>
      </c>
      <c r="E1527" t="inlineStr">
        <is>
          <t>UPPSALA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53489-2020</t>
        </is>
      </c>
      <c r="B1528" s="1" t="n">
        <v>44123</v>
      </c>
      <c r="C1528" s="1" t="n">
        <v>45706</v>
      </c>
      <c r="D1528" t="inlineStr">
        <is>
          <t>UPPSALA LÄN</t>
        </is>
      </c>
      <c r="E1528" t="inlineStr">
        <is>
          <t>TIERP</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54742-2020</t>
        </is>
      </c>
      <c r="B1529" s="1" t="n">
        <v>44126</v>
      </c>
      <c r="C1529" s="1" t="n">
        <v>45706</v>
      </c>
      <c r="D1529" t="inlineStr">
        <is>
          <t>UPPSALA LÄN</t>
        </is>
      </c>
      <c r="E1529" t="inlineStr">
        <is>
          <t>UPPSALA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54698-2020</t>
        </is>
      </c>
      <c r="B1530" s="1" t="n">
        <v>44127</v>
      </c>
      <c r="C1530" s="1" t="n">
        <v>45706</v>
      </c>
      <c r="D1530" t="inlineStr">
        <is>
          <t>UPPSALA LÄN</t>
        </is>
      </c>
      <c r="E1530" t="inlineStr">
        <is>
          <t>HEBY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55051-2020</t>
        </is>
      </c>
      <c r="B1531" s="1" t="n">
        <v>44130</v>
      </c>
      <c r="C1531" s="1" t="n">
        <v>45706</v>
      </c>
      <c r="D1531" t="inlineStr">
        <is>
          <t>UPPSALA LÄN</t>
        </is>
      </c>
      <c r="E1531" t="inlineStr">
        <is>
          <t>ENKÖPING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55220-2020</t>
        </is>
      </c>
      <c r="B1532" s="1" t="n">
        <v>44130</v>
      </c>
      <c r="C1532" s="1" t="n">
        <v>45706</v>
      </c>
      <c r="D1532" t="inlineStr">
        <is>
          <t>UPPSALA LÄN</t>
        </is>
      </c>
      <c r="E1532" t="inlineStr">
        <is>
          <t>UPPSALA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55389-2020</t>
        </is>
      </c>
      <c r="B1533" s="1" t="n">
        <v>44131</v>
      </c>
      <c r="C1533" s="1" t="n">
        <v>45706</v>
      </c>
      <c r="D1533" t="inlineStr">
        <is>
          <t>UPPSALA LÄN</t>
        </is>
      </c>
      <c r="E1533" t="inlineStr">
        <is>
          <t>ÖSTHAMMAR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55953-2020</t>
        </is>
      </c>
      <c r="B1534" s="1" t="n">
        <v>44131</v>
      </c>
      <c r="C1534" s="1" t="n">
        <v>45706</v>
      </c>
      <c r="D1534" t="inlineStr">
        <is>
          <t>UPPSALA LÄN</t>
        </is>
      </c>
      <c r="E1534" t="inlineStr">
        <is>
          <t>UPPSALA</t>
        </is>
      </c>
      <c r="F1534" t="inlineStr">
        <is>
          <t>Allmännings- och besparingsskogar</t>
        </is>
      </c>
      <c r="G1534" t="n">
        <v>74.40000000000001</v>
      </c>
      <c r="H1534" t="n">
        <v>0</v>
      </c>
      <c r="I1534" t="n">
        <v>0</v>
      </c>
      <c r="J1534" t="n">
        <v>0</v>
      </c>
      <c r="K1534" t="n">
        <v>0</v>
      </c>
      <c r="L1534" t="n">
        <v>0</v>
      </c>
      <c r="M1534" t="n">
        <v>0</v>
      </c>
      <c r="N1534" t="n">
        <v>0</v>
      </c>
      <c r="O1534" t="n">
        <v>0</v>
      </c>
      <c r="P1534" t="n">
        <v>0</v>
      </c>
      <c r="Q1534" t="n">
        <v>0</v>
      </c>
      <c r="R1534" s="2" t="inlineStr"/>
    </row>
    <row r="1535" ht="15" customHeight="1">
      <c r="A1535" t="inlineStr">
        <is>
          <t>A 56097-2020</t>
        </is>
      </c>
      <c r="B1535" s="1" t="n">
        <v>44131</v>
      </c>
      <c r="C1535" s="1" t="n">
        <v>45706</v>
      </c>
      <c r="D1535" t="inlineStr">
        <is>
          <t>UPPSALA LÄN</t>
        </is>
      </c>
      <c r="E1535" t="inlineStr">
        <is>
          <t>UPPSALA</t>
        </is>
      </c>
      <c r="F1535" t="inlineStr">
        <is>
          <t>Allmännings- och besparingsskogar</t>
        </is>
      </c>
      <c r="G1535" t="n">
        <v>10.6</v>
      </c>
      <c r="H1535" t="n">
        <v>0</v>
      </c>
      <c r="I1535" t="n">
        <v>0</v>
      </c>
      <c r="J1535" t="n">
        <v>0</v>
      </c>
      <c r="K1535" t="n">
        <v>0</v>
      </c>
      <c r="L1535" t="n">
        <v>0</v>
      </c>
      <c r="M1535" t="n">
        <v>0</v>
      </c>
      <c r="N1535" t="n">
        <v>0</v>
      </c>
      <c r="O1535" t="n">
        <v>0</v>
      </c>
      <c r="P1535" t="n">
        <v>0</v>
      </c>
      <c r="Q1535" t="n">
        <v>0</v>
      </c>
      <c r="R1535" s="2" t="inlineStr"/>
    </row>
    <row r="1536" ht="15" customHeight="1">
      <c r="A1536" t="inlineStr">
        <is>
          <t>A 56041-2020</t>
        </is>
      </c>
      <c r="B1536" s="1" t="n">
        <v>44133</v>
      </c>
      <c r="C1536" s="1" t="n">
        <v>45706</v>
      </c>
      <c r="D1536" t="inlineStr">
        <is>
          <t>UPPSALA LÄN</t>
        </is>
      </c>
      <c r="E1536" t="inlineStr">
        <is>
          <t>ÖSTHAMMAR</t>
        </is>
      </c>
      <c r="F1536" t="inlineStr">
        <is>
          <t>Bergvik skog väst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56079-2020</t>
        </is>
      </c>
      <c r="B1537" s="1" t="n">
        <v>44133</v>
      </c>
      <c r="C1537" s="1" t="n">
        <v>45706</v>
      </c>
      <c r="D1537" t="inlineStr">
        <is>
          <t>UPPSALA LÄN</t>
        </is>
      </c>
      <c r="E1537" t="inlineStr">
        <is>
          <t>ÖSTHAMMAR</t>
        </is>
      </c>
      <c r="F1537" t="inlineStr">
        <is>
          <t>Bergvik skog öst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56089-2020</t>
        </is>
      </c>
      <c r="B1538" s="1" t="n">
        <v>44133</v>
      </c>
      <c r="C1538" s="1" t="n">
        <v>45706</v>
      </c>
      <c r="D1538" t="inlineStr">
        <is>
          <t>UPPSALA LÄN</t>
        </is>
      </c>
      <c r="E1538" t="inlineStr">
        <is>
          <t>ÖSTHAMMAR</t>
        </is>
      </c>
      <c r="F1538" t="inlineStr">
        <is>
          <t>Bergvik skog öst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56466-2020</t>
        </is>
      </c>
      <c r="B1539" s="1" t="n">
        <v>44134</v>
      </c>
      <c r="C1539" s="1" t="n">
        <v>45706</v>
      </c>
      <c r="D1539" t="inlineStr">
        <is>
          <t>UPPSALA LÄN</t>
        </is>
      </c>
      <c r="E1539" t="inlineStr">
        <is>
          <t>UPPSALA</t>
        </is>
      </c>
      <c r="F1539" t="inlineStr">
        <is>
          <t>Övriga Aktiebolag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56317-2020</t>
        </is>
      </c>
      <c r="B1540" s="1" t="n">
        <v>44134</v>
      </c>
      <c r="C1540" s="1" t="n">
        <v>45706</v>
      </c>
      <c r="D1540" t="inlineStr">
        <is>
          <t>UPPSALA LÄN</t>
        </is>
      </c>
      <c r="E1540" t="inlineStr">
        <is>
          <t>HEBY</t>
        </is>
      </c>
      <c r="G1540" t="n">
        <v>23.4</v>
      </c>
      <c r="H1540" t="n">
        <v>0</v>
      </c>
      <c r="I1540" t="n">
        <v>0</v>
      </c>
      <c r="J1540" t="n">
        <v>0</v>
      </c>
      <c r="K1540" t="n">
        <v>0</v>
      </c>
      <c r="L1540" t="n">
        <v>0</v>
      </c>
      <c r="M1540" t="n">
        <v>0</v>
      </c>
      <c r="N1540" t="n">
        <v>0</v>
      </c>
      <c r="O1540" t="n">
        <v>0</v>
      </c>
      <c r="P1540" t="n">
        <v>0</v>
      </c>
      <c r="Q1540" t="n">
        <v>0</v>
      </c>
      <c r="R1540" s="2" t="inlineStr"/>
    </row>
    <row r="1541" ht="15" customHeight="1">
      <c r="A1541" t="inlineStr">
        <is>
          <t>A 57041-2020</t>
        </is>
      </c>
      <c r="B1541" s="1" t="n">
        <v>44137</v>
      </c>
      <c r="C1541" s="1" t="n">
        <v>45706</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56919-2020</t>
        </is>
      </c>
      <c r="B1542" s="1" t="n">
        <v>44138</v>
      </c>
      <c r="C1542" s="1" t="n">
        <v>45706</v>
      </c>
      <c r="D1542" t="inlineStr">
        <is>
          <t>UPPSALA LÄN</t>
        </is>
      </c>
      <c r="E1542" t="inlineStr">
        <is>
          <t>ENKÖPING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57286-2020</t>
        </is>
      </c>
      <c r="B1543" s="1" t="n">
        <v>44139</v>
      </c>
      <c r="C1543" s="1" t="n">
        <v>45706</v>
      </c>
      <c r="D1543" t="inlineStr">
        <is>
          <t>UPPSALA LÄN</t>
        </is>
      </c>
      <c r="E1543" t="inlineStr">
        <is>
          <t>KNIVSTA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57271-2020</t>
        </is>
      </c>
      <c r="B1544" s="1" t="n">
        <v>44139</v>
      </c>
      <c r="C1544" s="1" t="n">
        <v>45706</v>
      </c>
      <c r="D1544" t="inlineStr">
        <is>
          <t>UPPSALA LÄN</t>
        </is>
      </c>
      <c r="E1544" t="inlineStr">
        <is>
          <t>UPPSALA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57451-2020</t>
        </is>
      </c>
      <c r="B1545" s="1" t="n">
        <v>44139</v>
      </c>
      <c r="C1545" s="1" t="n">
        <v>45706</v>
      </c>
      <c r="D1545" t="inlineStr">
        <is>
          <t>UPPSALA LÄN</t>
        </is>
      </c>
      <c r="E1545" t="inlineStr">
        <is>
          <t>UPPSALA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57466-2020</t>
        </is>
      </c>
      <c r="B1546" s="1" t="n">
        <v>44139</v>
      </c>
      <c r="C1546" s="1" t="n">
        <v>45706</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57559-2020</t>
        </is>
      </c>
      <c r="B1547" s="1" t="n">
        <v>44140</v>
      </c>
      <c r="C1547" s="1" t="n">
        <v>45706</v>
      </c>
      <c r="D1547" t="inlineStr">
        <is>
          <t>UPPSALA LÄN</t>
        </is>
      </c>
      <c r="E1547" t="inlineStr">
        <is>
          <t>KNIVSTA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57408-2020</t>
        </is>
      </c>
      <c r="B1548" s="1" t="n">
        <v>44140</v>
      </c>
      <c r="C1548" s="1" t="n">
        <v>45706</v>
      </c>
      <c r="D1548" t="inlineStr">
        <is>
          <t>UPPSALA LÄN</t>
        </is>
      </c>
      <c r="E1548" t="inlineStr">
        <is>
          <t>ÖSTHAMMAR</t>
        </is>
      </c>
      <c r="F1548" t="inlineStr">
        <is>
          <t>Bergvik skog öst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58070-2020</t>
        </is>
      </c>
      <c r="B1549" s="1" t="n">
        <v>44140</v>
      </c>
      <c r="C1549" s="1" t="n">
        <v>45706</v>
      </c>
      <c r="D1549" t="inlineStr">
        <is>
          <t>UPPSALA LÄN</t>
        </is>
      </c>
      <c r="E1549" t="inlineStr">
        <is>
          <t>UPPSALA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57802-2020</t>
        </is>
      </c>
      <c r="B1550" s="1" t="n">
        <v>44141</v>
      </c>
      <c r="C1550" s="1" t="n">
        <v>45706</v>
      </c>
      <c r="D1550" t="inlineStr">
        <is>
          <t>UPPSALA LÄN</t>
        </is>
      </c>
      <c r="E1550" t="inlineStr">
        <is>
          <t>ENKÖPING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57983-2020</t>
        </is>
      </c>
      <c r="B1551" s="1" t="n">
        <v>44143</v>
      </c>
      <c r="C1551" s="1" t="n">
        <v>45706</v>
      </c>
      <c r="D1551" t="inlineStr">
        <is>
          <t>UPPSALA LÄN</t>
        </is>
      </c>
      <c r="E1551" t="inlineStr">
        <is>
          <t>HÅBO</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58080-2020</t>
        </is>
      </c>
      <c r="B1552" s="1" t="n">
        <v>44144</v>
      </c>
      <c r="C1552" s="1" t="n">
        <v>45706</v>
      </c>
      <c r="D1552" t="inlineStr">
        <is>
          <t>UPPSALA LÄN</t>
        </is>
      </c>
      <c r="E1552" t="inlineStr">
        <is>
          <t>HEBY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58062-2020</t>
        </is>
      </c>
      <c r="B1553" s="1" t="n">
        <v>44144</v>
      </c>
      <c r="C1553" s="1" t="n">
        <v>45706</v>
      </c>
      <c r="D1553" t="inlineStr">
        <is>
          <t>UPPSALA LÄN</t>
        </is>
      </c>
      <c r="E1553" t="inlineStr">
        <is>
          <t>ENKÖPING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58058-2020</t>
        </is>
      </c>
      <c r="B1554" s="1" t="n">
        <v>44144</v>
      </c>
      <c r="C1554" s="1" t="n">
        <v>45706</v>
      </c>
      <c r="D1554" t="inlineStr">
        <is>
          <t>UPPSALA LÄN</t>
        </is>
      </c>
      <c r="E1554" t="inlineStr">
        <is>
          <t>UPPSALA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58056-2020</t>
        </is>
      </c>
      <c r="B1555" s="1" t="n">
        <v>44144</v>
      </c>
      <c r="C1555" s="1" t="n">
        <v>45706</v>
      </c>
      <c r="D1555" t="inlineStr">
        <is>
          <t>UPPSALA LÄN</t>
        </is>
      </c>
      <c r="E1555" t="inlineStr">
        <is>
          <t>UPPSALA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58242-2020</t>
        </is>
      </c>
      <c r="B1556" s="1" t="n">
        <v>44144</v>
      </c>
      <c r="C1556" s="1" t="n">
        <v>45706</v>
      </c>
      <c r="D1556" t="inlineStr">
        <is>
          <t>UPPSALA LÄN</t>
        </is>
      </c>
      <c r="E1556" t="inlineStr">
        <is>
          <t>TIERP</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58288-2020</t>
        </is>
      </c>
      <c r="B1557" s="1" t="n">
        <v>44144</v>
      </c>
      <c r="C1557" s="1" t="n">
        <v>45706</v>
      </c>
      <c r="D1557" t="inlineStr">
        <is>
          <t>UPPSALA LÄN</t>
        </is>
      </c>
      <c r="E1557" t="inlineStr">
        <is>
          <t>UPPSALA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58896-2020</t>
        </is>
      </c>
      <c r="B1558" s="1" t="n">
        <v>44146</v>
      </c>
      <c r="C1558" s="1" t="n">
        <v>45706</v>
      </c>
      <c r="D1558" t="inlineStr">
        <is>
          <t>UPPSALA LÄN</t>
        </is>
      </c>
      <c r="E1558" t="inlineStr">
        <is>
          <t>ENKÖPING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58798-2020</t>
        </is>
      </c>
      <c r="B1559" s="1" t="n">
        <v>44146</v>
      </c>
      <c r="C1559" s="1" t="n">
        <v>45706</v>
      </c>
      <c r="D1559" t="inlineStr">
        <is>
          <t>UPPSALA LÄN</t>
        </is>
      </c>
      <c r="E1559" t="inlineStr">
        <is>
          <t>ENKÖPING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58928-2020</t>
        </is>
      </c>
      <c r="B1560" s="1" t="n">
        <v>44146</v>
      </c>
      <c r="C1560" s="1" t="n">
        <v>45706</v>
      </c>
      <c r="D1560" t="inlineStr">
        <is>
          <t>UPPSALA LÄN</t>
        </is>
      </c>
      <c r="E1560" t="inlineStr">
        <is>
          <t>UPPSALA</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59132-2020</t>
        </is>
      </c>
      <c r="B1561" s="1" t="n">
        <v>44147</v>
      </c>
      <c r="C1561" s="1" t="n">
        <v>45706</v>
      </c>
      <c r="D1561" t="inlineStr">
        <is>
          <t>UPPSALA LÄN</t>
        </is>
      </c>
      <c r="E1561" t="inlineStr">
        <is>
          <t>ENKÖPING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59432-2020</t>
        </is>
      </c>
      <c r="B1562" s="1" t="n">
        <v>44148</v>
      </c>
      <c r="C1562" s="1" t="n">
        <v>45706</v>
      </c>
      <c r="D1562" t="inlineStr">
        <is>
          <t>UPPSALA LÄN</t>
        </is>
      </c>
      <c r="E1562" t="inlineStr">
        <is>
          <t>ÖSTHAMMAR</t>
        </is>
      </c>
      <c r="F1562" t="inlineStr">
        <is>
          <t>Sveaskog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59441-2020</t>
        </is>
      </c>
      <c r="B1563" s="1" t="n">
        <v>44148</v>
      </c>
      <c r="C1563" s="1" t="n">
        <v>45706</v>
      </c>
      <c r="D1563" t="inlineStr">
        <is>
          <t>UPPSALA LÄN</t>
        </is>
      </c>
      <c r="E1563" t="inlineStr">
        <is>
          <t>ENKÖPING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59414-2020</t>
        </is>
      </c>
      <c r="B1564" s="1" t="n">
        <v>44148</v>
      </c>
      <c r="C1564" s="1" t="n">
        <v>45706</v>
      </c>
      <c r="D1564" t="inlineStr">
        <is>
          <t>UPPSALA LÄN</t>
        </is>
      </c>
      <c r="E1564" t="inlineStr">
        <is>
          <t>ÖSTHAMMAR</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59417-2020</t>
        </is>
      </c>
      <c r="B1565" s="1" t="n">
        <v>44148</v>
      </c>
      <c r="C1565" s="1" t="n">
        <v>45706</v>
      </c>
      <c r="D1565" t="inlineStr">
        <is>
          <t>UPPSALA LÄN</t>
        </is>
      </c>
      <c r="E1565" t="inlineStr">
        <is>
          <t>ÖSTHAMMAR</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59428-2020</t>
        </is>
      </c>
      <c r="B1566" s="1" t="n">
        <v>44148</v>
      </c>
      <c r="C1566" s="1" t="n">
        <v>45706</v>
      </c>
      <c r="D1566" t="inlineStr">
        <is>
          <t>UPPSALA LÄN</t>
        </is>
      </c>
      <c r="E1566" t="inlineStr">
        <is>
          <t>ENKÖPING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59625-2020</t>
        </is>
      </c>
      <c r="B1567" s="1" t="n">
        <v>44150</v>
      </c>
      <c r="C1567" s="1" t="n">
        <v>45706</v>
      </c>
      <c r="D1567" t="inlineStr">
        <is>
          <t>UPPSALA LÄN</t>
        </is>
      </c>
      <c r="E1567" t="inlineStr">
        <is>
          <t>TIERP</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59714-2020</t>
        </is>
      </c>
      <c r="B1568" s="1" t="n">
        <v>44151</v>
      </c>
      <c r="C1568" s="1" t="n">
        <v>45706</v>
      </c>
      <c r="D1568" t="inlineStr">
        <is>
          <t>UPPSALA LÄN</t>
        </is>
      </c>
      <c r="E1568" t="inlineStr">
        <is>
          <t>ÖSTHAMMAR</t>
        </is>
      </c>
      <c r="F1568" t="inlineStr">
        <is>
          <t>Bergvik skog öst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59764-2020</t>
        </is>
      </c>
      <c r="B1569" s="1" t="n">
        <v>44151</v>
      </c>
      <c r="C1569" s="1" t="n">
        <v>45706</v>
      </c>
      <c r="D1569" t="inlineStr">
        <is>
          <t>UPPSALA LÄN</t>
        </is>
      </c>
      <c r="E1569" t="inlineStr">
        <is>
          <t>HEBY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59807-2020</t>
        </is>
      </c>
      <c r="B1570" s="1" t="n">
        <v>44151</v>
      </c>
      <c r="C1570" s="1" t="n">
        <v>45706</v>
      </c>
      <c r="D1570" t="inlineStr">
        <is>
          <t>UPPSALA LÄN</t>
        </is>
      </c>
      <c r="E1570" t="inlineStr">
        <is>
          <t>ÖSTHAMMAR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59865-2020</t>
        </is>
      </c>
      <c r="B1571" s="1" t="n">
        <v>44151</v>
      </c>
      <c r="C1571" s="1" t="n">
        <v>45706</v>
      </c>
      <c r="D1571" t="inlineStr">
        <is>
          <t>UPPSALA LÄN</t>
        </is>
      </c>
      <c r="E1571" t="inlineStr">
        <is>
          <t>TIERP</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59952-2020</t>
        </is>
      </c>
      <c r="B1572" s="1" t="n">
        <v>44151</v>
      </c>
      <c r="C1572" s="1" t="n">
        <v>45706</v>
      </c>
      <c r="D1572" t="inlineStr">
        <is>
          <t>UPPSALA LÄN</t>
        </is>
      </c>
      <c r="E1572" t="inlineStr">
        <is>
          <t>UPPSALA</t>
        </is>
      </c>
      <c r="G1572" t="n">
        <v>25.8</v>
      </c>
      <c r="H1572" t="n">
        <v>0</v>
      </c>
      <c r="I1572" t="n">
        <v>0</v>
      </c>
      <c r="J1572" t="n">
        <v>0</v>
      </c>
      <c r="K1572" t="n">
        <v>0</v>
      </c>
      <c r="L1572" t="n">
        <v>0</v>
      </c>
      <c r="M1572" t="n">
        <v>0</v>
      </c>
      <c r="N1572" t="n">
        <v>0</v>
      </c>
      <c r="O1572" t="n">
        <v>0</v>
      </c>
      <c r="P1572" t="n">
        <v>0</v>
      </c>
      <c r="Q1572" t="n">
        <v>0</v>
      </c>
      <c r="R1572" s="2" t="inlineStr"/>
    </row>
    <row r="1573" ht="15" customHeight="1">
      <c r="A1573" t="inlineStr">
        <is>
          <t>A 60138-2020</t>
        </is>
      </c>
      <c r="B1573" s="1" t="n">
        <v>44151</v>
      </c>
      <c r="C1573" s="1" t="n">
        <v>45706</v>
      </c>
      <c r="D1573" t="inlineStr">
        <is>
          <t>UPPSALA LÄN</t>
        </is>
      </c>
      <c r="E1573" t="inlineStr">
        <is>
          <t>ENKÖPING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60702-2020</t>
        </is>
      </c>
      <c r="B1574" s="1" t="n">
        <v>44153</v>
      </c>
      <c r="C1574" s="1" t="n">
        <v>45706</v>
      </c>
      <c r="D1574" t="inlineStr">
        <is>
          <t>UPPSALA LÄN</t>
        </is>
      </c>
      <c r="E1574" t="inlineStr">
        <is>
          <t>UPPSALA</t>
        </is>
      </c>
      <c r="F1574" t="inlineStr">
        <is>
          <t>Övriga statliga verk och myndigheter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60769-2020</t>
        </is>
      </c>
      <c r="B1575" s="1" t="n">
        <v>44154</v>
      </c>
      <c r="C1575" s="1" t="n">
        <v>45706</v>
      </c>
      <c r="D1575" t="inlineStr">
        <is>
          <t>UPPSALA LÄN</t>
        </is>
      </c>
      <c r="E1575" t="inlineStr">
        <is>
          <t>TIERP</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61013-2020</t>
        </is>
      </c>
      <c r="B1576" s="1" t="n">
        <v>44154</v>
      </c>
      <c r="C1576" s="1" t="n">
        <v>45706</v>
      </c>
      <c r="D1576" t="inlineStr">
        <is>
          <t>UPPSALA LÄN</t>
        </is>
      </c>
      <c r="E1576" t="inlineStr">
        <is>
          <t>TIERP</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61034-2020</t>
        </is>
      </c>
      <c r="B1577" s="1" t="n">
        <v>44154</v>
      </c>
      <c r="C1577" s="1" t="n">
        <v>45706</v>
      </c>
      <c r="D1577" t="inlineStr">
        <is>
          <t>UPPSALA LÄN</t>
        </is>
      </c>
      <c r="E1577" t="inlineStr">
        <is>
          <t>TIERP</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61265-2020</t>
        </is>
      </c>
      <c r="B1578" s="1" t="n">
        <v>44155</v>
      </c>
      <c r="C1578" s="1" t="n">
        <v>45706</v>
      </c>
      <c r="D1578" t="inlineStr">
        <is>
          <t>UPPSALA LÄN</t>
        </is>
      </c>
      <c r="E1578" t="inlineStr">
        <is>
          <t>UPPSALA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61193-2020</t>
        </is>
      </c>
      <c r="B1579" s="1" t="n">
        <v>44155</v>
      </c>
      <c r="C1579" s="1" t="n">
        <v>45706</v>
      </c>
      <c r="D1579" t="inlineStr">
        <is>
          <t>UPPSALA LÄN</t>
        </is>
      </c>
      <c r="E1579" t="inlineStr">
        <is>
          <t>ÖSTHAMMAR</t>
        </is>
      </c>
      <c r="F1579" t="inlineStr">
        <is>
          <t>Övriga Aktiebolag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61271-2020</t>
        </is>
      </c>
      <c r="B1580" s="1" t="n">
        <v>44155</v>
      </c>
      <c r="C1580" s="1" t="n">
        <v>45706</v>
      </c>
      <c r="D1580" t="inlineStr">
        <is>
          <t>UPPSALA LÄN</t>
        </is>
      </c>
      <c r="E1580" t="inlineStr">
        <is>
          <t>UPPSALA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61711-2020</t>
        </is>
      </c>
      <c r="B1581" s="1" t="n">
        <v>44158</v>
      </c>
      <c r="C1581" s="1" t="n">
        <v>45706</v>
      </c>
      <c r="D1581" t="inlineStr">
        <is>
          <t>UPPSALA LÄN</t>
        </is>
      </c>
      <c r="E1581" t="inlineStr">
        <is>
          <t>ENKÖPING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61616-2020</t>
        </is>
      </c>
      <c r="B1582" s="1" t="n">
        <v>44158</v>
      </c>
      <c r="C1582" s="1" t="n">
        <v>45706</v>
      </c>
      <c r="D1582" t="inlineStr">
        <is>
          <t>UPPSALA LÄN</t>
        </is>
      </c>
      <c r="E1582" t="inlineStr">
        <is>
          <t>HEBY</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62094-2020</t>
        </is>
      </c>
      <c r="B1583" s="1" t="n">
        <v>44159</v>
      </c>
      <c r="C1583" s="1" t="n">
        <v>45706</v>
      </c>
      <c r="D1583" t="inlineStr">
        <is>
          <t>UPPSALA LÄN</t>
        </is>
      </c>
      <c r="E1583" t="inlineStr">
        <is>
          <t>UPPSALA</t>
        </is>
      </c>
      <c r="F1583" t="inlineStr">
        <is>
          <t>Bergvik skog öst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62352-2020</t>
        </is>
      </c>
      <c r="B1584" s="1" t="n">
        <v>44159</v>
      </c>
      <c r="C1584" s="1" t="n">
        <v>45706</v>
      </c>
      <c r="D1584" t="inlineStr">
        <is>
          <t>UPPSALA LÄN</t>
        </is>
      </c>
      <c r="E1584" t="inlineStr">
        <is>
          <t>UPPSALA</t>
        </is>
      </c>
      <c r="F1584" t="inlineStr">
        <is>
          <t>Allmännings- och besparingsskogar</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62330-2020</t>
        </is>
      </c>
      <c r="B1585" s="1" t="n">
        <v>44160</v>
      </c>
      <c r="C1585" s="1" t="n">
        <v>45706</v>
      </c>
      <c r="D1585" t="inlineStr">
        <is>
          <t>UPPSALA LÄN</t>
        </is>
      </c>
      <c r="E1585" t="inlineStr">
        <is>
          <t>HEBY</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62484-2020</t>
        </is>
      </c>
      <c r="B1586" s="1" t="n">
        <v>44160</v>
      </c>
      <c r="C1586" s="1" t="n">
        <v>45706</v>
      </c>
      <c r="D1586" t="inlineStr">
        <is>
          <t>UPPSALA LÄN</t>
        </is>
      </c>
      <c r="E1586" t="inlineStr">
        <is>
          <t>ÖSTHAMMAR</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62504-2020</t>
        </is>
      </c>
      <c r="B1587" s="1" t="n">
        <v>44160</v>
      </c>
      <c r="C1587" s="1" t="n">
        <v>45706</v>
      </c>
      <c r="D1587" t="inlineStr">
        <is>
          <t>UPPSALA LÄN</t>
        </is>
      </c>
      <c r="E1587" t="inlineStr">
        <is>
          <t>UPPSALA</t>
        </is>
      </c>
      <c r="F1587" t="inlineStr">
        <is>
          <t>Bergvik skog öst AB</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62729-2020</t>
        </is>
      </c>
      <c r="B1588" s="1" t="n">
        <v>44161</v>
      </c>
      <c r="C1588" s="1" t="n">
        <v>45706</v>
      </c>
      <c r="D1588" t="inlineStr">
        <is>
          <t>UPPSALA LÄN</t>
        </is>
      </c>
      <c r="E1588" t="inlineStr">
        <is>
          <t>UPPSALA</t>
        </is>
      </c>
      <c r="F1588" t="inlineStr">
        <is>
          <t>Kommuner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62655-2020</t>
        </is>
      </c>
      <c r="B1589" s="1" t="n">
        <v>44161</v>
      </c>
      <c r="C1589" s="1" t="n">
        <v>45706</v>
      </c>
      <c r="D1589" t="inlineStr">
        <is>
          <t>UPPSALA LÄN</t>
        </is>
      </c>
      <c r="E1589" t="inlineStr">
        <is>
          <t>UPPSALA</t>
        </is>
      </c>
      <c r="F1589" t="inlineStr">
        <is>
          <t>Holmen skog AB</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62765-2020</t>
        </is>
      </c>
      <c r="B1590" s="1" t="n">
        <v>44161</v>
      </c>
      <c r="C1590" s="1" t="n">
        <v>45706</v>
      </c>
      <c r="D1590" t="inlineStr">
        <is>
          <t>UPPSALA LÄN</t>
        </is>
      </c>
      <c r="E1590" t="inlineStr">
        <is>
          <t>HEBY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63637-2020</t>
        </is>
      </c>
      <c r="B1591" s="1" t="n">
        <v>44162</v>
      </c>
      <c r="C1591" s="1" t="n">
        <v>45706</v>
      </c>
      <c r="D1591" t="inlineStr">
        <is>
          <t>UPPSALA LÄN</t>
        </is>
      </c>
      <c r="E1591" t="inlineStr">
        <is>
          <t>ÖSTHAMMAR</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63145-2020</t>
        </is>
      </c>
      <c r="B1592" s="1" t="n">
        <v>44162</v>
      </c>
      <c r="C1592" s="1" t="n">
        <v>45706</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63260-2020</t>
        </is>
      </c>
      <c r="B1593" s="1" t="n">
        <v>44164</v>
      </c>
      <c r="C1593" s="1" t="n">
        <v>45706</v>
      </c>
      <c r="D1593" t="inlineStr">
        <is>
          <t>UPPSALA LÄN</t>
        </is>
      </c>
      <c r="E1593" t="inlineStr">
        <is>
          <t>TIERP</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63504-2020</t>
        </is>
      </c>
      <c r="B1594" s="1" t="n">
        <v>44165</v>
      </c>
      <c r="C1594" s="1" t="n">
        <v>45706</v>
      </c>
      <c r="D1594" t="inlineStr">
        <is>
          <t>UPPSALA LÄN</t>
        </is>
      </c>
      <c r="E1594" t="inlineStr">
        <is>
          <t>TIERP</t>
        </is>
      </c>
      <c r="F1594" t="inlineStr">
        <is>
          <t>Bergvik skog väst AB</t>
        </is>
      </c>
      <c r="G1594" t="n">
        <v>50.3</v>
      </c>
      <c r="H1594" t="n">
        <v>0</v>
      </c>
      <c r="I1594" t="n">
        <v>0</v>
      </c>
      <c r="J1594" t="n">
        <v>0</v>
      </c>
      <c r="K1594" t="n">
        <v>0</v>
      </c>
      <c r="L1594" t="n">
        <v>0</v>
      </c>
      <c r="M1594" t="n">
        <v>0</v>
      </c>
      <c r="N1594" t="n">
        <v>0</v>
      </c>
      <c r="O1594" t="n">
        <v>0</v>
      </c>
      <c r="P1594" t="n">
        <v>0</v>
      </c>
      <c r="Q1594" t="n">
        <v>0</v>
      </c>
      <c r="R1594" s="2" t="inlineStr"/>
    </row>
    <row r="1595" ht="15" customHeight="1">
      <c r="A1595" t="inlineStr">
        <is>
          <t>A 63529-2020</t>
        </is>
      </c>
      <c r="B1595" s="1" t="n">
        <v>44165</v>
      </c>
      <c r="C1595" s="1" t="n">
        <v>45706</v>
      </c>
      <c r="D1595" t="inlineStr">
        <is>
          <t>UPPSALA LÄN</t>
        </is>
      </c>
      <c r="E1595" t="inlineStr">
        <is>
          <t>UPPSALA</t>
        </is>
      </c>
      <c r="F1595" t="inlineStr">
        <is>
          <t>Övriga statliga verk och myndigheter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63577-2020</t>
        </is>
      </c>
      <c r="B1596" s="1" t="n">
        <v>44165</v>
      </c>
      <c r="C1596" s="1" t="n">
        <v>45706</v>
      </c>
      <c r="D1596" t="inlineStr">
        <is>
          <t>UPPSALA LÄN</t>
        </is>
      </c>
      <c r="E1596" t="inlineStr">
        <is>
          <t>ÖSTHAMMAR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63749-2020</t>
        </is>
      </c>
      <c r="B1597" s="1" t="n">
        <v>44166</v>
      </c>
      <c r="C1597" s="1" t="n">
        <v>45706</v>
      </c>
      <c r="D1597" t="inlineStr">
        <is>
          <t>UPPSALA LÄN</t>
        </is>
      </c>
      <c r="E1597" t="inlineStr">
        <is>
          <t>UPPSALA</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63912-2020</t>
        </is>
      </c>
      <c r="B1598" s="1" t="n">
        <v>44166</v>
      </c>
      <c r="C1598" s="1" t="n">
        <v>45706</v>
      </c>
      <c r="D1598" t="inlineStr">
        <is>
          <t>UPPSALA LÄN</t>
        </is>
      </c>
      <c r="E1598" t="inlineStr">
        <is>
          <t>TIERP</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63715-2020</t>
        </is>
      </c>
      <c r="B1599" s="1" t="n">
        <v>44166</v>
      </c>
      <c r="C1599" s="1" t="n">
        <v>45706</v>
      </c>
      <c r="D1599" t="inlineStr">
        <is>
          <t>UPPSALA LÄN</t>
        </is>
      </c>
      <c r="E1599" t="inlineStr">
        <is>
          <t>ENKÖPING</t>
        </is>
      </c>
      <c r="F1599" t="inlineStr">
        <is>
          <t>Övriga statliga verk och myndigheter</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64128-2020</t>
        </is>
      </c>
      <c r="B1600" s="1" t="n">
        <v>44167</v>
      </c>
      <c r="C1600" s="1" t="n">
        <v>45706</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63987-2020</t>
        </is>
      </c>
      <c r="B1601" s="1" t="n">
        <v>44167</v>
      </c>
      <c r="C1601" s="1" t="n">
        <v>45706</v>
      </c>
      <c r="D1601" t="inlineStr">
        <is>
          <t>UPPSALA LÄN</t>
        </is>
      </c>
      <c r="E1601" t="inlineStr">
        <is>
          <t>ÖSTHAMMAR</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64353-2020</t>
        </is>
      </c>
      <c r="B1602" s="1" t="n">
        <v>44168</v>
      </c>
      <c r="C1602" s="1" t="n">
        <v>45706</v>
      </c>
      <c r="D1602" t="inlineStr">
        <is>
          <t>UPPSALA LÄN</t>
        </is>
      </c>
      <c r="E1602" t="inlineStr">
        <is>
          <t>UPPSALA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64333-2020</t>
        </is>
      </c>
      <c r="B1603" s="1" t="n">
        <v>44168</v>
      </c>
      <c r="C1603" s="1" t="n">
        <v>45706</v>
      </c>
      <c r="D1603" t="inlineStr">
        <is>
          <t>UPPSALA LÄN</t>
        </is>
      </c>
      <c r="E1603" t="inlineStr">
        <is>
          <t>UPPSALA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65225-2020</t>
        </is>
      </c>
      <c r="B1604" s="1" t="n">
        <v>44172</v>
      </c>
      <c r="C1604" s="1" t="n">
        <v>45706</v>
      </c>
      <c r="D1604" t="inlineStr">
        <is>
          <t>UPPSALA LÄN</t>
        </is>
      </c>
      <c r="E1604" t="inlineStr">
        <is>
          <t>TIERP</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65226-2020</t>
        </is>
      </c>
      <c r="B1605" s="1" t="n">
        <v>44172</v>
      </c>
      <c r="C1605" s="1" t="n">
        <v>45706</v>
      </c>
      <c r="D1605" t="inlineStr">
        <is>
          <t>UPPSALA LÄN</t>
        </is>
      </c>
      <c r="E1605" t="inlineStr">
        <is>
          <t>TIERP</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65361-2020</t>
        </is>
      </c>
      <c r="B1606" s="1" t="n">
        <v>44173</v>
      </c>
      <c r="C1606" s="1" t="n">
        <v>45706</v>
      </c>
      <c r="D1606" t="inlineStr">
        <is>
          <t>UPPSALA LÄN</t>
        </is>
      </c>
      <c r="E1606" t="inlineStr">
        <is>
          <t>ÖSTHAMMAR</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66278-2020</t>
        </is>
      </c>
      <c r="B1607" s="1" t="n">
        <v>44176</v>
      </c>
      <c r="C1607" s="1" t="n">
        <v>45706</v>
      </c>
      <c r="D1607" t="inlineStr">
        <is>
          <t>UPPSALA LÄN</t>
        </is>
      </c>
      <c r="E1607" t="inlineStr">
        <is>
          <t>ÄLVKARLEBY</t>
        </is>
      </c>
      <c r="F1607" t="inlineStr">
        <is>
          <t>Bergvik skog väst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66517-2020</t>
        </is>
      </c>
      <c r="B1608" s="1" t="n">
        <v>44178</v>
      </c>
      <c r="C1608" s="1" t="n">
        <v>45706</v>
      </c>
      <c r="D1608" t="inlineStr">
        <is>
          <t>UPPSALA LÄN</t>
        </is>
      </c>
      <c r="E1608" t="inlineStr">
        <is>
          <t>ENKÖPING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66984-2020</t>
        </is>
      </c>
      <c r="B1609" s="1" t="n">
        <v>44180</v>
      </c>
      <c r="C1609" s="1" t="n">
        <v>45706</v>
      </c>
      <c r="D1609" t="inlineStr">
        <is>
          <t>UPPSALA LÄN</t>
        </is>
      </c>
      <c r="E1609" t="inlineStr">
        <is>
          <t>UPPSALA</t>
        </is>
      </c>
      <c r="F1609" t="inlineStr">
        <is>
          <t>Övriga statliga verk och myndigheter</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67765-2020</t>
        </is>
      </c>
      <c r="B1610" s="1" t="n">
        <v>44182</v>
      </c>
      <c r="C1610" s="1" t="n">
        <v>45706</v>
      </c>
      <c r="D1610" t="inlineStr">
        <is>
          <t>UPPSALA LÄN</t>
        </is>
      </c>
      <c r="E1610" t="inlineStr">
        <is>
          <t>ENKÖPING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67713-2020</t>
        </is>
      </c>
      <c r="B1611" s="1" t="n">
        <v>44182</v>
      </c>
      <c r="C1611" s="1" t="n">
        <v>45706</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68257-2020</t>
        </is>
      </c>
      <c r="B1612" s="1" t="n">
        <v>44182</v>
      </c>
      <c r="C1612" s="1" t="n">
        <v>45706</v>
      </c>
      <c r="D1612" t="inlineStr">
        <is>
          <t>UPPSALA LÄN</t>
        </is>
      </c>
      <c r="E1612" t="inlineStr">
        <is>
          <t>KNIVSTA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68243-2020</t>
        </is>
      </c>
      <c r="B1613" s="1" t="n">
        <v>44183</v>
      </c>
      <c r="C1613" s="1" t="n">
        <v>45706</v>
      </c>
      <c r="D1613" t="inlineStr">
        <is>
          <t>UPPSALA LÄN</t>
        </is>
      </c>
      <c r="E1613" t="inlineStr">
        <is>
          <t>ÖSTHAMMAR</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68828-2020</t>
        </is>
      </c>
      <c r="B1614" s="1" t="n">
        <v>44186</v>
      </c>
      <c r="C1614" s="1" t="n">
        <v>45706</v>
      </c>
      <c r="D1614" t="inlineStr">
        <is>
          <t>UPPSALA LÄN</t>
        </is>
      </c>
      <c r="E1614" t="inlineStr">
        <is>
          <t>ÖSTHAMMAR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69076-2020</t>
        </is>
      </c>
      <c r="B1615" s="1" t="n">
        <v>44188</v>
      </c>
      <c r="C1615" s="1" t="n">
        <v>45706</v>
      </c>
      <c r="D1615" t="inlineStr">
        <is>
          <t>UPPSALA LÄN</t>
        </is>
      </c>
      <c r="E1615" t="inlineStr">
        <is>
          <t>HEBY</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69468-2020</t>
        </is>
      </c>
      <c r="B1616" s="1" t="n">
        <v>44193</v>
      </c>
      <c r="C1616" s="1" t="n">
        <v>45706</v>
      </c>
      <c r="D1616" t="inlineStr">
        <is>
          <t>UPPSALA LÄN</t>
        </is>
      </c>
      <c r="E1616" t="inlineStr">
        <is>
          <t>HEBY</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69567-2020</t>
        </is>
      </c>
      <c r="B1617" s="1" t="n">
        <v>44194</v>
      </c>
      <c r="C1617" s="1" t="n">
        <v>45706</v>
      </c>
      <c r="D1617" t="inlineStr">
        <is>
          <t>UPPSALA LÄN</t>
        </is>
      </c>
      <c r="E1617" t="inlineStr">
        <is>
          <t>ENKÖPING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69681-2020</t>
        </is>
      </c>
      <c r="B1618" s="1" t="n">
        <v>44196</v>
      </c>
      <c r="C1618" s="1" t="n">
        <v>45706</v>
      </c>
      <c r="D1618" t="inlineStr">
        <is>
          <t>UPPSALA LÄN</t>
        </is>
      </c>
      <c r="E1618" t="inlineStr">
        <is>
          <t>ÖSTHAMMAR</t>
        </is>
      </c>
      <c r="F1618" t="inlineStr">
        <is>
          <t>Bergvik skog öst AB</t>
        </is>
      </c>
      <c r="G1618" t="n">
        <v>21.9</v>
      </c>
      <c r="H1618" t="n">
        <v>0</v>
      </c>
      <c r="I1618" t="n">
        <v>0</v>
      </c>
      <c r="J1618" t="n">
        <v>0</v>
      </c>
      <c r="K1618" t="n">
        <v>0</v>
      </c>
      <c r="L1618" t="n">
        <v>0</v>
      </c>
      <c r="M1618" t="n">
        <v>0</v>
      </c>
      <c r="N1618" t="n">
        <v>0</v>
      </c>
      <c r="O1618" t="n">
        <v>0</v>
      </c>
      <c r="P1618" t="n">
        <v>0</v>
      </c>
      <c r="Q1618" t="n">
        <v>0</v>
      </c>
      <c r="R1618" s="2" t="inlineStr"/>
    </row>
    <row r="1619" ht="15" customHeight="1">
      <c r="A1619" t="inlineStr">
        <is>
          <t>A 249-2021</t>
        </is>
      </c>
      <c r="B1619" s="1" t="n">
        <v>44200</v>
      </c>
      <c r="C1619" s="1" t="n">
        <v>45706</v>
      </c>
      <c r="D1619" t="inlineStr">
        <is>
          <t>UPPSALA LÄN</t>
        </is>
      </c>
      <c r="E1619" t="inlineStr">
        <is>
          <t>TIERP</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265-2021</t>
        </is>
      </c>
      <c r="B1620" s="1" t="n">
        <v>44200</v>
      </c>
      <c r="C1620" s="1" t="n">
        <v>45706</v>
      </c>
      <c r="D1620" t="inlineStr">
        <is>
          <t>UPPSALA LÄN</t>
        </is>
      </c>
      <c r="E1620" t="inlineStr">
        <is>
          <t>UPPSALA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798-2021</t>
        </is>
      </c>
      <c r="B1621" s="1" t="n">
        <v>44204</v>
      </c>
      <c r="C1621" s="1" t="n">
        <v>45706</v>
      </c>
      <c r="D1621" t="inlineStr">
        <is>
          <t>UPPSALA LÄN</t>
        </is>
      </c>
      <c r="E1621" t="inlineStr">
        <is>
          <t>HEBY</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1020-2021</t>
        </is>
      </c>
      <c r="B1622" s="1" t="n">
        <v>44207</v>
      </c>
      <c r="C1622" s="1" t="n">
        <v>45706</v>
      </c>
      <c r="D1622" t="inlineStr">
        <is>
          <t>UPPSALA LÄN</t>
        </is>
      </c>
      <c r="E1622" t="inlineStr">
        <is>
          <t>UPPSALA</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967-2021</t>
        </is>
      </c>
      <c r="B1623" s="1" t="n">
        <v>44207</v>
      </c>
      <c r="C1623" s="1" t="n">
        <v>45706</v>
      </c>
      <c r="D1623" t="inlineStr">
        <is>
          <t>UPPSALA LÄN</t>
        </is>
      </c>
      <c r="E1623" t="inlineStr">
        <is>
          <t>ÄLVKARLEBY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1233-2021</t>
        </is>
      </c>
      <c r="B1624" s="1" t="n">
        <v>44208</v>
      </c>
      <c r="C1624" s="1" t="n">
        <v>45706</v>
      </c>
      <c r="D1624" t="inlineStr">
        <is>
          <t>UPPSALA LÄN</t>
        </is>
      </c>
      <c r="E1624" t="inlineStr">
        <is>
          <t>TIERP</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1227-2021</t>
        </is>
      </c>
      <c r="B1625" s="1" t="n">
        <v>44208</v>
      </c>
      <c r="C1625" s="1" t="n">
        <v>45706</v>
      </c>
      <c r="D1625" t="inlineStr">
        <is>
          <t>UPPSALA LÄN</t>
        </is>
      </c>
      <c r="E1625" t="inlineStr">
        <is>
          <t>TIERP</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1573-2021</t>
        </is>
      </c>
      <c r="B1626" s="1" t="n">
        <v>44209</v>
      </c>
      <c r="C1626" s="1" t="n">
        <v>45706</v>
      </c>
      <c r="D1626" t="inlineStr">
        <is>
          <t>UPPSALA LÄN</t>
        </is>
      </c>
      <c r="E1626" t="inlineStr">
        <is>
          <t>UPPSALA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1617-2021</t>
        </is>
      </c>
      <c r="B1627" s="1" t="n">
        <v>44209</v>
      </c>
      <c r="C1627" s="1" t="n">
        <v>45706</v>
      </c>
      <c r="D1627" t="inlineStr">
        <is>
          <t>UPPSALA LÄN</t>
        </is>
      </c>
      <c r="E1627" t="inlineStr">
        <is>
          <t>UPPSALA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1855-2021</t>
        </is>
      </c>
      <c r="B1628" s="1" t="n">
        <v>44210</v>
      </c>
      <c r="C1628" s="1" t="n">
        <v>45706</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2157-2021</t>
        </is>
      </c>
      <c r="B1629" s="1" t="n">
        <v>44211</v>
      </c>
      <c r="C1629" s="1" t="n">
        <v>45706</v>
      </c>
      <c r="D1629" t="inlineStr">
        <is>
          <t>UPPSALA LÄN</t>
        </is>
      </c>
      <c r="E1629" t="inlineStr">
        <is>
          <t>TIERP</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2169-2021</t>
        </is>
      </c>
      <c r="B1630" s="1" t="n">
        <v>44211</v>
      </c>
      <c r="C1630" s="1" t="n">
        <v>45706</v>
      </c>
      <c r="D1630" t="inlineStr">
        <is>
          <t>UPPSALA LÄN</t>
        </is>
      </c>
      <c r="E1630" t="inlineStr">
        <is>
          <t>UPPSALA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2476-2021</t>
        </is>
      </c>
      <c r="B1631" s="1" t="n">
        <v>44214</v>
      </c>
      <c r="C1631" s="1" t="n">
        <v>45706</v>
      </c>
      <c r="D1631" t="inlineStr">
        <is>
          <t>UPPSALA LÄN</t>
        </is>
      </c>
      <c r="E1631" t="inlineStr">
        <is>
          <t>HÅBO</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2471-2021</t>
        </is>
      </c>
      <c r="B1632" s="1" t="n">
        <v>44214</v>
      </c>
      <c r="C1632" s="1" t="n">
        <v>45706</v>
      </c>
      <c r="D1632" t="inlineStr">
        <is>
          <t>UPPSALA LÄN</t>
        </is>
      </c>
      <c r="E1632" t="inlineStr">
        <is>
          <t>HÅBO</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2559-2021</t>
        </is>
      </c>
      <c r="B1633" s="1" t="n">
        <v>44214</v>
      </c>
      <c r="C1633" s="1" t="n">
        <v>45706</v>
      </c>
      <c r="D1633" t="inlineStr">
        <is>
          <t>UPPSALA LÄN</t>
        </is>
      </c>
      <c r="E1633" t="inlineStr">
        <is>
          <t>TIERP</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2810-2021</t>
        </is>
      </c>
      <c r="B1634" s="1" t="n">
        <v>44215</v>
      </c>
      <c r="C1634" s="1" t="n">
        <v>45706</v>
      </c>
      <c r="D1634" t="inlineStr">
        <is>
          <t>UPPSALA LÄN</t>
        </is>
      </c>
      <c r="E1634" t="inlineStr">
        <is>
          <t>TIERP</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3864-2021</t>
        </is>
      </c>
      <c r="B1635" s="1" t="n">
        <v>44216</v>
      </c>
      <c r="C1635" s="1" t="n">
        <v>45706</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3874-2021</t>
        </is>
      </c>
      <c r="B1636" s="1" t="n">
        <v>44216</v>
      </c>
      <c r="C1636" s="1" t="n">
        <v>45706</v>
      </c>
      <c r="D1636" t="inlineStr">
        <is>
          <t>UPPSALA LÄN</t>
        </is>
      </c>
      <c r="E1636" t="inlineStr">
        <is>
          <t>UPPSALA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3903-2021</t>
        </is>
      </c>
      <c r="B1637" s="1" t="n">
        <v>44217</v>
      </c>
      <c r="C1637" s="1" t="n">
        <v>45706</v>
      </c>
      <c r="D1637" t="inlineStr">
        <is>
          <t>UPPSALA LÄN</t>
        </is>
      </c>
      <c r="E1637" t="inlineStr">
        <is>
          <t>ENKÖPING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3443-2021</t>
        </is>
      </c>
      <c r="B1638" s="1" t="n">
        <v>44218</v>
      </c>
      <c r="C1638" s="1" t="n">
        <v>45706</v>
      </c>
      <c r="D1638" t="inlineStr">
        <is>
          <t>UPPSALA LÄN</t>
        </is>
      </c>
      <c r="E1638" t="inlineStr">
        <is>
          <t>TIERP</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3693-2021</t>
        </is>
      </c>
      <c r="B1639" s="1" t="n">
        <v>44221</v>
      </c>
      <c r="C1639" s="1" t="n">
        <v>45706</v>
      </c>
      <c r="D1639" t="inlineStr">
        <is>
          <t>UPPSALA LÄN</t>
        </is>
      </c>
      <c r="E1639" t="inlineStr">
        <is>
          <t>ÖSTHAMMAR</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4151-2021</t>
        </is>
      </c>
      <c r="B1640" s="1" t="n">
        <v>44221</v>
      </c>
      <c r="C1640" s="1" t="n">
        <v>45706</v>
      </c>
      <c r="D1640" t="inlineStr">
        <is>
          <t>UPPSALA LÄN</t>
        </is>
      </c>
      <c r="E1640" t="inlineStr">
        <is>
          <t>ÖSTHAMMAR</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3955-2021</t>
        </is>
      </c>
      <c r="B1641" s="1" t="n">
        <v>44222</v>
      </c>
      <c r="C1641" s="1" t="n">
        <v>45706</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4203-2021</t>
        </is>
      </c>
      <c r="B1642" s="1" t="n">
        <v>44223</v>
      </c>
      <c r="C1642" s="1" t="n">
        <v>45706</v>
      </c>
      <c r="D1642" t="inlineStr">
        <is>
          <t>UPPSALA LÄN</t>
        </is>
      </c>
      <c r="E1642" t="inlineStr">
        <is>
          <t>ENKÖPING</t>
        </is>
      </c>
      <c r="G1642" t="n">
        <v>11.6</v>
      </c>
      <c r="H1642" t="n">
        <v>0</v>
      </c>
      <c r="I1642" t="n">
        <v>0</v>
      </c>
      <c r="J1642" t="n">
        <v>0</v>
      </c>
      <c r="K1642" t="n">
        <v>0</v>
      </c>
      <c r="L1642" t="n">
        <v>0</v>
      </c>
      <c r="M1642" t="n">
        <v>0</v>
      </c>
      <c r="N1642" t="n">
        <v>0</v>
      </c>
      <c r="O1642" t="n">
        <v>0</v>
      </c>
      <c r="P1642" t="n">
        <v>0</v>
      </c>
      <c r="Q1642" t="n">
        <v>0</v>
      </c>
      <c r="R1642" s="2" t="inlineStr"/>
    </row>
    <row r="1643" ht="15" customHeight="1">
      <c r="A1643" t="inlineStr">
        <is>
          <t>A 4875-2021</t>
        </is>
      </c>
      <c r="B1643" s="1" t="n">
        <v>44223</v>
      </c>
      <c r="C1643" s="1" t="n">
        <v>45706</v>
      </c>
      <c r="D1643" t="inlineStr">
        <is>
          <t>UPPSALA LÄN</t>
        </is>
      </c>
      <c r="E1643" t="inlineStr">
        <is>
          <t>UPPSALA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4590-2021</t>
        </is>
      </c>
      <c r="B1644" s="1" t="n">
        <v>44224</v>
      </c>
      <c r="C1644" s="1" t="n">
        <v>45706</v>
      </c>
      <c r="D1644" t="inlineStr">
        <is>
          <t>UPPSALA LÄN</t>
        </is>
      </c>
      <c r="E1644" t="inlineStr">
        <is>
          <t>ÖSTHAMMAR</t>
        </is>
      </c>
      <c r="F1644" t="inlineStr">
        <is>
          <t>Bergvik skog öst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4775-2021</t>
        </is>
      </c>
      <c r="B1645" s="1" t="n">
        <v>44225</v>
      </c>
      <c r="C1645" s="1" t="n">
        <v>45706</v>
      </c>
      <c r="D1645" t="inlineStr">
        <is>
          <t>UPPSALA LÄN</t>
        </is>
      </c>
      <c r="E1645" t="inlineStr">
        <is>
          <t>ENKÖPING</t>
        </is>
      </c>
      <c r="F1645" t="inlineStr">
        <is>
          <t>Allmännings- och besparingsskogar</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4821-2021</t>
        </is>
      </c>
      <c r="B1646" s="1" t="n">
        <v>44225</v>
      </c>
      <c r="C1646" s="1" t="n">
        <v>45706</v>
      </c>
      <c r="D1646" t="inlineStr">
        <is>
          <t>UPPSALA LÄN</t>
        </is>
      </c>
      <c r="E1646" t="inlineStr">
        <is>
          <t>HEBY</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5117-2021</t>
        </is>
      </c>
      <c r="B1647" s="1" t="n">
        <v>44228</v>
      </c>
      <c r="C1647" s="1" t="n">
        <v>45706</v>
      </c>
      <c r="D1647" t="inlineStr">
        <is>
          <t>UPPSALA LÄN</t>
        </is>
      </c>
      <c r="E1647" t="inlineStr">
        <is>
          <t>HEBY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5663-2021</t>
        </is>
      </c>
      <c r="B1648" s="1" t="n">
        <v>44230</v>
      </c>
      <c r="C1648" s="1" t="n">
        <v>45706</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5857-2021</t>
        </is>
      </c>
      <c r="B1649" s="1" t="n">
        <v>44231</v>
      </c>
      <c r="C1649" s="1" t="n">
        <v>45706</v>
      </c>
      <c r="D1649" t="inlineStr">
        <is>
          <t>UPPSALA LÄN</t>
        </is>
      </c>
      <c r="E1649" t="inlineStr">
        <is>
          <t>TIERP</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5875-2021</t>
        </is>
      </c>
      <c r="B1650" s="1" t="n">
        <v>44231</v>
      </c>
      <c r="C1650" s="1" t="n">
        <v>45706</v>
      </c>
      <c r="D1650" t="inlineStr">
        <is>
          <t>UPPSALA LÄN</t>
        </is>
      </c>
      <c r="E1650" t="inlineStr">
        <is>
          <t>HEBY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6142-2021</t>
        </is>
      </c>
      <c r="B1651" s="1" t="n">
        <v>44232</v>
      </c>
      <c r="C1651" s="1" t="n">
        <v>45706</v>
      </c>
      <c r="D1651" t="inlineStr">
        <is>
          <t>UPPSALA LÄN</t>
        </is>
      </c>
      <c r="E1651" t="inlineStr">
        <is>
          <t>HEBY</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6157-2021</t>
        </is>
      </c>
      <c r="B1652" s="1" t="n">
        <v>44232</v>
      </c>
      <c r="C1652" s="1" t="n">
        <v>45706</v>
      </c>
      <c r="D1652" t="inlineStr">
        <is>
          <t>UPPSALA LÄN</t>
        </is>
      </c>
      <c r="E1652" t="inlineStr">
        <is>
          <t>ENKÖPING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6147-2021</t>
        </is>
      </c>
      <c r="B1653" s="1" t="n">
        <v>44232</v>
      </c>
      <c r="C1653" s="1" t="n">
        <v>45706</v>
      </c>
      <c r="D1653" t="inlineStr">
        <is>
          <t>UPPSALA LÄN</t>
        </is>
      </c>
      <c r="E1653" t="inlineStr">
        <is>
          <t>ENKÖPING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6151-2021</t>
        </is>
      </c>
      <c r="B1654" s="1" t="n">
        <v>44232</v>
      </c>
      <c r="C1654" s="1" t="n">
        <v>45706</v>
      </c>
      <c r="D1654" t="inlineStr">
        <is>
          <t>UPPSALA LÄN</t>
        </is>
      </c>
      <c r="E1654" t="inlineStr">
        <is>
          <t>HEBY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6186-2021</t>
        </is>
      </c>
      <c r="B1655" s="1" t="n">
        <v>44233</v>
      </c>
      <c r="C1655" s="1" t="n">
        <v>45706</v>
      </c>
      <c r="D1655" t="inlineStr">
        <is>
          <t>UPPSALA LÄN</t>
        </is>
      </c>
      <c r="E1655" t="inlineStr">
        <is>
          <t>HEBY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6221-2021</t>
        </is>
      </c>
      <c r="B1656" s="1" t="n">
        <v>44235</v>
      </c>
      <c r="C1656" s="1" t="n">
        <v>45706</v>
      </c>
      <c r="D1656" t="inlineStr">
        <is>
          <t>UPPSALA LÄN</t>
        </is>
      </c>
      <c r="E1656" t="inlineStr">
        <is>
          <t>ÖSTHAMMAR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6298-2021</t>
        </is>
      </c>
      <c r="B1657" s="1" t="n">
        <v>44235</v>
      </c>
      <c r="C1657" s="1" t="n">
        <v>45706</v>
      </c>
      <c r="D1657" t="inlineStr">
        <is>
          <t>UPPSALA LÄN</t>
        </is>
      </c>
      <c r="E1657" t="inlineStr">
        <is>
          <t>ENKÖPING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6618-2021</t>
        </is>
      </c>
      <c r="B1658" s="1" t="n">
        <v>44235</v>
      </c>
      <c r="C1658" s="1" t="n">
        <v>45706</v>
      </c>
      <c r="D1658" t="inlineStr">
        <is>
          <t>UPPSALA LÄN</t>
        </is>
      </c>
      <c r="E1658" t="inlineStr">
        <is>
          <t>HEBY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7036-2021</t>
        </is>
      </c>
      <c r="B1659" s="1" t="n">
        <v>44237</v>
      </c>
      <c r="C1659" s="1" t="n">
        <v>45706</v>
      </c>
      <c r="D1659" t="inlineStr">
        <is>
          <t>UPPSALA LÄN</t>
        </is>
      </c>
      <c r="E1659" t="inlineStr">
        <is>
          <t>TIERP</t>
        </is>
      </c>
      <c r="F1659" t="inlineStr">
        <is>
          <t>Bergvik skog väst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7165-2021</t>
        </is>
      </c>
      <c r="B1660" s="1" t="n">
        <v>44238</v>
      </c>
      <c r="C1660" s="1" t="n">
        <v>45706</v>
      </c>
      <c r="D1660" t="inlineStr">
        <is>
          <t>UPPSALA LÄN</t>
        </is>
      </c>
      <c r="E1660" t="inlineStr">
        <is>
          <t>HEBY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7195-2021</t>
        </is>
      </c>
      <c r="B1661" s="1" t="n">
        <v>44238</v>
      </c>
      <c r="C1661" s="1" t="n">
        <v>45706</v>
      </c>
      <c r="D1661" t="inlineStr">
        <is>
          <t>UPPSALA LÄN</t>
        </is>
      </c>
      <c r="E1661" t="inlineStr">
        <is>
          <t>HEBY</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7282-2021</t>
        </is>
      </c>
      <c r="B1662" s="1" t="n">
        <v>44238</v>
      </c>
      <c r="C1662" s="1" t="n">
        <v>45706</v>
      </c>
      <c r="D1662" t="inlineStr">
        <is>
          <t>UPPSALA LÄN</t>
        </is>
      </c>
      <c r="E1662" t="inlineStr">
        <is>
          <t>HEBY</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7113-2021</t>
        </is>
      </c>
      <c r="B1663" s="1" t="n">
        <v>44238</v>
      </c>
      <c r="C1663" s="1" t="n">
        <v>45706</v>
      </c>
      <c r="D1663" t="inlineStr">
        <is>
          <t>UPPSALA LÄN</t>
        </is>
      </c>
      <c r="E1663" t="inlineStr">
        <is>
          <t>ÖSTHAMMAR</t>
        </is>
      </c>
      <c r="F1663" t="inlineStr">
        <is>
          <t>Bergvik skog öst AB</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7803-2021</t>
        </is>
      </c>
      <c r="B1664" s="1" t="n">
        <v>44242</v>
      </c>
      <c r="C1664" s="1" t="n">
        <v>45706</v>
      </c>
      <c r="D1664" t="inlineStr">
        <is>
          <t>UPPSALA LÄN</t>
        </is>
      </c>
      <c r="E1664" t="inlineStr">
        <is>
          <t>HEBY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8009-2021</t>
        </is>
      </c>
      <c r="B1665" s="1" t="n">
        <v>44243</v>
      </c>
      <c r="C1665" s="1" t="n">
        <v>45706</v>
      </c>
      <c r="D1665" t="inlineStr">
        <is>
          <t>UPPSALA LÄN</t>
        </is>
      </c>
      <c r="E1665" t="inlineStr">
        <is>
          <t>ÖSTHAMMAR</t>
        </is>
      </c>
      <c r="G1665" t="n">
        <v>9.9</v>
      </c>
      <c r="H1665" t="n">
        <v>0</v>
      </c>
      <c r="I1665" t="n">
        <v>0</v>
      </c>
      <c r="J1665" t="n">
        <v>0</v>
      </c>
      <c r="K1665" t="n">
        <v>0</v>
      </c>
      <c r="L1665" t="n">
        <v>0</v>
      </c>
      <c r="M1665" t="n">
        <v>0</v>
      </c>
      <c r="N1665" t="n">
        <v>0</v>
      </c>
      <c r="O1665" t="n">
        <v>0</v>
      </c>
      <c r="P1665" t="n">
        <v>0</v>
      </c>
      <c r="Q1665" t="n">
        <v>0</v>
      </c>
      <c r="R1665" s="2" t="inlineStr"/>
    </row>
    <row r="1666" ht="15" customHeight="1">
      <c r="A1666" t="inlineStr">
        <is>
          <t>A 8114-2021</t>
        </is>
      </c>
      <c r="B1666" s="1" t="n">
        <v>44243</v>
      </c>
      <c r="C1666" s="1" t="n">
        <v>45706</v>
      </c>
      <c r="D1666" t="inlineStr">
        <is>
          <t>UPPSALA LÄN</t>
        </is>
      </c>
      <c r="E1666" t="inlineStr">
        <is>
          <t>UPPSALA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8306-2021</t>
        </is>
      </c>
      <c r="B1667" s="1" t="n">
        <v>44244</v>
      </c>
      <c r="C1667" s="1" t="n">
        <v>45706</v>
      </c>
      <c r="D1667" t="inlineStr">
        <is>
          <t>UPPSALA LÄN</t>
        </is>
      </c>
      <c r="E1667" t="inlineStr">
        <is>
          <t>ENKÖPING</t>
        </is>
      </c>
      <c r="G1667" t="n">
        <v>14.9</v>
      </c>
      <c r="H1667" t="n">
        <v>0</v>
      </c>
      <c r="I1667" t="n">
        <v>0</v>
      </c>
      <c r="J1667" t="n">
        <v>0</v>
      </c>
      <c r="K1667" t="n">
        <v>0</v>
      </c>
      <c r="L1667" t="n">
        <v>0</v>
      </c>
      <c r="M1667" t="n">
        <v>0</v>
      </c>
      <c r="N1667" t="n">
        <v>0</v>
      </c>
      <c r="O1667" t="n">
        <v>0</v>
      </c>
      <c r="P1667" t="n">
        <v>0</v>
      </c>
      <c r="Q1667" t="n">
        <v>0</v>
      </c>
      <c r="R1667" s="2" t="inlineStr"/>
    </row>
    <row r="1668" ht="15" customHeight="1">
      <c r="A1668" t="inlineStr">
        <is>
          <t>A 8494-2021</t>
        </is>
      </c>
      <c r="B1668" s="1" t="n">
        <v>44245</v>
      </c>
      <c r="C1668" s="1" t="n">
        <v>45706</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9010-2021</t>
        </is>
      </c>
      <c r="B1669" s="1" t="n">
        <v>44249</v>
      </c>
      <c r="C1669" s="1" t="n">
        <v>45706</v>
      </c>
      <c r="D1669" t="inlineStr">
        <is>
          <t>UPPSALA LÄN</t>
        </is>
      </c>
      <c r="E1669" t="inlineStr">
        <is>
          <t>HEBY</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9230-2021</t>
        </is>
      </c>
      <c r="B1670" s="1" t="n">
        <v>44250</v>
      </c>
      <c r="C1670" s="1" t="n">
        <v>45706</v>
      </c>
      <c r="D1670" t="inlineStr">
        <is>
          <t>UPPSALA LÄN</t>
        </is>
      </c>
      <c r="E1670" t="inlineStr">
        <is>
          <t>HEBY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9700-2021</t>
        </is>
      </c>
      <c r="B1671" s="1" t="n">
        <v>44252</v>
      </c>
      <c r="C1671" s="1" t="n">
        <v>45706</v>
      </c>
      <c r="D1671" t="inlineStr">
        <is>
          <t>UPPSALA LÄN</t>
        </is>
      </c>
      <c r="E1671" t="inlineStr">
        <is>
          <t>UPPSALA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9725-2021</t>
        </is>
      </c>
      <c r="B1672" s="1" t="n">
        <v>44252</v>
      </c>
      <c r="C1672" s="1" t="n">
        <v>45706</v>
      </c>
      <c r="D1672" t="inlineStr">
        <is>
          <t>UPPSALA LÄN</t>
        </is>
      </c>
      <c r="E1672" t="inlineStr">
        <is>
          <t>KNIVSTA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9712-2021</t>
        </is>
      </c>
      <c r="B1673" s="1" t="n">
        <v>44252</v>
      </c>
      <c r="C1673" s="1" t="n">
        <v>45706</v>
      </c>
      <c r="D1673" t="inlineStr">
        <is>
          <t>UPPSALA LÄN</t>
        </is>
      </c>
      <c r="E1673" t="inlineStr">
        <is>
          <t>UPPSALA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10316-2021</t>
        </is>
      </c>
      <c r="B1674" s="1" t="n">
        <v>44257</v>
      </c>
      <c r="C1674" s="1" t="n">
        <v>45706</v>
      </c>
      <c r="D1674" t="inlineStr">
        <is>
          <t>UPPSALA LÄN</t>
        </is>
      </c>
      <c r="E1674" t="inlineStr">
        <is>
          <t>ÖSTHAMMAR</t>
        </is>
      </c>
      <c r="F1674" t="inlineStr">
        <is>
          <t>Övriga Aktiebolag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10498-2021</t>
        </is>
      </c>
      <c r="B1675" s="1" t="n">
        <v>44258</v>
      </c>
      <c r="C1675" s="1" t="n">
        <v>45706</v>
      </c>
      <c r="D1675" t="inlineStr">
        <is>
          <t>UPPSALA LÄN</t>
        </is>
      </c>
      <c r="E1675" t="inlineStr">
        <is>
          <t>ÖSTHAMMAR</t>
        </is>
      </c>
      <c r="F1675" t="inlineStr">
        <is>
          <t>Övriga Aktiebolag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10734-2021</t>
        </is>
      </c>
      <c r="B1676" s="1" t="n">
        <v>44259</v>
      </c>
      <c r="C1676" s="1" t="n">
        <v>45706</v>
      </c>
      <c r="D1676" t="inlineStr">
        <is>
          <t>UPPSALA LÄN</t>
        </is>
      </c>
      <c r="E1676" t="inlineStr">
        <is>
          <t>HEBY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10989-2021</t>
        </is>
      </c>
      <c r="B1677" s="1" t="n">
        <v>44260</v>
      </c>
      <c r="C1677" s="1" t="n">
        <v>45706</v>
      </c>
      <c r="D1677" t="inlineStr">
        <is>
          <t>UPPSALA LÄN</t>
        </is>
      </c>
      <c r="E1677" t="inlineStr">
        <is>
          <t>ENKÖPING</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11090-2021</t>
        </is>
      </c>
      <c r="B1678" s="1" t="n">
        <v>44260</v>
      </c>
      <c r="C1678" s="1" t="n">
        <v>45706</v>
      </c>
      <c r="D1678" t="inlineStr">
        <is>
          <t>UPPSALA LÄN</t>
        </is>
      </c>
      <c r="E1678" t="inlineStr">
        <is>
          <t>HEBY</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11314-2021</t>
        </is>
      </c>
      <c r="B1679" s="1" t="n">
        <v>44263</v>
      </c>
      <c r="C1679" s="1" t="n">
        <v>45706</v>
      </c>
      <c r="D1679" t="inlineStr">
        <is>
          <t>UPPSALA LÄN</t>
        </is>
      </c>
      <c r="E1679" t="inlineStr">
        <is>
          <t>HEBY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11553-2021</t>
        </is>
      </c>
      <c r="B1680" s="1" t="n">
        <v>44264</v>
      </c>
      <c r="C1680" s="1" t="n">
        <v>45706</v>
      </c>
      <c r="D1680" t="inlineStr">
        <is>
          <t>UPPSALA LÄN</t>
        </is>
      </c>
      <c r="E1680" t="inlineStr">
        <is>
          <t>ÄLVKARLEBY</t>
        </is>
      </c>
      <c r="F1680" t="inlineStr">
        <is>
          <t>Bergvik skog väst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11688-2021</t>
        </is>
      </c>
      <c r="B1681" s="1" t="n">
        <v>44264</v>
      </c>
      <c r="C1681" s="1" t="n">
        <v>45706</v>
      </c>
      <c r="D1681" t="inlineStr">
        <is>
          <t>UPPSALA LÄN</t>
        </is>
      </c>
      <c r="E1681" t="inlineStr">
        <is>
          <t>ENKÖPING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11675-2021</t>
        </is>
      </c>
      <c r="B1682" s="1" t="n">
        <v>44264</v>
      </c>
      <c r="C1682" s="1" t="n">
        <v>45706</v>
      </c>
      <c r="D1682" t="inlineStr">
        <is>
          <t>UPPSALA LÄN</t>
        </is>
      </c>
      <c r="E1682" t="inlineStr">
        <is>
          <t>HEBY</t>
        </is>
      </c>
      <c r="F1682" t="inlineStr">
        <is>
          <t>Övriga Aktiebolag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11729-2021</t>
        </is>
      </c>
      <c r="B1683" s="1" t="n">
        <v>44265</v>
      </c>
      <c r="C1683" s="1" t="n">
        <v>45706</v>
      </c>
      <c r="D1683" t="inlineStr">
        <is>
          <t>UPPSALA LÄN</t>
        </is>
      </c>
      <c r="E1683" t="inlineStr">
        <is>
          <t>HÅBO</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11725-2021</t>
        </is>
      </c>
      <c r="B1684" s="1" t="n">
        <v>44265</v>
      </c>
      <c r="C1684" s="1" t="n">
        <v>45706</v>
      </c>
      <c r="D1684" t="inlineStr">
        <is>
          <t>UPPSALA LÄN</t>
        </is>
      </c>
      <c r="E1684" t="inlineStr">
        <is>
          <t>HÅBO</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11937-2021</t>
        </is>
      </c>
      <c r="B1685" s="1" t="n">
        <v>44266</v>
      </c>
      <c r="C1685" s="1" t="n">
        <v>45706</v>
      </c>
      <c r="D1685" t="inlineStr">
        <is>
          <t>UPPSALA LÄN</t>
        </is>
      </c>
      <c r="E1685" t="inlineStr">
        <is>
          <t>TIERP</t>
        </is>
      </c>
      <c r="F1685" t="inlineStr">
        <is>
          <t>Bergvik skog öst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11932-2021</t>
        </is>
      </c>
      <c r="B1686" s="1" t="n">
        <v>44266</v>
      </c>
      <c r="C1686" s="1" t="n">
        <v>45706</v>
      </c>
      <c r="D1686" t="inlineStr">
        <is>
          <t>UPPSALA LÄN</t>
        </is>
      </c>
      <c r="E1686" t="inlineStr">
        <is>
          <t>TIERP</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12225-2021</t>
        </is>
      </c>
      <c r="B1687" s="1" t="n">
        <v>44266</v>
      </c>
      <c r="C1687" s="1" t="n">
        <v>45706</v>
      </c>
      <c r="D1687" t="inlineStr">
        <is>
          <t>UPPSALA LÄN</t>
        </is>
      </c>
      <c r="E1687" t="inlineStr">
        <is>
          <t>UPPSALA</t>
        </is>
      </c>
      <c r="F1687" t="inlineStr">
        <is>
          <t>Bergvik skog öst AB</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12152-2021</t>
        </is>
      </c>
      <c r="B1688" s="1" t="n">
        <v>44266</v>
      </c>
      <c r="C1688" s="1" t="n">
        <v>45706</v>
      </c>
      <c r="D1688" t="inlineStr">
        <is>
          <t>UPPSALA LÄN</t>
        </is>
      </c>
      <c r="E1688" t="inlineStr">
        <is>
          <t>UPPSALA</t>
        </is>
      </c>
      <c r="F1688" t="inlineStr">
        <is>
          <t>Bergvik skog öst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12172-2021</t>
        </is>
      </c>
      <c r="B1689" s="1" t="n">
        <v>44266</v>
      </c>
      <c r="C1689" s="1" t="n">
        <v>45706</v>
      </c>
      <c r="D1689" t="inlineStr">
        <is>
          <t>UPPSALA LÄN</t>
        </is>
      </c>
      <c r="E1689" t="inlineStr">
        <is>
          <t>UPPSALA</t>
        </is>
      </c>
      <c r="F1689" t="inlineStr">
        <is>
          <t>Bergvik skog öst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12194-2021</t>
        </is>
      </c>
      <c r="B1690" s="1" t="n">
        <v>44266</v>
      </c>
      <c r="C1690" s="1" t="n">
        <v>45706</v>
      </c>
      <c r="D1690" t="inlineStr">
        <is>
          <t>UPPSALA LÄN</t>
        </is>
      </c>
      <c r="E1690" t="inlineStr">
        <is>
          <t>UPPSALA</t>
        </is>
      </c>
      <c r="F1690" t="inlineStr">
        <is>
          <t>Bergvik skog öst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12313-2021</t>
        </is>
      </c>
      <c r="B1691" s="1" t="n">
        <v>44266</v>
      </c>
      <c r="C1691" s="1" t="n">
        <v>45706</v>
      </c>
      <c r="D1691" t="inlineStr">
        <is>
          <t>UPPSALA LÄN</t>
        </is>
      </c>
      <c r="E1691" t="inlineStr">
        <is>
          <t>UPPSALA</t>
        </is>
      </c>
      <c r="G1691" t="n">
        <v>23.6</v>
      </c>
      <c r="H1691" t="n">
        <v>0</v>
      </c>
      <c r="I1691" t="n">
        <v>0</v>
      </c>
      <c r="J1691" t="n">
        <v>0</v>
      </c>
      <c r="K1691" t="n">
        <v>0</v>
      </c>
      <c r="L1691" t="n">
        <v>0</v>
      </c>
      <c r="M1691" t="n">
        <v>0</v>
      </c>
      <c r="N1691" t="n">
        <v>0</v>
      </c>
      <c r="O1691" t="n">
        <v>0</v>
      </c>
      <c r="P1691" t="n">
        <v>0</v>
      </c>
      <c r="Q1691" t="n">
        <v>0</v>
      </c>
      <c r="R1691" s="2" t="inlineStr"/>
    </row>
    <row r="1692" ht="15" customHeight="1">
      <c r="A1692" t="inlineStr">
        <is>
          <t>A 12434-2021</t>
        </is>
      </c>
      <c r="B1692" s="1" t="n">
        <v>44267</v>
      </c>
      <c r="C1692" s="1" t="n">
        <v>45706</v>
      </c>
      <c r="D1692" t="inlineStr">
        <is>
          <t>UPPSALA LÄN</t>
        </is>
      </c>
      <c r="E1692" t="inlineStr">
        <is>
          <t>ENKÖPING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12538-2021</t>
        </is>
      </c>
      <c r="B1693" s="1" t="n">
        <v>44269</v>
      </c>
      <c r="C1693" s="1" t="n">
        <v>45706</v>
      </c>
      <c r="D1693" t="inlineStr">
        <is>
          <t>UPPSALA LÄN</t>
        </is>
      </c>
      <c r="E1693" t="inlineStr">
        <is>
          <t>ENKÖPING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12572-2021</t>
        </is>
      </c>
      <c r="B1694" s="1" t="n">
        <v>44270</v>
      </c>
      <c r="C1694" s="1" t="n">
        <v>45706</v>
      </c>
      <c r="D1694" t="inlineStr">
        <is>
          <t>UPPSALA LÄN</t>
        </is>
      </c>
      <c r="E1694" t="inlineStr">
        <is>
          <t>ENKÖPING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12591-2021</t>
        </is>
      </c>
      <c r="B1695" s="1" t="n">
        <v>44270</v>
      </c>
      <c r="C1695" s="1" t="n">
        <v>45706</v>
      </c>
      <c r="D1695" t="inlineStr">
        <is>
          <t>UPPSALA LÄN</t>
        </is>
      </c>
      <c r="E1695" t="inlineStr">
        <is>
          <t>TIERP</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12729-2021</t>
        </is>
      </c>
      <c r="B1696" s="1" t="n">
        <v>44270</v>
      </c>
      <c r="C1696" s="1" t="n">
        <v>45706</v>
      </c>
      <c r="D1696" t="inlineStr">
        <is>
          <t>UPPSALA LÄN</t>
        </is>
      </c>
      <c r="E1696" t="inlineStr">
        <is>
          <t>ENKÖPING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12727-2021</t>
        </is>
      </c>
      <c r="B1697" s="1" t="n">
        <v>44270</v>
      </c>
      <c r="C1697" s="1" t="n">
        <v>45706</v>
      </c>
      <c r="D1697" t="inlineStr">
        <is>
          <t>UPPSALA LÄN</t>
        </is>
      </c>
      <c r="E1697" t="inlineStr">
        <is>
          <t>ENKÖPING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12732-2021</t>
        </is>
      </c>
      <c r="B1698" s="1" t="n">
        <v>44270</v>
      </c>
      <c r="C1698" s="1" t="n">
        <v>45706</v>
      </c>
      <c r="D1698" t="inlineStr">
        <is>
          <t>UPPSALA LÄN</t>
        </is>
      </c>
      <c r="E1698" t="inlineStr">
        <is>
          <t>ENKÖPING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12864-2021</t>
        </is>
      </c>
      <c r="B1699" s="1" t="n">
        <v>44271</v>
      </c>
      <c r="C1699" s="1" t="n">
        <v>45706</v>
      </c>
      <c r="D1699" t="inlineStr">
        <is>
          <t>UPPSALA LÄN</t>
        </is>
      </c>
      <c r="E1699" t="inlineStr">
        <is>
          <t>KNIVSTA</t>
        </is>
      </c>
      <c r="F1699" t="inlineStr">
        <is>
          <t>Kyrkan</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13010-2021</t>
        </is>
      </c>
      <c r="B1700" s="1" t="n">
        <v>44271</v>
      </c>
      <c r="C1700" s="1" t="n">
        <v>45706</v>
      </c>
      <c r="D1700" t="inlineStr">
        <is>
          <t>UPPSALA LÄN</t>
        </is>
      </c>
      <c r="E1700" t="inlineStr">
        <is>
          <t>UPPSALA</t>
        </is>
      </c>
      <c r="F1700" t="inlineStr">
        <is>
          <t>Bergvik skog öst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13126-2021</t>
        </is>
      </c>
      <c r="B1701" s="1" t="n">
        <v>44272</v>
      </c>
      <c r="C1701" s="1" t="n">
        <v>45706</v>
      </c>
      <c r="D1701" t="inlineStr">
        <is>
          <t>UPPSALA LÄN</t>
        </is>
      </c>
      <c r="E1701" t="inlineStr">
        <is>
          <t>HEBY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13157-2021</t>
        </is>
      </c>
      <c r="B1702" s="1" t="n">
        <v>44272</v>
      </c>
      <c r="C1702" s="1" t="n">
        <v>45706</v>
      </c>
      <c r="D1702" t="inlineStr">
        <is>
          <t>UPPSALA LÄN</t>
        </is>
      </c>
      <c r="E1702" t="inlineStr">
        <is>
          <t>TIERP</t>
        </is>
      </c>
      <c r="F1702" t="inlineStr">
        <is>
          <t>Bergvik skog öst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13201-2021</t>
        </is>
      </c>
      <c r="B1703" s="1" t="n">
        <v>44272</v>
      </c>
      <c r="C1703" s="1" t="n">
        <v>45706</v>
      </c>
      <c r="D1703" t="inlineStr">
        <is>
          <t>UPPSALA LÄN</t>
        </is>
      </c>
      <c r="E1703" t="inlineStr">
        <is>
          <t>ENKÖPING</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13098-2021</t>
        </is>
      </c>
      <c r="B1704" s="1" t="n">
        <v>44272</v>
      </c>
      <c r="C1704" s="1" t="n">
        <v>45706</v>
      </c>
      <c r="D1704" t="inlineStr">
        <is>
          <t>UPPSALA LÄN</t>
        </is>
      </c>
      <c r="E1704" t="inlineStr">
        <is>
          <t>HEBY</t>
        </is>
      </c>
      <c r="G1704" t="n">
        <v>11.8</v>
      </c>
      <c r="H1704" t="n">
        <v>0</v>
      </c>
      <c r="I1704" t="n">
        <v>0</v>
      </c>
      <c r="J1704" t="n">
        <v>0</v>
      </c>
      <c r="K1704" t="n">
        <v>0</v>
      </c>
      <c r="L1704" t="n">
        <v>0</v>
      </c>
      <c r="M1704" t="n">
        <v>0</v>
      </c>
      <c r="N1704" t="n">
        <v>0</v>
      </c>
      <c r="O1704" t="n">
        <v>0</v>
      </c>
      <c r="P1704" t="n">
        <v>0</v>
      </c>
      <c r="Q1704" t="n">
        <v>0</v>
      </c>
      <c r="R1704" s="2" t="inlineStr"/>
    </row>
    <row r="1705" ht="15" customHeight="1">
      <c r="A1705" t="inlineStr">
        <is>
          <t>A 13131-2021</t>
        </is>
      </c>
      <c r="B1705" s="1" t="n">
        <v>44272</v>
      </c>
      <c r="C1705" s="1" t="n">
        <v>45706</v>
      </c>
      <c r="D1705" t="inlineStr">
        <is>
          <t>UPPSALA LÄN</t>
        </is>
      </c>
      <c r="E1705" t="inlineStr">
        <is>
          <t>HEBY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13046-2021</t>
        </is>
      </c>
      <c r="B1706" s="1" t="n">
        <v>44272</v>
      </c>
      <c r="C1706" s="1" t="n">
        <v>45706</v>
      </c>
      <c r="D1706" t="inlineStr">
        <is>
          <t>UPPSALA LÄN</t>
        </is>
      </c>
      <c r="E1706" t="inlineStr">
        <is>
          <t>HEBY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13476-2021</t>
        </is>
      </c>
      <c r="B1707" s="1" t="n">
        <v>44273</v>
      </c>
      <c r="C1707" s="1" t="n">
        <v>45706</v>
      </c>
      <c r="D1707" t="inlineStr">
        <is>
          <t>UPPSALA LÄN</t>
        </is>
      </c>
      <c r="E1707" t="inlineStr">
        <is>
          <t>ÄLVKARLEBY</t>
        </is>
      </c>
      <c r="F1707" t="inlineStr">
        <is>
          <t>Bergvik skog väst AB</t>
        </is>
      </c>
      <c r="G1707" t="n">
        <v>12.1</v>
      </c>
      <c r="H1707" t="n">
        <v>0</v>
      </c>
      <c r="I1707" t="n">
        <v>0</v>
      </c>
      <c r="J1707" t="n">
        <v>0</v>
      </c>
      <c r="K1707" t="n">
        <v>0</v>
      </c>
      <c r="L1707" t="n">
        <v>0</v>
      </c>
      <c r="M1707" t="n">
        <v>0</v>
      </c>
      <c r="N1707" t="n">
        <v>0</v>
      </c>
      <c r="O1707" t="n">
        <v>0</v>
      </c>
      <c r="P1707" t="n">
        <v>0</v>
      </c>
      <c r="Q1707" t="n">
        <v>0</v>
      </c>
      <c r="R1707" s="2" t="inlineStr"/>
    </row>
    <row r="1708" ht="15" customHeight="1">
      <c r="A1708" t="inlineStr">
        <is>
          <t>A 13420-2021</t>
        </is>
      </c>
      <c r="B1708" s="1" t="n">
        <v>44273</v>
      </c>
      <c r="C1708" s="1" t="n">
        <v>45706</v>
      </c>
      <c r="D1708" t="inlineStr">
        <is>
          <t>UPPSALA LÄN</t>
        </is>
      </c>
      <c r="E1708" t="inlineStr">
        <is>
          <t>UPPSALA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13813-2021</t>
        </is>
      </c>
      <c r="B1709" s="1" t="n">
        <v>44276</v>
      </c>
      <c r="C1709" s="1" t="n">
        <v>45706</v>
      </c>
      <c r="D1709" t="inlineStr">
        <is>
          <t>UPPSALA LÄN</t>
        </is>
      </c>
      <c r="E1709" t="inlineStr">
        <is>
          <t>ENKÖPING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13816-2021</t>
        </is>
      </c>
      <c r="B1710" s="1" t="n">
        <v>44276</v>
      </c>
      <c r="C1710" s="1" t="n">
        <v>45706</v>
      </c>
      <c r="D1710" t="inlineStr">
        <is>
          <t>UPPSALA LÄN</t>
        </is>
      </c>
      <c r="E1710" t="inlineStr">
        <is>
          <t>ENKÖPING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14026-2021</t>
        </is>
      </c>
      <c r="B1711" s="1" t="n">
        <v>44277</v>
      </c>
      <c r="C1711" s="1" t="n">
        <v>45706</v>
      </c>
      <c r="D1711" t="inlineStr">
        <is>
          <t>UPPSALA LÄN</t>
        </is>
      </c>
      <c r="E1711" t="inlineStr">
        <is>
          <t>UPPSALA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14022-2021</t>
        </is>
      </c>
      <c r="B1712" s="1" t="n">
        <v>44277</v>
      </c>
      <c r="C1712" s="1" t="n">
        <v>45706</v>
      </c>
      <c r="D1712" t="inlineStr">
        <is>
          <t>UPPSALA LÄN</t>
        </is>
      </c>
      <c r="E1712" t="inlineStr">
        <is>
          <t>UPPSALA</t>
        </is>
      </c>
      <c r="G1712" t="n">
        <v>11.1</v>
      </c>
      <c r="H1712" t="n">
        <v>0</v>
      </c>
      <c r="I1712" t="n">
        <v>0</v>
      </c>
      <c r="J1712" t="n">
        <v>0</v>
      </c>
      <c r="K1712" t="n">
        <v>0</v>
      </c>
      <c r="L1712" t="n">
        <v>0</v>
      </c>
      <c r="M1712" t="n">
        <v>0</v>
      </c>
      <c r="N1712" t="n">
        <v>0</v>
      </c>
      <c r="O1712" t="n">
        <v>0</v>
      </c>
      <c r="P1712" t="n">
        <v>0</v>
      </c>
      <c r="Q1712" t="n">
        <v>0</v>
      </c>
      <c r="R1712" s="2" t="inlineStr"/>
    </row>
    <row r="1713" ht="15" customHeight="1">
      <c r="A1713" t="inlineStr">
        <is>
          <t>A 14248-2021</t>
        </is>
      </c>
      <c r="B1713" s="1" t="n">
        <v>44278</v>
      </c>
      <c r="C1713" s="1" t="n">
        <v>45706</v>
      </c>
      <c r="D1713" t="inlineStr">
        <is>
          <t>UPPSALA LÄN</t>
        </is>
      </c>
      <c r="E1713" t="inlineStr">
        <is>
          <t>ÖSTHAMMAR</t>
        </is>
      </c>
      <c r="F1713" t="inlineStr">
        <is>
          <t>Övriga Aktiebolag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14306-2021</t>
        </is>
      </c>
      <c r="B1714" s="1" t="n">
        <v>44278</v>
      </c>
      <c r="C1714" s="1" t="n">
        <v>45706</v>
      </c>
      <c r="D1714" t="inlineStr">
        <is>
          <t>UPPSALA LÄN</t>
        </is>
      </c>
      <c r="E1714" t="inlineStr">
        <is>
          <t>HEBY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14341-2021</t>
        </is>
      </c>
      <c r="B1715" s="1" t="n">
        <v>44279</v>
      </c>
      <c r="C1715" s="1" t="n">
        <v>45706</v>
      </c>
      <c r="D1715" t="inlineStr">
        <is>
          <t>UPPSALA LÄN</t>
        </is>
      </c>
      <c r="E1715" t="inlineStr">
        <is>
          <t>UPPSALA</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14386-2021</t>
        </is>
      </c>
      <c r="B1716" s="1" t="n">
        <v>44279</v>
      </c>
      <c r="C1716" s="1" t="n">
        <v>45706</v>
      </c>
      <c r="D1716" t="inlineStr">
        <is>
          <t>UPPSALA LÄN</t>
        </is>
      </c>
      <c r="E1716" t="inlineStr">
        <is>
          <t>HEBY</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14525-2021</t>
        </is>
      </c>
      <c r="B1717" s="1" t="n">
        <v>44279</v>
      </c>
      <c r="C1717" s="1" t="n">
        <v>45706</v>
      </c>
      <c r="D1717" t="inlineStr">
        <is>
          <t>UPPSALA LÄN</t>
        </is>
      </c>
      <c r="E1717" t="inlineStr">
        <is>
          <t>ÖSTHAMMAR</t>
        </is>
      </c>
      <c r="F1717" t="inlineStr">
        <is>
          <t>Bergvik skog öst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14840-2021</t>
        </is>
      </c>
      <c r="B1718" s="1" t="n">
        <v>44280</v>
      </c>
      <c r="C1718" s="1" t="n">
        <v>45706</v>
      </c>
      <c r="D1718" t="inlineStr">
        <is>
          <t>UPPSALA LÄN</t>
        </is>
      </c>
      <c r="E1718" t="inlineStr">
        <is>
          <t>ENKÖPING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14841-2021</t>
        </is>
      </c>
      <c r="B1719" s="1" t="n">
        <v>44280</v>
      </c>
      <c r="C1719" s="1" t="n">
        <v>45706</v>
      </c>
      <c r="D1719" t="inlineStr">
        <is>
          <t>UPPSALA LÄN</t>
        </is>
      </c>
      <c r="E1719" t="inlineStr">
        <is>
          <t>ENKÖPING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14843-2021</t>
        </is>
      </c>
      <c r="B1720" s="1" t="n">
        <v>44280</v>
      </c>
      <c r="C1720" s="1" t="n">
        <v>45706</v>
      </c>
      <c r="D1720" t="inlineStr">
        <is>
          <t>UPPSALA LÄN</t>
        </is>
      </c>
      <c r="E1720" t="inlineStr">
        <is>
          <t>HEBY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14839-2021</t>
        </is>
      </c>
      <c r="B1721" s="1" t="n">
        <v>44280</v>
      </c>
      <c r="C1721" s="1" t="n">
        <v>45706</v>
      </c>
      <c r="D1721" t="inlineStr">
        <is>
          <t>UPPSALA LÄN</t>
        </is>
      </c>
      <c r="E1721" t="inlineStr">
        <is>
          <t>ENKÖPING</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14934-2021</t>
        </is>
      </c>
      <c r="B1722" s="1" t="n">
        <v>44281</v>
      </c>
      <c r="C1722" s="1" t="n">
        <v>45706</v>
      </c>
      <c r="D1722" t="inlineStr">
        <is>
          <t>UPPSALA LÄN</t>
        </is>
      </c>
      <c r="E1722" t="inlineStr">
        <is>
          <t>TIERP</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14941-2021</t>
        </is>
      </c>
      <c r="B1723" s="1" t="n">
        <v>44281</v>
      </c>
      <c r="C1723" s="1" t="n">
        <v>45706</v>
      </c>
      <c r="D1723" t="inlineStr">
        <is>
          <t>UPPSALA LÄN</t>
        </is>
      </c>
      <c r="E1723" t="inlineStr">
        <is>
          <t>UPPSALA</t>
        </is>
      </c>
      <c r="F1723" t="inlineStr">
        <is>
          <t>Holmen skog AB</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15298-2021</t>
        </is>
      </c>
      <c r="B1724" s="1" t="n">
        <v>44284</v>
      </c>
      <c r="C1724" s="1" t="n">
        <v>45706</v>
      </c>
      <c r="D1724" t="inlineStr">
        <is>
          <t>UPPSALA LÄN</t>
        </is>
      </c>
      <c r="E1724" t="inlineStr">
        <is>
          <t>ENKÖPING</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15481-2021</t>
        </is>
      </c>
      <c r="B1725" s="1" t="n">
        <v>44285</v>
      </c>
      <c r="C1725" s="1" t="n">
        <v>45706</v>
      </c>
      <c r="D1725" t="inlineStr">
        <is>
          <t>UPPSALA LÄN</t>
        </is>
      </c>
      <c r="E1725" t="inlineStr">
        <is>
          <t>HEBY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15485-2021</t>
        </is>
      </c>
      <c r="B1726" s="1" t="n">
        <v>44285</v>
      </c>
      <c r="C1726" s="1" t="n">
        <v>45706</v>
      </c>
      <c r="D1726" t="inlineStr">
        <is>
          <t>UPPSALA LÄN</t>
        </is>
      </c>
      <c r="E1726" t="inlineStr">
        <is>
          <t>HEBY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15587-2021</t>
        </is>
      </c>
      <c r="B1727" s="1" t="n">
        <v>44285</v>
      </c>
      <c r="C1727" s="1" t="n">
        <v>45706</v>
      </c>
      <c r="D1727" t="inlineStr">
        <is>
          <t>UPPSALA LÄN</t>
        </is>
      </c>
      <c r="E1727" t="inlineStr">
        <is>
          <t>TIERP</t>
        </is>
      </c>
      <c r="F1727" t="inlineStr">
        <is>
          <t>Bergvik skog väst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15816-2021</t>
        </is>
      </c>
      <c r="B1728" s="1" t="n">
        <v>44286</v>
      </c>
      <c r="C1728" s="1" t="n">
        <v>45706</v>
      </c>
      <c r="D1728" t="inlineStr">
        <is>
          <t>UPPSALA LÄN</t>
        </is>
      </c>
      <c r="E1728" t="inlineStr">
        <is>
          <t>UPPSALA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15677-2021</t>
        </is>
      </c>
      <c r="B1729" s="1" t="n">
        <v>44286</v>
      </c>
      <c r="C1729" s="1" t="n">
        <v>45706</v>
      </c>
      <c r="D1729" t="inlineStr">
        <is>
          <t>UPPSALA LÄN</t>
        </is>
      </c>
      <c r="E1729" t="inlineStr">
        <is>
          <t>TIERP</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15728-2021</t>
        </is>
      </c>
      <c r="B1730" s="1" t="n">
        <v>44286</v>
      </c>
      <c r="C1730" s="1" t="n">
        <v>45706</v>
      </c>
      <c r="D1730" t="inlineStr">
        <is>
          <t>UPPSALA LÄN</t>
        </is>
      </c>
      <c r="E1730" t="inlineStr">
        <is>
          <t>TIERP</t>
        </is>
      </c>
      <c r="F1730" t="inlineStr">
        <is>
          <t>Bergvik skog öst AB</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15820-2021</t>
        </is>
      </c>
      <c r="B1731" s="1" t="n">
        <v>44286</v>
      </c>
      <c r="C1731" s="1" t="n">
        <v>45706</v>
      </c>
      <c r="D1731" t="inlineStr">
        <is>
          <t>UPPSALA LÄN</t>
        </is>
      </c>
      <c r="E1731" t="inlineStr">
        <is>
          <t>UPPSALA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15997-2021</t>
        </is>
      </c>
      <c r="B1732" s="1" t="n">
        <v>44287</v>
      </c>
      <c r="C1732" s="1" t="n">
        <v>45706</v>
      </c>
      <c r="D1732" t="inlineStr">
        <is>
          <t>UPPSALA LÄN</t>
        </is>
      </c>
      <c r="E1732" t="inlineStr">
        <is>
          <t>ENKÖPING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16043-2021</t>
        </is>
      </c>
      <c r="B1733" s="1" t="n">
        <v>44287</v>
      </c>
      <c r="C1733" s="1" t="n">
        <v>45706</v>
      </c>
      <c r="D1733" t="inlineStr">
        <is>
          <t>UPPSALA LÄN</t>
        </is>
      </c>
      <c r="E1733" t="inlineStr">
        <is>
          <t>HEBY</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16212-2021</t>
        </is>
      </c>
      <c r="B1734" s="1" t="n">
        <v>44287</v>
      </c>
      <c r="C1734" s="1" t="n">
        <v>45706</v>
      </c>
      <c r="D1734" t="inlineStr">
        <is>
          <t>UPPSALA LÄN</t>
        </is>
      </c>
      <c r="E1734" t="inlineStr">
        <is>
          <t>ÖSTHAMMAR</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16209-2021</t>
        </is>
      </c>
      <c r="B1735" s="1" t="n">
        <v>44287</v>
      </c>
      <c r="C1735" s="1" t="n">
        <v>45706</v>
      </c>
      <c r="D1735" t="inlineStr">
        <is>
          <t>UPPSALA LÄN</t>
        </is>
      </c>
      <c r="E1735" t="inlineStr">
        <is>
          <t>ÖSTHAMMAR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16106-2021</t>
        </is>
      </c>
      <c r="B1736" s="1" t="n">
        <v>44290</v>
      </c>
      <c r="C1736" s="1" t="n">
        <v>45706</v>
      </c>
      <c r="D1736" t="inlineStr">
        <is>
          <t>UPPSALA LÄN</t>
        </is>
      </c>
      <c r="E1736" t="inlineStr">
        <is>
          <t>TIERP</t>
        </is>
      </c>
      <c r="F1736" t="inlineStr">
        <is>
          <t>Bergvik skog väst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16124-2021</t>
        </is>
      </c>
      <c r="B1737" s="1" t="n">
        <v>44291</v>
      </c>
      <c r="C1737" s="1" t="n">
        <v>45706</v>
      </c>
      <c r="D1737" t="inlineStr">
        <is>
          <t>UPPSALA LÄN</t>
        </is>
      </c>
      <c r="E1737" t="inlineStr">
        <is>
          <t>TIERP</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16463-2021</t>
        </is>
      </c>
      <c r="B1738" s="1" t="n">
        <v>44292</v>
      </c>
      <c r="C1738" s="1" t="n">
        <v>45706</v>
      </c>
      <c r="D1738" t="inlineStr">
        <is>
          <t>UPPSALA LÄN</t>
        </is>
      </c>
      <c r="E1738" t="inlineStr">
        <is>
          <t>HEBY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16309-2021</t>
        </is>
      </c>
      <c r="B1739" s="1" t="n">
        <v>44292</v>
      </c>
      <c r="C1739" s="1" t="n">
        <v>45706</v>
      </c>
      <c r="D1739" t="inlineStr">
        <is>
          <t>UPPSALA LÄN</t>
        </is>
      </c>
      <c r="E1739" t="inlineStr">
        <is>
          <t>ENKÖPING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16498-2021</t>
        </is>
      </c>
      <c r="B1740" s="1" t="n">
        <v>44293</v>
      </c>
      <c r="C1740" s="1" t="n">
        <v>45706</v>
      </c>
      <c r="D1740" t="inlineStr">
        <is>
          <t>UPPSALA LÄN</t>
        </is>
      </c>
      <c r="E1740" t="inlineStr">
        <is>
          <t>ENKÖPING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16494-2021</t>
        </is>
      </c>
      <c r="B1741" s="1" t="n">
        <v>44293</v>
      </c>
      <c r="C1741" s="1" t="n">
        <v>45706</v>
      </c>
      <c r="D1741" t="inlineStr">
        <is>
          <t>UPPSALA LÄN</t>
        </is>
      </c>
      <c r="E1741" t="inlineStr">
        <is>
          <t>HEBY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16592-2021</t>
        </is>
      </c>
      <c r="B1742" s="1" t="n">
        <v>44294</v>
      </c>
      <c r="C1742" s="1" t="n">
        <v>45706</v>
      </c>
      <c r="D1742" t="inlineStr">
        <is>
          <t>UPPSALA LÄN</t>
        </is>
      </c>
      <c r="E1742" t="inlineStr">
        <is>
          <t>UPPSALA</t>
        </is>
      </c>
      <c r="F1742" t="inlineStr">
        <is>
          <t>Övriga Aktiebolag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16615-2021</t>
        </is>
      </c>
      <c r="B1743" s="1" t="n">
        <v>44294</v>
      </c>
      <c r="C1743" s="1" t="n">
        <v>45706</v>
      </c>
      <c r="D1743" t="inlineStr">
        <is>
          <t>UPPSALA LÄN</t>
        </is>
      </c>
      <c r="E1743" t="inlineStr">
        <is>
          <t>UPPSALA</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16683-2021</t>
        </is>
      </c>
      <c r="B1744" s="1" t="n">
        <v>44294</v>
      </c>
      <c r="C1744" s="1" t="n">
        <v>45706</v>
      </c>
      <c r="D1744" t="inlineStr">
        <is>
          <t>UPPSALA LÄN</t>
        </is>
      </c>
      <c r="E1744" t="inlineStr">
        <is>
          <t>ENKÖPING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16684-2021</t>
        </is>
      </c>
      <c r="B1745" s="1" t="n">
        <v>44294</v>
      </c>
      <c r="C1745" s="1" t="n">
        <v>45706</v>
      </c>
      <c r="D1745" t="inlineStr">
        <is>
          <t>UPPSALA LÄN</t>
        </is>
      </c>
      <c r="E1745" t="inlineStr">
        <is>
          <t>UPPSALA</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17009-2021</t>
        </is>
      </c>
      <c r="B1746" s="1" t="n">
        <v>44295</v>
      </c>
      <c r="C1746" s="1" t="n">
        <v>45706</v>
      </c>
      <c r="D1746" t="inlineStr">
        <is>
          <t>UPPSALA LÄN</t>
        </is>
      </c>
      <c r="E1746" t="inlineStr">
        <is>
          <t>ÖSTHAMMAR</t>
        </is>
      </c>
      <c r="F1746" t="inlineStr">
        <is>
          <t>Bergvik skog öst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17022-2021</t>
        </is>
      </c>
      <c r="B1747" s="1" t="n">
        <v>44295</v>
      </c>
      <c r="C1747" s="1" t="n">
        <v>45706</v>
      </c>
      <c r="D1747" t="inlineStr">
        <is>
          <t>UPPSALA LÄN</t>
        </is>
      </c>
      <c r="E1747" t="inlineStr">
        <is>
          <t>ÖSTHAMMAR</t>
        </is>
      </c>
      <c r="F1747" t="inlineStr">
        <is>
          <t>Bergvik skog öst AB</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17033-2021</t>
        </is>
      </c>
      <c r="B1748" s="1" t="n">
        <v>44295</v>
      </c>
      <c r="C1748" s="1" t="n">
        <v>45706</v>
      </c>
      <c r="D1748" t="inlineStr">
        <is>
          <t>UPPSALA LÄN</t>
        </is>
      </c>
      <c r="E1748" t="inlineStr">
        <is>
          <t>ÖSTHAMMAR</t>
        </is>
      </c>
      <c r="F1748" t="inlineStr">
        <is>
          <t>Bergvik skog öst AB</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17262-2021</t>
        </is>
      </c>
      <c r="B1749" s="1" t="n">
        <v>44297</v>
      </c>
      <c r="C1749" s="1" t="n">
        <v>45706</v>
      </c>
      <c r="D1749" t="inlineStr">
        <is>
          <t>UPPSALA LÄN</t>
        </is>
      </c>
      <c r="E1749" t="inlineStr">
        <is>
          <t>UPPSALA</t>
        </is>
      </c>
      <c r="F1749" t="inlineStr">
        <is>
          <t>Allmännings- och besparingsskogar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17250-2021</t>
        </is>
      </c>
      <c r="B1750" s="1" t="n">
        <v>44297</v>
      </c>
      <c r="C1750" s="1" t="n">
        <v>45706</v>
      </c>
      <c r="D1750" t="inlineStr">
        <is>
          <t>UPPSALA LÄN</t>
        </is>
      </c>
      <c r="E1750" t="inlineStr">
        <is>
          <t>UPPSALA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17264-2021</t>
        </is>
      </c>
      <c r="B1751" s="1" t="n">
        <v>44298</v>
      </c>
      <c r="C1751" s="1" t="n">
        <v>45706</v>
      </c>
      <c r="D1751" t="inlineStr">
        <is>
          <t>UPPSALA LÄN</t>
        </is>
      </c>
      <c r="E1751" t="inlineStr">
        <is>
          <t>ENKÖPING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17268-2021</t>
        </is>
      </c>
      <c r="B1752" s="1" t="n">
        <v>44298</v>
      </c>
      <c r="C1752" s="1" t="n">
        <v>45706</v>
      </c>
      <c r="D1752" t="inlineStr">
        <is>
          <t>UPPSALA LÄN</t>
        </is>
      </c>
      <c r="E1752" t="inlineStr">
        <is>
          <t>ENKÖPING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17349-2021</t>
        </is>
      </c>
      <c r="B1753" s="1" t="n">
        <v>44298</v>
      </c>
      <c r="C1753" s="1" t="n">
        <v>45706</v>
      </c>
      <c r="D1753" t="inlineStr">
        <is>
          <t>UPPSALA LÄN</t>
        </is>
      </c>
      <c r="E1753" t="inlineStr">
        <is>
          <t>ÖSTHAMMAR</t>
        </is>
      </c>
      <c r="F1753" t="inlineStr">
        <is>
          <t>Bergvik skog öst AB</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17536-2021</t>
        </is>
      </c>
      <c r="B1754" s="1" t="n">
        <v>44299</v>
      </c>
      <c r="C1754" s="1" t="n">
        <v>45706</v>
      </c>
      <c r="D1754" t="inlineStr">
        <is>
          <t>UPPSALA LÄN</t>
        </is>
      </c>
      <c r="E1754" t="inlineStr">
        <is>
          <t>UPPSALA</t>
        </is>
      </c>
      <c r="F1754" t="inlineStr">
        <is>
          <t>Holmen skog AB</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17580-2021</t>
        </is>
      </c>
      <c r="B1755" s="1" t="n">
        <v>44299</v>
      </c>
      <c r="C1755" s="1" t="n">
        <v>45706</v>
      </c>
      <c r="D1755" t="inlineStr">
        <is>
          <t>UPPSALA LÄN</t>
        </is>
      </c>
      <c r="E1755" t="inlineStr">
        <is>
          <t>HEBY</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17747-2021</t>
        </is>
      </c>
      <c r="B1756" s="1" t="n">
        <v>44300</v>
      </c>
      <c r="C1756" s="1" t="n">
        <v>45706</v>
      </c>
      <c r="D1756" t="inlineStr">
        <is>
          <t>UPPSALA LÄN</t>
        </is>
      </c>
      <c r="E1756" t="inlineStr">
        <is>
          <t>HEBY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18037-2021</t>
        </is>
      </c>
      <c r="B1757" s="1" t="n">
        <v>44301</v>
      </c>
      <c r="C1757" s="1" t="n">
        <v>45706</v>
      </c>
      <c r="D1757" t="inlineStr">
        <is>
          <t>UPPSALA LÄN</t>
        </is>
      </c>
      <c r="E1757" t="inlineStr">
        <is>
          <t>ENKÖPING</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18328-2021</t>
        </is>
      </c>
      <c r="B1758" s="1" t="n">
        <v>44305</v>
      </c>
      <c r="C1758" s="1" t="n">
        <v>45706</v>
      </c>
      <c r="D1758" t="inlineStr">
        <is>
          <t>UPPSALA LÄN</t>
        </is>
      </c>
      <c r="E1758" t="inlineStr">
        <is>
          <t>ENKÖPING</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18584-2021</t>
        </is>
      </c>
      <c r="B1759" s="1" t="n">
        <v>44306</v>
      </c>
      <c r="C1759" s="1" t="n">
        <v>45706</v>
      </c>
      <c r="D1759" t="inlineStr">
        <is>
          <t>UPPSALA LÄN</t>
        </is>
      </c>
      <c r="E1759" t="inlineStr">
        <is>
          <t>ENKÖPING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18592-2021</t>
        </is>
      </c>
      <c r="B1760" s="1" t="n">
        <v>44306</v>
      </c>
      <c r="C1760" s="1" t="n">
        <v>45706</v>
      </c>
      <c r="D1760" t="inlineStr">
        <is>
          <t>UPPSALA LÄN</t>
        </is>
      </c>
      <c r="E1760" t="inlineStr">
        <is>
          <t>ENKÖPING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18583-2021</t>
        </is>
      </c>
      <c r="B1761" s="1" t="n">
        <v>44306</v>
      </c>
      <c r="C1761" s="1" t="n">
        <v>45706</v>
      </c>
      <c r="D1761" t="inlineStr">
        <is>
          <t>UPPSALA LÄN</t>
        </is>
      </c>
      <c r="E1761" t="inlineStr">
        <is>
          <t>ENKÖPING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18897-2021</t>
        </is>
      </c>
      <c r="B1762" s="1" t="n">
        <v>44308</v>
      </c>
      <c r="C1762" s="1" t="n">
        <v>45706</v>
      </c>
      <c r="D1762" t="inlineStr">
        <is>
          <t>UPPSALA LÄN</t>
        </is>
      </c>
      <c r="E1762" t="inlineStr">
        <is>
          <t>KNIVSTA</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18906-2021</t>
        </is>
      </c>
      <c r="B1763" s="1" t="n">
        <v>44308</v>
      </c>
      <c r="C1763" s="1" t="n">
        <v>45706</v>
      </c>
      <c r="D1763" t="inlineStr">
        <is>
          <t>UPPSALA LÄN</t>
        </is>
      </c>
      <c r="E1763" t="inlineStr">
        <is>
          <t>UPPSALA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18944-2021</t>
        </is>
      </c>
      <c r="B1764" s="1" t="n">
        <v>44308</v>
      </c>
      <c r="C1764" s="1" t="n">
        <v>45706</v>
      </c>
      <c r="D1764" t="inlineStr">
        <is>
          <t>UPPSALA LÄN</t>
        </is>
      </c>
      <c r="E1764" t="inlineStr">
        <is>
          <t>ÖSTHAMMAR</t>
        </is>
      </c>
      <c r="F1764" t="inlineStr">
        <is>
          <t>Bergvik skog öst AB</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18982-2021</t>
        </is>
      </c>
      <c r="B1765" s="1" t="n">
        <v>44308</v>
      </c>
      <c r="C1765" s="1" t="n">
        <v>45706</v>
      </c>
      <c r="D1765" t="inlineStr">
        <is>
          <t>UPPSALA LÄN</t>
        </is>
      </c>
      <c r="E1765" t="inlineStr">
        <is>
          <t>HEBY</t>
        </is>
      </c>
      <c r="F1765" t="inlineStr">
        <is>
          <t>Kommuner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18996-2021</t>
        </is>
      </c>
      <c r="B1766" s="1" t="n">
        <v>44308</v>
      </c>
      <c r="C1766" s="1" t="n">
        <v>45706</v>
      </c>
      <c r="D1766" t="inlineStr">
        <is>
          <t>UPPSALA LÄN</t>
        </is>
      </c>
      <c r="E1766" t="inlineStr">
        <is>
          <t>TIERP</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20326-2021</t>
        </is>
      </c>
      <c r="B1767" s="1" t="n">
        <v>44308</v>
      </c>
      <c r="C1767" s="1" t="n">
        <v>45706</v>
      </c>
      <c r="D1767" t="inlineStr">
        <is>
          <t>UPPSALA LÄN</t>
        </is>
      </c>
      <c r="E1767" t="inlineStr">
        <is>
          <t>ÖSTHAMMAR</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20325-2021</t>
        </is>
      </c>
      <c r="B1768" s="1" t="n">
        <v>44308</v>
      </c>
      <c r="C1768" s="1" t="n">
        <v>45706</v>
      </c>
      <c r="D1768" t="inlineStr">
        <is>
          <t>UPPSALA LÄN</t>
        </is>
      </c>
      <c r="E1768" t="inlineStr">
        <is>
          <t>ÖSTHAMMAR</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20324-2021</t>
        </is>
      </c>
      <c r="B1769" s="1" t="n">
        <v>44308</v>
      </c>
      <c r="C1769" s="1" t="n">
        <v>45706</v>
      </c>
      <c r="D1769" t="inlineStr">
        <is>
          <t>UPPSALA LÄN</t>
        </is>
      </c>
      <c r="E1769" t="inlineStr">
        <is>
          <t>ÖSTHAMMAR</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19214-2021</t>
        </is>
      </c>
      <c r="B1770" s="1" t="n">
        <v>44309</v>
      </c>
      <c r="C1770" s="1" t="n">
        <v>45706</v>
      </c>
      <c r="D1770" t="inlineStr">
        <is>
          <t>UPPSALA LÄN</t>
        </is>
      </c>
      <c r="E1770" t="inlineStr">
        <is>
          <t>ÖSTHAMMAR</t>
        </is>
      </c>
      <c r="F1770" t="inlineStr">
        <is>
          <t>Bergvik skog öst AB</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19268-2021</t>
        </is>
      </c>
      <c r="B1771" s="1" t="n">
        <v>44309</v>
      </c>
      <c r="C1771" s="1" t="n">
        <v>45706</v>
      </c>
      <c r="D1771" t="inlineStr">
        <is>
          <t>UPPSALA LÄN</t>
        </is>
      </c>
      <c r="E1771" t="inlineStr">
        <is>
          <t>HEBY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19222-2021</t>
        </is>
      </c>
      <c r="B1772" s="1" t="n">
        <v>44309</v>
      </c>
      <c r="C1772" s="1" t="n">
        <v>45706</v>
      </c>
      <c r="D1772" t="inlineStr">
        <is>
          <t>UPPSALA LÄN</t>
        </is>
      </c>
      <c r="E1772" t="inlineStr">
        <is>
          <t>TIERP</t>
        </is>
      </c>
      <c r="F1772" t="inlineStr">
        <is>
          <t>Bergvik skog väst AB</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19630-2021</t>
        </is>
      </c>
      <c r="B1773" s="1" t="n">
        <v>44312</v>
      </c>
      <c r="C1773" s="1" t="n">
        <v>45706</v>
      </c>
      <c r="D1773" t="inlineStr">
        <is>
          <t>UPPSALA LÄN</t>
        </is>
      </c>
      <c r="E1773" t="inlineStr">
        <is>
          <t>ENKÖPING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19552-2021</t>
        </is>
      </c>
      <c r="B1774" s="1" t="n">
        <v>44312</v>
      </c>
      <c r="C1774" s="1" t="n">
        <v>45706</v>
      </c>
      <c r="D1774" t="inlineStr">
        <is>
          <t>UPPSALA LÄN</t>
        </is>
      </c>
      <c r="E1774" t="inlineStr">
        <is>
          <t>ÖSTHAMMAR</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19927-2021</t>
        </is>
      </c>
      <c r="B1775" s="1" t="n">
        <v>44313</v>
      </c>
      <c r="C1775" s="1" t="n">
        <v>45706</v>
      </c>
      <c r="D1775" t="inlineStr">
        <is>
          <t>UPPSALA LÄN</t>
        </is>
      </c>
      <c r="E1775" t="inlineStr">
        <is>
          <t>UPPSALA</t>
        </is>
      </c>
      <c r="F1775" t="inlineStr">
        <is>
          <t>Bergvik skog öst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19796-2021</t>
        </is>
      </c>
      <c r="B1776" s="1" t="n">
        <v>44313</v>
      </c>
      <c r="C1776" s="1" t="n">
        <v>45706</v>
      </c>
      <c r="D1776" t="inlineStr">
        <is>
          <t>UPPSALA LÄN</t>
        </is>
      </c>
      <c r="E1776" t="inlineStr">
        <is>
          <t>KNIVSTA</t>
        </is>
      </c>
      <c r="G1776" t="n">
        <v>14.6</v>
      </c>
      <c r="H1776" t="n">
        <v>0</v>
      </c>
      <c r="I1776" t="n">
        <v>0</v>
      </c>
      <c r="J1776" t="n">
        <v>0</v>
      </c>
      <c r="K1776" t="n">
        <v>0</v>
      </c>
      <c r="L1776" t="n">
        <v>0</v>
      </c>
      <c r="M1776" t="n">
        <v>0</v>
      </c>
      <c r="N1776" t="n">
        <v>0</v>
      </c>
      <c r="O1776" t="n">
        <v>0</v>
      </c>
      <c r="P1776" t="n">
        <v>0</v>
      </c>
      <c r="Q1776" t="n">
        <v>0</v>
      </c>
      <c r="R1776" s="2" t="inlineStr"/>
    </row>
    <row r="1777" ht="15" customHeight="1">
      <c r="A1777" t="inlineStr">
        <is>
          <t>A 19947-2021</t>
        </is>
      </c>
      <c r="B1777" s="1" t="n">
        <v>44313</v>
      </c>
      <c r="C1777" s="1" t="n">
        <v>45706</v>
      </c>
      <c r="D1777" t="inlineStr">
        <is>
          <t>UPPSALA LÄN</t>
        </is>
      </c>
      <c r="E1777" t="inlineStr">
        <is>
          <t>UPPSALA</t>
        </is>
      </c>
      <c r="F1777" t="inlineStr">
        <is>
          <t>Bergvik skog öst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20505-2021</t>
        </is>
      </c>
      <c r="B1778" s="1" t="n">
        <v>44313</v>
      </c>
      <c r="C1778" s="1" t="n">
        <v>45706</v>
      </c>
      <c r="D1778" t="inlineStr">
        <is>
          <t>UPPSALA LÄN</t>
        </is>
      </c>
      <c r="E1778" t="inlineStr">
        <is>
          <t>KNIVSTA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20024-2021</t>
        </is>
      </c>
      <c r="B1779" s="1" t="n">
        <v>44314</v>
      </c>
      <c r="C1779" s="1" t="n">
        <v>45706</v>
      </c>
      <c r="D1779" t="inlineStr">
        <is>
          <t>UPPSALA LÄN</t>
        </is>
      </c>
      <c r="E1779" t="inlineStr">
        <is>
          <t>HEBY</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20067-2021</t>
        </is>
      </c>
      <c r="B1780" s="1" t="n">
        <v>44314</v>
      </c>
      <c r="C1780" s="1" t="n">
        <v>45706</v>
      </c>
      <c r="D1780" t="inlineStr">
        <is>
          <t>UPPSALA LÄN</t>
        </is>
      </c>
      <c r="E1780" t="inlineStr">
        <is>
          <t>ENKÖPING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20276-2021</t>
        </is>
      </c>
      <c r="B1781" s="1" t="n">
        <v>44314</v>
      </c>
      <c r="C1781" s="1" t="n">
        <v>45706</v>
      </c>
      <c r="D1781" t="inlineStr">
        <is>
          <t>UPPSALA LÄN</t>
        </is>
      </c>
      <c r="E1781" t="inlineStr">
        <is>
          <t>UPPSALA</t>
        </is>
      </c>
      <c r="F1781" t="inlineStr">
        <is>
          <t>Bergvik skog öst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20271-2021</t>
        </is>
      </c>
      <c r="B1782" s="1" t="n">
        <v>44314</v>
      </c>
      <c r="C1782" s="1" t="n">
        <v>45706</v>
      </c>
      <c r="D1782" t="inlineStr">
        <is>
          <t>UPPSALA LÄN</t>
        </is>
      </c>
      <c r="E1782" t="inlineStr">
        <is>
          <t>UPPSALA</t>
        </is>
      </c>
      <c r="F1782" t="inlineStr">
        <is>
          <t>Bergvik skog öst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20230-2021</t>
        </is>
      </c>
      <c r="B1783" s="1" t="n">
        <v>44314</v>
      </c>
      <c r="C1783" s="1" t="n">
        <v>45706</v>
      </c>
      <c r="D1783" t="inlineStr">
        <is>
          <t>UPPSALA LÄN</t>
        </is>
      </c>
      <c r="E1783" t="inlineStr">
        <is>
          <t>HEBY</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20301-2021</t>
        </is>
      </c>
      <c r="B1784" s="1" t="n">
        <v>44315</v>
      </c>
      <c r="C1784" s="1" t="n">
        <v>45706</v>
      </c>
      <c r="D1784" t="inlineStr">
        <is>
          <t>UPPSALA LÄN</t>
        </is>
      </c>
      <c r="E1784" t="inlineStr">
        <is>
          <t>HEBY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20609-2021</t>
        </is>
      </c>
      <c r="B1785" s="1" t="n">
        <v>44316</v>
      </c>
      <c r="C1785" s="1" t="n">
        <v>45706</v>
      </c>
      <c r="D1785" t="inlineStr">
        <is>
          <t>UPPSALA LÄN</t>
        </is>
      </c>
      <c r="E1785" t="inlineStr">
        <is>
          <t>UPPSALA</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20827-2021</t>
        </is>
      </c>
      <c r="B1786" s="1" t="n">
        <v>44318</v>
      </c>
      <c r="C1786" s="1" t="n">
        <v>45706</v>
      </c>
      <c r="D1786" t="inlineStr">
        <is>
          <t>UPPSALA LÄN</t>
        </is>
      </c>
      <c r="E1786" t="inlineStr">
        <is>
          <t>KNIVSTA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22057-2021</t>
        </is>
      </c>
      <c r="B1787" s="1" t="n">
        <v>44323</v>
      </c>
      <c r="C1787" s="1" t="n">
        <v>45706</v>
      </c>
      <c r="D1787" t="inlineStr">
        <is>
          <t>UPPSALA LÄN</t>
        </is>
      </c>
      <c r="E1787" t="inlineStr">
        <is>
          <t>ENKÖPING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22070-2021</t>
        </is>
      </c>
      <c r="B1788" s="1" t="n">
        <v>44323</v>
      </c>
      <c r="C1788" s="1" t="n">
        <v>45706</v>
      </c>
      <c r="D1788" t="inlineStr">
        <is>
          <t>UPPSALA LÄN</t>
        </is>
      </c>
      <c r="E1788" t="inlineStr">
        <is>
          <t>UPPSALA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21967-2021</t>
        </is>
      </c>
      <c r="B1789" s="1" t="n">
        <v>44323</v>
      </c>
      <c r="C1789" s="1" t="n">
        <v>45706</v>
      </c>
      <c r="D1789" t="inlineStr">
        <is>
          <t>UPPSALA LÄN</t>
        </is>
      </c>
      <c r="E1789" t="inlineStr">
        <is>
          <t>TIERP</t>
        </is>
      </c>
      <c r="F1789" t="inlineStr">
        <is>
          <t>Bergvik skog väst AB</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22058-2021</t>
        </is>
      </c>
      <c r="B1790" s="1" t="n">
        <v>44323</v>
      </c>
      <c r="C1790" s="1" t="n">
        <v>45706</v>
      </c>
      <c r="D1790" t="inlineStr">
        <is>
          <t>UPPSALA LÄN</t>
        </is>
      </c>
      <c r="E1790" t="inlineStr">
        <is>
          <t>ENKÖPING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22709-2021</t>
        </is>
      </c>
      <c r="B1791" s="1" t="n">
        <v>44327</v>
      </c>
      <c r="C1791" s="1" t="n">
        <v>45706</v>
      </c>
      <c r="D1791" t="inlineStr">
        <is>
          <t>UPPSALA LÄN</t>
        </is>
      </c>
      <c r="E1791" t="inlineStr">
        <is>
          <t>ÖSTHAMMAR</t>
        </is>
      </c>
      <c r="F1791" t="inlineStr">
        <is>
          <t>Bergvik skog öst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22946-2021</t>
        </is>
      </c>
      <c r="B1792" s="1" t="n">
        <v>44328</v>
      </c>
      <c r="C1792" s="1" t="n">
        <v>45706</v>
      </c>
      <c r="D1792" t="inlineStr">
        <is>
          <t>UPPSALA LÄN</t>
        </is>
      </c>
      <c r="E1792" t="inlineStr">
        <is>
          <t>UPPSALA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23120-2021</t>
        </is>
      </c>
      <c r="B1793" s="1" t="n">
        <v>44330</v>
      </c>
      <c r="C1793" s="1" t="n">
        <v>45706</v>
      </c>
      <c r="D1793" t="inlineStr">
        <is>
          <t>UPPSALA LÄN</t>
        </is>
      </c>
      <c r="E1793" t="inlineStr">
        <is>
          <t>ÖSTHAMMAR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23380-2021</t>
        </is>
      </c>
      <c r="B1794" s="1" t="n">
        <v>44333</v>
      </c>
      <c r="C1794" s="1" t="n">
        <v>45706</v>
      </c>
      <c r="D1794" t="inlineStr">
        <is>
          <t>UPPSALA LÄN</t>
        </is>
      </c>
      <c r="E1794" t="inlineStr">
        <is>
          <t>TIERP</t>
        </is>
      </c>
      <c r="F1794" t="inlineStr">
        <is>
          <t>Bergvik skog väst AB</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23637-2021</t>
        </is>
      </c>
      <c r="B1795" s="1" t="n">
        <v>44334</v>
      </c>
      <c r="C1795" s="1" t="n">
        <v>45706</v>
      </c>
      <c r="D1795" t="inlineStr">
        <is>
          <t>UPPSALA LÄN</t>
        </is>
      </c>
      <c r="E1795" t="inlineStr">
        <is>
          <t>HEBY</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23828-2021</t>
        </is>
      </c>
      <c r="B1796" s="1" t="n">
        <v>44335</v>
      </c>
      <c r="C1796" s="1" t="n">
        <v>45706</v>
      </c>
      <c r="D1796" t="inlineStr">
        <is>
          <t>UPPSALA LÄN</t>
        </is>
      </c>
      <c r="E1796" t="inlineStr">
        <is>
          <t>TIERP</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23835-2021</t>
        </is>
      </c>
      <c r="B1797" s="1" t="n">
        <v>44335</v>
      </c>
      <c r="C1797" s="1" t="n">
        <v>45706</v>
      </c>
      <c r="D1797" t="inlineStr">
        <is>
          <t>UPPSALA LÄN</t>
        </is>
      </c>
      <c r="E1797" t="inlineStr">
        <is>
          <t>TIERP</t>
        </is>
      </c>
      <c r="F1797" t="inlineStr">
        <is>
          <t>Bergvik skog väst AB</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23877-2021</t>
        </is>
      </c>
      <c r="B1798" s="1" t="n">
        <v>44335</v>
      </c>
      <c r="C1798" s="1" t="n">
        <v>45706</v>
      </c>
      <c r="D1798" t="inlineStr">
        <is>
          <t>UPPSALA LÄN</t>
        </is>
      </c>
      <c r="E1798" t="inlineStr">
        <is>
          <t>UPPSALA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24062-2021</t>
        </is>
      </c>
      <c r="B1799" s="1" t="n">
        <v>44336</v>
      </c>
      <c r="C1799" s="1" t="n">
        <v>45706</v>
      </c>
      <c r="D1799" t="inlineStr">
        <is>
          <t>UPPSALA LÄN</t>
        </is>
      </c>
      <c r="E1799" t="inlineStr">
        <is>
          <t>ÖSTHAMMAR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24278-2021</t>
        </is>
      </c>
      <c r="B1800" s="1" t="n">
        <v>44337</v>
      </c>
      <c r="C1800" s="1" t="n">
        <v>45706</v>
      </c>
      <c r="D1800" t="inlineStr">
        <is>
          <t>UPPSALA LÄN</t>
        </is>
      </c>
      <c r="E1800" t="inlineStr">
        <is>
          <t>TIERP</t>
        </is>
      </c>
      <c r="F1800" t="inlineStr">
        <is>
          <t>Bergvik skog väst AB</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24276-2021</t>
        </is>
      </c>
      <c r="B1801" s="1" t="n">
        <v>44337</v>
      </c>
      <c r="C1801" s="1" t="n">
        <v>45706</v>
      </c>
      <c r="D1801" t="inlineStr">
        <is>
          <t>UPPSALA LÄN</t>
        </is>
      </c>
      <c r="E1801" t="inlineStr">
        <is>
          <t>TIERP</t>
        </is>
      </c>
      <c r="F1801" t="inlineStr">
        <is>
          <t>Bergvik skog väst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24316-2021</t>
        </is>
      </c>
      <c r="B1802" s="1" t="n">
        <v>44337</v>
      </c>
      <c r="C1802" s="1" t="n">
        <v>45706</v>
      </c>
      <c r="D1802" t="inlineStr">
        <is>
          <t>UPPSALA LÄN</t>
        </is>
      </c>
      <c r="E1802" t="inlineStr">
        <is>
          <t>ÖSTHAMMAR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24431-2021</t>
        </is>
      </c>
      <c r="B1803" s="1" t="n">
        <v>44337</v>
      </c>
      <c r="C1803" s="1" t="n">
        <v>45706</v>
      </c>
      <c r="D1803" t="inlineStr">
        <is>
          <t>UPPSALA LÄN</t>
        </is>
      </c>
      <c r="E1803" t="inlineStr">
        <is>
          <t>TIERP</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24399-2021</t>
        </is>
      </c>
      <c r="B1804" s="1" t="n">
        <v>44337</v>
      </c>
      <c r="C1804" s="1" t="n">
        <v>45706</v>
      </c>
      <c r="D1804" t="inlineStr">
        <is>
          <t>UPPSALA LÄN</t>
        </is>
      </c>
      <c r="E1804" t="inlineStr">
        <is>
          <t>ENKÖPING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25033-2021</t>
        </is>
      </c>
      <c r="B1805" s="1" t="n">
        <v>44341</v>
      </c>
      <c r="C1805" s="1" t="n">
        <v>45706</v>
      </c>
      <c r="D1805" t="inlineStr">
        <is>
          <t>UPPSALA LÄN</t>
        </is>
      </c>
      <c r="E1805" t="inlineStr">
        <is>
          <t>ÖSTHAMMAR</t>
        </is>
      </c>
      <c r="F1805" t="inlineStr">
        <is>
          <t>Bergvik skog öst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25378-2021</t>
        </is>
      </c>
      <c r="B1806" s="1" t="n">
        <v>44342</v>
      </c>
      <c r="C1806" s="1" t="n">
        <v>45706</v>
      </c>
      <c r="D1806" t="inlineStr">
        <is>
          <t>UPPSALA LÄN</t>
        </is>
      </c>
      <c r="E1806" t="inlineStr">
        <is>
          <t>ÖSTHAMMAR</t>
        </is>
      </c>
      <c r="F1806" t="inlineStr">
        <is>
          <t>Övriga Aktiebolag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25203-2021</t>
        </is>
      </c>
      <c r="B1807" s="1" t="n">
        <v>44342</v>
      </c>
      <c r="C1807" s="1" t="n">
        <v>45706</v>
      </c>
      <c r="D1807" t="inlineStr">
        <is>
          <t>UPPSALA LÄN</t>
        </is>
      </c>
      <c r="E1807" t="inlineStr">
        <is>
          <t>HEBY</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25259-2021</t>
        </is>
      </c>
      <c r="B1808" s="1" t="n">
        <v>44342</v>
      </c>
      <c r="C1808" s="1" t="n">
        <v>45706</v>
      </c>
      <c r="D1808" t="inlineStr">
        <is>
          <t>UPPSALA LÄN</t>
        </is>
      </c>
      <c r="E1808" t="inlineStr">
        <is>
          <t>KNIVSTA</t>
        </is>
      </c>
      <c r="F1808" t="inlineStr">
        <is>
          <t>Holmen skog AB</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25359-2021</t>
        </is>
      </c>
      <c r="B1809" s="1" t="n">
        <v>44342</v>
      </c>
      <c r="C1809" s="1" t="n">
        <v>45706</v>
      </c>
      <c r="D1809" t="inlineStr">
        <is>
          <t>UPPSALA LÄN</t>
        </is>
      </c>
      <c r="E1809" t="inlineStr">
        <is>
          <t>KNIVSTA</t>
        </is>
      </c>
      <c r="F1809" t="inlineStr">
        <is>
          <t>Holmen skog AB</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25395-2021</t>
        </is>
      </c>
      <c r="B1810" s="1" t="n">
        <v>44342</v>
      </c>
      <c r="C1810" s="1" t="n">
        <v>45706</v>
      </c>
      <c r="D1810" t="inlineStr">
        <is>
          <t>UPPSALA LÄN</t>
        </is>
      </c>
      <c r="E1810" t="inlineStr">
        <is>
          <t>ÖSTHAMMAR</t>
        </is>
      </c>
      <c r="F1810" t="inlineStr">
        <is>
          <t>Övriga Aktiebolag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25613-2021</t>
        </is>
      </c>
      <c r="B1811" s="1" t="n">
        <v>44343</v>
      </c>
      <c r="C1811" s="1" t="n">
        <v>45706</v>
      </c>
      <c r="D1811" t="inlineStr">
        <is>
          <t>UPPSALA LÄN</t>
        </is>
      </c>
      <c r="E1811" t="inlineStr">
        <is>
          <t>UPPSALA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25598-2021</t>
        </is>
      </c>
      <c r="B1812" s="1" t="n">
        <v>44343</v>
      </c>
      <c r="C1812" s="1" t="n">
        <v>45706</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26301-2021</t>
        </is>
      </c>
      <c r="B1813" s="1" t="n">
        <v>44347</v>
      </c>
      <c r="C1813" s="1" t="n">
        <v>45706</v>
      </c>
      <c r="D1813" t="inlineStr">
        <is>
          <t>UPPSALA LÄN</t>
        </is>
      </c>
      <c r="E1813" t="inlineStr">
        <is>
          <t>TIERP</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26257-2021</t>
        </is>
      </c>
      <c r="B1814" s="1" t="n">
        <v>44347</v>
      </c>
      <c r="C1814" s="1" t="n">
        <v>45706</v>
      </c>
      <c r="D1814" t="inlineStr">
        <is>
          <t>UPPSALA LÄN</t>
        </is>
      </c>
      <c r="E1814" t="inlineStr">
        <is>
          <t>ÖSTHAMMAR</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26785-2021</t>
        </is>
      </c>
      <c r="B1815" s="1" t="n">
        <v>44349</v>
      </c>
      <c r="C1815" s="1" t="n">
        <v>45706</v>
      </c>
      <c r="D1815" t="inlineStr">
        <is>
          <t>UPPSALA LÄN</t>
        </is>
      </c>
      <c r="E1815" t="inlineStr">
        <is>
          <t>UPPSALA</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26789-2021</t>
        </is>
      </c>
      <c r="B1816" s="1" t="n">
        <v>44349</v>
      </c>
      <c r="C1816" s="1" t="n">
        <v>45706</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27365-2021</t>
        </is>
      </c>
      <c r="B1817" s="1" t="n">
        <v>44351</v>
      </c>
      <c r="C1817" s="1" t="n">
        <v>45706</v>
      </c>
      <c r="D1817" t="inlineStr">
        <is>
          <t>UPPSALA LÄN</t>
        </is>
      </c>
      <c r="E1817" t="inlineStr">
        <is>
          <t>UPPSALA</t>
        </is>
      </c>
      <c r="F1817" t="inlineStr">
        <is>
          <t>Allmännings- och besparingsskogar</t>
        </is>
      </c>
      <c r="G1817" t="n">
        <v>20.5</v>
      </c>
      <c r="H1817" t="n">
        <v>0</v>
      </c>
      <c r="I1817" t="n">
        <v>0</v>
      </c>
      <c r="J1817" t="n">
        <v>0</v>
      </c>
      <c r="K1817" t="n">
        <v>0</v>
      </c>
      <c r="L1817" t="n">
        <v>0</v>
      </c>
      <c r="M1817" t="n">
        <v>0</v>
      </c>
      <c r="N1817" t="n">
        <v>0</v>
      </c>
      <c r="O1817" t="n">
        <v>0</v>
      </c>
      <c r="P1817" t="n">
        <v>0</v>
      </c>
      <c r="Q1817" t="n">
        <v>0</v>
      </c>
      <c r="R1817" s="2" t="inlineStr"/>
    </row>
    <row r="1818" ht="15" customHeight="1">
      <c r="A1818" t="inlineStr">
        <is>
          <t>A 27295-2021</t>
        </is>
      </c>
      <c r="B1818" s="1" t="n">
        <v>44351</v>
      </c>
      <c r="C1818" s="1" t="n">
        <v>45706</v>
      </c>
      <c r="D1818" t="inlineStr">
        <is>
          <t>UPPSALA LÄN</t>
        </is>
      </c>
      <c r="E1818" t="inlineStr">
        <is>
          <t>HEBY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27676-2021</t>
        </is>
      </c>
      <c r="B1819" s="1" t="n">
        <v>44353</v>
      </c>
      <c r="C1819" s="1" t="n">
        <v>45706</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27650-2021</t>
        </is>
      </c>
      <c r="B1820" s="1" t="n">
        <v>44354</v>
      </c>
      <c r="C1820" s="1" t="n">
        <v>45706</v>
      </c>
      <c r="D1820" t="inlineStr">
        <is>
          <t>UPPSALA LÄN</t>
        </is>
      </c>
      <c r="E1820" t="inlineStr">
        <is>
          <t>HEBY</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27939-2021</t>
        </is>
      </c>
      <c r="B1821" s="1" t="n">
        <v>44354</v>
      </c>
      <c r="C1821" s="1" t="n">
        <v>45706</v>
      </c>
      <c r="D1821" t="inlineStr">
        <is>
          <t>UPPSALA LÄN</t>
        </is>
      </c>
      <c r="E1821" t="inlineStr">
        <is>
          <t>ÖSTHAMMAR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27940-2021</t>
        </is>
      </c>
      <c r="B1822" s="1" t="n">
        <v>44354</v>
      </c>
      <c r="C1822" s="1" t="n">
        <v>45706</v>
      </c>
      <c r="D1822" t="inlineStr">
        <is>
          <t>UPPSALA LÄN</t>
        </is>
      </c>
      <c r="E1822" t="inlineStr">
        <is>
          <t>ÖSTHAMMAR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28468-2021</t>
        </is>
      </c>
      <c r="B1823" s="1" t="n">
        <v>44356</v>
      </c>
      <c r="C1823" s="1" t="n">
        <v>45706</v>
      </c>
      <c r="D1823" t="inlineStr">
        <is>
          <t>UPPSALA LÄN</t>
        </is>
      </c>
      <c r="E1823" t="inlineStr">
        <is>
          <t>KNIVSTA</t>
        </is>
      </c>
      <c r="F1823" t="inlineStr">
        <is>
          <t>Holmen skog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28368-2021</t>
        </is>
      </c>
      <c r="B1824" s="1" t="n">
        <v>44356</v>
      </c>
      <c r="C1824" s="1" t="n">
        <v>45706</v>
      </c>
      <c r="D1824" t="inlineStr">
        <is>
          <t>UPPSALA LÄN</t>
        </is>
      </c>
      <c r="E1824" t="inlineStr">
        <is>
          <t>ENKÖPING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28694-2021</t>
        </is>
      </c>
      <c r="B1825" s="1" t="n">
        <v>44357</v>
      </c>
      <c r="C1825" s="1" t="n">
        <v>45706</v>
      </c>
      <c r="D1825" t="inlineStr">
        <is>
          <t>UPPSALA LÄN</t>
        </is>
      </c>
      <c r="E1825" t="inlineStr">
        <is>
          <t>UPPSALA</t>
        </is>
      </c>
      <c r="F1825" t="inlineStr">
        <is>
          <t>Holmen skog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28777-2021</t>
        </is>
      </c>
      <c r="B1826" s="1" t="n">
        <v>44357</v>
      </c>
      <c r="C1826" s="1" t="n">
        <v>45706</v>
      </c>
      <c r="D1826" t="inlineStr">
        <is>
          <t>UPPSALA LÄN</t>
        </is>
      </c>
      <c r="E1826" t="inlineStr">
        <is>
          <t>HEBY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28795-2021</t>
        </is>
      </c>
      <c r="B1827" s="1" t="n">
        <v>44357</v>
      </c>
      <c r="C1827" s="1" t="n">
        <v>45706</v>
      </c>
      <c r="D1827" t="inlineStr">
        <is>
          <t>UPPSALA LÄN</t>
        </is>
      </c>
      <c r="E1827" t="inlineStr">
        <is>
          <t>ENKÖPING</t>
        </is>
      </c>
      <c r="F1827" t="inlineStr">
        <is>
          <t>Allmännings- och besparingsskogar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28834-2021</t>
        </is>
      </c>
      <c r="B1828" s="1" t="n">
        <v>44357</v>
      </c>
      <c r="C1828" s="1" t="n">
        <v>45706</v>
      </c>
      <c r="D1828" t="inlineStr">
        <is>
          <t>UPPSALA LÄN</t>
        </is>
      </c>
      <c r="E1828" t="inlineStr">
        <is>
          <t>TIERP</t>
        </is>
      </c>
      <c r="F1828" t="inlineStr">
        <is>
          <t>Bergvik skog väst AB</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29082-2021</t>
        </is>
      </c>
      <c r="B1829" s="1" t="n">
        <v>44358</v>
      </c>
      <c r="C1829" s="1" t="n">
        <v>45706</v>
      </c>
      <c r="D1829" t="inlineStr">
        <is>
          <t>UPPSALA LÄN</t>
        </is>
      </c>
      <c r="E1829" t="inlineStr">
        <is>
          <t>TIERP</t>
        </is>
      </c>
      <c r="F1829" t="inlineStr">
        <is>
          <t>Bergvik skog väst AB</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29089-2021</t>
        </is>
      </c>
      <c r="B1830" s="1" t="n">
        <v>44358</v>
      </c>
      <c r="C1830" s="1" t="n">
        <v>45706</v>
      </c>
      <c r="D1830" t="inlineStr">
        <is>
          <t>UPPSALA LÄN</t>
        </is>
      </c>
      <c r="E1830" t="inlineStr">
        <is>
          <t>TIERP</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29145-2021</t>
        </is>
      </c>
      <c r="B1831" s="1" t="n">
        <v>44358</v>
      </c>
      <c r="C1831" s="1" t="n">
        <v>45706</v>
      </c>
      <c r="D1831" t="inlineStr">
        <is>
          <t>UPPSALA LÄN</t>
        </is>
      </c>
      <c r="E1831" t="inlineStr">
        <is>
          <t>UPPSALA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29231-2021</t>
        </is>
      </c>
      <c r="B1832" s="1" t="n">
        <v>44360</v>
      </c>
      <c r="C1832" s="1" t="n">
        <v>45706</v>
      </c>
      <c r="D1832" t="inlineStr">
        <is>
          <t>UPPSALA LÄN</t>
        </is>
      </c>
      <c r="E1832" t="inlineStr">
        <is>
          <t>HEBY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29282-2021</t>
        </is>
      </c>
      <c r="B1833" s="1" t="n">
        <v>44361</v>
      </c>
      <c r="C1833" s="1" t="n">
        <v>45706</v>
      </c>
      <c r="D1833" t="inlineStr">
        <is>
          <t>UPPSALA LÄN</t>
        </is>
      </c>
      <c r="E1833" t="inlineStr">
        <is>
          <t>ÖSTHAMMAR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29777-2021</t>
        </is>
      </c>
      <c r="B1834" s="1" t="n">
        <v>44362</v>
      </c>
      <c r="C1834" s="1" t="n">
        <v>45706</v>
      </c>
      <c r="D1834" t="inlineStr">
        <is>
          <t>UPPSALA LÄN</t>
        </is>
      </c>
      <c r="E1834" t="inlineStr">
        <is>
          <t>HEBY</t>
        </is>
      </c>
      <c r="F1834" t="inlineStr">
        <is>
          <t>Bergvik skog väst AB</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29983-2021</t>
        </is>
      </c>
      <c r="B1835" s="1" t="n">
        <v>44363</v>
      </c>
      <c r="C1835" s="1" t="n">
        <v>45706</v>
      </c>
      <c r="D1835" t="inlineStr">
        <is>
          <t>UPPSALA LÄN</t>
        </is>
      </c>
      <c r="E1835" t="inlineStr">
        <is>
          <t>ENKÖPING</t>
        </is>
      </c>
      <c r="F1835" t="inlineStr">
        <is>
          <t>Kommuner</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30304-2021</t>
        </is>
      </c>
      <c r="B1836" s="1" t="n">
        <v>44364</v>
      </c>
      <c r="C1836" s="1" t="n">
        <v>45706</v>
      </c>
      <c r="D1836" t="inlineStr">
        <is>
          <t>UPPSALA LÄN</t>
        </is>
      </c>
      <c r="E1836" t="inlineStr">
        <is>
          <t>HEBY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30297-2021</t>
        </is>
      </c>
      <c r="B1837" s="1" t="n">
        <v>44364</v>
      </c>
      <c r="C1837" s="1" t="n">
        <v>45706</v>
      </c>
      <c r="D1837" t="inlineStr">
        <is>
          <t>UPPSALA LÄN</t>
        </is>
      </c>
      <c r="E1837" t="inlineStr">
        <is>
          <t>HEBY</t>
        </is>
      </c>
      <c r="F1837" t="inlineStr">
        <is>
          <t>Övriga Aktiebolag</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30293-2021</t>
        </is>
      </c>
      <c r="B1838" s="1" t="n">
        <v>44364</v>
      </c>
      <c r="C1838" s="1" t="n">
        <v>45706</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30514-2021</t>
        </is>
      </c>
      <c r="B1839" s="1" t="n">
        <v>44364</v>
      </c>
      <c r="C1839" s="1" t="n">
        <v>45706</v>
      </c>
      <c r="D1839" t="inlineStr">
        <is>
          <t>UPPSALA LÄN</t>
        </is>
      </c>
      <c r="E1839" t="inlineStr">
        <is>
          <t>ENKÖPING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30655-2021</t>
        </is>
      </c>
      <c r="B1840" s="1" t="n">
        <v>44365</v>
      </c>
      <c r="C1840" s="1" t="n">
        <v>45706</v>
      </c>
      <c r="D1840" t="inlineStr">
        <is>
          <t>UPPSALA LÄN</t>
        </is>
      </c>
      <c r="E1840" t="inlineStr">
        <is>
          <t>UPPSALA</t>
        </is>
      </c>
      <c r="F1840" t="inlineStr">
        <is>
          <t>Holmen skog AB</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30656-2021</t>
        </is>
      </c>
      <c r="B1841" s="1" t="n">
        <v>44365</v>
      </c>
      <c r="C1841" s="1" t="n">
        <v>45706</v>
      </c>
      <c r="D1841" t="inlineStr">
        <is>
          <t>UPPSALA LÄN</t>
        </is>
      </c>
      <c r="E1841" t="inlineStr">
        <is>
          <t>UPPSALA</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30742-2021</t>
        </is>
      </c>
      <c r="B1842" s="1" t="n">
        <v>44365</v>
      </c>
      <c r="C1842" s="1" t="n">
        <v>45706</v>
      </c>
      <c r="D1842" t="inlineStr">
        <is>
          <t>UPPSALA LÄN</t>
        </is>
      </c>
      <c r="E1842" t="inlineStr">
        <is>
          <t>TIERP</t>
        </is>
      </c>
      <c r="F1842" t="inlineStr">
        <is>
          <t>Bergvik skog väst AB</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30927-2021</t>
        </is>
      </c>
      <c r="B1843" s="1" t="n">
        <v>44365</v>
      </c>
      <c r="C1843" s="1" t="n">
        <v>45706</v>
      </c>
      <c r="D1843" t="inlineStr">
        <is>
          <t>UPPSALA LÄN</t>
        </is>
      </c>
      <c r="E1843" t="inlineStr">
        <is>
          <t>ÖSTHAMMAR</t>
        </is>
      </c>
      <c r="F1843" t="inlineStr">
        <is>
          <t>Bergvik skog öst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30931-2021</t>
        </is>
      </c>
      <c r="B1844" s="1" t="n">
        <v>44365</v>
      </c>
      <c r="C1844" s="1" t="n">
        <v>45706</v>
      </c>
      <c r="D1844" t="inlineStr">
        <is>
          <t>UPPSALA LÄN</t>
        </is>
      </c>
      <c r="E1844" t="inlineStr">
        <is>
          <t>ÖSTHAMMAR</t>
        </is>
      </c>
      <c r="F1844" t="inlineStr">
        <is>
          <t>Bergvik skog öst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31108-2021</t>
        </is>
      </c>
      <c r="B1845" s="1" t="n">
        <v>44368</v>
      </c>
      <c r="C1845" s="1" t="n">
        <v>45706</v>
      </c>
      <c r="D1845" t="inlineStr">
        <is>
          <t>UPPSALA LÄN</t>
        </is>
      </c>
      <c r="E1845" t="inlineStr">
        <is>
          <t>HEBY</t>
        </is>
      </c>
      <c r="F1845" t="inlineStr">
        <is>
          <t>Bergvik skog öst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31143-2021</t>
        </is>
      </c>
      <c r="B1846" s="1" t="n">
        <v>44368</v>
      </c>
      <c r="C1846" s="1" t="n">
        <v>45706</v>
      </c>
      <c r="D1846" t="inlineStr">
        <is>
          <t>UPPSALA LÄN</t>
        </is>
      </c>
      <c r="E1846" t="inlineStr">
        <is>
          <t>KNIVSTA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31113-2021</t>
        </is>
      </c>
      <c r="B1847" s="1" t="n">
        <v>44368</v>
      </c>
      <c r="C1847" s="1" t="n">
        <v>45706</v>
      </c>
      <c r="D1847" t="inlineStr">
        <is>
          <t>UPPSALA LÄN</t>
        </is>
      </c>
      <c r="E1847" t="inlineStr">
        <is>
          <t>HEBY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31099-2021</t>
        </is>
      </c>
      <c r="B1848" s="1" t="n">
        <v>44368</v>
      </c>
      <c r="C1848" s="1" t="n">
        <v>45706</v>
      </c>
      <c r="D1848" t="inlineStr">
        <is>
          <t>UPPSALA LÄN</t>
        </is>
      </c>
      <c r="E1848" t="inlineStr">
        <is>
          <t>TIERP</t>
        </is>
      </c>
      <c r="F1848" t="inlineStr">
        <is>
          <t>Bergvik skog öst AB</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31112-2021</t>
        </is>
      </c>
      <c r="B1849" s="1" t="n">
        <v>44368</v>
      </c>
      <c r="C1849" s="1" t="n">
        <v>45706</v>
      </c>
      <c r="D1849" t="inlineStr">
        <is>
          <t>UPPSALA LÄN</t>
        </is>
      </c>
      <c r="E1849" t="inlineStr">
        <is>
          <t>ENKÖPING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31263-2021</t>
        </is>
      </c>
      <c r="B1850" s="1" t="n">
        <v>44368</v>
      </c>
      <c r="C1850" s="1" t="n">
        <v>45706</v>
      </c>
      <c r="D1850" t="inlineStr">
        <is>
          <t>UPPSALA LÄN</t>
        </is>
      </c>
      <c r="E1850" t="inlineStr">
        <is>
          <t>ÖSTHAMMAR</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31283-2021</t>
        </is>
      </c>
      <c r="B1851" s="1" t="n">
        <v>44368</v>
      </c>
      <c r="C1851" s="1" t="n">
        <v>45706</v>
      </c>
      <c r="D1851" t="inlineStr">
        <is>
          <t>UPPSALA LÄN</t>
        </is>
      </c>
      <c r="E1851" t="inlineStr">
        <is>
          <t>HEBY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31646-2021</t>
        </is>
      </c>
      <c r="B1852" s="1" t="n">
        <v>44369</v>
      </c>
      <c r="C1852" s="1" t="n">
        <v>45706</v>
      </c>
      <c r="D1852" t="inlineStr">
        <is>
          <t>UPPSALA LÄN</t>
        </is>
      </c>
      <c r="E1852" t="inlineStr">
        <is>
          <t>UPPSALA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31662-2021</t>
        </is>
      </c>
      <c r="B1853" s="1" t="n">
        <v>44369</v>
      </c>
      <c r="C1853" s="1" t="n">
        <v>45706</v>
      </c>
      <c r="D1853" t="inlineStr">
        <is>
          <t>UPPSALA LÄN</t>
        </is>
      </c>
      <c r="E1853" t="inlineStr">
        <is>
          <t>UPPSALA</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31829-2021</t>
        </is>
      </c>
      <c r="B1854" s="1" t="n">
        <v>44370</v>
      </c>
      <c r="C1854" s="1" t="n">
        <v>45706</v>
      </c>
      <c r="D1854" t="inlineStr">
        <is>
          <t>UPPSALA LÄN</t>
        </is>
      </c>
      <c r="E1854" t="inlineStr">
        <is>
          <t>UPPSALA</t>
        </is>
      </c>
      <c r="F1854" t="inlineStr">
        <is>
          <t>Bergvik skog öst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31965-2021</t>
        </is>
      </c>
      <c r="B1855" s="1" t="n">
        <v>44370</v>
      </c>
      <c r="C1855" s="1" t="n">
        <v>45706</v>
      </c>
      <c r="D1855" t="inlineStr">
        <is>
          <t>UPPSALA LÄN</t>
        </is>
      </c>
      <c r="E1855" t="inlineStr">
        <is>
          <t>ENKÖPING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32141-2021</t>
        </is>
      </c>
      <c r="B1856" s="1" t="n">
        <v>44370</v>
      </c>
      <c r="C1856" s="1" t="n">
        <v>45706</v>
      </c>
      <c r="D1856" t="inlineStr">
        <is>
          <t>UPPSALA LÄN</t>
        </is>
      </c>
      <c r="E1856" t="inlineStr">
        <is>
          <t>HEBY</t>
        </is>
      </c>
      <c r="F1856" t="inlineStr">
        <is>
          <t>Bergvik skog väst AB</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32207-2021</t>
        </is>
      </c>
      <c r="B1857" s="1" t="n">
        <v>44371</v>
      </c>
      <c r="C1857" s="1" t="n">
        <v>45706</v>
      </c>
      <c r="D1857" t="inlineStr">
        <is>
          <t>UPPSALA LÄN</t>
        </is>
      </c>
      <c r="E1857" t="inlineStr">
        <is>
          <t>TIERP</t>
        </is>
      </c>
      <c r="F1857" t="inlineStr">
        <is>
          <t>Bergvik skog väst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32276-2021</t>
        </is>
      </c>
      <c r="B1858" s="1" t="n">
        <v>44371</v>
      </c>
      <c r="C1858" s="1" t="n">
        <v>45706</v>
      </c>
      <c r="D1858" t="inlineStr">
        <is>
          <t>UPPSALA LÄN</t>
        </is>
      </c>
      <c r="E1858" t="inlineStr">
        <is>
          <t>UPPSALA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32221-2021</t>
        </is>
      </c>
      <c r="B1859" s="1" t="n">
        <v>44371</v>
      </c>
      <c r="C1859" s="1" t="n">
        <v>45706</v>
      </c>
      <c r="D1859" t="inlineStr">
        <is>
          <t>UPPSALA LÄN</t>
        </is>
      </c>
      <c r="E1859" t="inlineStr">
        <is>
          <t>HEBY</t>
        </is>
      </c>
      <c r="F1859" t="inlineStr">
        <is>
          <t>Bergvik skog väst AB</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32244-2021</t>
        </is>
      </c>
      <c r="B1860" s="1" t="n">
        <v>44371</v>
      </c>
      <c r="C1860" s="1" t="n">
        <v>45706</v>
      </c>
      <c r="D1860" t="inlineStr">
        <is>
          <t>UPPSALA LÄN</t>
        </is>
      </c>
      <c r="E1860" t="inlineStr">
        <is>
          <t>ÖSTHAMMAR</t>
        </is>
      </c>
      <c r="F1860" t="inlineStr">
        <is>
          <t>Bergvik skog öst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32428-2021</t>
        </is>
      </c>
      <c r="B1861" s="1" t="n">
        <v>44371</v>
      </c>
      <c r="C1861" s="1" t="n">
        <v>45706</v>
      </c>
      <c r="D1861" t="inlineStr">
        <is>
          <t>UPPSALA LÄN</t>
        </is>
      </c>
      <c r="E1861" t="inlineStr">
        <is>
          <t>UPPSALA</t>
        </is>
      </c>
      <c r="F1861" t="inlineStr">
        <is>
          <t>Bergvik skog öst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32939-2021</t>
        </is>
      </c>
      <c r="B1862" s="1" t="n">
        <v>44376</v>
      </c>
      <c r="C1862" s="1" t="n">
        <v>45706</v>
      </c>
      <c r="D1862" t="inlineStr">
        <is>
          <t>UPPSALA LÄN</t>
        </is>
      </c>
      <c r="E1862" t="inlineStr">
        <is>
          <t>ÖSTHAMMAR</t>
        </is>
      </c>
      <c r="F1862" t="inlineStr">
        <is>
          <t>Bergvik skog öst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32948-2021</t>
        </is>
      </c>
      <c r="B1863" s="1" t="n">
        <v>44376</v>
      </c>
      <c r="C1863" s="1" t="n">
        <v>45706</v>
      </c>
      <c r="D1863" t="inlineStr">
        <is>
          <t>UPPSALA LÄN</t>
        </is>
      </c>
      <c r="E1863" t="inlineStr">
        <is>
          <t>ÖSTHAMMAR</t>
        </is>
      </c>
      <c r="F1863" t="inlineStr">
        <is>
          <t>Bergvik skog öst AB</t>
        </is>
      </c>
      <c r="G1863" t="n">
        <v>13.5</v>
      </c>
      <c r="H1863" t="n">
        <v>0</v>
      </c>
      <c r="I1863" t="n">
        <v>0</v>
      </c>
      <c r="J1863" t="n">
        <v>0</v>
      </c>
      <c r="K1863" t="n">
        <v>0</v>
      </c>
      <c r="L1863" t="n">
        <v>0</v>
      </c>
      <c r="M1863" t="n">
        <v>0</v>
      </c>
      <c r="N1863" t="n">
        <v>0</v>
      </c>
      <c r="O1863" t="n">
        <v>0</v>
      </c>
      <c r="P1863" t="n">
        <v>0</v>
      </c>
      <c r="Q1863" t="n">
        <v>0</v>
      </c>
      <c r="R1863" s="2" t="inlineStr"/>
    </row>
    <row r="1864" ht="15" customHeight="1">
      <c r="A1864" t="inlineStr">
        <is>
          <t>A 32955-2021</t>
        </is>
      </c>
      <c r="B1864" s="1" t="n">
        <v>44376</v>
      </c>
      <c r="C1864" s="1" t="n">
        <v>45706</v>
      </c>
      <c r="D1864" t="inlineStr">
        <is>
          <t>UPPSALA LÄN</t>
        </is>
      </c>
      <c r="E1864" t="inlineStr">
        <is>
          <t>UPPSALA</t>
        </is>
      </c>
      <c r="F1864" t="inlineStr">
        <is>
          <t>Bergvik skog öst AB</t>
        </is>
      </c>
      <c r="G1864" t="n">
        <v>10</v>
      </c>
      <c r="H1864" t="n">
        <v>0</v>
      </c>
      <c r="I1864" t="n">
        <v>0</v>
      </c>
      <c r="J1864" t="n">
        <v>0</v>
      </c>
      <c r="K1864" t="n">
        <v>0</v>
      </c>
      <c r="L1864" t="n">
        <v>0</v>
      </c>
      <c r="M1864" t="n">
        <v>0</v>
      </c>
      <c r="N1864" t="n">
        <v>0</v>
      </c>
      <c r="O1864" t="n">
        <v>0</v>
      </c>
      <c r="P1864" t="n">
        <v>0</v>
      </c>
      <c r="Q1864" t="n">
        <v>0</v>
      </c>
      <c r="R1864" s="2" t="inlineStr"/>
    </row>
    <row r="1865" ht="15" customHeight="1">
      <c r="A1865" t="inlineStr">
        <is>
          <t>A 33062-2021</t>
        </is>
      </c>
      <c r="B1865" s="1" t="n">
        <v>44376</v>
      </c>
      <c r="C1865" s="1" t="n">
        <v>45706</v>
      </c>
      <c r="D1865" t="inlineStr">
        <is>
          <t>UPPSALA LÄN</t>
        </is>
      </c>
      <c r="E1865" t="inlineStr">
        <is>
          <t>ÖSTHAMMAR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32975-2021</t>
        </is>
      </c>
      <c r="B1866" s="1" t="n">
        <v>44376</v>
      </c>
      <c r="C1866" s="1" t="n">
        <v>45706</v>
      </c>
      <c r="D1866" t="inlineStr">
        <is>
          <t>UPPSALA LÄN</t>
        </is>
      </c>
      <c r="E1866" t="inlineStr">
        <is>
          <t>KNIVSTA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32995-2021</t>
        </is>
      </c>
      <c r="B1867" s="1" t="n">
        <v>44376</v>
      </c>
      <c r="C1867" s="1" t="n">
        <v>45706</v>
      </c>
      <c r="D1867" t="inlineStr">
        <is>
          <t>UPPSALA LÄN</t>
        </is>
      </c>
      <c r="E1867" t="inlineStr">
        <is>
          <t>TIERP</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33056-2021</t>
        </is>
      </c>
      <c r="B1868" s="1" t="n">
        <v>44376</v>
      </c>
      <c r="C1868" s="1" t="n">
        <v>45706</v>
      </c>
      <c r="D1868" t="inlineStr">
        <is>
          <t>UPPSALA LÄN</t>
        </is>
      </c>
      <c r="E1868" t="inlineStr">
        <is>
          <t>ÖSTHAMMAR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33271-2021</t>
        </is>
      </c>
      <c r="B1869" s="1" t="n">
        <v>44377</v>
      </c>
      <c r="C1869" s="1" t="n">
        <v>45706</v>
      </c>
      <c r="D1869" t="inlineStr">
        <is>
          <t>UPPSALA LÄN</t>
        </is>
      </c>
      <c r="E1869" t="inlineStr">
        <is>
          <t>ÖSTHAMMAR</t>
        </is>
      </c>
      <c r="F1869" t="inlineStr">
        <is>
          <t>Bergvik skog öst AB</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33797-2021</t>
        </is>
      </c>
      <c r="B1870" s="1" t="n">
        <v>44378</v>
      </c>
      <c r="C1870" s="1" t="n">
        <v>45706</v>
      </c>
      <c r="D1870" t="inlineStr">
        <is>
          <t>UPPSALA LÄN</t>
        </is>
      </c>
      <c r="E1870" t="inlineStr">
        <is>
          <t>UPPSALA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33920-2021</t>
        </is>
      </c>
      <c r="B1871" s="1" t="n">
        <v>44378</v>
      </c>
      <c r="C1871" s="1" t="n">
        <v>45706</v>
      </c>
      <c r="D1871" t="inlineStr">
        <is>
          <t>UPPSALA LÄN</t>
        </is>
      </c>
      <c r="E1871" t="inlineStr">
        <is>
          <t>UPPSALA</t>
        </is>
      </c>
      <c r="F1871" t="inlineStr">
        <is>
          <t>Bergvik skog öst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34039-2021</t>
        </is>
      </c>
      <c r="B1872" s="1" t="n">
        <v>44379</v>
      </c>
      <c r="C1872" s="1" t="n">
        <v>45706</v>
      </c>
      <c r="D1872" t="inlineStr">
        <is>
          <t>UPPSALA LÄN</t>
        </is>
      </c>
      <c r="E1872" t="inlineStr">
        <is>
          <t>UPPSALA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34043-2021</t>
        </is>
      </c>
      <c r="B1873" s="1" t="n">
        <v>44379</v>
      </c>
      <c r="C1873" s="1" t="n">
        <v>45706</v>
      </c>
      <c r="D1873" t="inlineStr">
        <is>
          <t>UPPSALA LÄN</t>
        </is>
      </c>
      <c r="E1873" t="inlineStr">
        <is>
          <t>UPPSALA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34265-2021</t>
        </is>
      </c>
      <c r="B1874" s="1" t="n">
        <v>44379</v>
      </c>
      <c r="C1874" s="1" t="n">
        <v>45706</v>
      </c>
      <c r="D1874" t="inlineStr">
        <is>
          <t>UPPSALA LÄN</t>
        </is>
      </c>
      <c r="E1874" t="inlineStr">
        <is>
          <t>UPPSALA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34249-2021</t>
        </is>
      </c>
      <c r="B1875" s="1" t="n">
        <v>44379</v>
      </c>
      <c r="C1875" s="1" t="n">
        <v>45706</v>
      </c>
      <c r="D1875" t="inlineStr">
        <is>
          <t>UPPSALA LÄN</t>
        </is>
      </c>
      <c r="E1875" t="inlineStr">
        <is>
          <t>UPPSALA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34243-2021</t>
        </is>
      </c>
      <c r="B1876" s="1" t="n">
        <v>44379</v>
      </c>
      <c r="C1876" s="1" t="n">
        <v>45706</v>
      </c>
      <c r="D1876" t="inlineStr">
        <is>
          <t>UPPSALA LÄN</t>
        </is>
      </c>
      <c r="E1876" t="inlineStr">
        <is>
          <t>UPPSALA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34263-2021</t>
        </is>
      </c>
      <c r="B1877" s="1" t="n">
        <v>44379</v>
      </c>
      <c r="C1877" s="1" t="n">
        <v>45706</v>
      </c>
      <c r="D1877" t="inlineStr">
        <is>
          <t>UPPSALA LÄN</t>
        </is>
      </c>
      <c r="E1877" t="inlineStr">
        <is>
          <t>UPPSALA</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34124-2021</t>
        </is>
      </c>
      <c r="B1878" s="1" t="n">
        <v>44379</v>
      </c>
      <c r="C1878" s="1" t="n">
        <v>45706</v>
      </c>
      <c r="D1878" t="inlineStr">
        <is>
          <t>UPPSALA LÄN</t>
        </is>
      </c>
      <c r="E1878" t="inlineStr">
        <is>
          <t>ENKÖPING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34494-2021</t>
        </is>
      </c>
      <c r="B1879" s="1" t="n">
        <v>44382</v>
      </c>
      <c r="C1879" s="1" t="n">
        <v>45706</v>
      </c>
      <c r="D1879" t="inlineStr">
        <is>
          <t>UPPSALA LÄN</t>
        </is>
      </c>
      <c r="E1879" t="inlineStr">
        <is>
          <t>HEBY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34648-2021</t>
        </is>
      </c>
      <c r="B1880" s="1" t="n">
        <v>44382</v>
      </c>
      <c r="C1880" s="1" t="n">
        <v>45706</v>
      </c>
      <c r="D1880" t="inlineStr">
        <is>
          <t>UPPSALA LÄN</t>
        </is>
      </c>
      <c r="E1880" t="inlineStr">
        <is>
          <t>TIERP</t>
        </is>
      </c>
      <c r="F1880" t="inlineStr">
        <is>
          <t>Bergvik skog väst AB</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34838-2021</t>
        </is>
      </c>
      <c r="B1881" s="1" t="n">
        <v>44383</v>
      </c>
      <c r="C1881" s="1" t="n">
        <v>45706</v>
      </c>
      <c r="D1881" t="inlineStr">
        <is>
          <t>UPPSALA LÄN</t>
        </is>
      </c>
      <c r="E1881" t="inlineStr">
        <is>
          <t>UPPSALA</t>
        </is>
      </c>
      <c r="F1881" t="inlineStr">
        <is>
          <t>Bergvik skog öst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34825-2021</t>
        </is>
      </c>
      <c r="B1882" s="1" t="n">
        <v>44383</v>
      </c>
      <c r="C1882" s="1" t="n">
        <v>45706</v>
      </c>
      <c r="D1882" t="inlineStr">
        <is>
          <t>UPPSALA LÄN</t>
        </is>
      </c>
      <c r="E1882" t="inlineStr">
        <is>
          <t>UPPSALA</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35232-2021</t>
        </is>
      </c>
      <c r="B1883" s="1" t="n">
        <v>44384</v>
      </c>
      <c r="C1883" s="1" t="n">
        <v>45706</v>
      </c>
      <c r="D1883" t="inlineStr">
        <is>
          <t>UPPSALA LÄN</t>
        </is>
      </c>
      <c r="E1883" t="inlineStr">
        <is>
          <t>KNIVSTA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35645-2021</t>
        </is>
      </c>
      <c r="B1884" s="1" t="n">
        <v>44386</v>
      </c>
      <c r="C1884" s="1" t="n">
        <v>45706</v>
      </c>
      <c r="D1884" t="inlineStr">
        <is>
          <t>UPPSALA LÄN</t>
        </is>
      </c>
      <c r="E1884" t="inlineStr">
        <is>
          <t>ENKÖPING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35643-2021</t>
        </is>
      </c>
      <c r="B1885" s="1" t="n">
        <v>44386</v>
      </c>
      <c r="C1885" s="1" t="n">
        <v>45706</v>
      </c>
      <c r="D1885" t="inlineStr">
        <is>
          <t>UPPSALA LÄN</t>
        </is>
      </c>
      <c r="E1885" t="inlineStr">
        <is>
          <t>ENKÖPING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35638-2021</t>
        </is>
      </c>
      <c r="B1886" s="1" t="n">
        <v>44386</v>
      </c>
      <c r="C1886" s="1" t="n">
        <v>45706</v>
      </c>
      <c r="D1886" t="inlineStr">
        <is>
          <t>UPPSALA LÄN</t>
        </is>
      </c>
      <c r="E1886" t="inlineStr">
        <is>
          <t>ENKÖPING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35647-2021</t>
        </is>
      </c>
      <c r="B1887" s="1" t="n">
        <v>44386</v>
      </c>
      <c r="C1887" s="1" t="n">
        <v>45706</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35630-2021</t>
        </is>
      </c>
      <c r="B1888" s="1" t="n">
        <v>44386</v>
      </c>
      <c r="C1888" s="1" t="n">
        <v>45706</v>
      </c>
      <c r="D1888" t="inlineStr">
        <is>
          <t>UPPSALA LÄN</t>
        </is>
      </c>
      <c r="E1888" t="inlineStr">
        <is>
          <t>UPPSALA</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35641-2021</t>
        </is>
      </c>
      <c r="B1889" s="1" t="n">
        <v>44386</v>
      </c>
      <c r="C1889" s="1" t="n">
        <v>45706</v>
      </c>
      <c r="D1889" t="inlineStr">
        <is>
          <t>UPPSALA LÄN</t>
        </is>
      </c>
      <c r="E1889" t="inlineStr">
        <is>
          <t>ENKÖPING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35632-2021</t>
        </is>
      </c>
      <c r="B1890" s="1" t="n">
        <v>44386</v>
      </c>
      <c r="C1890" s="1" t="n">
        <v>45706</v>
      </c>
      <c r="D1890" t="inlineStr">
        <is>
          <t>UPPSALA LÄN</t>
        </is>
      </c>
      <c r="E1890" t="inlineStr">
        <is>
          <t>ENKÖPING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36069-2021</t>
        </is>
      </c>
      <c r="B1891" s="1" t="n">
        <v>44389</v>
      </c>
      <c r="C1891" s="1" t="n">
        <v>45706</v>
      </c>
      <c r="D1891" t="inlineStr">
        <is>
          <t>UPPSALA LÄN</t>
        </is>
      </c>
      <c r="E1891" t="inlineStr">
        <is>
          <t>TIERP</t>
        </is>
      </c>
      <c r="F1891" t="inlineStr">
        <is>
          <t>Övriga Aktiebolag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36150-2021</t>
        </is>
      </c>
      <c r="B1892" s="1" t="n">
        <v>44389</v>
      </c>
      <c r="C1892" s="1" t="n">
        <v>45706</v>
      </c>
      <c r="D1892" t="inlineStr">
        <is>
          <t>UPPSALA LÄN</t>
        </is>
      </c>
      <c r="E1892" t="inlineStr">
        <is>
          <t>TIERP</t>
        </is>
      </c>
      <c r="F1892" t="inlineStr">
        <is>
          <t>Bergvik skog öst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36085-2021</t>
        </is>
      </c>
      <c r="B1893" s="1" t="n">
        <v>44389</v>
      </c>
      <c r="C1893" s="1" t="n">
        <v>45706</v>
      </c>
      <c r="D1893" t="inlineStr">
        <is>
          <t>UPPSALA LÄN</t>
        </is>
      </c>
      <c r="E1893" t="inlineStr">
        <is>
          <t>HEBY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36475-2021</t>
        </is>
      </c>
      <c r="B1894" s="1" t="n">
        <v>44390</v>
      </c>
      <c r="C1894" s="1" t="n">
        <v>45706</v>
      </c>
      <c r="D1894" t="inlineStr">
        <is>
          <t>UPPSALA LÄN</t>
        </is>
      </c>
      <c r="E1894" t="inlineStr">
        <is>
          <t>HEBY</t>
        </is>
      </c>
      <c r="F1894" t="inlineStr">
        <is>
          <t>Bergvik skog väst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36304-2021</t>
        </is>
      </c>
      <c r="B1895" s="1" t="n">
        <v>44390</v>
      </c>
      <c r="C1895" s="1" t="n">
        <v>45706</v>
      </c>
      <c r="D1895" t="inlineStr">
        <is>
          <t>UPPSALA LÄN</t>
        </is>
      </c>
      <c r="E1895" t="inlineStr">
        <is>
          <t>UPPSALA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36494-2021</t>
        </is>
      </c>
      <c r="B1896" s="1" t="n">
        <v>44391</v>
      </c>
      <c r="C1896" s="1" t="n">
        <v>45706</v>
      </c>
      <c r="D1896" t="inlineStr">
        <is>
          <t>UPPSALA LÄN</t>
        </is>
      </c>
      <c r="E1896" t="inlineStr">
        <is>
          <t>HEBY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36721-2021</t>
        </is>
      </c>
      <c r="B1897" s="1" t="n">
        <v>44392</v>
      </c>
      <c r="C1897" s="1" t="n">
        <v>45706</v>
      </c>
      <c r="D1897" t="inlineStr">
        <is>
          <t>UPPSALA LÄN</t>
        </is>
      </c>
      <c r="E1897" t="inlineStr">
        <is>
          <t>UPPSALA</t>
        </is>
      </c>
      <c r="F1897" t="inlineStr">
        <is>
          <t>Bergvik skog öst AB</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36998-2021</t>
        </is>
      </c>
      <c r="B1898" s="1" t="n">
        <v>44393</v>
      </c>
      <c r="C1898" s="1" t="n">
        <v>45706</v>
      </c>
      <c r="D1898" t="inlineStr">
        <is>
          <t>UPPSALA LÄN</t>
        </is>
      </c>
      <c r="E1898" t="inlineStr">
        <is>
          <t>UPPSALA</t>
        </is>
      </c>
      <c r="F1898" t="inlineStr">
        <is>
          <t>Bergvik skog öst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37162-2021</t>
        </is>
      </c>
      <c r="B1899" s="1" t="n">
        <v>44395</v>
      </c>
      <c r="C1899" s="1" t="n">
        <v>45706</v>
      </c>
      <c r="D1899" t="inlineStr">
        <is>
          <t>UPPSALA LÄN</t>
        </is>
      </c>
      <c r="E1899" t="inlineStr">
        <is>
          <t>UPPSALA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37170-2021</t>
        </is>
      </c>
      <c r="B1900" s="1" t="n">
        <v>44395</v>
      </c>
      <c r="C1900" s="1" t="n">
        <v>45706</v>
      </c>
      <c r="D1900" t="inlineStr">
        <is>
          <t>UPPSALA LÄN</t>
        </is>
      </c>
      <c r="E1900" t="inlineStr">
        <is>
          <t>ENKÖPING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37563-2021</t>
        </is>
      </c>
      <c r="B1901" s="1" t="n">
        <v>44399</v>
      </c>
      <c r="C1901" s="1" t="n">
        <v>45706</v>
      </c>
      <c r="D1901" t="inlineStr">
        <is>
          <t>UPPSALA LÄN</t>
        </is>
      </c>
      <c r="E1901" t="inlineStr">
        <is>
          <t>ENKÖPING</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37570-2021</t>
        </is>
      </c>
      <c r="B1902" s="1" t="n">
        <v>44399</v>
      </c>
      <c r="C1902" s="1" t="n">
        <v>45706</v>
      </c>
      <c r="D1902" t="inlineStr">
        <is>
          <t>UPPSALA LÄN</t>
        </is>
      </c>
      <c r="E1902" t="inlineStr">
        <is>
          <t>ENKÖPING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37573-2021</t>
        </is>
      </c>
      <c r="B1903" s="1" t="n">
        <v>44399</v>
      </c>
      <c r="C1903" s="1" t="n">
        <v>45706</v>
      </c>
      <c r="D1903" t="inlineStr">
        <is>
          <t>UPPSALA LÄN</t>
        </is>
      </c>
      <c r="E1903" t="inlineStr">
        <is>
          <t>ENKÖPING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37568-2021</t>
        </is>
      </c>
      <c r="B1904" s="1" t="n">
        <v>44399</v>
      </c>
      <c r="C1904" s="1" t="n">
        <v>45706</v>
      </c>
      <c r="D1904" t="inlineStr">
        <is>
          <t>UPPSALA LÄN</t>
        </is>
      </c>
      <c r="E1904" t="inlineStr">
        <is>
          <t>ENKÖPING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37564-2021</t>
        </is>
      </c>
      <c r="B1905" s="1" t="n">
        <v>44399</v>
      </c>
      <c r="C1905" s="1" t="n">
        <v>45706</v>
      </c>
      <c r="D1905" t="inlineStr">
        <is>
          <t>UPPSALA LÄN</t>
        </is>
      </c>
      <c r="E1905" t="inlineStr">
        <is>
          <t>ENKÖPING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37571-2021</t>
        </is>
      </c>
      <c r="B1906" s="1" t="n">
        <v>44399</v>
      </c>
      <c r="C1906" s="1" t="n">
        <v>45706</v>
      </c>
      <c r="D1906" t="inlineStr">
        <is>
          <t>UPPSALA LÄN</t>
        </is>
      </c>
      <c r="E1906" t="inlineStr">
        <is>
          <t>ENKÖPING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37763-2021</t>
        </is>
      </c>
      <c r="B1907" s="1" t="n">
        <v>44400</v>
      </c>
      <c r="C1907" s="1" t="n">
        <v>45706</v>
      </c>
      <c r="D1907" t="inlineStr">
        <is>
          <t>UPPSALA LÄN</t>
        </is>
      </c>
      <c r="E1907" t="inlineStr">
        <is>
          <t>UPPSALA</t>
        </is>
      </c>
      <c r="F1907" t="inlineStr">
        <is>
          <t>Bergvik skog öst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37819-2021</t>
        </is>
      </c>
      <c r="B1908" s="1" t="n">
        <v>44403</v>
      </c>
      <c r="C1908" s="1" t="n">
        <v>45706</v>
      </c>
      <c r="D1908" t="inlineStr">
        <is>
          <t>UPPSALA LÄN</t>
        </is>
      </c>
      <c r="E1908" t="inlineStr">
        <is>
          <t>UPPSALA</t>
        </is>
      </c>
      <c r="F1908" t="inlineStr">
        <is>
          <t>Bergvik skog öst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37820-2021</t>
        </is>
      </c>
      <c r="B1909" s="1" t="n">
        <v>44403</v>
      </c>
      <c r="C1909" s="1" t="n">
        <v>45706</v>
      </c>
      <c r="D1909" t="inlineStr">
        <is>
          <t>UPPSALA LÄN</t>
        </is>
      </c>
      <c r="E1909" t="inlineStr">
        <is>
          <t>UPPSALA</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38050-2021</t>
        </is>
      </c>
      <c r="B1910" s="1" t="n">
        <v>44404</v>
      </c>
      <c r="C1910" s="1" t="n">
        <v>45706</v>
      </c>
      <c r="D1910" t="inlineStr">
        <is>
          <t>UPPSALA LÄN</t>
        </is>
      </c>
      <c r="E1910" t="inlineStr">
        <is>
          <t>HEBY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38051-2021</t>
        </is>
      </c>
      <c r="B1911" s="1" t="n">
        <v>44404</v>
      </c>
      <c r="C1911" s="1" t="n">
        <v>45706</v>
      </c>
      <c r="D1911" t="inlineStr">
        <is>
          <t>UPPSALA LÄN</t>
        </is>
      </c>
      <c r="E1911" t="inlineStr">
        <is>
          <t>HEBY</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37980-2021</t>
        </is>
      </c>
      <c r="B1912" s="1" t="n">
        <v>44404</v>
      </c>
      <c r="C1912" s="1" t="n">
        <v>45706</v>
      </c>
      <c r="D1912" t="inlineStr">
        <is>
          <t>UPPSALA LÄN</t>
        </is>
      </c>
      <c r="E1912" t="inlineStr">
        <is>
          <t>HEBY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38049-2021</t>
        </is>
      </c>
      <c r="B1913" s="1" t="n">
        <v>44404</v>
      </c>
      <c r="C1913" s="1" t="n">
        <v>45706</v>
      </c>
      <c r="D1913" t="inlineStr">
        <is>
          <t>UPPSALA LÄN</t>
        </is>
      </c>
      <c r="E1913" t="inlineStr">
        <is>
          <t>HEBY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38203-2021</t>
        </is>
      </c>
      <c r="B1914" s="1" t="n">
        <v>44405</v>
      </c>
      <c r="C1914" s="1" t="n">
        <v>45706</v>
      </c>
      <c r="D1914" t="inlineStr">
        <is>
          <t>UPPSALA LÄN</t>
        </is>
      </c>
      <c r="E1914" t="inlineStr">
        <is>
          <t>HEBY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38411-2021</t>
        </is>
      </c>
      <c r="B1915" s="1" t="n">
        <v>44406</v>
      </c>
      <c r="C1915" s="1" t="n">
        <v>45706</v>
      </c>
      <c r="D1915" t="inlineStr">
        <is>
          <t>UPPSALA LÄN</t>
        </is>
      </c>
      <c r="E1915" t="inlineStr">
        <is>
          <t>ÖSTHAMMAR</t>
        </is>
      </c>
      <c r="F1915" t="inlineStr">
        <is>
          <t>Bergvik skog öst AB</t>
        </is>
      </c>
      <c r="G1915" t="n">
        <v>20.6</v>
      </c>
      <c r="H1915" t="n">
        <v>0</v>
      </c>
      <c r="I1915" t="n">
        <v>0</v>
      </c>
      <c r="J1915" t="n">
        <v>0</v>
      </c>
      <c r="K1915" t="n">
        <v>0</v>
      </c>
      <c r="L1915" t="n">
        <v>0</v>
      </c>
      <c r="M1915" t="n">
        <v>0</v>
      </c>
      <c r="N1915" t="n">
        <v>0</v>
      </c>
      <c r="O1915" t="n">
        <v>0</v>
      </c>
      <c r="P1915" t="n">
        <v>0</v>
      </c>
      <c r="Q1915" t="n">
        <v>0</v>
      </c>
      <c r="R1915" s="2" t="inlineStr"/>
    </row>
    <row r="1916" ht="15" customHeight="1">
      <c r="A1916" t="inlineStr">
        <is>
          <t>A 38469-2021</t>
        </is>
      </c>
      <c r="B1916" s="1" t="n">
        <v>44407</v>
      </c>
      <c r="C1916" s="1" t="n">
        <v>45706</v>
      </c>
      <c r="D1916" t="inlineStr">
        <is>
          <t>UPPSALA LÄN</t>
        </is>
      </c>
      <c r="E1916" t="inlineStr">
        <is>
          <t>UPPSALA</t>
        </is>
      </c>
      <c r="F1916" t="inlineStr">
        <is>
          <t>Bergvik skog öst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38463-2021</t>
        </is>
      </c>
      <c r="B1917" s="1" t="n">
        <v>44407</v>
      </c>
      <c r="C1917" s="1" t="n">
        <v>45706</v>
      </c>
      <c r="D1917" t="inlineStr">
        <is>
          <t>UPPSALA LÄN</t>
        </is>
      </c>
      <c r="E1917" t="inlineStr">
        <is>
          <t>UPPSALA</t>
        </is>
      </c>
      <c r="F1917" t="inlineStr">
        <is>
          <t>Bergvik skog öst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38859-2021</t>
        </is>
      </c>
      <c r="B1918" s="1" t="n">
        <v>44411</v>
      </c>
      <c r="C1918" s="1" t="n">
        <v>45706</v>
      </c>
      <c r="D1918" t="inlineStr">
        <is>
          <t>UPPSALA LÄN</t>
        </is>
      </c>
      <c r="E1918" t="inlineStr">
        <is>
          <t>HEBY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39791-2021</t>
        </is>
      </c>
      <c r="B1919" s="1" t="n">
        <v>44417</v>
      </c>
      <c r="C1919" s="1" t="n">
        <v>45706</v>
      </c>
      <c r="D1919" t="inlineStr">
        <is>
          <t>UPPSALA LÄN</t>
        </is>
      </c>
      <c r="E1919" t="inlineStr">
        <is>
          <t>ÄLVKARLEBY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39838-2021</t>
        </is>
      </c>
      <c r="B1920" s="1" t="n">
        <v>44417</v>
      </c>
      <c r="C1920" s="1" t="n">
        <v>45706</v>
      </c>
      <c r="D1920" t="inlineStr">
        <is>
          <t>UPPSALA LÄN</t>
        </is>
      </c>
      <c r="E1920" t="inlineStr">
        <is>
          <t>TIERP</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40011-2021</t>
        </is>
      </c>
      <c r="B1921" s="1" t="n">
        <v>44418</v>
      </c>
      <c r="C1921" s="1" t="n">
        <v>45706</v>
      </c>
      <c r="D1921" t="inlineStr">
        <is>
          <t>UPPSALA LÄN</t>
        </is>
      </c>
      <c r="E1921" t="inlineStr">
        <is>
          <t>TIERP</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40184-2021</t>
        </is>
      </c>
      <c r="B1922" s="1" t="n">
        <v>44418</v>
      </c>
      <c r="C1922" s="1" t="n">
        <v>45706</v>
      </c>
      <c r="D1922" t="inlineStr">
        <is>
          <t>UPPSALA LÄN</t>
        </is>
      </c>
      <c r="E1922" t="inlineStr">
        <is>
          <t>HEBY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40256-2021</t>
        </is>
      </c>
      <c r="B1923" s="1" t="n">
        <v>44419</v>
      </c>
      <c r="C1923" s="1" t="n">
        <v>45706</v>
      </c>
      <c r="D1923" t="inlineStr">
        <is>
          <t>UPPSALA LÄN</t>
        </is>
      </c>
      <c r="E1923" t="inlineStr">
        <is>
          <t>HÅBO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40606-2021</t>
        </is>
      </c>
      <c r="B1924" s="1" t="n">
        <v>44420</v>
      </c>
      <c r="C1924" s="1" t="n">
        <v>45706</v>
      </c>
      <c r="D1924" t="inlineStr">
        <is>
          <t>UPPSALA LÄN</t>
        </is>
      </c>
      <c r="E1924" t="inlineStr">
        <is>
          <t>ÖSTHAMMAR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40500-2021</t>
        </is>
      </c>
      <c r="B1925" s="1" t="n">
        <v>44420</v>
      </c>
      <c r="C1925" s="1" t="n">
        <v>45706</v>
      </c>
      <c r="D1925" t="inlineStr">
        <is>
          <t>UPPSALA LÄN</t>
        </is>
      </c>
      <c r="E1925" t="inlineStr">
        <is>
          <t>UPPSALA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40507-2021</t>
        </is>
      </c>
      <c r="B1926" s="1" t="n">
        <v>44420</v>
      </c>
      <c r="C1926" s="1" t="n">
        <v>45706</v>
      </c>
      <c r="D1926" t="inlineStr">
        <is>
          <t>UPPSALA LÄN</t>
        </is>
      </c>
      <c r="E1926" t="inlineStr">
        <is>
          <t>UPPSALA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40804-2021</t>
        </is>
      </c>
      <c r="B1927" s="1" t="n">
        <v>44421</v>
      </c>
      <c r="C1927" s="1" t="n">
        <v>45706</v>
      </c>
      <c r="D1927" t="inlineStr">
        <is>
          <t>UPPSALA LÄN</t>
        </is>
      </c>
      <c r="E1927" t="inlineStr">
        <is>
          <t>TIERP</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40793-2021</t>
        </is>
      </c>
      <c r="B1928" s="1" t="n">
        <v>44421</v>
      </c>
      <c r="C1928" s="1" t="n">
        <v>45706</v>
      </c>
      <c r="D1928" t="inlineStr">
        <is>
          <t>UPPSALA LÄN</t>
        </is>
      </c>
      <c r="E1928" t="inlineStr">
        <is>
          <t>TIERP</t>
        </is>
      </c>
      <c r="F1928" t="inlineStr">
        <is>
          <t>Kyrkan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41531-2021</t>
        </is>
      </c>
      <c r="B1929" s="1" t="n">
        <v>44425</v>
      </c>
      <c r="C1929" s="1" t="n">
        <v>45706</v>
      </c>
      <c r="D1929" t="inlineStr">
        <is>
          <t>UPPSALA LÄN</t>
        </is>
      </c>
      <c r="E1929" t="inlineStr">
        <is>
          <t>ÖSTHAMMAR</t>
        </is>
      </c>
      <c r="F1929" t="inlineStr">
        <is>
          <t>Bergvik skog öst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41558-2021</t>
        </is>
      </c>
      <c r="B1930" s="1" t="n">
        <v>44425</v>
      </c>
      <c r="C1930" s="1" t="n">
        <v>45706</v>
      </c>
      <c r="D1930" t="inlineStr">
        <is>
          <t>UPPSALA LÄN</t>
        </is>
      </c>
      <c r="E1930" t="inlineStr">
        <is>
          <t>ÖSTHAMMAR</t>
        </is>
      </c>
      <c r="F1930" t="inlineStr">
        <is>
          <t>Bergvik skog öst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41538-2021</t>
        </is>
      </c>
      <c r="B1931" s="1" t="n">
        <v>44425</v>
      </c>
      <c r="C1931" s="1" t="n">
        <v>45706</v>
      </c>
      <c r="D1931" t="inlineStr">
        <is>
          <t>UPPSALA LÄN</t>
        </is>
      </c>
      <c r="E1931" t="inlineStr">
        <is>
          <t>ÖSTHAMMAR</t>
        </is>
      </c>
      <c r="F1931" t="inlineStr">
        <is>
          <t>Bergvik skog öst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41744-2021</t>
        </is>
      </c>
      <c r="B1932" s="1" t="n">
        <v>44425</v>
      </c>
      <c r="C1932" s="1" t="n">
        <v>45706</v>
      </c>
      <c r="D1932" t="inlineStr">
        <is>
          <t>UPPSALA LÄN</t>
        </is>
      </c>
      <c r="E1932" t="inlineStr">
        <is>
          <t>ÖSTHAMMAR</t>
        </is>
      </c>
      <c r="F1932" t="inlineStr">
        <is>
          <t>Bergvik skog öst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42021-2021</t>
        </is>
      </c>
      <c r="B1933" s="1" t="n">
        <v>44426</v>
      </c>
      <c r="C1933" s="1" t="n">
        <v>45706</v>
      </c>
      <c r="D1933" t="inlineStr">
        <is>
          <t>UPPSALA LÄN</t>
        </is>
      </c>
      <c r="E1933" t="inlineStr">
        <is>
          <t>ENKÖPING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42029-2021</t>
        </is>
      </c>
      <c r="B1934" s="1" t="n">
        <v>44426</v>
      </c>
      <c r="C1934" s="1" t="n">
        <v>45706</v>
      </c>
      <c r="D1934" t="inlineStr">
        <is>
          <t>UPPSALA LÄN</t>
        </is>
      </c>
      <c r="E1934" t="inlineStr">
        <is>
          <t>ENKÖPING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42124-2021</t>
        </is>
      </c>
      <c r="B1935" s="1" t="n">
        <v>44426</v>
      </c>
      <c r="C1935" s="1" t="n">
        <v>45706</v>
      </c>
      <c r="D1935" t="inlineStr">
        <is>
          <t>UPPSALA LÄN</t>
        </is>
      </c>
      <c r="E1935" t="inlineStr">
        <is>
          <t>UPPSALA</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42262-2021</t>
        </is>
      </c>
      <c r="B1936" s="1" t="n">
        <v>44427</v>
      </c>
      <c r="C1936" s="1" t="n">
        <v>45706</v>
      </c>
      <c r="D1936" t="inlineStr">
        <is>
          <t>UPPSALA LÄN</t>
        </is>
      </c>
      <c r="E1936" t="inlineStr">
        <is>
          <t>TIERP</t>
        </is>
      </c>
      <c r="F1936" t="inlineStr">
        <is>
          <t>Bergvik skog väst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42294-2021</t>
        </is>
      </c>
      <c r="B1937" s="1" t="n">
        <v>44427</v>
      </c>
      <c r="C1937" s="1" t="n">
        <v>45706</v>
      </c>
      <c r="D1937" t="inlineStr">
        <is>
          <t>UPPSALA LÄN</t>
        </is>
      </c>
      <c r="E1937" t="inlineStr">
        <is>
          <t>UPPSALA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42987-2021</t>
        </is>
      </c>
      <c r="B1938" s="1" t="n">
        <v>44431</v>
      </c>
      <c r="C1938" s="1" t="n">
        <v>45706</v>
      </c>
      <c r="D1938" t="inlineStr">
        <is>
          <t>UPPSALA LÄN</t>
        </is>
      </c>
      <c r="E1938" t="inlineStr">
        <is>
          <t>HEBY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43016-2021</t>
        </is>
      </c>
      <c r="B1939" s="1" t="n">
        <v>44431</v>
      </c>
      <c r="C1939" s="1" t="n">
        <v>45706</v>
      </c>
      <c r="D1939" t="inlineStr">
        <is>
          <t>UPPSALA LÄN</t>
        </is>
      </c>
      <c r="E1939" t="inlineStr">
        <is>
          <t>ENKÖPING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43020-2021</t>
        </is>
      </c>
      <c r="B1940" s="1" t="n">
        <v>44431</v>
      </c>
      <c r="C1940" s="1" t="n">
        <v>45706</v>
      </c>
      <c r="D1940" t="inlineStr">
        <is>
          <t>UPPSALA LÄN</t>
        </is>
      </c>
      <c r="E1940" t="inlineStr">
        <is>
          <t>TIERP</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43307-2021</t>
        </is>
      </c>
      <c r="B1941" s="1" t="n">
        <v>44431</v>
      </c>
      <c r="C1941" s="1" t="n">
        <v>45706</v>
      </c>
      <c r="D1941" t="inlineStr">
        <is>
          <t>UPPSALA LÄN</t>
        </is>
      </c>
      <c r="E1941" t="inlineStr">
        <is>
          <t>HEBY</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43179-2021</t>
        </is>
      </c>
      <c r="B1942" s="1" t="n">
        <v>44431</v>
      </c>
      <c r="C1942" s="1" t="n">
        <v>45706</v>
      </c>
      <c r="D1942" t="inlineStr">
        <is>
          <t>UPPSALA LÄN</t>
        </is>
      </c>
      <c r="E1942" t="inlineStr">
        <is>
          <t>HEBY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43469-2021</t>
        </is>
      </c>
      <c r="B1943" s="1" t="n">
        <v>44432</v>
      </c>
      <c r="C1943" s="1" t="n">
        <v>45706</v>
      </c>
      <c r="D1943" t="inlineStr">
        <is>
          <t>UPPSALA LÄN</t>
        </is>
      </c>
      <c r="E1943" t="inlineStr">
        <is>
          <t>ÖSTHAMMAR</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43714-2021</t>
        </is>
      </c>
      <c r="B1944" s="1" t="n">
        <v>44433</v>
      </c>
      <c r="C1944" s="1" t="n">
        <v>45706</v>
      </c>
      <c r="D1944" t="inlineStr">
        <is>
          <t>UPPSALA LÄN</t>
        </is>
      </c>
      <c r="E1944" t="inlineStr">
        <is>
          <t>HEBY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43957-2021</t>
        </is>
      </c>
      <c r="B1945" s="1" t="n">
        <v>44434</v>
      </c>
      <c r="C1945" s="1" t="n">
        <v>45706</v>
      </c>
      <c r="D1945" t="inlineStr">
        <is>
          <t>UPPSALA LÄN</t>
        </is>
      </c>
      <c r="E1945" t="inlineStr">
        <is>
          <t>HEBY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44009-2021</t>
        </is>
      </c>
      <c r="B1946" s="1" t="n">
        <v>44434</v>
      </c>
      <c r="C1946" s="1" t="n">
        <v>45706</v>
      </c>
      <c r="D1946" t="inlineStr">
        <is>
          <t>UPPSALA LÄN</t>
        </is>
      </c>
      <c r="E1946" t="inlineStr">
        <is>
          <t>TIERP</t>
        </is>
      </c>
      <c r="F1946" t="inlineStr">
        <is>
          <t>Bergvik skog väst AB</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44315-2021</t>
        </is>
      </c>
      <c r="B1947" s="1" t="n">
        <v>44435</v>
      </c>
      <c r="C1947" s="1" t="n">
        <v>45706</v>
      </c>
      <c r="D1947" t="inlineStr">
        <is>
          <t>UPPSALA LÄN</t>
        </is>
      </c>
      <c r="E1947" t="inlineStr">
        <is>
          <t>UPPSALA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44464-2021</t>
        </is>
      </c>
      <c r="B1948" s="1" t="n">
        <v>44435</v>
      </c>
      <c r="C1948" s="1" t="n">
        <v>45706</v>
      </c>
      <c r="D1948" t="inlineStr">
        <is>
          <t>UPPSALA LÄN</t>
        </is>
      </c>
      <c r="E1948" t="inlineStr">
        <is>
          <t>HEBY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44727-2021</t>
        </is>
      </c>
      <c r="B1949" s="1" t="n">
        <v>44438</v>
      </c>
      <c r="C1949" s="1" t="n">
        <v>45706</v>
      </c>
      <c r="D1949" t="inlineStr">
        <is>
          <t>UPPSALA LÄN</t>
        </is>
      </c>
      <c r="E1949" t="inlineStr">
        <is>
          <t>ENKÖPING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44690-2021</t>
        </is>
      </c>
      <c r="B1950" s="1" t="n">
        <v>44438</v>
      </c>
      <c r="C1950" s="1" t="n">
        <v>45706</v>
      </c>
      <c r="D1950" t="inlineStr">
        <is>
          <t>UPPSALA LÄN</t>
        </is>
      </c>
      <c r="E1950" t="inlineStr">
        <is>
          <t>TIERP</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44781-2021</t>
        </is>
      </c>
      <c r="B1951" s="1" t="n">
        <v>44438</v>
      </c>
      <c r="C1951" s="1" t="n">
        <v>45706</v>
      </c>
      <c r="D1951" t="inlineStr">
        <is>
          <t>UPPSALA LÄN</t>
        </is>
      </c>
      <c r="E1951" t="inlineStr">
        <is>
          <t>UPPSALA</t>
        </is>
      </c>
      <c r="F1951" t="inlineStr">
        <is>
          <t>Sveaskog</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45146-2021</t>
        </is>
      </c>
      <c r="B1952" s="1" t="n">
        <v>44439</v>
      </c>
      <c r="C1952" s="1" t="n">
        <v>45706</v>
      </c>
      <c r="D1952" t="inlineStr">
        <is>
          <t>UPPSALA LÄN</t>
        </is>
      </c>
      <c r="E1952" t="inlineStr">
        <is>
          <t>TIERP</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45217-2021</t>
        </is>
      </c>
      <c r="B1953" s="1" t="n">
        <v>44439</v>
      </c>
      <c r="C1953" s="1" t="n">
        <v>45706</v>
      </c>
      <c r="D1953" t="inlineStr">
        <is>
          <t>UPPSALA LÄN</t>
        </is>
      </c>
      <c r="E1953" t="inlineStr">
        <is>
          <t>TIERP</t>
        </is>
      </c>
      <c r="F1953" t="inlineStr">
        <is>
          <t>Bergvik skog öst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45225-2021</t>
        </is>
      </c>
      <c r="B1954" s="1" t="n">
        <v>44439</v>
      </c>
      <c r="C1954" s="1" t="n">
        <v>45706</v>
      </c>
      <c r="D1954" t="inlineStr">
        <is>
          <t>UPPSALA LÄN</t>
        </is>
      </c>
      <c r="E1954" t="inlineStr">
        <is>
          <t>TIERP</t>
        </is>
      </c>
      <c r="F1954" t="inlineStr">
        <is>
          <t>Bergvik skog öst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45579-2021</t>
        </is>
      </c>
      <c r="B1955" s="1" t="n">
        <v>44440</v>
      </c>
      <c r="C1955" s="1" t="n">
        <v>45706</v>
      </c>
      <c r="D1955" t="inlineStr">
        <is>
          <t>UPPSALA LÄN</t>
        </is>
      </c>
      <c r="E1955" t="inlineStr">
        <is>
          <t>TIERP</t>
        </is>
      </c>
      <c r="F1955" t="inlineStr">
        <is>
          <t>Bergvik skog väst AB</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45993-2021</t>
        </is>
      </c>
      <c r="B1956" s="1" t="n">
        <v>44441</v>
      </c>
      <c r="C1956" s="1" t="n">
        <v>45706</v>
      </c>
      <c r="D1956" t="inlineStr">
        <is>
          <t>UPPSALA LÄN</t>
        </is>
      </c>
      <c r="E1956" t="inlineStr">
        <is>
          <t>TIERP</t>
        </is>
      </c>
      <c r="F1956" t="inlineStr">
        <is>
          <t>Bergvik skog väst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45964-2021</t>
        </is>
      </c>
      <c r="B1957" s="1" t="n">
        <v>44441</v>
      </c>
      <c r="C1957" s="1" t="n">
        <v>45706</v>
      </c>
      <c r="D1957" t="inlineStr">
        <is>
          <t>UPPSALA LÄN</t>
        </is>
      </c>
      <c r="E1957" t="inlineStr">
        <is>
          <t>HEBY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46097-2021</t>
        </is>
      </c>
      <c r="B1958" s="1" t="n">
        <v>44442</v>
      </c>
      <c r="C1958" s="1" t="n">
        <v>45706</v>
      </c>
      <c r="D1958" t="inlineStr">
        <is>
          <t>UPPSALA LÄN</t>
        </is>
      </c>
      <c r="E1958" t="inlineStr">
        <is>
          <t>UPPSALA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46099-2021</t>
        </is>
      </c>
      <c r="B1959" s="1" t="n">
        <v>44442</v>
      </c>
      <c r="C1959" s="1" t="n">
        <v>45706</v>
      </c>
      <c r="D1959" t="inlineStr">
        <is>
          <t>UPPSALA LÄN</t>
        </is>
      </c>
      <c r="E1959" t="inlineStr">
        <is>
          <t>UPPSALA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46560-2021</t>
        </is>
      </c>
      <c r="B1960" s="1" t="n">
        <v>44445</v>
      </c>
      <c r="C1960" s="1" t="n">
        <v>45706</v>
      </c>
      <c r="D1960" t="inlineStr">
        <is>
          <t>UPPSALA LÄN</t>
        </is>
      </c>
      <c r="E1960" t="inlineStr">
        <is>
          <t>HEBY</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46553-2021</t>
        </is>
      </c>
      <c r="B1961" s="1" t="n">
        <v>44445</v>
      </c>
      <c r="C1961" s="1" t="n">
        <v>45706</v>
      </c>
      <c r="D1961" t="inlineStr">
        <is>
          <t>UPPSALA LÄN</t>
        </is>
      </c>
      <c r="E1961" t="inlineStr">
        <is>
          <t>UPPSALA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46920-2021</t>
        </is>
      </c>
      <c r="B1962" s="1" t="n">
        <v>44446</v>
      </c>
      <c r="C1962" s="1" t="n">
        <v>45706</v>
      </c>
      <c r="D1962" t="inlineStr">
        <is>
          <t>UPPSALA LÄN</t>
        </is>
      </c>
      <c r="E1962" t="inlineStr">
        <is>
          <t>UPPSALA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46916-2021</t>
        </is>
      </c>
      <c r="B1963" s="1" t="n">
        <v>44446</v>
      </c>
      <c r="C1963" s="1" t="n">
        <v>45706</v>
      </c>
      <c r="D1963" t="inlineStr">
        <is>
          <t>UPPSALA LÄN</t>
        </is>
      </c>
      <c r="E1963" t="inlineStr">
        <is>
          <t>UPPSALA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46976-2021</t>
        </is>
      </c>
      <c r="B1964" s="1" t="n">
        <v>44446</v>
      </c>
      <c r="C1964" s="1" t="n">
        <v>45706</v>
      </c>
      <c r="D1964" t="inlineStr">
        <is>
          <t>UPPSALA LÄN</t>
        </is>
      </c>
      <c r="E1964" t="inlineStr">
        <is>
          <t>TIERP</t>
        </is>
      </c>
      <c r="F1964" t="inlineStr">
        <is>
          <t>Bergvik skog väst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47106-2021</t>
        </is>
      </c>
      <c r="B1965" s="1" t="n">
        <v>44446</v>
      </c>
      <c r="C1965" s="1" t="n">
        <v>45706</v>
      </c>
      <c r="D1965" t="inlineStr">
        <is>
          <t>UPPSALA LÄN</t>
        </is>
      </c>
      <c r="E1965" t="inlineStr">
        <is>
          <t>ENKÖPING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47367-2021</t>
        </is>
      </c>
      <c r="B1966" s="1" t="n">
        <v>44447</v>
      </c>
      <c r="C1966" s="1" t="n">
        <v>45706</v>
      </c>
      <c r="D1966" t="inlineStr">
        <is>
          <t>UPPSALA LÄN</t>
        </is>
      </c>
      <c r="E1966" t="inlineStr">
        <is>
          <t>UPPSALA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47226-2021</t>
        </is>
      </c>
      <c r="B1967" s="1" t="n">
        <v>44447</v>
      </c>
      <c r="C1967" s="1" t="n">
        <v>45706</v>
      </c>
      <c r="D1967" t="inlineStr">
        <is>
          <t>UPPSALA LÄN</t>
        </is>
      </c>
      <c r="E1967" t="inlineStr">
        <is>
          <t>ÄLVKARLEBY</t>
        </is>
      </c>
      <c r="F1967" t="inlineStr">
        <is>
          <t>Bergvik skog väst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47652-2021</t>
        </is>
      </c>
      <c r="B1968" s="1" t="n">
        <v>44448</v>
      </c>
      <c r="C1968" s="1" t="n">
        <v>45706</v>
      </c>
      <c r="D1968" t="inlineStr">
        <is>
          <t>UPPSALA LÄN</t>
        </is>
      </c>
      <c r="E1968" t="inlineStr">
        <is>
          <t>KNIVSTA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47654-2021</t>
        </is>
      </c>
      <c r="B1969" s="1" t="n">
        <v>44448</v>
      </c>
      <c r="C1969" s="1" t="n">
        <v>45706</v>
      </c>
      <c r="D1969" t="inlineStr">
        <is>
          <t>UPPSALA LÄN</t>
        </is>
      </c>
      <c r="E1969" t="inlineStr">
        <is>
          <t>KNIVSTA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48308-2021</t>
        </is>
      </c>
      <c r="B1970" s="1" t="n">
        <v>44450</v>
      </c>
      <c r="C1970" s="1" t="n">
        <v>45706</v>
      </c>
      <c r="D1970" t="inlineStr">
        <is>
          <t>UPPSALA LÄN</t>
        </is>
      </c>
      <c r="E1970" t="inlineStr">
        <is>
          <t>ÖSTHAMMAR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48455-2021</t>
        </is>
      </c>
      <c r="B1971" s="1" t="n">
        <v>44452</v>
      </c>
      <c r="C1971" s="1" t="n">
        <v>45706</v>
      </c>
      <c r="D1971" t="inlineStr">
        <is>
          <t>UPPSALA LÄN</t>
        </is>
      </c>
      <c r="E1971" t="inlineStr">
        <is>
          <t>TIERP</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48536-2021</t>
        </is>
      </c>
      <c r="B1972" s="1" t="n">
        <v>44452</v>
      </c>
      <c r="C1972" s="1" t="n">
        <v>45706</v>
      </c>
      <c r="D1972" t="inlineStr">
        <is>
          <t>UPPSALA LÄN</t>
        </is>
      </c>
      <c r="E1972" t="inlineStr">
        <is>
          <t>TIERP</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48485-2021</t>
        </is>
      </c>
      <c r="B1973" s="1" t="n">
        <v>44452</v>
      </c>
      <c r="C1973" s="1" t="n">
        <v>45706</v>
      </c>
      <c r="D1973" t="inlineStr">
        <is>
          <t>UPPSALA LÄN</t>
        </is>
      </c>
      <c r="E1973" t="inlineStr">
        <is>
          <t>TIERP</t>
        </is>
      </c>
      <c r="F1973" t="inlineStr">
        <is>
          <t>Bergvik skog väst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48759-2021</t>
        </is>
      </c>
      <c r="B1974" s="1" t="n">
        <v>44452</v>
      </c>
      <c r="C1974" s="1" t="n">
        <v>45706</v>
      </c>
      <c r="D1974" t="inlineStr">
        <is>
          <t>UPPSALA LÄN</t>
        </is>
      </c>
      <c r="E1974" t="inlineStr">
        <is>
          <t>HEBY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48880-2021</t>
        </is>
      </c>
      <c r="B1975" s="1" t="n">
        <v>44452</v>
      </c>
      <c r="C1975" s="1" t="n">
        <v>45706</v>
      </c>
      <c r="D1975" t="inlineStr">
        <is>
          <t>UPPSALA LÄN</t>
        </is>
      </c>
      <c r="E1975" t="inlineStr">
        <is>
          <t>TIERP</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48970-2021</t>
        </is>
      </c>
      <c r="B1976" s="1" t="n">
        <v>44453</v>
      </c>
      <c r="C1976" s="1" t="n">
        <v>45706</v>
      </c>
      <c r="D1976" t="inlineStr">
        <is>
          <t>UPPSALA LÄN</t>
        </is>
      </c>
      <c r="E1976" t="inlineStr">
        <is>
          <t>TIERP</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48981-2021</t>
        </is>
      </c>
      <c r="B1977" s="1" t="n">
        <v>44453</v>
      </c>
      <c r="C1977" s="1" t="n">
        <v>45706</v>
      </c>
      <c r="D1977" t="inlineStr">
        <is>
          <t>UPPSALA LÄN</t>
        </is>
      </c>
      <c r="E1977" t="inlineStr">
        <is>
          <t>ENKÖPING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48918-2021</t>
        </is>
      </c>
      <c r="B1978" s="1" t="n">
        <v>44453</v>
      </c>
      <c r="C1978" s="1" t="n">
        <v>45706</v>
      </c>
      <c r="D1978" t="inlineStr">
        <is>
          <t>UPPSALA LÄN</t>
        </is>
      </c>
      <c r="E1978" t="inlineStr">
        <is>
          <t>UPPSALA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48982-2021</t>
        </is>
      </c>
      <c r="B1979" s="1" t="n">
        <v>44453</v>
      </c>
      <c r="C1979" s="1" t="n">
        <v>45706</v>
      </c>
      <c r="D1979" t="inlineStr">
        <is>
          <t>UPPSALA LÄN</t>
        </is>
      </c>
      <c r="E1979" t="inlineStr">
        <is>
          <t>TIERP</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49053-2021</t>
        </is>
      </c>
      <c r="B1980" s="1" t="n">
        <v>44453</v>
      </c>
      <c r="C1980" s="1" t="n">
        <v>45706</v>
      </c>
      <c r="D1980" t="inlineStr">
        <is>
          <t>UPPSALA LÄN</t>
        </is>
      </c>
      <c r="E1980" t="inlineStr">
        <is>
          <t>TIERP</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49061-2021</t>
        </is>
      </c>
      <c r="B1981" s="1" t="n">
        <v>44453</v>
      </c>
      <c r="C1981" s="1" t="n">
        <v>45706</v>
      </c>
      <c r="D1981" t="inlineStr">
        <is>
          <t>UPPSALA LÄN</t>
        </is>
      </c>
      <c r="E1981" t="inlineStr">
        <is>
          <t>TIERP</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49274-2021</t>
        </is>
      </c>
      <c r="B1982" s="1" t="n">
        <v>44454</v>
      </c>
      <c r="C1982" s="1" t="n">
        <v>45706</v>
      </c>
      <c r="D1982" t="inlineStr">
        <is>
          <t>UPPSALA LÄN</t>
        </is>
      </c>
      <c r="E1982" t="inlineStr">
        <is>
          <t>UPPSALA</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49352-2021</t>
        </is>
      </c>
      <c r="B1983" s="1" t="n">
        <v>44454</v>
      </c>
      <c r="C1983" s="1" t="n">
        <v>45706</v>
      </c>
      <c r="D1983" t="inlineStr">
        <is>
          <t>UPPSALA LÄN</t>
        </is>
      </c>
      <c r="E1983" t="inlineStr">
        <is>
          <t>HEBY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49375-2021</t>
        </is>
      </c>
      <c r="B1984" s="1" t="n">
        <v>44454</v>
      </c>
      <c r="C1984" s="1" t="n">
        <v>45706</v>
      </c>
      <c r="D1984" t="inlineStr">
        <is>
          <t>UPPSALA LÄN</t>
        </is>
      </c>
      <c r="E1984" t="inlineStr">
        <is>
          <t>ENKÖPING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49525-2021</t>
        </is>
      </c>
      <c r="B1985" s="1" t="n">
        <v>44455</v>
      </c>
      <c r="C1985" s="1" t="n">
        <v>45706</v>
      </c>
      <c r="D1985" t="inlineStr">
        <is>
          <t>UPPSALA LÄN</t>
        </is>
      </c>
      <c r="E1985" t="inlineStr">
        <is>
          <t>ENKÖPING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50541-2021</t>
        </is>
      </c>
      <c r="B1986" s="1" t="n">
        <v>44459</v>
      </c>
      <c r="C1986" s="1" t="n">
        <v>45706</v>
      </c>
      <c r="D1986" t="inlineStr">
        <is>
          <t>UPPSALA LÄN</t>
        </is>
      </c>
      <c r="E1986" t="inlineStr">
        <is>
          <t>HEBY</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50546-2021</t>
        </is>
      </c>
      <c r="B1987" s="1" t="n">
        <v>44459</v>
      </c>
      <c r="C1987" s="1" t="n">
        <v>45706</v>
      </c>
      <c r="D1987" t="inlineStr">
        <is>
          <t>UPPSALA LÄN</t>
        </is>
      </c>
      <c r="E1987" t="inlineStr">
        <is>
          <t>HEBY</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51050-2021</t>
        </is>
      </c>
      <c r="B1988" s="1" t="n">
        <v>44459</v>
      </c>
      <c r="C1988" s="1" t="n">
        <v>45706</v>
      </c>
      <c r="D1988" t="inlineStr">
        <is>
          <t>UPPSALA LÄN</t>
        </is>
      </c>
      <c r="E1988" t="inlineStr">
        <is>
          <t>UPPSALA</t>
        </is>
      </c>
      <c r="F1988" t="inlineStr">
        <is>
          <t>Övriga Aktiebolag</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50893-2021</t>
        </is>
      </c>
      <c r="B1989" s="1" t="n">
        <v>44460</v>
      </c>
      <c r="C1989" s="1" t="n">
        <v>45706</v>
      </c>
      <c r="D1989" t="inlineStr">
        <is>
          <t>UPPSALA LÄN</t>
        </is>
      </c>
      <c r="E1989" t="inlineStr">
        <is>
          <t>ENKÖPING</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51010-2021</t>
        </is>
      </c>
      <c r="B1990" s="1" t="n">
        <v>44460</v>
      </c>
      <c r="C1990" s="1" t="n">
        <v>45706</v>
      </c>
      <c r="D1990" t="inlineStr">
        <is>
          <t>UPPSALA LÄN</t>
        </is>
      </c>
      <c r="E1990" t="inlineStr">
        <is>
          <t>ÖSTHAMMAR</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51412-2021</t>
        </is>
      </c>
      <c r="B1991" s="1" t="n">
        <v>44461</v>
      </c>
      <c r="C1991" s="1" t="n">
        <v>45706</v>
      </c>
      <c r="D1991" t="inlineStr">
        <is>
          <t>UPPSALA LÄN</t>
        </is>
      </c>
      <c r="E1991" t="inlineStr">
        <is>
          <t>ÖSTHAMMAR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51364-2021</t>
        </is>
      </c>
      <c r="B1992" s="1" t="n">
        <v>44461</v>
      </c>
      <c r="C1992" s="1" t="n">
        <v>45706</v>
      </c>
      <c r="D1992" t="inlineStr">
        <is>
          <t>UPPSALA LÄN</t>
        </is>
      </c>
      <c r="E1992" t="inlineStr">
        <is>
          <t>ÖSTHAMMAR</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51821-2021</t>
        </is>
      </c>
      <c r="B1993" s="1" t="n">
        <v>44461</v>
      </c>
      <c r="C1993" s="1" t="n">
        <v>45706</v>
      </c>
      <c r="D1993" t="inlineStr">
        <is>
          <t>UPPSALA LÄN</t>
        </is>
      </c>
      <c r="E1993" t="inlineStr">
        <is>
          <t>UPPSALA</t>
        </is>
      </c>
      <c r="F1993" t="inlineStr">
        <is>
          <t>Övriga Aktiebolag</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51396-2021</t>
        </is>
      </c>
      <c r="B1994" s="1" t="n">
        <v>44461</v>
      </c>
      <c r="C1994" s="1" t="n">
        <v>45706</v>
      </c>
      <c r="D1994" t="inlineStr">
        <is>
          <t>UPPSALA LÄN</t>
        </is>
      </c>
      <c r="E1994" t="inlineStr">
        <is>
          <t>UPPSALA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51612-2021</t>
        </is>
      </c>
      <c r="B1995" s="1" t="n">
        <v>44462</v>
      </c>
      <c r="C1995" s="1" t="n">
        <v>45706</v>
      </c>
      <c r="D1995" t="inlineStr">
        <is>
          <t>UPPSALA LÄN</t>
        </is>
      </c>
      <c r="E1995" t="inlineStr">
        <is>
          <t>ÖSTHAMMAR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52083-2021</t>
        </is>
      </c>
      <c r="B1996" s="1" t="n">
        <v>44463</v>
      </c>
      <c r="C1996" s="1" t="n">
        <v>45706</v>
      </c>
      <c r="D1996" t="inlineStr">
        <is>
          <t>UPPSALA LÄN</t>
        </is>
      </c>
      <c r="E1996" t="inlineStr">
        <is>
          <t>UPPSALA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52014-2021</t>
        </is>
      </c>
      <c r="B1997" s="1" t="n">
        <v>44463</v>
      </c>
      <c r="C1997" s="1" t="n">
        <v>45706</v>
      </c>
      <c r="D1997" t="inlineStr">
        <is>
          <t>UPPSALA LÄN</t>
        </is>
      </c>
      <c r="E1997" t="inlineStr">
        <is>
          <t>ENKÖPING</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52025-2021</t>
        </is>
      </c>
      <c r="B1998" s="1" t="n">
        <v>44463</v>
      </c>
      <c r="C1998" s="1" t="n">
        <v>45706</v>
      </c>
      <c r="D1998" t="inlineStr">
        <is>
          <t>UPPSALA LÄN</t>
        </is>
      </c>
      <c r="E1998" t="inlineStr">
        <is>
          <t>TIERP</t>
        </is>
      </c>
      <c r="F1998" t="inlineStr">
        <is>
          <t>Bergvik skog öst AB</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52424-2021</t>
        </is>
      </c>
      <c r="B1999" s="1" t="n">
        <v>44466</v>
      </c>
      <c r="C1999" s="1" t="n">
        <v>45706</v>
      </c>
      <c r="D1999" t="inlineStr">
        <is>
          <t>UPPSALA LÄN</t>
        </is>
      </c>
      <c r="E1999" t="inlineStr">
        <is>
          <t>HEBY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52659-2021</t>
        </is>
      </c>
      <c r="B2000" s="1" t="n">
        <v>44466</v>
      </c>
      <c r="C2000" s="1" t="n">
        <v>45706</v>
      </c>
      <c r="D2000" t="inlineStr">
        <is>
          <t>UPPSALA LÄN</t>
        </is>
      </c>
      <c r="E2000" t="inlineStr">
        <is>
          <t>ÖSTHAMMAR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52544-2021</t>
        </is>
      </c>
      <c r="B2001" s="1" t="n">
        <v>44466</v>
      </c>
      <c r="C2001" s="1" t="n">
        <v>45706</v>
      </c>
      <c r="D2001" t="inlineStr">
        <is>
          <t>UPPSALA LÄN</t>
        </is>
      </c>
      <c r="E2001" t="inlineStr">
        <is>
          <t>ÖSTHAMMAR</t>
        </is>
      </c>
      <c r="F2001" t="inlineStr">
        <is>
          <t>Bergvik skog väst AB</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53067-2021</t>
        </is>
      </c>
      <c r="B2002" s="1" t="n">
        <v>44467</v>
      </c>
      <c r="C2002" s="1" t="n">
        <v>45706</v>
      </c>
      <c r="D2002" t="inlineStr">
        <is>
          <t>UPPSALA LÄN</t>
        </is>
      </c>
      <c r="E2002" t="inlineStr">
        <is>
          <t>HEBY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52898-2021</t>
        </is>
      </c>
      <c r="B2003" s="1" t="n">
        <v>44467</v>
      </c>
      <c r="C2003" s="1" t="n">
        <v>45706</v>
      </c>
      <c r="D2003" t="inlineStr">
        <is>
          <t>UPPSALA LÄN</t>
        </is>
      </c>
      <c r="E2003" t="inlineStr">
        <is>
          <t>ÖSTHAMMAR</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53666-2021</t>
        </is>
      </c>
      <c r="B2004" s="1" t="n">
        <v>44469</v>
      </c>
      <c r="C2004" s="1" t="n">
        <v>45706</v>
      </c>
      <c r="D2004" t="inlineStr">
        <is>
          <t>UPPSALA LÄN</t>
        </is>
      </c>
      <c r="E2004" t="inlineStr">
        <is>
          <t>TIERP</t>
        </is>
      </c>
      <c r="F2004" t="inlineStr">
        <is>
          <t>Bergvik skog öst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53766-2021</t>
        </is>
      </c>
      <c r="B2005" s="1" t="n">
        <v>44469</v>
      </c>
      <c r="C2005" s="1" t="n">
        <v>45706</v>
      </c>
      <c r="D2005" t="inlineStr">
        <is>
          <t>UPPSALA LÄN</t>
        </is>
      </c>
      <c r="E2005" t="inlineStr">
        <is>
          <t>TIERP</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53751-2021</t>
        </is>
      </c>
      <c r="B2006" s="1" t="n">
        <v>44469</v>
      </c>
      <c r="C2006" s="1" t="n">
        <v>45706</v>
      </c>
      <c r="D2006" t="inlineStr">
        <is>
          <t>UPPSALA LÄN</t>
        </is>
      </c>
      <c r="E2006" t="inlineStr">
        <is>
          <t>TIERP</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54168-2021</t>
        </is>
      </c>
      <c r="B2007" s="1" t="n">
        <v>44470</v>
      </c>
      <c r="C2007" s="1" t="n">
        <v>45706</v>
      </c>
      <c r="D2007" t="inlineStr">
        <is>
          <t>UPPSALA LÄN</t>
        </is>
      </c>
      <c r="E2007" t="inlineStr">
        <is>
          <t>UPPSALA</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54155-2021</t>
        </is>
      </c>
      <c r="B2008" s="1" t="n">
        <v>44470</v>
      </c>
      <c r="C2008" s="1" t="n">
        <v>45706</v>
      </c>
      <c r="D2008" t="inlineStr">
        <is>
          <t>UPPSALA LÄN</t>
        </is>
      </c>
      <c r="E2008" t="inlineStr">
        <is>
          <t>KNIVSTA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54433-2021</t>
        </is>
      </c>
      <c r="B2009" s="1" t="n">
        <v>44473</v>
      </c>
      <c r="C2009" s="1" t="n">
        <v>45706</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54595-2021</t>
        </is>
      </c>
      <c r="B2010" s="1" t="n">
        <v>44473</v>
      </c>
      <c r="C2010" s="1" t="n">
        <v>45706</v>
      </c>
      <c r="D2010" t="inlineStr">
        <is>
          <t>UPPSALA LÄN</t>
        </is>
      </c>
      <c r="E2010" t="inlineStr">
        <is>
          <t>ENKÖPING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54890-2021</t>
        </is>
      </c>
      <c r="B2011" s="1" t="n">
        <v>44473</v>
      </c>
      <c r="C2011" s="1" t="n">
        <v>45706</v>
      </c>
      <c r="D2011" t="inlineStr">
        <is>
          <t>UPPSALA LÄN</t>
        </is>
      </c>
      <c r="E2011" t="inlineStr">
        <is>
          <t>HÅBO</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55026-2021</t>
        </is>
      </c>
      <c r="B2012" s="1" t="n">
        <v>44474</v>
      </c>
      <c r="C2012" s="1" t="n">
        <v>45706</v>
      </c>
      <c r="D2012" t="inlineStr">
        <is>
          <t>UPPSALA LÄN</t>
        </is>
      </c>
      <c r="E2012" t="inlineStr">
        <is>
          <t>TIERP</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55582-2021</t>
        </is>
      </c>
      <c r="B2013" s="1" t="n">
        <v>44475</v>
      </c>
      <c r="C2013" s="1" t="n">
        <v>45706</v>
      </c>
      <c r="D2013" t="inlineStr">
        <is>
          <t>UPPSALA LÄN</t>
        </is>
      </c>
      <c r="E2013" t="inlineStr">
        <is>
          <t>ENKÖPING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55646-2021</t>
        </is>
      </c>
      <c r="B2014" s="1" t="n">
        <v>44476</v>
      </c>
      <c r="C2014" s="1" t="n">
        <v>45706</v>
      </c>
      <c r="D2014" t="inlineStr">
        <is>
          <t>UPPSALA LÄN</t>
        </is>
      </c>
      <c r="E2014" t="inlineStr">
        <is>
          <t>ÖSTHAMMAR</t>
        </is>
      </c>
      <c r="F2014" t="inlineStr">
        <is>
          <t>Bergvik skog öst AB</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55872-2021</t>
        </is>
      </c>
      <c r="B2015" s="1" t="n">
        <v>44476</v>
      </c>
      <c r="C2015" s="1" t="n">
        <v>45706</v>
      </c>
      <c r="D2015" t="inlineStr">
        <is>
          <t>UPPSALA LÄN</t>
        </is>
      </c>
      <c r="E2015" t="inlineStr">
        <is>
          <t>ÖSTHAMMAR</t>
        </is>
      </c>
      <c r="F2015" t="inlineStr">
        <is>
          <t>Bergvik skog öst AB</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55823-2021</t>
        </is>
      </c>
      <c r="B2016" s="1" t="n">
        <v>44476</v>
      </c>
      <c r="C2016" s="1" t="n">
        <v>45706</v>
      </c>
      <c r="D2016" t="inlineStr">
        <is>
          <t>UPPSALA LÄN</t>
        </is>
      </c>
      <c r="E2016" t="inlineStr">
        <is>
          <t>UPPSALA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56163-2021</t>
        </is>
      </c>
      <c r="B2017" s="1" t="n">
        <v>44477</v>
      </c>
      <c r="C2017" s="1" t="n">
        <v>45706</v>
      </c>
      <c r="D2017" t="inlineStr">
        <is>
          <t>UPPSALA LÄN</t>
        </is>
      </c>
      <c r="E2017" t="inlineStr">
        <is>
          <t>ENKÖPING</t>
        </is>
      </c>
      <c r="F2017" t="inlineStr">
        <is>
          <t>Allmännings- och besparingsskogar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56042-2021</t>
        </is>
      </c>
      <c r="B2018" s="1" t="n">
        <v>44477</v>
      </c>
      <c r="C2018" s="1" t="n">
        <v>45706</v>
      </c>
      <c r="D2018" t="inlineStr">
        <is>
          <t>UPPSALA LÄN</t>
        </is>
      </c>
      <c r="E2018" t="inlineStr">
        <is>
          <t>UPPSALA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56138-2021</t>
        </is>
      </c>
      <c r="B2019" s="1" t="n">
        <v>44477</v>
      </c>
      <c r="C2019" s="1" t="n">
        <v>45706</v>
      </c>
      <c r="D2019" t="inlineStr">
        <is>
          <t>UPPSALA LÄN</t>
        </is>
      </c>
      <c r="E2019" t="inlineStr">
        <is>
          <t>HEBY</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56176-2021</t>
        </is>
      </c>
      <c r="B2020" s="1" t="n">
        <v>44477</v>
      </c>
      <c r="C2020" s="1" t="n">
        <v>45706</v>
      </c>
      <c r="D2020" t="inlineStr">
        <is>
          <t>UPPSALA LÄN</t>
        </is>
      </c>
      <c r="E2020" t="inlineStr">
        <is>
          <t>ENKÖPING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56302-2021</t>
        </is>
      </c>
      <c r="B2021" s="1" t="n">
        <v>44477</v>
      </c>
      <c r="C2021" s="1" t="n">
        <v>45706</v>
      </c>
      <c r="D2021" t="inlineStr">
        <is>
          <t>UPPSALA LÄN</t>
        </is>
      </c>
      <c r="E2021" t="inlineStr">
        <is>
          <t>HEBY</t>
        </is>
      </c>
      <c r="F2021" t="inlineStr">
        <is>
          <t>Bergvik skog väst AB</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56049-2021</t>
        </is>
      </c>
      <c r="B2022" s="1" t="n">
        <v>44477</v>
      </c>
      <c r="C2022" s="1" t="n">
        <v>45706</v>
      </c>
      <c r="D2022" t="inlineStr">
        <is>
          <t>UPPSALA LÄN</t>
        </is>
      </c>
      <c r="E2022" t="inlineStr">
        <is>
          <t>UPPSALA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56463-2021</t>
        </is>
      </c>
      <c r="B2023" s="1" t="n">
        <v>44479</v>
      </c>
      <c r="C2023" s="1" t="n">
        <v>45706</v>
      </c>
      <c r="D2023" t="inlineStr">
        <is>
          <t>UPPSALA LÄN</t>
        </is>
      </c>
      <c r="E2023" t="inlineStr">
        <is>
          <t>UPPSALA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56376-2021</t>
        </is>
      </c>
      <c r="B2024" s="1" t="n">
        <v>44480</v>
      </c>
      <c r="C2024" s="1" t="n">
        <v>45706</v>
      </c>
      <c r="D2024" t="inlineStr">
        <is>
          <t>UPPSALA LÄN</t>
        </is>
      </c>
      <c r="E2024" t="inlineStr">
        <is>
          <t>HEBY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56352-2021</t>
        </is>
      </c>
      <c r="B2025" s="1" t="n">
        <v>44480</v>
      </c>
      <c r="C2025" s="1" t="n">
        <v>45706</v>
      </c>
      <c r="D2025" t="inlineStr">
        <is>
          <t>UPPSALA LÄN</t>
        </is>
      </c>
      <c r="E2025" t="inlineStr">
        <is>
          <t>HEBY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56498-2021</t>
        </is>
      </c>
      <c r="B2026" s="1" t="n">
        <v>44480</v>
      </c>
      <c r="C2026" s="1" t="n">
        <v>45706</v>
      </c>
      <c r="D2026" t="inlineStr">
        <is>
          <t>UPPSALA LÄN</t>
        </is>
      </c>
      <c r="E2026" t="inlineStr">
        <is>
          <t>TIERP</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56509-2021</t>
        </is>
      </c>
      <c r="B2027" s="1" t="n">
        <v>44480</v>
      </c>
      <c r="C2027" s="1" t="n">
        <v>45706</v>
      </c>
      <c r="D2027" t="inlineStr">
        <is>
          <t>UPPSALA LÄN</t>
        </is>
      </c>
      <c r="E2027" t="inlineStr">
        <is>
          <t>TIERP</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56578-2021</t>
        </is>
      </c>
      <c r="B2028" s="1" t="n">
        <v>44480</v>
      </c>
      <c r="C2028" s="1" t="n">
        <v>45706</v>
      </c>
      <c r="D2028" t="inlineStr">
        <is>
          <t>UPPSALA LÄN</t>
        </is>
      </c>
      <c r="E2028" t="inlineStr">
        <is>
          <t>HEBY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56740-2021</t>
        </is>
      </c>
      <c r="B2029" s="1" t="n">
        <v>44481</v>
      </c>
      <c r="C2029" s="1" t="n">
        <v>45706</v>
      </c>
      <c r="D2029" t="inlineStr">
        <is>
          <t>UPPSALA LÄN</t>
        </is>
      </c>
      <c r="E2029" t="inlineStr">
        <is>
          <t>TIERP</t>
        </is>
      </c>
      <c r="F2029" t="inlineStr">
        <is>
          <t>Bergvik skog öst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56769-2021</t>
        </is>
      </c>
      <c r="B2030" s="1" t="n">
        <v>44481</v>
      </c>
      <c r="C2030" s="1" t="n">
        <v>45706</v>
      </c>
      <c r="D2030" t="inlineStr">
        <is>
          <t>UPPSALA LÄN</t>
        </is>
      </c>
      <c r="E2030" t="inlineStr">
        <is>
          <t>UPPSALA</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57003-2021</t>
        </is>
      </c>
      <c r="B2031" s="1" t="n">
        <v>44482</v>
      </c>
      <c r="C2031" s="1" t="n">
        <v>45706</v>
      </c>
      <c r="D2031" t="inlineStr">
        <is>
          <t>UPPSALA LÄN</t>
        </is>
      </c>
      <c r="E2031" t="inlineStr">
        <is>
          <t>ÖSTHAMMAR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57043-2021</t>
        </is>
      </c>
      <c r="B2032" s="1" t="n">
        <v>44482</v>
      </c>
      <c r="C2032" s="1" t="n">
        <v>45706</v>
      </c>
      <c r="D2032" t="inlineStr">
        <is>
          <t>UPPSALA LÄN</t>
        </is>
      </c>
      <c r="E2032" t="inlineStr">
        <is>
          <t>ENKÖPING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57055-2021</t>
        </is>
      </c>
      <c r="B2033" s="1" t="n">
        <v>44482</v>
      </c>
      <c r="C2033" s="1" t="n">
        <v>45706</v>
      </c>
      <c r="D2033" t="inlineStr">
        <is>
          <t>UPPSALA LÄN</t>
        </is>
      </c>
      <c r="E2033" t="inlineStr">
        <is>
          <t>ENKÖPING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57028-2021</t>
        </is>
      </c>
      <c r="B2034" s="1" t="n">
        <v>44482</v>
      </c>
      <c r="C2034" s="1" t="n">
        <v>45706</v>
      </c>
      <c r="D2034" t="inlineStr">
        <is>
          <t>UPPSALA LÄN</t>
        </is>
      </c>
      <c r="E2034" t="inlineStr">
        <is>
          <t>TIERP</t>
        </is>
      </c>
      <c r="F2034" t="inlineStr">
        <is>
          <t>Bergvik skog väst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57066-2021</t>
        </is>
      </c>
      <c r="B2035" s="1" t="n">
        <v>44482</v>
      </c>
      <c r="C2035" s="1" t="n">
        <v>45706</v>
      </c>
      <c r="D2035" t="inlineStr">
        <is>
          <t>UPPSALA LÄN</t>
        </is>
      </c>
      <c r="E2035" t="inlineStr">
        <is>
          <t>ENKÖPING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57080-2021</t>
        </is>
      </c>
      <c r="B2036" s="1" t="n">
        <v>44482</v>
      </c>
      <c r="C2036" s="1" t="n">
        <v>45706</v>
      </c>
      <c r="D2036" t="inlineStr">
        <is>
          <t>UPPSALA LÄN</t>
        </is>
      </c>
      <c r="E2036" t="inlineStr">
        <is>
          <t>ÖSTHAMMAR</t>
        </is>
      </c>
      <c r="F2036" t="inlineStr">
        <is>
          <t>Bergvik skog öst AB</t>
        </is>
      </c>
      <c r="G2036" t="n">
        <v>13.4</v>
      </c>
      <c r="H2036" t="n">
        <v>0</v>
      </c>
      <c r="I2036" t="n">
        <v>0</v>
      </c>
      <c r="J2036" t="n">
        <v>0</v>
      </c>
      <c r="K2036" t="n">
        <v>0</v>
      </c>
      <c r="L2036" t="n">
        <v>0</v>
      </c>
      <c r="M2036" t="n">
        <v>0</v>
      </c>
      <c r="N2036" t="n">
        <v>0</v>
      </c>
      <c r="O2036" t="n">
        <v>0</v>
      </c>
      <c r="P2036" t="n">
        <v>0</v>
      </c>
      <c r="Q2036" t="n">
        <v>0</v>
      </c>
      <c r="R2036" s="2" t="inlineStr"/>
    </row>
    <row r="2037" ht="15" customHeight="1">
      <c r="A2037" t="inlineStr">
        <is>
          <t>A 57078-2021</t>
        </is>
      </c>
      <c r="B2037" s="1" t="n">
        <v>44482</v>
      </c>
      <c r="C2037" s="1" t="n">
        <v>45706</v>
      </c>
      <c r="D2037" t="inlineStr">
        <is>
          <t>UPPSALA LÄN</t>
        </is>
      </c>
      <c r="E2037" t="inlineStr">
        <is>
          <t>ENKÖPING</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57142-2021</t>
        </is>
      </c>
      <c r="B2038" s="1" t="n">
        <v>44482</v>
      </c>
      <c r="C2038" s="1" t="n">
        <v>45706</v>
      </c>
      <c r="D2038" t="inlineStr">
        <is>
          <t>UPPSALA LÄN</t>
        </is>
      </c>
      <c r="E2038" t="inlineStr">
        <is>
          <t>ENKÖPING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57153-2021</t>
        </is>
      </c>
      <c r="B2039" s="1" t="n">
        <v>44482</v>
      </c>
      <c r="C2039" s="1" t="n">
        <v>45706</v>
      </c>
      <c r="D2039" t="inlineStr">
        <is>
          <t>UPPSALA LÄN</t>
        </is>
      </c>
      <c r="E2039" t="inlineStr">
        <is>
          <t>ENKÖPING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57147-2021</t>
        </is>
      </c>
      <c r="B2040" s="1" t="n">
        <v>44482</v>
      </c>
      <c r="C2040" s="1" t="n">
        <v>45706</v>
      </c>
      <c r="D2040" t="inlineStr">
        <is>
          <t>UPPSALA LÄN</t>
        </is>
      </c>
      <c r="E2040" t="inlineStr">
        <is>
          <t>ENKÖPING</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57152-2021</t>
        </is>
      </c>
      <c r="B2041" s="1" t="n">
        <v>44482</v>
      </c>
      <c r="C2041" s="1" t="n">
        <v>45706</v>
      </c>
      <c r="D2041" t="inlineStr">
        <is>
          <t>UPPSALA LÄN</t>
        </is>
      </c>
      <c r="E2041" t="inlineStr">
        <is>
          <t>ENKÖPING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57647-2021</t>
        </is>
      </c>
      <c r="B2042" s="1" t="n">
        <v>44484</v>
      </c>
      <c r="C2042" s="1" t="n">
        <v>45706</v>
      </c>
      <c r="D2042" t="inlineStr">
        <is>
          <t>UPPSALA LÄN</t>
        </is>
      </c>
      <c r="E2042" t="inlineStr">
        <is>
          <t>UPPSALA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57890-2021</t>
        </is>
      </c>
      <c r="B2043" s="1" t="n">
        <v>44486</v>
      </c>
      <c r="C2043" s="1" t="n">
        <v>45706</v>
      </c>
      <c r="D2043" t="inlineStr">
        <is>
          <t>UPPSALA LÄN</t>
        </is>
      </c>
      <c r="E2043" t="inlineStr">
        <is>
          <t>UPPSALA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58334-2021</t>
        </is>
      </c>
      <c r="B2044" s="1" t="n">
        <v>44488</v>
      </c>
      <c r="C2044" s="1" t="n">
        <v>45706</v>
      </c>
      <c r="D2044" t="inlineStr">
        <is>
          <t>UPPSALA LÄN</t>
        </is>
      </c>
      <c r="E2044" t="inlineStr">
        <is>
          <t>ÖSTHAMMAR</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58767-2021</t>
        </is>
      </c>
      <c r="B2045" s="1" t="n">
        <v>44489</v>
      </c>
      <c r="C2045" s="1" t="n">
        <v>45706</v>
      </c>
      <c r="D2045" t="inlineStr">
        <is>
          <t>UPPSALA LÄN</t>
        </is>
      </c>
      <c r="E2045" t="inlineStr">
        <is>
          <t>UPPSALA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58897-2021</t>
        </is>
      </c>
      <c r="B2046" s="1" t="n">
        <v>44489</v>
      </c>
      <c r="C2046" s="1" t="n">
        <v>45706</v>
      </c>
      <c r="D2046" t="inlineStr">
        <is>
          <t>UPPSALA LÄN</t>
        </is>
      </c>
      <c r="E2046" t="inlineStr">
        <is>
          <t>UPPSALA</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59121-2021</t>
        </is>
      </c>
      <c r="B2047" s="1" t="n">
        <v>44490</v>
      </c>
      <c r="C2047" s="1" t="n">
        <v>45706</v>
      </c>
      <c r="D2047" t="inlineStr">
        <is>
          <t>UPPSALA LÄN</t>
        </is>
      </c>
      <c r="E2047" t="inlineStr">
        <is>
          <t>ENKÖPING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59241-2021</t>
        </is>
      </c>
      <c r="B2048" s="1" t="n">
        <v>44490</v>
      </c>
      <c r="C2048" s="1" t="n">
        <v>45706</v>
      </c>
      <c r="D2048" t="inlineStr">
        <is>
          <t>UPPSALA LÄN</t>
        </is>
      </c>
      <c r="E2048" t="inlineStr">
        <is>
          <t>UPPSALA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59378-2021</t>
        </is>
      </c>
      <c r="B2049" s="1" t="n">
        <v>44491</v>
      </c>
      <c r="C2049" s="1" t="n">
        <v>45706</v>
      </c>
      <c r="D2049" t="inlineStr">
        <is>
          <t>UPPSALA LÄN</t>
        </is>
      </c>
      <c r="E2049" t="inlineStr">
        <is>
          <t>TIERP</t>
        </is>
      </c>
      <c r="F2049" t="inlineStr">
        <is>
          <t>Bergvik skog öst AB</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59484-2021</t>
        </is>
      </c>
      <c r="B2050" s="1" t="n">
        <v>44491</v>
      </c>
      <c r="C2050" s="1" t="n">
        <v>45706</v>
      </c>
      <c r="D2050" t="inlineStr">
        <is>
          <t>UPPSALA LÄN</t>
        </is>
      </c>
      <c r="E2050" t="inlineStr">
        <is>
          <t>UPPSALA</t>
        </is>
      </c>
      <c r="F2050" t="inlineStr">
        <is>
          <t>Bergvik skog öst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59500-2021</t>
        </is>
      </c>
      <c r="B2051" s="1" t="n">
        <v>44491</v>
      </c>
      <c r="C2051" s="1" t="n">
        <v>45706</v>
      </c>
      <c r="D2051" t="inlineStr">
        <is>
          <t>UPPSALA LÄN</t>
        </is>
      </c>
      <c r="E2051" t="inlineStr">
        <is>
          <t>UPPSALA</t>
        </is>
      </c>
      <c r="F2051" t="inlineStr">
        <is>
          <t>Bergvik skog öst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59350-2021</t>
        </is>
      </c>
      <c r="B2052" s="1" t="n">
        <v>44491</v>
      </c>
      <c r="C2052" s="1" t="n">
        <v>45706</v>
      </c>
      <c r="D2052" t="inlineStr">
        <is>
          <t>UPPSALA LÄN</t>
        </is>
      </c>
      <c r="E2052" t="inlineStr">
        <is>
          <t>TIERP</t>
        </is>
      </c>
      <c r="F2052" t="inlineStr">
        <is>
          <t>Bergvik skog öst AB</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59360-2021</t>
        </is>
      </c>
      <c r="B2053" s="1" t="n">
        <v>44491</v>
      </c>
      <c r="C2053" s="1" t="n">
        <v>45706</v>
      </c>
      <c r="D2053" t="inlineStr">
        <is>
          <t>UPPSALA LÄN</t>
        </is>
      </c>
      <c r="E2053" t="inlineStr">
        <is>
          <t>ÖSTHAMMAR</t>
        </is>
      </c>
      <c r="F2053" t="inlineStr">
        <is>
          <t>Bergvik skog öst AB</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59479-2021</t>
        </is>
      </c>
      <c r="B2054" s="1" t="n">
        <v>44491</v>
      </c>
      <c r="C2054" s="1" t="n">
        <v>45706</v>
      </c>
      <c r="D2054" t="inlineStr">
        <is>
          <t>UPPSALA LÄN</t>
        </is>
      </c>
      <c r="E2054" t="inlineStr">
        <is>
          <t>UPPSALA</t>
        </is>
      </c>
      <c r="F2054" t="inlineStr">
        <is>
          <t>Bergvik skog öst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59486-2021</t>
        </is>
      </c>
      <c r="B2055" s="1" t="n">
        <v>44491</v>
      </c>
      <c r="C2055" s="1" t="n">
        <v>45706</v>
      </c>
      <c r="D2055" t="inlineStr">
        <is>
          <t>UPPSALA LÄN</t>
        </is>
      </c>
      <c r="E2055" t="inlineStr">
        <is>
          <t>HEBY</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59498-2021</t>
        </is>
      </c>
      <c r="B2056" s="1" t="n">
        <v>44491</v>
      </c>
      <c r="C2056" s="1" t="n">
        <v>45706</v>
      </c>
      <c r="D2056" t="inlineStr">
        <is>
          <t>UPPSALA LÄN</t>
        </is>
      </c>
      <c r="E2056" t="inlineStr">
        <is>
          <t>ÖSTHAMMAR</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59599-2021</t>
        </is>
      </c>
      <c r="B2057" s="1" t="n">
        <v>44491</v>
      </c>
      <c r="C2057" s="1" t="n">
        <v>45706</v>
      </c>
      <c r="D2057" t="inlineStr">
        <is>
          <t>UPPSALA LÄN</t>
        </is>
      </c>
      <c r="E2057" t="inlineStr">
        <is>
          <t>HEBY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59881-2021</t>
        </is>
      </c>
      <c r="B2058" s="1" t="n">
        <v>44494</v>
      </c>
      <c r="C2058" s="1" t="n">
        <v>45706</v>
      </c>
      <c r="D2058" t="inlineStr">
        <is>
          <t>UPPSALA LÄN</t>
        </is>
      </c>
      <c r="E2058" t="inlineStr">
        <is>
          <t>UPPSALA</t>
        </is>
      </c>
      <c r="F2058" t="inlineStr">
        <is>
          <t>Allmännings- och besparingsskogar</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60047-2021</t>
        </is>
      </c>
      <c r="B2059" s="1" t="n">
        <v>44495</v>
      </c>
      <c r="C2059" s="1" t="n">
        <v>45706</v>
      </c>
      <c r="D2059" t="inlineStr">
        <is>
          <t>UPPSALA LÄN</t>
        </is>
      </c>
      <c r="E2059" t="inlineStr">
        <is>
          <t>ÖSTHAMMAR</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60032-2021</t>
        </is>
      </c>
      <c r="B2060" s="1" t="n">
        <v>44495</v>
      </c>
      <c r="C2060" s="1" t="n">
        <v>45706</v>
      </c>
      <c r="D2060" t="inlineStr">
        <is>
          <t>UPPSALA LÄN</t>
        </is>
      </c>
      <c r="E2060" t="inlineStr">
        <is>
          <t>UPPSALA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60295-2021</t>
        </is>
      </c>
      <c r="B2061" s="1" t="n">
        <v>44495</v>
      </c>
      <c r="C2061" s="1" t="n">
        <v>45706</v>
      </c>
      <c r="D2061" t="inlineStr">
        <is>
          <t>UPPSALA LÄN</t>
        </is>
      </c>
      <c r="E2061" t="inlineStr">
        <is>
          <t>HEBY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60577-2021</t>
        </is>
      </c>
      <c r="B2062" s="1" t="n">
        <v>44496</v>
      </c>
      <c r="C2062" s="1" t="n">
        <v>45706</v>
      </c>
      <c r="D2062" t="inlineStr">
        <is>
          <t>UPPSALA LÄN</t>
        </is>
      </c>
      <c r="E2062" t="inlineStr">
        <is>
          <t>ÖSTHAMMAR</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60584-2021</t>
        </is>
      </c>
      <c r="B2063" s="1" t="n">
        <v>44496</v>
      </c>
      <c r="C2063" s="1" t="n">
        <v>45706</v>
      </c>
      <c r="D2063" t="inlineStr">
        <is>
          <t>UPPSALA LÄN</t>
        </is>
      </c>
      <c r="E2063" t="inlineStr">
        <is>
          <t>ÖSTHAMMAR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60441-2021</t>
        </is>
      </c>
      <c r="B2064" s="1" t="n">
        <v>44496</v>
      </c>
      <c r="C2064" s="1" t="n">
        <v>45706</v>
      </c>
      <c r="D2064" t="inlineStr">
        <is>
          <t>UPPSALA LÄN</t>
        </is>
      </c>
      <c r="E2064" t="inlineStr">
        <is>
          <t>TIERP</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60533-2021</t>
        </is>
      </c>
      <c r="B2065" s="1" t="n">
        <v>44496</v>
      </c>
      <c r="C2065" s="1" t="n">
        <v>45706</v>
      </c>
      <c r="D2065" t="inlineStr">
        <is>
          <t>UPPSALA LÄN</t>
        </is>
      </c>
      <c r="E2065" t="inlineStr">
        <is>
          <t>ENKÖPING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60429-2021</t>
        </is>
      </c>
      <c r="B2066" s="1" t="n">
        <v>44496</v>
      </c>
      <c r="C2066" s="1" t="n">
        <v>45706</v>
      </c>
      <c r="D2066" t="inlineStr">
        <is>
          <t>UPPSALA LÄN</t>
        </is>
      </c>
      <c r="E2066" t="inlineStr">
        <is>
          <t>TIERP</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61008-2021</t>
        </is>
      </c>
      <c r="B2067" s="1" t="n">
        <v>44497</v>
      </c>
      <c r="C2067" s="1" t="n">
        <v>45706</v>
      </c>
      <c r="D2067" t="inlineStr">
        <is>
          <t>UPPSALA LÄN</t>
        </is>
      </c>
      <c r="E2067" t="inlineStr">
        <is>
          <t>UPPSALA</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60885-2021</t>
        </is>
      </c>
      <c r="B2068" s="1" t="n">
        <v>44497</v>
      </c>
      <c r="C2068" s="1" t="n">
        <v>45706</v>
      </c>
      <c r="D2068" t="inlineStr">
        <is>
          <t>UPPSALA LÄN</t>
        </is>
      </c>
      <c r="E2068" t="inlineStr">
        <is>
          <t>KNIVSTA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60908-2021</t>
        </is>
      </c>
      <c r="B2069" s="1" t="n">
        <v>44497</v>
      </c>
      <c r="C2069" s="1" t="n">
        <v>45706</v>
      </c>
      <c r="D2069" t="inlineStr">
        <is>
          <t>UPPSALA LÄN</t>
        </is>
      </c>
      <c r="E2069" t="inlineStr">
        <is>
          <t>TIERP</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60917-2021</t>
        </is>
      </c>
      <c r="B2070" s="1" t="n">
        <v>44497</v>
      </c>
      <c r="C2070" s="1" t="n">
        <v>45706</v>
      </c>
      <c r="D2070" t="inlineStr">
        <is>
          <t>UPPSALA LÄN</t>
        </is>
      </c>
      <c r="E2070" t="inlineStr">
        <is>
          <t>UPPSALA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60874-2021</t>
        </is>
      </c>
      <c r="B2071" s="1" t="n">
        <v>44497</v>
      </c>
      <c r="C2071" s="1" t="n">
        <v>45706</v>
      </c>
      <c r="D2071" t="inlineStr">
        <is>
          <t>UPPSALA LÄN</t>
        </is>
      </c>
      <c r="E2071" t="inlineStr">
        <is>
          <t>ENKÖPING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61076-2021</t>
        </is>
      </c>
      <c r="B2072" s="1" t="n">
        <v>44497</v>
      </c>
      <c r="C2072" s="1" t="n">
        <v>45706</v>
      </c>
      <c r="D2072" t="inlineStr">
        <is>
          <t>UPPSALA LÄN</t>
        </is>
      </c>
      <c r="E2072" t="inlineStr">
        <is>
          <t>ENKÖPING</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60925-2021</t>
        </is>
      </c>
      <c r="B2073" s="1" t="n">
        <v>44497</v>
      </c>
      <c r="C2073" s="1" t="n">
        <v>45706</v>
      </c>
      <c r="D2073" t="inlineStr">
        <is>
          <t>UPPSALA LÄN</t>
        </is>
      </c>
      <c r="E2073" t="inlineStr">
        <is>
          <t>UPPSALA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61746-2021</t>
        </is>
      </c>
      <c r="B2074" s="1" t="n">
        <v>44498</v>
      </c>
      <c r="C2074" s="1" t="n">
        <v>45706</v>
      </c>
      <c r="D2074" t="inlineStr">
        <is>
          <t>UPPSALA LÄN</t>
        </is>
      </c>
      <c r="E2074" t="inlineStr">
        <is>
          <t>ÖSTHAMMAR</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61555-2021</t>
        </is>
      </c>
      <c r="B2075" s="1" t="n">
        <v>44501</v>
      </c>
      <c r="C2075" s="1" t="n">
        <v>45706</v>
      </c>
      <c r="D2075" t="inlineStr">
        <is>
          <t>UPPSALA LÄN</t>
        </is>
      </c>
      <c r="E2075" t="inlineStr">
        <is>
          <t>ÖSTHAMMAR</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61553-2021</t>
        </is>
      </c>
      <c r="B2076" s="1" t="n">
        <v>44501</v>
      </c>
      <c r="C2076" s="1" t="n">
        <v>45706</v>
      </c>
      <c r="D2076" t="inlineStr">
        <is>
          <t>UPPSALA LÄN</t>
        </is>
      </c>
      <c r="E2076" t="inlineStr">
        <is>
          <t>ENKÖPING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61560-2021</t>
        </is>
      </c>
      <c r="B2077" s="1" t="n">
        <v>44501</v>
      </c>
      <c r="C2077" s="1" t="n">
        <v>45706</v>
      </c>
      <c r="D2077" t="inlineStr">
        <is>
          <t>UPPSALA LÄN</t>
        </is>
      </c>
      <c r="E2077" t="inlineStr">
        <is>
          <t>ÖSTHAMMAR</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61817-2021</t>
        </is>
      </c>
      <c r="B2078" s="1" t="n">
        <v>44501</v>
      </c>
      <c r="C2078" s="1" t="n">
        <v>45706</v>
      </c>
      <c r="D2078" t="inlineStr">
        <is>
          <t>UPPSALA LÄN</t>
        </is>
      </c>
      <c r="E2078" t="inlineStr">
        <is>
          <t>ÖSTHAMMAR</t>
        </is>
      </c>
      <c r="F2078" t="inlineStr">
        <is>
          <t>Bergvik skog öst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61805-2021</t>
        </is>
      </c>
      <c r="B2079" s="1" t="n">
        <v>44501</v>
      </c>
      <c r="C2079" s="1" t="n">
        <v>45706</v>
      </c>
      <c r="D2079" t="inlineStr">
        <is>
          <t>UPPSALA LÄN</t>
        </is>
      </c>
      <c r="E2079" t="inlineStr">
        <is>
          <t>UPPSALA</t>
        </is>
      </c>
      <c r="F2079" t="inlineStr">
        <is>
          <t>Bergvik skog öst AB</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61952-2021</t>
        </is>
      </c>
      <c r="B2080" s="1" t="n">
        <v>44502</v>
      </c>
      <c r="C2080" s="1" t="n">
        <v>45706</v>
      </c>
      <c r="D2080" t="inlineStr">
        <is>
          <t>UPPSALA LÄN</t>
        </is>
      </c>
      <c r="E2080" t="inlineStr">
        <is>
          <t>ENKÖPING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62046-2021</t>
        </is>
      </c>
      <c r="B2081" s="1" t="n">
        <v>44502</v>
      </c>
      <c r="C2081" s="1" t="n">
        <v>45706</v>
      </c>
      <c r="D2081" t="inlineStr">
        <is>
          <t>UPPSALA LÄN</t>
        </is>
      </c>
      <c r="E2081" t="inlineStr">
        <is>
          <t>ENKÖPING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62471-2021</t>
        </is>
      </c>
      <c r="B2082" s="1" t="n">
        <v>44503</v>
      </c>
      <c r="C2082" s="1" t="n">
        <v>45706</v>
      </c>
      <c r="D2082" t="inlineStr">
        <is>
          <t>UPPSALA LÄN</t>
        </is>
      </c>
      <c r="E2082" t="inlineStr">
        <is>
          <t>UPPSALA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62441-2021</t>
        </is>
      </c>
      <c r="B2083" s="1" t="n">
        <v>44503</v>
      </c>
      <c r="C2083" s="1" t="n">
        <v>45706</v>
      </c>
      <c r="D2083" t="inlineStr">
        <is>
          <t>UPPSALA LÄN</t>
        </is>
      </c>
      <c r="E2083" t="inlineStr">
        <is>
          <t>KNIVSTA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62854-2021</t>
        </is>
      </c>
      <c r="B2084" s="1" t="n">
        <v>44504</v>
      </c>
      <c r="C2084" s="1" t="n">
        <v>45706</v>
      </c>
      <c r="D2084" t="inlineStr">
        <is>
          <t>UPPSALA LÄN</t>
        </is>
      </c>
      <c r="E2084" t="inlineStr">
        <is>
          <t>ÖSTHAMMAR</t>
        </is>
      </c>
      <c r="F2084" t="inlineStr">
        <is>
          <t>Bergvik skog öst AB</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62764-2021</t>
        </is>
      </c>
      <c r="B2085" s="1" t="n">
        <v>44504</v>
      </c>
      <c r="C2085" s="1" t="n">
        <v>45706</v>
      </c>
      <c r="D2085" t="inlineStr">
        <is>
          <t>UPPSALA LÄN</t>
        </is>
      </c>
      <c r="E2085" t="inlineStr">
        <is>
          <t>HEBY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62782-2021</t>
        </is>
      </c>
      <c r="B2086" s="1" t="n">
        <v>44504</v>
      </c>
      <c r="C2086" s="1" t="n">
        <v>45706</v>
      </c>
      <c r="D2086" t="inlineStr">
        <is>
          <t>UPPSALA LÄN</t>
        </is>
      </c>
      <c r="E2086" t="inlineStr">
        <is>
          <t>ÖSTHAMMAR</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62897-2021</t>
        </is>
      </c>
      <c r="B2087" s="1" t="n">
        <v>44504</v>
      </c>
      <c r="C2087" s="1" t="n">
        <v>45706</v>
      </c>
      <c r="D2087" t="inlineStr">
        <is>
          <t>UPPSALA LÄN</t>
        </is>
      </c>
      <c r="E2087" t="inlineStr">
        <is>
          <t>TIERP</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62865-2021</t>
        </is>
      </c>
      <c r="B2088" s="1" t="n">
        <v>44504</v>
      </c>
      <c r="C2088" s="1" t="n">
        <v>45706</v>
      </c>
      <c r="D2088" t="inlineStr">
        <is>
          <t>UPPSALA LÄN</t>
        </is>
      </c>
      <c r="E2088" t="inlineStr">
        <is>
          <t>UPPSALA</t>
        </is>
      </c>
      <c r="F2088" t="inlineStr">
        <is>
          <t>Bergvik skog öst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63011-2021</t>
        </is>
      </c>
      <c r="B2089" s="1" t="n">
        <v>44504</v>
      </c>
      <c r="C2089" s="1" t="n">
        <v>45706</v>
      </c>
      <c r="D2089" t="inlineStr">
        <is>
          <t>UPPSALA LÄN</t>
        </is>
      </c>
      <c r="E2089" t="inlineStr">
        <is>
          <t>UPPSALA</t>
        </is>
      </c>
      <c r="G2089" t="n">
        <v>11.2</v>
      </c>
      <c r="H2089" t="n">
        <v>0</v>
      </c>
      <c r="I2089" t="n">
        <v>0</v>
      </c>
      <c r="J2089" t="n">
        <v>0</v>
      </c>
      <c r="K2089" t="n">
        <v>0</v>
      </c>
      <c r="L2089" t="n">
        <v>0</v>
      </c>
      <c r="M2089" t="n">
        <v>0</v>
      </c>
      <c r="N2089" t="n">
        <v>0</v>
      </c>
      <c r="O2089" t="n">
        <v>0</v>
      </c>
      <c r="P2089" t="n">
        <v>0</v>
      </c>
      <c r="Q2089" t="n">
        <v>0</v>
      </c>
      <c r="R2089" s="2" t="inlineStr"/>
    </row>
    <row r="2090" ht="15" customHeight="1">
      <c r="A2090" t="inlineStr">
        <is>
          <t>A 63310-2021</t>
        </is>
      </c>
      <c r="B2090" s="1" t="n">
        <v>44508</v>
      </c>
      <c r="C2090" s="1" t="n">
        <v>45706</v>
      </c>
      <c r="D2090" t="inlineStr">
        <is>
          <t>UPPSALA LÄN</t>
        </is>
      </c>
      <c r="E2090" t="inlineStr">
        <is>
          <t>ENKÖPING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63400-2021</t>
        </is>
      </c>
      <c r="B2091" s="1" t="n">
        <v>44508</v>
      </c>
      <c r="C2091" s="1" t="n">
        <v>45706</v>
      </c>
      <c r="D2091" t="inlineStr">
        <is>
          <t>UPPSALA LÄN</t>
        </is>
      </c>
      <c r="E2091" t="inlineStr">
        <is>
          <t>ENKÖPING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63307-2021</t>
        </is>
      </c>
      <c r="B2092" s="1" t="n">
        <v>44508</v>
      </c>
      <c r="C2092" s="1" t="n">
        <v>45706</v>
      </c>
      <c r="D2092" t="inlineStr">
        <is>
          <t>UPPSALA LÄN</t>
        </is>
      </c>
      <c r="E2092" t="inlineStr">
        <is>
          <t>UPPSALA</t>
        </is>
      </c>
      <c r="F2092" t="inlineStr">
        <is>
          <t>Bergvik skog öst AB</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63393-2021</t>
        </is>
      </c>
      <c r="B2093" s="1" t="n">
        <v>44508</v>
      </c>
      <c r="C2093" s="1" t="n">
        <v>45706</v>
      </c>
      <c r="D2093" t="inlineStr">
        <is>
          <t>UPPSALA LÄN</t>
        </is>
      </c>
      <c r="E2093" t="inlineStr">
        <is>
          <t>HEBY</t>
        </is>
      </c>
      <c r="F2093" t="inlineStr">
        <is>
          <t>Bergvik skog öst AB</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63405-2021</t>
        </is>
      </c>
      <c r="B2094" s="1" t="n">
        <v>44508</v>
      </c>
      <c r="C2094" s="1" t="n">
        <v>45706</v>
      </c>
      <c r="D2094" t="inlineStr">
        <is>
          <t>UPPSALA LÄN</t>
        </is>
      </c>
      <c r="E2094" t="inlineStr">
        <is>
          <t>ENKÖPING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63501-2021</t>
        </is>
      </c>
      <c r="B2095" s="1" t="n">
        <v>44508</v>
      </c>
      <c r="C2095" s="1" t="n">
        <v>45706</v>
      </c>
      <c r="D2095" t="inlineStr">
        <is>
          <t>UPPSALA LÄN</t>
        </is>
      </c>
      <c r="E2095" t="inlineStr">
        <is>
          <t>HEBY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63460-2021</t>
        </is>
      </c>
      <c r="B2096" s="1" t="n">
        <v>44508</v>
      </c>
      <c r="C2096" s="1" t="n">
        <v>45706</v>
      </c>
      <c r="D2096" t="inlineStr">
        <is>
          <t>UPPSALA LÄN</t>
        </is>
      </c>
      <c r="E2096" t="inlineStr">
        <is>
          <t>KNIVSTA</t>
        </is>
      </c>
      <c r="F2096" t="inlineStr">
        <is>
          <t>Holmen skog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62451-2021</t>
        </is>
      </c>
      <c r="B2097" s="1" t="n">
        <v>44509</v>
      </c>
      <c r="C2097" s="1" t="n">
        <v>45706</v>
      </c>
      <c r="D2097" t="inlineStr">
        <is>
          <t>UPPSALA LÄN</t>
        </is>
      </c>
      <c r="E2097" t="inlineStr">
        <is>
          <t>KNIVSTA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63826-2021</t>
        </is>
      </c>
      <c r="B2098" s="1" t="n">
        <v>44509</v>
      </c>
      <c r="C2098" s="1" t="n">
        <v>45706</v>
      </c>
      <c r="D2098" t="inlineStr">
        <is>
          <t>UPPSALA LÄN</t>
        </is>
      </c>
      <c r="E2098" t="inlineStr">
        <is>
          <t>HEBY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63959-2021</t>
        </is>
      </c>
      <c r="B2099" s="1" t="n">
        <v>44509</v>
      </c>
      <c r="C2099" s="1" t="n">
        <v>45706</v>
      </c>
      <c r="D2099" t="inlineStr">
        <is>
          <t>UPPSALA LÄN</t>
        </is>
      </c>
      <c r="E2099" t="inlineStr">
        <is>
          <t>HEBY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63955-2021</t>
        </is>
      </c>
      <c r="B2100" s="1" t="n">
        <v>44509</v>
      </c>
      <c r="C2100" s="1" t="n">
        <v>45706</v>
      </c>
      <c r="D2100" t="inlineStr">
        <is>
          <t>UPPSALA LÄN</t>
        </is>
      </c>
      <c r="E2100" t="inlineStr">
        <is>
          <t>HEBY</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64016-2021</t>
        </is>
      </c>
      <c r="B2101" s="1" t="n">
        <v>44510</v>
      </c>
      <c r="C2101" s="1" t="n">
        <v>45706</v>
      </c>
      <c r="D2101" t="inlineStr">
        <is>
          <t>UPPSALA LÄN</t>
        </is>
      </c>
      <c r="E2101" t="inlineStr">
        <is>
          <t>UPPSALA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64044-2021</t>
        </is>
      </c>
      <c r="B2102" s="1" t="n">
        <v>44510</v>
      </c>
      <c r="C2102" s="1" t="n">
        <v>45706</v>
      </c>
      <c r="D2102" t="inlineStr">
        <is>
          <t>UPPSALA LÄN</t>
        </is>
      </c>
      <c r="E2102" t="inlineStr">
        <is>
          <t>KNIVSTA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64364-2021</t>
        </is>
      </c>
      <c r="B2103" s="1" t="n">
        <v>44511</v>
      </c>
      <c r="C2103" s="1" t="n">
        <v>45706</v>
      </c>
      <c r="D2103" t="inlineStr">
        <is>
          <t>UPPSALA LÄN</t>
        </is>
      </c>
      <c r="E2103" t="inlineStr">
        <is>
          <t>HEBY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64413-2021</t>
        </is>
      </c>
      <c r="B2104" s="1" t="n">
        <v>44511</v>
      </c>
      <c r="C2104" s="1" t="n">
        <v>45706</v>
      </c>
      <c r="D2104" t="inlineStr">
        <is>
          <t>UPPSALA LÄN</t>
        </is>
      </c>
      <c r="E2104" t="inlineStr">
        <is>
          <t>HEBY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64586-2021</t>
        </is>
      </c>
      <c r="B2105" s="1" t="n">
        <v>44511</v>
      </c>
      <c r="C2105" s="1" t="n">
        <v>45706</v>
      </c>
      <c r="D2105" t="inlineStr">
        <is>
          <t>UPPSALA LÄN</t>
        </is>
      </c>
      <c r="E2105" t="inlineStr">
        <is>
          <t>ÖSTHAMMAR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64771-2021</t>
        </is>
      </c>
      <c r="B2106" s="1" t="n">
        <v>44512</v>
      </c>
      <c r="C2106" s="1" t="n">
        <v>45706</v>
      </c>
      <c r="D2106" t="inlineStr">
        <is>
          <t>UPPSALA LÄN</t>
        </is>
      </c>
      <c r="E2106" t="inlineStr">
        <is>
          <t>HEBY</t>
        </is>
      </c>
      <c r="F2106" t="inlineStr">
        <is>
          <t>Bergvik skog öst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64857-2021</t>
        </is>
      </c>
      <c r="B2107" s="1" t="n">
        <v>44512</v>
      </c>
      <c r="C2107" s="1" t="n">
        <v>45706</v>
      </c>
      <c r="D2107" t="inlineStr">
        <is>
          <t>UPPSALA LÄN</t>
        </is>
      </c>
      <c r="E2107" t="inlineStr">
        <is>
          <t>UPPSALA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64811-2021</t>
        </is>
      </c>
      <c r="B2108" s="1" t="n">
        <v>44512</v>
      </c>
      <c r="C2108" s="1" t="n">
        <v>45706</v>
      </c>
      <c r="D2108" t="inlineStr">
        <is>
          <t>UPPSALA LÄN</t>
        </is>
      </c>
      <c r="E2108" t="inlineStr">
        <is>
          <t>ÖSTHAMMAR</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64856-2021</t>
        </is>
      </c>
      <c r="B2109" s="1" t="n">
        <v>44512</v>
      </c>
      <c r="C2109" s="1" t="n">
        <v>45706</v>
      </c>
      <c r="D2109" t="inlineStr">
        <is>
          <t>UPPSALA LÄN</t>
        </is>
      </c>
      <c r="E2109" t="inlineStr">
        <is>
          <t>UPPSALA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64872-2021</t>
        </is>
      </c>
      <c r="B2110" s="1" t="n">
        <v>44512</v>
      </c>
      <c r="C2110" s="1" t="n">
        <v>45706</v>
      </c>
      <c r="D2110" t="inlineStr">
        <is>
          <t>UPPSALA LÄN</t>
        </is>
      </c>
      <c r="E2110" t="inlineStr">
        <is>
          <t>ÖSTHAMMAR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64858-2021</t>
        </is>
      </c>
      <c r="B2111" s="1" t="n">
        <v>44512</v>
      </c>
      <c r="C2111" s="1" t="n">
        <v>45706</v>
      </c>
      <c r="D2111" t="inlineStr">
        <is>
          <t>UPPSALA LÄN</t>
        </is>
      </c>
      <c r="E2111" t="inlineStr">
        <is>
          <t>UPPSALA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64899-2021</t>
        </is>
      </c>
      <c r="B2112" s="1" t="n">
        <v>44512</v>
      </c>
      <c r="C2112" s="1" t="n">
        <v>45706</v>
      </c>
      <c r="D2112" t="inlineStr">
        <is>
          <t>UPPSALA LÄN</t>
        </is>
      </c>
      <c r="E2112" t="inlineStr">
        <is>
          <t>HEBY</t>
        </is>
      </c>
      <c r="F2112" t="inlineStr">
        <is>
          <t>Bergvik skog öst AB</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64855-2021</t>
        </is>
      </c>
      <c r="B2113" s="1" t="n">
        <v>44512</v>
      </c>
      <c r="C2113" s="1" t="n">
        <v>45706</v>
      </c>
      <c r="D2113" t="inlineStr">
        <is>
          <t>UPPSALA LÄN</t>
        </is>
      </c>
      <c r="E2113" t="inlineStr">
        <is>
          <t>UPPSALA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64885-2021</t>
        </is>
      </c>
      <c r="B2114" s="1" t="n">
        <v>44512</v>
      </c>
      <c r="C2114" s="1" t="n">
        <v>45706</v>
      </c>
      <c r="D2114" t="inlineStr">
        <is>
          <t>UPPSALA LÄN</t>
        </is>
      </c>
      <c r="E2114" t="inlineStr">
        <is>
          <t>ÖSTHAMMAR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65020-2021</t>
        </is>
      </c>
      <c r="B2115" s="1" t="n">
        <v>44515</v>
      </c>
      <c r="C2115" s="1" t="n">
        <v>45706</v>
      </c>
      <c r="D2115" t="inlineStr">
        <is>
          <t>UPPSALA LÄN</t>
        </is>
      </c>
      <c r="E2115" t="inlineStr">
        <is>
          <t>ÖSTHAMMAR</t>
        </is>
      </c>
      <c r="F2115" t="inlineStr">
        <is>
          <t>Sveaskog</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65165-2021</t>
        </is>
      </c>
      <c r="B2116" s="1" t="n">
        <v>44515</v>
      </c>
      <c r="C2116" s="1" t="n">
        <v>45706</v>
      </c>
      <c r="D2116" t="inlineStr">
        <is>
          <t>UPPSALA LÄN</t>
        </is>
      </c>
      <c r="E2116" t="inlineStr">
        <is>
          <t>ÖSTHAMMAR</t>
        </is>
      </c>
      <c r="F2116" t="inlineStr">
        <is>
          <t>Sveaskog</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65255-2021</t>
        </is>
      </c>
      <c r="B2117" s="1" t="n">
        <v>44515</v>
      </c>
      <c r="C2117" s="1" t="n">
        <v>45706</v>
      </c>
      <c r="D2117" t="inlineStr">
        <is>
          <t>UPPSALA LÄN</t>
        </is>
      </c>
      <c r="E2117" t="inlineStr">
        <is>
          <t>TIERP</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65132-2021</t>
        </is>
      </c>
      <c r="B2118" s="1" t="n">
        <v>44515</v>
      </c>
      <c r="C2118" s="1" t="n">
        <v>45706</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65104-2021</t>
        </is>
      </c>
      <c r="B2119" s="1" t="n">
        <v>44515</v>
      </c>
      <c r="C2119" s="1" t="n">
        <v>45706</v>
      </c>
      <c r="D2119" t="inlineStr">
        <is>
          <t>UPPSALA LÄN</t>
        </is>
      </c>
      <c r="E2119" t="inlineStr">
        <is>
          <t>ÖSTHAMMAR</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65028-2021</t>
        </is>
      </c>
      <c r="B2120" s="1" t="n">
        <v>44515</v>
      </c>
      <c r="C2120" s="1" t="n">
        <v>45706</v>
      </c>
      <c r="D2120" t="inlineStr">
        <is>
          <t>UPPSALA LÄN</t>
        </is>
      </c>
      <c r="E2120" t="inlineStr">
        <is>
          <t>ÖSTHAMMAR</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65491-2021</t>
        </is>
      </c>
      <c r="B2121" s="1" t="n">
        <v>44516</v>
      </c>
      <c r="C2121" s="1" t="n">
        <v>45706</v>
      </c>
      <c r="D2121" t="inlineStr">
        <is>
          <t>UPPSALA LÄN</t>
        </is>
      </c>
      <c r="E2121" t="inlineStr">
        <is>
          <t>TIERP</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65626-2021</t>
        </is>
      </c>
      <c r="B2122" s="1" t="n">
        <v>44516</v>
      </c>
      <c r="C2122" s="1" t="n">
        <v>45706</v>
      </c>
      <c r="D2122" t="inlineStr">
        <is>
          <t>UPPSALA LÄN</t>
        </is>
      </c>
      <c r="E2122" t="inlineStr">
        <is>
          <t>HEBY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65623-2021</t>
        </is>
      </c>
      <c r="B2123" s="1" t="n">
        <v>44516</v>
      </c>
      <c r="C2123" s="1" t="n">
        <v>45706</v>
      </c>
      <c r="D2123" t="inlineStr">
        <is>
          <t>UPPSALA LÄN</t>
        </is>
      </c>
      <c r="E2123" t="inlineStr">
        <is>
          <t>HEBY</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65659-2021</t>
        </is>
      </c>
      <c r="B2124" s="1" t="n">
        <v>44516</v>
      </c>
      <c r="C2124" s="1" t="n">
        <v>45706</v>
      </c>
      <c r="D2124" t="inlineStr">
        <is>
          <t>UPPSALA LÄN</t>
        </is>
      </c>
      <c r="E2124" t="inlineStr">
        <is>
          <t>UPPSALA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65631-2021</t>
        </is>
      </c>
      <c r="B2125" s="1" t="n">
        <v>44516</v>
      </c>
      <c r="C2125" s="1" t="n">
        <v>45706</v>
      </c>
      <c r="D2125" t="inlineStr">
        <is>
          <t>UPPSALA LÄN</t>
        </is>
      </c>
      <c r="E2125" t="inlineStr">
        <is>
          <t>HEBY</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65695-2021</t>
        </is>
      </c>
      <c r="B2126" s="1" t="n">
        <v>44516</v>
      </c>
      <c r="C2126" s="1" t="n">
        <v>45706</v>
      </c>
      <c r="D2126" t="inlineStr">
        <is>
          <t>UPPSALA LÄN</t>
        </is>
      </c>
      <c r="E2126" t="inlineStr">
        <is>
          <t>UPPSALA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65809-2021</t>
        </is>
      </c>
      <c r="B2127" s="1" t="n">
        <v>44517</v>
      </c>
      <c r="C2127" s="1" t="n">
        <v>45706</v>
      </c>
      <c r="D2127" t="inlineStr">
        <is>
          <t>UPPSALA LÄN</t>
        </is>
      </c>
      <c r="E2127" t="inlineStr">
        <is>
          <t>UPPSALA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65811-2021</t>
        </is>
      </c>
      <c r="B2128" s="1" t="n">
        <v>44517</v>
      </c>
      <c r="C2128" s="1" t="n">
        <v>45706</v>
      </c>
      <c r="D2128" t="inlineStr">
        <is>
          <t>UPPSALA LÄN</t>
        </is>
      </c>
      <c r="E2128" t="inlineStr">
        <is>
          <t>UPPSALA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65964-2021</t>
        </is>
      </c>
      <c r="B2129" s="1" t="n">
        <v>44517</v>
      </c>
      <c r="C2129" s="1" t="n">
        <v>45706</v>
      </c>
      <c r="D2129" t="inlineStr">
        <is>
          <t>UPPSALA LÄN</t>
        </is>
      </c>
      <c r="E2129" t="inlineStr">
        <is>
          <t>UPPSALA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65836-2021</t>
        </is>
      </c>
      <c r="B2130" s="1" t="n">
        <v>44517</v>
      </c>
      <c r="C2130" s="1" t="n">
        <v>45706</v>
      </c>
      <c r="D2130" t="inlineStr">
        <is>
          <t>UPPSALA LÄN</t>
        </is>
      </c>
      <c r="E2130" t="inlineStr">
        <is>
          <t>HÅBO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66029-2021</t>
        </is>
      </c>
      <c r="B2131" s="1" t="n">
        <v>44517</v>
      </c>
      <c r="C2131" s="1" t="n">
        <v>45706</v>
      </c>
      <c r="D2131" t="inlineStr">
        <is>
          <t>UPPSALA LÄN</t>
        </is>
      </c>
      <c r="E2131" t="inlineStr">
        <is>
          <t>HEBY</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66055-2021</t>
        </is>
      </c>
      <c r="B2132" s="1" t="n">
        <v>44517</v>
      </c>
      <c r="C2132" s="1" t="n">
        <v>45706</v>
      </c>
      <c r="D2132" t="inlineStr">
        <is>
          <t>UPPSALA LÄN</t>
        </is>
      </c>
      <c r="E2132" t="inlineStr">
        <is>
          <t>HEBY</t>
        </is>
      </c>
      <c r="F2132" t="inlineStr">
        <is>
          <t>Bergvik skog öst AB</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66025-2021</t>
        </is>
      </c>
      <c r="B2133" s="1" t="n">
        <v>44517</v>
      </c>
      <c r="C2133" s="1" t="n">
        <v>45706</v>
      </c>
      <c r="D2133" t="inlineStr">
        <is>
          <t>UPPSALA LÄN</t>
        </is>
      </c>
      <c r="E2133" t="inlineStr">
        <is>
          <t>HEBY</t>
        </is>
      </c>
      <c r="F2133" t="inlineStr">
        <is>
          <t>Bergvik skog öst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66256-2021</t>
        </is>
      </c>
      <c r="B2134" s="1" t="n">
        <v>44518</v>
      </c>
      <c r="C2134" s="1" t="n">
        <v>45706</v>
      </c>
      <c r="D2134" t="inlineStr">
        <is>
          <t>UPPSALA LÄN</t>
        </is>
      </c>
      <c r="E2134" t="inlineStr">
        <is>
          <t>KNIVSTA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66239-2021</t>
        </is>
      </c>
      <c r="B2135" s="1" t="n">
        <v>44518</v>
      </c>
      <c r="C2135" s="1" t="n">
        <v>45706</v>
      </c>
      <c r="D2135" t="inlineStr">
        <is>
          <t>UPPSALA LÄN</t>
        </is>
      </c>
      <c r="E2135" t="inlineStr">
        <is>
          <t>UPPSALA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66241-2021</t>
        </is>
      </c>
      <c r="B2136" s="1" t="n">
        <v>44518</v>
      </c>
      <c r="C2136" s="1" t="n">
        <v>45706</v>
      </c>
      <c r="D2136" t="inlineStr">
        <is>
          <t>UPPSALA LÄN</t>
        </is>
      </c>
      <c r="E2136" t="inlineStr">
        <is>
          <t>TIERP</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66298-2021</t>
        </is>
      </c>
      <c r="B2137" s="1" t="n">
        <v>44518</v>
      </c>
      <c r="C2137" s="1" t="n">
        <v>45706</v>
      </c>
      <c r="D2137" t="inlineStr">
        <is>
          <t>UPPSALA LÄN</t>
        </is>
      </c>
      <c r="E2137" t="inlineStr">
        <is>
          <t>KNIVSTA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66310-2021</t>
        </is>
      </c>
      <c r="B2138" s="1" t="n">
        <v>44518</v>
      </c>
      <c r="C2138" s="1" t="n">
        <v>45706</v>
      </c>
      <c r="D2138" t="inlineStr">
        <is>
          <t>UPPSALA LÄN</t>
        </is>
      </c>
      <c r="E2138" t="inlineStr">
        <is>
          <t>KNIVSTA</t>
        </is>
      </c>
      <c r="G2138" t="n">
        <v>14.1</v>
      </c>
      <c r="H2138" t="n">
        <v>0</v>
      </c>
      <c r="I2138" t="n">
        <v>0</v>
      </c>
      <c r="J2138" t="n">
        <v>0</v>
      </c>
      <c r="K2138" t="n">
        <v>0</v>
      </c>
      <c r="L2138" t="n">
        <v>0</v>
      </c>
      <c r="M2138" t="n">
        <v>0</v>
      </c>
      <c r="N2138" t="n">
        <v>0</v>
      </c>
      <c r="O2138" t="n">
        <v>0</v>
      </c>
      <c r="P2138" t="n">
        <v>0</v>
      </c>
      <c r="Q2138" t="n">
        <v>0</v>
      </c>
      <c r="R2138" s="2" t="inlineStr"/>
    </row>
    <row r="2139" ht="15" customHeight="1">
      <c r="A2139" t="inlineStr">
        <is>
          <t>A 66284-2021</t>
        </is>
      </c>
      <c r="B2139" s="1" t="n">
        <v>44518</v>
      </c>
      <c r="C2139" s="1" t="n">
        <v>45706</v>
      </c>
      <c r="D2139" t="inlineStr">
        <is>
          <t>UPPSALA LÄN</t>
        </is>
      </c>
      <c r="E2139" t="inlineStr">
        <is>
          <t>KNIVSTA</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66293-2021</t>
        </is>
      </c>
      <c r="B2140" s="1" t="n">
        <v>44518</v>
      </c>
      <c r="C2140" s="1" t="n">
        <v>45706</v>
      </c>
      <c r="D2140" t="inlineStr">
        <is>
          <t>UPPSALA LÄN</t>
        </is>
      </c>
      <c r="E2140" t="inlineStr">
        <is>
          <t>KNIVSTA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66336-2021</t>
        </is>
      </c>
      <c r="B2141" s="1" t="n">
        <v>44518</v>
      </c>
      <c r="C2141" s="1" t="n">
        <v>45706</v>
      </c>
      <c r="D2141" t="inlineStr">
        <is>
          <t>UPPSALA LÄN</t>
        </is>
      </c>
      <c r="E2141" t="inlineStr">
        <is>
          <t>KNIVSTA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66305-2021</t>
        </is>
      </c>
      <c r="B2142" s="1" t="n">
        <v>44518</v>
      </c>
      <c r="C2142" s="1" t="n">
        <v>45706</v>
      </c>
      <c r="D2142" t="inlineStr">
        <is>
          <t>UPPSALA LÄN</t>
        </is>
      </c>
      <c r="E2142" t="inlineStr">
        <is>
          <t>KNIVSTA</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66519-2021</t>
        </is>
      </c>
      <c r="B2143" s="1" t="n">
        <v>44519</v>
      </c>
      <c r="C2143" s="1" t="n">
        <v>45706</v>
      </c>
      <c r="D2143" t="inlineStr">
        <is>
          <t>UPPSALA LÄN</t>
        </is>
      </c>
      <c r="E2143" t="inlineStr">
        <is>
          <t>HEBY</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66549-2021</t>
        </is>
      </c>
      <c r="B2144" s="1" t="n">
        <v>44519</v>
      </c>
      <c r="C2144" s="1" t="n">
        <v>45706</v>
      </c>
      <c r="D2144" t="inlineStr">
        <is>
          <t>UPPSALA LÄN</t>
        </is>
      </c>
      <c r="E2144" t="inlineStr">
        <is>
          <t>ÖSTHAMMAR</t>
        </is>
      </c>
      <c r="F2144" t="inlineStr">
        <is>
          <t>Bergvik skog öst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66517-2021</t>
        </is>
      </c>
      <c r="B2145" s="1" t="n">
        <v>44519</v>
      </c>
      <c r="C2145" s="1" t="n">
        <v>45706</v>
      </c>
      <c r="D2145" t="inlineStr">
        <is>
          <t>UPPSALA LÄN</t>
        </is>
      </c>
      <c r="E2145" t="inlineStr">
        <is>
          <t>HEBY</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66521-2021</t>
        </is>
      </c>
      <c r="B2146" s="1" t="n">
        <v>44519</v>
      </c>
      <c r="C2146" s="1" t="n">
        <v>45706</v>
      </c>
      <c r="D2146" t="inlineStr">
        <is>
          <t>UPPSALA LÄN</t>
        </is>
      </c>
      <c r="E2146" t="inlineStr">
        <is>
          <t>HEBY</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66690-2021</t>
        </is>
      </c>
      <c r="B2147" s="1" t="n">
        <v>44519</v>
      </c>
      <c r="C2147" s="1" t="n">
        <v>45706</v>
      </c>
      <c r="D2147" t="inlineStr">
        <is>
          <t>UPPSALA LÄN</t>
        </is>
      </c>
      <c r="E2147" t="inlineStr">
        <is>
          <t>UPPSALA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66686-2021</t>
        </is>
      </c>
      <c r="B2148" s="1" t="n">
        <v>44519</v>
      </c>
      <c r="C2148" s="1" t="n">
        <v>45706</v>
      </c>
      <c r="D2148" t="inlineStr">
        <is>
          <t>UPPSALA LÄN</t>
        </is>
      </c>
      <c r="E2148" t="inlineStr">
        <is>
          <t>UPPSALA</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66818-2021</t>
        </is>
      </c>
      <c r="B2149" s="1" t="n">
        <v>44522</v>
      </c>
      <c r="C2149" s="1" t="n">
        <v>45706</v>
      </c>
      <c r="D2149" t="inlineStr">
        <is>
          <t>UPPSALA LÄN</t>
        </is>
      </c>
      <c r="E2149" t="inlineStr">
        <is>
          <t>HEBY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66873-2021</t>
        </is>
      </c>
      <c r="B2150" s="1" t="n">
        <v>44522</v>
      </c>
      <c r="C2150" s="1" t="n">
        <v>45706</v>
      </c>
      <c r="D2150" t="inlineStr">
        <is>
          <t>UPPSALA LÄN</t>
        </is>
      </c>
      <c r="E2150" t="inlineStr">
        <is>
          <t>HEBY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66779-2021</t>
        </is>
      </c>
      <c r="B2151" s="1" t="n">
        <v>44522</v>
      </c>
      <c r="C2151" s="1" t="n">
        <v>45706</v>
      </c>
      <c r="D2151" t="inlineStr">
        <is>
          <t>UPPSALA LÄN</t>
        </is>
      </c>
      <c r="E2151" t="inlineStr">
        <is>
          <t>ÖSTHAMMAR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66794-2021</t>
        </is>
      </c>
      <c r="B2152" s="1" t="n">
        <v>44522</v>
      </c>
      <c r="C2152" s="1" t="n">
        <v>45706</v>
      </c>
      <c r="D2152" t="inlineStr">
        <is>
          <t>UPPSALA LÄN</t>
        </is>
      </c>
      <c r="E2152" t="inlineStr">
        <is>
          <t>UPPSALA</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66927-2021</t>
        </is>
      </c>
      <c r="B2153" s="1" t="n">
        <v>44522</v>
      </c>
      <c r="C2153" s="1" t="n">
        <v>45706</v>
      </c>
      <c r="D2153" t="inlineStr">
        <is>
          <t>UPPSALA LÄN</t>
        </is>
      </c>
      <c r="E2153" t="inlineStr">
        <is>
          <t>UPPSALA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66983-2021</t>
        </is>
      </c>
      <c r="B2154" s="1" t="n">
        <v>44522</v>
      </c>
      <c r="C2154" s="1" t="n">
        <v>45706</v>
      </c>
      <c r="D2154" t="inlineStr">
        <is>
          <t>UPPSALA LÄN</t>
        </is>
      </c>
      <c r="E2154" t="inlineStr">
        <is>
          <t>UPPSALA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67005-2021</t>
        </is>
      </c>
      <c r="B2155" s="1" t="n">
        <v>44522</v>
      </c>
      <c r="C2155" s="1" t="n">
        <v>45706</v>
      </c>
      <c r="D2155" t="inlineStr">
        <is>
          <t>UPPSALA LÄN</t>
        </is>
      </c>
      <c r="E2155" t="inlineStr">
        <is>
          <t>HÅBO</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67033-2021</t>
        </is>
      </c>
      <c r="B2156" s="1" t="n">
        <v>44522</v>
      </c>
      <c r="C2156" s="1" t="n">
        <v>45706</v>
      </c>
      <c r="D2156" t="inlineStr">
        <is>
          <t>UPPSALA LÄN</t>
        </is>
      </c>
      <c r="E2156" t="inlineStr">
        <is>
          <t>ÖSTHAMMAR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67030-2021</t>
        </is>
      </c>
      <c r="B2157" s="1" t="n">
        <v>44522</v>
      </c>
      <c r="C2157" s="1" t="n">
        <v>45706</v>
      </c>
      <c r="D2157" t="inlineStr">
        <is>
          <t>UPPSALA LÄN</t>
        </is>
      </c>
      <c r="E2157" t="inlineStr">
        <is>
          <t>ÖSTHAMMAR</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67151-2021</t>
        </is>
      </c>
      <c r="B2158" s="1" t="n">
        <v>44523</v>
      </c>
      <c r="C2158" s="1" t="n">
        <v>45706</v>
      </c>
      <c r="D2158" t="inlineStr">
        <is>
          <t>UPPSALA LÄN</t>
        </is>
      </c>
      <c r="E2158" t="inlineStr">
        <is>
          <t>ÖSTHAMMAR</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67199-2021</t>
        </is>
      </c>
      <c r="B2159" s="1" t="n">
        <v>44523</v>
      </c>
      <c r="C2159" s="1" t="n">
        <v>45706</v>
      </c>
      <c r="D2159" t="inlineStr">
        <is>
          <t>UPPSALA LÄN</t>
        </is>
      </c>
      <c r="E2159" t="inlineStr">
        <is>
          <t>ÖSTHAMMAR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67217-2021</t>
        </is>
      </c>
      <c r="B2160" s="1" t="n">
        <v>44523</v>
      </c>
      <c r="C2160" s="1" t="n">
        <v>45706</v>
      </c>
      <c r="D2160" t="inlineStr">
        <is>
          <t>UPPSALA LÄN</t>
        </is>
      </c>
      <c r="E2160" t="inlineStr">
        <is>
          <t>ÖSTHAMMAR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67664-2021</t>
        </is>
      </c>
      <c r="B2161" s="1" t="n">
        <v>44524</v>
      </c>
      <c r="C2161" s="1" t="n">
        <v>45706</v>
      </c>
      <c r="D2161" t="inlineStr">
        <is>
          <t>UPPSALA LÄN</t>
        </is>
      </c>
      <c r="E2161" t="inlineStr">
        <is>
          <t>HEBY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67859-2021</t>
        </is>
      </c>
      <c r="B2162" s="1" t="n">
        <v>44525</v>
      </c>
      <c r="C2162" s="1" t="n">
        <v>45706</v>
      </c>
      <c r="D2162" t="inlineStr">
        <is>
          <t>UPPSALA LÄN</t>
        </is>
      </c>
      <c r="E2162" t="inlineStr">
        <is>
          <t>ÖSTHAMMAR</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67848-2021</t>
        </is>
      </c>
      <c r="B2163" s="1" t="n">
        <v>44525</v>
      </c>
      <c r="C2163" s="1" t="n">
        <v>45706</v>
      </c>
      <c r="D2163" t="inlineStr">
        <is>
          <t>UPPSALA LÄN</t>
        </is>
      </c>
      <c r="E2163" t="inlineStr">
        <is>
          <t>ÖSTHAMMAR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67982-2021</t>
        </is>
      </c>
      <c r="B2164" s="1" t="n">
        <v>44525</v>
      </c>
      <c r="C2164" s="1" t="n">
        <v>45706</v>
      </c>
      <c r="D2164" t="inlineStr">
        <is>
          <t>UPPSALA LÄN</t>
        </is>
      </c>
      <c r="E2164" t="inlineStr">
        <is>
          <t>ENKÖPING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67991-2021</t>
        </is>
      </c>
      <c r="B2165" s="1" t="n">
        <v>44525</v>
      </c>
      <c r="C2165" s="1" t="n">
        <v>45706</v>
      </c>
      <c r="D2165" t="inlineStr">
        <is>
          <t>UPPSALA LÄN</t>
        </is>
      </c>
      <c r="E2165" t="inlineStr">
        <is>
          <t>UPPSALA</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67984-2021</t>
        </is>
      </c>
      <c r="B2166" s="1" t="n">
        <v>44525</v>
      </c>
      <c r="C2166" s="1" t="n">
        <v>45706</v>
      </c>
      <c r="D2166" t="inlineStr">
        <is>
          <t>UPPSALA LÄN</t>
        </is>
      </c>
      <c r="E2166" t="inlineStr">
        <is>
          <t>ENKÖPING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68236-2021</t>
        </is>
      </c>
      <c r="B2167" s="1" t="n">
        <v>44526</v>
      </c>
      <c r="C2167" s="1" t="n">
        <v>45706</v>
      </c>
      <c r="D2167" t="inlineStr">
        <is>
          <t>UPPSALA LÄN</t>
        </is>
      </c>
      <c r="E2167" t="inlineStr">
        <is>
          <t>HEBY</t>
        </is>
      </c>
      <c r="F2167" t="inlineStr">
        <is>
          <t>Bergvik skog öst AB</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68696-2021</t>
        </is>
      </c>
      <c r="B2168" s="1" t="n">
        <v>44526</v>
      </c>
      <c r="C2168" s="1" t="n">
        <v>45706</v>
      </c>
      <c r="D2168" t="inlineStr">
        <is>
          <t>UPPSALA LÄN</t>
        </is>
      </c>
      <c r="E2168" t="inlineStr">
        <is>
          <t>UPPSALA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68118-2021</t>
        </is>
      </c>
      <c r="B2169" s="1" t="n">
        <v>44526</v>
      </c>
      <c r="C2169" s="1" t="n">
        <v>45706</v>
      </c>
      <c r="D2169" t="inlineStr">
        <is>
          <t>UPPSALA LÄN</t>
        </is>
      </c>
      <c r="E2169" t="inlineStr">
        <is>
          <t>ENKÖPING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68127-2021</t>
        </is>
      </c>
      <c r="B2170" s="1" t="n">
        <v>44526</v>
      </c>
      <c r="C2170" s="1" t="n">
        <v>45706</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68107-2021</t>
        </is>
      </c>
      <c r="B2171" s="1" t="n">
        <v>44526</v>
      </c>
      <c r="C2171" s="1" t="n">
        <v>45706</v>
      </c>
      <c r="D2171" t="inlineStr">
        <is>
          <t>UPPSALA LÄN</t>
        </is>
      </c>
      <c r="E2171" t="inlineStr">
        <is>
          <t>ENKÖPING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68130-2021</t>
        </is>
      </c>
      <c r="B2172" s="1" t="n">
        <v>44526</v>
      </c>
      <c r="C2172" s="1" t="n">
        <v>45706</v>
      </c>
      <c r="D2172" t="inlineStr">
        <is>
          <t>UPPSALA LÄN</t>
        </is>
      </c>
      <c r="E2172" t="inlineStr">
        <is>
          <t>ENKÖPING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68123-2021</t>
        </is>
      </c>
      <c r="B2173" s="1" t="n">
        <v>44526</v>
      </c>
      <c r="C2173" s="1" t="n">
        <v>45706</v>
      </c>
      <c r="D2173" t="inlineStr">
        <is>
          <t>UPPSALA LÄN</t>
        </is>
      </c>
      <c r="E2173" t="inlineStr">
        <is>
          <t>ENKÖPING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68139-2021</t>
        </is>
      </c>
      <c r="B2174" s="1" t="n">
        <v>44526</v>
      </c>
      <c r="C2174" s="1" t="n">
        <v>45706</v>
      </c>
      <c r="D2174" t="inlineStr">
        <is>
          <t>UPPSALA LÄN</t>
        </is>
      </c>
      <c r="E2174" t="inlineStr">
        <is>
          <t>UPPSALA</t>
        </is>
      </c>
      <c r="F2174" t="inlineStr">
        <is>
          <t>Bergvik skog öst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68296-2021</t>
        </is>
      </c>
      <c r="B2175" s="1" t="n">
        <v>44526</v>
      </c>
      <c r="C2175" s="1" t="n">
        <v>45706</v>
      </c>
      <c r="D2175" t="inlineStr">
        <is>
          <t>UPPSALA LÄN</t>
        </is>
      </c>
      <c r="E2175" t="inlineStr">
        <is>
          <t>UPPSALA</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68520-2021</t>
        </is>
      </c>
      <c r="B2176" s="1" t="n">
        <v>44529</v>
      </c>
      <c r="C2176" s="1" t="n">
        <v>45706</v>
      </c>
      <c r="D2176" t="inlineStr">
        <is>
          <t>UPPSALA LÄN</t>
        </is>
      </c>
      <c r="E2176" t="inlineStr">
        <is>
          <t>HEBY</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68410-2021</t>
        </is>
      </c>
      <c r="B2177" s="1" t="n">
        <v>44529</v>
      </c>
      <c r="C2177" s="1" t="n">
        <v>45706</v>
      </c>
      <c r="D2177" t="inlineStr">
        <is>
          <t>UPPSALA LÄN</t>
        </is>
      </c>
      <c r="E2177" t="inlineStr">
        <is>
          <t>TIERP</t>
        </is>
      </c>
      <c r="F2177" t="inlineStr">
        <is>
          <t>Bergvik skog öst AB</t>
        </is>
      </c>
      <c r="G2177" t="n">
        <v>35.5</v>
      </c>
      <c r="H2177" t="n">
        <v>0</v>
      </c>
      <c r="I2177" t="n">
        <v>0</v>
      </c>
      <c r="J2177" t="n">
        <v>0</v>
      </c>
      <c r="K2177" t="n">
        <v>0</v>
      </c>
      <c r="L2177" t="n">
        <v>0</v>
      </c>
      <c r="M2177" t="n">
        <v>0</v>
      </c>
      <c r="N2177" t="n">
        <v>0</v>
      </c>
      <c r="O2177" t="n">
        <v>0</v>
      </c>
      <c r="P2177" t="n">
        <v>0</v>
      </c>
      <c r="Q2177" t="n">
        <v>0</v>
      </c>
      <c r="R2177" s="2" t="inlineStr"/>
    </row>
    <row r="2178" ht="15" customHeight="1">
      <c r="A2178" t="inlineStr">
        <is>
          <t>A 68585-2021</t>
        </is>
      </c>
      <c r="B2178" s="1" t="n">
        <v>44529</v>
      </c>
      <c r="C2178" s="1" t="n">
        <v>45706</v>
      </c>
      <c r="D2178" t="inlineStr">
        <is>
          <t>UPPSALA LÄN</t>
        </is>
      </c>
      <c r="E2178" t="inlineStr">
        <is>
          <t>HEBY</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69067-2021</t>
        </is>
      </c>
      <c r="B2179" s="1" t="n">
        <v>44530</v>
      </c>
      <c r="C2179" s="1" t="n">
        <v>45706</v>
      </c>
      <c r="D2179" t="inlineStr">
        <is>
          <t>UPPSALA LÄN</t>
        </is>
      </c>
      <c r="E2179" t="inlineStr">
        <is>
          <t>UPPSALA</t>
        </is>
      </c>
      <c r="F2179" t="inlineStr">
        <is>
          <t>Holmen skog AB</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69432-2021</t>
        </is>
      </c>
      <c r="B2180" s="1" t="n">
        <v>44531</v>
      </c>
      <c r="C2180" s="1" t="n">
        <v>45706</v>
      </c>
      <c r="D2180" t="inlineStr">
        <is>
          <t>UPPSALA LÄN</t>
        </is>
      </c>
      <c r="E2180" t="inlineStr">
        <is>
          <t>UPPSALA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69344-2021</t>
        </is>
      </c>
      <c r="B2181" s="1" t="n">
        <v>44531</v>
      </c>
      <c r="C2181" s="1" t="n">
        <v>45706</v>
      </c>
      <c r="D2181" t="inlineStr">
        <is>
          <t>UPPSALA LÄN</t>
        </is>
      </c>
      <c r="E2181" t="inlineStr">
        <is>
          <t>ENKÖPING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69214-2021</t>
        </is>
      </c>
      <c r="B2182" s="1" t="n">
        <v>44531</v>
      </c>
      <c r="C2182" s="1" t="n">
        <v>45706</v>
      </c>
      <c r="D2182" t="inlineStr">
        <is>
          <t>UPPSALA LÄN</t>
        </is>
      </c>
      <c r="E2182" t="inlineStr">
        <is>
          <t>UPPSALA</t>
        </is>
      </c>
      <c r="F2182" t="inlineStr">
        <is>
          <t>Bergvik skog öst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69377-2021</t>
        </is>
      </c>
      <c r="B2183" s="1" t="n">
        <v>44531</v>
      </c>
      <c r="C2183" s="1" t="n">
        <v>45706</v>
      </c>
      <c r="D2183" t="inlineStr">
        <is>
          <t>UPPSALA LÄN</t>
        </is>
      </c>
      <c r="E2183" t="inlineStr">
        <is>
          <t>HEBY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69397-2021</t>
        </is>
      </c>
      <c r="B2184" s="1" t="n">
        <v>44531</v>
      </c>
      <c r="C2184" s="1" t="n">
        <v>45706</v>
      </c>
      <c r="D2184" t="inlineStr">
        <is>
          <t>UPPSALA LÄN</t>
        </is>
      </c>
      <c r="E2184" t="inlineStr">
        <is>
          <t>UPPSALA</t>
        </is>
      </c>
      <c r="F2184" t="inlineStr">
        <is>
          <t>Bergvik skog öst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69436-2021</t>
        </is>
      </c>
      <c r="B2185" s="1" t="n">
        <v>44531</v>
      </c>
      <c r="C2185" s="1" t="n">
        <v>45706</v>
      </c>
      <c r="D2185" t="inlineStr">
        <is>
          <t>UPPSALA LÄN</t>
        </is>
      </c>
      <c r="E2185" t="inlineStr">
        <is>
          <t>UPPSALA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69505-2021</t>
        </is>
      </c>
      <c r="B2186" s="1" t="n">
        <v>44531</v>
      </c>
      <c r="C2186" s="1" t="n">
        <v>45706</v>
      </c>
      <c r="D2186" t="inlineStr">
        <is>
          <t>UPPSALA LÄN</t>
        </is>
      </c>
      <c r="E2186" t="inlineStr">
        <is>
          <t>ÖSTHAMMAR</t>
        </is>
      </c>
      <c r="F2186" t="inlineStr">
        <is>
          <t>Bergvik skog öst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69411-2021</t>
        </is>
      </c>
      <c r="B2187" s="1" t="n">
        <v>44531</v>
      </c>
      <c r="C2187" s="1" t="n">
        <v>45706</v>
      </c>
      <c r="D2187" t="inlineStr">
        <is>
          <t>UPPSALA LÄN</t>
        </is>
      </c>
      <c r="E2187" t="inlineStr">
        <is>
          <t>ÖSTHAMMAR</t>
        </is>
      </c>
      <c r="F2187" t="inlineStr">
        <is>
          <t>Bergvik skog öst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69439-2021</t>
        </is>
      </c>
      <c r="B2188" s="1" t="n">
        <v>44531</v>
      </c>
      <c r="C2188" s="1" t="n">
        <v>45706</v>
      </c>
      <c r="D2188" t="inlineStr">
        <is>
          <t>UPPSALA LÄN</t>
        </is>
      </c>
      <c r="E2188" t="inlineStr">
        <is>
          <t>UPPSALA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69518-2021</t>
        </is>
      </c>
      <c r="B2189" s="1" t="n">
        <v>44531</v>
      </c>
      <c r="C2189" s="1" t="n">
        <v>45706</v>
      </c>
      <c r="D2189" t="inlineStr">
        <is>
          <t>UPPSALA LÄN</t>
        </is>
      </c>
      <c r="E2189" t="inlineStr">
        <is>
          <t>ÖSTHAMMAR</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69711-2021</t>
        </is>
      </c>
      <c r="B2190" s="1" t="n">
        <v>44532</v>
      </c>
      <c r="C2190" s="1" t="n">
        <v>45706</v>
      </c>
      <c r="D2190" t="inlineStr">
        <is>
          <t>UPPSALA LÄN</t>
        </is>
      </c>
      <c r="E2190" t="inlineStr">
        <is>
          <t>UPPSALA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69595-2021</t>
        </is>
      </c>
      <c r="B2191" s="1" t="n">
        <v>44532</v>
      </c>
      <c r="C2191" s="1" t="n">
        <v>45706</v>
      </c>
      <c r="D2191" t="inlineStr">
        <is>
          <t>UPPSALA LÄN</t>
        </is>
      </c>
      <c r="E2191" t="inlineStr">
        <is>
          <t>UPPSALA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69698-2021</t>
        </is>
      </c>
      <c r="B2192" s="1" t="n">
        <v>44532</v>
      </c>
      <c r="C2192" s="1" t="n">
        <v>45706</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69691-2021</t>
        </is>
      </c>
      <c r="B2193" s="1" t="n">
        <v>44532</v>
      </c>
      <c r="C2193" s="1" t="n">
        <v>45706</v>
      </c>
      <c r="D2193" t="inlineStr">
        <is>
          <t>UPPSALA LÄN</t>
        </is>
      </c>
      <c r="E2193" t="inlineStr">
        <is>
          <t>UPPSALA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69597-2021</t>
        </is>
      </c>
      <c r="B2194" s="1" t="n">
        <v>44532</v>
      </c>
      <c r="C2194" s="1" t="n">
        <v>45706</v>
      </c>
      <c r="D2194" t="inlineStr">
        <is>
          <t>UPPSALA LÄN</t>
        </is>
      </c>
      <c r="E2194" t="inlineStr">
        <is>
          <t>HEBY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69791-2021</t>
        </is>
      </c>
      <c r="B2195" s="1" t="n">
        <v>44532</v>
      </c>
      <c r="C2195" s="1" t="n">
        <v>45706</v>
      </c>
      <c r="D2195" t="inlineStr">
        <is>
          <t>UPPSALA LÄN</t>
        </is>
      </c>
      <c r="E2195" t="inlineStr">
        <is>
          <t>ENKÖPING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69794-2021</t>
        </is>
      </c>
      <c r="B2196" s="1" t="n">
        <v>44532</v>
      </c>
      <c r="C2196" s="1" t="n">
        <v>45706</v>
      </c>
      <c r="D2196" t="inlineStr">
        <is>
          <t>UPPSALA LÄN</t>
        </is>
      </c>
      <c r="E2196" t="inlineStr">
        <is>
          <t>ENKÖPING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69841-2021</t>
        </is>
      </c>
      <c r="B2197" s="1" t="n">
        <v>44532</v>
      </c>
      <c r="C2197" s="1" t="n">
        <v>45706</v>
      </c>
      <c r="D2197" t="inlineStr">
        <is>
          <t>UPPSALA LÄN</t>
        </is>
      </c>
      <c r="E2197" t="inlineStr">
        <is>
          <t>TIERP</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69879-2021</t>
        </is>
      </c>
      <c r="B2198" s="1" t="n">
        <v>44532</v>
      </c>
      <c r="C2198" s="1" t="n">
        <v>45706</v>
      </c>
      <c r="D2198" t="inlineStr">
        <is>
          <t>UPPSALA LÄN</t>
        </is>
      </c>
      <c r="E2198" t="inlineStr">
        <is>
          <t>ENKÖPING</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70158-2021</t>
        </is>
      </c>
      <c r="B2199" s="1" t="n">
        <v>44533</v>
      </c>
      <c r="C2199" s="1" t="n">
        <v>45706</v>
      </c>
      <c r="D2199" t="inlineStr">
        <is>
          <t>UPPSALA LÄN</t>
        </is>
      </c>
      <c r="E2199" t="inlineStr">
        <is>
          <t>HEBY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70154-2021</t>
        </is>
      </c>
      <c r="B2200" s="1" t="n">
        <v>44533</v>
      </c>
      <c r="C2200" s="1" t="n">
        <v>45706</v>
      </c>
      <c r="D2200" t="inlineStr">
        <is>
          <t>UPPSALA LÄN</t>
        </is>
      </c>
      <c r="E2200" t="inlineStr">
        <is>
          <t>HEBY</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70032-2021</t>
        </is>
      </c>
      <c r="B2201" s="1" t="n">
        <v>44533</v>
      </c>
      <c r="C2201" s="1" t="n">
        <v>45706</v>
      </c>
      <c r="D2201" t="inlineStr">
        <is>
          <t>UPPSALA LÄN</t>
        </is>
      </c>
      <c r="E2201" t="inlineStr">
        <is>
          <t>UPPSALA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70031-2021</t>
        </is>
      </c>
      <c r="B2202" s="1" t="n">
        <v>44533</v>
      </c>
      <c r="C2202" s="1" t="n">
        <v>45706</v>
      </c>
      <c r="D2202" t="inlineStr">
        <is>
          <t>UPPSALA LÄN</t>
        </is>
      </c>
      <c r="E2202" t="inlineStr">
        <is>
          <t>UPPSALA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70008-2021</t>
        </is>
      </c>
      <c r="B2203" s="1" t="n">
        <v>44533</v>
      </c>
      <c r="C2203" s="1" t="n">
        <v>45706</v>
      </c>
      <c r="D2203" t="inlineStr">
        <is>
          <t>UPPSALA LÄN</t>
        </is>
      </c>
      <c r="E2203" t="inlineStr">
        <is>
          <t>ÖSTHAMMAR</t>
        </is>
      </c>
      <c r="F2203" t="inlineStr">
        <is>
          <t>Sveaskog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70359-2021</t>
        </is>
      </c>
      <c r="B2204" s="1" t="n">
        <v>44535</v>
      </c>
      <c r="C2204" s="1" t="n">
        <v>45706</v>
      </c>
      <c r="D2204" t="inlineStr">
        <is>
          <t>UPPSALA LÄN</t>
        </is>
      </c>
      <c r="E2204" t="inlineStr">
        <is>
          <t>UPPSALA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70228-2021</t>
        </is>
      </c>
      <c r="B2205" s="1" t="n">
        <v>44535</v>
      </c>
      <c r="C2205" s="1" t="n">
        <v>45706</v>
      </c>
      <c r="D2205" t="inlineStr">
        <is>
          <t>UPPSALA LÄN</t>
        </is>
      </c>
      <c r="E2205" t="inlineStr">
        <is>
          <t>UPPSALA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70408-2021</t>
        </is>
      </c>
      <c r="B2206" s="1" t="n">
        <v>44536</v>
      </c>
      <c r="C2206" s="1" t="n">
        <v>45706</v>
      </c>
      <c r="D2206" t="inlineStr">
        <is>
          <t>UPPSALA LÄN</t>
        </is>
      </c>
      <c r="E2206" t="inlineStr">
        <is>
          <t>ÖSTHAMMAR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70700-2021</t>
        </is>
      </c>
      <c r="B2207" s="1" t="n">
        <v>44537</v>
      </c>
      <c r="C2207" s="1" t="n">
        <v>45706</v>
      </c>
      <c r="D2207" t="inlineStr">
        <is>
          <t>UPPSALA LÄN</t>
        </is>
      </c>
      <c r="E2207" t="inlineStr">
        <is>
          <t>KNIVSTA</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70996-2021</t>
        </is>
      </c>
      <c r="B2208" s="1" t="n">
        <v>44538</v>
      </c>
      <c r="C2208" s="1" t="n">
        <v>45706</v>
      </c>
      <c r="D2208" t="inlineStr">
        <is>
          <t>UPPSALA LÄN</t>
        </is>
      </c>
      <c r="E2208" t="inlineStr">
        <is>
          <t>UPPSALA</t>
        </is>
      </c>
      <c r="F2208" t="inlineStr">
        <is>
          <t>Bergvik skog öst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70976-2021</t>
        </is>
      </c>
      <c r="B2209" s="1" t="n">
        <v>44538</v>
      </c>
      <c r="C2209" s="1" t="n">
        <v>45706</v>
      </c>
      <c r="D2209" t="inlineStr">
        <is>
          <t>UPPSALA LÄN</t>
        </is>
      </c>
      <c r="E2209" t="inlineStr">
        <is>
          <t>HEBY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71563-2021</t>
        </is>
      </c>
      <c r="B2210" s="1" t="n">
        <v>44540</v>
      </c>
      <c r="C2210" s="1" t="n">
        <v>45706</v>
      </c>
      <c r="D2210" t="inlineStr">
        <is>
          <t>UPPSALA LÄN</t>
        </is>
      </c>
      <c r="E2210" t="inlineStr">
        <is>
          <t>UPPSALA</t>
        </is>
      </c>
      <c r="F2210" t="inlineStr">
        <is>
          <t>Allmännings- och besparingsskogar</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71641-2021</t>
        </is>
      </c>
      <c r="B2211" s="1" t="n">
        <v>44543</v>
      </c>
      <c r="C2211" s="1" t="n">
        <v>45706</v>
      </c>
      <c r="D2211" t="inlineStr">
        <is>
          <t>UPPSALA LÄN</t>
        </is>
      </c>
      <c r="E2211" t="inlineStr">
        <is>
          <t>ENKÖPING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71675-2021</t>
        </is>
      </c>
      <c r="B2212" s="1" t="n">
        <v>44543</v>
      </c>
      <c r="C2212" s="1" t="n">
        <v>45706</v>
      </c>
      <c r="D2212" t="inlineStr">
        <is>
          <t>UPPSALA LÄN</t>
        </is>
      </c>
      <c r="E2212" t="inlineStr">
        <is>
          <t>UPPSALA</t>
        </is>
      </c>
      <c r="F2212" t="inlineStr">
        <is>
          <t>Bergvik skog öst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71774-2021</t>
        </is>
      </c>
      <c r="B2213" s="1" t="n">
        <v>44543</v>
      </c>
      <c r="C2213" s="1" t="n">
        <v>45706</v>
      </c>
      <c r="D2213" t="inlineStr">
        <is>
          <t>UPPSALA LÄN</t>
        </is>
      </c>
      <c r="E2213" t="inlineStr">
        <is>
          <t>TIERP</t>
        </is>
      </c>
      <c r="G2213" t="n">
        <v>12.9</v>
      </c>
      <c r="H2213" t="n">
        <v>0</v>
      </c>
      <c r="I2213" t="n">
        <v>0</v>
      </c>
      <c r="J2213" t="n">
        <v>0</v>
      </c>
      <c r="K2213" t="n">
        <v>0</v>
      </c>
      <c r="L2213" t="n">
        <v>0</v>
      </c>
      <c r="M2213" t="n">
        <v>0</v>
      </c>
      <c r="N2213" t="n">
        <v>0</v>
      </c>
      <c r="O2213" t="n">
        <v>0</v>
      </c>
      <c r="P2213" t="n">
        <v>0</v>
      </c>
      <c r="Q2213" t="n">
        <v>0</v>
      </c>
      <c r="R2213" s="2" t="inlineStr"/>
    </row>
    <row r="2214" ht="15" customHeight="1">
      <c r="A2214" t="inlineStr">
        <is>
          <t>A 71643-2021</t>
        </is>
      </c>
      <c r="B2214" s="1" t="n">
        <v>44543</v>
      </c>
      <c r="C2214" s="1" t="n">
        <v>45706</v>
      </c>
      <c r="D2214" t="inlineStr">
        <is>
          <t>UPPSALA LÄN</t>
        </is>
      </c>
      <c r="E2214" t="inlineStr">
        <is>
          <t>UPPSALA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71671-2021</t>
        </is>
      </c>
      <c r="B2215" s="1" t="n">
        <v>44543</v>
      </c>
      <c r="C2215" s="1" t="n">
        <v>45706</v>
      </c>
      <c r="D2215" t="inlineStr">
        <is>
          <t>UPPSALA LÄN</t>
        </is>
      </c>
      <c r="E2215" t="inlineStr">
        <is>
          <t>UPPSALA</t>
        </is>
      </c>
      <c r="F2215" t="inlineStr">
        <is>
          <t>Bergvik skog öst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72180-2021</t>
        </is>
      </c>
      <c r="B2216" s="1" t="n">
        <v>44543</v>
      </c>
      <c r="C2216" s="1" t="n">
        <v>45706</v>
      </c>
      <c r="D2216" t="inlineStr">
        <is>
          <t>UPPSALA LÄN</t>
        </is>
      </c>
      <c r="E2216" t="inlineStr">
        <is>
          <t>HEBY</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72179-2021</t>
        </is>
      </c>
      <c r="B2217" s="1" t="n">
        <v>44544</v>
      </c>
      <c r="C2217" s="1" t="n">
        <v>45706</v>
      </c>
      <c r="D2217" t="inlineStr">
        <is>
          <t>UPPSALA LÄN</t>
        </is>
      </c>
      <c r="E2217" t="inlineStr">
        <is>
          <t>HEBY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72225-2021</t>
        </is>
      </c>
      <c r="B2218" s="1" t="n">
        <v>44544</v>
      </c>
      <c r="C2218" s="1" t="n">
        <v>45706</v>
      </c>
      <c r="D2218" t="inlineStr">
        <is>
          <t>UPPSALA LÄN</t>
        </is>
      </c>
      <c r="E2218" t="inlineStr">
        <is>
          <t>UPPSALA</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72224-2021</t>
        </is>
      </c>
      <c r="B2219" s="1" t="n">
        <v>44544</v>
      </c>
      <c r="C2219" s="1" t="n">
        <v>45706</v>
      </c>
      <c r="D2219" t="inlineStr">
        <is>
          <t>UPPSALA LÄN</t>
        </is>
      </c>
      <c r="E2219" t="inlineStr">
        <is>
          <t>UPPSALA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72260-2021</t>
        </is>
      </c>
      <c r="B2220" s="1" t="n">
        <v>44545</v>
      </c>
      <c r="C2220" s="1" t="n">
        <v>45706</v>
      </c>
      <c r="D2220" t="inlineStr">
        <is>
          <t>UPPSALA LÄN</t>
        </is>
      </c>
      <c r="E2220" t="inlineStr">
        <is>
          <t>HEBY</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72471-2021</t>
        </is>
      </c>
      <c r="B2221" s="1" t="n">
        <v>44545</v>
      </c>
      <c r="C2221" s="1" t="n">
        <v>45706</v>
      </c>
      <c r="D2221" t="inlineStr">
        <is>
          <t>UPPSALA LÄN</t>
        </is>
      </c>
      <c r="E2221" t="inlineStr">
        <is>
          <t>KNIVSTA</t>
        </is>
      </c>
      <c r="F2221" t="inlineStr">
        <is>
          <t>Holmen skog AB</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72627-2021</t>
        </is>
      </c>
      <c r="B2222" s="1" t="n">
        <v>44546</v>
      </c>
      <c r="C2222" s="1" t="n">
        <v>45706</v>
      </c>
      <c r="D2222" t="inlineStr">
        <is>
          <t>UPPSALA LÄN</t>
        </is>
      </c>
      <c r="E2222" t="inlineStr">
        <is>
          <t>ÖSTHAMMAR</t>
        </is>
      </c>
      <c r="F2222" t="inlineStr">
        <is>
          <t>Bergvik skog öst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72628-2021</t>
        </is>
      </c>
      <c r="B2223" s="1" t="n">
        <v>44546</v>
      </c>
      <c r="C2223" s="1" t="n">
        <v>45706</v>
      </c>
      <c r="D2223" t="inlineStr">
        <is>
          <t>UPPSALA LÄN</t>
        </is>
      </c>
      <c r="E2223" t="inlineStr">
        <is>
          <t>ENKÖPING</t>
        </is>
      </c>
      <c r="F2223" t="inlineStr">
        <is>
          <t>Allmännings- och besparingsskogar</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72637-2021</t>
        </is>
      </c>
      <c r="B2224" s="1" t="n">
        <v>44546</v>
      </c>
      <c r="C2224" s="1" t="n">
        <v>45706</v>
      </c>
      <c r="D2224" t="inlineStr">
        <is>
          <t>UPPSALA LÄN</t>
        </is>
      </c>
      <c r="E2224" t="inlineStr">
        <is>
          <t>ÖSTHAMMAR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72914-2021</t>
        </is>
      </c>
      <c r="B2225" s="1" t="n">
        <v>44547</v>
      </c>
      <c r="C2225" s="1" t="n">
        <v>45706</v>
      </c>
      <c r="D2225" t="inlineStr">
        <is>
          <t>UPPSALA LÄN</t>
        </is>
      </c>
      <c r="E2225" t="inlineStr">
        <is>
          <t>TIERP</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72883-2021</t>
        </is>
      </c>
      <c r="B2226" s="1" t="n">
        <v>44547</v>
      </c>
      <c r="C2226" s="1" t="n">
        <v>45706</v>
      </c>
      <c r="D2226" t="inlineStr">
        <is>
          <t>UPPSALA LÄN</t>
        </is>
      </c>
      <c r="E2226" t="inlineStr">
        <is>
          <t>KNIVSTA</t>
        </is>
      </c>
      <c r="F2226" t="inlineStr">
        <is>
          <t>Holmen skog AB</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72840-2021</t>
        </is>
      </c>
      <c r="B2227" s="1" t="n">
        <v>44547</v>
      </c>
      <c r="C2227" s="1" t="n">
        <v>45706</v>
      </c>
      <c r="D2227" t="inlineStr">
        <is>
          <t>UPPSALA LÄN</t>
        </is>
      </c>
      <c r="E2227" t="inlineStr">
        <is>
          <t>ENKÖPING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72885-2021</t>
        </is>
      </c>
      <c r="B2228" s="1" t="n">
        <v>44547</v>
      </c>
      <c r="C2228" s="1" t="n">
        <v>45706</v>
      </c>
      <c r="D2228" t="inlineStr">
        <is>
          <t>UPPSALA LÄN</t>
        </is>
      </c>
      <c r="E2228" t="inlineStr">
        <is>
          <t>KNIVSTA</t>
        </is>
      </c>
      <c r="F2228" t="inlineStr">
        <is>
          <t>Holmen skog AB</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72969-2021</t>
        </is>
      </c>
      <c r="B2229" s="1" t="n">
        <v>44548</v>
      </c>
      <c r="C2229" s="1" t="n">
        <v>45706</v>
      </c>
      <c r="D2229" t="inlineStr">
        <is>
          <t>UPPSALA LÄN</t>
        </is>
      </c>
      <c r="E2229" t="inlineStr">
        <is>
          <t>ÖSTHAMMAR</t>
        </is>
      </c>
      <c r="F2229" t="inlineStr">
        <is>
          <t>Bergvik skog öst AB</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72967-2021</t>
        </is>
      </c>
      <c r="B2230" s="1" t="n">
        <v>44548</v>
      </c>
      <c r="C2230" s="1" t="n">
        <v>45706</v>
      </c>
      <c r="D2230" t="inlineStr">
        <is>
          <t>UPPSALA LÄN</t>
        </is>
      </c>
      <c r="E2230" t="inlineStr">
        <is>
          <t>KNIVSTA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72973-2021</t>
        </is>
      </c>
      <c r="B2231" s="1" t="n">
        <v>44548</v>
      </c>
      <c r="C2231" s="1" t="n">
        <v>45706</v>
      </c>
      <c r="D2231" t="inlineStr">
        <is>
          <t>UPPSALA LÄN</t>
        </is>
      </c>
      <c r="E2231" t="inlineStr">
        <is>
          <t>UPPSALA</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73326-2021</t>
        </is>
      </c>
      <c r="B2232" s="1" t="n">
        <v>44548</v>
      </c>
      <c r="C2232" s="1" t="n">
        <v>45706</v>
      </c>
      <c r="D2232" t="inlineStr">
        <is>
          <t>UPPSALA LÄN</t>
        </is>
      </c>
      <c r="E2232" t="inlineStr">
        <is>
          <t>UPPSALA</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72975-2021</t>
        </is>
      </c>
      <c r="B2233" s="1" t="n">
        <v>44548</v>
      </c>
      <c r="C2233" s="1" t="n">
        <v>45706</v>
      </c>
      <c r="D2233" t="inlineStr">
        <is>
          <t>UPPSALA LÄN</t>
        </is>
      </c>
      <c r="E2233" t="inlineStr">
        <is>
          <t>TIERP</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72966-2021</t>
        </is>
      </c>
      <c r="B2234" s="1" t="n">
        <v>44548</v>
      </c>
      <c r="C2234" s="1" t="n">
        <v>45706</v>
      </c>
      <c r="D2234" t="inlineStr">
        <is>
          <t>UPPSALA LÄN</t>
        </is>
      </c>
      <c r="E2234" t="inlineStr">
        <is>
          <t>KNIVSTA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73044-2021</t>
        </is>
      </c>
      <c r="B2235" s="1" t="n">
        <v>44550</v>
      </c>
      <c r="C2235" s="1" t="n">
        <v>45706</v>
      </c>
      <c r="D2235" t="inlineStr">
        <is>
          <t>UPPSALA LÄN</t>
        </is>
      </c>
      <c r="E2235" t="inlineStr">
        <is>
          <t>UPPSALA</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73238-2021</t>
        </is>
      </c>
      <c r="B2236" s="1" t="n">
        <v>44550</v>
      </c>
      <c r="C2236" s="1" t="n">
        <v>45706</v>
      </c>
      <c r="D2236" t="inlineStr">
        <is>
          <t>UPPSALA LÄN</t>
        </is>
      </c>
      <c r="E2236" t="inlineStr">
        <is>
          <t>HEBY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73483-2021</t>
        </is>
      </c>
      <c r="B2237" s="1" t="n">
        <v>44550</v>
      </c>
      <c r="C2237" s="1" t="n">
        <v>45706</v>
      </c>
      <c r="D2237" t="inlineStr">
        <is>
          <t>UPPSALA LÄN</t>
        </is>
      </c>
      <c r="E2237" t="inlineStr">
        <is>
          <t>ÖSTHAMMAR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73385-2021</t>
        </is>
      </c>
      <c r="B2238" s="1" t="n">
        <v>44551</v>
      </c>
      <c r="C2238" s="1" t="n">
        <v>45706</v>
      </c>
      <c r="D2238" t="inlineStr">
        <is>
          <t>UPPSALA LÄN</t>
        </is>
      </c>
      <c r="E2238" t="inlineStr">
        <is>
          <t>HEBY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73468-2021</t>
        </is>
      </c>
      <c r="B2239" s="1" t="n">
        <v>44551</v>
      </c>
      <c r="C2239" s="1" t="n">
        <v>45706</v>
      </c>
      <c r="D2239" t="inlineStr">
        <is>
          <t>UPPSALA LÄN</t>
        </is>
      </c>
      <c r="E2239" t="inlineStr">
        <is>
          <t>UPPSALA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73518-2021</t>
        </is>
      </c>
      <c r="B2240" s="1" t="n">
        <v>44551</v>
      </c>
      <c r="C2240" s="1" t="n">
        <v>45706</v>
      </c>
      <c r="D2240" t="inlineStr">
        <is>
          <t>UPPSALA LÄN</t>
        </is>
      </c>
      <c r="E2240" t="inlineStr">
        <is>
          <t>UPPSALA</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73531-2021</t>
        </is>
      </c>
      <c r="B2241" s="1" t="n">
        <v>44551</v>
      </c>
      <c r="C2241" s="1" t="n">
        <v>45706</v>
      </c>
      <c r="D2241" t="inlineStr">
        <is>
          <t>UPPSALA LÄN</t>
        </is>
      </c>
      <c r="E2241" t="inlineStr">
        <is>
          <t>UPPSALA</t>
        </is>
      </c>
      <c r="F2241" t="inlineStr">
        <is>
          <t>Holmen skog AB</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73622-2021</t>
        </is>
      </c>
      <c r="B2242" s="1" t="n">
        <v>44552</v>
      </c>
      <c r="C2242" s="1" t="n">
        <v>45706</v>
      </c>
      <c r="D2242" t="inlineStr">
        <is>
          <t>UPPSALA LÄN</t>
        </is>
      </c>
      <c r="E2242" t="inlineStr">
        <is>
          <t>HEBY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73592-2021</t>
        </is>
      </c>
      <c r="B2243" s="1" t="n">
        <v>44552</v>
      </c>
      <c r="C2243" s="1" t="n">
        <v>45706</v>
      </c>
      <c r="D2243" t="inlineStr">
        <is>
          <t>UPPSALA LÄN</t>
        </is>
      </c>
      <c r="E2243" t="inlineStr">
        <is>
          <t>ÖSTHAMMAR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73754-2021</t>
        </is>
      </c>
      <c r="B2244" s="1" t="n">
        <v>44552</v>
      </c>
      <c r="C2244" s="1" t="n">
        <v>45706</v>
      </c>
      <c r="D2244" t="inlineStr">
        <is>
          <t>UPPSALA LÄN</t>
        </is>
      </c>
      <c r="E2244" t="inlineStr">
        <is>
          <t>KNIVSTA</t>
        </is>
      </c>
      <c r="F2244" t="inlineStr">
        <is>
          <t>Holmen skog AB</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74019-2021</t>
        </is>
      </c>
      <c r="B2245" s="1" t="n">
        <v>44553</v>
      </c>
      <c r="C2245" s="1" t="n">
        <v>45706</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73965-2021</t>
        </is>
      </c>
      <c r="B2246" s="1" t="n">
        <v>44553</v>
      </c>
      <c r="C2246" s="1" t="n">
        <v>45706</v>
      </c>
      <c r="D2246" t="inlineStr">
        <is>
          <t>UPPSALA LÄN</t>
        </is>
      </c>
      <c r="E2246" t="inlineStr">
        <is>
          <t>ÖSTHAMMAR</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74023-2021</t>
        </is>
      </c>
      <c r="B2247" s="1" t="n">
        <v>44553</v>
      </c>
      <c r="C2247" s="1" t="n">
        <v>45706</v>
      </c>
      <c r="D2247" t="inlineStr">
        <is>
          <t>UPPSALA LÄN</t>
        </is>
      </c>
      <c r="E2247" t="inlineStr">
        <is>
          <t>UPPSALA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73982-2021</t>
        </is>
      </c>
      <c r="B2248" s="1" t="n">
        <v>44555</v>
      </c>
      <c r="C2248" s="1" t="n">
        <v>45706</v>
      </c>
      <c r="D2248" t="inlineStr">
        <is>
          <t>UPPSALA LÄN</t>
        </is>
      </c>
      <c r="E2248" t="inlineStr">
        <is>
          <t>ÖSTHAMMAR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73983-2021</t>
        </is>
      </c>
      <c r="B2249" s="1" t="n">
        <v>44555</v>
      </c>
      <c r="C2249" s="1" t="n">
        <v>45706</v>
      </c>
      <c r="D2249" t="inlineStr">
        <is>
          <t>UPPSALA LÄN</t>
        </is>
      </c>
      <c r="E2249" t="inlineStr">
        <is>
          <t>ÖSTHAMMAR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74090-2021</t>
        </is>
      </c>
      <c r="B2250" s="1" t="n">
        <v>44557</v>
      </c>
      <c r="C2250" s="1" t="n">
        <v>45706</v>
      </c>
      <c r="D2250" t="inlineStr">
        <is>
          <t>UPPSALA LÄN</t>
        </is>
      </c>
      <c r="E2250" t="inlineStr">
        <is>
          <t>ENKÖPING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74215-2021</t>
        </is>
      </c>
      <c r="B2251" s="1" t="n">
        <v>44558</v>
      </c>
      <c r="C2251" s="1" t="n">
        <v>45706</v>
      </c>
      <c r="D2251" t="inlineStr">
        <is>
          <t>UPPSALA LÄN</t>
        </is>
      </c>
      <c r="E2251" t="inlineStr">
        <is>
          <t>HEBY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74429-2021</t>
        </is>
      </c>
      <c r="B2252" s="1" t="n">
        <v>44560</v>
      </c>
      <c r="C2252" s="1" t="n">
        <v>45706</v>
      </c>
      <c r="D2252" t="inlineStr">
        <is>
          <t>UPPSALA LÄN</t>
        </is>
      </c>
      <c r="E2252" t="inlineStr">
        <is>
          <t>ÖSTHAMMAR</t>
        </is>
      </c>
      <c r="F2252" t="inlineStr">
        <is>
          <t>Bergvik skog öst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74467-2021</t>
        </is>
      </c>
      <c r="B2253" s="1" t="n">
        <v>44560</v>
      </c>
      <c r="C2253" s="1" t="n">
        <v>45706</v>
      </c>
      <c r="D2253" t="inlineStr">
        <is>
          <t>UPPSALA LÄN</t>
        </is>
      </c>
      <c r="E2253" t="inlineStr">
        <is>
          <t>ÖSTHAMMAR</t>
        </is>
      </c>
      <c r="F2253" t="inlineStr">
        <is>
          <t>Bergvik skog öst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74473-2021</t>
        </is>
      </c>
      <c r="B2254" s="1" t="n">
        <v>44560</v>
      </c>
      <c r="C2254" s="1" t="n">
        <v>45706</v>
      </c>
      <c r="D2254" t="inlineStr">
        <is>
          <t>UPPSALA LÄN</t>
        </is>
      </c>
      <c r="E2254" t="inlineStr">
        <is>
          <t>TIERP</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74493-2021</t>
        </is>
      </c>
      <c r="B2255" s="1" t="n">
        <v>44560</v>
      </c>
      <c r="C2255" s="1" t="n">
        <v>45706</v>
      </c>
      <c r="D2255" t="inlineStr">
        <is>
          <t>UPPSALA LÄN</t>
        </is>
      </c>
      <c r="E2255" t="inlineStr">
        <is>
          <t>UPPSALA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74428-2021</t>
        </is>
      </c>
      <c r="B2256" s="1" t="n">
        <v>44560</v>
      </c>
      <c r="C2256" s="1" t="n">
        <v>45706</v>
      </c>
      <c r="D2256" t="inlineStr">
        <is>
          <t>UPPSALA LÄN</t>
        </is>
      </c>
      <c r="E2256" t="inlineStr">
        <is>
          <t>ÖSTHAMMAR</t>
        </is>
      </c>
      <c r="F2256" t="inlineStr">
        <is>
          <t>Bergvik skog öst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74436-2021</t>
        </is>
      </c>
      <c r="B2257" s="1" t="n">
        <v>44560</v>
      </c>
      <c r="C2257" s="1" t="n">
        <v>45706</v>
      </c>
      <c r="D2257" t="inlineStr">
        <is>
          <t>UPPSALA LÄN</t>
        </is>
      </c>
      <c r="E2257" t="inlineStr">
        <is>
          <t>ÖSTHAMMAR</t>
        </is>
      </c>
      <c r="F2257" t="inlineStr">
        <is>
          <t>Bergvik skog öst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74495-2021</t>
        </is>
      </c>
      <c r="B2258" s="1" t="n">
        <v>44560</v>
      </c>
      <c r="C2258" s="1" t="n">
        <v>45706</v>
      </c>
      <c r="D2258" t="inlineStr">
        <is>
          <t>UPPSALA LÄN</t>
        </is>
      </c>
      <c r="E2258" t="inlineStr">
        <is>
          <t>UPPSALA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312-2022</t>
        </is>
      </c>
      <c r="B2259" s="1" t="n">
        <v>44565</v>
      </c>
      <c r="C2259" s="1" t="n">
        <v>45706</v>
      </c>
      <c r="D2259" t="inlineStr">
        <is>
          <t>UPPSALA LÄN</t>
        </is>
      </c>
      <c r="E2259" t="inlineStr">
        <is>
          <t>HEBY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279-2022</t>
        </is>
      </c>
      <c r="B2260" s="1" t="n">
        <v>44565</v>
      </c>
      <c r="C2260" s="1" t="n">
        <v>45706</v>
      </c>
      <c r="D2260" t="inlineStr">
        <is>
          <t>UPPSALA LÄN</t>
        </is>
      </c>
      <c r="E2260" t="inlineStr">
        <is>
          <t>HEBY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498-2022</t>
        </is>
      </c>
      <c r="B2261" s="1" t="n">
        <v>44566</v>
      </c>
      <c r="C2261" s="1" t="n">
        <v>45706</v>
      </c>
      <c r="D2261" t="inlineStr">
        <is>
          <t>UPPSALA LÄN</t>
        </is>
      </c>
      <c r="E2261" t="inlineStr">
        <is>
          <t>ENKÖPING</t>
        </is>
      </c>
      <c r="F2261" t="inlineStr">
        <is>
          <t>Övriga statliga verk och myndigheter</t>
        </is>
      </c>
      <c r="G2261" t="n">
        <v>11.1</v>
      </c>
      <c r="H2261" t="n">
        <v>0</v>
      </c>
      <c r="I2261" t="n">
        <v>0</v>
      </c>
      <c r="J2261" t="n">
        <v>0</v>
      </c>
      <c r="K2261" t="n">
        <v>0</v>
      </c>
      <c r="L2261" t="n">
        <v>0</v>
      </c>
      <c r="M2261" t="n">
        <v>0</v>
      </c>
      <c r="N2261" t="n">
        <v>0</v>
      </c>
      <c r="O2261" t="n">
        <v>0</v>
      </c>
      <c r="P2261" t="n">
        <v>0</v>
      </c>
      <c r="Q2261" t="n">
        <v>0</v>
      </c>
      <c r="R2261" s="2" t="inlineStr"/>
    </row>
    <row r="2262" ht="15" customHeight="1">
      <c r="A2262" t="inlineStr">
        <is>
          <t>A 612-2022</t>
        </is>
      </c>
      <c r="B2262" s="1" t="n">
        <v>44567</v>
      </c>
      <c r="C2262" s="1" t="n">
        <v>45706</v>
      </c>
      <c r="D2262" t="inlineStr">
        <is>
          <t>UPPSALA LÄN</t>
        </is>
      </c>
      <c r="E2262" t="inlineStr">
        <is>
          <t>UPPSALA</t>
        </is>
      </c>
      <c r="F2262" t="inlineStr">
        <is>
          <t>Holmen skog AB</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671-2022</t>
        </is>
      </c>
      <c r="B2263" s="1" t="n">
        <v>44568</v>
      </c>
      <c r="C2263" s="1" t="n">
        <v>45706</v>
      </c>
      <c r="D2263" t="inlineStr">
        <is>
          <t>UPPSALA LÄN</t>
        </is>
      </c>
      <c r="E2263" t="inlineStr">
        <is>
          <t>ENKÖPING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733-2022</t>
        </is>
      </c>
      <c r="B2264" s="1" t="n">
        <v>44568</v>
      </c>
      <c r="C2264" s="1" t="n">
        <v>45706</v>
      </c>
      <c r="D2264" t="inlineStr">
        <is>
          <t>UPPSALA LÄN</t>
        </is>
      </c>
      <c r="E2264" t="inlineStr">
        <is>
          <t>UPPSALA</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963-2022</t>
        </is>
      </c>
      <c r="B2265" s="1" t="n">
        <v>44568</v>
      </c>
      <c r="C2265" s="1" t="n">
        <v>45706</v>
      </c>
      <c r="D2265" t="inlineStr">
        <is>
          <t>UPPSALA LÄN</t>
        </is>
      </c>
      <c r="E2265" t="inlineStr">
        <is>
          <t>HEBY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752-2022</t>
        </is>
      </c>
      <c r="B2266" s="1" t="n">
        <v>44569</v>
      </c>
      <c r="C2266" s="1" t="n">
        <v>45706</v>
      </c>
      <c r="D2266" t="inlineStr">
        <is>
          <t>UPPSALA LÄN</t>
        </is>
      </c>
      <c r="E2266" t="inlineStr">
        <is>
          <t>UPPSALA</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750-2022</t>
        </is>
      </c>
      <c r="B2267" s="1" t="n">
        <v>44569</v>
      </c>
      <c r="C2267" s="1" t="n">
        <v>45706</v>
      </c>
      <c r="D2267" t="inlineStr">
        <is>
          <t>UPPSALA LÄN</t>
        </is>
      </c>
      <c r="E2267" t="inlineStr">
        <is>
          <t>UPPSALA</t>
        </is>
      </c>
      <c r="F2267" t="inlineStr">
        <is>
          <t>Holmen skog AB</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759-2022</t>
        </is>
      </c>
      <c r="B2268" s="1" t="n">
        <v>44569</v>
      </c>
      <c r="C2268" s="1" t="n">
        <v>45706</v>
      </c>
      <c r="D2268" t="inlineStr">
        <is>
          <t>UPPSALA LÄN</t>
        </is>
      </c>
      <c r="E2268" t="inlineStr">
        <is>
          <t>UPPSALA</t>
        </is>
      </c>
      <c r="F2268" t="inlineStr">
        <is>
          <t>Holmen skog AB</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758-2022</t>
        </is>
      </c>
      <c r="B2269" s="1" t="n">
        <v>44569</v>
      </c>
      <c r="C2269" s="1" t="n">
        <v>45706</v>
      </c>
      <c r="D2269" t="inlineStr">
        <is>
          <t>UPPSALA LÄN</t>
        </is>
      </c>
      <c r="E2269" t="inlineStr">
        <is>
          <t>UPPSALA</t>
        </is>
      </c>
      <c r="F2269" t="inlineStr">
        <is>
          <t>Holmen skog AB</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917-2022</t>
        </is>
      </c>
      <c r="B2270" s="1" t="n">
        <v>44571</v>
      </c>
      <c r="C2270" s="1" t="n">
        <v>45706</v>
      </c>
      <c r="D2270" t="inlineStr">
        <is>
          <t>UPPSALA LÄN</t>
        </is>
      </c>
      <c r="E2270" t="inlineStr">
        <is>
          <t>UPPSALA</t>
        </is>
      </c>
      <c r="F2270" t="inlineStr">
        <is>
          <t>Bergvik skog öst AB</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871-2022</t>
        </is>
      </c>
      <c r="B2271" s="1" t="n">
        <v>44571</v>
      </c>
      <c r="C2271" s="1" t="n">
        <v>45706</v>
      </c>
      <c r="D2271" t="inlineStr">
        <is>
          <t>UPPSALA LÄN</t>
        </is>
      </c>
      <c r="E2271" t="inlineStr">
        <is>
          <t>TIERP</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874-2022</t>
        </is>
      </c>
      <c r="B2272" s="1" t="n">
        <v>44571</v>
      </c>
      <c r="C2272" s="1" t="n">
        <v>45706</v>
      </c>
      <c r="D2272" t="inlineStr">
        <is>
          <t>UPPSALA LÄN</t>
        </is>
      </c>
      <c r="E2272" t="inlineStr">
        <is>
          <t>UPPSALA</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1037-2022</t>
        </is>
      </c>
      <c r="B2273" s="1" t="n">
        <v>44571</v>
      </c>
      <c r="C2273" s="1" t="n">
        <v>45706</v>
      </c>
      <c r="D2273" t="inlineStr">
        <is>
          <t>UPPSALA LÄN</t>
        </is>
      </c>
      <c r="E2273" t="inlineStr">
        <is>
          <t>UPPSALA</t>
        </is>
      </c>
      <c r="F2273" t="inlineStr">
        <is>
          <t>Holmen skog AB</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1148-2022</t>
        </is>
      </c>
      <c r="B2274" s="1" t="n">
        <v>44572</v>
      </c>
      <c r="C2274" s="1" t="n">
        <v>45706</v>
      </c>
      <c r="D2274" t="inlineStr">
        <is>
          <t>UPPSALA LÄN</t>
        </is>
      </c>
      <c r="E2274" t="inlineStr">
        <is>
          <t>UPPSALA</t>
        </is>
      </c>
      <c r="F2274" t="inlineStr">
        <is>
          <t>Kyrkan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1238-2022</t>
        </is>
      </c>
      <c r="B2275" s="1" t="n">
        <v>44572</v>
      </c>
      <c r="C2275" s="1" t="n">
        <v>45706</v>
      </c>
      <c r="D2275" t="inlineStr">
        <is>
          <t>UPPSALA LÄN</t>
        </is>
      </c>
      <c r="E2275" t="inlineStr">
        <is>
          <t>ÖSTHAMMAR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1323-2022</t>
        </is>
      </c>
      <c r="B2276" s="1" t="n">
        <v>44572</v>
      </c>
      <c r="C2276" s="1" t="n">
        <v>45706</v>
      </c>
      <c r="D2276" t="inlineStr">
        <is>
          <t>UPPSALA LÄN</t>
        </is>
      </c>
      <c r="E2276" t="inlineStr">
        <is>
          <t>KNIVSTA</t>
        </is>
      </c>
      <c r="F2276" t="inlineStr">
        <is>
          <t>Holmen skog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1298-2022</t>
        </is>
      </c>
      <c r="B2277" s="1" t="n">
        <v>44572</v>
      </c>
      <c r="C2277" s="1" t="n">
        <v>45706</v>
      </c>
      <c r="D2277" t="inlineStr">
        <is>
          <t>UPPSALA LÄN</t>
        </is>
      </c>
      <c r="E2277" t="inlineStr">
        <is>
          <t>UPPSALA</t>
        </is>
      </c>
      <c r="F2277" t="inlineStr">
        <is>
          <t>Holmen skog AB</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1462-2022</t>
        </is>
      </c>
      <c r="B2278" s="1" t="n">
        <v>44573</v>
      </c>
      <c r="C2278" s="1" t="n">
        <v>45706</v>
      </c>
      <c r="D2278" t="inlineStr">
        <is>
          <t>UPPSALA LÄN</t>
        </is>
      </c>
      <c r="E2278" t="inlineStr">
        <is>
          <t>HEBY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1609-2022</t>
        </is>
      </c>
      <c r="B2279" s="1" t="n">
        <v>44573</v>
      </c>
      <c r="C2279" s="1" t="n">
        <v>45706</v>
      </c>
      <c r="D2279" t="inlineStr">
        <is>
          <t>UPPSALA LÄN</t>
        </is>
      </c>
      <c r="E2279" t="inlineStr">
        <is>
          <t>ÖSTHAMMAR</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1731-2022</t>
        </is>
      </c>
      <c r="B2280" s="1" t="n">
        <v>44574</v>
      </c>
      <c r="C2280" s="1" t="n">
        <v>45706</v>
      </c>
      <c r="D2280" t="inlineStr">
        <is>
          <t>UPPSALA LÄN</t>
        </is>
      </c>
      <c r="E2280" t="inlineStr">
        <is>
          <t>UPPSALA</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1755-2022</t>
        </is>
      </c>
      <c r="B2281" s="1" t="n">
        <v>44574</v>
      </c>
      <c r="C2281" s="1" t="n">
        <v>45706</v>
      </c>
      <c r="D2281" t="inlineStr">
        <is>
          <t>UPPSALA LÄN</t>
        </is>
      </c>
      <c r="E2281" t="inlineStr">
        <is>
          <t>HEBY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1752-2022</t>
        </is>
      </c>
      <c r="B2282" s="1" t="n">
        <v>44574</v>
      </c>
      <c r="C2282" s="1" t="n">
        <v>45706</v>
      </c>
      <c r="D2282" t="inlineStr">
        <is>
          <t>UPPSALA LÄN</t>
        </is>
      </c>
      <c r="E2282" t="inlineStr">
        <is>
          <t>HEBY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1760-2022</t>
        </is>
      </c>
      <c r="B2283" s="1" t="n">
        <v>44574</v>
      </c>
      <c r="C2283" s="1" t="n">
        <v>45706</v>
      </c>
      <c r="D2283" t="inlineStr">
        <is>
          <t>UPPSALA LÄN</t>
        </is>
      </c>
      <c r="E2283" t="inlineStr">
        <is>
          <t>HEBY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1963-2022</t>
        </is>
      </c>
      <c r="B2284" s="1" t="n">
        <v>44575</v>
      </c>
      <c r="C2284" s="1" t="n">
        <v>45706</v>
      </c>
      <c r="D2284" t="inlineStr">
        <is>
          <t>UPPSALA LÄN</t>
        </is>
      </c>
      <c r="E2284" t="inlineStr">
        <is>
          <t>UPPSALA</t>
        </is>
      </c>
      <c r="F2284" t="inlineStr">
        <is>
          <t>Bergvik skog öst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1971-2022</t>
        </is>
      </c>
      <c r="B2285" s="1" t="n">
        <v>44575</v>
      </c>
      <c r="C2285" s="1" t="n">
        <v>45706</v>
      </c>
      <c r="D2285" t="inlineStr">
        <is>
          <t>UPPSALA LÄN</t>
        </is>
      </c>
      <c r="E2285" t="inlineStr">
        <is>
          <t>ENKÖPING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1962-2022</t>
        </is>
      </c>
      <c r="B2286" s="1" t="n">
        <v>44575</v>
      </c>
      <c r="C2286" s="1" t="n">
        <v>45706</v>
      </c>
      <c r="D2286" t="inlineStr">
        <is>
          <t>UPPSALA LÄN</t>
        </is>
      </c>
      <c r="E2286" t="inlineStr">
        <is>
          <t>ENKÖPING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1975-2022</t>
        </is>
      </c>
      <c r="B2287" s="1" t="n">
        <v>44575</v>
      </c>
      <c r="C2287" s="1" t="n">
        <v>45706</v>
      </c>
      <c r="D2287" t="inlineStr">
        <is>
          <t>UPPSALA LÄN</t>
        </is>
      </c>
      <c r="E2287" t="inlineStr">
        <is>
          <t>UPPSALA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1979-2022</t>
        </is>
      </c>
      <c r="B2288" s="1" t="n">
        <v>44575</v>
      </c>
      <c r="C2288" s="1" t="n">
        <v>45706</v>
      </c>
      <c r="D2288" t="inlineStr">
        <is>
          <t>UPPSALA LÄN</t>
        </is>
      </c>
      <c r="E2288" t="inlineStr">
        <is>
          <t>ENKÖPING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1936-2022</t>
        </is>
      </c>
      <c r="B2289" s="1" t="n">
        <v>44575</v>
      </c>
      <c r="C2289" s="1" t="n">
        <v>45706</v>
      </c>
      <c r="D2289" t="inlineStr">
        <is>
          <t>UPPSALA LÄN</t>
        </is>
      </c>
      <c r="E2289" t="inlineStr">
        <is>
          <t>UPPSALA</t>
        </is>
      </c>
      <c r="F2289" t="inlineStr">
        <is>
          <t>Bergvik skog öst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1992-2022</t>
        </is>
      </c>
      <c r="B2290" s="1" t="n">
        <v>44575</v>
      </c>
      <c r="C2290" s="1" t="n">
        <v>45706</v>
      </c>
      <c r="D2290" t="inlineStr">
        <is>
          <t>UPPSALA LÄN</t>
        </is>
      </c>
      <c r="E2290" t="inlineStr">
        <is>
          <t>ENKÖPING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1960-2022</t>
        </is>
      </c>
      <c r="B2291" s="1" t="n">
        <v>44575</v>
      </c>
      <c r="C2291" s="1" t="n">
        <v>45706</v>
      </c>
      <c r="D2291" t="inlineStr">
        <is>
          <t>UPPSALA LÄN</t>
        </is>
      </c>
      <c r="E2291" t="inlineStr">
        <is>
          <t>ENKÖPING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1965-2022</t>
        </is>
      </c>
      <c r="B2292" s="1" t="n">
        <v>44575</v>
      </c>
      <c r="C2292" s="1" t="n">
        <v>45706</v>
      </c>
      <c r="D2292" t="inlineStr">
        <is>
          <t>UPPSALA LÄN</t>
        </is>
      </c>
      <c r="E2292" t="inlineStr">
        <is>
          <t>ENKÖPING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1978-2022</t>
        </is>
      </c>
      <c r="B2293" s="1" t="n">
        <v>44575</v>
      </c>
      <c r="C2293" s="1" t="n">
        <v>45706</v>
      </c>
      <c r="D2293" t="inlineStr">
        <is>
          <t>UPPSALA LÄN</t>
        </is>
      </c>
      <c r="E2293" t="inlineStr">
        <is>
          <t>UPPSALA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2017-2022</t>
        </is>
      </c>
      <c r="B2294" s="1" t="n">
        <v>44575</v>
      </c>
      <c r="C2294" s="1" t="n">
        <v>45706</v>
      </c>
      <c r="D2294" t="inlineStr">
        <is>
          <t>UPPSALA LÄN</t>
        </is>
      </c>
      <c r="E2294" t="inlineStr">
        <is>
          <t>UPPSALA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2085-2022</t>
        </is>
      </c>
      <c r="B2295" s="1" t="n">
        <v>44576</v>
      </c>
      <c r="C2295" s="1" t="n">
        <v>45706</v>
      </c>
      <c r="D2295" t="inlineStr">
        <is>
          <t>UPPSALA LÄN</t>
        </is>
      </c>
      <c r="E2295" t="inlineStr">
        <is>
          <t>ÖSTHAMMAR</t>
        </is>
      </c>
      <c r="F2295" t="inlineStr">
        <is>
          <t>Bergvik skog öst AB</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2108-2022</t>
        </is>
      </c>
      <c r="B2296" s="1" t="n">
        <v>44577</v>
      </c>
      <c r="C2296" s="1" t="n">
        <v>45706</v>
      </c>
      <c r="D2296" t="inlineStr">
        <is>
          <t>UPPSALA LÄN</t>
        </is>
      </c>
      <c r="E2296" t="inlineStr">
        <is>
          <t>ÖSTHAMMAR</t>
        </is>
      </c>
      <c r="F2296" t="inlineStr">
        <is>
          <t>Bergvik skog öst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2168-2022</t>
        </is>
      </c>
      <c r="B2297" s="1" t="n">
        <v>44578</v>
      </c>
      <c r="C2297" s="1" t="n">
        <v>45706</v>
      </c>
      <c r="D2297" t="inlineStr">
        <is>
          <t>UPPSALA LÄN</t>
        </is>
      </c>
      <c r="E2297" t="inlineStr">
        <is>
          <t>ÖSTHAMMAR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2228-2022</t>
        </is>
      </c>
      <c r="B2298" s="1" t="n">
        <v>44578</v>
      </c>
      <c r="C2298" s="1" t="n">
        <v>45706</v>
      </c>
      <c r="D2298" t="inlineStr">
        <is>
          <t>UPPSALA LÄN</t>
        </is>
      </c>
      <c r="E2298" t="inlineStr">
        <is>
          <t>UPPSALA</t>
        </is>
      </c>
      <c r="F2298" t="inlineStr">
        <is>
          <t>Bergvik skog öst AB</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2128-2022</t>
        </is>
      </c>
      <c r="B2299" s="1" t="n">
        <v>44578</v>
      </c>
      <c r="C2299" s="1" t="n">
        <v>45706</v>
      </c>
      <c r="D2299" t="inlineStr">
        <is>
          <t>UPPSALA LÄN</t>
        </is>
      </c>
      <c r="E2299" t="inlineStr">
        <is>
          <t>HEBY</t>
        </is>
      </c>
      <c r="F2299" t="inlineStr">
        <is>
          <t>Bergvik skog väst AB</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2248-2022</t>
        </is>
      </c>
      <c r="B2300" s="1" t="n">
        <v>44578</v>
      </c>
      <c r="C2300" s="1" t="n">
        <v>45706</v>
      </c>
      <c r="D2300" t="inlineStr">
        <is>
          <t>UPPSALA LÄN</t>
        </is>
      </c>
      <c r="E2300" t="inlineStr">
        <is>
          <t>TIERP</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3638-2022</t>
        </is>
      </c>
      <c r="B2301" s="1" t="n">
        <v>44578</v>
      </c>
      <c r="C2301" s="1" t="n">
        <v>45706</v>
      </c>
      <c r="D2301" t="inlineStr">
        <is>
          <t>UPPSALA LÄN</t>
        </is>
      </c>
      <c r="E2301" t="inlineStr">
        <is>
          <t>ÖSTHAMMAR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2535-2022</t>
        </is>
      </c>
      <c r="B2302" s="1" t="n">
        <v>44579</v>
      </c>
      <c r="C2302" s="1" t="n">
        <v>45706</v>
      </c>
      <c r="D2302" t="inlineStr">
        <is>
          <t>UPPSALA LÄN</t>
        </is>
      </c>
      <c r="E2302" t="inlineStr">
        <is>
          <t>TIERP</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2534-2022</t>
        </is>
      </c>
      <c r="B2303" s="1" t="n">
        <v>44579</v>
      </c>
      <c r="C2303" s="1" t="n">
        <v>45706</v>
      </c>
      <c r="D2303" t="inlineStr">
        <is>
          <t>UPPSALA LÄN</t>
        </is>
      </c>
      <c r="E2303" t="inlineStr">
        <is>
          <t>TIERP</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2559-2022</t>
        </is>
      </c>
      <c r="B2304" s="1" t="n">
        <v>44580</v>
      </c>
      <c r="C2304" s="1" t="n">
        <v>45706</v>
      </c>
      <c r="D2304" t="inlineStr">
        <is>
          <t>UPPSALA LÄN</t>
        </is>
      </c>
      <c r="E2304" t="inlineStr">
        <is>
          <t>TIERP</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2680-2022</t>
        </is>
      </c>
      <c r="B2305" s="1" t="n">
        <v>44580</v>
      </c>
      <c r="C2305" s="1" t="n">
        <v>45706</v>
      </c>
      <c r="D2305" t="inlineStr">
        <is>
          <t>UPPSALA LÄN</t>
        </is>
      </c>
      <c r="E2305" t="inlineStr">
        <is>
          <t>ENKÖPING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2771-2022</t>
        </is>
      </c>
      <c r="B2306" s="1" t="n">
        <v>44581</v>
      </c>
      <c r="C2306" s="1" t="n">
        <v>45706</v>
      </c>
      <c r="D2306" t="inlineStr">
        <is>
          <t>UPPSALA LÄN</t>
        </is>
      </c>
      <c r="E2306" t="inlineStr">
        <is>
          <t>TIERP</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2795-2022</t>
        </is>
      </c>
      <c r="B2307" s="1" t="n">
        <v>44581</v>
      </c>
      <c r="C2307" s="1" t="n">
        <v>45706</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2814-2022</t>
        </is>
      </c>
      <c r="B2308" s="1" t="n">
        <v>44581</v>
      </c>
      <c r="C2308" s="1" t="n">
        <v>45706</v>
      </c>
      <c r="D2308" t="inlineStr">
        <is>
          <t>UPPSALA LÄN</t>
        </is>
      </c>
      <c r="E2308" t="inlineStr">
        <is>
          <t>TIERP</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2927-2022</t>
        </is>
      </c>
      <c r="B2309" s="1" t="n">
        <v>44581</v>
      </c>
      <c r="C2309" s="1" t="n">
        <v>45706</v>
      </c>
      <c r="D2309" t="inlineStr">
        <is>
          <t>UPPSALA LÄN</t>
        </is>
      </c>
      <c r="E2309" t="inlineStr">
        <is>
          <t>UPPSALA</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3259-2022</t>
        </is>
      </c>
      <c r="B2310" s="1" t="n">
        <v>44583</v>
      </c>
      <c r="C2310" s="1" t="n">
        <v>45706</v>
      </c>
      <c r="D2310" t="inlineStr">
        <is>
          <t>UPPSALA LÄN</t>
        </is>
      </c>
      <c r="E2310" t="inlineStr">
        <is>
          <t>UPPSALA</t>
        </is>
      </c>
      <c r="F2310" t="inlineStr">
        <is>
          <t>Holmen skog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3261-2022</t>
        </is>
      </c>
      <c r="B2311" s="1" t="n">
        <v>44583</v>
      </c>
      <c r="C2311" s="1" t="n">
        <v>45706</v>
      </c>
      <c r="D2311" t="inlineStr">
        <is>
          <t>UPPSALA LÄN</t>
        </is>
      </c>
      <c r="E2311" t="inlineStr">
        <is>
          <t>UPPSALA</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3252-2022</t>
        </is>
      </c>
      <c r="B2312" s="1" t="n">
        <v>44583</v>
      </c>
      <c r="C2312" s="1" t="n">
        <v>45706</v>
      </c>
      <c r="D2312" t="inlineStr">
        <is>
          <t>UPPSALA LÄN</t>
        </is>
      </c>
      <c r="E2312" t="inlineStr">
        <is>
          <t>UPPSALA</t>
        </is>
      </c>
      <c r="F2312" t="inlineStr">
        <is>
          <t>Holmen skog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3258-2022</t>
        </is>
      </c>
      <c r="B2313" s="1" t="n">
        <v>44583</v>
      </c>
      <c r="C2313" s="1" t="n">
        <v>45706</v>
      </c>
      <c r="D2313" t="inlineStr">
        <is>
          <t>UPPSALA LÄN</t>
        </is>
      </c>
      <c r="E2313" t="inlineStr">
        <is>
          <t>UPPSALA</t>
        </is>
      </c>
      <c r="F2313" t="inlineStr">
        <is>
          <t>Holmen skog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3262-2022</t>
        </is>
      </c>
      <c r="B2314" s="1" t="n">
        <v>44583</v>
      </c>
      <c r="C2314" s="1" t="n">
        <v>45706</v>
      </c>
      <c r="D2314" t="inlineStr">
        <is>
          <t>UPPSALA LÄN</t>
        </is>
      </c>
      <c r="E2314" t="inlineStr">
        <is>
          <t>UPPSALA</t>
        </is>
      </c>
      <c r="F2314" t="inlineStr">
        <is>
          <t>Holmen skog AB</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3255-2022</t>
        </is>
      </c>
      <c r="B2315" s="1" t="n">
        <v>44583</v>
      </c>
      <c r="C2315" s="1" t="n">
        <v>45706</v>
      </c>
      <c r="D2315" t="inlineStr">
        <is>
          <t>UPPSALA LÄN</t>
        </is>
      </c>
      <c r="E2315" t="inlineStr">
        <is>
          <t>UPPSALA</t>
        </is>
      </c>
      <c r="F2315" t="inlineStr">
        <is>
          <t>Holmen skog AB</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3260-2022</t>
        </is>
      </c>
      <c r="B2316" s="1" t="n">
        <v>44583</v>
      </c>
      <c r="C2316" s="1" t="n">
        <v>45706</v>
      </c>
      <c r="D2316" t="inlineStr">
        <is>
          <t>UPPSALA LÄN</t>
        </is>
      </c>
      <c r="E2316" t="inlineStr">
        <is>
          <t>UPPSALA</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3284-2022</t>
        </is>
      </c>
      <c r="B2317" s="1" t="n">
        <v>44584</v>
      </c>
      <c r="C2317" s="1" t="n">
        <v>45706</v>
      </c>
      <c r="D2317" t="inlineStr">
        <is>
          <t>UPPSALA LÄN</t>
        </is>
      </c>
      <c r="E2317" t="inlineStr">
        <is>
          <t>UPPSALA</t>
        </is>
      </c>
      <c r="F2317" t="inlineStr">
        <is>
          <t>Holmen skog AB</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3287-2022</t>
        </is>
      </c>
      <c r="B2318" s="1" t="n">
        <v>44584</v>
      </c>
      <c r="C2318" s="1" t="n">
        <v>45706</v>
      </c>
      <c r="D2318" t="inlineStr">
        <is>
          <t>UPPSALA LÄN</t>
        </is>
      </c>
      <c r="E2318" t="inlineStr">
        <is>
          <t>UPPSALA</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3496-2022</t>
        </is>
      </c>
      <c r="B2319" s="1" t="n">
        <v>44585</v>
      </c>
      <c r="C2319" s="1" t="n">
        <v>45706</v>
      </c>
      <c r="D2319" t="inlineStr">
        <is>
          <t>UPPSALA LÄN</t>
        </is>
      </c>
      <c r="E2319" t="inlineStr">
        <is>
          <t>HEBY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3574-2022</t>
        </is>
      </c>
      <c r="B2320" s="1" t="n">
        <v>44586</v>
      </c>
      <c r="C2320" s="1" t="n">
        <v>45706</v>
      </c>
      <c r="D2320" t="inlineStr">
        <is>
          <t>UPPSALA LÄN</t>
        </is>
      </c>
      <c r="E2320" t="inlineStr">
        <is>
          <t>HEBY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3641-2022</t>
        </is>
      </c>
      <c r="B2321" s="1" t="n">
        <v>44586</v>
      </c>
      <c r="C2321" s="1" t="n">
        <v>45706</v>
      </c>
      <c r="D2321" t="inlineStr">
        <is>
          <t>UPPSALA LÄN</t>
        </is>
      </c>
      <c r="E2321" t="inlineStr">
        <is>
          <t>HEBY</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3725-2022</t>
        </is>
      </c>
      <c r="B2322" s="1" t="n">
        <v>44586</v>
      </c>
      <c r="C2322" s="1" t="n">
        <v>45706</v>
      </c>
      <c r="D2322" t="inlineStr">
        <is>
          <t>UPPSALA LÄN</t>
        </is>
      </c>
      <c r="E2322" t="inlineStr">
        <is>
          <t>ÖSTHAMMAR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3732-2022</t>
        </is>
      </c>
      <c r="B2323" s="1" t="n">
        <v>44586</v>
      </c>
      <c r="C2323" s="1" t="n">
        <v>45706</v>
      </c>
      <c r="D2323" t="inlineStr">
        <is>
          <t>UPPSALA LÄN</t>
        </is>
      </c>
      <c r="E2323" t="inlineStr">
        <is>
          <t>ÖSTHAMMAR</t>
        </is>
      </c>
      <c r="F2323" t="inlineStr">
        <is>
          <t>Bergvik skog öst AB</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3740-2022</t>
        </is>
      </c>
      <c r="B2324" s="1" t="n">
        <v>44586</v>
      </c>
      <c r="C2324" s="1" t="n">
        <v>45706</v>
      </c>
      <c r="D2324" t="inlineStr">
        <is>
          <t>UPPSALA LÄN</t>
        </is>
      </c>
      <c r="E2324" t="inlineStr">
        <is>
          <t>ÖSTHAMMAR</t>
        </is>
      </c>
      <c r="F2324" t="inlineStr">
        <is>
          <t>Bergvik skog öst AB</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3861-2022</t>
        </is>
      </c>
      <c r="B2325" s="1" t="n">
        <v>44587</v>
      </c>
      <c r="C2325" s="1" t="n">
        <v>45706</v>
      </c>
      <c r="D2325" t="inlineStr">
        <is>
          <t>UPPSALA LÄN</t>
        </is>
      </c>
      <c r="E2325" t="inlineStr">
        <is>
          <t>ENKÖPING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3991-2022</t>
        </is>
      </c>
      <c r="B2326" s="1" t="n">
        <v>44587</v>
      </c>
      <c r="C2326" s="1" t="n">
        <v>45706</v>
      </c>
      <c r="D2326" t="inlineStr">
        <is>
          <t>UPPSALA LÄN</t>
        </is>
      </c>
      <c r="E2326" t="inlineStr">
        <is>
          <t>ÖSTHAMMAR</t>
        </is>
      </c>
      <c r="F2326" t="inlineStr">
        <is>
          <t>Bergvik skog öst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3988-2022</t>
        </is>
      </c>
      <c r="B2327" s="1" t="n">
        <v>44587</v>
      </c>
      <c r="C2327" s="1" t="n">
        <v>45706</v>
      </c>
      <c r="D2327" t="inlineStr">
        <is>
          <t>UPPSALA LÄN</t>
        </is>
      </c>
      <c r="E2327" t="inlineStr">
        <is>
          <t>HEBY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4059-2022</t>
        </is>
      </c>
      <c r="B2328" s="1" t="n">
        <v>44588</v>
      </c>
      <c r="C2328" s="1" t="n">
        <v>45706</v>
      </c>
      <c r="D2328" t="inlineStr">
        <is>
          <t>UPPSALA LÄN</t>
        </is>
      </c>
      <c r="E2328" t="inlineStr">
        <is>
          <t>UPPSALA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4083-2022</t>
        </is>
      </c>
      <c r="B2329" s="1" t="n">
        <v>44588</v>
      </c>
      <c r="C2329" s="1" t="n">
        <v>45706</v>
      </c>
      <c r="D2329" t="inlineStr">
        <is>
          <t>UPPSALA LÄN</t>
        </is>
      </c>
      <c r="E2329" t="inlineStr">
        <is>
          <t>TIERP</t>
        </is>
      </c>
      <c r="G2329" t="n">
        <v>26.1</v>
      </c>
      <c r="H2329" t="n">
        <v>0</v>
      </c>
      <c r="I2329" t="n">
        <v>0</v>
      </c>
      <c r="J2329" t="n">
        <v>0</v>
      </c>
      <c r="K2329" t="n">
        <v>0</v>
      </c>
      <c r="L2329" t="n">
        <v>0</v>
      </c>
      <c r="M2329" t="n">
        <v>0</v>
      </c>
      <c r="N2329" t="n">
        <v>0</v>
      </c>
      <c r="O2329" t="n">
        <v>0</v>
      </c>
      <c r="P2329" t="n">
        <v>0</v>
      </c>
      <c r="Q2329" t="n">
        <v>0</v>
      </c>
      <c r="R2329" s="2" t="inlineStr"/>
    </row>
    <row r="2330" ht="15" customHeight="1">
      <c r="A2330" t="inlineStr">
        <is>
          <t>A 4101-2022</t>
        </is>
      </c>
      <c r="B2330" s="1" t="n">
        <v>44588</v>
      </c>
      <c r="C2330" s="1" t="n">
        <v>45706</v>
      </c>
      <c r="D2330" t="inlineStr">
        <is>
          <t>UPPSALA LÄN</t>
        </is>
      </c>
      <c r="E2330" t="inlineStr">
        <is>
          <t>ÖSTHAMMAR</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4170-2022</t>
        </is>
      </c>
      <c r="B2331" s="1" t="n">
        <v>44588</v>
      </c>
      <c r="C2331" s="1" t="n">
        <v>45706</v>
      </c>
      <c r="D2331" t="inlineStr">
        <is>
          <t>UPPSALA LÄN</t>
        </is>
      </c>
      <c r="E2331" t="inlineStr">
        <is>
          <t>ENKÖPING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4312-2022</t>
        </is>
      </c>
      <c r="B2332" s="1" t="n">
        <v>44588</v>
      </c>
      <c r="C2332" s="1" t="n">
        <v>45706</v>
      </c>
      <c r="D2332" t="inlineStr">
        <is>
          <t>UPPSALA LÄN</t>
        </is>
      </c>
      <c r="E2332" t="inlineStr">
        <is>
          <t>UPPSALA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4318-2022</t>
        </is>
      </c>
      <c r="B2333" s="1" t="n">
        <v>44588</v>
      </c>
      <c r="C2333" s="1" t="n">
        <v>45706</v>
      </c>
      <c r="D2333" t="inlineStr">
        <is>
          <t>UPPSALA LÄN</t>
        </is>
      </c>
      <c r="E2333" t="inlineStr">
        <is>
          <t>ÖSTHAMMAR</t>
        </is>
      </c>
      <c r="F2333" t="inlineStr">
        <is>
          <t>Bergvik skog öst AB</t>
        </is>
      </c>
      <c r="G2333" t="n">
        <v>9.6</v>
      </c>
      <c r="H2333" t="n">
        <v>0</v>
      </c>
      <c r="I2333" t="n">
        <v>0</v>
      </c>
      <c r="J2333" t="n">
        <v>0</v>
      </c>
      <c r="K2333" t="n">
        <v>0</v>
      </c>
      <c r="L2333" t="n">
        <v>0</v>
      </c>
      <c r="M2333" t="n">
        <v>0</v>
      </c>
      <c r="N2333" t="n">
        <v>0</v>
      </c>
      <c r="O2333" t="n">
        <v>0</v>
      </c>
      <c r="P2333" t="n">
        <v>0</v>
      </c>
      <c r="Q2333" t="n">
        <v>0</v>
      </c>
      <c r="R2333" s="2" t="inlineStr"/>
    </row>
    <row r="2334" ht="15" customHeight="1">
      <c r="A2334" t="inlineStr">
        <is>
          <t>A 4315-2022</t>
        </is>
      </c>
      <c r="B2334" s="1" t="n">
        <v>44588</v>
      </c>
      <c r="C2334" s="1" t="n">
        <v>45706</v>
      </c>
      <c r="D2334" t="inlineStr">
        <is>
          <t>UPPSALA LÄN</t>
        </is>
      </c>
      <c r="E2334" t="inlineStr">
        <is>
          <t>ÖSTHAMMAR</t>
        </is>
      </c>
      <c r="F2334" t="inlineStr">
        <is>
          <t>Bergvik skog öst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4444-2022</t>
        </is>
      </c>
      <c r="B2335" s="1" t="n">
        <v>44589</v>
      </c>
      <c r="C2335" s="1" t="n">
        <v>45706</v>
      </c>
      <c r="D2335" t="inlineStr">
        <is>
          <t>UPPSALA LÄN</t>
        </is>
      </c>
      <c r="E2335" t="inlineStr">
        <is>
          <t>UPPSALA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4491-2022</t>
        </is>
      </c>
      <c r="B2336" s="1" t="n">
        <v>44589</v>
      </c>
      <c r="C2336" s="1" t="n">
        <v>45706</v>
      </c>
      <c r="D2336" t="inlineStr">
        <is>
          <t>UPPSALA LÄN</t>
        </is>
      </c>
      <c r="E2336" t="inlineStr">
        <is>
          <t>ÖSTHAMMAR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4357-2022</t>
        </is>
      </c>
      <c r="B2337" s="1" t="n">
        <v>44589</v>
      </c>
      <c r="C2337" s="1" t="n">
        <v>45706</v>
      </c>
      <c r="D2337" t="inlineStr">
        <is>
          <t>UPPSALA LÄN</t>
        </is>
      </c>
      <c r="E2337" t="inlineStr">
        <is>
          <t>ÖSTHAMMAR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4563-2022</t>
        </is>
      </c>
      <c r="B2338" s="1" t="n">
        <v>44591</v>
      </c>
      <c r="C2338" s="1" t="n">
        <v>45706</v>
      </c>
      <c r="D2338" t="inlineStr">
        <is>
          <t>UPPSALA LÄN</t>
        </is>
      </c>
      <c r="E2338" t="inlineStr">
        <is>
          <t>ÖSTHAMMAR</t>
        </is>
      </c>
      <c r="F2338" t="inlineStr">
        <is>
          <t>Bergvik skog öst AB</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4562-2022</t>
        </is>
      </c>
      <c r="B2339" s="1" t="n">
        <v>44591</v>
      </c>
      <c r="C2339" s="1" t="n">
        <v>45706</v>
      </c>
      <c r="D2339" t="inlineStr">
        <is>
          <t>UPPSALA LÄN</t>
        </is>
      </c>
      <c r="E2339" t="inlineStr">
        <is>
          <t>ÖSTHAMMAR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4561-2022</t>
        </is>
      </c>
      <c r="B2340" s="1" t="n">
        <v>44591</v>
      </c>
      <c r="C2340" s="1" t="n">
        <v>45706</v>
      </c>
      <c r="D2340" t="inlineStr">
        <is>
          <t>UPPSALA LÄN</t>
        </is>
      </c>
      <c r="E2340" t="inlineStr">
        <is>
          <t>ÖSTHAMMAR</t>
        </is>
      </c>
      <c r="F2340" t="inlineStr">
        <is>
          <t>Bergvik skog öst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4559-2022</t>
        </is>
      </c>
      <c r="B2341" s="1" t="n">
        <v>44591</v>
      </c>
      <c r="C2341" s="1" t="n">
        <v>45706</v>
      </c>
      <c r="D2341" t="inlineStr">
        <is>
          <t>UPPSALA LÄN</t>
        </is>
      </c>
      <c r="E2341" t="inlineStr">
        <is>
          <t>ÖSTHAMMAR</t>
        </is>
      </c>
      <c r="F2341" t="inlineStr">
        <is>
          <t>Bergvik skog öst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4565-2022</t>
        </is>
      </c>
      <c r="B2342" s="1" t="n">
        <v>44591</v>
      </c>
      <c r="C2342" s="1" t="n">
        <v>45706</v>
      </c>
      <c r="D2342" t="inlineStr">
        <is>
          <t>UPPSALA LÄN</t>
        </is>
      </c>
      <c r="E2342" t="inlineStr">
        <is>
          <t>ÖSTHAMMAR</t>
        </is>
      </c>
      <c r="F2342" t="inlineStr">
        <is>
          <t>Bergvik skog öst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4597-2022</t>
        </is>
      </c>
      <c r="B2343" s="1" t="n">
        <v>44592</v>
      </c>
      <c r="C2343" s="1" t="n">
        <v>45706</v>
      </c>
      <c r="D2343" t="inlineStr">
        <is>
          <t>UPPSALA LÄN</t>
        </is>
      </c>
      <c r="E2343" t="inlineStr">
        <is>
          <t>TIERP</t>
        </is>
      </c>
      <c r="F2343" t="inlineStr">
        <is>
          <t>Bergvik skog öst AB</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4929-2022</t>
        </is>
      </c>
      <c r="B2344" s="1" t="n">
        <v>44593</v>
      </c>
      <c r="C2344" s="1" t="n">
        <v>45706</v>
      </c>
      <c r="D2344" t="inlineStr">
        <is>
          <t>UPPSALA LÄN</t>
        </is>
      </c>
      <c r="E2344" t="inlineStr">
        <is>
          <t>UPPSALA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5023-2022</t>
        </is>
      </c>
      <c r="B2345" s="1" t="n">
        <v>44593</v>
      </c>
      <c r="C2345" s="1" t="n">
        <v>45706</v>
      </c>
      <c r="D2345" t="inlineStr">
        <is>
          <t>UPPSALA LÄN</t>
        </is>
      </c>
      <c r="E2345" t="inlineStr">
        <is>
          <t>TIERP</t>
        </is>
      </c>
      <c r="F2345" t="inlineStr">
        <is>
          <t>Bergvik skog väst AB</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5027-2022</t>
        </is>
      </c>
      <c r="B2346" s="1" t="n">
        <v>44593</v>
      </c>
      <c r="C2346" s="1" t="n">
        <v>45706</v>
      </c>
      <c r="D2346" t="inlineStr">
        <is>
          <t>UPPSALA LÄN</t>
        </is>
      </c>
      <c r="E2346" t="inlineStr">
        <is>
          <t>UPPSALA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5081-2022</t>
        </is>
      </c>
      <c r="B2347" s="1" t="n">
        <v>44593</v>
      </c>
      <c r="C2347" s="1" t="n">
        <v>45706</v>
      </c>
      <c r="D2347" t="inlineStr">
        <is>
          <t>UPPSALA LÄN</t>
        </is>
      </c>
      <c r="E2347" t="inlineStr">
        <is>
          <t>UPPSALA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5007-2022</t>
        </is>
      </c>
      <c r="B2348" s="1" t="n">
        <v>44593</v>
      </c>
      <c r="C2348" s="1" t="n">
        <v>45706</v>
      </c>
      <c r="D2348" t="inlineStr">
        <is>
          <t>UPPSALA LÄN</t>
        </is>
      </c>
      <c r="E2348" t="inlineStr">
        <is>
          <t>UPPSALA</t>
        </is>
      </c>
      <c r="F2348" t="inlineStr">
        <is>
          <t>BillerudKorsnäs AB</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5006-2022</t>
        </is>
      </c>
      <c r="B2349" s="1" t="n">
        <v>44593</v>
      </c>
      <c r="C2349" s="1" t="n">
        <v>45706</v>
      </c>
      <c r="D2349" t="inlineStr">
        <is>
          <t>UPPSALA LÄN</t>
        </is>
      </c>
      <c r="E2349" t="inlineStr">
        <is>
          <t>UPPSALA</t>
        </is>
      </c>
      <c r="F2349" t="inlineStr">
        <is>
          <t>BillerudKorsnäs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5028-2022</t>
        </is>
      </c>
      <c r="B2350" s="1" t="n">
        <v>44593</v>
      </c>
      <c r="C2350" s="1" t="n">
        <v>45706</v>
      </c>
      <c r="D2350" t="inlineStr">
        <is>
          <t>UPPSALA LÄN</t>
        </is>
      </c>
      <c r="E2350" t="inlineStr">
        <is>
          <t>UPPSALA</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5161-2022</t>
        </is>
      </c>
      <c r="B2351" s="1" t="n">
        <v>44594</v>
      </c>
      <c r="C2351" s="1" t="n">
        <v>45706</v>
      </c>
      <c r="D2351" t="inlineStr">
        <is>
          <t>UPPSALA LÄN</t>
        </is>
      </c>
      <c r="E2351" t="inlineStr">
        <is>
          <t>HEBY</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5188-2022</t>
        </is>
      </c>
      <c r="B2352" s="1" t="n">
        <v>44594</v>
      </c>
      <c r="C2352" s="1" t="n">
        <v>45706</v>
      </c>
      <c r="D2352" t="inlineStr">
        <is>
          <t>UPPSALA LÄN</t>
        </is>
      </c>
      <c r="E2352" t="inlineStr">
        <is>
          <t>ENKÖPING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5309-2022</t>
        </is>
      </c>
      <c r="B2353" s="1" t="n">
        <v>44594</v>
      </c>
      <c r="C2353" s="1" t="n">
        <v>45706</v>
      </c>
      <c r="D2353" t="inlineStr">
        <is>
          <t>UPPSALA LÄN</t>
        </is>
      </c>
      <c r="E2353" t="inlineStr">
        <is>
          <t>UPPSALA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5170-2022</t>
        </is>
      </c>
      <c r="B2354" s="1" t="n">
        <v>44594</v>
      </c>
      <c r="C2354" s="1" t="n">
        <v>45706</v>
      </c>
      <c r="D2354" t="inlineStr">
        <is>
          <t>UPPSALA LÄN</t>
        </is>
      </c>
      <c r="E2354" t="inlineStr">
        <is>
          <t>TIERP</t>
        </is>
      </c>
      <c r="F2354" t="inlineStr">
        <is>
          <t>Bergvik skog öst AB</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5189-2022</t>
        </is>
      </c>
      <c r="B2355" s="1" t="n">
        <v>44594</v>
      </c>
      <c r="C2355" s="1" t="n">
        <v>45706</v>
      </c>
      <c r="D2355" t="inlineStr">
        <is>
          <t>UPPSALA LÄN</t>
        </is>
      </c>
      <c r="E2355" t="inlineStr">
        <is>
          <t>UPPSALA</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5204-2022</t>
        </is>
      </c>
      <c r="B2356" s="1" t="n">
        <v>44594</v>
      </c>
      <c r="C2356" s="1" t="n">
        <v>45706</v>
      </c>
      <c r="D2356" t="inlineStr">
        <is>
          <t>UPPSALA LÄN</t>
        </is>
      </c>
      <c r="E2356" t="inlineStr">
        <is>
          <t>TIERP</t>
        </is>
      </c>
      <c r="F2356" t="inlineStr">
        <is>
          <t>Bergvik skog öst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5266-2022</t>
        </is>
      </c>
      <c r="B2357" s="1" t="n">
        <v>44594</v>
      </c>
      <c r="C2357" s="1" t="n">
        <v>45706</v>
      </c>
      <c r="D2357" t="inlineStr">
        <is>
          <t>UPPSALA LÄN</t>
        </is>
      </c>
      <c r="E2357" t="inlineStr">
        <is>
          <t>TIERP</t>
        </is>
      </c>
      <c r="F2357" t="inlineStr">
        <is>
          <t>Bergvik skog väst AB</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5589-2022</t>
        </is>
      </c>
      <c r="B2358" s="1" t="n">
        <v>44595</v>
      </c>
      <c r="C2358" s="1" t="n">
        <v>45706</v>
      </c>
      <c r="D2358" t="inlineStr">
        <is>
          <t>UPPSALA LÄN</t>
        </is>
      </c>
      <c r="E2358" t="inlineStr">
        <is>
          <t>HEBY</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5526-2022</t>
        </is>
      </c>
      <c r="B2359" s="1" t="n">
        <v>44595</v>
      </c>
      <c r="C2359" s="1" t="n">
        <v>45706</v>
      </c>
      <c r="D2359" t="inlineStr">
        <is>
          <t>UPPSALA LÄN</t>
        </is>
      </c>
      <c r="E2359" t="inlineStr">
        <is>
          <t>ENKÖPING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5855-2022</t>
        </is>
      </c>
      <c r="B2360" s="1" t="n">
        <v>44596</v>
      </c>
      <c r="C2360" s="1" t="n">
        <v>45706</v>
      </c>
      <c r="D2360" t="inlineStr">
        <is>
          <t>UPPSALA LÄN</t>
        </is>
      </c>
      <c r="E2360" t="inlineStr">
        <is>
          <t>ÖSTHAMMAR</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5918-2022</t>
        </is>
      </c>
      <c r="B2361" s="1" t="n">
        <v>44597</v>
      </c>
      <c r="C2361" s="1" t="n">
        <v>45706</v>
      </c>
      <c r="D2361" t="inlineStr">
        <is>
          <t>UPPSALA LÄN</t>
        </is>
      </c>
      <c r="E2361" t="inlineStr">
        <is>
          <t>TIERP</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5974-2022</t>
        </is>
      </c>
      <c r="B2362" s="1" t="n">
        <v>44597</v>
      </c>
      <c r="C2362" s="1" t="n">
        <v>45706</v>
      </c>
      <c r="D2362" t="inlineStr">
        <is>
          <t>UPPSALA LÄN</t>
        </is>
      </c>
      <c r="E2362" t="inlineStr">
        <is>
          <t>ÖSTHAMMAR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5933-2022</t>
        </is>
      </c>
      <c r="B2363" s="1" t="n">
        <v>44598</v>
      </c>
      <c r="C2363" s="1" t="n">
        <v>45706</v>
      </c>
      <c r="D2363" t="inlineStr">
        <is>
          <t>UPPSALA LÄN</t>
        </is>
      </c>
      <c r="E2363" t="inlineStr">
        <is>
          <t>ÖSTHAMMAR</t>
        </is>
      </c>
      <c r="F2363" t="inlineStr">
        <is>
          <t>Bergvik skog öst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5934-2022</t>
        </is>
      </c>
      <c r="B2364" s="1" t="n">
        <v>44598</v>
      </c>
      <c r="C2364" s="1" t="n">
        <v>45706</v>
      </c>
      <c r="D2364" t="inlineStr">
        <is>
          <t>UPPSALA LÄN</t>
        </is>
      </c>
      <c r="E2364" t="inlineStr">
        <is>
          <t>ÖSTHAMMAR</t>
        </is>
      </c>
      <c r="F2364" t="inlineStr">
        <is>
          <t>Bergvik skog öst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5932-2022</t>
        </is>
      </c>
      <c r="B2365" s="1" t="n">
        <v>44598</v>
      </c>
      <c r="C2365" s="1" t="n">
        <v>45706</v>
      </c>
      <c r="D2365" t="inlineStr">
        <is>
          <t>UPPSALA LÄN</t>
        </is>
      </c>
      <c r="E2365" t="inlineStr">
        <is>
          <t>ÖSTHAMMAR</t>
        </is>
      </c>
      <c r="F2365" t="inlineStr">
        <is>
          <t>Bergvik skog öst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5924-2022</t>
        </is>
      </c>
      <c r="B2366" s="1" t="n">
        <v>44598</v>
      </c>
      <c r="C2366" s="1" t="n">
        <v>45706</v>
      </c>
      <c r="D2366" t="inlineStr">
        <is>
          <t>UPPSALA LÄN</t>
        </is>
      </c>
      <c r="E2366" t="inlineStr">
        <is>
          <t>UPPSALA</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5931-2022</t>
        </is>
      </c>
      <c r="B2367" s="1" t="n">
        <v>44598</v>
      </c>
      <c r="C2367" s="1" t="n">
        <v>45706</v>
      </c>
      <c r="D2367" t="inlineStr">
        <is>
          <t>UPPSALA LÄN</t>
        </is>
      </c>
      <c r="E2367" t="inlineStr">
        <is>
          <t>ÖSTHAMMAR</t>
        </is>
      </c>
      <c r="F2367" t="inlineStr">
        <is>
          <t>Bergvik skog öst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5989-2022</t>
        </is>
      </c>
      <c r="B2368" s="1" t="n">
        <v>44599</v>
      </c>
      <c r="C2368" s="1" t="n">
        <v>45706</v>
      </c>
      <c r="D2368" t="inlineStr">
        <is>
          <t>UPPSALA LÄN</t>
        </is>
      </c>
      <c r="E2368" t="inlineStr">
        <is>
          <t>UPPSALA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6009-2022</t>
        </is>
      </c>
      <c r="B2369" s="1" t="n">
        <v>44599</v>
      </c>
      <c r="C2369" s="1" t="n">
        <v>45706</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5996-2022</t>
        </is>
      </c>
      <c r="B2370" s="1" t="n">
        <v>44599</v>
      </c>
      <c r="C2370" s="1" t="n">
        <v>45706</v>
      </c>
      <c r="D2370" t="inlineStr">
        <is>
          <t>UPPSALA LÄN</t>
        </is>
      </c>
      <c r="E2370" t="inlineStr">
        <is>
          <t>UPPSALA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6044-2022</t>
        </is>
      </c>
      <c r="B2371" s="1" t="n">
        <v>44599</v>
      </c>
      <c r="C2371" s="1" t="n">
        <v>45706</v>
      </c>
      <c r="D2371" t="inlineStr">
        <is>
          <t>UPPSALA LÄN</t>
        </is>
      </c>
      <c r="E2371" t="inlineStr">
        <is>
          <t>HEBY</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6143-2022</t>
        </is>
      </c>
      <c r="B2372" s="1" t="n">
        <v>44599</v>
      </c>
      <c r="C2372" s="1" t="n">
        <v>45706</v>
      </c>
      <c r="D2372" t="inlineStr">
        <is>
          <t>UPPSALA LÄN</t>
        </is>
      </c>
      <c r="E2372" t="inlineStr">
        <is>
          <t>ÖSTHAMMAR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6153-2022</t>
        </is>
      </c>
      <c r="B2373" s="1" t="n">
        <v>44599</v>
      </c>
      <c r="C2373" s="1" t="n">
        <v>45706</v>
      </c>
      <c r="D2373" t="inlineStr">
        <is>
          <t>UPPSALA LÄN</t>
        </is>
      </c>
      <c r="E2373" t="inlineStr">
        <is>
          <t>ÖSTHAMMAR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6254-2022</t>
        </is>
      </c>
      <c r="B2374" s="1" t="n">
        <v>44600</v>
      </c>
      <c r="C2374" s="1" t="n">
        <v>45706</v>
      </c>
      <c r="D2374" t="inlineStr">
        <is>
          <t>UPPSALA LÄN</t>
        </is>
      </c>
      <c r="E2374" t="inlineStr">
        <is>
          <t>TIERP</t>
        </is>
      </c>
      <c r="F2374" t="inlineStr">
        <is>
          <t>Bergvik skog öst AB</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6206-2022</t>
        </is>
      </c>
      <c r="B2375" s="1" t="n">
        <v>44600</v>
      </c>
      <c r="C2375" s="1" t="n">
        <v>45706</v>
      </c>
      <c r="D2375" t="inlineStr">
        <is>
          <t>UPPSALA LÄN</t>
        </is>
      </c>
      <c r="E2375" t="inlineStr">
        <is>
          <t>ÖSTHAMMAR</t>
        </is>
      </c>
      <c r="G2375" t="n">
        <v>7.4</v>
      </c>
      <c r="H2375" t="n">
        <v>0</v>
      </c>
      <c r="I2375" t="n">
        <v>0</v>
      </c>
      <c r="J2375" t="n">
        <v>0</v>
      </c>
      <c r="K2375" t="n">
        <v>0</v>
      </c>
      <c r="L2375" t="n">
        <v>0</v>
      </c>
      <c r="M2375" t="n">
        <v>0</v>
      </c>
      <c r="N2375" t="n">
        <v>0</v>
      </c>
      <c r="O2375" t="n">
        <v>0</v>
      </c>
      <c r="P2375" t="n">
        <v>0</v>
      </c>
      <c r="Q2375" t="n">
        <v>0</v>
      </c>
      <c r="R2375" s="2" t="inlineStr"/>
    </row>
    <row r="2376" ht="15" customHeight="1">
      <c r="A2376" t="inlineStr">
        <is>
          <t>A 6339-2022</t>
        </is>
      </c>
      <c r="B2376" s="1" t="n">
        <v>44600</v>
      </c>
      <c r="C2376" s="1" t="n">
        <v>45706</v>
      </c>
      <c r="D2376" t="inlineStr">
        <is>
          <t>UPPSALA LÄN</t>
        </is>
      </c>
      <c r="E2376" t="inlineStr">
        <is>
          <t>UPPSALA</t>
        </is>
      </c>
      <c r="G2376" t="n">
        <v>18.7</v>
      </c>
      <c r="H2376" t="n">
        <v>0</v>
      </c>
      <c r="I2376" t="n">
        <v>0</v>
      </c>
      <c r="J2376" t="n">
        <v>0</v>
      </c>
      <c r="K2376" t="n">
        <v>0</v>
      </c>
      <c r="L2376" t="n">
        <v>0</v>
      </c>
      <c r="M2376" t="n">
        <v>0</v>
      </c>
      <c r="N2376" t="n">
        <v>0</v>
      </c>
      <c r="O2376" t="n">
        <v>0</v>
      </c>
      <c r="P2376" t="n">
        <v>0</v>
      </c>
      <c r="Q2376" t="n">
        <v>0</v>
      </c>
      <c r="R2376" s="2" t="inlineStr"/>
    </row>
    <row r="2377" ht="15" customHeight="1">
      <c r="A2377" t="inlineStr">
        <is>
          <t>A 6356-2022</t>
        </is>
      </c>
      <c r="B2377" s="1" t="n">
        <v>44600</v>
      </c>
      <c r="C2377" s="1" t="n">
        <v>45706</v>
      </c>
      <c r="D2377" t="inlineStr">
        <is>
          <t>UPPSALA LÄN</t>
        </is>
      </c>
      <c r="E2377" t="inlineStr">
        <is>
          <t>ENKÖPING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6313-2022</t>
        </is>
      </c>
      <c r="B2378" s="1" t="n">
        <v>44600</v>
      </c>
      <c r="C2378" s="1" t="n">
        <v>45706</v>
      </c>
      <c r="D2378" t="inlineStr">
        <is>
          <t>UPPSALA LÄN</t>
        </is>
      </c>
      <c r="E2378" t="inlineStr">
        <is>
          <t>ÖSTHAMMAR</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6408-2022</t>
        </is>
      </c>
      <c r="B2379" s="1" t="n">
        <v>44600</v>
      </c>
      <c r="C2379" s="1" t="n">
        <v>45706</v>
      </c>
      <c r="D2379" t="inlineStr">
        <is>
          <t>UPPSALA LÄN</t>
        </is>
      </c>
      <c r="E2379" t="inlineStr">
        <is>
          <t>UPPSALA</t>
        </is>
      </c>
      <c r="F2379" t="inlineStr">
        <is>
          <t>Bergvik skog öst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6523-2022</t>
        </is>
      </c>
      <c r="B2380" s="1" t="n">
        <v>44601</v>
      </c>
      <c r="C2380" s="1" t="n">
        <v>45706</v>
      </c>
      <c r="D2380" t="inlineStr">
        <is>
          <t>UPPSALA LÄN</t>
        </is>
      </c>
      <c r="E2380" t="inlineStr">
        <is>
          <t>HEBY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6717-2022</t>
        </is>
      </c>
      <c r="B2381" s="1" t="n">
        <v>44602</v>
      </c>
      <c r="C2381" s="1" t="n">
        <v>45706</v>
      </c>
      <c r="D2381" t="inlineStr">
        <is>
          <t>UPPSALA LÄN</t>
        </is>
      </c>
      <c r="E2381" t="inlineStr">
        <is>
          <t>UPPSALA</t>
        </is>
      </c>
      <c r="F2381" t="inlineStr">
        <is>
          <t>Övriga Aktiebolag</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6853-2022</t>
        </is>
      </c>
      <c r="B2382" s="1" t="n">
        <v>44602</v>
      </c>
      <c r="C2382" s="1" t="n">
        <v>45706</v>
      </c>
      <c r="D2382" t="inlineStr">
        <is>
          <t>UPPSALA LÄN</t>
        </is>
      </c>
      <c r="E2382" t="inlineStr">
        <is>
          <t>UPPSALA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6863-2022</t>
        </is>
      </c>
      <c r="B2383" s="1" t="n">
        <v>44602</v>
      </c>
      <c r="C2383" s="1" t="n">
        <v>45706</v>
      </c>
      <c r="D2383" t="inlineStr">
        <is>
          <t>UPPSALA LÄN</t>
        </is>
      </c>
      <c r="E2383" t="inlineStr">
        <is>
          <t>UPPSALA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6892-2022</t>
        </is>
      </c>
      <c r="B2384" s="1" t="n">
        <v>44602</v>
      </c>
      <c r="C2384" s="1" t="n">
        <v>45706</v>
      </c>
      <c r="D2384" t="inlineStr">
        <is>
          <t>UPPSALA LÄN</t>
        </is>
      </c>
      <c r="E2384" t="inlineStr">
        <is>
          <t>ÖSTHAMMAR</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6850-2022</t>
        </is>
      </c>
      <c r="B2385" s="1" t="n">
        <v>44602</v>
      </c>
      <c r="C2385" s="1" t="n">
        <v>45706</v>
      </c>
      <c r="D2385" t="inlineStr">
        <is>
          <t>UPPSALA LÄN</t>
        </is>
      </c>
      <c r="E2385" t="inlineStr">
        <is>
          <t>UPPSALA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6851-2022</t>
        </is>
      </c>
      <c r="B2386" s="1" t="n">
        <v>44602</v>
      </c>
      <c r="C2386" s="1" t="n">
        <v>45706</v>
      </c>
      <c r="D2386" t="inlineStr">
        <is>
          <t>UPPSALA LÄN</t>
        </is>
      </c>
      <c r="E2386" t="inlineStr">
        <is>
          <t>UPPSALA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6855-2022</t>
        </is>
      </c>
      <c r="B2387" s="1" t="n">
        <v>44602</v>
      </c>
      <c r="C2387" s="1" t="n">
        <v>45706</v>
      </c>
      <c r="D2387" t="inlineStr">
        <is>
          <t>UPPSALA LÄN</t>
        </is>
      </c>
      <c r="E2387" t="inlineStr">
        <is>
          <t>UPPSALA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6860-2022</t>
        </is>
      </c>
      <c r="B2388" s="1" t="n">
        <v>44602</v>
      </c>
      <c r="C2388" s="1" t="n">
        <v>45706</v>
      </c>
      <c r="D2388" t="inlineStr">
        <is>
          <t>UPPSALA LÄN</t>
        </is>
      </c>
      <c r="E2388" t="inlineStr">
        <is>
          <t>UPPSALA</t>
        </is>
      </c>
      <c r="G2388" t="n">
        <v>14.8</v>
      </c>
      <c r="H2388" t="n">
        <v>0</v>
      </c>
      <c r="I2388" t="n">
        <v>0</v>
      </c>
      <c r="J2388" t="n">
        <v>0</v>
      </c>
      <c r="K2388" t="n">
        <v>0</v>
      </c>
      <c r="L2388" t="n">
        <v>0</v>
      </c>
      <c r="M2388" t="n">
        <v>0</v>
      </c>
      <c r="N2388" t="n">
        <v>0</v>
      </c>
      <c r="O2388" t="n">
        <v>0</v>
      </c>
      <c r="P2388" t="n">
        <v>0</v>
      </c>
      <c r="Q2388" t="n">
        <v>0</v>
      </c>
      <c r="R2388" s="2" t="inlineStr"/>
    </row>
    <row r="2389" ht="15" customHeight="1">
      <c r="A2389" t="inlineStr">
        <is>
          <t>A 6866-2022</t>
        </is>
      </c>
      <c r="B2389" s="1" t="n">
        <v>44602</v>
      </c>
      <c r="C2389" s="1" t="n">
        <v>45706</v>
      </c>
      <c r="D2389" t="inlineStr">
        <is>
          <t>UPPSALA LÄN</t>
        </is>
      </c>
      <c r="E2389" t="inlineStr">
        <is>
          <t>HEBY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7068-2022</t>
        </is>
      </c>
      <c r="B2390" s="1" t="n">
        <v>44603</v>
      </c>
      <c r="C2390" s="1" t="n">
        <v>45706</v>
      </c>
      <c r="D2390" t="inlineStr">
        <is>
          <t>UPPSALA LÄN</t>
        </is>
      </c>
      <c r="E2390" t="inlineStr">
        <is>
          <t>TIERP</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6989-2022</t>
        </is>
      </c>
      <c r="B2391" s="1" t="n">
        <v>44603</v>
      </c>
      <c r="C2391" s="1" t="n">
        <v>45706</v>
      </c>
      <c r="D2391" t="inlineStr">
        <is>
          <t>UPPSALA LÄN</t>
        </is>
      </c>
      <c r="E2391" t="inlineStr">
        <is>
          <t>UPPSALA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7040-2022</t>
        </is>
      </c>
      <c r="B2392" s="1" t="n">
        <v>44603</v>
      </c>
      <c r="C2392" s="1" t="n">
        <v>45706</v>
      </c>
      <c r="D2392" t="inlineStr">
        <is>
          <t>UPPSALA LÄN</t>
        </is>
      </c>
      <c r="E2392" t="inlineStr">
        <is>
          <t>UPPSALA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7090-2022</t>
        </is>
      </c>
      <c r="B2393" s="1" t="n">
        <v>44603</v>
      </c>
      <c r="C2393" s="1" t="n">
        <v>45706</v>
      </c>
      <c r="D2393" t="inlineStr">
        <is>
          <t>UPPSALA LÄN</t>
        </is>
      </c>
      <c r="E2393" t="inlineStr">
        <is>
          <t>ENKÖPING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7124-2022</t>
        </is>
      </c>
      <c r="B2394" s="1" t="n">
        <v>44603</v>
      </c>
      <c r="C2394" s="1" t="n">
        <v>45706</v>
      </c>
      <c r="D2394" t="inlineStr">
        <is>
          <t>UPPSALA LÄN</t>
        </is>
      </c>
      <c r="E2394" t="inlineStr">
        <is>
          <t>UPPSALA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7181-2022</t>
        </is>
      </c>
      <c r="B2395" s="1" t="n">
        <v>44605</v>
      </c>
      <c r="C2395" s="1" t="n">
        <v>45706</v>
      </c>
      <c r="D2395" t="inlineStr">
        <is>
          <t>UPPSALA LÄN</t>
        </is>
      </c>
      <c r="E2395" t="inlineStr">
        <is>
          <t>ÖSTHAMMAR</t>
        </is>
      </c>
      <c r="F2395" t="inlineStr">
        <is>
          <t>Bergvik skog öst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7302-2022</t>
        </is>
      </c>
      <c r="B2396" s="1" t="n">
        <v>44606</v>
      </c>
      <c r="C2396" s="1" t="n">
        <v>45706</v>
      </c>
      <c r="D2396" t="inlineStr">
        <is>
          <t>UPPSALA LÄN</t>
        </is>
      </c>
      <c r="E2396" t="inlineStr">
        <is>
          <t>ÖSTHAMMAR</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7284-2022</t>
        </is>
      </c>
      <c r="B2397" s="1" t="n">
        <v>44606</v>
      </c>
      <c r="C2397" s="1" t="n">
        <v>45706</v>
      </c>
      <c r="D2397" t="inlineStr">
        <is>
          <t>UPPSALA LÄN</t>
        </is>
      </c>
      <c r="E2397" t="inlineStr">
        <is>
          <t>ENKÖPING</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7409-2022</t>
        </is>
      </c>
      <c r="B2398" s="1" t="n">
        <v>44606</v>
      </c>
      <c r="C2398" s="1" t="n">
        <v>45706</v>
      </c>
      <c r="D2398" t="inlineStr">
        <is>
          <t>UPPSALA LÄN</t>
        </is>
      </c>
      <c r="E2398" t="inlineStr">
        <is>
          <t>UPPSALA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7463-2022</t>
        </is>
      </c>
      <c r="B2399" s="1" t="n">
        <v>44607</v>
      </c>
      <c r="C2399" s="1" t="n">
        <v>45706</v>
      </c>
      <c r="D2399" t="inlineStr">
        <is>
          <t>UPPSALA LÄN</t>
        </is>
      </c>
      <c r="E2399" t="inlineStr">
        <is>
          <t>ENKÖPING</t>
        </is>
      </c>
      <c r="F2399" t="inlineStr">
        <is>
          <t>Övriga statliga verk och myndigheter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7475-2022</t>
        </is>
      </c>
      <c r="B2400" s="1" t="n">
        <v>44607</v>
      </c>
      <c r="C2400" s="1" t="n">
        <v>45706</v>
      </c>
      <c r="D2400" t="inlineStr">
        <is>
          <t>UPPSALA LÄN</t>
        </is>
      </c>
      <c r="E2400" t="inlineStr">
        <is>
          <t>ÖSTHAMMAR</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7488-2022</t>
        </is>
      </c>
      <c r="B2401" s="1" t="n">
        <v>44607</v>
      </c>
      <c r="C2401" s="1" t="n">
        <v>45706</v>
      </c>
      <c r="D2401" t="inlineStr">
        <is>
          <t>UPPSALA LÄN</t>
        </is>
      </c>
      <c r="E2401" t="inlineStr">
        <is>
          <t>ÖSTHAMMAR</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7858-2022</t>
        </is>
      </c>
      <c r="B2402" s="1" t="n">
        <v>44608</v>
      </c>
      <c r="C2402" s="1" t="n">
        <v>45706</v>
      </c>
      <c r="D2402" t="inlineStr">
        <is>
          <t>UPPSALA LÄN</t>
        </is>
      </c>
      <c r="E2402" t="inlineStr">
        <is>
          <t>ÖSTHAMMAR</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7871-2022</t>
        </is>
      </c>
      <c r="B2403" s="1" t="n">
        <v>44608</v>
      </c>
      <c r="C2403" s="1" t="n">
        <v>45706</v>
      </c>
      <c r="D2403" t="inlineStr">
        <is>
          <t>UPPSALA LÄN</t>
        </is>
      </c>
      <c r="E2403" t="inlineStr">
        <is>
          <t>ÖSTHAMMAR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7899-2022</t>
        </is>
      </c>
      <c r="B2404" s="1" t="n">
        <v>44608</v>
      </c>
      <c r="C2404" s="1" t="n">
        <v>45706</v>
      </c>
      <c r="D2404" t="inlineStr">
        <is>
          <t>UPPSALA LÄN</t>
        </is>
      </c>
      <c r="E2404" t="inlineStr">
        <is>
          <t>UPPSALA</t>
        </is>
      </c>
      <c r="F2404" t="inlineStr">
        <is>
          <t>Övriga Aktiebolag</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8090-2022</t>
        </is>
      </c>
      <c r="B2405" s="1" t="n">
        <v>44608</v>
      </c>
      <c r="C2405" s="1" t="n">
        <v>45706</v>
      </c>
      <c r="D2405" t="inlineStr">
        <is>
          <t>UPPSALA LÄN</t>
        </is>
      </c>
      <c r="E2405" t="inlineStr">
        <is>
          <t>UPPSALA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7996-2022</t>
        </is>
      </c>
      <c r="B2406" s="1" t="n">
        <v>44609</v>
      </c>
      <c r="C2406" s="1" t="n">
        <v>45706</v>
      </c>
      <c r="D2406" t="inlineStr">
        <is>
          <t>UPPSALA LÄN</t>
        </is>
      </c>
      <c r="E2406" t="inlineStr">
        <is>
          <t>UPPSALA</t>
        </is>
      </c>
      <c r="F2406" t="inlineStr">
        <is>
          <t>Övriga Aktiebolag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8007-2022</t>
        </is>
      </c>
      <c r="B2407" s="1" t="n">
        <v>44609</v>
      </c>
      <c r="C2407" s="1" t="n">
        <v>45706</v>
      </c>
      <c r="D2407" t="inlineStr">
        <is>
          <t>UPPSALA LÄN</t>
        </is>
      </c>
      <c r="E2407" t="inlineStr">
        <is>
          <t>UPPSALA</t>
        </is>
      </c>
      <c r="F2407" t="inlineStr">
        <is>
          <t>Övriga Aktiebolag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7997-2022</t>
        </is>
      </c>
      <c r="B2408" s="1" t="n">
        <v>44609</v>
      </c>
      <c r="C2408" s="1" t="n">
        <v>45706</v>
      </c>
      <c r="D2408" t="inlineStr">
        <is>
          <t>UPPSALA LÄN</t>
        </is>
      </c>
      <c r="E2408" t="inlineStr">
        <is>
          <t>ÖSTHAMMAR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8020-2022</t>
        </is>
      </c>
      <c r="B2409" s="1" t="n">
        <v>44609</v>
      </c>
      <c r="C2409" s="1" t="n">
        <v>45706</v>
      </c>
      <c r="D2409" t="inlineStr">
        <is>
          <t>UPPSALA LÄN</t>
        </is>
      </c>
      <c r="E2409" t="inlineStr">
        <is>
          <t>ENKÖPING</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8132-2022</t>
        </is>
      </c>
      <c r="B2410" s="1" t="n">
        <v>44609</v>
      </c>
      <c r="C2410" s="1" t="n">
        <v>45706</v>
      </c>
      <c r="D2410" t="inlineStr">
        <is>
          <t>UPPSALA LÄN</t>
        </is>
      </c>
      <c r="E2410" t="inlineStr">
        <is>
          <t>UPPSALA</t>
        </is>
      </c>
      <c r="F2410" t="inlineStr">
        <is>
          <t>Kommuner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8152-2022</t>
        </is>
      </c>
      <c r="B2411" s="1" t="n">
        <v>44609</v>
      </c>
      <c r="C2411" s="1" t="n">
        <v>45706</v>
      </c>
      <c r="D2411" t="inlineStr">
        <is>
          <t>UPPSALA LÄN</t>
        </is>
      </c>
      <c r="E2411" t="inlineStr">
        <is>
          <t>ENKÖPING</t>
        </is>
      </c>
      <c r="F2411" t="inlineStr">
        <is>
          <t>Kyrkan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8169-2022</t>
        </is>
      </c>
      <c r="B2412" s="1" t="n">
        <v>44609</v>
      </c>
      <c r="C2412" s="1" t="n">
        <v>45706</v>
      </c>
      <c r="D2412" t="inlineStr">
        <is>
          <t>UPPSALA LÄN</t>
        </is>
      </c>
      <c r="E2412" t="inlineStr">
        <is>
          <t>HEBY</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8182-2022</t>
        </is>
      </c>
      <c r="B2413" s="1" t="n">
        <v>44609</v>
      </c>
      <c r="C2413" s="1" t="n">
        <v>45706</v>
      </c>
      <c r="D2413" t="inlineStr">
        <is>
          <t>UPPSALA LÄN</t>
        </is>
      </c>
      <c r="E2413" t="inlineStr">
        <is>
          <t>HEBY</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8139-2022</t>
        </is>
      </c>
      <c r="B2414" s="1" t="n">
        <v>44609</v>
      </c>
      <c r="C2414" s="1" t="n">
        <v>45706</v>
      </c>
      <c r="D2414" t="inlineStr">
        <is>
          <t>UPPSALA LÄN</t>
        </is>
      </c>
      <c r="E2414" t="inlineStr">
        <is>
          <t>UPPSALA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8283-2022</t>
        </is>
      </c>
      <c r="B2415" s="1" t="n">
        <v>44610</v>
      </c>
      <c r="C2415" s="1" t="n">
        <v>45706</v>
      </c>
      <c r="D2415" t="inlineStr">
        <is>
          <t>UPPSALA LÄN</t>
        </is>
      </c>
      <c r="E2415" t="inlineStr">
        <is>
          <t>ÖSTHAMMAR</t>
        </is>
      </c>
      <c r="F2415" t="inlineStr">
        <is>
          <t>Övriga Aktiebolag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8404-2022</t>
        </is>
      </c>
      <c r="B2416" s="1" t="n">
        <v>44610</v>
      </c>
      <c r="C2416" s="1" t="n">
        <v>45706</v>
      </c>
      <c r="D2416" t="inlineStr">
        <is>
          <t>UPPSALA LÄN</t>
        </is>
      </c>
      <c r="E2416" t="inlineStr">
        <is>
          <t>UPPSALA</t>
        </is>
      </c>
      <c r="F2416" t="inlineStr">
        <is>
          <t>Allmännings- och besparingsskogar</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8475-2022</t>
        </is>
      </c>
      <c r="B2417" s="1" t="n">
        <v>44610</v>
      </c>
      <c r="C2417" s="1" t="n">
        <v>45706</v>
      </c>
      <c r="D2417" t="inlineStr">
        <is>
          <t>UPPSALA LÄN</t>
        </is>
      </c>
      <c r="E2417" t="inlineStr">
        <is>
          <t>UPPSALA</t>
        </is>
      </c>
      <c r="F2417" t="inlineStr">
        <is>
          <t>Allmännings- och besparingsskogar</t>
        </is>
      </c>
      <c r="G2417" t="n">
        <v>32.7</v>
      </c>
      <c r="H2417" t="n">
        <v>0</v>
      </c>
      <c r="I2417" t="n">
        <v>0</v>
      </c>
      <c r="J2417" t="n">
        <v>0</v>
      </c>
      <c r="K2417" t="n">
        <v>0</v>
      </c>
      <c r="L2417" t="n">
        <v>0</v>
      </c>
      <c r="M2417" t="n">
        <v>0</v>
      </c>
      <c r="N2417" t="n">
        <v>0</v>
      </c>
      <c r="O2417" t="n">
        <v>0</v>
      </c>
      <c r="P2417" t="n">
        <v>0</v>
      </c>
      <c r="Q2417" t="n">
        <v>0</v>
      </c>
      <c r="R2417" s="2" t="inlineStr"/>
    </row>
    <row r="2418" ht="15" customHeight="1">
      <c r="A2418" t="inlineStr">
        <is>
          <t>A 8465-2022</t>
        </is>
      </c>
      <c r="B2418" s="1" t="n">
        <v>44610</v>
      </c>
      <c r="C2418" s="1" t="n">
        <v>45706</v>
      </c>
      <c r="D2418" t="inlineStr">
        <is>
          <t>UPPSALA LÄN</t>
        </is>
      </c>
      <c r="E2418" t="inlineStr">
        <is>
          <t>UPPSALA</t>
        </is>
      </c>
      <c r="F2418" t="inlineStr">
        <is>
          <t>Allmännings- och besparingsskogar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8451-2022</t>
        </is>
      </c>
      <c r="B2419" s="1" t="n">
        <v>44612</v>
      </c>
      <c r="C2419" s="1" t="n">
        <v>45706</v>
      </c>
      <c r="D2419" t="inlineStr">
        <is>
          <t>UPPSALA LÄN</t>
        </is>
      </c>
      <c r="E2419" t="inlineStr">
        <is>
          <t>UPPSALA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8576-2022</t>
        </is>
      </c>
      <c r="B2420" s="1" t="n">
        <v>44613</v>
      </c>
      <c r="C2420" s="1" t="n">
        <v>45706</v>
      </c>
      <c r="D2420" t="inlineStr">
        <is>
          <t>UPPSALA LÄN</t>
        </is>
      </c>
      <c r="E2420" t="inlineStr">
        <is>
          <t>KNIVSTA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8660-2022</t>
        </is>
      </c>
      <c r="B2421" s="1" t="n">
        <v>44613</v>
      </c>
      <c r="C2421" s="1" t="n">
        <v>45706</v>
      </c>
      <c r="D2421" t="inlineStr">
        <is>
          <t>UPPSALA LÄN</t>
        </is>
      </c>
      <c r="E2421" t="inlineStr">
        <is>
          <t>HEBY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8592-2022</t>
        </is>
      </c>
      <c r="B2422" s="1" t="n">
        <v>44613</v>
      </c>
      <c r="C2422" s="1" t="n">
        <v>45706</v>
      </c>
      <c r="D2422" t="inlineStr">
        <is>
          <t>UPPSALA LÄN</t>
        </is>
      </c>
      <c r="E2422" t="inlineStr">
        <is>
          <t>ÖSTHAMMAR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8708-2022</t>
        </is>
      </c>
      <c r="B2423" s="1" t="n">
        <v>44613</v>
      </c>
      <c r="C2423" s="1" t="n">
        <v>45706</v>
      </c>
      <c r="D2423" t="inlineStr">
        <is>
          <t>UPPSALA LÄN</t>
        </is>
      </c>
      <c r="E2423" t="inlineStr">
        <is>
          <t>ÖSTHAMMAR</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8710-2022</t>
        </is>
      </c>
      <c r="B2424" s="1" t="n">
        <v>44613</v>
      </c>
      <c r="C2424" s="1" t="n">
        <v>45706</v>
      </c>
      <c r="D2424" t="inlineStr">
        <is>
          <t>UPPSALA LÄN</t>
        </is>
      </c>
      <c r="E2424" t="inlineStr">
        <is>
          <t>ÖSTHAMMAR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8537-2022</t>
        </is>
      </c>
      <c r="B2425" s="1" t="n">
        <v>44613</v>
      </c>
      <c r="C2425" s="1" t="n">
        <v>45706</v>
      </c>
      <c r="D2425" t="inlineStr">
        <is>
          <t>UPPSALA LÄN</t>
        </is>
      </c>
      <c r="E2425" t="inlineStr">
        <is>
          <t>ÖSTHAMMAR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8554-2022</t>
        </is>
      </c>
      <c r="B2426" s="1" t="n">
        <v>44613</v>
      </c>
      <c r="C2426" s="1" t="n">
        <v>45706</v>
      </c>
      <c r="D2426" t="inlineStr">
        <is>
          <t>UPPSALA LÄN</t>
        </is>
      </c>
      <c r="E2426" t="inlineStr">
        <is>
          <t>ÖSTHAMMAR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8556-2022</t>
        </is>
      </c>
      <c r="B2427" s="1" t="n">
        <v>44613</v>
      </c>
      <c r="C2427" s="1" t="n">
        <v>45706</v>
      </c>
      <c r="D2427" t="inlineStr">
        <is>
          <t>UPPSALA LÄN</t>
        </is>
      </c>
      <c r="E2427" t="inlineStr">
        <is>
          <t>ÖSTHAMMAR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8775-2022</t>
        </is>
      </c>
      <c r="B2428" s="1" t="n">
        <v>44614</v>
      </c>
      <c r="C2428" s="1" t="n">
        <v>45706</v>
      </c>
      <c r="D2428" t="inlineStr">
        <is>
          <t>UPPSALA LÄN</t>
        </is>
      </c>
      <c r="E2428" t="inlineStr">
        <is>
          <t>ÖSTHAMMAR</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8758-2022</t>
        </is>
      </c>
      <c r="B2429" s="1" t="n">
        <v>44614</v>
      </c>
      <c r="C2429" s="1" t="n">
        <v>45706</v>
      </c>
      <c r="D2429" t="inlineStr">
        <is>
          <t>UPPSALA LÄN</t>
        </is>
      </c>
      <c r="E2429" t="inlineStr">
        <is>
          <t>HEBY</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8837-2022</t>
        </is>
      </c>
      <c r="B2430" s="1" t="n">
        <v>44614</v>
      </c>
      <c r="C2430" s="1" t="n">
        <v>45706</v>
      </c>
      <c r="D2430" t="inlineStr">
        <is>
          <t>UPPSALA LÄN</t>
        </is>
      </c>
      <c r="E2430" t="inlineStr">
        <is>
          <t>HEBY</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8762-2022</t>
        </is>
      </c>
      <c r="B2431" s="1" t="n">
        <v>44614</v>
      </c>
      <c r="C2431" s="1" t="n">
        <v>45706</v>
      </c>
      <c r="D2431" t="inlineStr">
        <is>
          <t>UPPSALA LÄN</t>
        </is>
      </c>
      <c r="E2431" t="inlineStr">
        <is>
          <t>HEBY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8750-2022</t>
        </is>
      </c>
      <c r="B2432" s="1" t="n">
        <v>44614</v>
      </c>
      <c r="C2432" s="1" t="n">
        <v>45706</v>
      </c>
      <c r="D2432" t="inlineStr">
        <is>
          <t>UPPSALA LÄN</t>
        </is>
      </c>
      <c r="E2432" t="inlineStr">
        <is>
          <t>ÖSTHAMMAR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8856-2022</t>
        </is>
      </c>
      <c r="B2433" s="1" t="n">
        <v>44614</v>
      </c>
      <c r="C2433" s="1" t="n">
        <v>45706</v>
      </c>
      <c r="D2433" t="inlineStr">
        <is>
          <t>UPPSALA LÄN</t>
        </is>
      </c>
      <c r="E2433" t="inlineStr">
        <is>
          <t>HEBY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8850-2022</t>
        </is>
      </c>
      <c r="B2434" s="1" t="n">
        <v>44614</v>
      </c>
      <c r="C2434" s="1" t="n">
        <v>45706</v>
      </c>
      <c r="D2434" t="inlineStr">
        <is>
          <t>UPPSALA LÄN</t>
        </is>
      </c>
      <c r="E2434" t="inlineStr">
        <is>
          <t>HEBY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8877-2022</t>
        </is>
      </c>
      <c r="B2435" s="1" t="n">
        <v>44614</v>
      </c>
      <c r="C2435" s="1" t="n">
        <v>45706</v>
      </c>
      <c r="D2435" t="inlineStr">
        <is>
          <t>UPPSALA LÄN</t>
        </is>
      </c>
      <c r="E2435" t="inlineStr">
        <is>
          <t>UPPSALA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8933-2022</t>
        </is>
      </c>
      <c r="B2436" s="1" t="n">
        <v>44614</v>
      </c>
      <c r="C2436" s="1" t="n">
        <v>45706</v>
      </c>
      <c r="D2436" t="inlineStr">
        <is>
          <t>UPPSALA LÄN</t>
        </is>
      </c>
      <c r="E2436" t="inlineStr">
        <is>
          <t>UPPSALA</t>
        </is>
      </c>
      <c r="F2436" t="inlineStr">
        <is>
          <t>Holmen skog AB</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9167-2022</t>
        </is>
      </c>
      <c r="B2437" s="1" t="n">
        <v>44615</v>
      </c>
      <c r="C2437" s="1" t="n">
        <v>45706</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9288-2022</t>
        </is>
      </c>
      <c r="B2438" s="1" t="n">
        <v>44616</v>
      </c>
      <c r="C2438" s="1" t="n">
        <v>45706</v>
      </c>
      <c r="D2438" t="inlineStr">
        <is>
          <t>UPPSALA LÄN</t>
        </is>
      </c>
      <c r="E2438" t="inlineStr">
        <is>
          <t>TIERP</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9206-2022</t>
        </is>
      </c>
      <c r="B2439" s="1" t="n">
        <v>44616</v>
      </c>
      <c r="C2439" s="1" t="n">
        <v>45706</v>
      </c>
      <c r="D2439" t="inlineStr">
        <is>
          <t>UPPSALA LÄN</t>
        </is>
      </c>
      <c r="E2439" t="inlineStr">
        <is>
          <t>UPPSALA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9246-2022</t>
        </is>
      </c>
      <c r="B2440" s="1" t="n">
        <v>44616</v>
      </c>
      <c r="C2440" s="1" t="n">
        <v>45706</v>
      </c>
      <c r="D2440" t="inlineStr">
        <is>
          <t>UPPSALA LÄN</t>
        </is>
      </c>
      <c r="E2440" t="inlineStr">
        <is>
          <t>HEBY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9242-2022</t>
        </is>
      </c>
      <c r="B2441" s="1" t="n">
        <v>44616</v>
      </c>
      <c r="C2441" s="1" t="n">
        <v>45706</v>
      </c>
      <c r="D2441" t="inlineStr">
        <is>
          <t>UPPSALA LÄN</t>
        </is>
      </c>
      <c r="E2441" t="inlineStr">
        <is>
          <t>UPPSALA</t>
        </is>
      </c>
      <c r="F2441" t="inlineStr">
        <is>
          <t>Övriga Aktiebolag</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9564-2022</t>
        </is>
      </c>
      <c r="B2442" s="1" t="n">
        <v>44617</v>
      </c>
      <c r="C2442" s="1" t="n">
        <v>45706</v>
      </c>
      <c r="D2442" t="inlineStr">
        <is>
          <t>UPPSALA LÄN</t>
        </is>
      </c>
      <c r="E2442" t="inlineStr">
        <is>
          <t>TIERP</t>
        </is>
      </c>
      <c r="G2442" t="n">
        <v>11.9</v>
      </c>
      <c r="H2442" t="n">
        <v>0</v>
      </c>
      <c r="I2442" t="n">
        <v>0</v>
      </c>
      <c r="J2442" t="n">
        <v>0</v>
      </c>
      <c r="K2442" t="n">
        <v>0</v>
      </c>
      <c r="L2442" t="n">
        <v>0</v>
      </c>
      <c r="M2442" t="n">
        <v>0</v>
      </c>
      <c r="N2442" t="n">
        <v>0</v>
      </c>
      <c r="O2442" t="n">
        <v>0</v>
      </c>
      <c r="P2442" t="n">
        <v>0</v>
      </c>
      <c r="Q2442" t="n">
        <v>0</v>
      </c>
      <c r="R2442" s="2" t="inlineStr"/>
    </row>
    <row r="2443" ht="15" customHeight="1">
      <c r="A2443" t="inlineStr">
        <is>
          <t>A 9592-2022</t>
        </is>
      </c>
      <c r="B2443" s="1" t="n">
        <v>44617</v>
      </c>
      <c r="C2443" s="1" t="n">
        <v>45706</v>
      </c>
      <c r="D2443" t="inlineStr">
        <is>
          <t>UPPSALA LÄN</t>
        </is>
      </c>
      <c r="E2443" t="inlineStr">
        <is>
          <t>UPPSALA</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9755-2022</t>
        </is>
      </c>
      <c r="B2444" s="1" t="n">
        <v>44618</v>
      </c>
      <c r="C2444" s="1" t="n">
        <v>45706</v>
      </c>
      <c r="D2444" t="inlineStr">
        <is>
          <t>UPPSALA LÄN</t>
        </is>
      </c>
      <c r="E2444" t="inlineStr">
        <is>
          <t>ÖSTHAMMAR</t>
        </is>
      </c>
      <c r="F2444" t="inlineStr">
        <is>
          <t>Bergvik skog öst AB</t>
        </is>
      </c>
      <c r="G2444" t="n">
        <v>13.9</v>
      </c>
      <c r="H2444" t="n">
        <v>0</v>
      </c>
      <c r="I2444" t="n">
        <v>0</v>
      </c>
      <c r="J2444" t="n">
        <v>0</v>
      </c>
      <c r="K2444" t="n">
        <v>0</v>
      </c>
      <c r="L2444" t="n">
        <v>0</v>
      </c>
      <c r="M2444" t="n">
        <v>0</v>
      </c>
      <c r="N2444" t="n">
        <v>0</v>
      </c>
      <c r="O2444" t="n">
        <v>0</v>
      </c>
      <c r="P2444" t="n">
        <v>0</v>
      </c>
      <c r="Q2444" t="n">
        <v>0</v>
      </c>
      <c r="R2444" s="2" t="inlineStr"/>
    </row>
    <row r="2445" ht="15" customHeight="1">
      <c r="A2445" t="inlineStr">
        <is>
          <t>A 9794-2022</t>
        </is>
      </c>
      <c r="B2445" s="1" t="n">
        <v>44620</v>
      </c>
      <c r="C2445" s="1" t="n">
        <v>45706</v>
      </c>
      <c r="D2445" t="inlineStr">
        <is>
          <t>UPPSALA LÄN</t>
        </is>
      </c>
      <c r="E2445" t="inlineStr">
        <is>
          <t>HEBY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9824-2022</t>
        </is>
      </c>
      <c r="B2446" s="1" t="n">
        <v>44620</v>
      </c>
      <c r="C2446" s="1" t="n">
        <v>45706</v>
      </c>
      <c r="D2446" t="inlineStr">
        <is>
          <t>UPPSALA LÄN</t>
        </is>
      </c>
      <c r="E2446" t="inlineStr">
        <is>
          <t>HEBY</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9895-2022</t>
        </is>
      </c>
      <c r="B2447" s="1" t="n">
        <v>44620</v>
      </c>
      <c r="C2447" s="1" t="n">
        <v>45706</v>
      </c>
      <c r="D2447" t="inlineStr">
        <is>
          <t>UPPSALA LÄN</t>
        </is>
      </c>
      <c r="E2447" t="inlineStr">
        <is>
          <t>TIERP</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9789-2022</t>
        </is>
      </c>
      <c r="B2448" s="1" t="n">
        <v>44620</v>
      </c>
      <c r="C2448" s="1" t="n">
        <v>45706</v>
      </c>
      <c r="D2448" t="inlineStr">
        <is>
          <t>UPPSALA LÄN</t>
        </is>
      </c>
      <c r="E2448" t="inlineStr">
        <is>
          <t>ÖSTHAMMAR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9795-2022</t>
        </is>
      </c>
      <c r="B2449" s="1" t="n">
        <v>44620</v>
      </c>
      <c r="C2449" s="1" t="n">
        <v>45706</v>
      </c>
      <c r="D2449" t="inlineStr">
        <is>
          <t>UPPSALA LÄN</t>
        </is>
      </c>
      <c r="E2449" t="inlineStr">
        <is>
          <t>ÖSTHAMMAR</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9815-2022</t>
        </is>
      </c>
      <c r="B2450" s="1" t="n">
        <v>44620</v>
      </c>
      <c r="C2450" s="1" t="n">
        <v>45706</v>
      </c>
      <c r="D2450" t="inlineStr">
        <is>
          <t>UPPSALA LÄN</t>
        </is>
      </c>
      <c r="E2450" t="inlineStr">
        <is>
          <t>HEBY</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10202-2022</t>
        </is>
      </c>
      <c r="B2451" s="1" t="n">
        <v>44622</v>
      </c>
      <c r="C2451" s="1" t="n">
        <v>45706</v>
      </c>
      <c r="D2451" t="inlineStr">
        <is>
          <t>UPPSALA LÄN</t>
        </is>
      </c>
      <c r="E2451" t="inlineStr">
        <is>
          <t>ENKÖPING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10207-2022</t>
        </is>
      </c>
      <c r="B2452" s="1" t="n">
        <v>44622</v>
      </c>
      <c r="C2452" s="1" t="n">
        <v>45706</v>
      </c>
      <c r="D2452" t="inlineStr">
        <is>
          <t>UPPSALA LÄN</t>
        </is>
      </c>
      <c r="E2452" t="inlineStr">
        <is>
          <t>ENKÖPING</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10287-2022</t>
        </is>
      </c>
      <c r="B2453" s="1" t="n">
        <v>44622</v>
      </c>
      <c r="C2453" s="1" t="n">
        <v>45706</v>
      </c>
      <c r="D2453" t="inlineStr">
        <is>
          <t>UPPSALA LÄN</t>
        </is>
      </c>
      <c r="E2453" t="inlineStr">
        <is>
          <t>ÖSTHAMMAR</t>
        </is>
      </c>
      <c r="F2453" t="inlineStr">
        <is>
          <t>Bergvik skog öst AB</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10294-2022</t>
        </is>
      </c>
      <c r="B2454" s="1" t="n">
        <v>44622</v>
      </c>
      <c r="C2454" s="1" t="n">
        <v>45706</v>
      </c>
      <c r="D2454" t="inlineStr">
        <is>
          <t>UPPSALA LÄN</t>
        </is>
      </c>
      <c r="E2454" t="inlineStr">
        <is>
          <t>ÖSTHAMMAR</t>
        </is>
      </c>
      <c r="F2454" t="inlineStr">
        <is>
          <t>Bergvik skog öst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10288-2022</t>
        </is>
      </c>
      <c r="B2455" s="1" t="n">
        <v>44622</v>
      </c>
      <c r="C2455" s="1" t="n">
        <v>45706</v>
      </c>
      <c r="D2455" t="inlineStr">
        <is>
          <t>UPPSALA LÄN</t>
        </is>
      </c>
      <c r="E2455" t="inlineStr">
        <is>
          <t>ÖSTHAMMAR</t>
        </is>
      </c>
      <c r="F2455" t="inlineStr">
        <is>
          <t>Bergvik skog öst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10298-2022</t>
        </is>
      </c>
      <c r="B2456" s="1" t="n">
        <v>44622</v>
      </c>
      <c r="C2456" s="1" t="n">
        <v>45706</v>
      </c>
      <c r="D2456" t="inlineStr">
        <is>
          <t>UPPSALA LÄN</t>
        </is>
      </c>
      <c r="E2456" t="inlineStr">
        <is>
          <t>ÖSTHAMMAR</t>
        </is>
      </c>
      <c r="F2456" t="inlineStr">
        <is>
          <t>Bergvik skog öst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10414-2022</t>
        </is>
      </c>
      <c r="B2457" s="1" t="n">
        <v>44623</v>
      </c>
      <c r="C2457" s="1" t="n">
        <v>45706</v>
      </c>
      <c r="D2457" t="inlineStr">
        <is>
          <t>UPPSALA LÄN</t>
        </is>
      </c>
      <c r="E2457" t="inlineStr">
        <is>
          <t>HEBY</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10411-2022</t>
        </is>
      </c>
      <c r="B2458" s="1" t="n">
        <v>44623</v>
      </c>
      <c r="C2458" s="1" t="n">
        <v>45706</v>
      </c>
      <c r="D2458" t="inlineStr">
        <is>
          <t>UPPSALA LÄN</t>
        </is>
      </c>
      <c r="E2458" t="inlineStr">
        <is>
          <t>UPPSALA</t>
        </is>
      </c>
      <c r="F2458" t="inlineStr">
        <is>
          <t>Övriga Aktiebolag</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10447-2022</t>
        </is>
      </c>
      <c r="B2459" s="1" t="n">
        <v>44623</v>
      </c>
      <c r="C2459" s="1" t="n">
        <v>45706</v>
      </c>
      <c r="D2459" t="inlineStr">
        <is>
          <t>UPPSALA LÄN</t>
        </is>
      </c>
      <c r="E2459" t="inlineStr">
        <is>
          <t>HEBY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10383-2022</t>
        </is>
      </c>
      <c r="B2460" s="1" t="n">
        <v>44623</v>
      </c>
      <c r="C2460" s="1" t="n">
        <v>45706</v>
      </c>
      <c r="D2460" t="inlineStr">
        <is>
          <t>UPPSALA LÄN</t>
        </is>
      </c>
      <c r="E2460" t="inlineStr">
        <is>
          <t>UPPSALA</t>
        </is>
      </c>
      <c r="F2460" t="inlineStr">
        <is>
          <t>Övriga Aktiebolag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10456-2022</t>
        </is>
      </c>
      <c r="B2461" s="1" t="n">
        <v>44623</v>
      </c>
      <c r="C2461" s="1" t="n">
        <v>45706</v>
      </c>
      <c r="D2461" t="inlineStr">
        <is>
          <t>UPPSALA LÄN</t>
        </is>
      </c>
      <c r="E2461" t="inlineStr">
        <is>
          <t>UPPSALA</t>
        </is>
      </c>
      <c r="F2461" t="inlineStr">
        <is>
          <t>Övriga Aktiebolag</t>
        </is>
      </c>
      <c r="G2461" t="n">
        <v>12.6</v>
      </c>
      <c r="H2461" t="n">
        <v>0</v>
      </c>
      <c r="I2461" t="n">
        <v>0</v>
      </c>
      <c r="J2461" t="n">
        <v>0</v>
      </c>
      <c r="K2461" t="n">
        <v>0</v>
      </c>
      <c r="L2461" t="n">
        <v>0</v>
      </c>
      <c r="M2461" t="n">
        <v>0</v>
      </c>
      <c r="N2461" t="n">
        <v>0</v>
      </c>
      <c r="O2461" t="n">
        <v>0</v>
      </c>
      <c r="P2461" t="n">
        <v>0</v>
      </c>
      <c r="Q2461" t="n">
        <v>0</v>
      </c>
      <c r="R2461" s="2" t="inlineStr"/>
    </row>
    <row r="2462" ht="15" customHeight="1">
      <c r="A2462" t="inlineStr">
        <is>
          <t>A 10458-2022</t>
        </is>
      </c>
      <c r="B2462" s="1" t="n">
        <v>44623</v>
      </c>
      <c r="C2462" s="1" t="n">
        <v>45706</v>
      </c>
      <c r="D2462" t="inlineStr">
        <is>
          <t>UPPSALA LÄN</t>
        </is>
      </c>
      <c r="E2462" t="inlineStr">
        <is>
          <t>ENKÖPING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10465-2022</t>
        </is>
      </c>
      <c r="B2463" s="1" t="n">
        <v>44623</v>
      </c>
      <c r="C2463" s="1" t="n">
        <v>45706</v>
      </c>
      <c r="D2463" t="inlineStr">
        <is>
          <t>UPPSALA LÄN</t>
        </is>
      </c>
      <c r="E2463" t="inlineStr">
        <is>
          <t>ENKÖPING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10464-2022</t>
        </is>
      </c>
      <c r="B2464" s="1" t="n">
        <v>44623</v>
      </c>
      <c r="C2464" s="1" t="n">
        <v>45706</v>
      </c>
      <c r="D2464" t="inlineStr">
        <is>
          <t>UPPSALA LÄN</t>
        </is>
      </c>
      <c r="E2464" t="inlineStr">
        <is>
          <t>UPPSALA</t>
        </is>
      </c>
      <c r="F2464" t="inlineStr">
        <is>
          <t>Övriga Aktiebolag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10645-2022</t>
        </is>
      </c>
      <c r="B2465" s="1" t="n">
        <v>44624</v>
      </c>
      <c r="C2465" s="1" t="n">
        <v>45706</v>
      </c>
      <c r="D2465" t="inlineStr">
        <is>
          <t>UPPSALA LÄN</t>
        </is>
      </c>
      <c r="E2465" t="inlineStr">
        <is>
          <t>HEBY</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10565-2022</t>
        </is>
      </c>
      <c r="B2466" s="1" t="n">
        <v>44624</v>
      </c>
      <c r="C2466" s="1" t="n">
        <v>45706</v>
      </c>
      <c r="D2466" t="inlineStr">
        <is>
          <t>UPPSALA LÄN</t>
        </is>
      </c>
      <c r="E2466" t="inlineStr">
        <is>
          <t>UPPSALA</t>
        </is>
      </c>
      <c r="F2466" t="inlineStr">
        <is>
          <t>Bergvik skog öst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10646-2022</t>
        </is>
      </c>
      <c r="B2467" s="1" t="n">
        <v>44624</v>
      </c>
      <c r="C2467" s="1" t="n">
        <v>45706</v>
      </c>
      <c r="D2467" t="inlineStr">
        <is>
          <t>UPPSALA LÄN</t>
        </is>
      </c>
      <c r="E2467" t="inlineStr">
        <is>
          <t>HEBY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10674-2022</t>
        </is>
      </c>
      <c r="B2468" s="1" t="n">
        <v>44624</v>
      </c>
      <c r="C2468" s="1" t="n">
        <v>45706</v>
      </c>
      <c r="D2468" t="inlineStr">
        <is>
          <t>UPPSALA LÄN</t>
        </is>
      </c>
      <c r="E2468" t="inlineStr">
        <is>
          <t>UPPSALA</t>
        </is>
      </c>
      <c r="F2468" t="inlineStr">
        <is>
          <t>Bergvik skog öst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10783-2022</t>
        </is>
      </c>
      <c r="B2469" s="1" t="n">
        <v>44627</v>
      </c>
      <c r="C2469" s="1" t="n">
        <v>45706</v>
      </c>
      <c r="D2469" t="inlineStr">
        <is>
          <t>UPPSALA LÄN</t>
        </is>
      </c>
      <c r="E2469" t="inlineStr">
        <is>
          <t>TIERP</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10780-2022</t>
        </is>
      </c>
      <c r="B2470" s="1" t="n">
        <v>44627</v>
      </c>
      <c r="C2470" s="1" t="n">
        <v>45706</v>
      </c>
      <c r="D2470" t="inlineStr">
        <is>
          <t>UPPSALA LÄN</t>
        </is>
      </c>
      <c r="E2470" t="inlineStr">
        <is>
          <t>TIERP</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10785-2022</t>
        </is>
      </c>
      <c r="B2471" s="1" t="n">
        <v>44627</v>
      </c>
      <c r="C2471" s="1" t="n">
        <v>45706</v>
      </c>
      <c r="D2471" t="inlineStr">
        <is>
          <t>UPPSALA LÄN</t>
        </is>
      </c>
      <c r="E2471" t="inlineStr">
        <is>
          <t>TIERP</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10777-2022</t>
        </is>
      </c>
      <c r="B2472" s="1" t="n">
        <v>44627</v>
      </c>
      <c r="C2472" s="1" t="n">
        <v>45706</v>
      </c>
      <c r="D2472" t="inlineStr">
        <is>
          <t>UPPSALA LÄN</t>
        </is>
      </c>
      <c r="E2472" t="inlineStr">
        <is>
          <t>TIERP</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10980-2022</t>
        </is>
      </c>
      <c r="B2473" s="1" t="n">
        <v>44628</v>
      </c>
      <c r="C2473" s="1" t="n">
        <v>45706</v>
      </c>
      <c r="D2473" t="inlineStr">
        <is>
          <t>UPPSALA LÄN</t>
        </is>
      </c>
      <c r="E2473" t="inlineStr">
        <is>
          <t>ÖSTHAMMAR</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11162-2022</t>
        </is>
      </c>
      <c r="B2474" s="1" t="n">
        <v>44629</v>
      </c>
      <c r="C2474" s="1" t="n">
        <v>45706</v>
      </c>
      <c r="D2474" t="inlineStr">
        <is>
          <t>UPPSALA LÄN</t>
        </is>
      </c>
      <c r="E2474" t="inlineStr">
        <is>
          <t>UPPSALA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11224-2022</t>
        </is>
      </c>
      <c r="B2475" s="1" t="n">
        <v>44629</v>
      </c>
      <c r="C2475" s="1" t="n">
        <v>45706</v>
      </c>
      <c r="D2475" t="inlineStr">
        <is>
          <t>UPPSALA LÄN</t>
        </is>
      </c>
      <c r="E2475" t="inlineStr">
        <is>
          <t>UPPSALA</t>
        </is>
      </c>
      <c r="F2475" t="inlineStr">
        <is>
          <t>Bergvik skog öst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11547-2022</t>
        </is>
      </c>
      <c r="B2476" s="1" t="n">
        <v>44631</v>
      </c>
      <c r="C2476" s="1" t="n">
        <v>45706</v>
      </c>
      <c r="D2476" t="inlineStr">
        <is>
          <t>UPPSALA LÄN</t>
        </is>
      </c>
      <c r="E2476" t="inlineStr">
        <is>
          <t>ÖSTHAMMAR</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11529-2022</t>
        </is>
      </c>
      <c r="B2477" s="1" t="n">
        <v>44631</v>
      </c>
      <c r="C2477" s="1" t="n">
        <v>45706</v>
      </c>
      <c r="D2477" t="inlineStr">
        <is>
          <t>UPPSALA LÄN</t>
        </is>
      </c>
      <c r="E2477" t="inlineStr">
        <is>
          <t>TIERP</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11496-2022</t>
        </is>
      </c>
      <c r="B2478" s="1" t="n">
        <v>44631</v>
      </c>
      <c r="C2478" s="1" t="n">
        <v>45706</v>
      </c>
      <c r="D2478" t="inlineStr">
        <is>
          <t>UPPSALA LÄN</t>
        </is>
      </c>
      <c r="E2478" t="inlineStr">
        <is>
          <t>TIERP</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11643-2022</t>
        </is>
      </c>
      <c r="B2479" s="1" t="n">
        <v>44631</v>
      </c>
      <c r="C2479" s="1" t="n">
        <v>45706</v>
      </c>
      <c r="D2479" t="inlineStr">
        <is>
          <t>UPPSALA LÄN</t>
        </is>
      </c>
      <c r="E2479" t="inlineStr">
        <is>
          <t>ÖSTHAMMAR</t>
        </is>
      </c>
      <c r="F2479" t="inlineStr">
        <is>
          <t>Bergvik skog öst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11787-2022</t>
        </is>
      </c>
      <c r="B2480" s="1" t="n">
        <v>44634</v>
      </c>
      <c r="C2480" s="1" t="n">
        <v>45706</v>
      </c>
      <c r="D2480" t="inlineStr">
        <is>
          <t>UPPSALA LÄN</t>
        </is>
      </c>
      <c r="E2480" t="inlineStr">
        <is>
          <t>UPPSALA</t>
        </is>
      </c>
      <c r="F2480" t="inlineStr">
        <is>
          <t>Holmen skog AB</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11824-2022</t>
        </is>
      </c>
      <c r="B2481" s="1" t="n">
        <v>44634</v>
      </c>
      <c r="C2481" s="1" t="n">
        <v>45706</v>
      </c>
      <c r="D2481" t="inlineStr">
        <is>
          <t>UPPSALA LÄN</t>
        </is>
      </c>
      <c r="E2481" t="inlineStr">
        <is>
          <t>TIERP</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11693-2022</t>
        </is>
      </c>
      <c r="B2482" s="1" t="n">
        <v>44634</v>
      </c>
      <c r="C2482" s="1" t="n">
        <v>45706</v>
      </c>
      <c r="D2482" t="inlineStr">
        <is>
          <t>UPPSALA LÄN</t>
        </is>
      </c>
      <c r="E2482" t="inlineStr">
        <is>
          <t>UPPSALA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11884-2022</t>
        </is>
      </c>
      <c r="B2483" s="1" t="n">
        <v>44635</v>
      </c>
      <c r="C2483" s="1" t="n">
        <v>45706</v>
      </c>
      <c r="D2483" t="inlineStr">
        <is>
          <t>UPPSALA LÄN</t>
        </is>
      </c>
      <c r="E2483" t="inlineStr">
        <is>
          <t>ÖSTHAMMAR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11987-2022</t>
        </is>
      </c>
      <c r="B2484" s="1" t="n">
        <v>44635</v>
      </c>
      <c r="C2484" s="1" t="n">
        <v>45706</v>
      </c>
      <c r="D2484" t="inlineStr">
        <is>
          <t>UPPSALA LÄN</t>
        </is>
      </c>
      <c r="E2484" t="inlineStr">
        <is>
          <t>ÖSTHAMMAR</t>
        </is>
      </c>
      <c r="F2484" t="inlineStr">
        <is>
          <t>Bergvik skog öst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11986-2022</t>
        </is>
      </c>
      <c r="B2485" s="1" t="n">
        <v>44635</v>
      </c>
      <c r="C2485" s="1" t="n">
        <v>45706</v>
      </c>
      <c r="D2485" t="inlineStr">
        <is>
          <t>UPPSALA LÄN</t>
        </is>
      </c>
      <c r="E2485" t="inlineStr">
        <is>
          <t>ÖSTHAMMAR</t>
        </is>
      </c>
      <c r="F2485" t="inlineStr">
        <is>
          <t>Bergvik skog öst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12176-2022</t>
        </is>
      </c>
      <c r="B2486" s="1" t="n">
        <v>44636</v>
      </c>
      <c r="C2486" s="1" t="n">
        <v>45706</v>
      </c>
      <c r="D2486" t="inlineStr">
        <is>
          <t>UPPSALA LÄN</t>
        </is>
      </c>
      <c r="E2486" t="inlineStr">
        <is>
          <t>ÖSTHAMMAR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12189-2022</t>
        </is>
      </c>
      <c r="B2487" s="1" t="n">
        <v>44636</v>
      </c>
      <c r="C2487" s="1" t="n">
        <v>45706</v>
      </c>
      <c r="D2487" t="inlineStr">
        <is>
          <t>UPPSALA LÄN</t>
        </is>
      </c>
      <c r="E2487" t="inlineStr">
        <is>
          <t>TIERP</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12194-2022</t>
        </is>
      </c>
      <c r="B2488" s="1" t="n">
        <v>44636</v>
      </c>
      <c r="C2488" s="1" t="n">
        <v>45706</v>
      </c>
      <c r="D2488" t="inlineStr">
        <is>
          <t>UPPSALA LÄN</t>
        </is>
      </c>
      <c r="E2488" t="inlineStr">
        <is>
          <t>TIERP</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12221-2022</t>
        </is>
      </c>
      <c r="B2489" s="1" t="n">
        <v>44637</v>
      </c>
      <c r="C2489" s="1" t="n">
        <v>45706</v>
      </c>
      <c r="D2489" t="inlineStr">
        <is>
          <t>UPPSALA LÄN</t>
        </is>
      </c>
      <c r="E2489" t="inlineStr">
        <is>
          <t>UPPSALA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12293-2022</t>
        </is>
      </c>
      <c r="B2490" s="1" t="n">
        <v>44637</v>
      </c>
      <c r="C2490" s="1" t="n">
        <v>45706</v>
      </c>
      <c r="D2490" t="inlineStr">
        <is>
          <t>UPPSALA LÄN</t>
        </is>
      </c>
      <c r="E2490" t="inlineStr">
        <is>
          <t>UPPSALA</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12449-2022</t>
        </is>
      </c>
      <c r="B2491" s="1" t="n">
        <v>44638</v>
      </c>
      <c r="C2491" s="1" t="n">
        <v>45706</v>
      </c>
      <c r="D2491" t="inlineStr">
        <is>
          <t>UPPSALA LÄN</t>
        </is>
      </c>
      <c r="E2491" t="inlineStr">
        <is>
          <t>TIERP</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12624-2022</t>
        </is>
      </c>
      <c r="B2492" s="1" t="n">
        <v>44641</v>
      </c>
      <c r="C2492" s="1" t="n">
        <v>45706</v>
      </c>
      <c r="D2492" t="inlineStr">
        <is>
          <t>UPPSALA LÄN</t>
        </is>
      </c>
      <c r="E2492" t="inlineStr">
        <is>
          <t>TIERP</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13009-2022</t>
        </is>
      </c>
      <c r="B2493" s="1" t="n">
        <v>44643</v>
      </c>
      <c r="C2493" s="1" t="n">
        <v>45706</v>
      </c>
      <c r="D2493" t="inlineStr">
        <is>
          <t>UPPSALA LÄN</t>
        </is>
      </c>
      <c r="E2493" t="inlineStr">
        <is>
          <t>UPPSALA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12999-2022</t>
        </is>
      </c>
      <c r="B2494" s="1" t="n">
        <v>44643</v>
      </c>
      <c r="C2494" s="1" t="n">
        <v>45706</v>
      </c>
      <c r="D2494" t="inlineStr">
        <is>
          <t>UPPSALA LÄN</t>
        </is>
      </c>
      <c r="E2494" t="inlineStr">
        <is>
          <t>ÖSTHAMMAR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13044-2022</t>
        </is>
      </c>
      <c r="B2495" s="1" t="n">
        <v>44643</v>
      </c>
      <c r="C2495" s="1" t="n">
        <v>45706</v>
      </c>
      <c r="D2495" t="inlineStr">
        <is>
          <t>UPPSALA LÄN</t>
        </is>
      </c>
      <c r="E2495" t="inlineStr">
        <is>
          <t>ÖSTHAMMAR</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13093-2022</t>
        </is>
      </c>
      <c r="B2496" s="1" t="n">
        <v>44643</v>
      </c>
      <c r="C2496" s="1" t="n">
        <v>45706</v>
      </c>
      <c r="D2496" t="inlineStr">
        <is>
          <t>UPPSALA LÄN</t>
        </is>
      </c>
      <c r="E2496" t="inlineStr">
        <is>
          <t>ÖSTHAMMAR</t>
        </is>
      </c>
      <c r="F2496" t="inlineStr">
        <is>
          <t>Bergvik skog öst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13134-2022</t>
        </is>
      </c>
      <c r="B2497" s="1" t="n">
        <v>44644</v>
      </c>
      <c r="C2497" s="1" t="n">
        <v>45706</v>
      </c>
      <c r="D2497" t="inlineStr">
        <is>
          <t>UPPSALA LÄN</t>
        </is>
      </c>
      <c r="E2497" t="inlineStr">
        <is>
          <t>UPPSALA</t>
        </is>
      </c>
      <c r="F2497" t="inlineStr">
        <is>
          <t>Övriga Aktiebolag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13237-2022</t>
        </is>
      </c>
      <c r="B2498" s="1" t="n">
        <v>44644</v>
      </c>
      <c r="C2498" s="1" t="n">
        <v>45706</v>
      </c>
      <c r="D2498" t="inlineStr">
        <is>
          <t>UPPSALA LÄN</t>
        </is>
      </c>
      <c r="E2498" t="inlineStr">
        <is>
          <t>TIERP</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13213-2022</t>
        </is>
      </c>
      <c r="B2499" s="1" t="n">
        <v>44644</v>
      </c>
      <c r="C2499" s="1" t="n">
        <v>45706</v>
      </c>
      <c r="D2499" t="inlineStr">
        <is>
          <t>UPPSALA LÄN</t>
        </is>
      </c>
      <c r="E2499" t="inlineStr">
        <is>
          <t>HEBY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13243-2022</t>
        </is>
      </c>
      <c r="B2500" s="1" t="n">
        <v>44644</v>
      </c>
      <c r="C2500" s="1" t="n">
        <v>45706</v>
      </c>
      <c r="D2500" t="inlineStr">
        <is>
          <t>UPPSALA LÄN</t>
        </is>
      </c>
      <c r="E2500" t="inlineStr">
        <is>
          <t>HEBY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13128-2022</t>
        </is>
      </c>
      <c r="B2501" s="1" t="n">
        <v>44644</v>
      </c>
      <c r="C2501" s="1" t="n">
        <v>45706</v>
      </c>
      <c r="D2501" t="inlineStr">
        <is>
          <t>UPPSALA LÄN</t>
        </is>
      </c>
      <c r="E2501" t="inlineStr">
        <is>
          <t>UPPSALA</t>
        </is>
      </c>
      <c r="F2501" t="inlineStr">
        <is>
          <t>Övriga Aktiebolag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13238-2022</t>
        </is>
      </c>
      <c r="B2502" s="1" t="n">
        <v>44644</v>
      </c>
      <c r="C2502" s="1" t="n">
        <v>45706</v>
      </c>
      <c r="D2502" t="inlineStr">
        <is>
          <t>UPPSALA LÄN</t>
        </is>
      </c>
      <c r="E2502" t="inlineStr">
        <is>
          <t>ÖSTHAMMAR</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13279-2022</t>
        </is>
      </c>
      <c r="B2503" s="1" t="n">
        <v>44644</v>
      </c>
      <c r="C2503" s="1" t="n">
        <v>45706</v>
      </c>
      <c r="D2503" t="inlineStr">
        <is>
          <t>UPPSALA LÄN</t>
        </is>
      </c>
      <c r="E2503" t="inlineStr">
        <is>
          <t>ÖSTHAMMAR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13386-2022</t>
        </is>
      </c>
      <c r="B2504" s="1" t="n">
        <v>44645</v>
      </c>
      <c r="C2504" s="1" t="n">
        <v>45706</v>
      </c>
      <c r="D2504" t="inlineStr">
        <is>
          <t>UPPSALA LÄN</t>
        </is>
      </c>
      <c r="E2504" t="inlineStr">
        <is>
          <t>UPPSALA</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13343-2022</t>
        </is>
      </c>
      <c r="B2505" s="1" t="n">
        <v>44645</v>
      </c>
      <c r="C2505" s="1" t="n">
        <v>45706</v>
      </c>
      <c r="D2505" t="inlineStr">
        <is>
          <t>UPPSALA LÄN</t>
        </is>
      </c>
      <c r="E2505" t="inlineStr">
        <is>
          <t>UPPSALA</t>
        </is>
      </c>
      <c r="F2505" t="inlineStr">
        <is>
          <t>Övriga Aktiebolag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13656-2022</t>
        </is>
      </c>
      <c r="B2506" s="1" t="n">
        <v>44648</v>
      </c>
      <c r="C2506" s="1" t="n">
        <v>45706</v>
      </c>
      <c r="D2506" t="inlineStr">
        <is>
          <t>UPPSALA LÄN</t>
        </is>
      </c>
      <c r="E2506" t="inlineStr">
        <is>
          <t>TIERP</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13650-2022</t>
        </is>
      </c>
      <c r="B2507" s="1" t="n">
        <v>44648</v>
      </c>
      <c r="C2507" s="1" t="n">
        <v>45706</v>
      </c>
      <c r="D2507" t="inlineStr">
        <is>
          <t>UPPSALA LÄN</t>
        </is>
      </c>
      <c r="E2507" t="inlineStr">
        <is>
          <t>TIERP</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13892-2022</t>
        </is>
      </c>
      <c r="B2508" s="1" t="n">
        <v>44649</v>
      </c>
      <c r="C2508" s="1" t="n">
        <v>45706</v>
      </c>
      <c r="D2508" t="inlineStr">
        <is>
          <t>UPPSALA LÄN</t>
        </is>
      </c>
      <c r="E2508" t="inlineStr">
        <is>
          <t>UPPSALA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13867-2022</t>
        </is>
      </c>
      <c r="B2509" s="1" t="n">
        <v>44649</v>
      </c>
      <c r="C2509" s="1" t="n">
        <v>45706</v>
      </c>
      <c r="D2509" t="inlineStr">
        <is>
          <t>UPPSALA LÄN</t>
        </is>
      </c>
      <c r="E2509" t="inlineStr">
        <is>
          <t>ÖSTHAMMAR</t>
        </is>
      </c>
      <c r="F2509" t="inlineStr">
        <is>
          <t>Bergvik skog öst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13901-2022</t>
        </is>
      </c>
      <c r="B2510" s="1" t="n">
        <v>44649</v>
      </c>
      <c r="C2510" s="1" t="n">
        <v>45706</v>
      </c>
      <c r="D2510" t="inlineStr">
        <is>
          <t>UPPSALA LÄN</t>
        </is>
      </c>
      <c r="E2510" t="inlineStr">
        <is>
          <t>UPPSALA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13988-2022</t>
        </is>
      </c>
      <c r="B2511" s="1" t="n">
        <v>44650</v>
      </c>
      <c r="C2511" s="1" t="n">
        <v>45706</v>
      </c>
      <c r="D2511" t="inlineStr">
        <is>
          <t>UPPSALA LÄN</t>
        </is>
      </c>
      <c r="E2511" t="inlineStr">
        <is>
          <t>HEBY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14008-2022</t>
        </is>
      </c>
      <c r="B2512" s="1" t="n">
        <v>44650</v>
      </c>
      <c r="C2512" s="1" t="n">
        <v>45706</v>
      </c>
      <c r="D2512" t="inlineStr">
        <is>
          <t>UPPSALA LÄN</t>
        </is>
      </c>
      <c r="E2512" t="inlineStr">
        <is>
          <t>HEBY</t>
        </is>
      </c>
      <c r="F2512" t="inlineStr">
        <is>
          <t>Bergvik skog öst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14272-2022</t>
        </is>
      </c>
      <c r="B2513" s="1" t="n">
        <v>44651</v>
      </c>
      <c r="C2513" s="1" t="n">
        <v>45706</v>
      </c>
      <c r="D2513" t="inlineStr">
        <is>
          <t>UPPSALA LÄN</t>
        </is>
      </c>
      <c r="E2513" t="inlineStr">
        <is>
          <t>ÖSTHAMMAR</t>
        </is>
      </c>
      <c r="F2513" t="inlineStr">
        <is>
          <t>Bergvik skog öst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14124-2022</t>
        </is>
      </c>
      <c r="B2514" s="1" t="n">
        <v>44651</v>
      </c>
      <c r="C2514" s="1" t="n">
        <v>45706</v>
      </c>
      <c r="D2514" t="inlineStr">
        <is>
          <t>UPPSALA LÄN</t>
        </is>
      </c>
      <c r="E2514" t="inlineStr">
        <is>
          <t>ÖSTHAMMAR</t>
        </is>
      </c>
      <c r="F2514" t="inlineStr">
        <is>
          <t>Bergvik skog öst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14187-2022</t>
        </is>
      </c>
      <c r="B2515" s="1" t="n">
        <v>44651</v>
      </c>
      <c r="C2515" s="1" t="n">
        <v>45706</v>
      </c>
      <c r="D2515" t="inlineStr">
        <is>
          <t>UPPSALA LÄN</t>
        </is>
      </c>
      <c r="E2515" t="inlineStr">
        <is>
          <t>ÖSTHAMMAR</t>
        </is>
      </c>
      <c r="F2515" t="inlineStr">
        <is>
          <t>Övriga Aktiebolag</t>
        </is>
      </c>
      <c r="G2515" t="n">
        <v>14.1</v>
      </c>
      <c r="H2515" t="n">
        <v>0</v>
      </c>
      <c r="I2515" t="n">
        <v>0</v>
      </c>
      <c r="J2515" t="n">
        <v>0</v>
      </c>
      <c r="K2515" t="n">
        <v>0</v>
      </c>
      <c r="L2515" t="n">
        <v>0</v>
      </c>
      <c r="M2515" t="n">
        <v>0</v>
      </c>
      <c r="N2515" t="n">
        <v>0</v>
      </c>
      <c r="O2515" t="n">
        <v>0</v>
      </c>
      <c r="P2515" t="n">
        <v>0</v>
      </c>
      <c r="Q2515" t="n">
        <v>0</v>
      </c>
      <c r="R2515" s="2" t="inlineStr"/>
    </row>
    <row r="2516" ht="15" customHeight="1">
      <c r="A2516" t="inlineStr">
        <is>
          <t>A 14271-2022</t>
        </is>
      </c>
      <c r="B2516" s="1" t="n">
        <v>44651</v>
      </c>
      <c r="C2516" s="1" t="n">
        <v>45706</v>
      </c>
      <c r="D2516" t="inlineStr">
        <is>
          <t>UPPSALA LÄN</t>
        </is>
      </c>
      <c r="E2516" t="inlineStr">
        <is>
          <t>ÖSTHAMMAR</t>
        </is>
      </c>
      <c r="F2516" t="inlineStr">
        <is>
          <t>Bergvik skog öst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14337-2022</t>
        </is>
      </c>
      <c r="B2517" s="1" t="n">
        <v>44652</v>
      </c>
      <c r="C2517" s="1" t="n">
        <v>45706</v>
      </c>
      <c r="D2517" t="inlineStr">
        <is>
          <t>UPPSALA LÄN</t>
        </is>
      </c>
      <c r="E2517" t="inlineStr">
        <is>
          <t>UPPSALA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14355-2022</t>
        </is>
      </c>
      <c r="B2518" s="1" t="n">
        <v>44652</v>
      </c>
      <c r="C2518" s="1" t="n">
        <v>45706</v>
      </c>
      <c r="D2518" t="inlineStr">
        <is>
          <t>UPPSALA LÄN</t>
        </is>
      </c>
      <c r="E2518" t="inlineStr">
        <is>
          <t>UPPSALA</t>
        </is>
      </c>
      <c r="F2518" t="inlineStr">
        <is>
          <t>Bergvik skog öst AB</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14340-2022</t>
        </is>
      </c>
      <c r="B2519" s="1" t="n">
        <v>44652</v>
      </c>
      <c r="C2519" s="1" t="n">
        <v>45706</v>
      </c>
      <c r="D2519" t="inlineStr">
        <is>
          <t>UPPSALA LÄN</t>
        </is>
      </c>
      <c r="E2519" t="inlineStr">
        <is>
          <t>UPPSALA</t>
        </is>
      </c>
      <c r="F2519" t="inlineStr">
        <is>
          <t>Bergvik skog öst AB</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14531-2022</t>
        </is>
      </c>
      <c r="B2520" s="1" t="n">
        <v>44655</v>
      </c>
      <c r="C2520" s="1" t="n">
        <v>45706</v>
      </c>
      <c r="D2520" t="inlineStr">
        <is>
          <t>UPPSALA LÄN</t>
        </is>
      </c>
      <c r="E2520" t="inlineStr">
        <is>
          <t>ENKÖPING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14603-2022</t>
        </is>
      </c>
      <c r="B2521" s="1" t="n">
        <v>44655</v>
      </c>
      <c r="C2521" s="1" t="n">
        <v>45706</v>
      </c>
      <c r="D2521" t="inlineStr">
        <is>
          <t>UPPSALA LÄN</t>
        </is>
      </c>
      <c r="E2521" t="inlineStr">
        <is>
          <t>HEBY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14602-2022</t>
        </is>
      </c>
      <c r="B2522" s="1" t="n">
        <v>44655</v>
      </c>
      <c r="C2522" s="1" t="n">
        <v>45706</v>
      </c>
      <c r="D2522" t="inlineStr">
        <is>
          <t>UPPSALA LÄN</t>
        </is>
      </c>
      <c r="E2522" t="inlineStr">
        <is>
          <t>HEBY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14622-2022</t>
        </is>
      </c>
      <c r="B2523" s="1" t="n">
        <v>44655</v>
      </c>
      <c r="C2523" s="1" t="n">
        <v>45706</v>
      </c>
      <c r="D2523" t="inlineStr">
        <is>
          <t>UPPSALA LÄN</t>
        </is>
      </c>
      <c r="E2523" t="inlineStr">
        <is>
          <t>UPPSALA</t>
        </is>
      </c>
      <c r="F2523" t="inlineStr">
        <is>
          <t>Övriga Aktiebolag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14671-2022</t>
        </is>
      </c>
      <c r="B2524" s="1" t="n">
        <v>44655</v>
      </c>
      <c r="C2524" s="1" t="n">
        <v>45706</v>
      </c>
      <c r="D2524" t="inlineStr">
        <is>
          <t>UPPSALA LÄN</t>
        </is>
      </c>
      <c r="E2524" t="inlineStr">
        <is>
          <t>ÖSTHAMMAR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14860-2022</t>
        </is>
      </c>
      <c r="B2525" s="1" t="n">
        <v>44656</v>
      </c>
      <c r="C2525" s="1" t="n">
        <v>45706</v>
      </c>
      <c r="D2525" t="inlineStr">
        <is>
          <t>UPPSALA LÄN</t>
        </is>
      </c>
      <c r="E2525" t="inlineStr">
        <is>
          <t>TIERP</t>
        </is>
      </c>
      <c r="F2525" t="inlineStr">
        <is>
          <t>Bergvik skog öst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15064-2022</t>
        </is>
      </c>
      <c r="B2526" s="1" t="n">
        <v>44657</v>
      </c>
      <c r="C2526" s="1" t="n">
        <v>45706</v>
      </c>
      <c r="D2526" t="inlineStr">
        <is>
          <t>UPPSALA LÄN</t>
        </is>
      </c>
      <c r="E2526" t="inlineStr">
        <is>
          <t>ÖSTHAMMAR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15021-2022</t>
        </is>
      </c>
      <c r="B2527" s="1" t="n">
        <v>44657</v>
      </c>
      <c r="C2527" s="1" t="n">
        <v>45706</v>
      </c>
      <c r="D2527" t="inlineStr">
        <is>
          <t>UPPSALA LÄN</t>
        </is>
      </c>
      <c r="E2527" t="inlineStr">
        <is>
          <t>ENKÖPING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15311-2022</t>
        </is>
      </c>
      <c r="B2528" s="1" t="n">
        <v>44659</v>
      </c>
      <c r="C2528" s="1" t="n">
        <v>45706</v>
      </c>
      <c r="D2528" t="inlineStr">
        <is>
          <t>UPPSALA LÄN</t>
        </is>
      </c>
      <c r="E2528" t="inlineStr">
        <is>
          <t>ÖSTHAMMAR</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15326-2022</t>
        </is>
      </c>
      <c r="B2529" s="1" t="n">
        <v>44659</v>
      </c>
      <c r="C2529" s="1" t="n">
        <v>45706</v>
      </c>
      <c r="D2529" t="inlineStr">
        <is>
          <t>UPPSALA LÄN</t>
        </is>
      </c>
      <c r="E2529" t="inlineStr">
        <is>
          <t>HEBY</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15436-2022</t>
        </is>
      </c>
      <c r="B2530" s="1" t="n">
        <v>44659</v>
      </c>
      <c r="C2530" s="1" t="n">
        <v>45706</v>
      </c>
      <c r="D2530" t="inlineStr">
        <is>
          <t>UPPSALA LÄN</t>
        </is>
      </c>
      <c r="E2530" t="inlineStr">
        <is>
          <t>UPPSALA</t>
        </is>
      </c>
      <c r="G2530" t="n">
        <v>14.4</v>
      </c>
      <c r="H2530" t="n">
        <v>0</v>
      </c>
      <c r="I2530" t="n">
        <v>0</v>
      </c>
      <c r="J2530" t="n">
        <v>0</v>
      </c>
      <c r="K2530" t="n">
        <v>0</v>
      </c>
      <c r="L2530" t="n">
        <v>0</v>
      </c>
      <c r="M2530" t="n">
        <v>0</v>
      </c>
      <c r="N2530" t="n">
        <v>0</v>
      </c>
      <c r="O2530" t="n">
        <v>0</v>
      </c>
      <c r="P2530" t="n">
        <v>0</v>
      </c>
      <c r="Q2530" t="n">
        <v>0</v>
      </c>
      <c r="R2530" s="2" t="inlineStr"/>
    </row>
    <row r="2531" ht="15" customHeight="1">
      <c r="A2531" t="inlineStr">
        <is>
          <t>A 15377-2022</t>
        </is>
      </c>
      <c r="B2531" s="1" t="n">
        <v>44659</v>
      </c>
      <c r="C2531" s="1" t="n">
        <v>45706</v>
      </c>
      <c r="D2531" t="inlineStr">
        <is>
          <t>UPPSALA LÄN</t>
        </is>
      </c>
      <c r="E2531" t="inlineStr">
        <is>
          <t>UPPSALA</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15310-2022</t>
        </is>
      </c>
      <c r="B2532" s="1" t="n">
        <v>44659</v>
      </c>
      <c r="C2532" s="1" t="n">
        <v>45706</v>
      </c>
      <c r="D2532" t="inlineStr">
        <is>
          <t>UPPSALA LÄN</t>
        </is>
      </c>
      <c r="E2532" t="inlineStr">
        <is>
          <t>UPPSALA</t>
        </is>
      </c>
      <c r="F2532" t="inlineStr">
        <is>
          <t>Bergvik skog öst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15334-2022</t>
        </is>
      </c>
      <c r="B2533" s="1" t="n">
        <v>44659</v>
      </c>
      <c r="C2533" s="1" t="n">
        <v>45706</v>
      </c>
      <c r="D2533" t="inlineStr">
        <is>
          <t>UPPSALA LÄN</t>
        </is>
      </c>
      <c r="E2533" t="inlineStr">
        <is>
          <t>ÖSTHAMMAR</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15447-2022</t>
        </is>
      </c>
      <c r="B2534" s="1" t="n">
        <v>44660</v>
      </c>
      <c r="C2534" s="1" t="n">
        <v>45706</v>
      </c>
      <c r="D2534" t="inlineStr">
        <is>
          <t>UPPSALA LÄN</t>
        </is>
      </c>
      <c r="E2534" t="inlineStr">
        <is>
          <t>ÖSTHAMMAR</t>
        </is>
      </c>
      <c r="F2534" t="inlineStr">
        <is>
          <t>Bergvik skog öst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15445-2022</t>
        </is>
      </c>
      <c r="B2535" s="1" t="n">
        <v>44660</v>
      </c>
      <c r="C2535" s="1" t="n">
        <v>45706</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15449-2022</t>
        </is>
      </c>
      <c r="B2536" s="1" t="n">
        <v>44660</v>
      </c>
      <c r="C2536" s="1" t="n">
        <v>45706</v>
      </c>
      <c r="D2536" t="inlineStr">
        <is>
          <t>UPPSALA LÄN</t>
        </is>
      </c>
      <c r="E2536" t="inlineStr">
        <is>
          <t>ÖSTHAMMAR</t>
        </is>
      </c>
      <c r="F2536" t="inlineStr">
        <is>
          <t>Bergvik skog öst AB</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15456-2022</t>
        </is>
      </c>
      <c r="B2537" s="1" t="n">
        <v>44661</v>
      </c>
      <c r="C2537" s="1" t="n">
        <v>45706</v>
      </c>
      <c r="D2537" t="inlineStr">
        <is>
          <t>UPPSALA LÄN</t>
        </is>
      </c>
      <c r="E2537" t="inlineStr">
        <is>
          <t>ÖSTHAMMAR</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15457-2022</t>
        </is>
      </c>
      <c r="B2538" s="1" t="n">
        <v>44661</v>
      </c>
      <c r="C2538" s="1" t="n">
        <v>45706</v>
      </c>
      <c r="D2538" t="inlineStr">
        <is>
          <t>UPPSALA LÄN</t>
        </is>
      </c>
      <c r="E2538" t="inlineStr">
        <is>
          <t>ÖSTHAMMAR</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15619-2022</t>
        </is>
      </c>
      <c r="B2539" s="1" t="n">
        <v>44662</v>
      </c>
      <c r="C2539" s="1" t="n">
        <v>45706</v>
      </c>
      <c r="D2539" t="inlineStr">
        <is>
          <t>UPPSALA LÄN</t>
        </is>
      </c>
      <c r="E2539" t="inlineStr">
        <is>
          <t>HEBY</t>
        </is>
      </c>
      <c r="F2539" t="inlineStr">
        <is>
          <t>Bergvik skog öst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15614-2022</t>
        </is>
      </c>
      <c r="B2540" s="1" t="n">
        <v>44662</v>
      </c>
      <c r="C2540" s="1" t="n">
        <v>45706</v>
      </c>
      <c r="D2540" t="inlineStr">
        <is>
          <t>UPPSALA LÄN</t>
        </is>
      </c>
      <c r="E2540" t="inlineStr">
        <is>
          <t>HEBY</t>
        </is>
      </c>
      <c r="F2540" t="inlineStr">
        <is>
          <t>Bergvik skog öst AB</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15583-2022</t>
        </is>
      </c>
      <c r="B2541" s="1" t="n">
        <v>44662</v>
      </c>
      <c r="C2541" s="1" t="n">
        <v>45706</v>
      </c>
      <c r="D2541" t="inlineStr">
        <is>
          <t>UPPSALA LÄN</t>
        </is>
      </c>
      <c r="E2541" t="inlineStr">
        <is>
          <t>UPPSALA</t>
        </is>
      </c>
      <c r="F2541" t="inlineStr">
        <is>
          <t>Övriga Aktiebolag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15735-2022</t>
        </is>
      </c>
      <c r="B2542" s="1" t="n">
        <v>44663</v>
      </c>
      <c r="C2542" s="1" t="n">
        <v>45706</v>
      </c>
      <c r="D2542" t="inlineStr">
        <is>
          <t>UPPSALA LÄN</t>
        </is>
      </c>
      <c r="E2542" t="inlineStr">
        <is>
          <t>UPPSALA</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15847-2022</t>
        </is>
      </c>
      <c r="B2543" s="1" t="n">
        <v>44664</v>
      </c>
      <c r="C2543" s="1" t="n">
        <v>45706</v>
      </c>
      <c r="D2543" t="inlineStr">
        <is>
          <t>UPPSALA LÄN</t>
        </is>
      </c>
      <c r="E2543" t="inlineStr">
        <is>
          <t>ÖSTHAMMAR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15924-2022</t>
        </is>
      </c>
      <c r="B2544" s="1" t="n">
        <v>44664</v>
      </c>
      <c r="C2544" s="1" t="n">
        <v>45706</v>
      </c>
      <c r="D2544" t="inlineStr">
        <is>
          <t>UPPSALA LÄN</t>
        </is>
      </c>
      <c r="E2544" t="inlineStr">
        <is>
          <t>ENKÖPING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15942-2022</t>
        </is>
      </c>
      <c r="B2545" s="1" t="n">
        <v>44664</v>
      </c>
      <c r="C2545" s="1" t="n">
        <v>45706</v>
      </c>
      <c r="D2545" t="inlineStr">
        <is>
          <t>UPPSALA LÄN</t>
        </is>
      </c>
      <c r="E2545" t="inlineStr">
        <is>
          <t>ENKÖPING</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15845-2022</t>
        </is>
      </c>
      <c r="B2546" s="1" t="n">
        <v>44664</v>
      </c>
      <c r="C2546" s="1" t="n">
        <v>45706</v>
      </c>
      <c r="D2546" t="inlineStr">
        <is>
          <t>UPPSALA LÄN</t>
        </is>
      </c>
      <c r="E2546" t="inlineStr">
        <is>
          <t>ÖSTHAMMAR</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15928-2022</t>
        </is>
      </c>
      <c r="B2547" s="1" t="n">
        <v>44664</v>
      </c>
      <c r="C2547" s="1" t="n">
        <v>45706</v>
      </c>
      <c r="D2547" t="inlineStr">
        <is>
          <t>UPPSALA LÄN</t>
        </is>
      </c>
      <c r="E2547" t="inlineStr">
        <is>
          <t>ÖSTHAMMAR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15943-2022</t>
        </is>
      </c>
      <c r="B2548" s="1" t="n">
        <v>44664</v>
      </c>
      <c r="C2548" s="1" t="n">
        <v>45706</v>
      </c>
      <c r="D2548" t="inlineStr">
        <is>
          <t>UPPSALA LÄN</t>
        </is>
      </c>
      <c r="E2548" t="inlineStr">
        <is>
          <t>ENKÖPING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15939-2022</t>
        </is>
      </c>
      <c r="B2549" s="1" t="n">
        <v>44664</v>
      </c>
      <c r="C2549" s="1" t="n">
        <v>45706</v>
      </c>
      <c r="D2549" t="inlineStr">
        <is>
          <t>UPPSALA LÄN</t>
        </is>
      </c>
      <c r="E2549" t="inlineStr">
        <is>
          <t>ENKÖPING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16141-2022</t>
        </is>
      </c>
      <c r="B2550" s="1" t="n">
        <v>44665</v>
      </c>
      <c r="C2550" s="1" t="n">
        <v>45706</v>
      </c>
      <c r="D2550" t="inlineStr">
        <is>
          <t>UPPSALA LÄN</t>
        </is>
      </c>
      <c r="E2550" t="inlineStr">
        <is>
          <t>ÖSTHAMMAR</t>
        </is>
      </c>
      <c r="F2550" t="inlineStr">
        <is>
          <t>Bergvik skog öst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16126-2022</t>
        </is>
      </c>
      <c r="B2551" s="1" t="n">
        <v>44665</v>
      </c>
      <c r="C2551" s="1" t="n">
        <v>45706</v>
      </c>
      <c r="D2551" t="inlineStr">
        <is>
          <t>UPPSALA LÄN</t>
        </is>
      </c>
      <c r="E2551" t="inlineStr">
        <is>
          <t>UPPSALA</t>
        </is>
      </c>
      <c r="F2551" t="inlineStr">
        <is>
          <t>Bergvik skog öst AB</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16142-2022</t>
        </is>
      </c>
      <c r="B2552" s="1" t="n">
        <v>44665</v>
      </c>
      <c r="C2552" s="1" t="n">
        <v>45706</v>
      </c>
      <c r="D2552" t="inlineStr">
        <is>
          <t>UPPSALA LÄN</t>
        </is>
      </c>
      <c r="E2552" t="inlineStr">
        <is>
          <t>ÖSTHAMMAR</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16167-2022</t>
        </is>
      </c>
      <c r="B2553" s="1" t="n">
        <v>44667</v>
      </c>
      <c r="C2553" s="1" t="n">
        <v>45706</v>
      </c>
      <c r="D2553" t="inlineStr">
        <is>
          <t>UPPSALA LÄN</t>
        </is>
      </c>
      <c r="E2553" t="inlineStr">
        <is>
          <t>ÖSTHAMMAR</t>
        </is>
      </c>
      <c r="F2553" t="inlineStr">
        <is>
          <t>Bergvik skog öst AB</t>
        </is>
      </c>
      <c r="G2553" t="n">
        <v>18.7</v>
      </c>
      <c r="H2553" t="n">
        <v>0</v>
      </c>
      <c r="I2553" t="n">
        <v>0</v>
      </c>
      <c r="J2553" t="n">
        <v>0</v>
      </c>
      <c r="K2553" t="n">
        <v>0</v>
      </c>
      <c r="L2553" t="n">
        <v>0</v>
      </c>
      <c r="M2553" t="n">
        <v>0</v>
      </c>
      <c r="N2553" t="n">
        <v>0</v>
      </c>
      <c r="O2553" t="n">
        <v>0</v>
      </c>
      <c r="P2553" t="n">
        <v>0</v>
      </c>
      <c r="Q2553" t="n">
        <v>0</v>
      </c>
      <c r="R2553" s="2" t="inlineStr"/>
    </row>
    <row r="2554" ht="15" customHeight="1">
      <c r="A2554" t="inlineStr">
        <is>
          <t>A 16185-2022</t>
        </is>
      </c>
      <c r="B2554" s="1" t="n">
        <v>44669</v>
      </c>
      <c r="C2554" s="1" t="n">
        <v>45706</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16184-2022</t>
        </is>
      </c>
      <c r="B2555" s="1" t="n">
        <v>44669</v>
      </c>
      <c r="C2555" s="1" t="n">
        <v>45706</v>
      </c>
      <c r="D2555" t="inlineStr">
        <is>
          <t>UPPSALA LÄN</t>
        </is>
      </c>
      <c r="E2555" t="inlineStr">
        <is>
          <t>ÖSTHAMMAR</t>
        </is>
      </c>
      <c r="F2555" t="inlineStr">
        <is>
          <t>Bergvik skog öst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16253-2022</t>
        </is>
      </c>
      <c r="B2556" s="1" t="n">
        <v>44670</v>
      </c>
      <c r="C2556" s="1" t="n">
        <v>45706</v>
      </c>
      <c r="D2556" t="inlineStr">
        <is>
          <t>UPPSALA LÄN</t>
        </is>
      </c>
      <c r="E2556" t="inlineStr">
        <is>
          <t>TIERP</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16254-2022</t>
        </is>
      </c>
      <c r="B2557" s="1" t="n">
        <v>44670</v>
      </c>
      <c r="C2557" s="1" t="n">
        <v>45706</v>
      </c>
      <c r="D2557" t="inlineStr">
        <is>
          <t>UPPSALA LÄN</t>
        </is>
      </c>
      <c r="E2557" t="inlineStr">
        <is>
          <t>ÖSTHAMMAR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16556-2022</t>
        </is>
      </c>
      <c r="B2558" s="1" t="n">
        <v>44672</v>
      </c>
      <c r="C2558" s="1" t="n">
        <v>45706</v>
      </c>
      <c r="D2558" t="inlineStr">
        <is>
          <t>UPPSALA LÄN</t>
        </is>
      </c>
      <c r="E2558" t="inlineStr">
        <is>
          <t>TIERP</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16773-2022</t>
        </is>
      </c>
      <c r="B2559" s="1" t="n">
        <v>44673</v>
      </c>
      <c r="C2559" s="1" t="n">
        <v>45706</v>
      </c>
      <c r="D2559" t="inlineStr">
        <is>
          <t>UPPSALA LÄN</t>
        </is>
      </c>
      <c r="E2559" t="inlineStr">
        <is>
          <t>KNIVSTA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16804-2022</t>
        </is>
      </c>
      <c r="B2560" s="1" t="n">
        <v>44673</v>
      </c>
      <c r="C2560" s="1" t="n">
        <v>45706</v>
      </c>
      <c r="D2560" t="inlineStr">
        <is>
          <t>UPPSALA LÄN</t>
        </is>
      </c>
      <c r="E2560" t="inlineStr">
        <is>
          <t>UPPSALA</t>
        </is>
      </c>
      <c r="F2560" t="inlineStr">
        <is>
          <t>Bergvik skog öst AB</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16828-2022</t>
        </is>
      </c>
      <c r="B2561" s="1" t="n">
        <v>44673</v>
      </c>
      <c r="C2561" s="1" t="n">
        <v>45706</v>
      </c>
      <c r="D2561" t="inlineStr">
        <is>
          <t>UPPSALA LÄN</t>
        </is>
      </c>
      <c r="E2561" t="inlineStr">
        <is>
          <t>UPPSALA</t>
        </is>
      </c>
      <c r="F2561" t="inlineStr">
        <is>
          <t>Bergvik skog öst AB</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16827-2022</t>
        </is>
      </c>
      <c r="B2562" s="1" t="n">
        <v>44673</v>
      </c>
      <c r="C2562" s="1" t="n">
        <v>45706</v>
      </c>
      <c r="D2562" t="inlineStr">
        <is>
          <t>UPPSALA LÄN</t>
        </is>
      </c>
      <c r="E2562" t="inlineStr">
        <is>
          <t>UPPSALA</t>
        </is>
      </c>
      <c r="F2562" t="inlineStr">
        <is>
          <t>Bergvik skog öst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16798-2022</t>
        </is>
      </c>
      <c r="B2563" s="1" t="n">
        <v>44673</v>
      </c>
      <c r="C2563" s="1" t="n">
        <v>45706</v>
      </c>
      <c r="D2563" t="inlineStr">
        <is>
          <t>UPPSALA LÄN</t>
        </is>
      </c>
      <c r="E2563" t="inlineStr">
        <is>
          <t>HEBY</t>
        </is>
      </c>
      <c r="F2563" t="inlineStr">
        <is>
          <t>Allmännings- och besparingsskogar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16775-2022</t>
        </is>
      </c>
      <c r="B2564" s="1" t="n">
        <v>44673</v>
      </c>
      <c r="C2564" s="1" t="n">
        <v>45706</v>
      </c>
      <c r="D2564" t="inlineStr">
        <is>
          <t>UPPSALA LÄN</t>
        </is>
      </c>
      <c r="E2564" t="inlineStr">
        <is>
          <t>KNIVSTA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16831-2022</t>
        </is>
      </c>
      <c r="B2565" s="1" t="n">
        <v>44673</v>
      </c>
      <c r="C2565" s="1" t="n">
        <v>45706</v>
      </c>
      <c r="D2565" t="inlineStr">
        <is>
          <t>UPPSALA LÄN</t>
        </is>
      </c>
      <c r="E2565" t="inlineStr">
        <is>
          <t>UPPSALA</t>
        </is>
      </c>
      <c r="F2565" t="inlineStr">
        <is>
          <t>Bergvik skog öst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16826-2022</t>
        </is>
      </c>
      <c r="B2566" s="1" t="n">
        <v>44673</v>
      </c>
      <c r="C2566" s="1" t="n">
        <v>45706</v>
      </c>
      <c r="D2566" t="inlineStr">
        <is>
          <t>UPPSALA LÄN</t>
        </is>
      </c>
      <c r="E2566" t="inlineStr">
        <is>
          <t>UPPSALA</t>
        </is>
      </c>
      <c r="F2566" t="inlineStr">
        <is>
          <t>Bergvik skog öst AB</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16761-2022</t>
        </is>
      </c>
      <c r="B2567" s="1" t="n">
        <v>44673</v>
      </c>
      <c r="C2567" s="1" t="n">
        <v>45706</v>
      </c>
      <c r="D2567" t="inlineStr">
        <is>
          <t>UPPSALA LÄN</t>
        </is>
      </c>
      <c r="E2567" t="inlineStr">
        <is>
          <t>UPPSALA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16942-2022</t>
        </is>
      </c>
      <c r="B2568" s="1" t="n">
        <v>44676</v>
      </c>
      <c r="C2568" s="1" t="n">
        <v>45706</v>
      </c>
      <c r="D2568" t="inlineStr">
        <is>
          <t>UPPSALA LÄN</t>
        </is>
      </c>
      <c r="E2568" t="inlineStr">
        <is>
          <t>UPPSALA</t>
        </is>
      </c>
      <c r="F2568" t="inlineStr">
        <is>
          <t>Bergvik skog öst AB</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16892-2022</t>
        </is>
      </c>
      <c r="B2569" s="1" t="n">
        <v>44676</v>
      </c>
      <c r="C2569" s="1" t="n">
        <v>45706</v>
      </c>
      <c r="D2569" t="inlineStr">
        <is>
          <t>UPPSALA LÄN</t>
        </is>
      </c>
      <c r="E2569" t="inlineStr">
        <is>
          <t>UPPSALA</t>
        </is>
      </c>
      <c r="F2569" t="inlineStr">
        <is>
          <t>Bergvik skog öst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16916-2022</t>
        </is>
      </c>
      <c r="B2570" s="1" t="n">
        <v>44676</v>
      </c>
      <c r="C2570" s="1" t="n">
        <v>45706</v>
      </c>
      <c r="D2570" t="inlineStr">
        <is>
          <t>UPPSALA LÄN</t>
        </is>
      </c>
      <c r="E2570" t="inlineStr">
        <is>
          <t>ENKÖPING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16967-2022</t>
        </is>
      </c>
      <c r="B2571" s="1" t="n">
        <v>44676</v>
      </c>
      <c r="C2571" s="1" t="n">
        <v>45706</v>
      </c>
      <c r="D2571" t="inlineStr">
        <is>
          <t>UPPSALA LÄN</t>
        </is>
      </c>
      <c r="E2571" t="inlineStr">
        <is>
          <t>ENKÖPING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16978-2022</t>
        </is>
      </c>
      <c r="B2572" s="1" t="n">
        <v>44676</v>
      </c>
      <c r="C2572" s="1" t="n">
        <v>45706</v>
      </c>
      <c r="D2572" t="inlineStr">
        <is>
          <t>UPPSALA LÄN</t>
        </is>
      </c>
      <c r="E2572" t="inlineStr">
        <is>
          <t>UPPSALA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16898-2022</t>
        </is>
      </c>
      <c r="B2573" s="1" t="n">
        <v>44676</v>
      </c>
      <c r="C2573" s="1" t="n">
        <v>45706</v>
      </c>
      <c r="D2573" t="inlineStr">
        <is>
          <t>UPPSALA LÄN</t>
        </is>
      </c>
      <c r="E2573" t="inlineStr">
        <is>
          <t>UPPSALA</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16933-2022</t>
        </is>
      </c>
      <c r="B2574" s="1" t="n">
        <v>44676</v>
      </c>
      <c r="C2574" s="1" t="n">
        <v>45706</v>
      </c>
      <c r="D2574" t="inlineStr">
        <is>
          <t>UPPSALA LÄN</t>
        </is>
      </c>
      <c r="E2574" t="inlineStr">
        <is>
          <t>ÖSTHAMMAR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16990-2022</t>
        </is>
      </c>
      <c r="B2575" s="1" t="n">
        <v>44676</v>
      </c>
      <c r="C2575" s="1" t="n">
        <v>45706</v>
      </c>
      <c r="D2575" t="inlineStr">
        <is>
          <t>UPPSALA LÄN</t>
        </is>
      </c>
      <c r="E2575" t="inlineStr">
        <is>
          <t>ÄLVKARLEBY</t>
        </is>
      </c>
      <c r="F2575" t="inlineStr">
        <is>
          <t>Bergvik skog väst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17013-2022</t>
        </is>
      </c>
      <c r="B2576" s="1" t="n">
        <v>44676</v>
      </c>
      <c r="C2576" s="1" t="n">
        <v>45706</v>
      </c>
      <c r="D2576" t="inlineStr">
        <is>
          <t>UPPSALA LÄN</t>
        </is>
      </c>
      <c r="E2576" t="inlineStr">
        <is>
          <t>ÖSTHAMMAR</t>
        </is>
      </c>
      <c r="F2576" t="inlineStr">
        <is>
          <t>Bergvik skog öst AB</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17158-2022</t>
        </is>
      </c>
      <c r="B2577" s="1" t="n">
        <v>44677</v>
      </c>
      <c r="C2577" s="1" t="n">
        <v>45706</v>
      </c>
      <c r="D2577" t="inlineStr">
        <is>
          <t>UPPSALA LÄN</t>
        </is>
      </c>
      <c r="E2577" t="inlineStr">
        <is>
          <t>TIERP</t>
        </is>
      </c>
      <c r="F2577" t="inlineStr">
        <is>
          <t>Övriga Aktiebolag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17074-2022</t>
        </is>
      </c>
      <c r="B2578" s="1" t="n">
        <v>44677</v>
      </c>
      <c r="C2578" s="1" t="n">
        <v>45706</v>
      </c>
      <c r="D2578" t="inlineStr">
        <is>
          <t>UPPSALA LÄN</t>
        </is>
      </c>
      <c r="E2578" t="inlineStr">
        <is>
          <t>TIERP</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17298-2022</t>
        </is>
      </c>
      <c r="B2579" s="1" t="n">
        <v>44678</v>
      </c>
      <c r="C2579" s="1" t="n">
        <v>45706</v>
      </c>
      <c r="D2579" t="inlineStr">
        <is>
          <t>UPPSALA LÄN</t>
        </is>
      </c>
      <c r="E2579" t="inlineStr">
        <is>
          <t>ENKÖPING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17332-2022</t>
        </is>
      </c>
      <c r="B2580" s="1" t="n">
        <v>44678</v>
      </c>
      <c r="C2580" s="1" t="n">
        <v>45706</v>
      </c>
      <c r="D2580" t="inlineStr">
        <is>
          <t>UPPSALA LÄN</t>
        </is>
      </c>
      <c r="E2580" t="inlineStr">
        <is>
          <t>HEBY</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17232-2022</t>
        </is>
      </c>
      <c r="B2581" s="1" t="n">
        <v>44678</v>
      </c>
      <c r="C2581" s="1" t="n">
        <v>45706</v>
      </c>
      <c r="D2581" t="inlineStr">
        <is>
          <t>UPPSALA LÄN</t>
        </is>
      </c>
      <c r="E2581" t="inlineStr">
        <is>
          <t>UPPSALA</t>
        </is>
      </c>
      <c r="F2581" t="inlineStr">
        <is>
          <t>Övriga Aktiebolag</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17465-2022</t>
        </is>
      </c>
      <c r="B2582" s="1" t="n">
        <v>44679</v>
      </c>
      <c r="C2582" s="1" t="n">
        <v>45706</v>
      </c>
      <c r="D2582" t="inlineStr">
        <is>
          <t>UPPSALA LÄN</t>
        </is>
      </c>
      <c r="E2582" t="inlineStr">
        <is>
          <t>ENKÖPING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17467-2022</t>
        </is>
      </c>
      <c r="B2583" s="1" t="n">
        <v>44679</v>
      </c>
      <c r="C2583" s="1" t="n">
        <v>45706</v>
      </c>
      <c r="D2583" t="inlineStr">
        <is>
          <t>UPPSALA LÄN</t>
        </is>
      </c>
      <c r="E2583" t="inlineStr">
        <is>
          <t>ENKÖPING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17562-2022</t>
        </is>
      </c>
      <c r="B2584" s="1" t="n">
        <v>44679</v>
      </c>
      <c r="C2584" s="1" t="n">
        <v>45706</v>
      </c>
      <c r="D2584" t="inlineStr">
        <is>
          <t>UPPSALA LÄN</t>
        </is>
      </c>
      <c r="E2584" t="inlineStr">
        <is>
          <t>UPPSALA</t>
        </is>
      </c>
      <c r="F2584" t="inlineStr">
        <is>
          <t>Bergvik skog öst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17558-2022</t>
        </is>
      </c>
      <c r="B2585" s="1" t="n">
        <v>44679</v>
      </c>
      <c r="C2585" s="1" t="n">
        <v>45706</v>
      </c>
      <c r="D2585" t="inlineStr">
        <is>
          <t>UPPSALA LÄN</t>
        </is>
      </c>
      <c r="E2585" t="inlineStr">
        <is>
          <t>UPPSALA</t>
        </is>
      </c>
      <c r="F2585" t="inlineStr">
        <is>
          <t>Bergvik skog öst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17453-2022</t>
        </is>
      </c>
      <c r="B2586" s="1" t="n">
        <v>44679</v>
      </c>
      <c r="C2586" s="1" t="n">
        <v>45706</v>
      </c>
      <c r="D2586" t="inlineStr">
        <is>
          <t>UPPSALA LÄN</t>
        </is>
      </c>
      <c r="E2586" t="inlineStr">
        <is>
          <t>ENKÖPING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17719-2022</t>
        </is>
      </c>
      <c r="B2587" s="1" t="n">
        <v>44680</v>
      </c>
      <c r="C2587" s="1" t="n">
        <v>45706</v>
      </c>
      <c r="D2587" t="inlineStr">
        <is>
          <t>UPPSALA LÄN</t>
        </is>
      </c>
      <c r="E2587" t="inlineStr">
        <is>
          <t>ENKÖPING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17704-2022</t>
        </is>
      </c>
      <c r="B2588" s="1" t="n">
        <v>44680</v>
      </c>
      <c r="C2588" s="1" t="n">
        <v>45706</v>
      </c>
      <c r="D2588" t="inlineStr">
        <is>
          <t>UPPSALA LÄN</t>
        </is>
      </c>
      <c r="E2588" t="inlineStr">
        <is>
          <t>ENKÖPING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17947-2022</t>
        </is>
      </c>
      <c r="B2589" s="1" t="n">
        <v>44683</v>
      </c>
      <c r="C2589" s="1" t="n">
        <v>45706</v>
      </c>
      <c r="D2589" t="inlineStr">
        <is>
          <t>UPPSALA LÄN</t>
        </is>
      </c>
      <c r="E2589" t="inlineStr">
        <is>
          <t>ÖSTHAMMAR</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17981-2022</t>
        </is>
      </c>
      <c r="B2590" s="1" t="n">
        <v>44683</v>
      </c>
      <c r="C2590" s="1" t="n">
        <v>45706</v>
      </c>
      <c r="D2590" t="inlineStr">
        <is>
          <t>UPPSALA LÄN</t>
        </is>
      </c>
      <c r="E2590" t="inlineStr">
        <is>
          <t>UPPSALA</t>
        </is>
      </c>
      <c r="F2590" t="inlineStr">
        <is>
          <t>Bergvik skog öst AB</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18097-2022</t>
        </is>
      </c>
      <c r="B2591" s="1" t="n">
        <v>44684</v>
      </c>
      <c r="C2591" s="1" t="n">
        <v>45706</v>
      </c>
      <c r="D2591" t="inlineStr">
        <is>
          <t>UPPSALA LÄN</t>
        </is>
      </c>
      <c r="E2591" t="inlineStr">
        <is>
          <t>TIERP</t>
        </is>
      </c>
      <c r="F2591" t="inlineStr">
        <is>
          <t>Bergvik skog öst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18144-2022</t>
        </is>
      </c>
      <c r="B2592" s="1" t="n">
        <v>44684</v>
      </c>
      <c r="C2592" s="1" t="n">
        <v>45706</v>
      </c>
      <c r="D2592" t="inlineStr">
        <is>
          <t>UPPSALA LÄN</t>
        </is>
      </c>
      <c r="E2592" t="inlineStr">
        <is>
          <t>HEBY</t>
        </is>
      </c>
      <c r="F2592" t="inlineStr">
        <is>
          <t>Bergvik skog väst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18183-2022</t>
        </is>
      </c>
      <c r="B2593" s="1" t="n">
        <v>44684</v>
      </c>
      <c r="C2593" s="1" t="n">
        <v>45706</v>
      </c>
      <c r="D2593" t="inlineStr">
        <is>
          <t>UPPSALA LÄN</t>
        </is>
      </c>
      <c r="E2593" t="inlineStr">
        <is>
          <t>ÖSTHAMMAR</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18130-2022</t>
        </is>
      </c>
      <c r="B2594" s="1" t="n">
        <v>44684</v>
      </c>
      <c r="C2594" s="1" t="n">
        <v>45706</v>
      </c>
      <c r="D2594" t="inlineStr">
        <is>
          <t>UPPSALA LÄN</t>
        </is>
      </c>
      <c r="E2594" t="inlineStr">
        <is>
          <t>TIERP</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18330-2022</t>
        </is>
      </c>
      <c r="B2595" s="1" t="n">
        <v>44685</v>
      </c>
      <c r="C2595" s="1" t="n">
        <v>45706</v>
      </c>
      <c r="D2595" t="inlineStr">
        <is>
          <t>UPPSALA LÄN</t>
        </is>
      </c>
      <c r="E2595" t="inlineStr">
        <is>
          <t>UPPSALA</t>
        </is>
      </c>
      <c r="F2595" t="inlineStr">
        <is>
          <t>Bergvik skog öst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18336-2022</t>
        </is>
      </c>
      <c r="B2596" s="1" t="n">
        <v>44685</v>
      </c>
      <c r="C2596" s="1" t="n">
        <v>45706</v>
      </c>
      <c r="D2596" t="inlineStr">
        <is>
          <t>UPPSALA LÄN</t>
        </is>
      </c>
      <c r="E2596" t="inlineStr">
        <is>
          <t>HEBY</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18258-2022</t>
        </is>
      </c>
      <c r="B2597" s="1" t="n">
        <v>44685</v>
      </c>
      <c r="C2597" s="1" t="n">
        <v>45706</v>
      </c>
      <c r="D2597" t="inlineStr">
        <is>
          <t>UPPSALA LÄN</t>
        </is>
      </c>
      <c r="E2597" t="inlineStr">
        <is>
          <t>KNIVSTA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18521-2022</t>
        </is>
      </c>
      <c r="B2598" s="1" t="n">
        <v>44686</v>
      </c>
      <c r="C2598" s="1" t="n">
        <v>45706</v>
      </c>
      <c r="D2598" t="inlineStr">
        <is>
          <t>UPPSALA LÄN</t>
        </is>
      </c>
      <c r="E2598" t="inlineStr">
        <is>
          <t>UPPSALA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18431-2022</t>
        </is>
      </c>
      <c r="B2599" s="1" t="n">
        <v>44686</v>
      </c>
      <c r="C2599" s="1" t="n">
        <v>45706</v>
      </c>
      <c r="D2599" t="inlineStr">
        <is>
          <t>UPPSALA LÄN</t>
        </is>
      </c>
      <c r="E2599" t="inlineStr">
        <is>
          <t>TIERP</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18732-2022</t>
        </is>
      </c>
      <c r="B2600" s="1" t="n">
        <v>44687</v>
      </c>
      <c r="C2600" s="1" t="n">
        <v>45706</v>
      </c>
      <c r="D2600" t="inlineStr">
        <is>
          <t>UPPSALA LÄN</t>
        </is>
      </c>
      <c r="E2600" t="inlineStr">
        <is>
          <t>ÖSTHAMMAR</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18583-2022</t>
        </is>
      </c>
      <c r="B2601" s="1" t="n">
        <v>44687</v>
      </c>
      <c r="C2601" s="1" t="n">
        <v>45706</v>
      </c>
      <c r="D2601" t="inlineStr">
        <is>
          <t>UPPSALA LÄN</t>
        </is>
      </c>
      <c r="E2601" t="inlineStr">
        <is>
          <t>UPPSALA</t>
        </is>
      </c>
      <c r="F2601" t="inlineStr">
        <is>
          <t>Övriga Aktiebolag</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18609-2022</t>
        </is>
      </c>
      <c r="B2602" s="1" t="n">
        <v>44687</v>
      </c>
      <c r="C2602" s="1" t="n">
        <v>45706</v>
      </c>
      <c r="D2602" t="inlineStr">
        <is>
          <t>UPPSALA LÄN</t>
        </is>
      </c>
      <c r="E2602" t="inlineStr">
        <is>
          <t>TIERP</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18727-2022</t>
        </is>
      </c>
      <c r="B2603" s="1" t="n">
        <v>44687</v>
      </c>
      <c r="C2603" s="1" t="n">
        <v>45706</v>
      </c>
      <c r="D2603" t="inlineStr">
        <is>
          <t>UPPSALA LÄN</t>
        </is>
      </c>
      <c r="E2603" t="inlineStr">
        <is>
          <t>ÖSTHAMMAR</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18728-2022</t>
        </is>
      </c>
      <c r="B2604" s="1" t="n">
        <v>44687</v>
      </c>
      <c r="C2604" s="1" t="n">
        <v>45706</v>
      </c>
      <c r="D2604" t="inlineStr">
        <is>
          <t>UPPSALA LÄN</t>
        </is>
      </c>
      <c r="E2604" t="inlineStr">
        <is>
          <t>ÖSTHAMMAR</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18734-2022</t>
        </is>
      </c>
      <c r="B2605" s="1" t="n">
        <v>44687</v>
      </c>
      <c r="C2605" s="1" t="n">
        <v>45706</v>
      </c>
      <c r="D2605" t="inlineStr">
        <is>
          <t>UPPSALA LÄN</t>
        </is>
      </c>
      <c r="E2605" t="inlineStr">
        <is>
          <t>ÖSTHAMMAR</t>
        </is>
      </c>
      <c r="F2605" t="inlineStr">
        <is>
          <t>Bergvik skog öst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18731-2022</t>
        </is>
      </c>
      <c r="B2606" s="1" t="n">
        <v>44687</v>
      </c>
      <c r="C2606" s="1" t="n">
        <v>45706</v>
      </c>
      <c r="D2606" t="inlineStr">
        <is>
          <t>UPPSALA LÄN</t>
        </is>
      </c>
      <c r="E2606" t="inlineStr">
        <is>
          <t>ÖSTHAMMAR</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18736-2022</t>
        </is>
      </c>
      <c r="B2607" s="1" t="n">
        <v>44687</v>
      </c>
      <c r="C2607" s="1" t="n">
        <v>45706</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18785-2022</t>
        </is>
      </c>
      <c r="B2608" s="1" t="n">
        <v>44687</v>
      </c>
      <c r="C2608" s="1" t="n">
        <v>45706</v>
      </c>
      <c r="D2608" t="inlineStr">
        <is>
          <t>UPPSALA LÄN</t>
        </is>
      </c>
      <c r="E2608" t="inlineStr">
        <is>
          <t>ENKÖPING</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18781-2022</t>
        </is>
      </c>
      <c r="B2609" s="1" t="n">
        <v>44689</v>
      </c>
      <c r="C2609" s="1" t="n">
        <v>45706</v>
      </c>
      <c r="D2609" t="inlineStr">
        <is>
          <t>UPPSALA LÄN</t>
        </is>
      </c>
      <c r="E2609" t="inlineStr">
        <is>
          <t>TIERP</t>
        </is>
      </c>
      <c r="F2609" t="inlineStr">
        <is>
          <t>Kyrkan</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18820-2022</t>
        </is>
      </c>
      <c r="B2610" s="1" t="n">
        <v>44690</v>
      </c>
      <c r="C2610" s="1" t="n">
        <v>45706</v>
      </c>
      <c r="D2610" t="inlineStr">
        <is>
          <t>UPPSALA LÄN</t>
        </is>
      </c>
      <c r="E2610" t="inlineStr">
        <is>
          <t>KNIVSTA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18960-2022</t>
        </is>
      </c>
      <c r="B2611" s="1" t="n">
        <v>44690</v>
      </c>
      <c r="C2611" s="1" t="n">
        <v>45706</v>
      </c>
      <c r="D2611" t="inlineStr">
        <is>
          <t>UPPSALA LÄN</t>
        </is>
      </c>
      <c r="E2611" t="inlineStr">
        <is>
          <t>UPPSALA</t>
        </is>
      </c>
      <c r="F2611" t="inlineStr">
        <is>
          <t>Bergvik skog öst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19034-2022</t>
        </is>
      </c>
      <c r="B2612" s="1" t="n">
        <v>44691</v>
      </c>
      <c r="C2612" s="1" t="n">
        <v>45706</v>
      </c>
      <c r="D2612" t="inlineStr">
        <is>
          <t>UPPSALA LÄN</t>
        </is>
      </c>
      <c r="E2612" t="inlineStr">
        <is>
          <t>UPPSALA</t>
        </is>
      </c>
      <c r="F2612" t="inlineStr">
        <is>
          <t>Bergvik skog öst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19174-2022</t>
        </is>
      </c>
      <c r="B2613" s="1" t="n">
        <v>44691</v>
      </c>
      <c r="C2613" s="1" t="n">
        <v>45706</v>
      </c>
      <c r="D2613" t="inlineStr">
        <is>
          <t>UPPSALA LÄN</t>
        </is>
      </c>
      <c r="E2613" t="inlineStr">
        <is>
          <t>ÖSTHAMMAR</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19181-2022</t>
        </is>
      </c>
      <c r="B2614" s="1" t="n">
        <v>44691</v>
      </c>
      <c r="C2614" s="1" t="n">
        <v>45706</v>
      </c>
      <c r="D2614" t="inlineStr">
        <is>
          <t>UPPSALA LÄN</t>
        </is>
      </c>
      <c r="E2614" t="inlineStr">
        <is>
          <t>ÖSTHAMMAR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19184-2022</t>
        </is>
      </c>
      <c r="B2615" s="1" t="n">
        <v>44691</v>
      </c>
      <c r="C2615" s="1" t="n">
        <v>45706</v>
      </c>
      <c r="D2615" t="inlineStr">
        <is>
          <t>UPPSALA LÄN</t>
        </is>
      </c>
      <c r="E2615" t="inlineStr">
        <is>
          <t>HEBY</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19287-2022</t>
        </is>
      </c>
      <c r="B2616" s="1" t="n">
        <v>44692</v>
      </c>
      <c r="C2616" s="1" t="n">
        <v>45706</v>
      </c>
      <c r="D2616" t="inlineStr">
        <is>
          <t>UPPSALA LÄN</t>
        </is>
      </c>
      <c r="E2616" t="inlineStr">
        <is>
          <t>ÖSTHAMMAR</t>
        </is>
      </c>
      <c r="F2616" t="inlineStr">
        <is>
          <t>Bergvik skog öst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19240-2022</t>
        </is>
      </c>
      <c r="B2617" s="1" t="n">
        <v>44692</v>
      </c>
      <c r="C2617" s="1" t="n">
        <v>45706</v>
      </c>
      <c r="D2617" t="inlineStr">
        <is>
          <t>UPPSALA LÄN</t>
        </is>
      </c>
      <c r="E2617" t="inlineStr">
        <is>
          <t>UPPSALA</t>
        </is>
      </c>
      <c r="F2617" t="inlineStr">
        <is>
          <t>Bergvik skog öst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19375-2022</t>
        </is>
      </c>
      <c r="B2618" s="1" t="n">
        <v>44692</v>
      </c>
      <c r="C2618" s="1" t="n">
        <v>45706</v>
      </c>
      <c r="D2618" t="inlineStr">
        <is>
          <t>UPPSALA LÄN</t>
        </is>
      </c>
      <c r="E2618" t="inlineStr">
        <is>
          <t>UPPSALA</t>
        </is>
      </c>
      <c r="F2618" t="inlineStr">
        <is>
          <t>Bergvik skog öst AB</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19380-2022</t>
        </is>
      </c>
      <c r="B2619" s="1" t="n">
        <v>44692</v>
      </c>
      <c r="C2619" s="1" t="n">
        <v>45706</v>
      </c>
      <c r="D2619" t="inlineStr">
        <is>
          <t>UPPSALA LÄN</t>
        </is>
      </c>
      <c r="E2619" t="inlineStr">
        <is>
          <t>UPPSALA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19382-2022</t>
        </is>
      </c>
      <c r="B2620" s="1" t="n">
        <v>44692</v>
      </c>
      <c r="C2620" s="1" t="n">
        <v>45706</v>
      </c>
      <c r="D2620" t="inlineStr">
        <is>
          <t>UPPSALA LÄN</t>
        </is>
      </c>
      <c r="E2620" t="inlineStr">
        <is>
          <t>UPPSALA</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19487-2022</t>
        </is>
      </c>
      <c r="B2621" s="1" t="n">
        <v>44693</v>
      </c>
      <c r="C2621" s="1" t="n">
        <v>45706</v>
      </c>
      <c r="D2621" t="inlineStr">
        <is>
          <t>UPPSALA LÄN</t>
        </is>
      </c>
      <c r="E2621" t="inlineStr">
        <is>
          <t>ENKÖPING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19488-2022</t>
        </is>
      </c>
      <c r="B2622" s="1" t="n">
        <v>44693</v>
      </c>
      <c r="C2622" s="1" t="n">
        <v>45706</v>
      </c>
      <c r="D2622" t="inlineStr">
        <is>
          <t>UPPSALA LÄN</t>
        </is>
      </c>
      <c r="E2622" t="inlineStr">
        <is>
          <t>ENKÖPING</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19654-2022</t>
        </is>
      </c>
      <c r="B2623" s="1" t="n">
        <v>44694</v>
      </c>
      <c r="C2623" s="1" t="n">
        <v>45706</v>
      </c>
      <c r="D2623" t="inlineStr">
        <is>
          <t>UPPSALA LÄN</t>
        </is>
      </c>
      <c r="E2623" t="inlineStr">
        <is>
          <t>HEBY</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19735-2022</t>
        </is>
      </c>
      <c r="B2624" s="1" t="n">
        <v>44694</v>
      </c>
      <c r="C2624" s="1" t="n">
        <v>45706</v>
      </c>
      <c r="D2624" t="inlineStr">
        <is>
          <t>UPPSALA LÄN</t>
        </is>
      </c>
      <c r="E2624" t="inlineStr">
        <is>
          <t>HEBY</t>
        </is>
      </c>
      <c r="F2624" t="inlineStr">
        <is>
          <t>Bergvik skog väst AB</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19707-2022</t>
        </is>
      </c>
      <c r="B2625" s="1" t="n">
        <v>44694</v>
      </c>
      <c r="C2625" s="1" t="n">
        <v>45706</v>
      </c>
      <c r="D2625" t="inlineStr">
        <is>
          <t>UPPSALA LÄN</t>
        </is>
      </c>
      <c r="E2625" t="inlineStr">
        <is>
          <t>ÖSTHAMMAR</t>
        </is>
      </c>
      <c r="F2625" t="inlineStr">
        <is>
          <t>Allmännings- och besparingsskogar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19683-2022</t>
        </is>
      </c>
      <c r="B2626" s="1" t="n">
        <v>44694</v>
      </c>
      <c r="C2626" s="1" t="n">
        <v>45706</v>
      </c>
      <c r="D2626" t="inlineStr">
        <is>
          <t>UPPSALA LÄN</t>
        </is>
      </c>
      <c r="E2626" t="inlineStr">
        <is>
          <t>HEBY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19721-2022</t>
        </is>
      </c>
      <c r="B2627" s="1" t="n">
        <v>44694</v>
      </c>
      <c r="C2627" s="1" t="n">
        <v>45706</v>
      </c>
      <c r="D2627" t="inlineStr">
        <is>
          <t>UPPSALA LÄN</t>
        </is>
      </c>
      <c r="E2627" t="inlineStr">
        <is>
          <t>HEBY</t>
        </is>
      </c>
      <c r="F2627" t="inlineStr">
        <is>
          <t>Bergvik skog väst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19731-2022</t>
        </is>
      </c>
      <c r="B2628" s="1" t="n">
        <v>44694</v>
      </c>
      <c r="C2628" s="1" t="n">
        <v>45706</v>
      </c>
      <c r="D2628" t="inlineStr">
        <is>
          <t>UPPSALA LÄN</t>
        </is>
      </c>
      <c r="E2628" t="inlineStr">
        <is>
          <t>ENKÖPING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19840-2022</t>
        </is>
      </c>
      <c r="B2629" s="1" t="n">
        <v>44696</v>
      </c>
      <c r="C2629" s="1" t="n">
        <v>45706</v>
      </c>
      <c r="D2629" t="inlineStr">
        <is>
          <t>UPPSALA LÄN</t>
        </is>
      </c>
      <c r="E2629" t="inlineStr">
        <is>
          <t>TIERP</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19965-2022</t>
        </is>
      </c>
      <c r="B2630" s="1" t="n">
        <v>44697</v>
      </c>
      <c r="C2630" s="1" t="n">
        <v>45706</v>
      </c>
      <c r="D2630" t="inlineStr">
        <is>
          <t>UPPSALA LÄN</t>
        </is>
      </c>
      <c r="E2630" t="inlineStr">
        <is>
          <t>ENKÖPING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19990-2022</t>
        </is>
      </c>
      <c r="B2631" s="1" t="n">
        <v>44697</v>
      </c>
      <c r="C2631" s="1" t="n">
        <v>45706</v>
      </c>
      <c r="D2631" t="inlineStr">
        <is>
          <t>UPPSALA LÄN</t>
        </is>
      </c>
      <c r="E2631" t="inlineStr">
        <is>
          <t>HEBY</t>
        </is>
      </c>
      <c r="F2631" t="inlineStr">
        <is>
          <t>Bergvik skog väst AB</t>
        </is>
      </c>
      <c r="G2631" t="n">
        <v>14.3</v>
      </c>
      <c r="H2631" t="n">
        <v>0</v>
      </c>
      <c r="I2631" t="n">
        <v>0</v>
      </c>
      <c r="J2631" t="n">
        <v>0</v>
      </c>
      <c r="K2631" t="n">
        <v>0</v>
      </c>
      <c r="L2631" t="n">
        <v>0</v>
      </c>
      <c r="M2631" t="n">
        <v>0</v>
      </c>
      <c r="N2631" t="n">
        <v>0</v>
      </c>
      <c r="O2631" t="n">
        <v>0</v>
      </c>
      <c r="P2631" t="n">
        <v>0</v>
      </c>
      <c r="Q2631" t="n">
        <v>0</v>
      </c>
      <c r="R2631" s="2" t="inlineStr"/>
    </row>
    <row r="2632" ht="15" customHeight="1">
      <c r="A2632" t="inlineStr">
        <is>
          <t>A 19896-2022</t>
        </is>
      </c>
      <c r="B2632" s="1" t="n">
        <v>44697</v>
      </c>
      <c r="C2632" s="1" t="n">
        <v>45706</v>
      </c>
      <c r="D2632" t="inlineStr">
        <is>
          <t>UPPSALA LÄN</t>
        </is>
      </c>
      <c r="E2632" t="inlineStr">
        <is>
          <t>HEBY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20288-2022</t>
        </is>
      </c>
      <c r="B2633" s="1" t="n">
        <v>44698</v>
      </c>
      <c r="C2633" s="1" t="n">
        <v>45706</v>
      </c>
      <c r="D2633" t="inlineStr">
        <is>
          <t>UPPSALA LÄN</t>
        </is>
      </c>
      <c r="E2633" t="inlineStr">
        <is>
          <t>TIERP</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20265-2022</t>
        </is>
      </c>
      <c r="B2634" s="1" t="n">
        <v>44698</v>
      </c>
      <c r="C2634" s="1" t="n">
        <v>45706</v>
      </c>
      <c r="D2634" t="inlineStr">
        <is>
          <t>UPPSALA LÄN</t>
        </is>
      </c>
      <c r="E2634" t="inlineStr">
        <is>
          <t>UPPSALA</t>
        </is>
      </c>
      <c r="F2634" t="inlineStr">
        <is>
          <t>Bergvik skog öst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20321-2022</t>
        </is>
      </c>
      <c r="B2635" s="1" t="n">
        <v>44699</v>
      </c>
      <c r="C2635" s="1" t="n">
        <v>45706</v>
      </c>
      <c r="D2635" t="inlineStr">
        <is>
          <t>UPPSALA LÄN</t>
        </is>
      </c>
      <c r="E2635" t="inlineStr">
        <is>
          <t>ENKÖPING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20468-2022</t>
        </is>
      </c>
      <c r="B2636" s="1" t="n">
        <v>44699</v>
      </c>
      <c r="C2636" s="1" t="n">
        <v>45706</v>
      </c>
      <c r="D2636" t="inlineStr">
        <is>
          <t>UPPSALA LÄN</t>
        </is>
      </c>
      <c r="E2636" t="inlineStr">
        <is>
          <t>ÖSTHAMMAR</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20497-2022</t>
        </is>
      </c>
      <c r="B2637" s="1" t="n">
        <v>44699</v>
      </c>
      <c r="C2637" s="1" t="n">
        <v>45706</v>
      </c>
      <c r="D2637" t="inlineStr">
        <is>
          <t>UPPSALA LÄN</t>
        </is>
      </c>
      <c r="E2637" t="inlineStr">
        <is>
          <t>UPPSALA</t>
        </is>
      </c>
      <c r="F2637" t="inlineStr">
        <is>
          <t>Övriga statliga verk och myndigheter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20627-2022</t>
        </is>
      </c>
      <c r="B2638" s="1" t="n">
        <v>44700</v>
      </c>
      <c r="C2638" s="1" t="n">
        <v>45706</v>
      </c>
      <c r="D2638" t="inlineStr">
        <is>
          <t>UPPSALA LÄN</t>
        </is>
      </c>
      <c r="E2638" t="inlineStr">
        <is>
          <t>HEBY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20587-2022</t>
        </is>
      </c>
      <c r="B2639" s="1" t="n">
        <v>44700</v>
      </c>
      <c r="C2639" s="1" t="n">
        <v>45706</v>
      </c>
      <c r="D2639" t="inlineStr">
        <is>
          <t>UPPSALA LÄN</t>
        </is>
      </c>
      <c r="E2639" t="inlineStr">
        <is>
          <t>TIERP</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20770-2022</t>
        </is>
      </c>
      <c r="B2640" s="1" t="n">
        <v>44700</v>
      </c>
      <c r="C2640" s="1" t="n">
        <v>45706</v>
      </c>
      <c r="D2640" t="inlineStr">
        <is>
          <t>UPPSALA LÄN</t>
        </is>
      </c>
      <c r="E2640" t="inlineStr">
        <is>
          <t>UPPSALA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20764-2022</t>
        </is>
      </c>
      <c r="B2641" s="1" t="n">
        <v>44700</v>
      </c>
      <c r="C2641" s="1" t="n">
        <v>45706</v>
      </c>
      <c r="D2641" t="inlineStr">
        <is>
          <t>UPPSALA LÄN</t>
        </is>
      </c>
      <c r="E2641" t="inlineStr">
        <is>
          <t>UPPSALA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20882-2022</t>
        </is>
      </c>
      <c r="B2642" s="1" t="n">
        <v>44701</v>
      </c>
      <c r="C2642" s="1" t="n">
        <v>45706</v>
      </c>
      <c r="D2642" t="inlineStr">
        <is>
          <t>UPPSALA LÄN</t>
        </is>
      </c>
      <c r="E2642" t="inlineStr">
        <is>
          <t>HEBY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20885-2022</t>
        </is>
      </c>
      <c r="B2643" s="1" t="n">
        <v>44701</v>
      </c>
      <c r="C2643" s="1" t="n">
        <v>45706</v>
      </c>
      <c r="D2643" t="inlineStr">
        <is>
          <t>UPPSALA LÄN</t>
        </is>
      </c>
      <c r="E2643" t="inlineStr">
        <is>
          <t>TIERP</t>
        </is>
      </c>
      <c r="F2643" t="inlineStr">
        <is>
          <t>Övriga Aktiebolag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20997-2022</t>
        </is>
      </c>
      <c r="B2644" s="1" t="n">
        <v>44701</v>
      </c>
      <c r="C2644" s="1" t="n">
        <v>45706</v>
      </c>
      <c r="D2644" t="inlineStr">
        <is>
          <t>UPPSALA LÄN</t>
        </is>
      </c>
      <c r="E2644" t="inlineStr">
        <is>
          <t>TIERP</t>
        </is>
      </c>
      <c r="F2644" t="inlineStr">
        <is>
          <t>Bergvik skog väst AB</t>
        </is>
      </c>
      <c r="G2644" t="n">
        <v>40</v>
      </c>
      <c r="H2644" t="n">
        <v>0</v>
      </c>
      <c r="I2644" t="n">
        <v>0</v>
      </c>
      <c r="J2644" t="n">
        <v>0</v>
      </c>
      <c r="K2644" t="n">
        <v>0</v>
      </c>
      <c r="L2644" t="n">
        <v>0</v>
      </c>
      <c r="M2644" t="n">
        <v>0</v>
      </c>
      <c r="N2644" t="n">
        <v>0</v>
      </c>
      <c r="O2644" t="n">
        <v>0</v>
      </c>
      <c r="P2644" t="n">
        <v>0</v>
      </c>
      <c r="Q2644" t="n">
        <v>0</v>
      </c>
      <c r="R2644" s="2" t="inlineStr"/>
    </row>
    <row r="2645" ht="15" customHeight="1">
      <c r="A2645" t="inlineStr">
        <is>
          <t>A 20938-2022</t>
        </is>
      </c>
      <c r="B2645" s="1" t="n">
        <v>44701</v>
      </c>
      <c r="C2645" s="1" t="n">
        <v>45706</v>
      </c>
      <c r="D2645" t="inlineStr">
        <is>
          <t>UPPSALA LÄN</t>
        </is>
      </c>
      <c r="E2645" t="inlineStr">
        <is>
          <t>UPPSALA</t>
        </is>
      </c>
      <c r="F2645" t="inlineStr">
        <is>
          <t>Bergvik skog öst AB</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20911-2022</t>
        </is>
      </c>
      <c r="B2646" s="1" t="n">
        <v>44701</v>
      </c>
      <c r="C2646" s="1" t="n">
        <v>45706</v>
      </c>
      <c r="D2646" t="inlineStr">
        <is>
          <t>UPPSALA LÄN</t>
        </is>
      </c>
      <c r="E2646" t="inlineStr">
        <is>
          <t>TIERP</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21000-2022</t>
        </is>
      </c>
      <c r="B2647" s="1" t="n">
        <v>44701</v>
      </c>
      <c r="C2647" s="1" t="n">
        <v>45706</v>
      </c>
      <c r="D2647" t="inlineStr">
        <is>
          <t>UPPSALA LÄN</t>
        </is>
      </c>
      <c r="E2647" t="inlineStr">
        <is>
          <t>HEBY</t>
        </is>
      </c>
      <c r="F2647" t="inlineStr">
        <is>
          <t>Bergvik skog väst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20936-2022</t>
        </is>
      </c>
      <c r="B2648" s="1" t="n">
        <v>44701</v>
      </c>
      <c r="C2648" s="1" t="n">
        <v>45706</v>
      </c>
      <c r="D2648" t="inlineStr">
        <is>
          <t>UPPSALA LÄN</t>
        </is>
      </c>
      <c r="E2648" t="inlineStr">
        <is>
          <t>UPPSALA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20980-2022</t>
        </is>
      </c>
      <c r="B2649" s="1" t="n">
        <v>44702</v>
      </c>
      <c r="C2649" s="1" t="n">
        <v>45706</v>
      </c>
      <c r="D2649" t="inlineStr">
        <is>
          <t>UPPSALA LÄN</t>
        </is>
      </c>
      <c r="E2649" t="inlineStr">
        <is>
          <t>UPPSALA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21034-2022</t>
        </is>
      </c>
      <c r="B2650" s="1" t="n">
        <v>44704</v>
      </c>
      <c r="C2650" s="1" t="n">
        <v>45706</v>
      </c>
      <c r="D2650" t="inlineStr">
        <is>
          <t>UPPSALA LÄN</t>
        </is>
      </c>
      <c r="E2650" t="inlineStr">
        <is>
          <t>TIERP</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21047-2022</t>
        </is>
      </c>
      <c r="B2651" s="1" t="n">
        <v>44704</v>
      </c>
      <c r="C2651" s="1" t="n">
        <v>45706</v>
      </c>
      <c r="D2651" t="inlineStr">
        <is>
          <t>UPPSALA LÄN</t>
        </is>
      </c>
      <c r="E2651" t="inlineStr">
        <is>
          <t>TIERP</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21017-2022</t>
        </is>
      </c>
      <c r="B2652" s="1" t="n">
        <v>44704</v>
      </c>
      <c r="C2652" s="1" t="n">
        <v>45706</v>
      </c>
      <c r="D2652" t="inlineStr">
        <is>
          <t>UPPSALA LÄN</t>
        </is>
      </c>
      <c r="E2652" t="inlineStr">
        <is>
          <t>TIERP</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21032-2022</t>
        </is>
      </c>
      <c r="B2653" s="1" t="n">
        <v>44704</v>
      </c>
      <c r="C2653" s="1" t="n">
        <v>45706</v>
      </c>
      <c r="D2653" t="inlineStr">
        <is>
          <t>UPPSALA LÄN</t>
        </is>
      </c>
      <c r="E2653" t="inlineStr">
        <is>
          <t>TIERP</t>
        </is>
      </c>
      <c r="F2653" t="inlineStr">
        <is>
          <t>Bergvik skog öst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21132-2022</t>
        </is>
      </c>
      <c r="B2654" s="1" t="n">
        <v>44704</v>
      </c>
      <c r="C2654" s="1" t="n">
        <v>45706</v>
      </c>
      <c r="D2654" t="inlineStr">
        <is>
          <t>UPPSALA LÄN</t>
        </is>
      </c>
      <c r="E2654" t="inlineStr">
        <is>
          <t>TIERP</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21181-2022</t>
        </is>
      </c>
      <c r="B2655" s="1" t="n">
        <v>44704</v>
      </c>
      <c r="C2655" s="1" t="n">
        <v>45706</v>
      </c>
      <c r="D2655" t="inlineStr">
        <is>
          <t>UPPSALA LÄN</t>
        </is>
      </c>
      <c r="E2655" t="inlineStr">
        <is>
          <t>UPPSALA</t>
        </is>
      </c>
      <c r="F2655" t="inlineStr">
        <is>
          <t>Bergvik skog öst AB</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21228-2022</t>
        </is>
      </c>
      <c r="B2656" s="1" t="n">
        <v>44704</v>
      </c>
      <c r="C2656" s="1" t="n">
        <v>45706</v>
      </c>
      <c r="D2656" t="inlineStr">
        <is>
          <t>UPPSALA LÄN</t>
        </is>
      </c>
      <c r="E2656" t="inlineStr">
        <is>
          <t>UPPSALA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21332-2022</t>
        </is>
      </c>
      <c r="B2657" s="1" t="n">
        <v>44705</v>
      </c>
      <c r="C2657" s="1" t="n">
        <v>45706</v>
      </c>
      <c r="D2657" t="inlineStr">
        <is>
          <t>UPPSALA LÄN</t>
        </is>
      </c>
      <c r="E2657" t="inlineStr">
        <is>
          <t>TIERP</t>
        </is>
      </c>
      <c r="F2657" t="inlineStr">
        <is>
          <t>Övriga Aktiebolag</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21387-2022</t>
        </is>
      </c>
      <c r="B2658" s="1" t="n">
        <v>44705</v>
      </c>
      <c r="C2658" s="1" t="n">
        <v>45706</v>
      </c>
      <c r="D2658" t="inlineStr">
        <is>
          <t>UPPSALA LÄN</t>
        </is>
      </c>
      <c r="E2658" t="inlineStr">
        <is>
          <t>UPPSALA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21391-2022</t>
        </is>
      </c>
      <c r="B2659" s="1" t="n">
        <v>44705</v>
      </c>
      <c r="C2659" s="1" t="n">
        <v>45706</v>
      </c>
      <c r="D2659" t="inlineStr">
        <is>
          <t>UPPSALA LÄN</t>
        </is>
      </c>
      <c r="E2659" t="inlineStr">
        <is>
          <t>UPPSALA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21394-2022</t>
        </is>
      </c>
      <c r="B2660" s="1" t="n">
        <v>44705</v>
      </c>
      <c r="C2660" s="1" t="n">
        <v>45706</v>
      </c>
      <c r="D2660" t="inlineStr">
        <is>
          <t>UPPSALA LÄN</t>
        </is>
      </c>
      <c r="E2660" t="inlineStr">
        <is>
          <t>UPPSALA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21522-2022</t>
        </is>
      </c>
      <c r="B2661" s="1" t="n">
        <v>44706</v>
      </c>
      <c r="C2661" s="1" t="n">
        <v>45706</v>
      </c>
      <c r="D2661" t="inlineStr">
        <is>
          <t>UPPSALA LÄN</t>
        </is>
      </c>
      <c r="E2661" t="inlineStr">
        <is>
          <t>ÖSTHAMMAR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21775-2022</t>
        </is>
      </c>
      <c r="B2662" s="1" t="n">
        <v>44708</v>
      </c>
      <c r="C2662" s="1" t="n">
        <v>45706</v>
      </c>
      <c r="D2662" t="inlineStr">
        <is>
          <t>UPPSALA LÄN</t>
        </is>
      </c>
      <c r="E2662" t="inlineStr">
        <is>
          <t>TIERP</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21749-2022</t>
        </is>
      </c>
      <c r="B2663" s="1" t="n">
        <v>44708</v>
      </c>
      <c r="C2663" s="1" t="n">
        <v>45706</v>
      </c>
      <c r="D2663" t="inlineStr">
        <is>
          <t>UPPSALA LÄN</t>
        </is>
      </c>
      <c r="E2663" t="inlineStr">
        <is>
          <t>HEBY</t>
        </is>
      </c>
      <c r="F2663" t="inlineStr">
        <is>
          <t>Övriga Aktiebolag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21776-2022</t>
        </is>
      </c>
      <c r="B2664" s="1" t="n">
        <v>44708</v>
      </c>
      <c r="C2664" s="1" t="n">
        <v>45706</v>
      </c>
      <c r="D2664" t="inlineStr">
        <is>
          <t>UPPSALA LÄN</t>
        </is>
      </c>
      <c r="E2664" t="inlineStr">
        <is>
          <t>TIERP</t>
        </is>
      </c>
      <c r="F2664" t="inlineStr">
        <is>
          <t>Bergvik skog väst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21830-2022</t>
        </is>
      </c>
      <c r="B2665" s="1" t="n">
        <v>44710</v>
      </c>
      <c r="C2665" s="1" t="n">
        <v>45706</v>
      </c>
      <c r="D2665" t="inlineStr">
        <is>
          <t>UPPSALA LÄN</t>
        </is>
      </c>
      <c r="E2665" t="inlineStr">
        <is>
          <t>ÖSTHAMMAR</t>
        </is>
      </c>
      <c r="F2665" t="inlineStr">
        <is>
          <t>Bergvik skog öst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21829-2022</t>
        </is>
      </c>
      <c r="B2666" s="1" t="n">
        <v>44710</v>
      </c>
      <c r="C2666" s="1" t="n">
        <v>45706</v>
      </c>
      <c r="D2666" t="inlineStr">
        <is>
          <t>UPPSALA LÄN</t>
        </is>
      </c>
      <c r="E2666" t="inlineStr">
        <is>
          <t>ÖSTHAMMAR</t>
        </is>
      </c>
      <c r="F2666" t="inlineStr">
        <is>
          <t>Bergvik skog öst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21863-2022</t>
        </is>
      </c>
      <c r="B2667" s="1" t="n">
        <v>44711</v>
      </c>
      <c r="C2667" s="1" t="n">
        <v>45706</v>
      </c>
      <c r="D2667" t="inlineStr">
        <is>
          <t>UPPSALA LÄN</t>
        </is>
      </c>
      <c r="E2667" t="inlineStr">
        <is>
          <t>HEBY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22031-2022</t>
        </is>
      </c>
      <c r="B2668" s="1" t="n">
        <v>44711</v>
      </c>
      <c r="C2668" s="1" t="n">
        <v>45706</v>
      </c>
      <c r="D2668" t="inlineStr">
        <is>
          <t>UPPSALA LÄN</t>
        </is>
      </c>
      <c r="E2668" t="inlineStr">
        <is>
          <t>HEBY</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22021-2022</t>
        </is>
      </c>
      <c r="B2669" s="1" t="n">
        <v>44711</v>
      </c>
      <c r="C2669" s="1" t="n">
        <v>45706</v>
      </c>
      <c r="D2669" t="inlineStr">
        <is>
          <t>UPPSALA LÄN</t>
        </is>
      </c>
      <c r="E2669" t="inlineStr">
        <is>
          <t>UPPSALA</t>
        </is>
      </c>
      <c r="F2669" t="inlineStr">
        <is>
          <t>Allmännings- och besparingsskogar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22207-2022</t>
        </is>
      </c>
      <c r="B2670" s="1" t="n">
        <v>44712</v>
      </c>
      <c r="C2670" s="1" t="n">
        <v>45706</v>
      </c>
      <c r="D2670" t="inlineStr">
        <is>
          <t>UPPSALA LÄN</t>
        </is>
      </c>
      <c r="E2670" t="inlineStr">
        <is>
          <t>ÖSTHAMMAR</t>
        </is>
      </c>
      <c r="F2670" t="inlineStr">
        <is>
          <t>Bergvik skog öst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22216-2022</t>
        </is>
      </c>
      <c r="B2671" s="1" t="n">
        <v>44712</v>
      </c>
      <c r="C2671" s="1" t="n">
        <v>45706</v>
      </c>
      <c r="D2671" t="inlineStr">
        <is>
          <t>UPPSALA LÄN</t>
        </is>
      </c>
      <c r="E2671" t="inlineStr">
        <is>
          <t>HEBY</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22390-2022</t>
        </is>
      </c>
      <c r="B2672" s="1" t="n">
        <v>44713</v>
      </c>
      <c r="C2672" s="1" t="n">
        <v>45706</v>
      </c>
      <c r="D2672" t="inlineStr">
        <is>
          <t>UPPSALA LÄN</t>
        </is>
      </c>
      <c r="E2672" t="inlineStr">
        <is>
          <t>UPPSALA</t>
        </is>
      </c>
      <c r="F2672" t="inlineStr">
        <is>
          <t>Bergvik skog öst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22429-2022</t>
        </is>
      </c>
      <c r="B2673" s="1" t="n">
        <v>44713</v>
      </c>
      <c r="C2673" s="1" t="n">
        <v>45706</v>
      </c>
      <c r="D2673" t="inlineStr">
        <is>
          <t>UPPSALA LÄN</t>
        </is>
      </c>
      <c r="E2673" t="inlineStr">
        <is>
          <t>UPPSALA</t>
        </is>
      </c>
      <c r="F2673" t="inlineStr">
        <is>
          <t>Bergvik skog öst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22580-2022</t>
        </is>
      </c>
      <c r="B2674" s="1" t="n">
        <v>44713</v>
      </c>
      <c r="C2674" s="1" t="n">
        <v>45706</v>
      </c>
      <c r="D2674" t="inlineStr">
        <is>
          <t>UPPSALA LÄN</t>
        </is>
      </c>
      <c r="E2674" t="inlineStr">
        <is>
          <t>HEBY</t>
        </is>
      </c>
      <c r="F2674" t="inlineStr">
        <is>
          <t>Bergvik skog väst AB</t>
        </is>
      </c>
      <c r="G2674" t="n">
        <v>9.6</v>
      </c>
      <c r="H2674" t="n">
        <v>0</v>
      </c>
      <c r="I2674" t="n">
        <v>0</v>
      </c>
      <c r="J2674" t="n">
        <v>0</v>
      </c>
      <c r="K2674" t="n">
        <v>0</v>
      </c>
      <c r="L2674" t="n">
        <v>0</v>
      </c>
      <c r="M2674" t="n">
        <v>0</v>
      </c>
      <c r="N2674" t="n">
        <v>0</v>
      </c>
      <c r="O2674" t="n">
        <v>0</v>
      </c>
      <c r="P2674" t="n">
        <v>0</v>
      </c>
      <c r="Q2674" t="n">
        <v>0</v>
      </c>
      <c r="R2674" s="2" t="inlineStr"/>
    </row>
    <row r="2675" ht="15" customHeight="1">
      <c r="A2675" t="inlineStr">
        <is>
          <t>A 22663-2022</t>
        </is>
      </c>
      <c r="B2675" s="1" t="n">
        <v>44713</v>
      </c>
      <c r="C2675" s="1" t="n">
        <v>45706</v>
      </c>
      <c r="D2675" t="inlineStr">
        <is>
          <t>UPPSALA LÄN</t>
        </is>
      </c>
      <c r="E2675" t="inlineStr">
        <is>
          <t>TIERP</t>
        </is>
      </c>
      <c r="F2675" t="inlineStr">
        <is>
          <t>Bergvik skog väst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22592-2022</t>
        </is>
      </c>
      <c r="B2676" s="1" t="n">
        <v>44713</v>
      </c>
      <c r="C2676" s="1" t="n">
        <v>45706</v>
      </c>
      <c r="D2676" t="inlineStr">
        <is>
          <t>UPPSALA LÄN</t>
        </is>
      </c>
      <c r="E2676" t="inlineStr">
        <is>
          <t>TIERP</t>
        </is>
      </c>
      <c r="F2676" t="inlineStr">
        <is>
          <t>Bergvik skog väst AB</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22619-2022</t>
        </is>
      </c>
      <c r="B2677" s="1" t="n">
        <v>44714</v>
      </c>
      <c r="C2677" s="1" t="n">
        <v>45706</v>
      </c>
      <c r="D2677" t="inlineStr">
        <is>
          <t>UPPSALA LÄN</t>
        </is>
      </c>
      <c r="E2677" t="inlineStr">
        <is>
          <t>ÖSTHAMMAR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22645-2022</t>
        </is>
      </c>
      <c r="B2678" s="1" t="n">
        <v>44714</v>
      </c>
      <c r="C2678" s="1" t="n">
        <v>45706</v>
      </c>
      <c r="D2678" t="inlineStr">
        <is>
          <t>UPPSALA LÄN</t>
        </is>
      </c>
      <c r="E2678" t="inlineStr">
        <is>
          <t>UPPSALA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22804-2022</t>
        </is>
      </c>
      <c r="B2679" s="1" t="n">
        <v>44715</v>
      </c>
      <c r="C2679" s="1" t="n">
        <v>45706</v>
      </c>
      <c r="D2679" t="inlineStr">
        <is>
          <t>UPPSALA LÄN</t>
        </is>
      </c>
      <c r="E2679" t="inlineStr">
        <is>
          <t>ÖSTHAMMAR</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22887-2022</t>
        </is>
      </c>
      <c r="B2680" s="1" t="n">
        <v>44715</v>
      </c>
      <c r="C2680" s="1" t="n">
        <v>45706</v>
      </c>
      <c r="D2680" t="inlineStr">
        <is>
          <t>UPPSALA LÄN</t>
        </is>
      </c>
      <c r="E2680" t="inlineStr">
        <is>
          <t>ÖSTHAMMAR</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22873-2022</t>
        </is>
      </c>
      <c r="B2681" s="1" t="n">
        <v>44715</v>
      </c>
      <c r="C2681" s="1" t="n">
        <v>45706</v>
      </c>
      <c r="D2681" t="inlineStr">
        <is>
          <t>UPPSALA LÄN</t>
        </is>
      </c>
      <c r="E2681" t="inlineStr">
        <is>
          <t>HEBY</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22916-2022</t>
        </is>
      </c>
      <c r="B2682" s="1" t="n">
        <v>44715</v>
      </c>
      <c r="C2682" s="1" t="n">
        <v>45706</v>
      </c>
      <c r="D2682" t="inlineStr">
        <is>
          <t>UPPSALA LÄN</t>
        </is>
      </c>
      <c r="E2682" t="inlineStr">
        <is>
          <t>ÄLVKARLEBY</t>
        </is>
      </c>
      <c r="F2682" t="inlineStr">
        <is>
          <t>Bergvik skog väst AB</t>
        </is>
      </c>
      <c r="G2682" t="n">
        <v>9.199999999999999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22945-2022</t>
        </is>
      </c>
      <c r="B2683" s="1" t="n">
        <v>44715</v>
      </c>
      <c r="C2683" s="1" t="n">
        <v>45706</v>
      </c>
      <c r="D2683" t="inlineStr">
        <is>
          <t>UPPSALA LÄN</t>
        </is>
      </c>
      <c r="E2683" t="inlineStr">
        <is>
          <t>ÖSTHAMMAR</t>
        </is>
      </c>
      <c r="F2683" t="inlineStr">
        <is>
          <t>Bergvik skog öst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22810-2022</t>
        </is>
      </c>
      <c r="B2684" s="1" t="n">
        <v>44715</v>
      </c>
      <c r="C2684" s="1" t="n">
        <v>45706</v>
      </c>
      <c r="D2684" t="inlineStr">
        <is>
          <t>UPPSALA LÄN</t>
        </is>
      </c>
      <c r="E2684" t="inlineStr">
        <is>
          <t>TIERP</t>
        </is>
      </c>
      <c r="F2684" t="inlineStr">
        <is>
          <t>Övriga Aktiebolag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22993-2022</t>
        </is>
      </c>
      <c r="B2685" s="1" t="n">
        <v>44718</v>
      </c>
      <c r="C2685" s="1" t="n">
        <v>45706</v>
      </c>
      <c r="D2685" t="inlineStr">
        <is>
          <t>UPPSALA LÄN</t>
        </is>
      </c>
      <c r="E2685" t="inlineStr">
        <is>
          <t>ÖSTHAMMAR</t>
        </is>
      </c>
      <c r="F2685" t="inlineStr">
        <is>
          <t>Bergvik skog öst AB</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22994-2022</t>
        </is>
      </c>
      <c r="B2686" s="1" t="n">
        <v>44718</v>
      </c>
      <c r="C2686" s="1" t="n">
        <v>45706</v>
      </c>
      <c r="D2686" t="inlineStr">
        <is>
          <t>UPPSALA LÄN</t>
        </is>
      </c>
      <c r="E2686" t="inlineStr">
        <is>
          <t>ÖSTHAMMAR</t>
        </is>
      </c>
      <c r="F2686" t="inlineStr">
        <is>
          <t>Bergvik skog öst AB</t>
        </is>
      </c>
      <c r="G2686" t="n">
        <v>29.9</v>
      </c>
      <c r="H2686" t="n">
        <v>0</v>
      </c>
      <c r="I2686" t="n">
        <v>0</v>
      </c>
      <c r="J2686" t="n">
        <v>0</v>
      </c>
      <c r="K2686" t="n">
        <v>0</v>
      </c>
      <c r="L2686" t="n">
        <v>0</v>
      </c>
      <c r="M2686" t="n">
        <v>0</v>
      </c>
      <c r="N2686" t="n">
        <v>0</v>
      </c>
      <c r="O2686" t="n">
        <v>0</v>
      </c>
      <c r="P2686" t="n">
        <v>0</v>
      </c>
      <c r="Q2686" t="n">
        <v>0</v>
      </c>
      <c r="R2686" s="2" t="inlineStr"/>
    </row>
    <row r="2687" ht="15" customHeight="1">
      <c r="A2687" t="inlineStr">
        <is>
          <t>A 23250-2022</t>
        </is>
      </c>
      <c r="B2687" s="1" t="n">
        <v>44719</v>
      </c>
      <c r="C2687" s="1" t="n">
        <v>45706</v>
      </c>
      <c r="D2687" t="inlineStr">
        <is>
          <t>UPPSALA LÄN</t>
        </is>
      </c>
      <c r="E2687" t="inlineStr">
        <is>
          <t>HÅBO</t>
        </is>
      </c>
      <c r="F2687" t="inlineStr">
        <is>
          <t>Naturvårdsverket</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23307-2022</t>
        </is>
      </c>
      <c r="B2688" s="1" t="n">
        <v>44720</v>
      </c>
      <c r="C2688" s="1" t="n">
        <v>45706</v>
      </c>
      <c r="D2688" t="inlineStr">
        <is>
          <t>UPPSALA LÄN</t>
        </is>
      </c>
      <c r="E2688" t="inlineStr">
        <is>
          <t>ENKÖPING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23324-2022</t>
        </is>
      </c>
      <c r="B2689" s="1" t="n">
        <v>44720</v>
      </c>
      <c r="C2689" s="1" t="n">
        <v>45706</v>
      </c>
      <c r="D2689" t="inlineStr">
        <is>
          <t>UPPSALA LÄN</t>
        </is>
      </c>
      <c r="E2689" t="inlineStr">
        <is>
          <t>UPPSALA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23289-2022</t>
        </is>
      </c>
      <c r="B2690" s="1" t="n">
        <v>44720</v>
      </c>
      <c r="C2690" s="1" t="n">
        <v>45706</v>
      </c>
      <c r="D2690" t="inlineStr">
        <is>
          <t>UPPSALA LÄN</t>
        </is>
      </c>
      <c r="E2690" t="inlineStr">
        <is>
          <t>UPPSALA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23603-2022</t>
        </is>
      </c>
      <c r="B2691" s="1" t="n">
        <v>44721</v>
      </c>
      <c r="C2691" s="1" t="n">
        <v>45706</v>
      </c>
      <c r="D2691" t="inlineStr">
        <is>
          <t>UPPSALA LÄN</t>
        </is>
      </c>
      <c r="E2691" t="inlineStr">
        <is>
          <t>ÖSTHAMMAR</t>
        </is>
      </c>
      <c r="F2691" t="inlineStr">
        <is>
          <t>Övriga Aktiebolag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23761-2022</t>
        </is>
      </c>
      <c r="B2692" s="1" t="n">
        <v>44722</v>
      </c>
      <c r="C2692" s="1" t="n">
        <v>45706</v>
      </c>
      <c r="D2692" t="inlineStr">
        <is>
          <t>UPPSALA LÄN</t>
        </is>
      </c>
      <c r="E2692" t="inlineStr">
        <is>
          <t>UPPSALA</t>
        </is>
      </c>
      <c r="F2692" t="inlineStr">
        <is>
          <t>Bergvik skog öst AB</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23713-2022</t>
        </is>
      </c>
      <c r="B2693" s="1" t="n">
        <v>44722</v>
      </c>
      <c r="C2693" s="1" t="n">
        <v>45706</v>
      </c>
      <c r="D2693" t="inlineStr">
        <is>
          <t>UPPSALA LÄN</t>
        </is>
      </c>
      <c r="E2693" t="inlineStr">
        <is>
          <t>UPPSALA</t>
        </is>
      </c>
      <c r="F2693" t="inlineStr">
        <is>
          <t>Bergvik skog öst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23717-2022</t>
        </is>
      </c>
      <c r="B2694" s="1" t="n">
        <v>44722</v>
      </c>
      <c r="C2694" s="1" t="n">
        <v>45706</v>
      </c>
      <c r="D2694" t="inlineStr">
        <is>
          <t>UPPSALA LÄN</t>
        </is>
      </c>
      <c r="E2694" t="inlineStr">
        <is>
          <t>UPPSALA</t>
        </is>
      </c>
      <c r="F2694" t="inlineStr">
        <is>
          <t>Bergvik skog öst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23730-2022</t>
        </is>
      </c>
      <c r="B2695" s="1" t="n">
        <v>44722</v>
      </c>
      <c r="C2695" s="1" t="n">
        <v>45706</v>
      </c>
      <c r="D2695" t="inlineStr">
        <is>
          <t>UPPSALA LÄN</t>
        </is>
      </c>
      <c r="E2695" t="inlineStr">
        <is>
          <t>UPPSALA</t>
        </is>
      </c>
      <c r="F2695" t="inlineStr">
        <is>
          <t>Bergvik skog öst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23979-2022</t>
        </is>
      </c>
      <c r="B2696" s="1" t="n">
        <v>44722</v>
      </c>
      <c r="C2696" s="1" t="n">
        <v>45706</v>
      </c>
      <c r="D2696" t="inlineStr">
        <is>
          <t>UPPSALA LÄN</t>
        </is>
      </c>
      <c r="E2696" t="inlineStr">
        <is>
          <t>HEBY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23959-2022</t>
        </is>
      </c>
      <c r="B2697" s="1" t="n">
        <v>44722</v>
      </c>
      <c r="C2697" s="1" t="n">
        <v>45706</v>
      </c>
      <c r="D2697" t="inlineStr">
        <is>
          <t>UPPSALA LÄN</t>
        </is>
      </c>
      <c r="E2697" t="inlineStr">
        <is>
          <t>TIERP</t>
        </is>
      </c>
      <c r="F2697" t="inlineStr">
        <is>
          <t>Bergvik skog öst AB</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24026-2022</t>
        </is>
      </c>
      <c r="B2698" s="1" t="n">
        <v>44723</v>
      </c>
      <c r="C2698" s="1" t="n">
        <v>45706</v>
      </c>
      <c r="D2698" t="inlineStr">
        <is>
          <t>UPPSALA LÄN</t>
        </is>
      </c>
      <c r="E2698" t="inlineStr">
        <is>
          <t>HEBY</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24132-2022</t>
        </is>
      </c>
      <c r="B2699" s="1" t="n">
        <v>44725</v>
      </c>
      <c r="C2699" s="1" t="n">
        <v>45706</v>
      </c>
      <c r="D2699" t="inlineStr">
        <is>
          <t>UPPSALA LÄN</t>
        </is>
      </c>
      <c r="E2699" t="inlineStr">
        <is>
          <t>KNIVSTA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24138-2022</t>
        </is>
      </c>
      <c r="B2700" s="1" t="n">
        <v>44725</v>
      </c>
      <c r="C2700" s="1" t="n">
        <v>45706</v>
      </c>
      <c r="D2700" t="inlineStr">
        <is>
          <t>UPPSALA LÄN</t>
        </is>
      </c>
      <c r="E2700" t="inlineStr">
        <is>
          <t>ÖSTHAMMAR</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24141-2022</t>
        </is>
      </c>
      <c r="B2701" s="1" t="n">
        <v>44725</v>
      </c>
      <c r="C2701" s="1" t="n">
        <v>45706</v>
      </c>
      <c r="D2701" t="inlineStr">
        <is>
          <t>UPPSALA LÄN</t>
        </is>
      </c>
      <c r="E2701" t="inlineStr">
        <is>
          <t>ENKÖPING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24149-2022</t>
        </is>
      </c>
      <c r="B2702" s="1" t="n">
        <v>44725</v>
      </c>
      <c r="C2702" s="1" t="n">
        <v>45706</v>
      </c>
      <c r="D2702" t="inlineStr">
        <is>
          <t>UPPSALA LÄN</t>
        </is>
      </c>
      <c r="E2702" t="inlineStr">
        <is>
          <t>ÖSTHAMMAR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24181-2022</t>
        </is>
      </c>
      <c r="B2703" s="1" t="n">
        <v>44725</v>
      </c>
      <c r="C2703" s="1" t="n">
        <v>45706</v>
      </c>
      <c r="D2703" t="inlineStr">
        <is>
          <t>UPPSALA LÄN</t>
        </is>
      </c>
      <c r="E2703" t="inlineStr">
        <is>
          <t>ÖSTHAMMAR</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24264-2022</t>
        </is>
      </c>
      <c r="B2704" s="1" t="n">
        <v>44725</v>
      </c>
      <c r="C2704" s="1" t="n">
        <v>45706</v>
      </c>
      <c r="D2704" t="inlineStr">
        <is>
          <t>UPPSALA LÄN</t>
        </is>
      </c>
      <c r="E2704" t="inlineStr">
        <is>
          <t>TIERP</t>
        </is>
      </c>
      <c r="G2704" t="n">
        <v>2</v>
      </c>
      <c r="H2704" t="n">
        <v>0</v>
      </c>
      <c r="I2704" t="n">
        <v>0</v>
      </c>
      <c r="J2704" t="n">
        <v>0</v>
      </c>
      <c r="K2704" t="n">
        <v>0</v>
      </c>
      <c r="L2704" t="n">
        <v>0</v>
      </c>
      <c r="M2704" t="n">
        <v>0</v>
      </c>
      <c r="N2704" t="n">
        <v>0</v>
      </c>
      <c r="O2704" t="n">
        <v>0</v>
      </c>
      <c r="P2704" t="n">
        <v>0</v>
      </c>
      <c r="Q2704" t="n">
        <v>0</v>
      </c>
      <c r="R2704" s="2" t="inlineStr"/>
      <c r="U2704">
        <f>HYPERLINK("https://klasma.github.io/Logging_0360/knärot/A 24264-2022 karta knärot.png", "A 24264-2022")</f>
        <v/>
      </c>
      <c r="V2704">
        <f>HYPERLINK("https://klasma.github.io/Logging_0360/klagomål/A 24264-2022 FSC-klagomål.docx", "A 24264-2022")</f>
        <v/>
      </c>
      <c r="W2704">
        <f>HYPERLINK("https://klasma.github.io/Logging_0360/klagomålsmail/A 24264-2022 FSC-klagomål mail.docx", "A 24264-2022")</f>
        <v/>
      </c>
      <c r="X2704">
        <f>HYPERLINK("https://klasma.github.io/Logging_0360/tillsyn/A 24264-2022 tillsynsbegäran.docx", "A 24264-2022")</f>
        <v/>
      </c>
      <c r="Y2704">
        <f>HYPERLINK("https://klasma.github.io/Logging_0360/tillsynsmail/A 24264-2022 tillsynsbegäran mail.docx", "A 24264-2022")</f>
        <v/>
      </c>
    </row>
    <row r="2705" ht="15" customHeight="1">
      <c r="A2705" t="inlineStr">
        <is>
          <t>A 24259-2022</t>
        </is>
      </c>
      <c r="B2705" s="1" t="n">
        <v>44725</v>
      </c>
      <c r="C2705" s="1" t="n">
        <v>45706</v>
      </c>
      <c r="D2705" t="inlineStr">
        <is>
          <t>UPPSALA LÄN</t>
        </is>
      </c>
      <c r="E2705" t="inlineStr">
        <is>
          <t>ÖSTHAMMAR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24091-2022</t>
        </is>
      </c>
      <c r="B2706" s="1" t="n">
        <v>44725</v>
      </c>
      <c r="C2706" s="1" t="n">
        <v>45706</v>
      </c>
      <c r="D2706" t="inlineStr">
        <is>
          <t>UPPSALA LÄN</t>
        </is>
      </c>
      <c r="E2706" t="inlineStr">
        <is>
          <t>HEBY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24420-2022</t>
        </is>
      </c>
      <c r="B2707" s="1" t="n">
        <v>44726</v>
      </c>
      <c r="C2707" s="1" t="n">
        <v>45706</v>
      </c>
      <c r="D2707" t="inlineStr">
        <is>
          <t>UPPSALA LÄN</t>
        </is>
      </c>
      <c r="E2707" t="inlineStr">
        <is>
          <t>UPPSALA</t>
        </is>
      </c>
      <c r="F2707" t="inlineStr">
        <is>
          <t>Bergvik skog öst AB</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24447-2022</t>
        </is>
      </c>
      <c r="B2708" s="1" t="n">
        <v>44726</v>
      </c>
      <c r="C2708" s="1" t="n">
        <v>45706</v>
      </c>
      <c r="D2708" t="inlineStr">
        <is>
          <t>UPPSALA LÄN</t>
        </is>
      </c>
      <c r="E2708" t="inlineStr">
        <is>
          <t>ÖSTHAMMAR</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24367-2022</t>
        </is>
      </c>
      <c r="B2709" s="1" t="n">
        <v>44726</v>
      </c>
      <c r="C2709" s="1" t="n">
        <v>45706</v>
      </c>
      <c r="D2709" t="inlineStr">
        <is>
          <t>UPPSALA LÄN</t>
        </is>
      </c>
      <c r="E2709" t="inlineStr">
        <is>
          <t>ÖSTHAMMAR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24401-2022</t>
        </is>
      </c>
      <c r="B2710" s="1" t="n">
        <v>44726</v>
      </c>
      <c r="C2710" s="1" t="n">
        <v>45706</v>
      </c>
      <c r="D2710" t="inlineStr">
        <is>
          <t>UPPSALA LÄN</t>
        </is>
      </c>
      <c r="E2710" t="inlineStr">
        <is>
          <t>UPPSALA</t>
        </is>
      </c>
      <c r="F2710" t="inlineStr">
        <is>
          <t>Bergvik skog öst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24409-2022</t>
        </is>
      </c>
      <c r="B2711" s="1" t="n">
        <v>44726</v>
      </c>
      <c r="C2711" s="1" t="n">
        <v>45706</v>
      </c>
      <c r="D2711" t="inlineStr">
        <is>
          <t>UPPSALA LÄN</t>
        </is>
      </c>
      <c r="E2711" t="inlineStr">
        <is>
          <t>UPPSALA</t>
        </is>
      </c>
      <c r="F2711" t="inlineStr">
        <is>
          <t>Bergvik skog öst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24341-2022</t>
        </is>
      </c>
      <c r="B2712" s="1" t="n">
        <v>44726</v>
      </c>
      <c r="C2712" s="1" t="n">
        <v>45706</v>
      </c>
      <c r="D2712" t="inlineStr">
        <is>
          <t>UPPSALA LÄN</t>
        </is>
      </c>
      <c r="E2712" t="inlineStr">
        <is>
          <t>TIERP</t>
        </is>
      </c>
      <c r="F2712" t="inlineStr">
        <is>
          <t>Bergvik skog väst AB</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24817-2022</t>
        </is>
      </c>
      <c r="B2713" s="1" t="n">
        <v>44728</v>
      </c>
      <c r="C2713" s="1" t="n">
        <v>45706</v>
      </c>
      <c r="D2713" t="inlineStr">
        <is>
          <t>UPPSALA LÄN</t>
        </is>
      </c>
      <c r="E2713" t="inlineStr">
        <is>
          <t>ÖSTHAMMAR</t>
        </is>
      </c>
      <c r="F2713" t="inlineStr">
        <is>
          <t>Sveaskog</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24815-2022</t>
        </is>
      </c>
      <c r="B2714" s="1" t="n">
        <v>44728</v>
      </c>
      <c r="C2714" s="1" t="n">
        <v>45706</v>
      </c>
      <c r="D2714" t="inlineStr">
        <is>
          <t>UPPSALA LÄN</t>
        </is>
      </c>
      <c r="E2714" t="inlineStr">
        <is>
          <t>ENKÖPING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24869-2022</t>
        </is>
      </c>
      <c r="B2715" s="1" t="n">
        <v>44728</v>
      </c>
      <c r="C2715" s="1" t="n">
        <v>45706</v>
      </c>
      <c r="D2715" t="inlineStr">
        <is>
          <t>UPPSALA LÄN</t>
        </is>
      </c>
      <c r="E2715" t="inlineStr">
        <is>
          <t>TIERP</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24883-2022</t>
        </is>
      </c>
      <c r="B2716" s="1" t="n">
        <v>44728</v>
      </c>
      <c r="C2716" s="1" t="n">
        <v>45706</v>
      </c>
      <c r="D2716" t="inlineStr">
        <is>
          <t>UPPSALA LÄN</t>
        </is>
      </c>
      <c r="E2716" t="inlineStr">
        <is>
          <t>ENKÖPING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25076-2022</t>
        </is>
      </c>
      <c r="B2717" s="1" t="n">
        <v>44729</v>
      </c>
      <c r="C2717" s="1" t="n">
        <v>45706</v>
      </c>
      <c r="D2717" t="inlineStr">
        <is>
          <t>UPPSALA LÄN</t>
        </is>
      </c>
      <c r="E2717" t="inlineStr">
        <is>
          <t>ÖSTHAMMAR</t>
        </is>
      </c>
      <c r="F2717" t="inlineStr">
        <is>
          <t>Sveaskog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25178-2022</t>
        </is>
      </c>
      <c r="B2718" s="1" t="n">
        <v>44729</v>
      </c>
      <c r="C2718" s="1" t="n">
        <v>45706</v>
      </c>
      <c r="D2718" t="inlineStr">
        <is>
          <t>UPPSALA LÄN</t>
        </is>
      </c>
      <c r="E2718" t="inlineStr">
        <is>
          <t>UPPSALA</t>
        </is>
      </c>
      <c r="F2718" t="inlineStr">
        <is>
          <t>Holmen skog AB</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25120-2022</t>
        </is>
      </c>
      <c r="B2719" s="1" t="n">
        <v>44729</v>
      </c>
      <c r="C2719" s="1" t="n">
        <v>45706</v>
      </c>
      <c r="D2719" t="inlineStr">
        <is>
          <t>UPPSALA LÄN</t>
        </is>
      </c>
      <c r="E2719" t="inlineStr">
        <is>
          <t>UPPSALA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25418-2022</t>
        </is>
      </c>
      <c r="B2720" s="1" t="n">
        <v>44732</v>
      </c>
      <c r="C2720" s="1" t="n">
        <v>45706</v>
      </c>
      <c r="D2720" t="inlineStr">
        <is>
          <t>UPPSALA LÄN</t>
        </is>
      </c>
      <c r="E2720" t="inlineStr">
        <is>
          <t>ÖSTHAMMAR</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25476-2022</t>
        </is>
      </c>
      <c r="B2721" s="1" t="n">
        <v>44732</v>
      </c>
      <c r="C2721" s="1" t="n">
        <v>45706</v>
      </c>
      <c r="D2721" t="inlineStr">
        <is>
          <t>UPPSALA LÄN</t>
        </is>
      </c>
      <c r="E2721" t="inlineStr">
        <is>
          <t>TIERP</t>
        </is>
      </c>
      <c r="F2721" t="inlineStr">
        <is>
          <t>Bergvik skog öst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25419-2022</t>
        </is>
      </c>
      <c r="B2722" s="1" t="n">
        <v>44732</v>
      </c>
      <c r="C2722" s="1" t="n">
        <v>45706</v>
      </c>
      <c r="D2722" t="inlineStr">
        <is>
          <t>UPPSALA LÄN</t>
        </is>
      </c>
      <c r="E2722" t="inlineStr">
        <is>
          <t>HEBY</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25434-2022</t>
        </is>
      </c>
      <c r="B2723" s="1" t="n">
        <v>44732</v>
      </c>
      <c r="C2723" s="1" t="n">
        <v>45706</v>
      </c>
      <c r="D2723" t="inlineStr">
        <is>
          <t>UPPSALA LÄN</t>
        </is>
      </c>
      <c r="E2723" t="inlineStr">
        <is>
          <t>ÖSTHAMMAR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25759-2022</t>
        </is>
      </c>
      <c r="B2724" s="1" t="n">
        <v>44733</v>
      </c>
      <c r="C2724" s="1" t="n">
        <v>45706</v>
      </c>
      <c r="D2724" t="inlineStr">
        <is>
          <t>UPPSALA LÄN</t>
        </is>
      </c>
      <c r="E2724" t="inlineStr">
        <is>
          <t>UPPSALA</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25809-2022</t>
        </is>
      </c>
      <c r="B2725" s="1" t="n">
        <v>44733</v>
      </c>
      <c r="C2725" s="1" t="n">
        <v>45706</v>
      </c>
      <c r="D2725" t="inlineStr">
        <is>
          <t>UPPSALA LÄN</t>
        </is>
      </c>
      <c r="E2725" t="inlineStr">
        <is>
          <t>UPPSALA</t>
        </is>
      </c>
      <c r="F2725" t="inlineStr">
        <is>
          <t>Bergvik skog öst AB</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25745-2022</t>
        </is>
      </c>
      <c r="B2726" s="1" t="n">
        <v>44733</v>
      </c>
      <c r="C2726" s="1" t="n">
        <v>45706</v>
      </c>
      <c r="D2726" t="inlineStr">
        <is>
          <t>UPPSALA LÄN</t>
        </is>
      </c>
      <c r="E2726" t="inlineStr">
        <is>
          <t>UPPSALA</t>
        </is>
      </c>
      <c r="F2726" t="inlineStr">
        <is>
          <t>Bergvik skog öst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25776-2022</t>
        </is>
      </c>
      <c r="B2727" s="1" t="n">
        <v>44733</v>
      </c>
      <c r="C2727" s="1" t="n">
        <v>45706</v>
      </c>
      <c r="D2727" t="inlineStr">
        <is>
          <t>UPPSALA LÄN</t>
        </is>
      </c>
      <c r="E2727" t="inlineStr">
        <is>
          <t>UPPSALA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25917-2022</t>
        </is>
      </c>
      <c r="B2728" s="1" t="n">
        <v>44733</v>
      </c>
      <c r="C2728" s="1" t="n">
        <v>45706</v>
      </c>
      <c r="D2728" t="inlineStr">
        <is>
          <t>UPPSALA LÄN</t>
        </is>
      </c>
      <c r="E2728" t="inlineStr">
        <is>
          <t>HEBY</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26008-2022</t>
        </is>
      </c>
      <c r="B2729" s="1" t="n">
        <v>44734</v>
      </c>
      <c r="C2729" s="1" t="n">
        <v>45706</v>
      </c>
      <c r="D2729" t="inlineStr">
        <is>
          <t>UPPSALA LÄN</t>
        </is>
      </c>
      <c r="E2729" t="inlineStr">
        <is>
          <t>ÖSTHAMMAR</t>
        </is>
      </c>
      <c r="F2729" t="inlineStr">
        <is>
          <t>Bergvik skog öst AB</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25987-2022</t>
        </is>
      </c>
      <c r="B2730" s="1" t="n">
        <v>44734</v>
      </c>
      <c r="C2730" s="1" t="n">
        <v>45706</v>
      </c>
      <c r="D2730" t="inlineStr">
        <is>
          <t>UPPSALA LÄN</t>
        </is>
      </c>
      <c r="E2730" t="inlineStr">
        <is>
          <t>ÖSTHAMMAR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25998-2022</t>
        </is>
      </c>
      <c r="B2731" s="1" t="n">
        <v>44734</v>
      </c>
      <c r="C2731" s="1" t="n">
        <v>45706</v>
      </c>
      <c r="D2731" t="inlineStr">
        <is>
          <t>UPPSALA LÄN</t>
        </is>
      </c>
      <c r="E2731" t="inlineStr">
        <is>
          <t>HEBY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25983-2022</t>
        </is>
      </c>
      <c r="B2732" s="1" t="n">
        <v>44734</v>
      </c>
      <c r="C2732" s="1" t="n">
        <v>45706</v>
      </c>
      <c r="D2732" t="inlineStr">
        <is>
          <t>UPPSALA LÄN</t>
        </is>
      </c>
      <c r="E2732" t="inlineStr">
        <is>
          <t>ÖSTHAMMAR</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25995-2022</t>
        </is>
      </c>
      <c r="B2733" s="1" t="n">
        <v>44734</v>
      </c>
      <c r="C2733" s="1" t="n">
        <v>45706</v>
      </c>
      <c r="D2733" t="inlineStr">
        <is>
          <t>UPPSALA LÄN</t>
        </is>
      </c>
      <c r="E2733" t="inlineStr">
        <is>
          <t>HEBY</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26004-2022</t>
        </is>
      </c>
      <c r="B2734" s="1" t="n">
        <v>44734</v>
      </c>
      <c r="C2734" s="1" t="n">
        <v>45706</v>
      </c>
      <c r="D2734" t="inlineStr">
        <is>
          <t>UPPSALA LÄN</t>
        </is>
      </c>
      <c r="E2734" t="inlineStr">
        <is>
          <t>ÖSTHAMMAR</t>
        </is>
      </c>
      <c r="F2734" t="inlineStr">
        <is>
          <t>Bergvik skog öst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25958-2022</t>
        </is>
      </c>
      <c r="B2735" s="1" t="n">
        <v>44734</v>
      </c>
      <c r="C2735" s="1" t="n">
        <v>45706</v>
      </c>
      <c r="D2735" t="inlineStr">
        <is>
          <t>UPPSALA LÄN</t>
        </is>
      </c>
      <c r="E2735" t="inlineStr">
        <is>
          <t>TIERP</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25975-2022</t>
        </is>
      </c>
      <c r="B2736" s="1" t="n">
        <v>44734</v>
      </c>
      <c r="C2736" s="1" t="n">
        <v>45706</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25997-2022</t>
        </is>
      </c>
      <c r="B2737" s="1" t="n">
        <v>44734</v>
      </c>
      <c r="C2737" s="1" t="n">
        <v>45706</v>
      </c>
      <c r="D2737" t="inlineStr">
        <is>
          <t>UPPSALA LÄN</t>
        </is>
      </c>
      <c r="E2737" t="inlineStr">
        <is>
          <t>HEBY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26111-2022</t>
        </is>
      </c>
      <c r="B2738" s="1" t="n">
        <v>44734</v>
      </c>
      <c r="C2738" s="1" t="n">
        <v>45706</v>
      </c>
      <c r="D2738" t="inlineStr">
        <is>
          <t>UPPSALA LÄN</t>
        </is>
      </c>
      <c r="E2738" t="inlineStr">
        <is>
          <t>TIERP</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26085-2022</t>
        </is>
      </c>
      <c r="B2739" s="1" t="n">
        <v>44734</v>
      </c>
      <c r="C2739" s="1" t="n">
        <v>45706</v>
      </c>
      <c r="D2739" t="inlineStr">
        <is>
          <t>UPPSALA LÄN</t>
        </is>
      </c>
      <c r="E2739" t="inlineStr">
        <is>
          <t>HEBY</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26182-2022</t>
        </is>
      </c>
      <c r="B2740" s="1" t="n">
        <v>44735</v>
      </c>
      <c r="C2740" s="1" t="n">
        <v>45706</v>
      </c>
      <c r="D2740" t="inlineStr">
        <is>
          <t>UPPSALA LÄN</t>
        </is>
      </c>
      <c r="E2740" t="inlineStr">
        <is>
          <t>KNIVSTA</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26315-2022</t>
        </is>
      </c>
      <c r="B2741" s="1" t="n">
        <v>44735</v>
      </c>
      <c r="C2741" s="1" t="n">
        <v>45706</v>
      </c>
      <c r="D2741" t="inlineStr">
        <is>
          <t>UPPSALA LÄN</t>
        </is>
      </c>
      <c r="E2741" t="inlineStr">
        <is>
          <t>HEBY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26161-2022</t>
        </is>
      </c>
      <c r="B2742" s="1" t="n">
        <v>44735</v>
      </c>
      <c r="C2742" s="1" t="n">
        <v>45706</v>
      </c>
      <c r="D2742" t="inlineStr">
        <is>
          <t>UPPSALA LÄN</t>
        </is>
      </c>
      <c r="E2742" t="inlineStr">
        <is>
          <t>TIERP</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26239-2022</t>
        </is>
      </c>
      <c r="B2743" s="1" t="n">
        <v>44735</v>
      </c>
      <c r="C2743" s="1" t="n">
        <v>45706</v>
      </c>
      <c r="D2743" t="inlineStr">
        <is>
          <t>UPPSALA LÄN</t>
        </is>
      </c>
      <c r="E2743" t="inlineStr">
        <is>
          <t>KNIVSTA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26292-2022</t>
        </is>
      </c>
      <c r="B2744" s="1" t="n">
        <v>44735</v>
      </c>
      <c r="C2744" s="1" t="n">
        <v>45706</v>
      </c>
      <c r="D2744" t="inlineStr">
        <is>
          <t>UPPSALA LÄN</t>
        </is>
      </c>
      <c r="E2744" t="inlineStr">
        <is>
          <t>ENKÖPING</t>
        </is>
      </c>
      <c r="F2744" t="inlineStr">
        <is>
          <t>Kyrkan</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26316-2022</t>
        </is>
      </c>
      <c r="B2745" s="1" t="n">
        <v>44735</v>
      </c>
      <c r="C2745" s="1" t="n">
        <v>45706</v>
      </c>
      <c r="D2745" t="inlineStr">
        <is>
          <t>UPPSALA LÄN</t>
        </is>
      </c>
      <c r="E2745" t="inlineStr">
        <is>
          <t>HEBY</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26319-2022</t>
        </is>
      </c>
      <c r="B2746" s="1" t="n">
        <v>44735</v>
      </c>
      <c r="C2746" s="1" t="n">
        <v>45706</v>
      </c>
      <c r="D2746" t="inlineStr">
        <is>
          <t>UPPSALA LÄN</t>
        </is>
      </c>
      <c r="E2746" t="inlineStr">
        <is>
          <t>ENKÖPING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26534-2022</t>
        </is>
      </c>
      <c r="B2747" s="1" t="n">
        <v>44739</v>
      </c>
      <c r="C2747" s="1" t="n">
        <v>45706</v>
      </c>
      <c r="D2747" t="inlineStr">
        <is>
          <t>UPPSALA LÄN</t>
        </is>
      </c>
      <c r="E2747" t="inlineStr">
        <is>
          <t>ÖSTHAMMAR</t>
        </is>
      </c>
      <c r="F2747" t="inlineStr">
        <is>
          <t>Övriga statliga verk och myndigheter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26567-2022</t>
        </is>
      </c>
      <c r="B2748" s="1" t="n">
        <v>44739</v>
      </c>
      <c r="C2748" s="1" t="n">
        <v>45706</v>
      </c>
      <c r="D2748" t="inlineStr">
        <is>
          <t>UPPSALA LÄN</t>
        </is>
      </c>
      <c r="E2748" t="inlineStr">
        <is>
          <t>HEBY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26537-2022</t>
        </is>
      </c>
      <c r="B2749" s="1" t="n">
        <v>44739</v>
      </c>
      <c r="C2749" s="1" t="n">
        <v>45706</v>
      </c>
      <c r="D2749" t="inlineStr">
        <is>
          <t>UPPSALA LÄN</t>
        </is>
      </c>
      <c r="E2749" t="inlineStr">
        <is>
          <t>TIERP</t>
        </is>
      </c>
      <c r="G2749" t="n">
        <v>9.4</v>
      </c>
      <c r="H2749" t="n">
        <v>0</v>
      </c>
      <c r="I2749" t="n">
        <v>0</v>
      </c>
      <c r="J2749" t="n">
        <v>0</v>
      </c>
      <c r="K2749" t="n">
        <v>0</v>
      </c>
      <c r="L2749" t="n">
        <v>0</v>
      </c>
      <c r="M2749" t="n">
        <v>0</v>
      </c>
      <c r="N2749" t="n">
        <v>0</v>
      </c>
      <c r="O2749" t="n">
        <v>0</v>
      </c>
      <c r="P2749" t="n">
        <v>0</v>
      </c>
      <c r="Q2749" t="n">
        <v>0</v>
      </c>
      <c r="R2749" s="2" t="inlineStr"/>
    </row>
    <row r="2750" ht="15" customHeight="1">
      <c r="A2750" t="inlineStr">
        <is>
          <t>A 26656-2022</t>
        </is>
      </c>
      <c r="B2750" s="1" t="n">
        <v>44739</v>
      </c>
      <c r="C2750" s="1" t="n">
        <v>45706</v>
      </c>
      <c r="D2750" t="inlineStr">
        <is>
          <t>UPPSALA LÄN</t>
        </is>
      </c>
      <c r="E2750" t="inlineStr">
        <is>
          <t>TIERP</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26609-2022</t>
        </is>
      </c>
      <c r="B2751" s="1" t="n">
        <v>44739</v>
      </c>
      <c r="C2751" s="1" t="n">
        <v>45706</v>
      </c>
      <c r="D2751" t="inlineStr">
        <is>
          <t>UPPSALA LÄN</t>
        </is>
      </c>
      <c r="E2751" t="inlineStr">
        <is>
          <t>UPPSALA</t>
        </is>
      </c>
      <c r="F2751" t="inlineStr">
        <is>
          <t>Bergvik skog öst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26552-2022</t>
        </is>
      </c>
      <c r="B2752" s="1" t="n">
        <v>44739</v>
      </c>
      <c r="C2752" s="1" t="n">
        <v>45706</v>
      </c>
      <c r="D2752" t="inlineStr">
        <is>
          <t>UPPSALA LÄN</t>
        </is>
      </c>
      <c r="E2752" t="inlineStr">
        <is>
          <t>ÖSTHAMMAR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26561-2022</t>
        </is>
      </c>
      <c r="B2753" s="1" t="n">
        <v>44739</v>
      </c>
      <c r="C2753" s="1" t="n">
        <v>45706</v>
      </c>
      <c r="D2753" t="inlineStr">
        <is>
          <t>UPPSALA LÄN</t>
        </is>
      </c>
      <c r="E2753" t="inlineStr">
        <is>
          <t>ÖSTHAMMAR</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26815-2022</t>
        </is>
      </c>
      <c r="B2754" s="1" t="n">
        <v>44740</v>
      </c>
      <c r="C2754" s="1" t="n">
        <v>45706</v>
      </c>
      <c r="D2754" t="inlineStr">
        <is>
          <t>UPPSALA LÄN</t>
        </is>
      </c>
      <c r="E2754" t="inlineStr">
        <is>
          <t>ÄLVKARLEBY</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26958-2022</t>
        </is>
      </c>
      <c r="B2755" s="1" t="n">
        <v>44740</v>
      </c>
      <c r="C2755" s="1" t="n">
        <v>45706</v>
      </c>
      <c r="D2755" t="inlineStr">
        <is>
          <t>UPPSALA LÄN</t>
        </is>
      </c>
      <c r="E2755" t="inlineStr">
        <is>
          <t>UPPSALA</t>
        </is>
      </c>
      <c r="F2755" t="inlineStr">
        <is>
          <t>Bergvik skog öst AB</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26972-2022</t>
        </is>
      </c>
      <c r="B2756" s="1" t="n">
        <v>44740</v>
      </c>
      <c r="C2756" s="1" t="n">
        <v>45706</v>
      </c>
      <c r="D2756" t="inlineStr">
        <is>
          <t>UPPSALA LÄN</t>
        </is>
      </c>
      <c r="E2756" t="inlineStr">
        <is>
          <t>UPPSALA</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27372-2022</t>
        </is>
      </c>
      <c r="B2757" s="1" t="n">
        <v>44742</v>
      </c>
      <c r="C2757" s="1" t="n">
        <v>45706</v>
      </c>
      <c r="D2757" t="inlineStr">
        <is>
          <t>UPPSALA LÄN</t>
        </is>
      </c>
      <c r="E2757" t="inlineStr">
        <is>
          <t>UPPSALA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27369-2022</t>
        </is>
      </c>
      <c r="B2758" s="1" t="n">
        <v>44742</v>
      </c>
      <c r="C2758" s="1" t="n">
        <v>45706</v>
      </c>
      <c r="D2758" t="inlineStr">
        <is>
          <t>UPPSALA LÄN</t>
        </is>
      </c>
      <c r="E2758" t="inlineStr">
        <is>
          <t>UPPSALA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27390-2022</t>
        </is>
      </c>
      <c r="B2759" s="1" t="n">
        <v>44742</v>
      </c>
      <c r="C2759" s="1" t="n">
        <v>45706</v>
      </c>
      <c r="D2759" t="inlineStr">
        <is>
          <t>UPPSALA LÄN</t>
        </is>
      </c>
      <c r="E2759" t="inlineStr">
        <is>
          <t>UPPSALA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27397-2022</t>
        </is>
      </c>
      <c r="B2760" s="1" t="n">
        <v>44742</v>
      </c>
      <c r="C2760" s="1" t="n">
        <v>45706</v>
      </c>
      <c r="D2760" t="inlineStr">
        <is>
          <t>UPPSALA LÄN</t>
        </is>
      </c>
      <c r="E2760" t="inlineStr">
        <is>
          <t>UPPSALA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27533-2022</t>
        </is>
      </c>
      <c r="B2761" s="1" t="n">
        <v>44742</v>
      </c>
      <c r="C2761" s="1" t="n">
        <v>45706</v>
      </c>
      <c r="D2761" t="inlineStr">
        <is>
          <t>UPPSALA LÄN</t>
        </is>
      </c>
      <c r="E2761" t="inlineStr">
        <is>
          <t>TIERP</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27546-2022</t>
        </is>
      </c>
      <c r="B2762" s="1" t="n">
        <v>44742</v>
      </c>
      <c r="C2762" s="1" t="n">
        <v>45706</v>
      </c>
      <c r="D2762" t="inlineStr">
        <is>
          <t>UPPSALA LÄN</t>
        </is>
      </c>
      <c r="E2762" t="inlineStr">
        <is>
          <t>UPPSALA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27543-2022</t>
        </is>
      </c>
      <c r="B2763" s="1" t="n">
        <v>44742</v>
      </c>
      <c r="C2763" s="1" t="n">
        <v>45706</v>
      </c>
      <c r="D2763" t="inlineStr">
        <is>
          <t>UPPSALA LÄN</t>
        </is>
      </c>
      <c r="E2763" t="inlineStr">
        <is>
          <t>UPPSALA</t>
        </is>
      </c>
      <c r="F2763" t="inlineStr">
        <is>
          <t>Kyrkan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27858-2022</t>
        </is>
      </c>
      <c r="B2764" s="1" t="n">
        <v>44743</v>
      </c>
      <c r="C2764" s="1" t="n">
        <v>45706</v>
      </c>
      <c r="D2764" t="inlineStr">
        <is>
          <t>UPPSALA LÄN</t>
        </is>
      </c>
      <c r="E2764" t="inlineStr">
        <is>
          <t>HEBY</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27763-2022</t>
        </is>
      </c>
      <c r="B2765" s="1" t="n">
        <v>44743</v>
      </c>
      <c r="C2765" s="1" t="n">
        <v>45706</v>
      </c>
      <c r="D2765" t="inlineStr">
        <is>
          <t>UPPSALA LÄN</t>
        </is>
      </c>
      <c r="E2765" t="inlineStr">
        <is>
          <t>UPPSALA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27838-2022</t>
        </is>
      </c>
      <c r="B2766" s="1" t="n">
        <v>44743</v>
      </c>
      <c r="C2766" s="1" t="n">
        <v>45706</v>
      </c>
      <c r="D2766" t="inlineStr">
        <is>
          <t>UPPSALA LÄN</t>
        </is>
      </c>
      <c r="E2766" t="inlineStr">
        <is>
          <t>TIERP</t>
        </is>
      </c>
      <c r="G2766" t="n">
        <v>15.2</v>
      </c>
      <c r="H2766" t="n">
        <v>0</v>
      </c>
      <c r="I2766" t="n">
        <v>0</v>
      </c>
      <c r="J2766" t="n">
        <v>0</v>
      </c>
      <c r="K2766" t="n">
        <v>0</v>
      </c>
      <c r="L2766" t="n">
        <v>0</v>
      </c>
      <c r="M2766" t="n">
        <v>0</v>
      </c>
      <c r="N2766" t="n">
        <v>0</v>
      </c>
      <c r="O2766" t="n">
        <v>0</v>
      </c>
      <c r="P2766" t="n">
        <v>0</v>
      </c>
      <c r="Q2766" t="n">
        <v>0</v>
      </c>
      <c r="R2766" s="2" t="inlineStr"/>
    </row>
    <row r="2767" ht="15" customHeight="1">
      <c r="A2767" t="inlineStr">
        <is>
          <t>A 27860-2022</t>
        </is>
      </c>
      <c r="B2767" s="1" t="n">
        <v>44743</v>
      </c>
      <c r="C2767" s="1" t="n">
        <v>45706</v>
      </c>
      <c r="D2767" t="inlineStr">
        <is>
          <t>UPPSALA LÄN</t>
        </is>
      </c>
      <c r="E2767" t="inlineStr">
        <is>
          <t>TIERP</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27762-2022</t>
        </is>
      </c>
      <c r="B2768" s="1" t="n">
        <v>44743</v>
      </c>
      <c r="C2768" s="1" t="n">
        <v>45706</v>
      </c>
      <c r="D2768" t="inlineStr">
        <is>
          <t>UPPSALA LÄN</t>
        </is>
      </c>
      <c r="E2768" t="inlineStr">
        <is>
          <t>UPPSALA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28228-2022</t>
        </is>
      </c>
      <c r="B2769" s="1" t="n">
        <v>44746</v>
      </c>
      <c r="C2769" s="1" t="n">
        <v>45706</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28346-2022</t>
        </is>
      </c>
      <c r="B2770" s="1" t="n">
        <v>44747</v>
      </c>
      <c r="C2770" s="1" t="n">
        <v>45706</v>
      </c>
      <c r="D2770" t="inlineStr">
        <is>
          <t>UPPSALA LÄN</t>
        </is>
      </c>
      <c r="E2770" t="inlineStr">
        <is>
          <t>TIERP</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28565-2022</t>
        </is>
      </c>
      <c r="B2771" s="1" t="n">
        <v>44748</v>
      </c>
      <c r="C2771" s="1" t="n">
        <v>45706</v>
      </c>
      <c r="D2771" t="inlineStr">
        <is>
          <t>UPPSALA LÄN</t>
        </is>
      </c>
      <c r="E2771" t="inlineStr">
        <is>
          <t>TIERP</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28620-2022</t>
        </is>
      </c>
      <c r="B2772" s="1" t="n">
        <v>44748</v>
      </c>
      <c r="C2772" s="1" t="n">
        <v>45706</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28881-2022</t>
        </is>
      </c>
      <c r="B2773" s="1" t="n">
        <v>44749</v>
      </c>
      <c r="C2773" s="1" t="n">
        <v>45706</v>
      </c>
      <c r="D2773" t="inlineStr">
        <is>
          <t>UPPSALA LÄN</t>
        </is>
      </c>
      <c r="E2773" t="inlineStr">
        <is>
          <t>TIERP</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28915-2022</t>
        </is>
      </c>
      <c r="B2774" s="1" t="n">
        <v>44749</v>
      </c>
      <c r="C2774" s="1" t="n">
        <v>45706</v>
      </c>
      <c r="D2774" t="inlineStr">
        <is>
          <t>UPPSALA LÄN</t>
        </is>
      </c>
      <c r="E2774" t="inlineStr">
        <is>
          <t>TIERP</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29103-2022</t>
        </is>
      </c>
      <c r="B2775" s="1" t="n">
        <v>44750</v>
      </c>
      <c r="C2775" s="1" t="n">
        <v>45706</v>
      </c>
      <c r="D2775" t="inlineStr">
        <is>
          <t>UPPSALA LÄN</t>
        </is>
      </c>
      <c r="E2775" t="inlineStr">
        <is>
          <t>TIERP</t>
        </is>
      </c>
      <c r="F2775" t="inlineStr">
        <is>
          <t>Bergvik skog väst AB</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29116-2022</t>
        </is>
      </c>
      <c r="B2776" s="1" t="n">
        <v>44750</v>
      </c>
      <c r="C2776" s="1" t="n">
        <v>45706</v>
      </c>
      <c r="D2776" t="inlineStr">
        <is>
          <t>UPPSALA LÄN</t>
        </is>
      </c>
      <c r="E2776" t="inlineStr">
        <is>
          <t>ÄLVKARLEBY</t>
        </is>
      </c>
      <c r="F2776" t="inlineStr">
        <is>
          <t>Kommuner</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29277-2022</t>
        </is>
      </c>
      <c r="B2777" s="1" t="n">
        <v>44750</v>
      </c>
      <c r="C2777" s="1" t="n">
        <v>45706</v>
      </c>
      <c r="D2777" t="inlineStr">
        <is>
          <t>UPPSALA LÄN</t>
        </is>
      </c>
      <c r="E2777" t="inlineStr">
        <is>
          <t>UPPSALA</t>
        </is>
      </c>
      <c r="F2777" t="inlineStr">
        <is>
          <t>Bergvik skog öst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29168-2022</t>
        </is>
      </c>
      <c r="B2778" s="1" t="n">
        <v>44750</v>
      </c>
      <c r="C2778" s="1" t="n">
        <v>45706</v>
      </c>
      <c r="D2778" t="inlineStr">
        <is>
          <t>UPPSALA LÄN</t>
        </is>
      </c>
      <c r="E2778" t="inlineStr">
        <is>
          <t>ÄLVKARLEBY</t>
        </is>
      </c>
      <c r="F2778" t="inlineStr">
        <is>
          <t>Kommuner</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29156-2022</t>
        </is>
      </c>
      <c r="B2779" s="1" t="n">
        <v>44750</v>
      </c>
      <c r="C2779" s="1" t="n">
        <v>45706</v>
      </c>
      <c r="D2779" t="inlineStr">
        <is>
          <t>UPPSALA LÄN</t>
        </is>
      </c>
      <c r="E2779" t="inlineStr">
        <is>
          <t>TIERP</t>
        </is>
      </c>
      <c r="F2779" t="inlineStr">
        <is>
          <t>Övriga Aktiebolag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29134-2022</t>
        </is>
      </c>
      <c r="B2780" s="1" t="n">
        <v>44750</v>
      </c>
      <c r="C2780" s="1" t="n">
        <v>45706</v>
      </c>
      <c r="D2780" t="inlineStr">
        <is>
          <t>UPPSALA LÄN</t>
        </is>
      </c>
      <c r="E2780" t="inlineStr">
        <is>
          <t>UPPSALA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29340-2022</t>
        </is>
      </c>
      <c r="B2781" s="1" t="n">
        <v>44752</v>
      </c>
      <c r="C2781" s="1" t="n">
        <v>45706</v>
      </c>
      <c r="D2781" t="inlineStr">
        <is>
          <t>UPPSALA LÄN</t>
        </is>
      </c>
      <c r="E2781" t="inlineStr">
        <is>
          <t>HEBY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29387-2022</t>
        </is>
      </c>
      <c r="B2782" s="1" t="n">
        <v>44753</v>
      </c>
      <c r="C2782" s="1" t="n">
        <v>45706</v>
      </c>
      <c r="D2782" t="inlineStr">
        <is>
          <t>UPPSALA LÄN</t>
        </is>
      </c>
      <c r="E2782" t="inlineStr">
        <is>
          <t>HEBY</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29391-2022</t>
        </is>
      </c>
      <c r="B2783" s="1" t="n">
        <v>44753</v>
      </c>
      <c r="C2783" s="1" t="n">
        <v>45706</v>
      </c>
      <c r="D2783" t="inlineStr">
        <is>
          <t>UPPSALA LÄN</t>
        </is>
      </c>
      <c r="E2783" t="inlineStr">
        <is>
          <t>HEBY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29479-2022</t>
        </is>
      </c>
      <c r="B2784" s="1" t="n">
        <v>44753</v>
      </c>
      <c r="C2784" s="1" t="n">
        <v>45706</v>
      </c>
      <c r="D2784" t="inlineStr">
        <is>
          <t>UPPSALA LÄN</t>
        </is>
      </c>
      <c r="E2784" t="inlineStr">
        <is>
          <t>ENKÖPING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29484-2022</t>
        </is>
      </c>
      <c r="B2785" s="1" t="n">
        <v>44753</v>
      </c>
      <c r="C2785" s="1" t="n">
        <v>45706</v>
      </c>
      <c r="D2785" t="inlineStr">
        <is>
          <t>UPPSALA LÄN</t>
        </is>
      </c>
      <c r="E2785" t="inlineStr">
        <is>
          <t>ENKÖPING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29396-2022</t>
        </is>
      </c>
      <c r="B2786" s="1" t="n">
        <v>44753</v>
      </c>
      <c r="C2786" s="1" t="n">
        <v>45706</v>
      </c>
      <c r="D2786" t="inlineStr">
        <is>
          <t>UPPSALA LÄN</t>
        </is>
      </c>
      <c r="E2786" t="inlineStr">
        <is>
          <t>HEBY</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29435-2022</t>
        </is>
      </c>
      <c r="B2787" s="1" t="n">
        <v>44753</v>
      </c>
      <c r="C2787" s="1" t="n">
        <v>45706</v>
      </c>
      <c r="D2787" t="inlineStr">
        <is>
          <t>UPPSALA LÄN</t>
        </is>
      </c>
      <c r="E2787" t="inlineStr">
        <is>
          <t>ENKÖPING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29483-2022</t>
        </is>
      </c>
      <c r="B2788" s="1" t="n">
        <v>44753</v>
      </c>
      <c r="C2788" s="1" t="n">
        <v>45706</v>
      </c>
      <c r="D2788" t="inlineStr">
        <is>
          <t>UPPSALA LÄN</t>
        </is>
      </c>
      <c r="E2788" t="inlineStr">
        <is>
          <t>ENKÖPING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29475-2022</t>
        </is>
      </c>
      <c r="B2789" s="1" t="n">
        <v>44753</v>
      </c>
      <c r="C2789" s="1" t="n">
        <v>45706</v>
      </c>
      <c r="D2789" t="inlineStr">
        <is>
          <t>UPPSALA LÄN</t>
        </is>
      </c>
      <c r="E2789" t="inlineStr">
        <is>
          <t>ENKÖPING</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29425-2022</t>
        </is>
      </c>
      <c r="B2790" s="1" t="n">
        <v>44753</v>
      </c>
      <c r="C2790" s="1" t="n">
        <v>45706</v>
      </c>
      <c r="D2790" t="inlineStr">
        <is>
          <t>UPPSALA LÄN</t>
        </is>
      </c>
      <c r="E2790" t="inlineStr">
        <is>
          <t>ENKÖPING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29433-2022</t>
        </is>
      </c>
      <c r="B2791" s="1" t="n">
        <v>44753</v>
      </c>
      <c r="C2791" s="1" t="n">
        <v>45706</v>
      </c>
      <c r="D2791" t="inlineStr">
        <is>
          <t>UPPSALA LÄN</t>
        </is>
      </c>
      <c r="E2791" t="inlineStr">
        <is>
          <t>ENKÖPING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29482-2022</t>
        </is>
      </c>
      <c r="B2792" s="1" t="n">
        <v>44753</v>
      </c>
      <c r="C2792" s="1" t="n">
        <v>45706</v>
      </c>
      <c r="D2792" t="inlineStr">
        <is>
          <t>UPPSALA LÄN</t>
        </is>
      </c>
      <c r="E2792" t="inlineStr">
        <is>
          <t>ENKÖPING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29570-2022</t>
        </is>
      </c>
      <c r="B2793" s="1" t="n">
        <v>44754</v>
      </c>
      <c r="C2793" s="1" t="n">
        <v>45706</v>
      </c>
      <c r="D2793" t="inlineStr">
        <is>
          <t>UPPSALA LÄN</t>
        </is>
      </c>
      <c r="E2793" t="inlineStr">
        <is>
          <t>HEBY</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29644-2022</t>
        </is>
      </c>
      <c r="B2794" s="1" t="n">
        <v>44754</v>
      </c>
      <c r="C2794" s="1" t="n">
        <v>45706</v>
      </c>
      <c r="D2794" t="inlineStr">
        <is>
          <t>UPPSALA LÄN</t>
        </is>
      </c>
      <c r="E2794" t="inlineStr">
        <is>
          <t>HEBY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29737-2022</t>
        </is>
      </c>
      <c r="B2795" s="1" t="n">
        <v>44755</v>
      </c>
      <c r="C2795" s="1" t="n">
        <v>45706</v>
      </c>
      <c r="D2795" t="inlineStr">
        <is>
          <t>UPPSALA LÄN</t>
        </is>
      </c>
      <c r="E2795" t="inlineStr">
        <is>
          <t>TIERP</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29753-2022</t>
        </is>
      </c>
      <c r="B2796" s="1" t="n">
        <v>44755</v>
      </c>
      <c r="C2796" s="1" t="n">
        <v>45706</v>
      </c>
      <c r="D2796" t="inlineStr">
        <is>
          <t>UPPSALA LÄN</t>
        </is>
      </c>
      <c r="E2796" t="inlineStr">
        <is>
          <t>ÖSTHAMMAR</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29935-2022</t>
        </is>
      </c>
      <c r="B2797" s="1" t="n">
        <v>44756</v>
      </c>
      <c r="C2797" s="1" t="n">
        <v>45706</v>
      </c>
      <c r="D2797" t="inlineStr">
        <is>
          <t>UPPSALA LÄN</t>
        </is>
      </c>
      <c r="E2797" t="inlineStr">
        <is>
          <t>HEBY</t>
        </is>
      </c>
      <c r="F2797" t="inlineStr">
        <is>
          <t>Övriga Aktiebolag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29899-2022</t>
        </is>
      </c>
      <c r="B2798" s="1" t="n">
        <v>44756</v>
      </c>
      <c r="C2798" s="1" t="n">
        <v>45706</v>
      </c>
      <c r="D2798" t="inlineStr">
        <is>
          <t>UPPSALA LÄN</t>
        </is>
      </c>
      <c r="E2798" t="inlineStr">
        <is>
          <t>TIERP</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29981-2022</t>
        </is>
      </c>
      <c r="B2799" s="1" t="n">
        <v>44756</v>
      </c>
      <c r="C2799" s="1" t="n">
        <v>45706</v>
      </c>
      <c r="D2799" t="inlineStr">
        <is>
          <t>UPPSALA LÄN</t>
        </is>
      </c>
      <c r="E2799" t="inlineStr">
        <is>
          <t>TIERP</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29986-2022</t>
        </is>
      </c>
      <c r="B2800" s="1" t="n">
        <v>44756</v>
      </c>
      <c r="C2800" s="1" t="n">
        <v>45706</v>
      </c>
      <c r="D2800" t="inlineStr">
        <is>
          <t>UPPSALA LÄN</t>
        </is>
      </c>
      <c r="E2800" t="inlineStr">
        <is>
          <t>UPPSALA</t>
        </is>
      </c>
      <c r="F2800" t="inlineStr">
        <is>
          <t>Bergvik skog öst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29991-2022</t>
        </is>
      </c>
      <c r="B2801" s="1" t="n">
        <v>44756</v>
      </c>
      <c r="C2801" s="1" t="n">
        <v>45706</v>
      </c>
      <c r="D2801" t="inlineStr">
        <is>
          <t>UPPSALA LÄN</t>
        </is>
      </c>
      <c r="E2801" t="inlineStr">
        <is>
          <t>UPPSALA</t>
        </is>
      </c>
      <c r="F2801" t="inlineStr">
        <is>
          <t>Bergvik skog öst AB</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29983-2022</t>
        </is>
      </c>
      <c r="B2802" s="1" t="n">
        <v>44756</v>
      </c>
      <c r="C2802" s="1" t="n">
        <v>45706</v>
      </c>
      <c r="D2802" t="inlineStr">
        <is>
          <t>UPPSALA LÄN</t>
        </is>
      </c>
      <c r="E2802" t="inlineStr">
        <is>
          <t>TIERP</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30052-2022</t>
        </is>
      </c>
      <c r="B2803" s="1" t="n">
        <v>44757</v>
      </c>
      <c r="C2803" s="1" t="n">
        <v>45706</v>
      </c>
      <c r="D2803" t="inlineStr">
        <is>
          <t>UPPSALA LÄN</t>
        </is>
      </c>
      <c r="E2803" t="inlineStr">
        <is>
          <t>UPPSALA</t>
        </is>
      </c>
      <c r="F2803" t="inlineStr">
        <is>
          <t>Bergvik skog öst AB</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30212-2022</t>
        </is>
      </c>
      <c r="B2804" s="1" t="n">
        <v>44757</v>
      </c>
      <c r="C2804" s="1" t="n">
        <v>45706</v>
      </c>
      <c r="D2804" t="inlineStr">
        <is>
          <t>UPPSALA LÄN</t>
        </is>
      </c>
      <c r="E2804" t="inlineStr">
        <is>
          <t>ÖSTHAMMAR</t>
        </is>
      </c>
      <c r="F2804" t="inlineStr">
        <is>
          <t>Bergvik skog öst AB</t>
        </is>
      </c>
      <c r="G2804" t="n">
        <v>13.6</v>
      </c>
      <c r="H2804" t="n">
        <v>0</v>
      </c>
      <c r="I2804" t="n">
        <v>0</v>
      </c>
      <c r="J2804" t="n">
        <v>0</v>
      </c>
      <c r="K2804" t="n">
        <v>0</v>
      </c>
      <c r="L2804" t="n">
        <v>0</v>
      </c>
      <c r="M2804" t="n">
        <v>0</v>
      </c>
      <c r="N2804" t="n">
        <v>0</v>
      </c>
      <c r="O2804" t="n">
        <v>0</v>
      </c>
      <c r="P2804" t="n">
        <v>0</v>
      </c>
      <c r="Q2804" t="n">
        <v>0</v>
      </c>
      <c r="R2804" s="2" t="inlineStr"/>
    </row>
    <row r="2805" ht="15" customHeight="1">
      <c r="A2805" t="inlineStr">
        <is>
          <t>A 30182-2022</t>
        </is>
      </c>
      <c r="B2805" s="1" t="n">
        <v>44757</v>
      </c>
      <c r="C2805" s="1" t="n">
        <v>45706</v>
      </c>
      <c r="D2805" t="inlineStr">
        <is>
          <t>UPPSALA LÄN</t>
        </is>
      </c>
      <c r="E2805" t="inlineStr">
        <is>
          <t>HEBY</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30351-2022</t>
        </is>
      </c>
      <c r="B2806" s="1" t="n">
        <v>44757</v>
      </c>
      <c r="C2806" s="1" t="n">
        <v>45706</v>
      </c>
      <c r="D2806" t="inlineStr">
        <is>
          <t>UPPSALA LÄN</t>
        </is>
      </c>
      <c r="E2806" t="inlineStr">
        <is>
          <t>KNIVSTA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30209-2022</t>
        </is>
      </c>
      <c r="B2807" s="1" t="n">
        <v>44757</v>
      </c>
      <c r="C2807" s="1" t="n">
        <v>45706</v>
      </c>
      <c r="D2807" t="inlineStr">
        <is>
          <t>UPPSALA LÄN</t>
        </is>
      </c>
      <c r="E2807" t="inlineStr">
        <is>
          <t>ÖSTHAMMAR</t>
        </is>
      </c>
      <c r="F2807" t="inlineStr">
        <is>
          <t>Bergvik skog öst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30437-2022</t>
        </is>
      </c>
      <c r="B2808" s="1" t="n">
        <v>44761</v>
      </c>
      <c r="C2808" s="1" t="n">
        <v>45706</v>
      </c>
      <c r="D2808" t="inlineStr">
        <is>
          <t>UPPSALA LÄN</t>
        </is>
      </c>
      <c r="E2808" t="inlineStr">
        <is>
          <t>ENKÖPING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30549-2022</t>
        </is>
      </c>
      <c r="B2809" s="1" t="n">
        <v>44762</v>
      </c>
      <c r="C2809" s="1" t="n">
        <v>45706</v>
      </c>
      <c r="D2809" t="inlineStr">
        <is>
          <t>UPPSALA LÄN</t>
        </is>
      </c>
      <c r="E2809" t="inlineStr">
        <is>
          <t>ÖSTHAMMAR</t>
        </is>
      </c>
      <c r="F2809" t="inlineStr">
        <is>
          <t>Bergvik skog öst AB</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30580-2022</t>
        </is>
      </c>
      <c r="B2810" s="1" t="n">
        <v>44762</v>
      </c>
      <c r="C2810" s="1" t="n">
        <v>45706</v>
      </c>
      <c r="D2810" t="inlineStr">
        <is>
          <t>UPPSALA LÄN</t>
        </is>
      </c>
      <c r="E2810" t="inlineStr">
        <is>
          <t>UPPSALA</t>
        </is>
      </c>
      <c r="F2810" t="inlineStr">
        <is>
          <t>Bergvik skog öst AB</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30634-2022</t>
        </is>
      </c>
      <c r="B2811" s="1" t="n">
        <v>44763</v>
      </c>
      <c r="C2811" s="1" t="n">
        <v>45706</v>
      </c>
      <c r="D2811" t="inlineStr">
        <is>
          <t>UPPSALA LÄN</t>
        </is>
      </c>
      <c r="E2811" t="inlineStr">
        <is>
          <t>ENKÖPING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30783-2022</t>
        </is>
      </c>
      <c r="B2812" s="1" t="n">
        <v>44764</v>
      </c>
      <c r="C2812" s="1" t="n">
        <v>45706</v>
      </c>
      <c r="D2812" t="inlineStr">
        <is>
          <t>UPPSALA LÄN</t>
        </is>
      </c>
      <c r="E2812" t="inlineStr">
        <is>
          <t>UPPSALA</t>
        </is>
      </c>
      <c r="F2812" t="inlineStr">
        <is>
          <t>Bergvik skog öst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30775-2022</t>
        </is>
      </c>
      <c r="B2813" s="1" t="n">
        <v>44764</v>
      </c>
      <c r="C2813" s="1" t="n">
        <v>45706</v>
      </c>
      <c r="D2813" t="inlineStr">
        <is>
          <t>UPPSALA LÄN</t>
        </is>
      </c>
      <c r="E2813" t="inlineStr">
        <is>
          <t>UPPSALA</t>
        </is>
      </c>
      <c r="F2813" t="inlineStr">
        <is>
          <t>Bergvik skog öst AB</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31013-2022</t>
        </is>
      </c>
      <c r="B2814" s="1" t="n">
        <v>44768</v>
      </c>
      <c r="C2814" s="1" t="n">
        <v>45706</v>
      </c>
      <c r="D2814" t="inlineStr">
        <is>
          <t>UPPSALA LÄN</t>
        </is>
      </c>
      <c r="E2814" t="inlineStr">
        <is>
          <t>ENKÖPING</t>
        </is>
      </c>
      <c r="F2814" t="inlineStr">
        <is>
          <t>Allmännings- och besparingsskogar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31027-2022</t>
        </is>
      </c>
      <c r="B2815" s="1" t="n">
        <v>44768</v>
      </c>
      <c r="C2815" s="1" t="n">
        <v>45706</v>
      </c>
      <c r="D2815" t="inlineStr">
        <is>
          <t>UPPSALA LÄN</t>
        </is>
      </c>
      <c r="E2815" t="inlineStr">
        <is>
          <t>ÖSTHAMMAR</t>
        </is>
      </c>
      <c r="F2815" t="inlineStr">
        <is>
          <t>Bergvik skog öst AB</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31035-2022</t>
        </is>
      </c>
      <c r="B2816" s="1" t="n">
        <v>44768</v>
      </c>
      <c r="C2816" s="1" t="n">
        <v>45706</v>
      </c>
      <c r="D2816" t="inlineStr">
        <is>
          <t>UPPSALA LÄN</t>
        </is>
      </c>
      <c r="E2816" t="inlineStr">
        <is>
          <t>ÖSTHAMMAR</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31026-2022</t>
        </is>
      </c>
      <c r="B2817" s="1" t="n">
        <v>44768</v>
      </c>
      <c r="C2817" s="1" t="n">
        <v>45706</v>
      </c>
      <c r="D2817" t="inlineStr">
        <is>
          <t>UPPSALA LÄN</t>
        </is>
      </c>
      <c r="E2817" t="inlineStr">
        <is>
          <t>ÖSTHAMMAR</t>
        </is>
      </c>
      <c r="F2817" t="inlineStr">
        <is>
          <t>Bergvik skog öst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31049-2022</t>
        </is>
      </c>
      <c r="B2818" s="1" t="n">
        <v>44769</v>
      </c>
      <c r="C2818" s="1" t="n">
        <v>45706</v>
      </c>
      <c r="D2818" t="inlineStr">
        <is>
          <t>UPPSALA LÄN</t>
        </is>
      </c>
      <c r="E2818" t="inlineStr">
        <is>
          <t>HEBY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31094-2022</t>
        </is>
      </c>
      <c r="B2819" s="1" t="n">
        <v>44769</v>
      </c>
      <c r="C2819" s="1" t="n">
        <v>45706</v>
      </c>
      <c r="D2819" t="inlineStr">
        <is>
          <t>UPPSALA LÄN</t>
        </is>
      </c>
      <c r="E2819" t="inlineStr">
        <is>
          <t>TIERP</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31103-2022</t>
        </is>
      </c>
      <c r="B2820" s="1" t="n">
        <v>44769</v>
      </c>
      <c r="C2820" s="1" t="n">
        <v>45706</v>
      </c>
      <c r="D2820" t="inlineStr">
        <is>
          <t>UPPSALA LÄN</t>
        </is>
      </c>
      <c r="E2820" t="inlineStr">
        <is>
          <t>TIERP</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31113-2022</t>
        </is>
      </c>
      <c r="B2821" s="1" t="n">
        <v>44769</v>
      </c>
      <c r="C2821" s="1" t="n">
        <v>45706</v>
      </c>
      <c r="D2821" t="inlineStr">
        <is>
          <t>UPPSALA LÄN</t>
        </is>
      </c>
      <c r="E2821" t="inlineStr">
        <is>
          <t>UPPSALA</t>
        </is>
      </c>
      <c r="F2821" t="inlineStr">
        <is>
          <t>Bergvik skog öst AB</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31182-2022</t>
        </is>
      </c>
      <c r="B2822" s="1" t="n">
        <v>44770</v>
      </c>
      <c r="C2822" s="1" t="n">
        <v>45706</v>
      </c>
      <c r="D2822" t="inlineStr">
        <is>
          <t>UPPSALA LÄN</t>
        </is>
      </c>
      <c r="E2822" t="inlineStr">
        <is>
          <t>ÖSTHAMMAR</t>
        </is>
      </c>
      <c r="F2822" t="inlineStr">
        <is>
          <t>Bergvik skog öst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31140-2022</t>
        </is>
      </c>
      <c r="B2823" s="1" t="n">
        <v>44770</v>
      </c>
      <c r="C2823" s="1" t="n">
        <v>45706</v>
      </c>
      <c r="D2823" t="inlineStr">
        <is>
          <t>UPPSALA LÄN</t>
        </is>
      </c>
      <c r="E2823" t="inlineStr">
        <is>
          <t>ÖSTHAMMAR</t>
        </is>
      </c>
      <c r="F2823" t="inlineStr">
        <is>
          <t>Bergvik skog öst AB</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31137-2022</t>
        </is>
      </c>
      <c r="B2824" s="1" t="n">
        <v>44770</v>
      </c>
      <c r="C2824" s="1" t="n">
        <v>45706</v>
      </c>
      <c r="D2824" t="inlineStr">
        <is>
          <t>UPPSALA LÄN</t>
        </is>
      </c>
      <c r="E2824" t="inlineStr">
        <is>
          <t>ÖSTHAMMAR</t>
        </is>
      </c>
      <c r="F2824" t="inlineStr">
        <is>
          <t>Bergvik skog öst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31282-2022</t>
        </is>
      </c>
      <c r="B2825" s="1" t="n">
        <v>44771</v>
      </c>
      <c r="C2825" s="1" t="n">
        <v>45706</v>
      </c>
      <c r="D2825" t="inlineStr">
        <is>
          <t>UPPSALA LÄN</t>
        </is>
      </c>
      <c r="E2825" t="inlineStr">
        <is>
          <t>ÖSTHAMMAR</t>
        </is>
      </c>
      <c r="F2825" t="inlineStr">
        <is>
          <t>Bergvik skog öst AB</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31263-2022</t>
        </is>
      </c>
      <c r="B2826" s="1" t="n">
        <v>44771</v>
      </c>
      <c r="C2826" s="1" t="n">
        <v>45706</v>
      </c>
      <c r="D2826" t="inlineStr">
        <is>
          <t>UPPSALA LÄN</t>
        </is>
      </c>
      <c r="E2826" t="inlineStr">
        <is>
          <t>UPPSALA</t>
        </is>
      </c>
      <c r="F2826" t="inlineStr">
        <is>
          <t>Bergvik skog öst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31261-2022</t>
        </is>
      </c>
      <c r="B2827" s="1" t="n">
        <v>44771</v>
      </c>
      <c r="C2827" s="1" t="n">
        <v>45706</v>
      </c>
      <c r="D2827" t="inlineStr">
        <is>
          <t>UPPSALA LÄN</t>
        </is>
      </c>
      <c r="E2827" t="inlineStr">
        <is>
          <t>UPPSALA</t>
        </is>
      </c>
      <c r="F2827" t="inlineStr">
        <is>
          <t>Bergvik skog öst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31249-2022</t>
        </is>
      </c>
      <c r="B2828" s="1" t="n">
        <v>44771</v>
      </c>
      <c r="C2828" s="1" t="n">
        <v>45706</v>
      </c>
      <c r="D2828" t="inlineStr">
        <is>
          <t>UPPSALA LÄN</t>
        </is>
      </c>
      <c r="E2828" t="inlineStr">
        <is>
          <t>UPPSALA</t>
        </is>
      </c>
      <c r="F2828" t="inlineStr">
        <is>
          <t>Bergvik skog öst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31253-2022</t>
        </is>
      </c>
      <c r="B2829" s="1" t="n">
        <v>44771</v>
      </c>
      <c r="C2829" s="1" t="n">
        <v>45706</v>
      </c>
      <c r="D2829" t="inlineStr">
        <is>
          <t>UPPSALA LÄN</t>
        </is>
      </c>
      <c r="E2829" t="inlineStr">
        <is>
          <t>UPPSALA</t>
        </is>
      </c>
      <c r="F2829" t="inlineStr">
        <is>
          <t>Bergvik skog öst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31574-2022</t>
        </is>
      </c>
      <c r="B2830" s="1" t="n">
        <v>44775</v>
      </c>
      <c r="C2830" s="1" t="n">
        <v>45706</v>
      </c>
      <c r="D2830" t="inlineStr">
        <is>
          <t>UPPSALA LÄN</t>
        </is>
      </c>
      <c r="E2830" t="inlineStr">
        <is>
          <t>ÖSTHAMMAR</t>
        </is>
      </c>
      <c r="G2830" t="n">
        <v>29.7</v>
      </c>
      <c r="H2830" t="n">
        <v>0</v>
      </c>
      <c r="I2830" t="n">
        <v>0</v>
      </c>
      <c r="J2830" t="n">
        <v>0</v>
      </c>
      <c r="K2830" t="n">
        <v>0</v>
      </c>
      <c r="L2830" t="n">
        <v>0</v>
      </c>
      <c r="M2830" t="n">
        <v>0</v>
      </c>
      <c r="N2830" t="n">
        <v>0</v>
      </c>
      <c r="O2830" t="n">
        <v>0</v>
      </c>
      <c r="P2830" t="n">
        <v>0</v>
      </c>
      <c r="Q2830" t="n">
        <v>0</v>
      </c>
      <c r="R2830" s="2" t="inlineStr"/>
    </row>
    <row r="2831" ht="15" customHeight="1">
      <c r="A2831" t="inlineStr">
        <is>
          <t>A 31549-2022</t>
        </is>
      </c>
      <c r="B2831" s="1" t="n">
        <v>44775</v>
      </c>
      <c r="C2831" s="1" t="n">
        <v>45706</v>
      </c>
      <c r="D2831" t="inlineStr">
        <is>
          <t>UPPSALA LÄN</t>
        </is>
      </c>
      <c r="E2831" t="inlineStr">
        <is>
          <t>ÖSTHAMMAR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31622-2022</t>
        </is>
      </c>
      <c r="B2832" s="1" t="n">
        <v>44775</v>
      </c>
      <c r="C2832" s="1" t="n">
        <v>45706</v>
      </c>
      <c r="D2832" t="inlineStr">
        <is>
          <t>UPPSALA LÄN</t>
        </is>
      </c>
      <c r="E2832" t="inlineStr">
        <is>
          <t>ENKÖPING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31669-2022</t>
        </is>
      </c>
      <c r="B2833" s="1" t="n">
        <v>44775</v>
      </c>
      <c r="C2833" s="1" t="n">
        <v>45706</v>
      </c>
      <c r="D2833" t="inlineStr">
        <is>
          <t>UPPSALA LÄN</t>
        </is>
      </c>
      <c r="E2833" t="inlineStr">
        <is>
          <t>ÖSTHAMMAR</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31875-2022</t>
        </is>
      </c>
      <c r="B2834" s="1" t="n">
        <v>44777</v>
      </c>
      <c r="C2834" s="1" t="n">
        <v>45706</v>
      </c>
      <c r="D2834" t="inlineStr">
        <is>
          <t>UPPSALA LÄN</t>
        </is>
      </c>
      <c r="E2834" t="inlineStr">
        <is>
          <t>KNIVSTA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32090-2022</t>
        </is>
      </c>
      <c r="B2835" s="1" t="n">
        <v>44778</v>
      </c>
      <c r="C2835" s="1" t="n">
        <v>45706</v>
      </c>
      <c r="D2835" t="inlineStr">
        <is>
          <t>UPPSALA LÄN</t>
        </is>
      </c>
      <c r="E2835" t="inlineStr">
        <is>
          <t>TIERP</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32092-2022</t>
        </is>
      </c>
      <c r="B2836" s="1" t="n">
        <v>44778</v>
      </c>
      <c r="C2836" s="1" t="n">
        <v>45706</v>
      </c>
      <c r="D2836" t="inlineStr">
        <is>
          <t>UPPSALA LÄN</t>
        </is>
      </c>
      <c r="E2836" t="inlineStr">
        <is>
          <t>TIERP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32089-2022</t>
        </is>
      </c>
      <c r="B2837" s="1" t="n">
        <v>44778</v>
      </c>
      <c r="C2837" s="1" t="n">
        <v>45706</v>
      </c>
      <c r="D2837" t="inlineStr">
        <is>
          <t>UPPSALA LÄN</t>
        </is>
      </c>
      <c r="E2837" t="inlineStr">
        <is>
          <t>TIERP</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32190-2022</t>
        </is>
      </c>
      <c r="B2838" s="1" t="n">
        <v>44781</v>
      </c>
      <c r="C2838" s="1" t="n">
        <v>45706</v>
      </c>
      <c r="D2838" t="inlineStr">
        <is>
          <t>UPPSALA LÄN</t>
        </is>
      </c>
      <c r="E2838" t="inlineStr">
        <is>
          <t>TIERP</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32245-2022</t>
        </is>
      </c>
      <c r="B2839" s="1" t="n">
        <v>44781</v>
      </c>
      <c r="C2839" s="1" t="n">
        <v>45706</v>
      </c>
      <c r="D2839" t="inlineStr">
        <is>
          <t>UPPSALA LÄN</t>
        </is>
      </c>
      <c r="E2839" t="inlineStr">
        <is>
          <t>HEBY</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32326-2022</t>
        </is>
      </c>
      <c r="B2840" s="1" t="n">
        <v>44781</v>
      </c>
      <c r="C2840" s="1" t="n">
        <v>45706</v>
      </c>
      <c r="D2840" t="inlineStr">
        <is>
          <t>UPPSALA LÄN</t>
        </is>
      </c>
      <c r="E2840" t="inlineStr">
        <is>
          <t>TIERP</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32678-2022</t>
        </is>
      </c>
      <c r="B2841" s="1" t="n">
        <v>44783</v>
      </c>
      <c r="C2841" s="1" t="n">
        <v>45706</v>
      </c>
      <c r="D2841" t="inlineStr">
        <is>
          <t>UPPSALA LÄN</t>
        </is>
      </c>
      <c r="E2841" t="inlineStr">
        <is>
          <t>ÖSTHAMMAR</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32742-2022</t>
        </is>
      </c>
      <c r="B2842" s="1" t="n">
        <v>44783</v>
      </c>
      <c r="C2842" s="1" t="n">
        <v>45706</v>
      </c>
      <c r="D2842" t="inlineStr">
        <is>
          <t>UPPSALA LÄN</t>
        </is>
      </c>
      <c r="E2842" t="inlineStr">
        <is>
          <t>ÖSTHAMMAR</t>
        </is>
      </c>
      <c r="F2842" t="inlineStr">
        <is>
          <t>Bergvik skog öst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32744-2022</t>
        </is>
      </c>
      <c r="B2843" s="1" t="n">
        <v>44783</v>
      </c>
      <c r="C2843" s="1" t="n">
        <v>45706</v>
      </c>
      <c r="D2843" t="inlineStr">
        <is>
          <t>UPPSALA LÄN</t>
        </is>
      </c>
      <c r="E2843" t="inlineStr">
        <is>
          <t>ÖSTHAMMAR</t>
        </is>
      </c>
      <c r="F2843" t="inlineStr">
        <is>
          <t>Bergvik skog öst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32954-2022</t>
        </is>
      </c>
      <c r="B2844" s="1" t="n">
        <v>44784</v>
      </c>
      <c r="C2844" s="1" t="n">
        <v>45706</v>
      </c>
      <c r="D2844" t="inlineStr">
        <is>
          <t>UPPSALA LÄN</t>
        </is>
      </c>
      <c r="E2844" t="inlineStr">
        <is>
          <t>UPPSALA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33286-2022</t>
        </is>
      </c>
      <c r="B2845" s="1" t="n">
        <v>44788</v>
      </c>
      <c r="C2845" s="1" t="n">
        <v>45706</v>
      </c>
      <c r="D2845" t="inlineStr">
        <is>
          <t>UPPSALA LÄN</t>
        </is>
      </c>
      <c r="E2845" t="inlineStr">
        <is>
          <t>TIERP</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33332-2022</t>
        </is>
      </c>
      <c r="B2846" s="1" t="n">
        <v>44788</v>
      </c>
      <c r="C2846" s="1" t="n">
        <v>45706</v>
      </c>
      <c r="D2846" t="inlineStr">
        <is>
          <t>UPPSALA LÄN</t>
        </is>
      </c>
      <c r="E2846" t="inlineStr">
        <is>
          <t>UPPSALA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33284-2022</t>
        </is>
      </c>
      <c r="B2847" s="1" t="n">
        <v>44788</v>
      </c>
      <c r="C2847" s="1" t="n">
        <v>45706</v>
      </c>
      <c r="D2847" t="inlineStr">
        <is>
          <t>UPPSALA LÄN</t>
        </is>
      </c>
      <c r="E2847" t="inlineStr">
        <is>
          <t>HEBY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33379-2022</t>
        </is>
      </c>
      <c r="B2848" s="1" t="n">
        <v>44788</v>
      </c>
      <c r="C2848" s="1" t="n">
        <v>45706</v>
      </c>
      <c r="D2848" t="inlineStr">
        <is>
          <t>UPPSALA LÄN</t>
        </is>
      </c>
      <c r="E2848" t="inlineStr">
        <is>
          <t>HEBY</t>
        </is>
      </c>
      <c r="G2848" t="n">
        <v>18.8</v>
      </c>
      <c r="H2848" t="n">
        <v>0</v>
      </c>
      <c r="I2848" t="n">
        <v>0</v>
      </c>
      <c r="J2848" t="n">
        <v>0</v>
      </c>
      <c r="K2848" t="n">
        <v>0</v>
      </c>
      <c r="L2848" t="n">
        <v>0</v>
      </c>
      <c r="M2848" t="n">
        <v>0</v>
      </c>
      <c r="N2848" t="n">
        <v>0</v>
      </c>
      <c r="O2848" t="n">
        <v>0</v>
      </c>
      <c r="P2848" t="n">
        <v>0</v>
      </c>
      <c r="Q2848" t="n">
        <v>0</v>
      </c>
      <c r="R2848" s="2" t="inlineStr"/>
    </row>
    <row r="2849" ht="15" customHeight="1">
      <c r="A2849" t="inlineStr">
        <is>
          <t>A 33283-2022</t>
        </is>
      </c>
      <c r="B2849" s="1" t="n">
        <v>44788</v>
      </c>
      <c r="C2849" s="1" t="n">
        <v>45706</v>
      </c>
      <c r="D2849" t="inlineStr">
        <is>
          <t>UPPSALA LÄN</t>
        </is>
      </c>
      <c r="E2849" t="inlineStr">
        <is>
          <t>UPPSALA</t>
        </is>
      </c>
      <c r="G2849" t="n">
        <v>20.2</v>
      </c>
      <c r="H2849" t="n">
        <v>0</v>
      </c>
      <c r="I2849" t="n">
        <v>0</v>
      </c>
      <c r="J2849" t="n">
        <v>0</v>
      </c>
      <c r="K2849" t="n">
        <v>0</v>
      </c>
      <c r="L2849" t="n">
        <v>0</v>
      </c>
      <c r="M2849" t="n">
        <v>0</v>
      </c>
      <c r="N2849" t="n">
        <v>0</v>
      </c>
      <c r="O2849" t="n">
        <v>0</v>
      </c>
      <c r="P2849" t="n">
        <v>0</v>
      </c>
      <c r="Q2849" t="n">
        <v>0</v>
      </c>
      <c r="R2849" s="2" t="inlineStr"/>
    </row>
    <row r="2850" ht="15" customHeight="1">
      <c r="A2850" t="inlineStr">
        <is>
          <t>A 33619-2022</t>
        </is>
      </c>
      <c r="B2850" s="1" t="n">
        <v>44789</v>
      </c>
      <c r="C2850" s="1" t="n">
        <v>45706</v>
      </c>
      <c r="D2850" t="inlineStr">
        <is>
          <t>UPPSALA LÄN</t>
        </is>
      </c>
      <c r="E2850" t="inlineStr">
        <is>
          <t>ENKÖPING</t>
        </is>
      </c>
      <c r="F2850" t="inlineStr">
        <is>
          <t>Allmännings- och besparingsskogar</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33821-2022</t>
        </is>
      </c>
      <c r="B2851" s="1" t="n">
        <v>44790</v>
      </c>
      <c r="C2851" s="1" t="n">
        <v>45706</v>
      </c>
      <c r="D2851" t="inlineStr">
        <is>
          <t>UPPSALA LÄN</t>
        </is>
      </c>
      <c r="E2851" t="inlineStr">
        <is>
          <t>ENKÖPING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33849-2022</t>
        </is>
      </c>
      <c r="B2852" s="1" t="n">
        <v>44790</v>
      </c>
      <c r="C2852" s="1" t="n">
        <v>45706</v>
      </c>
      <c r="D2852" t="inlineStr">
        <is>
          <t>UPPSALA LÄN</t>
        </is>
      </c>
      <c r="E2852" t="inlineStr">
        <is>
          <t>HEBY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33890-2022</t>
        </is>
      </c>
      <c r="B2853" s="1" t="n">
        <v>44790</v>
      </c>
      <c r="C2853" s="1" t="n">
        <v>45706</v>
      </c>
      <c r="D2853" t="inlineStr">
        <is>
          <t>UPPSALA LÄN</t>
        </is>
      </c>
      <c r="E2853" t="inlineStr">
        <is>
          <t>TIERP</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34078-2022</t>
        </is>
      </c>
      <c r="B2854" s="1" t="n">
        <v>44791</v>
      </c>
      <c r="C2854" s="1" t="n">
        <v>45706</v>
      </c>
      <c r="D2854" t="inlineStr">
        <is>
          <t>UPPSALA LÄN</t>
        </is>
      </c>
      <c r="E2854" t="inlineStr">
        <is>
          <t>KNIVSTA</t>
        </is>
      </c>
      <c r="F2854" t="inlineStr">
        <is>
          <t>Övriga statliga verk och myndigheter</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34146-2022</t>
        </is>
      </c>
      <c r="B2855" s="1" t="n">
        <v>44791</v>
      </c>
      <c r="C2855" s="1" t="n">
        <v>45706</v>
      </c>
      <c r="D2855" t="inlineStr">
        <is>
          <t>UPPSALA LÄN</t>
        </is>
      </c>
      <c r="E2855" t="inlineStr">
        <is>
          <t>HEBY</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34061-2022</t>
        </is>
      </c>
      <c r="B2856" s="1" t="n">
        <v>44791</v>
      </c>
      <c r="C2856" s="1" t="n">
        <v>45706</v>
      </c>
      <c r="D2856" t="inlineStr">
        <is>
          <t>UPPSALA LÄN</t>
        </is>
      </c>
      <c r="E2856" t="inlineStr">
        <is>
          <t>UPPSALA</t>
        </is>
      </c>
      <c r="F2856" t="inlineStr">
        <is>
          <t>Bergvik skog öst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34202-2022</t>
        </is>
      </c>
      <c r="B2857" s="1" t="n">
        <v>44791</v>
      </c>
      <c r="C2857" s="1" t="n">
        <v>45706</v>
      </c>
      <c r="D2857" t="inlineStr">
        <is>
          <t>UPPSALA LÄN</t>
        </is>
      </c>
      <c r="E2857" t="inlineStr">
        <is>
          <t>HÅBO</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34386-2022</t>
        </is>
      </c>
      <c r="B2858" s="1" t="n">
        <v>44792</v>
      </c>
      <c r="C2858" s="1" t="n">
        <v>45706</v>
      </c>
      <c r="D2858" t="inlineStr">
        <is>
          <t>UPPSALA LÄN</t>
        </is>
      </c>
      <c r="E2858" t="inlineStr">
        <is>
          <t>HEBY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34418-2022</t>
        </is>
      </c>
      <c r="B2859" s="1" t="n">
        <v>44792</v>
      </c>
      <c r="C2859" s="1" t="n">
        <v>45706</v>
      </c>
      <c r="D2859" t="inlineStr">
        <is>
          <t>UPPSALA LÄN</t>
        </is>
      </c>
      <c r="E2859" t="inlineStr">
        <is>
          <t>ÖSTHAMMAR</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34460-2022</t>
        </is>
      </c>
      <c r="B2860" s="1" t="n">
        <v>44792</v>
      </c>
      <c r="C2860" s="1" t="n">
        <v>45706</v>
      </c>
      <c r="D2860" t="inlineStr">
        <is>
          <t>UPPSALA LÄN</t>
        </is>
      </c>
      <c r="E2860" t="inlineStr">
        <is>
          <t>TIERP</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34617-2022</t>
        </is>
      </c>
      <c r="B2861" s="1" t="n">
        <v>44795</v>
      </c>
      <c r="C2861" s="1" t="n">
        <v>45706</v>
      </c>
      <c r="D2861" t="inlineStr">
        <is>
          <t>UPPSALA LÄN</t>
        </is>
      </c>
      <c r="E2861" t="inlineStr">
        <is>
          <t>ENKÖPING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34770-2022</t>
        </is>
      </c>
      <c r="B2862" s="1" t="n">
        <v>44795</v>
      </c>
      <c r="C2862" s="1" t="n">
        <v>45706</v>
      </c>
      <c r="D2862" t="inlineStr">
        <is>
          <t>UPPSALA LÄN</t>
        </is>
      </c>
      <c r="E2862" t="inlineStr">
        <is>
          <t>UPPSALA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34742-2022</t>
        </is>
      </c>
      <c r="B2863" s="1" t="n">
        <v>44795</v>
      </c>
      <c r="C2863" s="1" t="n">
        <v>45706</v>
      </c>
      <c r="D2863" t="inlineStr">
        <is>
          <t>UPPSALA LÄN</t>
        </is>
      </c>
      <c r="E2863" t="inlineStr">
        <is>
          <t>ÖSTHAMMAR</t>
        </is>
      </c>
      <c r="F2863" t="inlineStr">
        <is>
          <t>Bergvik skog öst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34971-2022</t>
        </is>
      </c>
      <c r="B2864" s="1" t="n">
        <v>44796</v>
      </c>
      <c r="C2864" s="1" t="n">
        <v>45706</v>
      </c>
      <c r="D2864" t="inlineStr">
        <is>
          <t>UPPSALA LÄN</t>
        </is>
      </c>
      <c r="E2864" t="inlineStr">
        <is>
          <t>ÖSTHAMMAR</t>
        </is>
      </c>
      <c r="F2864" t="inlineStr">
        <is>
          <t>Bergvik skog öst AB</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34994-2022</t>
        </is>
      </c>
      <c r="B2865" s="1" t="n">
        <v>44796</v>
      </c>
      <c r="C2865" s="1" t="n">
        <v>45706</v>
      </c>
      <c r="D2865" t="inlineStr">
        <is>
          <t>UPPSALA LÄN</t>
        </is>
      </c>
      <c r="E2865" t="inlineStr">
        <is>
          <t>ÖSTHAMMAR</t>
        </is>
      </c>
      <c r="F2865" t="inlineStr">
        <is>
          <t>Bergvik skog öst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35212-2022</t>
        </is>
      </c>
      <c r="B2866" s="1" t="n">
        <v>44797</v>
      </c>
      <c r="C2866" s="1" t="n">
        <v>45706</v>
      </c>
      <c r="D2866" t="inlineStr">
        <is>
          <t>UPPSALA LÄN</t>
        </is>
      </c>
      <c r="E2866" t="inlineStr">
        <is>
          <t>UPPSALA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35411-2022</t>
        </is>
      </c>
      <c r="B2867" s="1" t="n">
        <v>44798</v>
      </c>
      <c r="C2867" s="1" t="n">
        <v>45706</v>
      </c>
      <c r="D2867" t="inlineStr">
        <is>
          <t>UPPSALA LÄN</t>
        </is>
      </c>
      <c r="E2867" t="inlineStr">
        <is>
          <t>UPPSALA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35539-2022</t>
        </is>
      </c>
      <c r="B2868" s="1" t="n">
        <v>44799</v>
      </c>
      <c r="C2868" s="1" t="n">
        <v>45706</v>
      </c>
      <c r="D2868" t="inlineStr">
        <is>
          <t>UPPSALA LÄN</t>
        </is>
      </c>
      <c r="E2868" t="inlineStr">
        <is>
          <t>UPPSALA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35544-2022</t>
        </is>
      </c>
      <c r="B2869" s="1" t="n">
        <v>44799</v>
      </c>
      <c r="C2869" s="1" t="n">
        <v>45706</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35542-2022</t>
        </is>
      </c>
      <c r="B2870" s="1" t="n">
        <v>44799</v>
      </c>
      <c r="C2870" s="1" t="n">
        <v>45706</v>
      </c>
      <c r="D2870" t="inlineStr">
        <is>
          <t>UPPSALA LÄN</t>
        </is>
      </c>
      <c r="E2870" t="inlineStr">
        <is>
          <t>UPPSALA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35868-2022</t>
        </is>
      </c>
      <c r="B2871" s="1" t="n">
        <v>44802</v>
      </c>
      <c r="C2871" s="1" t="n">
        <v>45706</v>
      </c>
      <c r="D2871" t="inlineStr">
        <is>
          <t>UPPSALA LÄN</t>
        </is>
      </c>
      <c r="E2871" t="inlineStr">
        <is>
          <t>HEBY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35875-2022</t>
        </is>
      </c>
      <c r="B2872" s="1" t="n">
        <v>44802</v>
      </c>
      <c r="C2872" s="1" t="n">
        <v>45706</v>
      </c>
      <c r="D2872" t="inlineStr">
        <is>
          <t>UPPSALA LÄN</t>
        </is>
      </c>
      <c r="E2872" t="inlineStr">
        <is>
          <t>HEBY</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35865-2022</t>
        </is>
      </c>
      <c r="B2873" s="1" t="n">
        <v>44802</v>
      </c>
      <c r="C2873" s="1" t="n">
        <v>45706</v>
      </c>
      <c r="D2873" t="inlineStr">
        <is>
          <t>UPPSALA LÄN</t>
        </is>
      </c>
      <c r="E2873" t="inlineStr">
        <is>
          <t>HEBY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36216-2022</t>
        </is>
      </c>
      <c r="B2874" s="1" t="n">
        <v>44803</v>
      </c>
      <c r="C2874" s="1" t="n">
        <v>45706</v>
      </c>
      <c r="D2874" t="inlineStr">
        <is>
          <t>UPPSALA LÄN</t>
        </is>
      </c>
      <c r="E2874" t="inlineStr">
        <is>
          <t>ÄLVKARLEBY</t>
        </is>
      </c>
      <c r="F2874" t="inlineStr">
        <is>
          <t>Bergvik skog väst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36217-2022</t>
        </is>
      </c>
      <c r="B2875" s="1" t="n">
        <v>44803</v>
      </c>
      <c r="C2875" s="1" t="n">
        <v>45706</v>
      </c>
      <c r="D2875" t="inlineStr">
        <is>
          <t>UPPSALA LÄN</t>
        </is>
      </c>
      <c r="E2875" t="inlineStr">
        <is>
          <t>ÄLVKARLEBY</t>
        </is>
      </c>
      <c r="F2875" t="inlineStr">
        <is>
          <t>Bergvik skog väst AB</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36282-2022</t>
        </is>
      </c>
      <c r="B2876" s="1" t="n">
        <v>44803</v>
      </c>
      <c r="C2876" s="1" t="n">
        <v>45706</v>
      </c>
      <c r="D2876" t="inlineStr">
        <is>
          <t>UPPSALA LÄN</t>
        </is>
      </c>
      <c r="E2876" t="inlineStr">
        <is>
          <t>ÄLVKARLEBY</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36343-2022</t>
        </is>
      </c>
      <c r="B2877" s="1" t="n">
        <v>44803</v>
      </c>
      <c r="C2877" s="1" t="n">
        <v>45706</v>
      </c>
      <c r="D2877" t="inlineStr">
        <is>
          <t>UPPSALA LÄN</t>
        </is>
      </c>
      <c r="E2877" t="inlineStr">
        <is>
          <t>ÖSTHAMMAR</t>
        </is>
      </c>
      <c r="F2877" t="inlineStr">
        <is>
          <t>Bergvik skog öst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36549-2022</t>
        </is>
      </c>
      <c r="B2878" s="1" t="n">
        <v>44804</v>
      </c>
      <c r="C2878" s="1" t="n">
        <v>45706</v>
      </c>
      <c r="D2878" t="inlineStr">
        <is>
          <t>UPPSALA LÄN</t>
        </is>
      </c>
      <c r="E2878" t="inlineStr">
        <is>
          <t>TIERP</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36561-2022</t>
        </is>
      </c>
      <c r="B2879" s="1" t="n">
        <v>44804</v>
      </c>
      <c r="C2879" s="1" t="n">
        <v>45706</v>
      </c>
      <c r="D2879" t="inlineStr">
        <is>
          <t>UPPSALA LÄN</t>
        </is>
      </c>
      <c r="E2879" t="inlineStr">
        <is>
          <t>TIERP</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36873-2022</t>
        </is>
      </c>
      <c r="B2880" s="1" t="n">
        <v>44805</v>
      </c>
      <c r="C2880" s="1" t="n">
        <v>45706</v>
      </c>
      <c r="D2880" t="inlineStr">
        <is>
          <t>UPPSALA LÄN</t>
        </is>
      </c>
      <c r="E2880" t="inlineStr">
        <is>
          <t>ÖSTHAMMAR</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37187-2022</t>
        </is>
      </c>
      <c r="B2881" s="1" t="n">
        <v>44806</v>
      </c>
      <c r="C2881" s="1" t="n">
        <v>45706</v>
      </c>
      <c r="D2881" t="inlineStr">
        <is>
          <t>UPPSALA LÄN</t>
        </is>
      </c>
      <c r="E2881" t="inlineStr">
        <is>
          <t>UPPSALA</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37316-2022</t>
        </is>
      </c>
      <c r="B2882" s="1" t="n">
        <v>44806</v>
      </c>
      <c r="C2882" s="1" t="n">
        <v>45706</v>
      </c>
      <c r="D2882" t="inlineStr">
        <is>
          <t>UPPSALA LÄN</t>
        </is>
      </c>
      <c r="E2882" t="inlineStr">
        <is>
          <t>UPPSALA</t>
        </is>
      </c>
      <c r="G2882" t="n">
        <v>10.6</v>
      </c>
      <c r="H2882" t="n">
        <v>0</v>
      </c>
      <c r="I2882" t="n">
        <v>0</v>
      </c>
      <c r="J2882" t="n">
        <v>0</v>
      </c>
      <c r="K2882" t="n">
        <v>0</v>
      </c>
      <c r="L2882" t="n">
        <v>0</v>
      </c>
      <c r="M2882" t="n">
        <v>0</v>
      </c>
      <c r="N2882" t="n">
        <v>0</v>
      </c>
      <c r="O2882" t="n">
        <v>0</v>
      </c>
      <c r="P2882" t="n">
        <v>0</v>
      </c>
      <c r="Q2882" t="n">
        <v>0</v>
      </c>
      <c r="R2882" s="2" t="inlineStr"/>
    </row>
    <row r="2883" ht="15" customHeight="1">
      <c r="A2883" t="inlineStr">
        <is>
          <t>A 37188-2022</t>
        </is>
      </c>
      <c r="B2883" s="1" t="n">
        <v>44806</v>
      </c>
      <c r="C2883" s="1" t="n">
        <v>45706</v>
      </c>
      <c r="D2883" t="inlineStr">
        <is>
          <t>UPPSALA LÄN</t>
        </is>
      </c>
      <c r="E2883" t="inlineStr">
        <is>
          <t>UPPSALA</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37410-2022</t>
        </is>
      </c>
      <c r="B2884" s="1" t="n">
        <v>44809</v>
      </c>
      <c r="C2884" s="1" t="n">
        <v>45706</v>
      </c>
      <c r="D2884" t="inlineStr">
        <is>
          <t>UPPSALA LÄN</t>
        </is>
      </c>
      <c r="E2884" t="inlineStr">
        <is>
          <t>ENKÖPING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37414-2022</t>
        </is>
      </c>
      <c r="B2885" s="1" t="n">
        <v>44809</v>
      </c>
      <c r="C2885" s="1" t="n">
        <v>45706</v>
      </c>
      <c r="D2885" t="inlineStr">
        <is>
          <t>UPPSALA LÄN</t>
        </is>
      </c>
      <c r="E2885" t="inlineStr">
        <is>
          <t>ENKÖPING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37545-2022</t>
        </is>
      </c>
      <c r="B2886" s="1" t="n">
        <v>44809</v>
      </c>
      <c r="C2886" s="1" t="n">
        <v>45706</v>
      </c>
      <c r="D2886" t="inlineStr">
        <is>
          <t>UPPSALA LÄN</t>
        </is>
      </c>
      <c r="E2886" t="inlineStr">
        <is>
          <t>ÖSTHAMMAR</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37588-2022</t>
        </is>
      </c>
      <c r="B2887" s="1" t="n">
        <v>44810</v>
      </c>
      <c r="C2887" s="1" t="n">
        <v>45706</v>
      </c>
      <c r="D2887" t="inlineStr">
        <is>
          <t>UPPSALA LÄN</t>
        </is>
      </c>
      <c r="E2887" t="inlineStr">
        <is>
          <t>UPPSALA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37570-2022</t>
        </is>
      </c>
      <c r="B2888" s="1" t="n">
        <v>44809</v>
      </c>
      <c r="C2888" s="1" t="n">
        <v>45706</v>
      </c>
      <c r="D2888" t="inlineStr">
        <is>
          <t>UPPSALA LÄN</t>
        </is>
      </c>
      <c r="E2888" t="inlineStr">
        <is>
          <t>ÖSTHAMMAR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37761-2022</t>
        </is>
      </c>
      <c r="B2889" s="1" t="n">
        <v>44810</v>
      </c>
      <c r="C2889" s="1" t="n">
        <v>45706</v>
      </c>
      <c r="D2889" t="inlineStr">
        <is>
          <t>UPPSALA LÄN</t>
        </is>
      </c>
      <c r="E2889" t="inlineStr">
        <is>
          <t>UPPSALA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37670-2022</t>
        </is>
      </c>
      <c r="B2890" s="1" t="n">
        <v>44810</v>
      </c>
      <c r="C2890" s="1" t="n">
        <v>45706</v>
      </c>
      <c r="D2890" t="inlineStr">
        <is>
          <t>UPPSALA LÄN</t>
        </is>
      </c>
      <c r="E2890" t="inlineStr">
        <is>
          <t>UPPSALA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37766-2022</t>
        </is>
      </c>
      <c r="B2891" s="1" t="n">
        <v>44810</v>
      </c>
      <c r="C2891" s="1" t="n">
        <v>45706</v>
      </c>
      <c r="D2891" t="inlineStr">
        <is>
          <t>UPPSALA LÄN</t>
        </is>
      </c>
      <c r="E2891" t="inlineStr">
        <is>
          <t>HEBY</t>
        </is>
      </c>
      <c r="F2891" t="inlineStr">
        <is>
          <t>Bergvik skog väst AB</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37782-2022</t>
        </is>
      </c>
      <c r="B2892" s="1" t="n">
        <v>44810</v>
      </c>
      <c r="C2892" s="1" t="n">
        <v>45706</v>
      </c>
      <c r="D2892" t="inlineStr">
        <is>
          <t>UPPSALA LÄN</t>
        </is>
      </c>
      <c r="E2892" t="inlineStr">
        <is>
          <t>HEBY</t>
        </is>
      </c>
      <c r="F2892" t="inlineStr">
        <is>
          <t>Bergvik skog väst AB</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37781-2022</t>
        </is>
      </c>
      <c r="B2893" s="1" t="n">
        <v>44810</v>
      </c>
      <c r="C2893" s="1" t="n">
        <v>45706</v>
      </c>
      <c r="D2893" t="inlineStr">
        <is>
          <t>UPPSALA LÄN</t>
        </is>
      </c>
      <c r="E2893" t="inlineStr">
        <is>
          <t>HEBY</t>
        </is>
      </c>
      <c r="F2893" t="inlineStr">
        <is>
          <t>Bergvik skog väst AB</t>
        </is>
      </c>
      <c r="G2893" t="n">
        <v>21.6</v>
      </c>
      <c r="H2893" t="n">
        <v>0</v>
      </c>
      <c r="I2893" t="n">
        <v>0</v>
      </c>
      <c r="J2893" t="n">
        <v>0</v>
      </c>
      <c r="K2893" t="n">
        <v>0</v>
      </c>
      <c r="L2893" t="n">
        <v>0</v>
      </c>
      <c r="M2893" t="n">
        <v>0</v>
      </c>
      <c r="N2893" t="n">
        <v>0</v>
      </c>
      <c r="O2893" t="n">
        <v>0</v>
      </c>
      <c r="P2893" t="n">
        <v>0</v>
      </c>
      <c r="Q2893" t="n">
        <v>0</v>
      </c>
      <c r="R2893" s="2" t="inlineStr"/>
    </row>
    <row r="2894" ht="15" customHeight="1">
      <c r="A2894" t="inlineStr">
        <is>
          <t>A 38005-2022</t>
        </is>
      </c>
      <c r="B2894" s="1" t="n">
        <v>44810</v>
      </c>
      <c r="C2894" s="1" t="n">
        <v>45706</v>
      </c>
      <c r="D2894" t="inlineStr">
        <is>
          <t>UPPSALA LÄN</t>
        </is>
      </c>
      <c r="E2894" t="inlineStr">
        <is>
          <t>ENKÖPING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37813-2022</t>
        </is>
      </c>
      <c r="B2895" s="1" t="n">
        <v>44810</v>
      </c>
      <c r="C2895" s="1" t="n">
        <v>45706</v>
      </c>
      <c r="D2895" t="inlineStr">
        <is>
          <t>UPPSALA LÄN</t>
        </is>
      </c>
      <c r="E2895" t="inlineStr">
        <is>
          <t>ÖSTHAMMAR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37812-2022</t>
        </is>
      </c>
      <c r="B2896" s="1" t="n">
        <v>44810</v>
      </c>
      <c r="C2896" s="1" t="n">
        <v>45706</v>
      </c>
      <c r="D2896" t="inlineStr">
        <is>
          <t>UPPSALA LÄN</t>
        </is>
      </c>
      <c r="E2896" t="inlineStr">
        <is>
          <t>ÖSTHAMMAR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37938-2022</t>
        </is>
      </c>
      <c r="B2897" s="1" t="n">
        <v>44811</v>
      </c>
      <c r="C2897" s="1" t="n">
        <v>45706</v>
      </c>
      <c r="D2897" t="inlineStr">
        <is>
          <t>UPPSALA LÄN</t>
        </is>
      </c>
      <c r="E2897" t="inlineStr">
        <is>
          <t>TIERP</t>
        </is>
      </c>
      <c r="F2897" t="inlineStr">
        <is>
          <t>Bergvik skog öst AB</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38085-2022</t>
        </is>
      </c>
      <c r="B2898" s="1" t="n">
        <v>44811</v>
      </c>
      <c r="C2898" s="1" t="n">
        <v>45706</v>
      </c>
      <c r="D2898" t="inlineStr">
        <is>
          <t>UPPSALA LÄN</t>
        </is>
      </c>
      <c r="E2898" t="inlineStr">
        <is>
          <t>HEBY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38078-2022</t>
        </is>
      </c>
      <c r="B2899" s="1" t="n">
        <v>44811</v>
      </c>
      <c r="C2899" s="1" t="n">
        <v>45706</v>
      </c>
      <c r="D2899" t="inlineStr">
        <is>
          <t>UPPSALA LÄN</t>
        </is>
      </c>
      <c r="E2899" t="inlineStr">
        <is>
          <t>UPPSALA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38501-2022</t>
        </is>
      </c>
      <c r="B2900" s="1" t="n">
        <v>44813</v>
      </c>
      <c r="C2900" s="1" t="n">
        <v>45706</v>
      </c>
      <c r="D2900" t="inlineStr">
        <is>
          <t>UPPSALA LÄN</t>
        </is>
      </c>
      <c r="E2900" t="inlineStr">
        <is>
          <t>ÖSTHAMMAR</t>
        </is>
      </c>
      <c r="F2900" t="inlineStr">
        <is>
          <t>Bergvik skog öst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38524-2022</t>
        </is>
      </c>
      <c r="B2901" s="1" t="n">
        <v>44813</v>
      </c>
      <c r="C2901" s="1" t="n">
        <v>45706</v>
      </c>
      <c r="D2901" t="inlineStr">
        <is>
          <t>UPPSALA LÄN</t>
        </is>
      </c>
      <c r="E2901" t="inlineStr">
        <is>
          <t>UPPSALA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38702-2022</t>
        </is>
      </c>
      <c r="B2902" s="1" t="n">
        <v>44814</v>
      </c>
      <c r="C2902" s="1" t="n">
        <v>45706</v>
      </c>
      <c r="D2902" t="inlineStr">
        <is>
          <t>UPPSALA LÄN</t>
        </is>
      </c>
      <c r="E2902" t="inlineStr">
        <is>
          <t>ÖSTHAMMAR</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38775-2022</t>
        </is>
      </c>
      <c r="B2903" s="1" t="n">
        <v>44816</v>
      </c>
      <c r="C2903" s="1" t="n">
        <v>45706</v>
      </c>
      <c r="D2903" t="inlineStr">
        <is>
          <t>UPPSALA LÄN</t>
        </is>
      </c>
      <c r="E2903" t="inlineStr">
        <is>
          <t>ENKÖPING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38865-2022</t>
        </is>
      </c>
      <c r="B2904" s="1" t="n">
        <v>44816</v>
      </c>
      <c r="C2904" s="1" t="n">
        <v>45706</v>
      </c>
      <c r="D2904" t="inlineStr">
        <is>
          <t>UPPSALA LÄN</t>
        </is>
      </c>
      <c r="E2904" t="inlineStr">
        <is>
          <t>UPPSALA</t>
        </is>
      </c>
      <c r="G2904" t="n">
        <v>14.6</v>
      </c>
      <c r="H2904" t="n">
        <v>0</v>
      </c>
      <c r="I2904" t="n">
        <v>0</v>
      </c>
      <c r="J2904" t="n">
        <v>0</v>
      </c>
      <c r="K2904" t="n">
        <v>0</v>
      </c>
      <c r="L2904" t="n">
        <v>0</v>
      </c>
      <c r="M2904" t="n">
        <v>0</v>
      </c>
      <c r="N2904" t="n">
        <v>0</v>
      </c>
      <c r="O2904" t="n">
        <v>0</v>
      </c>
      <c r="P2904" t="n">
        <v>0</v>
      </c>
      <c r="Q2904" t="n">
        <v>0</v>
      </c>
      <c r="R2904" s="2" t="inlineStr"/>
    </row>
    <row r="2905" ht="15" customHeight="1">
      <c r="A2905" t="inlineStr">
        <is>
          <t>A 38892-2022</t>
        </is>
      </c>
      <c r="B2905" s="1" t="n">
        <v>44816</v>
      </c>
      <c r="C2905" s="1" t="n">
        <v>45706</v>
      </c>
      <c r="D2905" t="inlineStr">
        <is>
          <t>UPPSALA LÄN</t>
        </is>
      </c>
      <c r="E2905" t="inlineStr">
        <is>
          <t>UPPSALA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38909-2022</t>
        </is>
      </c>
      <c r="B2906" s="1" t="n">
        <v>44816</v>
      </c>
      <c r="C2906" s="1" t="n">
        <v>45706</v>
      </c>
      <c r="D2906" t="inlineStr">
        <is>
          <t>UPPSALA LÄN</t>
        </is>
      </c>
      <c r="E2906" t="inlineStr">
        <is>
          <t>UPPSALA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39148-2022</t>
        </is>
      </c>
      <c r="B2907" s="1" t="n">
        <v>44816</v>
      </c>
      <c r="C2907" s="1" t="n">
        <v>45706</v>
      </c>
      <c r="D2907" t="inlineStr">
        <is>
          <t>UPPSALA LÄN</t>
        </is>
      </c>
      <c r="E2907" t="inlineStr">
        <is>
          <t>UPPSALA</t>
        </is>
      </c>
      <c r="F2907" t="inlineStr">
        <is>
          <t>Övriga statliga verk och myndigheter</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39144-2022</t>
        </is>
      </c>
      <c r="B2908" s="1" t="n">
        <v>44816</v>
      </c>
      <c r="C2908" s="1" t="n">
        <v>45706</v>
      </c>
      <c r="D2908" t="inlineStr">
        <is>
          <t>UPPSALA LÄN</t>
        </is>
      </c>
      <c r="E2908" t="inlineStr">
        <is>
          <t>UPPSALA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39454-2022</t>
        </is>
      </c>
      <c r="B2909" s="1" t="n">
        <v>44817</v>
      </c>
      <c r="C2909" s="1" t="n">
        <v>45706</v>
      </c>
      <c r="D2909" t="inlineStr">
        <is>
          <t>UPPSALA LÄN</t>
        </is>
      </c>
      <c r="E2909" t="inlineStr">
        <is>
          <t>UPPSALA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39608-2022</t>
        </is>
      </c>
      <c r="B2910" s="1" t="n">
        <v>44817</v>
      </c>
      <c r="C2910" s="1" t="n">
        <v>45706</v>
      </c>
      <c r="D2910" t="inlineStr">
        <is>
          <t>UPPSALA LÄN</t>
        </is>
      </c>
      <c r="E2910" t="inlineStr">
        <is>
          <t>UPPSALA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39599-2022</t>
        </is>
      </c>
      <c r="B2911" s="1" t="n">
        <v>44817</v>
      </c>
      <c r="C2911" s="1" t="n">
        <v>45706</v>
      </c>
      <c r="D2911" t="inlineStr">
        <is>
          <t>UPPSALA LÄN</t>
        </is>
      </c>
      <c r="E2911" t="inlineStr">
        <is>
          <t>UPPSALA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39480-2022</t>
        </is>
      </c>
      <c r="B2912" s="1" t="n">
        <v>44818</v>
      </c>
      <c r="C2912" s="1" t="n">
        <v>45706</v>
      </c>
      <c r="D2912" t="inlineStr">
        <is>
          <t>UPPSALA LÄN</t>
        </is>
      </c>
      <c r="E2912" t="inlineStr">
        <is>
          <t>ÖSTHAMMAR</t>
        </is>
      </c>
      <c r="F2912" t="inlineStr">
        <is>
          <t>Bergvik skog öst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39751-2022</t>
        </is>
      </c>
      <c r="B2913" s="1" t="n">
        <v>44819</v>
      </c>
      <c r="C2913" s="1" t="n">
        <v>45706</v>
      </c>
      <c r="D2913" t="inlineStr">
        <is>
          <t>UPPSALA LÄN</t>
        </is>
      </c>
      <c r="E2913" t="inlineStr">
        <is>
          <t>ENKÖPING</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39802-2022</t>
        </is>
      </c>
      <c r="B2914" s="1" t="n">
        <v>44819</v>
      </c>
      <c r="C2914" s="1" t="n">
        <v>45706</v>
      </c>
      <c r="D2914" t="inlineStr">
        <is>
          <t>UPPSALA LÄN</t>
        </is>
      </c>
      <c r="E2914" t="inlineStr">
        <is>
          <t>TIERP</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39795-2022</t>
        </is>
      </c>
      <c r="B2915" s="1" t="n">
        <v>44819</v>
      </c>
      <c r="C2915" s="1" t="n">
        <v>45706</v>
      </c>
      <c r="D2915" t="inlineStr">
        <is>
          <t>UPPSALA LÄN</t>
        </is>
      </c>
      <c r="E2915" t="inlineStr">
        <is>
          <t>UPPSALA</t>
        </is>
      </c>
      <c r="F2915" t="inlineStr">
        <is>
          <t>Övriga Aktiebolag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39903-2022</t>
        </is>
      </c>
      <c r="B2916" s="1" t="n">
        <v>44819</v>
      </c>
      <c r="C2916" s="1" t="n">
        <v>45706</v>
      </c>
      <c r="D2916" t="inlineStr">
        <is>
          <t>UPPSALA LÄN</t>
        </is>
      </c>
      <c r="E2916" t="inlineStr">
        <is>
          <t>TIERP</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39915-2022</t>
        </is>
      </c>
      <c r="B2917" s="1" t="n">
        <v>44819</v>
      </c>
      <c r="C2917" s="1" t="n">
        <v>45706</v>
      </c>
      <c r="D2917" t="inlineStr">
        <is>
          <t>UPPSALA LÄN</t>
        </is>
      </c>
      <c r="E2917" t="inlineStr">
        <is>
          <t>UPPSALA</t>
        </is>
      </c>
      <c r="F2917" t="inlineStr">
        <is>
          <t>Allmännings- och besparingsskogar</t>
        </is>
      </c>
      <c r="G2917" t="n">
        <v>20.1</v>
      </c>
      <c r="H2917" t="n">
        <v>0</v>
      </c>
      <c r="I2917" t="n">
        <v>0</v>
      </c>
      <c r="J2917" t="n">
        <v>0</v>
      </c>
      <c r="K2917" t="n">
        <v>0</v>
      </c>
      <c r="L2917" t="n">
        <v>0</v>
      </c>
      <c r="M2917" t="n">
        <v>0</v>
      </c>
      <c r="N2917" t="n">
        <v>0</v>
      </c>
      <c r="O2917" t="n">
        <v>0</v>
      </c>
      <c r="P2917" t="n">
        <v>0</v>
      </c>
      <c r="Q2917" t="n">
        <v>0</v>
      </c>
      <c r="R2917" s="2" t="inlineStr"/>
    </row>
    <row r="2918" ht="15" customHeight="1">
      <c r="A2918" t="inlineStr">
        <is>
          <t>A 39865-2022</t>
        </is>
      </c>
      <c r="B2918" s="1" t="n">
        <v>44819</v>
      </c>
      <c r="C2918" s="1" t="n">
        <v>45706</v>
      </c>
      <c r="D2918" t="inlineStr">
        <is>
          <t>UPPSALA LÄN</t>
        </is>
      </c>
      <c r="E2918" t="inlineStr">
        <is>
          <t>UPPSALA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39922-2022</t>
        </is>
      </c>
      <c r="B2919" s="1" t="n">
        <v>44819</v>
      </c>
      <c r="C2919" s="1" t="n">
        <v>45706</v>
      </c>
      <c r="D2919" t="inlineStr">
        <is>
          <t>UPPSALA LÄN</t>
        </is>
      </c>
      <c r="E2919" t="inlineStr">
        <is>
          <t>ENKÖPING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40038-2022</t>
        </is>
      </c>
      <c r="B2920" s="1" t="n">
        <v>44820</v>
      </c>
      <c r="C2920" s="1" t="n">
        <v>45706</v>
      </c>
      <c r="D2920" t="inlineStr">
        <is>
          <t>UPPSALA LÄN</t>
        </is>
      </c>
      <c r="E2920" t="inlineStr">
        <is>
          <t>HEBY</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40086-2022</t>
        </is>
      </c>
      <c r="B2921" s="1" t="n">
        <v>44820</v>
      </c>
      <c r="C2921" s="1" t="n">
        <v>45706</v>
      </c>
      <c r="D2921" t="inlineStr">
        <is>
          <t>UPPSALA LÄN</t>
        </is>
      </c>
      <c r="E2921" t="inlineStr">
        <is>
          <t>HEBY</t>
        </is>
      </c>
      <c r="F2921" t="inlineStr">
        <is>
          <t>Bergvik skog öst AB</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40079-2022</t>
        </is>
      </c>
      <c r="B2922" s="1" t="n">
        <v>44820</v>
      </c>
      <c r="C2922" s="1" t="n">
        <v>45706</v>
      </c>
      <c r="D2922" t="inlineStr">
        <is>
          <t>UPPSALA LÄN</t>
        </is>
      </c>
      <c r="E2922" t="inlineStr">
        <is>
          <t>HEBY</t>
        </is>
      </c>
      <c r="F2922" t="inlineStr">
        <is>
          <t>Bergvik skog öst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40100-2022</t>
        </is>
      </c>
      <c r="B2923" s="1" t="n">
        <v>44820</v>
      </c>
      <c r="C2923" s="1" t="n">
        <v>45706</v>
      </c>
      <c r="D2923" t="inlineStr">
        <is>
          <t>UPPSALA LÄN</t>
        </is>
      </c>
      <c r="E2923" t="inlineStr">
        <is>
          <t>UPPSALA</t>
        </is>
      </c>
      <c r="F2923" t="inlineStr">
        <is>
          <t>Övriga Aktiebolag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40336-2022</t>
        </is>
      </c>
      <c r="B2924" s="1" t="n">
        <v>44823</v>
      </c>
      <c r="C2924" s="1" t="n">
        <v>45706</v>
      </c>
      <c r="D2924" t="inlineStr">
        <is>
          <t>UPPSALA LÄN</t>
        </is>
      </c>
      <c r="E2924" t="inlineStr">
        <is>
          <t>ÖSTHAMMAR</t>
        </is>
      </c>
      <c r="F2924" t="inlineStr">
        <is>
          <t>Bergvik skog öst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40387-2022</t>
        </is>
      </c>
      <c r="B2925" s="1" t="n">
        <v>44823</v>
      </c>
      <c r="C2925" s="1" t="n">
        <v>45706</v>
      </c>
      <c r="D2925" t="inlineStr">
        <is>
          <t>UPPSALA LÄN</t>
        </is>
      </c>
      <c r="E2925" t="inlineStr">
        <is>
          <t>HEBY</t>
        </is>
      </c>
      <c r="G2925" t="n">
        <v>25.2</v>
      </c>
      <c r="H2925" t="n">
        <v>0</v>
      </c>
      <c r="I2925" t="n">
        <v>0</v>
      </c>
      <c r="J2925" t="n">
        <v>0</v>
      </c>
      <c r="K2925" t="n">
        <v>0</v>
      </c>
      <c r="L2925" t="n">
        <v>0</v>
      </c>
      <c r="M2925" t="n">
        <v>0</v>
      </c>
      <c r="N2925" t="n">
        <v>0</v>
      </c>
      <c r="O2925" t="n">
        <v>0</v>
      </c>
      <c r="P2925" t="n">
        <v>0</v>
      </c>
      <c r="Q2925" t="n">
        <v>0</v>
      </c>
      <c r="R2925" s="2" t="inlineStr"/>
    </row>
    <row r="2926" ht="15" customHeight="1">
      <c r="A2926" t="inlineStr">
        <is>
          <t>A 40533-2022</t>
        </is>
      </c>
      <c r="B2926" s="1" t="n">
        <v>44823</v>
      </c>
      <c r="C2926" s="1" t="n">
        <v>45706</v>
      </c>
      <c r="D2926" t="inlineStr">
        <is>
          <t>UPPSALA LÄN</t>
        </is>
      </c>
      <c r="E2926" t="inlineStr">
        <is>
          <t>HEBY</t>
        </is>
      </c>
      <c r="F2926" t="inlineStr">
        <is>
          <t>Övriga Aktiebolag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40765-2022</t>
        </is>
      </c>
      <c r="B2927" s="1" t="n">
        <v>44824</v>
      </c>
      <c r="C2927" s="1" t="n">
        <v>45706</v>
      </c>
      <c r="D2927" t="inlineStr">
        <is>
          <t>UPPSALA LÄN</t>
        </is>
      </c>
      <c r="E2927" t="inlineStr">
        <is>
          <t>TIERP</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40773-2022</t>
        </is>
      </c>
      <c r="B2928" s="1" t="n">
        <v>44824</v>
      </c>
      <c r="C2928" s="1" t="n">
        <v>45706</v>
      </c>
      <c r="D2928" t="inlineStr">
        <is>
          <t>UPPSALA LÄN</t>
        </is>
      </c>
      <c r="E2928" t="inlineStr">
        <is>
          <t>ENKÖPING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40812-2022</t>
        </is>
      </c>
      <c r="B2929" s="1" t="n">
        <v>44824</v>
      </c>
      <c r="C2929" s="1" t="n">
        <v>45706</v>
      </c>
      <c r="D2929" t="inlineStr">
        <is>
          <t>UPPSALA LÄN</t>
        </is>
      </c>
      <c r="E2929" t="inlineStr">
        <is>
          <t>ENKÖPING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40637-2022</t>
        </is>
      </c>
      <c r="B2930" s="1" t="n">
        <v>44824</v>
      </c>
      <c r="C2930" s="1" t="n">
        <v>45706</v>
      </c>
      <c r="D2930" t="inlineStr">
        <is>
          <t>UPPSALA LÄN</t>
        </is>
      </c>
      <c r="E2930" t="inlineStr">
        <is>
          <t>ÖSTHAMMAR</t>
        </is>
      </c>
      <c r="F2930" t="inlineStr">
        <is>
          <t>Övriga Aktiebolag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40681-2022</t>
        </is>
      </c>
      <c r="B2931" s="1" t="n">
        <v>44824</v>
      </c>
      <c r="C2931" s="1" t="n">
        <v>45706</v>
      </c>
      <c r="D2931" t="inlineStr">
        <is>
          <t>UPPSALA LÄN</t>
        </is>
      </c>
      <c r="E2931" t="inlineStr">
        <is>
          <t>ÖSTHAMMAR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41029-2022</t>
        </is>
      </c>
      <c r="B2932" s="1" t="n">
        <v>44824</v>
      </c>
      <c r="C2932" s="1" t="n">
        <v>45706</v>
      </c>
      <c r="D2932" t="inlineStr">
        <is>
          <t>UPPSALA LÄN</t>
        </is>
      </c>
      <c r="E2932" t="inlineStr">
        <is>
          <t>HEBY</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41033-2022</t>
        </is>
      </c>
      <c r="B2933" s="1" t="n">
        <v>44825</v>
      </c>
      <c r="C2933" s="1" t="n">
        <v>45706</v>
      </c>
      <c r="D2933" t="inlineStr">
        <is>
          <t>UPPSALA LÄN</t>
        </is>
      </c>
      <c r="E2933" t="inlineStr">
        <is>
          <t>ÖSTHAMMAR</t>
        </is>
      </c>
      <c r="F2933" t="inlineStr">
        <is>
          <t>Kyrkan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41382-2022</t>
        </is>
      </c>
      <c r="B2934" s="1" t="n">
        <v>44826</v>
      </c>
      <c r="C2934" s="1" t="n">
        <v>45706</v>
      </c>
      <c r="D2934" t="inlineStr">
        <is>
          <t>UPPSALA LÄN</t>
        </is>
      </c>
      <c r="E2934" t="inlineStr">
        <is>
          <t>HEBY</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41321-2022</t>
        </is>
      </c>
      <c r="B2935" s="1" t="n">
        <v>44826</v>
      </c>
      <c r="C2935" s="1" t="n">
        <v>45706</v>
      </c>
      <c r="D2935" t="inlineStr">
        <is>
          <t>UPPSALA LÄN</t>
        </is>
      </c>
      <c r="E2935" t="inlineStr">
        <is>
          <t>HEBY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41413-2022</t>
        </is>
      </c>
      <c r="B2936" s="1" t="n">
        <v>44826</v>
      </c>
      <c r="C2936" s="1" t="n">
        <v>45706</v>
      </c>
      <c r="D2936" t="inlineStr">
        <is>
          <t>UPPSALA LÄN</t>
        </is>
      </c>
      <c r="E2936" t="inlineStr">
        <is>
          <t>HEBY</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41423-2022</t>
        </is>
      </c>
      <c r="B2937" s="1" t="n">
        <v>44826</v>
      </c>
      <c r="C2937" s="1" t="n">
        <v>45706</v>
      </c>
      <c r="D2937" t="inlineStr">
        <is>
          <t>UPPSALA LÄN</t>
        </is>
      </c>
      <c r="E2937" t="inlineStr">
        <is>
          <t>ÖSTHAMMAR</t>
        </is>
      </c>
      <c r="F2937" t="inlineStr">
        <is>
          <t>Övriga Aktiebolag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41700-2022</t>
        </is>
      </c>
      <c r="B2938" s="1" t="n">
        <v>44827</v>
      </c>
      <c r="C2938" s="1" t="n">
        <v>45706</v>
      </c>
      <c r="D2938" t="inlineStr">
        <is>
          <t>UPPSALA LÄN</t>
        </is>
      </c>
      <c r="E2938" t="inlineStr">
        <is>
          <t>HEBY</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41736-2022</t>
        </is>
      </c>
      <c r="B2939" s="1" t="n">
        <v>44827</v>
      </c>
      <c r="C2939" s="1" t="n">
        <v>45706</v>
      </c>
      <c r="D2939" t="inlineStr">
        <is>
          <t>UPPSALA LÄN</t>
        </is>
      </c>
      <c r="E2939" t="inlineStr">
        <is>
          <t>ENKÖPING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41737-2022</t>
        </is>
      </c>
      <c r="B2940" s="1" t="n">
        <v>44827</v>
      </c>
      <c r="C2940" s="1" t="n">
        <v>45706</v>
      </c>
      <c r="D2940" t="inlineStr">
        <is>
          <t>UPPSALA LÄN</t>
        </is>
      </c>
      <c r="E2940" t="inlineStr">
        <is>
          <t>ENKÖPING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41757-2022</t>
        </is>
      </c>
      <c r="B2941" s="1" t="n">
        <v>44827</v>
      </c>
      <c r="C2941" s="1" t="n">
        <v>45706</v>
      </c>
      <c r="D2941" t="inlineStr">
        <is>
          <t>UPPSALA LÄN</t>
        </is>
      </c>
      <c r="E2941" t="inlineStr">
        <is>
          <t>ÄLVKARLEBY</t>
        </is>
      </c>
      <c r="F2941" t="inlineStr">
        <is>
          <t>Bergvik skog väst AB</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41971-2022</t>
        </is>
      </c>
      <c r="B2942" s="1" t="n">
        <v>44827</v>
      </c>
      <c r="C2942" s="1" t="n">
        <v>45706</v>
      </c>
      <c r="D2942" t="inlineStr">
        <is>
          <t>UPPSALA LÄN</t>
        </is>
      </c>
      <c r="E2942" t="inlineStr">
        <is>
          <t>TIERP</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41753-2022</t>
        </is>
      </c>
      <c r="B2943" s="1" t="n">
        <v>44827</v>
      </c>
      <c r="C2943" s="1" t="n">
        <v>45706</v>
      </c>
      <c r="D2943" t="inlineStr">
        <is>
          <t>UPPSALA LÄN</t>
        </is>
      </c>
      <c r="E2943" t="inlineStr">
        <is>
          <t>ENKÖPING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42589-2022</t>
        </is>
      </c>
      <c r="B2944" s="1" t="n">
        <v>44831</v>
      </c>
      <c r="C2944" s="1" t="n">
        <v>45706</v>
      </c>
      <c r="D2944" t="inlineStr">
        <is>
          <t>UPPSALA LÄN</t>
        </is>
      </c>
      <c r="E2944" t="inlineStr">
        <is>
          <t>ENKÖPING</t>
        </is>
      </c>
      <c r="G2944" t="n">
        <v>20</v>
      </c>
      <c r="H2944" t="n">
        <v>0</v>
      </c>
      <c r="I2944" t="n">
        <v>0</v>
      </c>
      <c r="J2944" t="n">
        <v>0</v>
      </c>
      <c r="K2944" t="n">
        <v>0</v>
      </c>
      <c r="L2944" t="n">
        <v>0</v>
      </c>
      <c r="M2944" t="n">
        <v>0</v>
      </c>
      <c r="N2944" t="n">
        <v>0</v>
      </c>
      <c r="O2944" t="n">
        <v>0</v>
      </c>
      <c r="P2944" t="n">
        <v>0</v>
      </c>
      <c r="Q2944" t="n">
        <v>0</v>
      </c>
      <c r="R2944" s="2" t="inlineStr"/>
    </row>
    <row r="2945" ht="15" customHeight="1">
      <c r="A2945" t="inlineStr">
        <is>
          <t>A 42592-2022</t>
        </is>
      </c>
      <c r="B2945" s="1" t="n">
        <v>44831</v>
      </c>
      <c r="C2945" s="1" t="n">
        <v>45706</v>
      </c>
      <c r="D2945" t="inlineStr">
        <is>
          <t>UPPSALA LÄN</t>
        </is>
      </c>
      <c r="E2945" t="inlineStr">
        <is>
          <t>ENKÖPING</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42543-2022</t>
        </is>
      </c>
      <c r="B2946" s="1" t="n">
        <v>44831</v>
      </c>
      <c r="C2946" s="1" t="n">
        <v>45706</v>
      </c>
      <c r="D2946" t="inlineStr">
        <is>
          <t>UPPSALA LÄN</t>
        </is>
      </c>
      <c r="E2946" t="inlineStr">
        <is>
          <t>HEBY</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42622-2022</t>
        </is>
      </c>
      <c r="B2947" s="1" t="n">
        <v>44831</v>
      </c>
      <c r="C2947" s="1" t="n">
        <v>45706</v>
      </c>
      <c r="D2947" t="inlineStr">
        <is>
          <t>UPPSALA LÄN</t>
        </is>
      </c>
      <c r="E2947" t="inlineStr">
        <is>
          <t>UPPSALA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42772-2022</t>
        </is>
      </c>
      <c r="B2948" s="1" t="n">
        <v>44832</v>
      </c>
      <c r="C2948" s="1" t="n">
        <v>45706</v>
      </c>
      <c r="D2948" t="inlineStr">
        <is>
          <t>UPPSALA LÄN</t>
        </is>
      </c>
      <c r="E2948" t="inlineStr">
        <is>
          <t>UPPSALA</t>
        </is>
      </c>
      <c r="G2948" t="n">
        <v>17.7</v>
      </c>
      <c r="H2948" t="n">
        <v>0</v>
      </c>
      <c r="I2948" t="n">
        <v>0</v>
      </c>
      <c r="J2948" t="n">
        <v>0</v>
      </c>
      <c r="K2948" t="n">
        <v>0</v>
      </c>
      <c r="L2948" t="n">
        <v>0</v>
      </c>
      <c r="M2948" t="n">
        <v>0</v>
      </c>
      <c r="N2948" t="n">
        <v>0</v>
      </c>
      <c r="O2948" t="n">
        <v>0</v>
      </c>
      <c r="P2948" t="n">
        <v>0</v>
      </c>
      <c r="Q2948" t="n">
        <v>0</v>
      </c>
      <c r="R2948" s="2" t="inlineStr"/>
    </row>
    <row r="2949" ht="15" customHeight="1">
      <c r="A2949" t="inlineStr">
        <is>
          <t>A 42855-2022</t>
        </is>
      </c>
      <c r="B2949" s="1" t="n">
        <v>44832</v>
      </c>
      <c r="C2949" s="1" t="n">
        <v>45706</v>
      </c>
      <c r="D2949" t="inlineStr">
        <is>
          <t>UPPSALA LÄN</t>
        </is>
      </c>
      <c r="E2949" t="inlineStr">
        <is>
          <t>HEBY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43032-2022</t>
        </is>
      </c>
      <c r="B2950" s="1" t="n">
        <v>44832</v>
      </c>
      <c r="C2950" s="1" t="n">
        <v>45706</v>
      </c>
      <c r="D2950" t="inlineStr">
        <is>
          <t>UPPSALA LÄN</t>
        </is>
      </c>
      <c r="E2950" t="inlineStr">
        <is>
          <t>UPPSALA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42859-2022</t>
        </is>
      </c>
      <c r="B2951" s="1" t="n">
        <v>44832</v>
      </c>
      <c r="C2951" s="1" t="n">
        <v>45706</v>
      </c>
      <c r="D2951" t="inlineStr">
        <is>
          <t>UPPSALA LÄN</t>
        </is>
      </c>
      <c r="E2951" t="inlineStr">
        <is>
          <t>HEBY</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42938-2022</t>
        </is>
      </c>
      <c r="B2952" s="1" t="n">
        <v>44833</v>
      </c>
      <c r="C2952" s="1" t="n">
        <v>45706</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43713-2022</t>
        </is>
      </c>
      <c r="B2953" s="1" t="n">
        <v>44837</v>
      </c>
      <c r="C2953" s="1" t="n">
        <v>45706</v>
      </c>
      <c r="D2953" t="inlineStr">
        <is>
          <t>UPPSALA LÄN</t>
        </is>
      </c>
      <c r="E2953" t="inlineStr">
        <is>
          <t>TIERP</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43680-2022</t>
        </is>
      </c>
      <c r="B2954" s="1" t="n">
        <v>44837</v>
      </c>
      <c r="C2954" s="1" t="n">
        <v>45706</v>
      </c>
      <c r="D2954" t="inlineStr">
        <is>
          <t>UPPSALA LÄN</t>
        </is>
      </c>
      <c r="E2954" t="inlineStr">
        <is>
          <t>TIERP</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43896-2022</t>
        </is>
      </c>
      <c r="B2955" s="1" t="n">
        <v>44838</v>
      </c>
      <c r="C2955" s="1" t="n">
        <v>45706</v>
      </c>
      <c r="D2955" t="inlineStr">
        <is>
          <t>UPPSALA LÄN</t>
        </is>
      </c>
      <c r="E2955" t="inlineStr">
        <is>
          <t>ENKÖPING</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43850-2022</t>
        </is>
      </c>
      <c r="B2956" s="1" t="n">
        <v>44838</v>
      </c>
      <c r="C2956" s="1" t="n">
        <v>45706</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43820-2022</t>
        </is>
      </c>
      <c r="B2957" s="1" t="n">
        <v>44838</v>
      </c>
      <c r="C2957" s="1" t="n">
        <v>45706</v>
      </c>
      <c r="D2957" t="inlineStr">
        <is>
          <t>UPPSALA LÄN</t>
        </is>
      </c>
      <c r="E2957" t="inlineStr">
        <is>
          <t>HEBY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44020-2022</t>
        </is>
      </c>
      <c r="B2958" s="1" t="n">
        <v>44838</v>
      </c>
      <c r="C2958" s="1" t="n">
        <v>45706</v>
      </c>
      <c r="D2958" t="inlineStr">
        <is>
          <t>UPPSALA LÄN</t>
        </is>
      </c>
      <c r="E2958" t="inlineStr">
        <is>
          <t>ÖSTHAMMAR</t>
        </is>
      </c>
      <c r="F2958" t="inlineStr">
        <is>
          <t>Bergvik skog öst AB</t>
        </is>
      </c>
      <c r="G2958" t="n">
        <v>12.1</v>
      </c>
      <c r="H2958" t="n">
        <v>0</v>
      </c>
      <c r="I2958" t="n">
        <v>0</v>
      </c>
      <c r="J2958" t="n">
        <v>0</v>
      </c>
      <c r="K2958" t="n">
        <v>0</v>
      </c>
      <c r="L2958" t="n">
        <v>0</v>
      </c>
      <c r="M2958" t="n">
        <v>0</v>
      </c>
      <c r="N2958" t="n">
        <v>0</v>
      </c>
      <c r="O2958" t="n">
        <v>0</v>
      </c>
      <c r="P2958" t="n">
        <v>0</v>
      </c>
      <c r="Q2958" t="n">
        <v>0</v>
      </c>
      <c r="R2958" s="2" t="inlineStr"/>
    </row>
    <row r="2959" ht="15" customHeight="1">
      <c r="A2959" t="inlineStr">
        <is>
          <t>A 44019-2022</t>
        </is>
      </c>
      <c r="B2959" s="1" t="n">
        <v>44838</v>
      </c>
      <c r="C2959" s="1" t="n">
        <v>45706</v>
      </c>
      <c r="D2959" t="inlineStr">
        <is>
          <t>UPPSALA LÄN</t>
        </is>
      </c>
      <c r="E2959" t="inlineStr">
        <is>
          <t>ÖSTHAMMAR</t>
        </is>
      </c>
      <c r="F2959" t="inlineStr">
        <is>
          <t>Bergvik skog öst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44239-2022</t>
        </is>
      </c>
      <c r="B2960" s="1" t="n">
        <v>44839</v>
      </c>
      <c r="C2960" s="1" t="n">
        <v>45706</v>
      </c>
      <c r="D2960" t="inlineStr">
        <is>
          <t>UPPSALA LÄN</t>
        </is>
      </c>
      <c r="E2960" t="inlineStr">
        <is>
          <t>HEBY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44354-2022</t>
        </is>
      </c>
      <c r="B2961" s="1" t="n">
        <v>44839</v>
      </c>
      <c r="C2961" s="1" t="n">
        <v>45706</v>
      </c>
      <c r="D2961" t="inlineStr">
        <is>
          <t>UPPSALA LÄN</t>
        </is>
      </c>
      <c r="E2961" t="inlineStr">
        <is>
          <t>ÖSTHAMMAR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44243-2022</t>
        </is>
      </c>
      <c r="B2962" s="1" t="n">
        <v>44839</v>
      </c>
      <c r="C2962" s="1" t="n">
        <v>45706</v>
      </c>
      <c r="D2962" t="inlineStr">
        <is>
          <t>UPPSALA LÄN</t>
        </is>
      </c>
      <c r="E2962" t="inlineStr">
        <is>
          <t>HEBY</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44265-2022</t>
        </is>
      </c>
      <c r="B2963" s="1" t="n">
        <v>44839</v>
      </c>
      <c r="C2963" s="1" t="n">
        <v>45706</v>
      </c>
      <c r="D2963" t="inlineStr">
        <is>
          <t>UPPSALA LÄN</t>
        </is>
      </c>
      <c r="E2963" t="inlineStr">
        <is>
          <t>UPPSALA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44366-2022</t>
        </is>
      </c>
      <c r="B2964" s="1" t="n">
        <v>44839</v>
      </c>
      <c r="C2964" s="1" t="n">
        <v>45706</v>
      </c>
      <c r="D2964" t="inlineStr">
        <is>
          <t>UPPSALA LÄN</t>
        </is>
      </c>
      <c r="E2964" t="inlineStr">
        <is>
          <t>ÖSTHAMMAR</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44184-2022</t>
        </is>
      </c>
      <c r="B2965" s="1" t="n">
        <v>44839</v>
      </c>
      <c r="C2965" s="1" t="n">
        <v>45706</v>
      </c>
      <c r="D2965" t="inlineStr">
        <is>
          <t>UPPSALA LÄN</t>
        </is>
      </c>
      <c r="E2965" t="inlineStr">
        <is>
          <t>ÖSTHAMMAR</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44525-2022</t>
        </is>
      </c>
      <c r="B2966" s="1" t="n">
        <v>44840</v>
      </c>
      <c r="C2966" s="1" t="n">
        <v>45706</v>
      </c>
      <c r="D2966" t="inlineStr">
        <is>
          <t>UPPSALA LÄN</t>
        </is>
      </c>
      <c r="E2966" t="inlineStr">
        <is>
          <t>HEBY</t>
        </is>
      </c>
      <c r="G2966" t="n">
        <v>1.8</v>
      </c>
      <c r="H2966" t="n">
        <v>0</v>
      </c>
      <c r="I2966" t="n">
        <v>0</v>
      </c>
      <c r="J2966" t="n">
        <v>0</v>
      </c>
      <c r="K2966" t="n">
        <v>0</v>
      </c>
      <c r="L2966" t="n">
        <v>0</v>
      </c>
      <c r="M2966" t="n">
        <v>0</v>
      </c>
      <c r="N2966" t="n">
        <v>0</v>
      </c>
      <c r="O2966" t="n">
        <v>0</v>
      </c>
      <c r="P2966" t="n">
        <v>0</v>
      </c>
      <c r="Q2966" t="n">
        <v>0</v>
      </c>
      <c r="R2966" s="2" t="inlineStr"/>
      <c r="U2966">
        <f>HYPERLINK("https://klasma.github.io/Logging_0331/knärot/A 44525-2022 karta knärot.png", "A 44525-2022")</f>
        <v/>
      </c>
      <c r="V2966">
        <f>HYPERLINK("https://klasma.github.io/Logging_0331/klagomål/A 44525-2022 FSC-klagomål.docx", "A 44525-2022")</f>
        <v/>
      </c>
      <c r="W2966">
        <f>HYPERLINK("https://klasma.github.io/Logging_0331/klagomålsmail/A 44525-2022 FSC-klagomål mail.docx", "A 44525-2022")</f>
        <v/>
      </c>
      <c r="X2966">
        <f>HYPERLINK("https://klasma.github.io/Logging_0331/tillsyn/A 44525-2022 tillsynsbegäran.docx", "A 44525-2022")</f>
        <v/>
      </c>
      <c r="Y2966">
        <f>HYPERLINK("https://klasma.github.io/Logging_0331/tillsynsmail/A 44525-2022 tillsynsbegäran mail.docx", "A 44525-2022")</f>
        <v/>
      </c>
    </row>
    <row r="2967" ht="15" customHeight="1">
      <c r="A2967" t="inlineStr">
        <is>
          <t>A 44617-2022</t>
        </is>
      </c>
      <c r="B2967" s="1" t="n">
        <v>44840</v>
      </c>
      <c r="C2967" s="1" t="n">
        <v>45706</v>
      </c>
      <c r="D2967" t="inlineStr">
        <is>
          <t>UPPSALA LÄN</t>
        </is>
      </c>
      <c r="E2967" t="inlineStr">
        <is>
          <t>ÖSTHAMMAR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45275-2022</t>
        </is>
      </c>
      <c r="B2968" s="1" t="n">
        <v>44840</v>
      </c>
      <c r="C2968" s="1" t="n">
        <v>45706</v>
      </c>
      <c r="D2968" t="inlineStr">
        <is>
          <t>UPPSALA LÄN</t>
        </is>
      </c>
      <c r="E2968" t="inlineStr">
        <is>
          <t>HEBY</t>
        </is>
      </c>
      <c r="F2968" t="inlineStr">
        <is>
          <t>Bergvik skog väst AB</t>
        </is>
      </c>
      <c r="G2968" t="n">
        <v>15.9</v>
      </c>
      <c r="H2968" t="n">
        <v>0</v>
      </c>
      <c r="I2968" t="n">
        <v>0</v>
      </c>
      <c r="J2968" t="n">
        <v>0</v>
      </c>
      <c r="K2968" t="n">
        <v>0</v>
      </c>
      <c r="L2968" t="n">
        <v>0</v>
      </c>
      <c r="M2968" t="n">
        <v>0</v>
      </c>
      <c r="N2968" t="n">
        <v>0</v>
      </c>
      <c r="O2968" t="n">
        <v>0</v>
      </c>
      <c r="P2968" t="n">
        <v>0</v>
      </c>
      <c r="Q2968" t="n">
        <v>0</v>
      </c>
      <c r="R2968" s="2" t="inlineStr"/>
    </row>
    <row r="2969" ht="15" customHeight="1">
      <c r="A2969" t="inlineStr">
        <is>
          <t>A 44945-2022</t>
        </is>
      </c>
      <c r="B2969" s="1" t="n">
        <v>44841</v>
      </c>
      <c r="C2969" s="1" t="n">
        <v>45706</v>
      </c>
      <c r="D2969" t="inlineStr">
        <is>
          <t>UPPSALA LÄN</t>
        </is>
      </c>
      <c r="E2969" t="inlineStr">
        <is>
          <t>ÖSTHAMMAR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45009-2022</t>
        </is>
      </c>
      <c r="B2970" s="1" t="n">
        <v>44841</v>
      </c>
      <c r="C2970" s="1" t="n">
        <v>45706</v>
      </c>
      <c r="D2970" t="inlineStr">
        <is>
          <t>UPPSALA LÄN</t>
        </is>
      </c>
      <c r="E2970" t="inlineStr">
        <is>
          <t>HEBY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44815-2022</t>
        </is>
      </c>
      <c r="B2971" s="1" t="n">
        <v>44841</v>
      </c>
      <c r="C2971" s="1" t="n">
        <v>45706</v>
      </c>
      <c r="D2971" t="inlineStr">
        <is>
          <t>UPPSALA LÄN</t>
        </is>
      </c>
      <c r="E2971" t="inlineStr">
        <is>
          <t>ÖSTHAMMAR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44817-2022</t>
        </is>
      </c>
      <c r="B2972" s="1" t="n">
        <v>44841</v>
      </c>
      <c r="C2972" s="1" t="n">
        <v>45706</v>
      </c>
      <c r="D2972" t="inlineStr">
        <is>
          <t>UPPSALA LÄN</t>
        </is>
      </c>
      <c r="E2972" t="inlineStr">
        <is>
          <t>UPPSALA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44946-2022</t>
        </is>
      </c>
      <c r="B2973" s="1" t="n">
        <v>44841</v>
      </c>
      <c r="C2973" s="1" t="n">
        <v>45706</v>
      </c>
      <c r="D2973" t="inlineStr">
        <is>
          <t>UPPSALA LÄN</t>
        </is>
      </c>
      <c r="E2973" t="inlineStr">
        <is>
          <t>TIERP</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45057-2022</t>
        </is>
      </c>
      <c r="B2974" s="1" t="n">
        <v>44841</v>
      </c>
      <c r="C2974" s="1" t="n">
        <v>45706</v>
      </c>
      <c r="D2974" t="inlineStr">
        <is>
          <t>UPPSALA LÄN</t>
        </is>
      </c>
      <c r="E2974" t="inlineStr">
        <is>
          <t>TIERP</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46681-2022</t>
        </is>
      </c>
      <c r="B2975" s="1" t="n">
        <v>44843</v>
      </c>
      <c r="C2975" s="1" t="n">
        <v>45706</v>
      </c>
      <c r="D2975" t="inlineStr">
        <is>
          <t>UPPSALA LÄN</t>
        </is>
      </c>
      <c r="E2975" t="inlineStr">
        <is>
          <t>TIERP</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45185-2022</t>
        </is>
      </c>
      <c r="B2976" s="1" t="n">
        <v>44844</v>
      </c>
      <c r="C2976" s="1" t="n">
        <v>45706</v>
      </c>
      <c r="D2976" t="inlineStr">
        <is>
          <t>UPPSALA LÄN</t>
        </is>
      </c>
      <c r="E2976" t="inlineStr">
        <is>
          <t>HEBY</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45195-2022</t>
        </is>
      </c>
      <c r="B2977" s="1" t="n">
        <v>44844</v>
      </c>
      <c r="C2977" s="1" t="n">
        <v>45706</v>
      </c>
      <c r="D2977" t="inlineStr">
        <is>
          <t>UPPSALA LÄN</t>
        </is>
      </c>
      <c r="E2977" t="inlineStr">
        <is>
          <t>UPPSALA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45313-2022</t>
        </is>
      </c>
      <c r="B2978" s="1" t="n">
        <v>44844</v>
      </c>
      <c r="C2978" s="1" t="n">
        <v>45706</v>
      </c>
      <c r="D2978" t="inlineStr">
        <is>
          <t>UPPSALA LÄN</t>
        </is>
      </c>
      <c r="E2978" t="inlineStr">
        <is>
          <t>HEBY</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45362-2022</t>
        </is>
      </c>
      <c r="B2979" s="1" t="n">
        <v>44844</v>
      </c>
      <c r="C2979" s="1" t="n">
        <v>45706</v>
      </c>
      <c r="D2979" t="inlineStr">
        <is>
          <t>UPPSALA LÄN</t>
        </is>
      </c>
      <c r="E2979" t="inlineStr">
        <is>
          <t>ENKÖPING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45283-2022</t>
        </is>
      </c>
      <c r="B2980" s="1" t="n">
        <v>44844</v>
      </c>
      <c r="C2980" s="1" t="n">
        <v>45706</v>
      </c>
      <c r="D2980" t="inlineStr">
        <is>
          <t>UPPSALA LÄN</t>
        </is>
      </c>
      <c r="E2980" t="inlineStr">
        <is>
          <t>ENKÖPING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45516-2022</t>
        </is>
      </c>
      <c r="B2981" s="1" t="n">
        <v>44845</v>
      </c>
      <c r="C2981" s="1" t="n">
        <v>45706</v>
      </c>
      <c r="D2981" t="inlineStr">
        <is>
          <t>UPPSALA LÄN</t>
        </is>
      </c>
      <c r="E2981" t="inlineStr">
        <is>
          <t>TIERP</t>
        </is>
      </c>
      <c r="F2981" t="inlineStr">
        <is>
          <t>Bergvik skog öst AB</t>
        </is>
      </c>
      <c r="G2981" t="n">
        <v>28.1</v>
      </c>
      <c r="H2981" t="n">
        <v>0</v>
      </c>
      <c r="I2981" t="n">
        <v>0</v>
      </c>
      <c r="J2981" t="n">
        <v>0</v>
      </c>
      <c r="K2981" t="n">
        <v>0</v>
      </c>
      <c r="L2981" t="n">
        <v>0</v>
      </c>
      <c r="M2981" t="n">
        <v>0</v>
      </c>
      <c r="N2981" t="n">
        <v>0</v>
      </c>
      <c r="O2981" t="n">
        <v>0</v>
      </c>
      <c r="P2981" t="n">
        <v>0</v>
      </c>
      <c r="Q2981" t="n">
        <v>0</v>
      </c>
      <c r="R2981" s="2" t="inlineStr"/>
    </row>
    <row r="2982" ht="15" customHeight="1">
      <c r="A2982" t="inlineStr">
        <is>
          <t>A 45852-2022</t>
        </is>
      </c>
      <c r="B2982" s="1" t="n">
        <v>44846</v>
      </c>
      <c r="C2982" s="1" t="n">
        <v>45706</v>
      </c>
      <c r="D2982" t="inlineStr">
        <is>
          <t>UPPSALA LÄN</t>
        </is>
      </c>
      <c r="E2982" t="inlineStr">
        <is>
          <t>ENKÖPING</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45916-2022</t>
        </is>
      </c>
      <c r="B2983" s="1" t="n">
        <v>44846</v>
      </c>
      <c r="C2983" s="1" t="n">
        <v>45706</v>
      </c>
      <c r="D2983" t="inlineStr">
        <is>
          <t>UPPSALA LÄN</t>
        </is>
      </c>
      <c r="E2983" t="inlineStr">
        <is>
          <t>KNIVSTA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45769-2022</t>
        </is>
      </c>
      <c r="B2984" s="1" t="n">
        <v>44846</v>
      </c>
      <c r="C2984" s="1" t="n">
        <v>45706</v>
      </c>
      <c r="D2984" t="inlineStr">
        <is>
          <t>UPPSALA LÄN</t>
        </is>
      </c>
      <c r="E2984" t="inlineStr">
        <is>
          <t>TIERP</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45780-2022</t>
        </is>
      </c>
      <c r="B2985" s="1" t="n">
        <v>44846</v>
      </c>
      <c r="C2985" s="1" t="n">
        <v>45706</v>
      </c>
      <c r="D2985" t="inlineStr">
        <is>
          <t>UPPSALA LÄN</t>
        </is>
      </c>
      <c r="E2985" t="inlineStr">
        <is>
          <t>UPPSALA</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45788-2022</t>
        </is>
      </c>
      <c r="B2986" s="1" t="n">
        <v>44846</v>
      </c>
      <c r="C2986" s="1" t="n">
        <v>45706</v>
      </c>
      <c r="D2986" t="inlineStr">
        <is>
          <t>UPPSALA LÄN</t>
        </is>
      </c>
      <c r="E2986" t="inlineStr">
        <is>
          <t>ÖSTHAMMAR</t>
        </is>
      </c>
      <c r="F2986" t="inlineStr">
        <is>
          <t>Övriga Aktiebolag</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45849-2022</t>
        </is>
      </c>
      <c r="B2987" s="1" t="n">
        <v>44846</v>
      </c>
      <c r="C2987" s="1" t="n">
        <v>45706</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45921-2022</t>
        </is>
      </c>
      <c r="B2988" s="1" t="n">
        <v>44846</v>
      </c>
      <c r="C2988" s="1" t="n">
        <v>45706</v>
      </c>
      <c r="D2988" t="inlineStr">
        <is>
          <t>UPPSALA LÄN</t>
        </is>
      </c>
      <c r="E2988" t="inlineStr">
        <is>
          <t>HEBY</t>
        </is>
      </c>
      <c r="F2988" t="inlineStr">
        <is>
          <t>Allmännings- och besparingsskogar</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46077-2022</t>
        </is>
      </c>
      <c r="B2989" s="1" t="n">
        <v>44847</v>
      </c>
      <c r="C2989" s="1" t="n">
        <v>45706</v>
      </c>
      <c r="D2989" t="inlineStr">
        <is>
          <t>UPPSALA LÄN</t>
        </is>
      </c>
      <c r="E2989" t="inlineStr">
        <is>
          <t>UPPSALA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46149-2022</t>
        </is>
      </c>
      <c r="B2990" s="1" t="n">
        <v>44847</v>
      </c>
      <c r="C2990" s="1" t="n">
        <v>45706</v>
      </c>
      <c r="D2990" t="inlineStr">
        <is>
          <t>UPPSALA LÄN</t>
        </is>
      </c>
      <c r="E2990" t="inlineStr">
        <is>
          <t>KNIVSTA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46069-2022</t>
        </is>
      </c>
      <c r="B2991" s="1" t="n">
        <v>44847</v>
      </c>
      <c r="C2991" s="1" t="n">
        <v>45706</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46079-2022</t>
        </is>
      </c>
      <c r="B2992" s="1" t="n">
        <v>44847</v>
      </c>
      <c r="C2992" s="1" t="n">
        <v>45706</v>
      </c>
      <c r="D2992" t="inlineStr">
        <is>
          <t>UPPSALA LÄN</t>
        </is>
      </c>
      <c r="E2992" t="inlineStr">
        <is>
          <t>UPPSALA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46293-2022</t>
        </is>
      </c>
      <c r="B2993" s="1" t="n">
        <v>44847</v>
      </c>
      <c r="C2993" s="1" t="n">
        <v>45706</v>
      </c>
      <c r="D2993" t="inlineStr">
        <is>
          <t>UPPSALA LÄN</t>
        </is>
      </c>
      <c r="E2993" t="inlineStr">
        <is>
          <t>UPPSALA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46094-2022</t>
        </is>
      </c>
      <c r="B2994" s="1" t="n">
        <v>44847</v>
      </c>
      <c r="C2994" s="1" t="n">
        <v>45706</v>
      </c>
      <c r="D2994" t="inlineStr">
        <is>
          <t>UPPSALA LÄN</t>
        </is>
      </c>
      <c r="E2994" t="inlineStr">
        <is>
          <t>HEBY</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46275-2022</t>
        </is>
      </c>
      <c r="B2995" s="1" t="n">
        <v>44847</v>
      </c>
      <c r="C2995" s="1" t="n">
        <v>45706</v>
      </c>
      <c r="D2995" t="inlineStr">
        <is>
          <t>UPPSALA LÄN</t>
        </is>
      </c>
      <c r="E2995" t="inlineStr">
        <is>
          <t>TIERP</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46805-2022</t>
        </is>
      </c>
      <c r="B2996" s="1" t="n">
        <v>44847</v>
      </c>
      <c r="C2996" s="1" t="n">
        <v>45706</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46447-2022</t>
        </is>
      </c>
      <c r="B2997" s="1" t="n">
        <v>44847</v>
      </c>
      <c r="C2997" s="1" t="n">
        <v>45706</v>
      </c>
      <c r="D2997" t="inlineStr">
        <is>
          <t>UPPSALA LÄN</t>
        </is>
      </c>
      <c r="E2997" t="inlineStr">
        <is>
          <t>HEBY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46448-2022</t>
        </is>
      </c>
      <c r="B2998" s="1" t="n">
        <v>44848</v>
      </c>
      <c r="C2998" s="1" t="n">
        <v>45706</v>
      </c>
      <c r="D2998" t="inlineStr">
        <is>
          <t>UPPSALA LÄN</t>
        </is>
      </c>
      <c r="E2998" t="inlineStr">
        <is>
          <t>ÖSTHAMMAR</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46807-2022</t>
        </is>
      </c>
      <c r="B2999" s="1" t="n">
        <v>44848</v>
      </c>
      <c r="C2999" s="1" t="n">
        <v>45706</v>
      </c>
      <c r="D2999" t="inlineStr">
        <is>
          <t>UPPSALA LÄN</t>
        </is>
      </c>
      <c r="E2999" t="inlineStr">
        <is>
          <t>UPPSALA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46635-2022</t>
        </is>
      </c>
      <c r="B3000" s="1" t="n">
        <v>44849</v>
      </c>
      <c r="C3000" s="1" t="n">
        <v>45706</v>
      </c>
      <c r="D3000" t="inlineStr">
        <is>
          <t>UPPSALA LÄN</t>
        </is>
      </c>
      <c r="E3000" t="inlineStr">
        <is>
          <t>UPPSALA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46651-2022</t>
        </is>
      </c>
      <c r="B3001" s="1" t="n">
        <v>44850</v>
      </c>
      <c r="C3001" s="1" t="n">
        <v>45706</v>
      </c>
      <c r="D3001" t="inlineStr">
        <is>
          <t>UPPSALA LÄN</t>
        </is>
      </c>
      <c r="E3001" t="inlineStr">
        <is>
          <t>HEBY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46749-2022</t>
        </is>
      </c>
      <c r="B3002" s="1" t="n">
        <v>44851</v>
      </c>
      <c r="C3002" s="1" t="n">
        <v>45706</v>
      </c>
      <c r="D3002" t="inlineStr">
        <is>
          <t>UPPSALA LÄN</t>
        </is>
      </c>
      <c r="E3002" t="inlineStr">
        <is>
          <t>ENKÖPING</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46915-2022</t>
        </is>
      </c>
      <c r="B3003" s="1" t="n">
        <v>44851</v>
      </c>
      <c r="C3003" s="1" t="n">
        <v>45706</v>
      </c>
      <c r="D3003" t="inlineStr">
        <is>
          <t>UPPSALA LÄN</t>
        </is>
      </c>
      <c r="E3003" t="inlineStr">
        <is>
          <t>ÖSTHAMMAR</t>
        </is>
      </c>
      <c r="F3003" t="inlineStr">
        <is>
          <t>Bergvik skog öst AB</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47163-2022</t>
        </is>
      </c>
      <c r="B3004" s="1" t="n">
        <v>44852</v>
      </c>
      <c r="C3004" s="1" t="n">
        <v>45706</v>
      </c>
      <c r="D3004" t="inlineStr">
        <is>
          <t>UPPSALA LÄN</t>
        </is>
      </c>
      <c r="E3004" t="inlineStr">
        <is>
          <t>ÖSTHAMMAR</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47199-2022</t>
        </is>
      </c>
      <c r="B3005" s="1" t="n">
        <v>44852</v>
      </c>
      <c r="C3005" s="1" t="n">
        <v>45706</v>
      </c>
      <c r="D3005" t="inlineStr">
        <is>
          <t>UPPSALA LÄN</t>
        </is>
      </c>
      <c r="E3005" t="inlineStr">
        <is>
          <t>HEBY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47419-2022</t>
        </is>
      </c>
      <c r="B3006" s="1" t="n">
        <v>44853</v>
      </c>
      <c r="C3006" s="1" t="n">
        <v>45706</v>
      </c>
      <c r="D3006" t="inlineStr">
        <is>
          <t>UPPSALA LÄN</t>
        </is>
      </c>
      <c r="E3006" t="inlineStr">
        <is>
          <t>TIERP</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47431-2022</t>
        </is>
      </c>
      <c r="B3007" s="1" t="n">
        <v>44853</v>
      </c>
      <c r="C3007" s="1" t="n">
        <v>45706</v>
      </c>
      <c r="D3007" t="inlineStr">
        <is>
          <t>UPPSALA LÄN</t>
        </is>
      </c>
      <c r="E3007" t="inlineStr">
        <is>
          <t>ENKÖPING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47516-2022</t>
        </is>
      </c>
      <c r="B3008" s="1" t="n">
        <v>44853</v>
      </c>
      <c r="C3008" s="1" t="n">
        <v>45706</v>
      </c>
      <c r="D3008" t="inlineStr">
        <is>
          <t>UPPSALA LÄN</t>
        </is>
      </c>
      <c r="E3008" t="inlineStr">
        <is>
          <t>ENKÖPING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47414-2022</t>
        </is>
      </c>
      <c r="B3009" s="1" t="n">
        <v>44853</v>
      </c>
      <c r="C3009" s="1" t="n">
        <v>45706</v>
      </c>
      <c r="D3009" t="inlineStr">
        <is>
          <t>UPPSALA LÄN</t>
        </is>
      </c>
      <c r="E3009" t="inlineStr">
        <is>
          <t>TIERP</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47422-2022</t>
        </is>
      </c>
      <c r="B3010" s="1" t="n">
        <v>44853</v>
      </c>
      <c r="C3010" s="1" t="n">
        <v>45706</v>
      </c>
      <c r="D3010" t="inlineStr">
        <is>
          <t>UPPSALA LÄN</t>
        </is>
      </c>
      <c r="E3010" t="inlineStr">
        <is>
          <t>TIERP</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47413-2022</t>
        </is>
      </c>
      <c r="B3011" s="1" t="n">
        <v>44853</v>
      </c>
      <c r="C3011" s="1" t="n">
        <v>45706</v>
      </c>
      <c r="D3011" t="inlineStr">
        <is>
          <t>UPPSALA LÄN</t>
        </is>
      </c>
      <c r="E3011" t="inlineStr">
        <is>
          <t>UPPSALA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47428-2022</t>
        </is>
      </c>
      <c r="B3012" s="1" t="n">
        <v>44853</v>
      </c>
      <c r="C3012" s="1" t="n">
        <v>45706</v>
      </c>
      <c r="D3012" t="inlineStr">
        <is>
          <t>UPPSALA LÄN</t>
        </is>
      </c>
      <c r="E3012" t="inlineStr">
        <is>
          <t>HEBY</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48167-2022</t>
        </is>
      </c>
      <c r="B3013" s="1" t="n">
        <v>44858</v>
      </c>
      <c r="C3013" s="1" t="n">
        <v>45706</v>
      </c>
      <c r="D3013" t="inlineStr">
        <is>
          <t>UPPSALA LÄN</t>
        </is>
      </c>
      <c r="E3013" t="inlineStr">
        <is>
          <t>HEBY</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48230-2022</t>
        </is>
      </c>
      <c r="B3014" s="1" t="n">
        <v>44858</v>
      </c>
      <c r="C3014" s="1" t="n">
        <v>45706</v>
      </c>
      <c r="D3014" t="inlineStr">
        <is>
          <t>UPPSALA LÄN</t>
        </is>
      </c>
      <c r="E3014" t="inlineStr">
        <is>
          <t>ENKÖPING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48483-2022</t>
        </is>
      </c>
      <c r="B3015" s="1" t="n">
        <v>44858</v>
      </c>
      <c r="C3015" s="1" t="n">
        <v>45706</v>
      </c>
      <c r="D3015" t="inlineStr">
        <is>
          <t>UPPSALA LÄN</t>
        </is>
      </c>
      <c r="E3015" t="inlineStr">
        <is>
          <t>TIERP</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48163-2022</t>
        </is>
      </c>
      <c r="B3016" s="1" t="n">
        <v>44858</v>
      </c>
      <c r="C3016" s="1" t="n">
        <v>45706</v>
      </c>
      <c r="D3016" t="inlineStr">
        <is>
          <t>UPPSALA LÄN</t>
        </is>
      </c>
      <c r="E3016" t="inlineStr">
        <is>
          <t>HEBY</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48165-2022</t>
        </is>
      </c>
      <c r="B3017" s="1" t="n">
        <v>44858</v>
      </c>
      <c r="C3017" s="1" t="n">
        <v>45706</v>
      </c>
      <c r="D3017" t="inlineStr">
        <is>
          <t>UPPSALA LÄN</t>
        </is>
      </c>
      <c r="E3017" t="inlineStr">
        <is>
          <t>HEBY</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48191-2022</t>
        </is>
      </c>
      <c r="B3018" s="1" t="n">
        <v>44858</v>
      </c>
      <c r="C3018" s="1" t="n">
        <v>45706</v>
      </c>
      <c r="D3018" t="inlineStr">
        <is>
          <t>UPPSALA LÄN</t>
        </is>
      </c>
      <c r="E3018" t="inlineStr">
        <is>
          <t>ÖSTHAMMAR</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48233-2022</t>
        </is>
      </c>
      <c r="B3019" s="1" t="n">
        <v>44858</v>
      </c>
      <c r="C3019" s="1" t="n">
        <v>45706</v>
      </c>
      <c r="D3019" t="inlineStr">
        <is>
          <t>UPPSALA LÄN</t>
        </is>
      </c>
      <c r="E3019" t="inlineStr">
        <is>
          <t>ENKÖPING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48231-2022</t>
        </is>
      </c>
      <c r="B3020" s="1" t="n">
        <v>44858</v>
      </c>
      <c r="C3020" s="1" t="n">
        <v>45706</v>
      </c>
      <c r="D3020" t="inlineStr">
        <is>
          <t>UPPSALA LÄN</t>
        </is>
      </c>
      <c r="E3020" t="inlineStr">
        <is>
          <t>ÖSTHAMMAR</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48486-2022</t>
        </is>
      </c>
      <c r="B3021" s="1" t="n">
        <v>44858</v>
      </c>
      <c r="C3021" s="1" t="n">
        <v>45706</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48403-2022</t>
        </is>
      </c>
      <c r="B3022" s="1" t="n">
        <v>44858</v>
      </c>
      <c r="C3022" s="1" t="n">
        <v>45706</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48575-2022</t>
        </is>
      </c>
      <c r="B3023" s="1" t="n">
        <v>44859</v>
      </c>
      <c r="C3023" s="1" t="n">
        <v>45706</v>
      </c>
      <c r="D3023" t="inlineStr">
        <is>
          <t>UPPSALA LÄN</t>
        </is>
      </c>
      <c r="E3023" t="inlineStr">
        <is>
          <t>TIERP</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48686-2022</t>
        </is>
      </c>
      <c r="B3024" s="1" t="n">
        <v>44859</v>
      </c>
      <c r="C3024" s="1" t="n">
        <v>45706</v>
      </c>
      <c r="D3024" t="inlineStr">
        <is>
          <t>UPPSALA LÄN</t>
        </is>
      </c>
      <c r="E3024" t="inlineStr">
        <is>
          <t>UPPSALA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48568-2022</t>
        </is>
      </c>
      <c r="B3025" s="1" t="n">
        <v>44859</v>
      </c>
      <c r="C3025" s="1" t="n">
        <v>45706</v>
      </c>
      <c r="D3025" t="inlineStr">
        <is>
          <t>UPPSALA LÄN</t>
        </is>
      </c>
      <c r="E3025" t="inlineStr">
        <is>
          <t>TIERP</t>
        </is>
      </c>
      <c r="F3025" t="inlineStr">
        <is>
          <t>Bergvik skog väst AB</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48588-2022</t>
        </is>
      </c>
      <c r="B3026" s="1" t="n">
        <v>44859</v>
      </c>
      <c r="C3026" s="1" t="n">
        <v>45706</v>
      </c>
      <c r="D3026" t="inlineStr">
        <is>
          <t>UPPSALA LÄN</t>
        </is>
      </c>
      <c r="E3026" t="inlineStr">
        <is>
          <t>UPPSALA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48692-2022</t>
        </is>
      </c>
      <c r="B3027" s="1" t="n">
        <v>44859</v>
      </c>
      <c r="C3027" s="1" t="n">
        <v>45706</v>
      </c>
      <c r="D3027" t="inlineStr">
        <is>
          <t>UPPSALA LÄN</t>
        </is>
      </c>
      <c r="E3027" t="inlineStr">
        <is>
          <t>UPPSALA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48750-2022</t>
        </is>
      </c>
      <c r="B3028" s="1" t="n">
        <v>44859</v>
      </c>
      <c r="C3028" s="1" t="n">
        <v>45706</v>
      </c>
      <c r="D3028" t="inlineStr">
        <is>
          <t>UPPSALA LÄN</t>
        </is>
      </c>
      <c r="E3028" t="inlineStr">
        <is>
          <t>TIERP</t>
        </is>
      </c>
      <c r="F3028" t="inlineStr">
        <is>
          <t>Bergvik skog öst AB</t>
        </is>
      </c>
      <c r="G3028" t="n">
        <v>30.2</v>
      </c>
      <c r="H3028" t="n">
        <v>0</v>
      </c>
      <c r="I3028" t="n">
        <v>0</v>
      </c>
      <c r="J3028" t="n">
        <v>0</v>
      </c>
      <c r="K3028" t="n">
        <v>0</v>
      </c>
      <c r="L3028" t="n">
        <v>0</v>
      </c>
      <c r="M3028" t="n">
        <v>0</v>
      </c>
      <c r="N3028" t="n">
        <v>0</v>
      </c>
      <c r="O3028" t="n">
        <v>0</v>
      </c>
      <c r="P3028" t="n">
        <v>0</v>
      </c>
      <c r="Q3028" t="n">
        <v>0</v>
      </c>
      <c r="R3028" s="2" t="inlineStr"/>
    </row>
    <row r="3029" ht="15" customHeight="1">
      <c r="A3029" t="inlineStr">
        <is>
          <t>A 48688-2022</t>
        </is>
      </c>
      <c r="B3029" s="1" t="n">
        <v>44859</v>
      </c>
      <c r="C3029" s="1" t="n">
        <v>45706</v>
      </c>
      <c r="D3029" t="inlineStr">
        <is>
          <t>UPPSALA LÄN</t>
        </is>
      </c>
      <c r="E3029" t="inlineStr">
        <is>
          <t>UPPSALA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48864-2022</t>
        </is>
      </c>
      <c r="B3030" s="1" t="n">
        <v>44859</v>
      </c>
      <c r="C3030" s="1" t="n">
        <v>45706</v>
      </c>
      <c r="D3030" t="inlineStr">
        <is>
          <t>UPPSALA LÄN</t>
        </is>
      </c>
      <c r="E3030" t="inlineStr">
        <is>
          <t>ENKÖPING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49097-2022</t>
        </is>
      </c>
      <c r="B3031" s="1" t="n">
        <v>44860</v>
      </c>
      <c r="C3031" s="1" t="n">
        <v>45706</v>
      </c>
      <c r="D3031" t="inlineStr">
        <is>
          <t>UPPSALA LÄN</t>
        </is>
      </c>
      <c r="E3031" t="inlineStr">
        <is>
          <t>ÖSTHAMMAR</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49334-2022</t>
        </is>
      </c>
      <c r="B3032" s="1" t="n">
        <v>44861</v>
      </c>
      <c r="C3032" s="1" t="n">
        <v>45706</v>
      </c>
      <c r="D3032" t="inlineStr">
        <is>
          <t>UPPSALA LÄN</t>
        </is>
      </c>
      <c r="E3032" t="inlineStr">
        <is>
          <t>ÖSTHAMMAR</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49314-2022</t>
        </is>
      </c>
      <c r="B3033" s="1" t="n">
        <v>44861</v>
      </c>
      <c r="C3033" s="1" t="n">
        <v>45706</v>
      </c>
      <c r="D3033" t="inlineStr">
        <is>
          <t>UPPSALA LÄN</t>
        </is>
      </c>
      <c r="E3033" t="inlineStr">
        <is>
          <t>TIERP</t>
        </is>
      </c>
      <c r="F3033" t="inlineStr">
        <is>
          <t>Bergvik skog öst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49557-2022</t>
        </is>
      </c>
      <c r="B3034" s="1" t="n">
        <v>44862</v>
      </c>
      <c r="C3034" s="1" t="n">
        <v>45706</v>
      </c>
      <c r="D3034" t="inlineStr">
        <is>
          <t>UPPSALA LÄN</t>
        </is>
      </c>
      <c r="E3034" t="inlineStr">
        <is>
          <t>ENKÖPING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49562-2022</t>
        </is>
      </c>
      <c r="B3035" s="1" t="n">
        <v>44862</v>
      </c>
      <c r="C3035" s="1" t="n">
        <v>45706</v>
      </c>
      <c r="D3035" t="inlineStr">
        <is>
          <t>UPPSALA LÄN</t>
        </is>
      </c>
      <c r="E3035" t="inlineStr">
        <is>
          <t>ENKÖPING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49560-2022</t>
        </is>
      </c>
      <c r="B3036" s="1" t="n">
        <v>44862</v>
      </c>
      <c r="C3036" s="1" t="n">
        <v>45706</v>
      </c>
      <c r="D3036" t="inlineStr">
        <is>
          <t>UPPSALA LÄN</t>
        </is>
      </c>
      <c r="E3036" t="inlineStr">
        <is>
          <t>ENKÖPING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49568-2022</t>
        </is>
      </c>
      <c r="B3037" s="1" t="n">
        <v>44862</v>
      </c>
      <c r="C3037" s="1" t="n">
        <v>45706</v>
      </c>
      <c r="D3037" t="inlineStr">
        <is>
          <t>UPPSALA LÄN</t>
        </is>
      </c>
      <c r="E3037" t="inlineStr">
        <is>
          <t>ENKÖPING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50859-2022</t>
        </is>
      </c>
      <c r="B3038" s="1" t="n">
        <v>44862</v>
      </c>
      <c r="C3038" s="1" t="n">
        <v>45706</v>
      </c>
      <c r="D3038" t="inlineStr">
        <is>
          <t>UPPSALA LÄN</t>
        </is>
      </c>
      <c r="E3038" t="inlineStr">
        <is>
          <t>HEBY</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49946-2022</t>
        </is>
      </c>
      <c r="B3039" s="1" t="n">
        <v>44865</v>
      </c>
      <c r="C3039" s="1" t="n">
        <v>45706</v>
      </c>
      <c r="D3039" t="inlineStr">
        <is>
          <t>UPPSALA LÄN</t>
        </is>
      </c>
      <c r="E3039" t="inlineStr">
        <is>
          <t>TIERP</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49971-2022</t>
        </is>
      </c>
      <c r="B3040" s="1" t="n">
        <v>44865</v>
      </c>
      <c r="C3040" s="1" t="n">
        <v>45706</v>
      </c>
      <c r="D3040" t="inlineStr">
        <is>
          <t>UPPSALA LÄN</t>
        </is>
      </c>
      <c r="E3040" t="inlineStr">
        <is>
          <t>HEBY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49914-2022</t>
        </is>
      </c>
      <c r="B3041" s="1" t="n">
        <v>44865</v>
      </c>
      <c r="C3041" s="1" t="n">
        <v>45706</v>
      </c>
      <c r="D3041" t="inlineStr">
        <is>
          <t>UPPSALA LÄN</t>
        </is>
      </c>
      <c r="E3041" t="inlineStr">
        <is>
          <t>ÖSTHAMMAR</t>
        </is>
      </c>
      <c r="F3041" t="inlineStr">
        <is>
          <t>Bergvik skog öst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49933-2022</t>
        </is>
      </c>
      <c r="B3042" s="1" t="n">
        <v>44865</v>
      </c>
      <c r="C3042" s="1" t="n">
        <v>45706</v>
      </c>
      <c r="D3042" t="inlineStr">
        <is>
          <t>UPPSALA LÄN</t>
        </is>
      </c>
      <c r="E3042" t="inlineStr">
        <is>
          <t>TIERP</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50006-2022</t>
        </is>
      </c>
      <c r="B3043" s="1" t="n">
        <v>44865</v>
      </c>
      <c r="C3043" s="1" t="n">
        <v>45706</v>
      </c>
      <c r="D3043" t="inlineStr">
        <is>
          <t>UPPSALA LÄN</t>
        </is>
      </c>
      <c r="E3043" t="inlineStr">
        <is>
          <t>UPPSALA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50040-2022</t>
        </is>
      </c>
      <c r="B3044" s="1" t="n">
        <v>44865</v>
      </c>
      <c r="C3044" s="1" t="n">
        <v>45706</v>
      </c>
      <c r="D3044" t="inlineStr">
        <is>
          <t>UPPSALA LÄN</t>
        </is>
      </c>
      <c r="E3044" t="inlineStr">
        <is>
          <t>TIERP</t>
        </is>
      </c>
      <c r="F3044" t="inlineStr">
        <is>
          <t>Bergvik skog väst AB</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50092-2022</t>
        </is>
      </c>
      <c r="B3045" s="1" t="n">
        <v>44865</v>
      </c>
      <c r="C3045" s="1" t="n">
        <v>45706</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50576-2022</t>
        </is>
      </c>
      <c r="B3046" s="1" t="n">
        <v>44866</v>
      </c>
      <c r="C3046" s="1" t="n">
        <v>45706</v>
      </c>
      <c r="D3046" t="inlineStr">
        <is>
          <t>UPPSALA LÄN</t>
        </is>
      </c>
      <c r="E3046" t="inlineStr">
        <is>
          <t>ÖSTHAMMAR</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50954-2022</t>
        </is>
      </c>
      <c r="B3047" s="1" t="n">
        <v>44866</v>
      </c>
      <c r="C3047" s="1" t="n">
        <v>45706</v>
      </c>
      <c r="D3047" t="inlineStr">
        <is>
          <t>UPPSALA LÄN</t>
        </is>
      </c>
      <c r="E3047" t="inlineStr">
        <is>
          <t>UPPSALA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50747-2022</t>
        </is>
      </c>
      <c r="B3048" s="1" t="n">
        <v>44867</v>
      </c>
      <c r="C3048" s="1" t="n">
        <v>45706</v>
      </c>
      <c r="D3048" t="inlineStr">
        <is>
          <t>UPPSALA LÄN</t>
        </is>
      </c>
      <c r="E3048" t="inlineStr">
        <is>
          <t>ENKÖPING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51055-2022</t>
        </is>
      </c>
      <c r="B3049" s="1" t="n">
        <v>44868</v>
      </c>
      <c r="C3049" s="1" t="n">
        <v>45706</v>
      </c>
      <c r="D3049" t="inlineStr">
        <is>
          <t>UPPSALA LÄN</t>
        </is>
      </c>
      <c r="E3049" t="inlineStr">
        <is>
          <t>ÖSTHAMMAR</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51232-2022</t>
        </is>
      </c>
      <c r="B3050" s="1" t="n">
        <v>44868</v>
      </c>
      <c r="C3050" s="1" t="n">
        <v>45706</v>
      </c>
      <c r="D3050" t="inlineStr">
        <is>
          <t>UPPSALA LÄN</t>
        </is>
      </c>
      <c r="E3050" t="inlineStr">
        <is>
          <t>TIERP</t>
        </is>
      </c>
      <c r="F3050" t="inlineStr">
        <is>
          <t>Bergvik skog öst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51524-2022</t>
        </is>
      </c>
      <c r="B3051" s="1" t="n">
        <v>44869</v>
      </c>
      <c r="C3051" s="1" t="n">
        <v>45706</v>
      </c>
      <c r="D3051" t="inlineStr">
        <is>
          <t>UPPSALA LÄN</t>
        </is>
      </c>
      <c r="E3051" t="inlineStr">
        <is>
          <t>ENKÖPING</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51606-2022</t>
        </is>
      </c>
      <c r="B3052" s="1" t="n">
        <v>44871</v>
      </c>
      <c r="C3052" s="1" t="n">
        <v>45706</v>
      </c>
      <c r="D3052" t="inlineStr">
        <is>
          <t>UPPSALA LÄN</t>
        </is>
      </c>
      <c r="E3052" t="inlineStr">
        <is>
          <t>TIERP</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51661-2022</t>
        </is>
      </c>
      <c r="B3053" s="1" t="n">
        <v>44872</v>
      </c>
      <c r="C3053" s="1" t="n">
        <v>45706</v>
      </c>
      <c r="D3053" t="inlineStr">
        <is>
          <t>UPPSALA LÄN</t>
        </is>
      </c>
      <c r="E3053" t="inlineStr">
        <is>
          <t>UPPSALA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51696-2022</t>
        </is>
      </c>
      <c r="B3054" s="1" t="n">
        <v>44872</v>
      </c>
      <c r="C3054" s="1" t="n">
        <v>45706</v>
      </c>
      <c r="D3054" t="inlineStr">
        <is>
          <t>UPPSALA LÄN</t>
        </is>
      </c>
      <c r="E3054" t="inlineStr">
        <is>
          <t>ÖSTHAMMAR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51899-2022</t>
        </is>
      </c>
      <c r="B3055" s="1" t="n">
        <v>44872</v>
      </c>
      <c r="C3055" s="1" t="n">
        <v>45706</v>
      </c>
      <c r="D3055" t="inlineStr">
        <is>
          <t>UPPSALA LÄN</t>
        </is>
      </c>
      <c r="E3055" t="inlineStr">
        <is>
          <t>UPPSALA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51906-2022</t>
        </is>
      </c>
      <c r="B3056" s="1" t="n">
        <v>44872</v>
      </c>
      <c r="C3056" s="1" t="n">
        <v>45706</v>
      </c>
      <c r="D3056" t="inlineStr">
        <is>
          <t>UPPSALA LÄN</t>
        </is>
      </c>
      <c r="E3056" t="inlineStr">
        <is>
          <t>ÖSTHAMMAR</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51934-2022</t>
        </is>
      </c>
      <c r="B3057" s="1" t="n">
        <v>44872</v>
      </c>
      <c r="C3057" s="1" t="n">
        <v>45706</v>
      </c>
      <c r="D3057" t="inlineStr">
        <is>
          <t>UPPSALA LÄN</t>
        </is>
      </c>
      <c r="E3057" t="inlineStr">
        <is>
          <t>HEBY</t>
        </is>
      </c>
      <c r="F3057" t="inlineStr">
        <is>
          <t>Övriga Aktiebolag</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51932-2022</t>
        </is>
      </c>
      <c r="B3058" s="1" t="n">
        <v>44872</v>
      </c>
      <c r="C3058" s="1" t="n">
        <v>45706</v>
      </c>
      <c r="D3058" t="inlineStr">
        <is>
          <t>UPPSALA LÄN</t>
        </is>
      </c>
      <c r="E3058" t="inlineStr">
        <is>
          <t>ENKÖPING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52265-2022</t>
        </is>
      </c>
      <c r="B3059" s="1" t="n">
        <v>44873</v>
      </c>
      <c r="C3059" s="1" t="n">
        <v>45706</v>
      </c>
      <c r="D3059" t="inlineStr">
        <is>
          <t>UPPSALA LÄN</t>
        </is>
      </c>
      <c r="E3059" t="inlineStr">
        <is>
          <t>ÖSTHAMMAR</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52255-2022</t>
        </is>
      </c>
      <c r="B3060" s="1" t="n">
        <v>44873</v>
      </c>
      <c r="C3060" s="1" t="n">
        <v>45706</v>
      </c>
      <c r="D3060" t="inlineStr">
        <is>
          <t>UPPSALA LÄN</t>
        </is>
      </c>
      <c r="E3060" t="inlineStr">
        <is>
          <t>ÖSTHAMMAR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52292-2022</t>
        </is>
      </c>
      <c r="B3061" s="1" t="n">
        <v>44873</v>
      </c>
      <c r="C3061" s="1" t="n">
        <v>45706</v>
      </c>
      <c r="D3061" t="inlineStr">
        <is>
          <t>UPPSALA LÄN</t>
        </is>
      </c>
      <c r="E3061" t="inlineStr">
        <is>
          <t>HEBY</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52295-2022</t>
        </is>
      </c>
      <c r="B3062" s="1" t="n">
        <v>44873</v>
      </c>
      <c r="C3062" s="1" t="n">
        <v>45706</v>
      </c>
      <c r="D3062" t="inlineStr">
        <is>
          <t>UPPSALA LÄN</t>
        </is>
      </c>
      <c r="E3062" t="inlineStr">
        <is>
          <t>ÖSTHAMMAR</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52388-2022</t>
        </is>
      </c>
      <c r="B3063" s="1" t="n">
        <v>44874</v>
      </c>
      <c r="C3063" s="1" t="n">
        <v>45706</v>
      </c>
      <c r="D3063" t="inlineStr">
        <is>
          <t>UPPSALA LÄN</t>
        </is>
      </c>
      <c r="E3063" t="inlineStr">
        <is>
          <t>TIERP</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52652-2022</t>
        </is>
      </c>
      <c r="B3064" s="1" t="n">
        <v>44874</v>
      </c>
      <c r="C3064" s="1" t="n">
        <v>45706</v>
      </c>
      <c r="D3064" t="inlineStr">
        <is>
          <t>UPPSALA LÄN</t>
        </is>
      </c>
      <c r="E3064" t="inlineStr">
        <is>
          <t>ÖSTHAMMAR</t>
        </is>
      </c>
      <c r="F3064" t="inlineStr">
        <is>
          <t>Bergvik skog öst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52389-2022</t>
        </is>
      </c>
      <c r="B3065" s="1" t="n">
        <v>44874</v>
      </c>
      <c r="C3065" s="1" t="n">
        <v>45706</v>
      </c>
      <c r="D3065" t="inlineStr">
        <is>
          <t>UPPSALA LÄN</t>
        </is>
      </c>
      <c r="E3065" t="inlineStr">
        <is>
          <t>ÖSTHAMMAR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52663-2022</t>
        </is>
      </c>
      <c r="B3066" s="1" t="n">
        <v>44874</v>
      </c>
      <c r="C3066" s="1" t="n">
        <v>45706</v>
      </c>
      <c r="D3066" t="inlineStr">
        <is>
          <t>UPPSALA LÄN</t>
        </is>
      </c>
      <c r="E3066" t="inlineStr">
        <is>
          <t>ÖSTHAMMAR</t>
        </is>
      </c>
      <c r="F3066" t="inlineStr">
        <is>
          <t>Bergvik skog öst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52650-2022</t>
        </is>
      </c>
      <c r="B3067" s="1" t="n">
        <v>44874</v>
      </c>
      <c r="C3067" s="1" t="n">
        <v>45706</v>
      </c>
      <c r="D3067" t="inlineStr">
        <is>
          <t>UPPSALA LÄN</t>
        </is>
      </c>
      <c r="E3067" t="inlineStr">
        <is>
          <t>ÖSTHAMMAR</t>
        </is>
      </c>
      <c r="F3067" t="inlineStr">
        <is>
          <t>Bergvik skog öst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52661-2022</t>
        </is>
      </c>
      <c r="B3068" s="1" t="n">
        <v>44874</v>
      </c>
      <c r="C3068" s="1" t="n">
        <v>45706</v>
      </c>
      <c r="D3068" t="inlineStr">
        <is>
          <t>UPPSALA LÄN</t>
        </is>
      </c>
      <c r="E3068" t="inlineStr">
        <is>
          <t>ÖSTHAMMAR</t>
        </is>
      </c>
      <c r="F3068" t="inlineStr">
        <is>
          <t>Bergvik skog öst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52895-2022</t>
        </is>
      </c>
      <c r="B3069" s="1" t="n">
        <v>44875</v>
      </c>
      <c r="C3069" s="1" t="n">
        <v>45706</v>
      </c>
      <c r="D3069" t="inlineStr">
        <is>
          <t>UPPSALA LÄN</t>
        </is>
      </c>
      <c r="E3069" t="inlineStr">
        <is>
          <t>ENKÖPING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52790-2022</t>
        </is>
      </c>
      <c r="B3070" s="1" t="n">
        <v>44875</v>
      </c>
      <c r="C3070" s="1" t="n">
        <v>45706</v>
      </c>
      <c r="D3070" t="inlineStr">
        <is>
          <t>UPPSALA LÄN</t>
        </is>
      </c>
      <c r="E3070" t="inlineStr">
        <is>
          <t>HEBY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52893-2022</t>
        </is>
      </c>
      <c r="B3071" s="1" t="n">
        <v>44875</v>
      </c>
      <c r="C3071" s="1" t="n">
        <v>45706</v>
      </c>
      <c r="D3071" t="inlineStr">
        <is>
          <t>UPPSALA LÄN</t>
        </is>
      </c>
      <c r="E3071" t="inlineStr">
        <is>
          <t>ENKÖPING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52889-2022</t>
        </is>
      </c>
      <c r="B3072" s="1" t="n">
        <v>44875</v>
      </c>
      <c r="C3072" s="1" t="n">
        <v>45706</v>
      </c>
      <c r="D3072" t="inlineStr">
        <is>
          <t>UPPSALA LÄN</t>
        </is>
      </c>
      <c r="E3072" t="inlineStr">
        <is>
          <t>ENKÖPING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52896-2022</t>
        </is>
      </c>
      <c r="B3073" s="1" t="n">
        <v>44875</v>
      </c>
      <c r="C3073" s="1" t="n">
        <v>45706</v>
      </c>
      <c r="D3073" t="inlineStr">
        <is>
          <t>UPPSALA LÄN</t>
        </is>
      </c>
      <c r="E3073" t="inlineStr">
        <is>
          <t>ENKÖPING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52955-2022</t>
        </is>
      </c>
      <c r="B3074" s="1" t="n">
        <v>44875</v>
      </c>
      <c r="C3074" s="1" t="n">
        <v>45706</v>
      </c>
      <c r="D3074" t="inlineStr">
        <is>
          <t>UPPSALA LÄN</t>
        </is>
      </c>
      <c r="E3074" t="inlineStr">
        <is>
          <t>HEBY</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53770-2022</t>
        </is>
      </c>
      <c r="B3075" s="1" t="n">
        <v>44875</v>
      </c>
      <c r="C3075" s="1" t="n">
        <v>45706</v>
      </c>
      <c r="D3075" t="inlineStr">
        <is>
          <t>UPPSALA LÄN</t>
        </is>
      </c>
      <c r="E3075" t="inlineStr">
        <is>
          <t>HÅBO</t>
        </is>
      </c>
      <c r="F3075" t="inlineStr">
        <is>
          <t>Allmännings- och besparingsskogar</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53180-2022</t>
        </is>
      </c>
      <c r="B3076" s="1" t="n">
        <v>44876</v>
      </c>
      <c r="C3076" s="1" t="n">
        <v>45706</v>
      </c>
      <c r="D3076" t="inlineStr">
        <is>
          <t>UPPSALA LÄN</t>
        </is>
      </c>
      <c r="E3076" t="inlineStr">
        <is>
          <t>ÖSTHAMMAR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53496-2022</t>
        </is>
      </c>
      <c r="B3077" s="1" t="n">
        <v>44879</v>
      </c>
      <c r="C3077" s="1" t="n">
        <v>45706</v>
      </c>
      <c r="D3077" t="inlineStr">
        <is>
          <t>UPPSALA LÄN</t>
        </is>
      </c>
      <c r="E3077" t="inlineStr">
        <is>
          <t>ENKÖPING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53819-2022</t>
        </is>
      </c>
      <c r="B3078" s="1" t="n">
        <v>44880</v>
      </c>
      <c r="C3078" s="1" t="n">
        <v>45706</v>
      </c>
      <c r="D3078" t="inlineStr">
        <is>
          <t>UPPSALA LÄN</t>
        </is>
      </c>
      <c r="E3078" t="inlineStr">
        <is>
          <t>TIERP</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53784-2022</t>
        </is>
      </c>
      <c r="B3079" s="1" t="n">
        <v>44880</v>
      </c>
      <c r="C3079" s="1" t="n">
        <v>45706</v>
      </c>
      <c r="D3079" t="inlineStr">
        <is>
          <t>UPPSALA LÄN</t>
        </is>
      </c>
      <c r="E3079" t="inlineStr">
        <is>
          <t>TIERP</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53813-2022</t>
        </is>
      </c>
      <c r="B3080" s="1" t="n">
        <v>44880</v>
      </c>
      <c r="C3080" s="1" t="n">
        <v>45706</v>
      </c>
      <c r="D3080" t="inlineStr">
        <is>
          <t>UPPSALA LÄN</t>
        </is>
      </c>
      <c r="E3080" t="inlineStr">
        <is>
          <t>TIERP</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54041-2022</t>
        </is>
      </c>
      <c r="B3081" s="1" t="n">
        <v>44881</v>
      </c>
      <c r="C3081" s="1" t="n">
        <v>45706</v>
      </c>
      <c r="D3081" t="inlineStr">
        <is>
          <t>UPPSALA LÄN</t>
        </is>
      </c>
      <c r="E3081" t="inlineStr">
        <is>
          <t>TIERP</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54493-2022</t>
        </is>
      </c>
      <c r="B3082" s="1" t="n">
        <v>44882</v>
      </c>
      <c r="C3082" s="1" t="n">
        <v>45706</v>
      </c>
      <c r="D3082" t="inlineStr">
        <is>
          <t>UPPSALA LÄN</t>
        </is>
      </c>
      <c r="E3082" t="inlineStr">
        <is>
          <t>HEBY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54666-2022</t>
        </is>
      </c>
      <c r="B3083" s="1" t="n">
        <v>44883</v>
      </c>
      <c r="C3083" s="1" t="n">
        <v>45706</v>
      </c>
      <c r="D3083" t="inlineStr">
        <is>
          <t>UPPSALA LÄN</t>
        </is>
      </c>
      <c r="E3083" t="inlineStr">
        <is>
          <t>ÖSTHAMMAR</t>
        </is>
      </c>
      <c r="G3083" t="n">
        <v>14.3</v>
      </c>
      <c r="H3083" t="n">
        <v>0</v>
      </c>
      <c r="I3083" t="n">
        <v>0</v>
      </c>
      <c r="J3083" t="n">
        <v>0</v>
      </c>
      <c r="K3083" t="n">
        <v>0</v>
      </c>
      <c r="L3083" t="n">
        <v>0</v>
      </c>
      <c r="M3083" t="n">
        <v>0</v>
      </c>
      <c r="N3083" t="n">
        <v>0</v>
      </c>
      <c r="O3083" t="n">
        <v>0</v>
      </c>
      <c r="P3083" t="n">
        <v>0</v>
      </c>
      <c r="Q3083" t="n">
        <v>0</v>
      </c>
      <c r="R3083" s="2" t="inlineStr"/>
    </row>
    <row r="3084" ht="15" customHeight="1">
      <c r="A3084" t="inlineStr">
        <is>
          <t>A 54764-2022</t>
        </is>
      </c>
      <c r="B3084" s="1" t="n">
        <v>44883</v>
      </c>
      <c r="C3084" s="1" t="n">
        <v>45706</v>
      </c>
      <c r="D3084" t="inlineStr">
        <is>
          <t>UPPSALA LÄN</t>
        </is>
      </c>
      <c r="E3084" t="inlineStr">
        <is>
          <t>TIERP</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54715-2022</t>
        </is>
      </c>
      <c r="B3085" s="1" t="n">
        <v>44883</v>
      </c>
      <c r="C3085" s="1" t="n">
        <v>45706</v>
      </c>
      <c r="D3085" t="inlineStr">
        <is>
          <t>UPPSALA LÄN</t>
        </is>
      </c>
      <c r="E3085" t="inlineStr">
        <is>
          <t>UPPSALA</t>
        </is>
      </c>
      <c r="F3085" t="inlineStr">
        <is>
          <t>Övriga Aktiebolag</t>
        </is>
      </c>
      <c r="G3085" t="n">
        <v>9.5</v>
      </c>
      <c r="H3085" t="n">
        <v>0</v>
      </c>
      <c r="I3085" t="n">
        <v>0</v>
      </c>
      <c r="J3085" t="n">
        <v>0</v>
      </c>
      <c r="K3085" t="n">
        <v>0</v>
      </c>
      <c r="L3085" t="n">
        <v>0</v>
      </c>
      <c r="M3085" t="n">
        <v>0</v>
      </c>
      <c r="N3085" t="n">
        <v>0</v>
      </c>
      <c r="O3085" t="n">
        <v>0</v>
      </c>
      <c r="P3085" t="n">
        <v>0</v>
      </c>
      <c r="Q3085" t="n">
        <v>0</v>
      </c>
      <c r="R3085" s="2" t="inlineStr"/>
    </row>
    <row r="3086" ht="15" customHeight="1">
      <c r="A3086" t="inlineStr">
        <is>
          <t>A 54732-2022</t>
        </is>
      </c>
      <c r="B3086" s="1" t="n">
        <v>44883</v>
      </c>
      <c r="C3086" s="1" t="n">
        <v>45706</v>
      </c>
      <c r="D3086" t="inlineStr">
        <is>
          <t>UPPSALA LÄN</t>
        </is>
      </c>
      <c r="E3086" t="inlineStr">
        <is>
          <t>UPPSALA</t>
        </is>
      </c>
      <c r="F3086" t="inlineStr">
        <is>
          <t>Övriga Aktiebolag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54813-2022</t>
        </is>
      </c>
      <c r="B3087" s="1" t="n">
        <v>44883</v>
      </c>
      <c r="C3087" s="1" t="n">
        <v>45706</v>
      </c>
      <c r="D3087" t="inlineStr">
        <is>
          <t>UPPSALA LÄN</t>
        </is>
      </c>
      <c r="E3087" t="inlineStr">
        <is>
          <t>UPPSALA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54952-2022</t>
        </is>
      </c>
      <c r="B3088" s="1" t="n">
        <v>44886</v>
      </c>
      <c r="C3088" s="1" t="n">
        <v>45706</v>
      </c>
      <c r="D3088" t="inlineStr">
        <is>
          <t>UPPSALA LÄN</t>
        </is>
      </c>
      <c r="E3088" t="inlineStr">
        <is>
          <t>TIERP</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55021-2022</t>
        </is>
      </c>
      <c r="B3089" s="1" t="n">
        <v>44886</v>
      </c>
      <c r="C3089" s="1" t="n">
        <v>45706</v>
      </c>
      <c r="D3089" t="inlineStr">
        <is>
          <t>UPPSALA LÄN</t>
        </is>
      </c>
      <c r="E3089" t="inlineStr">
        <is>
          <t>UPPSALA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55040-2022</t>
        </is>
      </c>
      <c r="B3090" s="1" t="n">
        <v>44886</v>
      </c>
      <c r="C3090" s="1" t="n">
        <v>45706</v>
      </c>
      <c r="D3090" t="inlineStr">
        <is>
          <t>UPPSALA LÄN</t>
        </is>
      </c>
      <c r="E3090" t="inlineStr">
        <is>
          <t>UPPSALA</t>
        </is>
      </c>
      <c r="F3090" t="inlineStr">
        <is>
          <t>Sveaskog</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55073-2022</t>
        </is>
      </c>
      <c r="B3091" s="1" t="n">
        <v>44886</v>
      </c>
      <c r="C3091" s="1" t="n">
        <v>45706</v>
      </c>
      <c r="D3091" t="inlineStr">
        <is>
          <t>UPPSALA LÄN</t>
        </is>
      </c>
      <c r="E3091" t="inlineStr">
        <is>
          <t>UPPSALA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55066-2022</t>
        </is>
      </c>
      <c r="B3092" s="1" t="n">
        <v>44886</v>
      </c>
      <c r="C3092" s="1" t="n">
        <v>45706</v>
      </c>
      <c r="D3092" t="inlineStr">
        <is>
          <t>UPPSALA LÄN</t>
        </is>
      </c>
      <c r="E3092" t="inlineStr">
        <is>
          <t>UPPSALA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55191-2022</t>
        </is>
      </c>
      <c r="B3093" s="1" t="n">
        <v>44886</v>
      </c>
      <c r="C3093" s="1" t="n">
        <v>45706</v>
      </c>
      <c r="D3093" t="inlineStr">
        <is>
          <t>UPPSALA LÄN</t>
        </is>
      </c>
      <c r="E3093" t="inlineStr">
        <is>
          <t>HEBY</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55204-2022</t>
        </is>
      </c>
      <c r="B3094" s="1" t="n">
        <v>44886</v>
      </c>
      <c r="C3094" s="1" t="n">
        <v>45706</v>
      </c>
      <c r="D3094" t="inlineStr">
        <is>
          <t>UPPSALA LÄN</t>
        </is>
      </c>
      <c r="E3094" t="inlineStr">
        <is>
          <t>HEBY</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55401-2022</t>
        </is>
      </c>
      <c r="B3095" s="1" t="n">
        <v>44887</v>
      </c>
      <c r="C3095" s="1" t="n">
        <v>45706</v>
      </c>
      <c r="D3095" t="inlineStr">
        <is>
          <t>UPPSALA LÄN</t>
        </is>
      </c>
      <c r="E3095" t="inlineStr">
        <is>
          <t>UPPSALA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55423-2022</t>
        </is>
      </c>
      <c r="B3096" s="1" t="n">
        <v>44887</v>
      </c>
      <c r="C3096" s="1" t="n">
        <v>45706</v>
      </c>
      <c r="D3096" t="inlineStr">
        <is>
          <t>UPPSALA LÄN</t>
        </is>
      </c>
      <c r="E3096" t="inlineStr">
        <is>
          <t>TIERP</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55508-2022</t>
        </is>
      </c>
      <c r="B3097" s="1" t="n">
        <v>44887</v>
      </c>
      <c r="C3097" s="1" t="n">
        <v>45706</v>
      </c>
      <c r="D3097" t="inlineStr">
        <is>
          <t>UPPSALA LÄN</t>
        </is>
      </c>
      <c r="E3097" t="inlineStr">
        <is>
          <t>TIERP</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55502-2022</t>
        </is>
      </c>
      <c r="B3098" s="1" t="n">
        <v>44887</v>
      </c>
      <c r="C3098" s="1" t="n">
        <v>45706</v>
      </c>
      <c r="D3098" t="inlineStr">
        <is>
          <t>UPPSALA LÄN</t>
        </is>
      </c>
      <c r="E3098" t="inlineStr">
        <is>
          <t>HEBY</t>
        </is>
      </c>
      <c r="G3098" t="n">
        <v>18.4</v>
      </c>
      <c r="H3098" t="n">
        <v>0</v>
      </c>
      <c r="I3098" t="n">
        <v>0</v>
      </c>
      <c r="J3098" t="n">
        <v>0</v>
      </c>
      <c r="K3098" t="n">
        <v>0</v>
      </c>
      <c r="L3098" t="n">
        <v>0</v>
      </c>
      <c r="M3098" t="n">
        <v>0</v>
      </c>
      <c r="N3098" t="n">
        <v>0</v>
      </c>
      <c r="O3098" t="n">
        <v>0</v>
      </c>
      <c r="P3098" t="n">
        <v>0</v>
      </c>
      <c r="Q3098" t="n">
        <v>0</v>
      </c>
      <c r="R3098" s="2" t="inlineStr"/>
    </row>
    <row r="3099" ht="15" customHeight="1">
      <c r="A3099" t="inlineStr">
        <is>
          <t>A 56558-2022</t>
        </is>
      </c>
      <c r="B3099" s="1" t="n">
        <v>44887</v>
      </c>
      <c r="C3099" s="1" t="n">
        <v>45706</v>
      </c>
      <c r="D3099" t="inlineStr">
        <is>
          <t>UPPSALA LÄN</t>
        </is>
      </c>
      <c r="E3099" t="inlineStr">
        <is>
          <t>TIERP</t>
        </is>
      </c>
      <c r="F3099" t="inlineStr">
        <is>
          <t>Bergvik skog väst AB</t>
        </is>
      </c>
      <c r="G3099" t="n">
        <v>20.3</v>
      </c>
      <c r="H3099" t="n">
        <v>0</v>
      </c>
      <c r="I3099" t="n">
        <v>0</v>
      </c>
      <c r="J3099" t="n">
        <v>0</v>
      </c>
      <c r="K3099" t="n">
        <v>0</v>
      </c>
      <c r="L3099" t="n">
        <v>0</v>
      </c>
      <c r="M3099" t="n">
        <v>0</v>
      </c>
      <c r="N3099" t="n">
        <v>0</v>
      </c>
      <c r="O3099" t="n">
        <v>0</v>
      </c>
      <c r="P3099" t="n">
        <v>0</v>
      </c>
      <c r="Q3099" t="n">
        <v>0</v>
      </c>
      <c r="R3099" s="2" t="inlineStr"/>
    </row>
    <row r="3100" ht="15" customHeight="1">
      <c r="A3100" t="inlineStr">
        <is>
          <t>A 55566-2022</t>
        </is>
      </c>
      <c r="B3100" s="1" t="n">
        <v>44888</v>
      </c>
      <c r="C3100" s="1" t="n">
        <v>45706</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55862-2022</t>
        </is>
      </c>
      <c r="B3101" s="1" t="n">
        <v>44888</v>
      </c>
      <c r="C3101" s="1" t="n">
        <v>45706</v>
      </c>
      <c r="D3101" t="inlineStr">
        <is>
          <t>UPPSALA LÄN</t>
        </is>
      </c>
      <c r="E3101" t="inlineStr">
        <is>
          <t>UPPSALA</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56884-2022</t>
        </is>
      </c>
      <c r="B3102" s="1" t="n">
        <v>44888</v>
      </c>
      <c r="C3102" s="1" t="n">
        <v>45706</v>
      </c>
      <c r="D3102" t="inlineStr">
        <is>
          <t>UPPSALA LÄN</t>
        </is>
      </c>
      <c r="E3102" t="inlineStr">
        <is>
          <t>HEBY</t>
        </is>
      </c>
      <c r="F3102" t="inlineStr">
        <is>
          <t>Bergvik skog väst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56896-2022</t>
        </is>
      </c>
      <c r="B3103" s="1" t="n">
        <v>44888</v>
      </c>
      <c r="C3103" s="1" t="n">
        <v>45706</v>
      </c>
      <c r="D3103" t="inlineStr">
        <is>
          <t>UPPSALA LÄN</t>
        </is>
      </c>
      <c r="E3103" t="inlineStr">
        <is>
          <t>HEBY</t>
        </is>
      </c>
      <c r="F3103" t="inlineStr">
        <is>
          <t>Bergvik skog väst AB</t>
        </is>
      </c>
      <c r="G3103" t="n">
        <v>1</v>
      </c>
      <c r="H3103" t="n">
        <v>0</v>
      </c>
      <c r="I3103" t="n">
        <v>0</v>
      </c>
      <c r="J3103" t="n">
        <v>0</v>
      </c>
      <c r="K3103" t="n">
        <v>0</v>
      </c>
      <c r="L3103" t="n">
        <v>0</v>
      </c>
      <c r="M3103" t="n">
        <v>0</v>
      </c>
      <c r="N3103" t="n">
        <v>0</v>
      </c>
      <c r="O3103" t="n">
        <v>0</v>
      </c>
      <c r="P3103" t="n">
        <v>0</v>
      </c>
      <c r="Q3103" t="n">
        <v>0</v>
      </c>
      <c r="R3103" s="2" t="inlineStr"/>
      <c r="U3103">
        <f>HYPERLINK("https://klasma.github.io/Logging_0331/knärot/A 56896-2022 karta knärot.png", "A 56896-2022")</f>
        <v/>
      </c>
      <c r="V3103">
        <f>HYPERLINK("https://klasma.github.io/Logging_0331/klagomål/A 56896-2022 FSC-klagomål.docx", "A 56896-2022")</f>
        <v/>
      </c>
      <c r="W3103">
        <f>HYPERLINK("https://klasma.github.io/Logging_0331/klagomålsmail/A 56896-2022 FSC-klagomål mail.docx", "A 56896-2022")</f>
        <v/>
      </c>
      <c r="X3103">
        <f>HYPERLINK("https://klasma.github.io/Logging_0331/tillsyn/A 56896-2022 tillsynsbegäran.docx", "A 56896-2022")</f>
        <v/>
      </c>
      <c r="Y3103">
        <f>HYPERLINK("https://klasma.github.io/Logging_0331/tillsynsmail/A 56896-2022 tillsynsbegäran mail.docx", "A 56896-2022")</f>
        <v/>
      </c>
    </row>
    <row r="3104" ht="15" customHeight="1">
      <c r="A3104" t="inlineStr">
        <is>
          <t>A 56260-2022</t>
        </is>
      </c>
      <c r="B3104" s="1" t="n">
        <v>44890</v>
      </c>
      <c r="C3104" s="1" t="n">
        <v>45706</v>
      </c>
      <c r="D3104" t="inlineStr">
        <is>
          <t>UPPSALA LÄN</t>
        </is>
      </c>
      <c r="E3104" t="inlineStr">
        <is>
          <t>ÖSTHAMMAR</t>
        </is>
      </c>
      <c r="F3104" t="inlineStr">
        <is>
          <t>Bergvik skog öst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56350-2022</t>
        </is>
      </c>
      <c r="B3105" s="1" t="n">
        <v>44890</v>
      </c>
      <c r="C3105" s="1" t="n">
        <v>45706</v>
      </c>
      <c r="D3105" t="inlineStr">
        <is>
          <t>UPPSALA LÄN</t>
        </is>
      </c>
      <c r="E3105" t="inlineStr">
        <is>
          <t>TIERP</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56438-2022</t>
        </is>
      </c>
      <c r="B3106" s="1" t="n">
        <v>44892</v>
      </c>
      <c r="C3106" s="1" t="n">
        <v>45706</v>
      </c>
      <c r="D3106" t="inlineStr">
        <is>
          <t>UPPSALA LÄN</t>
        </is>
      </c>
      <c r="E3106" t="inlineStr">
        <is>
          <t>TIERP</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56545-2022</t>
        </is>
      </c>
      <c r="B3107" s="1" t="n">
        <v>44893</v>
      </c>
      <c r="C3107" s="1" t="n">
        <v>45706</v>
      </c>
      <c r="D3107" t="inlineStr">
        <is>
          <t>UPPSALA LÄN</t>
        </is>
      </c>
      <c r="E3107" t="inlineStr">
        <is>
          <t>HÅBO</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56526-2022</t>
        </is>
      </c>
      <c r="B3108" s="1" t="n">
        <v>44893</v>
      </c>
      <c r="C3108" s="1" t="n">
        <v>45706</v>
      </c>
      <c r="D3108" t="inlineStr">
        <is>
          <t>UPPSALA LÄN</t>
        </is>
      </c>
      <c r="E3108" t="inlineStr">
        <is>
          <t>ENKÖPING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56679-2022</t>
        </is>
      </c>
      <c r="B3109" s="1" t="n">
        <v>44893</v>
      </c>
      <c r="C3109" s="1" t="n">
        <v>45706</v>
      </c>
      <c r="D3109" t="inlineStr">
        <is>
          <t>UPPSALA LÄN</t>
        </is>
      </c>
      <c r="E3109" t="inlineStr">
        <is>
          <t>UPPSALA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56889-2022</t>
        </is>
      </c>
      <c r="B3110" s="1" t="n">
        <v>44894</v>
      </c>
      <c r="C3110" s="1" t="n">
        <v>45706</v>
      </c>
      <c r="D3110" t="inlineStr">
        <is>
          <t>UPPSALA LÄN</t>
        </is>
      </c>
      <c r="E3110" t="inlineStr">
        <is>
          <t>UPPSALA</t>
        </is>
      </c>
      <c r="F3110" t="inlineStr">
        <is>
          <t>Övriga Aktiebolag</t>
        </is>
      </c>
      <c r="G3110" t="n">
        <v>21.6</v>
      </c>
      <c r="H3110" t="n">
        <v>0</v>
      </c>
      <c r="I3110" t="n">
        <v>0</v>
      </c>
      <c r="J3110" t="n">
        <v>0</v>
      </c>
      <c r="K3110" t="n">
        <v>0</v>
      </c>
      <c r="L3110" t="n">
        <v>0</v>
      </c>
      <c r="M3110" t="n">
        <v>0</v>
      </c>
      <c r="N3110" t="n">
        <v>0</v>
      </c>
      <c r="O3110" t="n">
        <v>0</v>
      </c>
      <c r="P3110" t="n">
        <v>0</v>
      </c>
      <c r="Q3110" t="n">
        <v>0</v>
      </c>
      <c r="R3110" s="2" t="inlineStr"/>
    </row>
    <row r="3111" ht="15" customHeight="1">
      <c r="A3111" t="inlineStr">
        <is>
          <t>A 56966-2022</t>
        </is>
      </c>
      <c r="B3111" s="1" t="n">
        <v>44894</v>
      </c>
      <c r="C3111" s="1" t="n">
        <v>45706</v>
      </c>
      <c r="D3111" t="inlineStr">
        <is>
          <t>UPPSALA LÄN</t>
        </is>
      </c>
      <c r="E3111" t="inlineStr">
        <is>
          <t>TIERP</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56972-2022</t>
        </is>
      </c>
      <c r="B3112" s="1" t="n">
        <v>44894</v>
      </c>
      <c r="C3112" s="1" t="n">
        <v>45706</v>
      </c>
      <c r="D3112" t="inlineStr">
        <is>
          <t>UPPSALA LÄN</t>
        </is>
      </c>
      <c r="E3112" t="inlineStr">
        <is>
          <t>TIERP</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56795-2022</t>
        </is>
      </c>
      <c r="B3113" s="1" t="n">
        <v>44894</v>
      </c>
      <c r="C3113" s="1" t="n">
        <v>45706</v>
      </c>
      <c r="D3113" t="inlineStr">
        <is>
          <t>UPPSALA LÄN</t>
        </is>
      </c>
      <c r="E3113" t="inlineStr">
        <is>
          <t>UPPSALA</t>
        </is>
      </c>
      <c r="F3113" t="inlineStr">
        <is>
          <t>Holmen skog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56779-2022</t>
        </is>
      </c>
      <c r="B3114" s="1" t="n">
        <v>44894</v>
      </c>
      <c r="C3114" s="1" t="n">
        <v>45706</v>
      </c>
      <c r="D3114" t="inlineStr">
        <is>
          <t>UPPSALA LÄN</t>
        </is>
      </c>
      <c r="E3114" t="inlineStr">
        <is>
          <t>UPPSALA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56877-2022</t>
        </is>
      </c>
      <c r="B3115" s="1" t="n">
        <v>44894</v>
      </c>
      <c r="C3115" s="1" t="n">
        <v>45706</v>
      </c>
      <c r="D3115" t="inlineStr">
        <is>
          <t>UPPSALA LÄN</t>
        </is>
      </c>
      <c r="E3115" t="inlineStr">
        <is>
          <t>TIERP</t>
        </is>
      </c>
      <c r="F3115" t="inlineStr">
        <is>
          <t>Bergvik skog väst AB</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56947-2022</t>
        </is>
      </c>
      <c r="B3116" s="1" t="n">
        <v>44894</v>
      </c>
      <c r="C3116" s="1" t="n">
        <v>45706</v>
      </c>
      <c r="D3116" t="inlineStr">
        <is>
          <t>UPPSALA LÄN</t>
        </is>
      </c>
      <c r="E3116" t="inlineStr">
        <is>
          <t>TIERP</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56969-2022</t>
        </is>
      </c>
      <c r="B3117" s="1" t="n">
        <v>44894</v>
      </c>
      <c r="C3117" s="1" t="n">
        <v>45706</v>
      </c>
      <c r="D3117" t="inlineStr">
        <is>
          <t>UPPSALA LÄN</t>
        </is>
      </c>
      <c r="E3117" t="inlineStr">
        <is>
          <t>ÖSTHAMMAR</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57462-2022</t>
        </is>
      </c>
      <c r="B3118" s="1" t="n">
        <v>44896</v>
      </c>
      <c r="C3118" s="1" t="n">
        <v>45706</v>
      </c>
      <c r="D3118" t="inlineStr">
        <is>
          <t>UPPSALA LÄN</t>
        </is>
      </c>
      <c r="E3118" t="inlineStr">
        <is>
          <t>ÖSTHAMMAR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57453-2022</t>
        </is>
      </c>
      <c r="B3119" s="1" t="n">
        <v>44896</v>
      </c>
      <c r="C3119" s="1" t="n">
        <v>45706</v>
      </c>
      <c r="D3119" t="inlineStr">
        <is>
          <t>UPPSALA LÄN</t>
        </is>
      </c>
      <c r="E3119" t="inlineStr">
        <is>
          <t>ÖSTHAMMAR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57532-2022</t>
        </is>
      </c>
      <c r="B3120" s="1" t="n">
        <v>44896</v>
      </c>
      <c r="C3120" s="1" t="n">
        <v>45706</v>
      </c>
      <c r="D3120" t="inlineStr">
        <is>
          <t>UPPSALA LÄN</t>
        </is>
      </c>
      <c r="E3120" t="inlineStr">
        <is>
          <t>TIERP</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57495-2022</t>
        </is>
      </c>
      <c r="B3121" s="1" t="n">
        <v>44896</v>
      </c>
      <c r="C3121" s="1" t="n">
        <v>45706</v>
      </c>
      <c r="D3121" t="inlineStr">
        <is>
          <t>UPPSALA LÄN</t>
        </is>
      </c>
      <c r="E3121" t="inlineStr">
        <is>
          <t>UPPSALA</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57536-2022</t>
        </is>
      </c>
      <c r="B3122" s="1" t="n">
        <v>44896</v>
      </c>
      <c r="C3122" s="1" t="n">
        <v>45706</v>
      </c>
      <c r="D3122" t="inlineStr">
        <is>
          <t>UPPSALA LÄN</t>
        </is>
      </c>
      <c r="E3122" t="inlineStr">
        <is>
          <t>TIERP</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57563-2022</t>
        </is>
      </c>
      <c r="B3123" s="1" t="n">
        <v>44896</v>
      </c>
      <c r="C3123" s="1" t="n">
        <v>45706</v>
      </c>
      <c r="D3123" t="inlineStr">
        <is>
          <t>UPPSALA LÄN</t>
        </is>
      </c>
      <c r="E3123" t="inlineStr">
        <is>
          <t>ENKÖPING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57714-2022</t>
        </is>
      </c>
      <c r="B3124" s="1" t="n">
        <v>44897</v>
      </c>
      <c r="C3124" s="1" t="n">
        <v>45706</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57809-2022</t>
        </is>
      </c>
      <c r="B3125" s="1" t="n">
        <v>44897</v>
      </c>
      <c r="C3125" s="1" t="n">
        <v>45706</v>
      </c>
      <c r="D3125" t="inlineStr">
        <is>
          <t>UPPSALA LÄN</t>
        </is>
      </c>
      <c r="E3125" t="inlineStr">
        <is>
          <t>UPPSALA</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58023-2022</t>
        </is>
      </c>
      <c r="B3126" s="1" t="n">
        <v>44900</v>
      </c>
      <c r="C3126" s="1" t="n">
        <v>45706</v>
      </c>
      <c r="D3126" t="inlineStr">
        <is>
          <t>UPPSALA LÄN</t>
        </is>
      </c>
      <c r="E3126" t="inlineStr">
        <is>
          <t>UPPSALA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58096-2022</t>
        </is>
      </c>
      <c r="B3127" s="1" t="n">
        <v>44900</v>
      </c>
      <c r="C3127" s="1" t="n">
        <v>45706</v>
      </c>
      <c r="D3127" t="inlineStr">
        <is>
          <t>UPPSALA LÄN</t>
        </is>
      </c>
      <c r="E3127" t="inlineStr">
        <is>
          <t>UPPSALA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57940-2022</t>
        </is>
      </c>
      <c r="B3128" s="1" t="n">
        <v>44900</v>
      </c>
      <c r="C3128" s="1" t="n">
        <v>45706</v>
      </c>
      <c r="D3128" t="inlineStr">
        <is>
          <t>UPPSALA LÄN</t>
        </is>
      </c>
      <c r="E3128" t="inlineStr">
        <is>
          <t>ENKÖPING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58120-2022</t>
        </is>
      </c>
      <c r="B3129" s="1" t="n">
        <v>44900</v>
      </c>
      <c r="C3129" s="1" t="n">
        <v>45706</v>
      </c>
      <c r="D3129" t="inlineStr">
        <is>
          <t>UPPSALA LÄN</t>
        </is>
      </c>
      <c r="E3129" t="inlineStr">
        <is>
          <t>TIERP</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58127-2022</t>
        </is>
      </c>
      <c r="B3130" s="1" t="n">
        <v>44900</v>
      </c>
      <c r="C3130" s="1" t="n">
        <v>45706</v>
      </c>
      <c r="D3130" t="inlineStr">
        <is>
          <t>UPPSALA LÄN</t>
        </is>
      </c>
      <c r="E3130" t="inlineStr">
        <is>
          <t>ÖSTHAMMAR</t>
        </is>
      </c>
      <c r="F3130" t="inlineStr">
        <is>
          <t>Bergvik skog öst AB</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58058-2022</t>
        </is>
      </c>
      <c r="B3131" s="1" t="n">
        <v>44900</v>
      </c>
      <c r="C3131" s="1" t="n">
        <v>45706</v>
      </c>
      <c r="D3131" t="inlineStr">
        <is>
          <t>UPPSALA LÄN</t>
        </is>
      </c>
      <c r="E3131" t="inlineStr">
        <is>
          <t>TIERP</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58080-2022</t>
        </is>
      </c>
      <c r="B3132" s="1" t="n">
        <v>44900</v>
      </c>
      <c r="C3132" s="1" t="n">
        <v>45706</v>
      </c>
      <c r="D3132" t="inlineStr">
        <is>
          <t>UPPSALA LÄN</t>
        </is>
      </c>
      <c r="E3132" t="inlineStr">
        <is>
          <t>TIERP</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58124-2022</t>
        </is>
      </c>
      <c r="B3133" s="1" t="n">
        <v>44900</v>
      </c>
      <c r="C3133" s="1" t="n">
        <v>45706</v>
      </c>
      <c r="D3133" t="inlineStr">
        <is>
          <t>UPPSALA LÄN</t>
        </is>
      </c>
      <c r="E3133" t="inlineStr">
        <is>
          <t>HEBY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58367-2022</t>
        </is>
      </c>
      <c r="B3134" s="1" t="n">
        <v>44901</v>
      </c>
      <c r="C3134" s="1" t="n">
        <v>45706</v>
      </c>
      <c r="D3134" t="inlineStr">
        <is>
          <t>UPPSALA LÄN</t>
        </is>
      </c>
      <c r="E3134" t="inlineStr">
        <is>
          <t>ÖSTHAMMAR</t>
        </is>
      </c>
      <c r="F3134" t="inlineStr">
        <is>
          <t>Bergvik skog öst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58222-2022</t>
        </is>
      </c>
      <c r="B3135" s="1" t="n">
        <v>44901</v>
      </c>
      <c r="C3135" s="1" t="n">
        <v>45706</v>
      </c>
      <c r="D3135" t="inlineStr">
        <is>
          <t>UPPSALA LÄN</t>
        </is>
      </c>
      <c r="E3135" t="inlineStr">
        <is>
          <t>TIERP</t>
        </is>
      </c>
      <c r="F3135" t="inlineStr">
        <is>
          <t>Bergvik skog väst AB</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58384-2022</t>
        </is>
      </c>
      <c r="B3136" s="1" t="n">
        <v>44901</v>
      </c>
      <c r="C3136" s="1" t="n">
        <v>45706</v>
      </c>
      <c r="D3136" t="inlineStr">
        <is>
          <t>UPPSALA LÄN</t>
        </is>
      </c>
      <c r="E3136" t="inlineStr">
        <is>
          <t>ENKÖPING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58243-2022</t>
        </is>
      </c>
      <c r="B3137" s="1" t="n">
        <v>44901</v>
      </c>
      <c r="C3137" s="1" t="n">
        <v>45706</v>
      </c>
      <c r="D3137" t="inlineStr">
        <is>
          <t>UPPSALA LÄN</t>
        </is>
      </c>
      <c r="E3137" t="inlineStr">
        <is>
          <t>UPPSALA</t>
        </is>
      </c>
      <c r="F3137" t="inlineStr">
        <is>
          <t>Sveaskog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58412-2022</t>
        </is>
      </c>
      <c r="B3138" s="1" t="n">
        <v>44901</v>
      </c>
      <c r="C3138" s="1" t="n">
        <v>45706</v>
      </c>
      <c r="D3138" t="inlineStr">
        <is>
          <t>UPPSALA LÄN</t>
        </is>
      </c>
      <c r="E3138" t="inlineStr">
        <is>
          <t>HEBY</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58410-2022</t>
        </is>
      </c>
      <c r="B3139" s="1" t="n">
        <v>44901</v>
      </c>
      <c r="C3139" s="1" t="n">
        <v>45706</v>
      </c>
      <c r="D3139" t="inlineStr">
        <is>
          <t>UPPSALA LÄN</t>
        </is>
      </c>
      <c r="E3139" t="inlineStr">
        <is>
          <t>HEBY</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58691-2022</t>
        </is>
      </c>
      <c r="B3140" s="1" t="n">
        <v>44902</v>
      </c>
      <c r="C3140" s="1" t="n">
        <v>45706</v>
      </c>
      <c r="D3140" t="inlineStr">
        <is>
          <t>UPPSALA LÄN</t>
        </is>
      </c>
      <c r="E3140" t="inlineStr">
        <is>
          <t>TIERP</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58878-2022</t>
        </is>
      </c>
      <c r="B3141" s="1" t="n">
        <v>44903</v>
      </c>
      <c r="C3141" s="1" t="n">
        <v>45706</v>
      </c>
      <c r="D3141" t="inlineStr">
        <is>
          <t>UPPSALA LÄN</t>
        </is>
      </c>
      <c r="E3141" t="inlineStr">
        <is>
          <t>ÖSTHAMMAR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58957-2022</t>
        </is>
      </c>
      <c r="B3142" s="1" t="n">
        <v>44903</v>
      </c>
      <c r="C3142" s="1" t="n">
        <v>45706</v>
      </c>
      <c r="D3142" t="inlineStr">
        <is>
          <t>UPPSALA LÄN</t>
        </is>
      </c>
      <c r="E3142" t="inlineStr">
        <is>
          <t>TIERP</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59015-2022</t>
        </is>
      </c>
      <c r="B3143" s="1" t="n">
        <v>44903</v>
      </c>
      <c r="C3143" s="1" t="n">
        <v>45706</v>
      </c>
      <c r="D3143" t="inlineStr">
        <is>
          <t>UPPSALA LÄN</t>
        </is>
      </c>
      <c r="E3143" t="inlineStr">
        <is>
          <t>HEBY</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60258-2022</t>
        </is>
      </c>
      <c r="B3144" s="1" t="n">
        <v>44903</v>
      </c>
      <c r="C3144" s="1" t="n">
        <v>45706</v>
      </c>
      <c r="D3144" t="inlineStr">
        <is>
          <t>UPPSALA LÄN</t>
        </is>
      </c>
      <c r="E3144" t="inlineStr">
        <is>
          <t>ÖSTHAMMAR</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59190-2022</t>
        </is>
      </c>
      <c r="B3145" s="1" t="n">
        <v>44904</v>
      </c>
      <c r="C3145" s="1" t="n">
        <v>45706</v>
      </c>
      <c r="D3145" t="inlineStr">
        <is>
          <t>UPPSALA LÄN</t>
        </is>
      </c>
      <c r="E3145" t="inlineStr">
        <is>
          <t>ENKÖPING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59200-2022</t>
        </is>
      </c>
      <c r="B3146" s="1" t="n">
        <v>44904</v>
      </c>
      <c r="C3146" s="1" t="n">
        <v>45706</v>
      </c>
      <c r="D3146" t="inlineStr">
        <is>
          <t>UPPSALA LÄN</t>
        </is>
      </c>
      <c r="E3146" t="inlineStr">
        <is>
          <t>ENKÖPING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59337-2022</t>
        </is>
      </c>
      <c r="B3147" s="1" t="n">
        <v>44904</v>
      </c>
      <c r="C3147" s="1" t="n">
        <v>45706</v>
      </c>
      <c r="D3147" t="inlineStr">
        <is>
          <t>UPPSALA LÄN</t>
        </is>
      </c>
      <c r="E3147" t="inlineStr">
        <is>
          <t>ENKÖPING</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59203-2022</t>
        </is>
      </c>
      <c r="B3148" s="1" t="n">
        <v>44904</v>
      </c>
      <c r="C3148" s="1" t="n">
        <v>45706</v>
      </c>
      <c r="D3148" t="inlineStr">
        <is>
          <t>UPPSALA LÄN</t>
        </is>
      </c>
      <c r="E3148" t="inlineStr">
        <is>
          <t>ENKÖPING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59344-2022</t>
        </is>
      </c>
      <c r="B3149" s="1" t="n">
        <v>44904</v>
      </c>
      <c r="C3149" s="1" t="n">
        <v>45706</v>
      </c>
      <c r="D3149" t="inlineStr">
        <is>
          <t>UPPSALA LÄN</t>
        </is>
      </c>
      <c r="E3149" t="inlineStr">
        <is>
          <t>ENKÖPING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59133-2022</t>
        </is>
      </c>
      <c r="B3150" s="1" t="n">
        <v>44904</v>
      </c>
      <c r="C3150" s="1" t="n">
        <v>45706</v>
      </c>
      <c r="D3150" t="inlineStr">
        <is>
          <t>UPPSALA LÄN</t>
        </is>
      </c>
      <c r="E3150" t="inlineStr">
        <is>
          <t>UPPSALA</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59345-2022</t>
        </is>
      </c>
      <c r="B3151" s="1" t="n">
        <v>44904</v>
      </c>
      <c r="C3151" s="1" t="n">
        <v>45706</v>
      </c>
      <c r="D3151" t="inlineStr">
        <is>
          <t>UPPSALA LÄN</t>
        </is>
      </c>
      <c r="E3151" t="inlineStr">
        <is>
          <t>ENKÖPING</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59382-2022</t>
        </is>
      </c>
      <c r="B3152" s="1" t="n">
        <v>44905</v>
      </c>
      <c r="C3152" s="1" t="n">
        <v>45706</v>
      </c>
      <c r="D3152" t="inlineStr">
        <is>
          <t>UPPSALA LÄN</t>
        </is>
      </c>
      <c r="E3152" t="inlineStr">
        <is>
          <t>ÖSTHAMMAR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59393-2022</t>
        </is>
      </c>
      <c r="B3153" s="1" t="n">
        <v>44906</v>
      </c>
      <c r="C3153" s="1" t="n">
        <v>45706</v>
      </c>
      <c r="D3153" t="inlineStr">
        <is>
          <t>UPPSALA LÄN</t>
        </is>
      </c>
      <c r="E3153" t="inlineStr">
        <is>
          <t>TIERP</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59394-2022</t>
        </is>
      </c>
      <c r="B3154" s="1" t="n">
        <v>44906</v>
      </c>
      <c r="C3154" s="1" t="n">
        <v>45706</v>
      </c>
      <c r="D3154" t="inlineStr">
        <is>
          <t>UPPSALA LÄN</t>
        </is>
      </c>
      <c r="E3154" t="inlineStr">
        <is>
          <t>TIERP</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59444-2022</t>
        </is>
      </c>
      <c r="B3155" s="1" t="n">
        <v>44907</v>
      </c>
      <c r="C3155" s="1" t="n">
        <v>45706</v>
      </c>
      <c r="D3155" t="inlineStr">
        <is>
          <t>UPPSALA LÄN</t>
        </is>
      </c>
      <c r="E3155" t="inlineStr">
        <is>
          <t>HEBY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59563-2022</t>
        </is>
      </c>
      <c r="B3156" s="1" t="n">
        <v>44907</v>
      </c>
      <c r="C3156" s="1" t="n">
        <v>45706</v>
      </c>
      <c r="D3156" t="inlineStr">
        <is>
          <t>UPPSALA LÄN</t>
        </is>
      </c>
      <c r="E3156" t="inlineStr">
        <is>
          <t>ÖSTHAMMAR</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59534-2022</t>
        </is>
      </c>
      <c r="B3157" s="1" t="n">
        <v>44907</v>
      </c>
      <c r="C3157" s="1" t="n">
        <v>45706</v>
      </c>
      <c r="D3157" t="inlineStr">
        <is>
          <t>UPPSALA LÄN</t>
        </is>
      </c>
      <c r="E3157" t="inlineStr">
        <is>
          <t>TIERP</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59609-2022</t>
        </is>
      </c>
      <c r="B3158" s="1" t="n">
        <v>44907</v>
      </c>
      <c r="C3158" s="1" t="n">
        <v>45706</v>
      </c>
      <c r="D3158" t="inlineStr">
        <is>
          <t>UPPSALA LÄN</t>
        </is>
      </c>
      <c r="E3158" t="inlineStr">
        <is>
          <t>ENKÖPING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59608-2022</t>
        </is>
      </c>
      <c r="B3159" s="1" t="n">
        <v>44907</v>
      </c>
      <c r="C3159" s="1" t="n">
        <v>45706</v>
      </c>
      <c r="D3159" t="inlineStr">
        <is>
          <t>UPPSALA LÄN</t>
        </is>
      </c>
      <c r="E3159" t="inlineStr">
        <is>
          <t>ENKÖPING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59602-2022</t>
        </is>
      </c>
      <c r="B3160" s="1" t="n">
        <v>44907</v>
      </c>
      <c r="C3160" s="1" t="n">
        <v>45706</v>
      </c>
      <c r="D3160" t="inlineStr">
        <is>
          <t>UPPSALA LÄN</t>
        </is>
      </c>
      <c r="E3160" t="inlineStr">
        <is>
          <t>ENKÖPING</t>
        </is>
      </c>
      <c r="G3160" t="n">
        <v>14.2</v>
      </c>
      <c r="H3160" t="n">
        <v>0</v>
      </c>
      <c r="I3160" t="n">
        <v>0</v>
      </c>
      <c r="J3160" t="n">
        <v>0</v>
      </c>
      <c r="K3160" t="n">
        <v>0</v>
      </c>
      <c r="L3160" t="n">
        <v>0</v>
      </c>
      <c r="M3160" t="n">
        <v>0</v>
      </c>
      <c r="N3160" t="n">
        <v>0</v>
      </c>
      <c r="O3160" t="n">
        <v>0</v>
      </c>
      <c r="P3160" t="n">
        <v>0</v>
      </c>
      <c r="Q3160" t="n">
        <v>0</v>
      </c>
      <c r="R3160" s="2" t="inlineStr"/>
    </row>
    <row r="3161" ht="15" customHeight="1">
      <c r="A3161" t="inlineStr">
        <is>
          <t>A 59589-2022</t>
        </is>
      </c>
      <c r="B3161" s="1" t="n">
        <v>44907</v>
      </c>
      <c r="C3161" s="1" t="n">
        <v>45706</v>
      </c>
      <c r="D3161" t="inlineStr">
        <is>
          <t>UPPSALA LÄN</t>
        </is>
      </c>
      <c r="E3161" t="inlineStr">
        <is>
          <t>TIERP</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59610-2022</t>
        </is>
      </c>
      <c r="B3162" s="1" t="n">
        <v>44907</v>
      </c>
      <c r="C3162" s="1" t="n">
        <v>45706</v>
      </c>
      <c r="D3162" t="inlineStr">
        <is>
          <t>UPPSALA LÄN</t>
        </is>
      </c>
      <c r="E3162" t="inlineStr">
        <is>
          <t>ENKÖPING</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59730-2022</t>
        </is>
      </c>
      <c r="B3163" s="1" t="n">
        <v>44908</v>
      </c>
      <c r="C3163" s="1" t="n">
        <v>45706</v>
      </c>
      <c r="D3163" t="inlineStr">
        <is>
          <t>UPPSALA LÄN</t>
        </is>
      </c>
      <c r="E3163" t="inlineStr">
        <is>
          <t>UPPSALA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59719-2022</t>
        </is>
      </c>
      <c r="B3164" s="1" t="n">
        <v>44908</v>
      </c>
      <c r="C3164" s="1" t="n">
        <v>45706</v>
      </c>
      <c r="D3164" t="inlineStr">
        <is>
          <t>UPPSALA LÄN</t>
        </is>
      </c>
      <c r="E3164" t="inlineStr">
        <is>
          <t>UPPSALA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59727-2022</t>
        </is>
      </c>
      <c r="B3165" s="1" t="n">
        <v>44908</v>
      </c>
      <c r="C3165" s="1" t="n">
        <v>45706</v>
      </c>
      <c r="D3165" t="inlineStr">
        <is>
          <t>UPPSALA LÄN</t>
        </is>
      </c>
      <c r="E3165" t="inlineStr">
        <is>
          <t>UPPSALA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59731-2022</t>
        </is>
      </c>
      <c r="B3166" s="1" t="n">
        <v>44908</v>
      </c>
      <c r="C3166" s="1" t="n">
        <v>45706</v>
      </c>
      <c r="D3166" t="inlineStr">
        <is>
          <t>UPPSALA LÄN</t>
        </is>
      </c>
      <c r="E3166" t="inlineStr">
        <is>
          <t>TIERP</t>
        </is>
      </c>
      <c r="F3166" t="inlineStr">
        <is>
          <t>Kyrkan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59880-2022</t>
        </is>
      </c>
      <c r="B3167" s="1" t="n">
        <v>44908</v>
      </c>
      <c r="C3167" s="1" t="n">
        <v>45706</v>
      </c>
      <c r="D3167" t="inlineStr">
        <is>
          <t>UPPSALA LÄN</t>
        </is>
      </c>
      <c r="E3167" t="inlineStr">
        <is>
          <t>ÖSTHAMMAR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60056-2022</t>
        </is>
      </c>
      <c r="B3168" s="1" t="n">
        <v>44909</v>
      </c>
      <c r="C3168" s="1" t="n">
        <v>45706</v>
      </c>
      <c r="D3168" t="inlineStr">
        <is>
          <t>UPPSALA LÄN</t>
        </is>
      </c>
      <c r="E3168" t="inlineStr">
        <is>
          <t>UPPSALA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60154-2022</t>
        </is>
      </c>
      <c r="B3169" s="1" t="n">
        <v>44909</v>
      </c>
      <c r="C3169" s="1" t="n">
        <v>45706</v>
      </c>
      <c r="D3169" t="inlineStr">
        <is>
          <t>UPPSALA LÄN</t>
        </is>
      </c>
      <c r="E3169" t="inlineStr">
        <is>
          <t>TIERP</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60047-2022</t>
        </is>
      </c>
      <c r="B3170" s="1" t="n">
        <v>44909</v>
      </c>
      <c r="C3170" s="1" t="n">
        <v>45706</v>
      </c>
      <c r="D3170" t="inlineStr">
        <is>
          <t>UPPSALA LÄN</t>
        </is>
      </c>
      <c r="E3170" t="inlineStr">
        <is>
          <t>UPPSALA</t>
        </is>
      </c>
      <c r="F3170" t="inlineStr">
        <is>
          <t>Kyrkan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60079-2022</t>
        </is>
      </c>
      <c r="B3171" s="1" t="n">
        <v>44909</v>
      </c>
      <c r="C3171" s="1" t="n">
        <v>45706</v>
      </c>
      <c r="D3171" t="inlineStr">
        <is>
          <t>UPPSALA LÄN</t>
        </is>
      </c>
      <c r="E3171" t="inlineStr">
        <is>
          <t>ÖSTHAMMAR</t>
        </is>
      </c>
      <c r="G3171" t="n">
        <v>9.6</v>
      </c>
      <c r="H3171" t="n">
        <v>0</v>
      </c>
      <c r="I3171" t="n">
        <v>0</v>
      </c>
      <c r="J3171" t="n">
        <v>0</v>
      </c>
      <c r="K3171" t="n">
        <v>0</v>
      </c>
      <c r="L3171" t="n">
        <v>0</v>
      </c>
      <c r="M3171" t="n">
        <v>0</v>
      </c>
      <c r="N3171" t="n">
        <v>0</v>
      </c>
      <c r="O3171" t="n">
        <v>0</v>
      </c>
      <c r="P3171" t="n">
        <v>0</v>
      </c>
      <c r="Q3171" t="n">
        <v>0</v>
      </c>
      <c r="R3171" s="2" t="inlineStr"/>
    </row>
    <row r="3172" ht="15" customHeight="1">
      <c r="A3172" t="inlineStr">
        <is>
          <t>A 59963-2022</t>
        </is>
      </c>
      <c r="B3172" s="1" t="n">
        <v>44909</v>
      </c>
      <c r="C3172" s="1" t="n">
        <v>45706</v>
      </c>
      <c r="D3172" t="inlineStr">
        <is>
          <t>UPPSALA LÄN</t>
        </is>
      </c>
      <c r="E3172" t="inlineStr">
        <is>
          <t>HEBY</t>
        </is>
      </c>
      <c r="F3172" t="inlineStr">
        <is>
          <t>Allmännings- och besparingsskogar</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60132-2022</t>
        </is>
      </c>
      <c r="B3173" s="1" t="n">
        <v>44909</v>
      </c>
      <c r="C3173" s="1" t="n">
        <v>45706</v>
      </c>
      <c r="D3173" t="inlineStr">
        <is>
          <t>UPPSALA LÄN</t>
        </is>
      </c>
      <c r="E3173" t="inlineStr">
        <is>
          <t>ENKÖPING</t>
        </is>
      </c>
      <c r="F3173" t="inlineStr">
        <is>
          <t>Allmännings- och besparingsskogar</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60151-2022</t>
        </is>
      </c>
      <c r="B3174" s="1" t="n">
        <v>44909</v>
      </c>
      <c r="C3174" s="1" t="n">
        <v>45706</v>
      </c>
      <c r="D3174" t="inlineStr">
        <is>
          <t>UPPSALA LÄN</t>
        </is>
      </c>
      <c r="E3174" t="inlineStr">
        <is>
          <t>TIERP</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59968-2022</t>
        </is>
      </c>
      <c r="B3175" s="1" t="n">
        <v>44909</v>
      </c>
      <c r="C3175" s="1" t="n">
        <v>45706</v>
      </c>
      <c r="D3175" t="inlineStr">
        <is>
          <t>UPPSALA LÄN</t>
        </is>
      </c>
      <c r="E3175" t="inlineStr">
        <is>
          <t>HEBY</t>
        </is>
      </c>
      <c r="F3175" t="inlineStr">
        <is>
          <t>Allmännings- och besparingsskogar</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60289-2022</t>
        </is>
      </c>
      <c r="B3176" s="1" t="n">
        <v>44910</v>
      </c>
      <c r="C3176" s="1" t="n">
        <v>45706</v>
      </c>
      <c r="D3176" t="inlineStr">
        <is>
          <t>UPPSALA LÄN</t>
        </is>
      </c>
      <c r="E3176" t="inlineStr">
        <is>
          <t>ENKÖPING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60350-2022</t>
        </is>
      </c>
      <c r="B3177" s="1" t="n">
        <v>44910</v>
      </c>
      <c r="C3177" s="1" t="n">
        <v>45706</v>
      </c>
      <c r="D3177" t="inlineStr">
        <is>
          <t>UPPSALA LÄN</t>
        </is>
      </c>
      <c r="E3177" t="inlineStr">
        <is>
          <t>ENKÖPING</t>
        </is>
      </c>
      <c r="F3177" t="inlineStr">
        <is>
          <t>Allmännings- och besparingsskogar</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61434-2022</t>
        </is>
      </c>
      <c r="B3178" s="1" t="n">
        <v>44910</v>
      </c>
      <c r="C3178" s="1" t="n">
        <v>45706</v>
      </c>
      <c r="D3178" t="inlineStr">
        <is>
          <t>UPPSALA LÄN</t>
        </is>
      </c>
      <c r="E3178" t="inlineStr">
        <is>
          <t>HEBY</t>
        </is>
      </c>
      <c r="F3178" t="inlineStr">
        <is>
          <t>Bergvik skog väst AB</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60456-2022</t>
        </is>
      </c>
      <c r="B3179" s="1" t="n">
        <v>44911</v>
      </c>
      <c r="C3179" s="1" t="n">
        <v>45706</v>
      </c>
      <c r="D3179" t="inlineStr">
        <is>
          <t>UPPSALA LÄN</t>
        </is>
      </c>
      <c r="E3179" t="inlineStr">
        <is>
          <t>HEBY</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60478-2022</t>
        </is>
      </c>
      <c r="B3180" s="1" t="n">
        <v>44911</v>
      </c>
      <c r="C3180" s="1" t="n">
        <v>45706</v>
      </c>
      <c r="D3180" t="inlineStr">
        <is>
          <t>UPPSALA LÄN</t>
        </is>
      </c>
      <c r="E3180" t="inlineStr">
        <is>
          <t>ENKÖPING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60552-2022</t>
        </is>
      </c>
      <c r="B3181" s="1" t="n">
        <v>44911</v>
      </c>
      <c r="C3181" s="1" t="n">
        <v>45706</v>
      </c>
      <c r="D3181" t="inlineStr">
        <is>
          <t>UPPSALA LÄN</t>
        </is>
      </c>
      <c r="E3181" t="inlineStr">
        <is>
          <t>HEBY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60461-2022</t>
        </is>
      </c>
      <c r="B3182" s="1" t="n">
        <v>44911</v>
      </c>
      <c r="C3182" s="1" t="n">
        <v>45706</v>
      </c>
      <c r="D3182" t="inlineStr">
        <is>
          <t>UPPSALA LÄN</t>
        </is>
      </c>
      <c r="E3182" t="inlineStr">
        <is>
          <t>HEBY</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60597-2022</t>
        </is>
      </c>
      <c r="B3183" s="1" t="n">
        <v>44911</v>
      </c>
      <c r="C3183" s="1" t="n">
        <v>45706</v>
      </c>
      <c r="D3183" t="inlineStr">
        <is>
          <t>UPPSALA LÄN</t>
        </is>
      </c>
      <c r="E3183" t="inlineStr">
        <is>
          <t>ÖSTHAMMAR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60505-2022</t>
        </is>
      </c>
      <c r="B3184" s="1" t="n">
        <v>44911</v>
      </c>
      <c r="C3184" s="1" t="n">
        <v>45706</v>
      </c>
      <c r="D3184" t="inlineStr">
        <is>
          <t>UPPSALA LÄN</t>
        </is>
      </c>
      <c r="E3184" t="inlineStr">
        <is>
          <t>TIERP</t>
        </is>
      </c>
      <c r="F3184" t="inlineStr">
        <is>
          <t>Bergvik skog öst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60702-2022</t>
        </is>
      </c>
      <c r="B3185" s="1" t="n">
        <v>44912</v>
      </c>
      <c r="C3185" s="1" t="n">
        <v>45706</v>
      </c>
      <c r="D3185" t="inlineStr">
        <is>
          <t>UPPSALA LÄN</t>
        </is>
      </c>
      <c r="E3185" t="inlineStr">
        <is>
          <t>UPPSALA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60701-2022</t>
        </is>
      </c>
      <c r="B3186" s="1" t="n">
        <v>44912</v>
      </c>
      <c r="C3186" s="1" t="n">
        <v>45706</v>
      </c>
      <c r="D3186" t="inlineStr">
        <is>
          <t>UPPSALA LÄN</t>
        </is>
      </c>
      <c r="E3186" t="inlineStr">
        <is>
          <t>UPPSALA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60722-2022</t>
        </is>
      </c>
      <c r="B3187" s="1" t="n">
        <v>44913</v>
      </c>
      <c r="C3187" s="1" t="n">
        <v>45706</v>
      </c>
      <c r="D3187" t="inlineStr">
        <is>
          <t>UPPSALA LÄN</t>
        </is>
      </c>
      <c r="E3187" t="inlineStr">
        <is>
          <t>HEBY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60788-2022</t>
        </is>
      </c>
      <c r="B3188" s="1" t="n">
        <v>44914</v>
      </c>
      <c r="C3188" s="1" t="n">
        <v>45706</v>
      </c>
      <c r="D3188" t="inlineStr">
        <is>
          <t>UPPSALA LÄN</t>
        </is>
      </c>
      <c r="E3188" t="inlineStr">
        <is>
          <t>HEBY</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60798-2022</t>
        </is>
      </c>
      <c r="B3189" s="1" t="n">
        <v>44914</v>
      </c>
      <c r="C3189" s="1" t="n">
        <v>45706</v>
      </c>
      <c r="D3189" t="inlineStr">
        <is>
          <t>UPPSALA LÄN</t>
        </is>
      </c>
      <c r="E3189" t="inlineStr">
        <is>
          <t>HEBY</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60837-2022</t>
        </is>
      </c>
      <c r="B3190" s="1" t="n">
        <v>44914</v>
      </c>
      <c r="C3190" s="1" t="n">
        <v>45706</v>
      </c>
      <c r="D3190" t="inlineStr">
        <is>
          <t>UPPSALA LÄN</t>
        </is>
      </c>
      <c r="E3190" t="inlineStr">
        <is>
          <t>ÄLVKARLEBY</t>
        </is>
      </c>
      <c r="F3190" t="inlineStr">
        <is>
          <t>Bergvik skog väst AB</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60984-2022</t>
        </is>
      </c>
      <c r="B3191" s="1" t="n">
        <v>44914</v>
      </c>
      <c r="C3191" s="1" t="n">
        <v>45706</v>
      </c>
      <c r="D3191" t="inlineStr">
        <is>
          <t>UPPSALA LÄN</t>
        </is>
      </c>
      <c r="E3191" t="inlineStr">
        <is>
          <t>UPPSALA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60900-2022</t>
        </is>
      </c>
      <c r="B3192" s="1" t="n">
        <v>44914</v>
      </c>
      <c r="C3192" s="1" t="n">
        <v>45706</v>
      </c>
      <c r="D3192" t="inlineStr">
        <is>
          <t>UPPSALA LÄN</t>
        </is>
      </c>
      <c r="E3192" t="inlineStr">
        <is>
          <t>HEBY</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60986-2022</t>
        </is>
      </c>
      <c r="B3193" s="1" t="n">
        <v>44914</v>
      </c>
      <c r="C3193" s="1" t="n">
        <v>45706</v>
      </c>
      <c r="D3193" t="inlineStr">
        <is>
          <t>UPPSALA LÄN</t>
        </is>
      </c>
      <c r="E3193" t="inlineStr">
        <is>
          <t>UPPSALA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60988-2022</t>
        </is>
      </c>
      <c r="B3194" s="1" t="n">
        <v>44914</v>
      </c>
      <c r="C3194" s="1" t="n">
        <v>45706</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62132-2022</t>
        </is>
      </c>
      <c r="B3195" s="1" t="n">
        <v>44914</v>
      </c>
      <c r="C3195" s="1" t="n">
        <v>45706</v>
      </c>
      <c r="D3195" t="inlineStr">
        <is>
          <t>UPPSALA LÄN</t>
        </is>
      </c>
      <c r="E3195" t="inlineStr">
        <is>
          <t>HEBY</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62145-2022</t>
        </is>
      </c>
      <c r="B3196" s="1" t="n">
        <v>44914</v>
      </c>
      <c r="C3196" s="1" t="n">
        <v>45706</v>
      </c>
      <c r="D3196" t="inlineStr">
        <is>
          <t>UPPSALA LÄN</t>
        </is>
      </c>
      <c r="E3196" t="inlineStr">
        <is>
          <t>HEBY</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61125-2022</t>
        </is>
      </c>
      <c r="B3197" s="1" t="n">
        <v>44915</v>
      </c>
      <c r="C3197" s="1" t="n">
        <v>45706</v>
      </c>
      <c r="D3197" t="inlineStr">
        <is>
          <t>UPPSALA LÄN</t>
        </is>
      </c>
      <c r="E3197" t="inlineStr">
        <is>
          <t>ENKÖPING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61142-2022</t>
        </is>
      </c>
      <c r="B3198" s="1" t="n">
        <v>44915</v>
      </c>
      <c r="C3198" s="1" t="n">
        <v>45706</v>
      </c>
      <c r="D3198" t="inlineStr">
        <is>
          <t>UPPSALA LÄN</t>
        </is>
      </c>
      <c r="E3198" t="inlineStr">
        <is>
          <t>HEBY</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61181-2022</t>
        </is>
      </c>
      <c r="B3199" s="1" t="n">
        <v>44915</v>
      </c>
      <c r="C3199" s="1" t="n">
        <v>45706</v>
      </c>
      <c r="D3199" t="inlineStr">
        <is>
          <t>UPPSALA LÄN</t>
        </is>
      </c>
      <c r="E3199" t="inlineStr">
        <is>
          <t>ENKÖPING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61261-2022</t>
        </is>
      </c>
      <c r="B3200" s="1" t="n">
        <v>44915</v>
      </c>
      <c r="C3200" s="1" t="n">
        <v>45706</v>
      </c>
      <c r="D3200" t="inlineStr">
        <is>
          <t>UPPSALA LÄN</t>
        </is>
      </c>
      <c r="E3200" t="inlineStr">
        <is>
          <t>ÖSTHAMMAR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61106-2022</t>
        </is>
      </c>
      <c r="B3201" s="1" t="n">
        <v>44915</v>
      </c>
      <c r="C3201" s="1" t="n">
        <v>45706</v>
      </c>
      <c r="D3201" t="inlineStr">
        <is>
          <t>UPPSALA LÄN</t>
        </is>
      </c>
      <c r="E3201" t="inlineStr">
        <is>
          <t>ENKÖPING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61144-2022</t>
        </is>
      </c>
      <c r="B3202" s="1" t="n">
        <v>44915</v>
      </c>
      <c r="C3202" s="1" t="n">
        <v>45706</v>
      </c>
      <c r="D3202" t="inlineStr">
        <is>
          <t>UPPSALA LÄN</t>
        </is>
      </c>
      <c r="E3202" t="inlineStr">
        <is>
          <t>HEBY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61216-2022</t>
        </is>
      </c>
      <c r="B3203" s="1" t="n">
        <v>44915</v>
      </c>
      <c r="C3203" s="1" t="n">
        <v>45706</v>
      </c>
      <c r="D3203" t="inlineStr">
        <is>
          <t>UPPSALA LÄN</t>
        </is>
      </c>
      <c r="E3203" t="inlineStr">
        <is>
          <t>ÖSTHAMMAR</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61150-2022</t>
        </is>
      </c>
      <c r="B3204" s="1" t="n">
        <v>44915</v>
      </c>
      <c r="C3204" s="1" t="n">
        <v>45706</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61257-2022</t>
        </is>
      </c>
      <c r="B3205" s="1" t="n">
        <v>44915</v>
      </c>
      <c r="C3205" s="1" t="n">
        <v>45706</v>
      </c>
      <c r="D3205" t="inlineStr">
        <is>
          <t>UPPSALA LÄN</t>
        </is>
      </c>
      <c r="E3205" t="inlineStr">
        <is>
          <t>ÖSTHAMMAR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61453-2022</t>
        </is>
      </c>
      <c r="B3206" s="1" t="n">
        <v>44916</v>
      </c>
      <c r="C3206" s="1" t="n">
        <v>45706</v>
      </c>
      <c r="D3206" t="inlineStr">
        <is>
          <t>UPPSALA LÄN</t>
        </is>
      </c>
      <c r="E3206" t="inlineStr">
        <is>
          <t>HEBY</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61526-2022</t>
        </is>
      </c>
      <c r="B3207" s="1" t="n">
        <v>44916</v>
      </c>
      <c r="C3207" s="1" t="n">
        <v>45706</v>
      </c>
      <c r="D3207" t="inlineStr">
        <is>
          <t>UPPSALA LÄN</t>
        </is>
      </c>
      <c r="E3207" t="inlineStr">
        <is>
          <t>UPPSALA</t>
        </is>
      </c>
      <c r="F3207" t="inlineStr">
        <is>
          <t>Kyrkan</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61590-2022</t>
        </is>
      </c>
      <c r="B3208" s="1" t="n">
        <v>44916</v>
      </c>
      <c r="C3208" s="1" t="n">
        <v>45706</v>
      </c>
      <c r="D3208" t="inlineStr">
        <is>
          <t>UPPSALA LÄN</t>
        </is>
      </c>
      <c r="E3208" t="inlineStr">
        <is>
          <t>HEBY</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61615-2022</t>
        </is>
      </c>
      <c r="B3209" s="1" t="n">
        <v>44916</v>
      </c>
      <c r="C3209" s="1" t="n">
        <v>45706</v>
      </c>
      <c r="D3209" t="inlineStr">
        <is>
          <t>UPPSALA LÄN</t>
        </is>
      </c>
      <c r="E3209" t="inlineStr">
        <is>
          <t>TIERP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61578-2022</t>
        </is>
      </c>
      <c r="B3210" s="1" t="n">
        <v>44916</v>
      </c>
      <c r="C3210" s="1" t="n">
        <v>45706</v>
      </c>
      <c r="D3210" t="inlineStr">
        <is>
          <t>UPPSALA LÄN</t>
        </is>
      </c>
      <c r="E3210" t="inlineStr">
        <is>
          <t>UPPSALA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61617-2022</t>
        </is>
      </c>
      <c r="B3211" s="1" t="n">
        <v>44916</v>
      </c>
      <c r="C3211" s="1" t="n">
        <v>45706</v>
      </c>
      <c r="D3211" t="inlineStr">
        <is>
          <t>UPPSALA LÄN</t>
        </is>
      </c>
      <c r="E3211" t="inlineStr">
        <is>
          <t>TIERP</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62311-2022</t>
        </is>
      </c>
      <c r="B3212" s="1" t="n">
        <v>44916</v>
      </c>
      <c r="C3212" s="1" t="n">
        <v>45706</v>
      </c>
      <c r="D3212" t="inlineStr">
        <is>
          <t>UPPSALA LÄN</t>
        </is>
      </c>
      <c r="E3212" t="inlineStr">
        <is>
          <t>UPPSALA</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62295-2022</t>
        </is>
      </c>
      <c r="B3213" s="1" t="n">
        <v>44916</v>
      </c>
      <c r="C3213" s="1" t="n">
        <v>45706</v>
      </c>
      <c r="D3213" t="inlineStr">
        <is>
          <t>UPPSALA LÄN</t>
        </is>
      </c>
      <c r="E3213" t="inlineStr">
        <is>
          <t>ÖSTHAMMAR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61694-2022</t>
        </is>
      </c>
      <c r="B3214" s="1" t="n">
        <v>44917</v>
      </c>
      <c r="C3214" s="1" t="n">
        <v>45706</v>
      </c>
      <c r="D3214" t="inlineStr">
        <is>
          <t>UPPSALA LÄN</t>
        </is>
      </c>
      <c r="E3214" t="inlineStr">
        <is>
          <t>TIERP</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61715-2022</t>
        </is>
      </c>
      <c r="B3215" s="1" t="n">
        <v>44917</v>
      </c>
      <c r="C3215" s="1" t="n">
        <v>45706</v>
      </c>
      <c r="D3215" t="inlineStr">
        <is>
          <t>UPPSALA LÄN</t>
        </is>
      </c>
      <c r="E3215" t="inlineStr">
        <is>
          <t>TIERP</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61717-2022</t>
        </is>
      </c>
      <c r="B3216" s="1" t="n">
        <v>44917</v>
      </c>
      <c r="C3216" s="1" t="n">
        <v>45706</v>
      </c>
      <c r="D3216" t="inlineStr">
        <is>
          <t>UPPSALA LÄN</t>
        </is>
      </c>
      <c r="E3216" t="inlineStr">
        <is>
          <t>TIERP</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61800-2022</t>
        </is>
      </c>
      <c r="B3217" s="1" t="n">
        <v>44917</v>
      </c>
      <c r="C3217" s="1" t="n">
        <v>45706</v>
      </c>
      <c r="D3217" t="inlineStr">
        <is>
          <t>UPPSALA LÄN</t>
        </is>
      </c>
      <c r="E3217" t="inlineStr">
        <is>
          <t>ENKÖPING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61807-2022</t>
        </is>
      </c>
      <c r="B3218" s="1" t="n">
        <v>44917</v>
      </c>
      <c r="C3218" s="1" t="n">
        <v>45706</v>
      </c>
      <c r="D3218" t="inlineStr">
        <is>
          <t>UPPSALA LÄN</t>
        </is>
      </c>
      <c r="E3218" t="inlineStr">
        <is>
          <t>HEBY</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61875-2022</t>
        </is>
      </c>
      <c r="B3219" s="1" t="n">
        <v>44917</v>
      </c>
      <c r="C3219" s="1" t="n">
        <v>45706</v>
      </c>
      <c r="D3219" t="inlineStr">
        <is>
          <t>UPPSALA LÄN</t>
        </is>
      </c>
      <c r="E3219" t="inlineStr">
        <is>
          <t>HEBY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61801-2022</t>
        </is>
      </c>
      <c r="B3220" s="1" t="n">
        <v>44917</v>
      </c>
      <c r="C3220" s="1" t="n">
        <v>45706</v>
      </c>
      <c r="D3220" t="inlineStr">
        <is>
          <t>UPPSALA LÄN</t>
        </is>
      </c>
      <c r="E3220" t="inlineStr">
        <is>
          <t>HEBY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62716-2022</t>
        </is>
      </c>
      <c r="B3221" s="1" t="n">
        <v>44917</v>
      </c>
      <c r="C3221" s="1" t="n">
        <v>45706</v>
      </c>
      <c r="D3221" t="inlineStr">
        <is>
          <t>UPPSALA LÄN</t>
        </is>
      </c>
      <c r="E3221" t="inlineStr">
        <is>
          <t>ENKÖPING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62138-2022</t>
        </is>
      </c>
      <c r="B3222" s="1" t="n">
        <v>44922</v>
      </c>
      <c r="C3222" s="1" t="n">
        <v>45706</v>
      </c>
      <c r="D3222" t="inlineStr">
        <is>
          <t>UPPSALA LÄN</t>
        </is>
      </c>
      <c r="E3222" t="inlineStr">
        <is>
          <t>TIERP</t>
        </is>
      </c>
      <c r="F3222" t="inlineStr">
        <is>
          <t>Bergvik skog öst AB</t>
        </is>
      </c>
      <c r="G3222" t="n">
        <v>16.9</v>
      </c>
      <c r="H3222" t="n">
        <v>0</v>
      </c>
      <c r="I3222" t="n">
        <v>0</v>
      </c>
      <c r="J3222" t="n">
        <v>0</v>
      </c>
      <c r="K3222" t="n">
        <v>0</v>
      </c>
      <c r="L3222" t="n">
        <v>0</v>
      </c>
      <c r="M3222" t="n">
        <v>0</v>
      </c>
      <c r="N3222" t="n">
        <v>0</v>
      </c>
      <c r="O3222" t="n">
        <v>0</v>
      </c>
      <c r="P3222" t="n">
        <v>0</v>
      </c>
      <c r="Q3222" t="n">
        <v>0</v>
      </c>
      <c r="R3222" s="2" t="inlineStr"/>
    </row>
    <row r="3223" ht="15" customHeight="1">
      <c r="A3223" t="inlineStr">
        <is>
          <t>A 62394-2022</t>
        </is>
      </c>
      <c r="B3223" s="1" t="n">
        <v>44923</v>
      </c>
      <c r="C3223" s="1" t="n">
        <v>45706</v>
      </c>
      <c r="D3223" t="inlineStr">
        <is>
          <t>UPPSALA LÄN</t>
        </is>
      </c>
      <c r="E3223" t="inlineStr">
        <is>
          <t>ÖSTHAMMAR</t>
        </is>
      </c>
      <c r="F3223" t="inlineStr">
        <is>
          <t>Bergvik skog öst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62393-2022</t>
        </is>
      </c>
      <c r="B3224" s="1" t="n">
        <v>44923</v>
      </c>
      <c r="C3224" s="1" t="n">
        <v>45706</v>
      </c>
      <c r="D3224" t="inlineStr">
        <is>
          <t>UPPSALA LÄN</t>
        </is>
      </c>
      <c r="E3224" t="inlineStr">
        <is>
          <t>ÖSTHAMMAR</t>
        </is>
      </c>
      <c r="F3224" t="inlineStr">
        <is>
          <t>Bergvik skog öst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62392-2022</t>
        </is>
      </c>
      <c r="B3225" s="1" t="n">
        <v>44923</v>
      </c>
      <c r="C3225" s="1" t="n">
        <v>45706</v>
      </c>
      <c r="D3225" t="inlineStr">
        <is>
          <t>UPPSALA LÄN</t>
        </is>
      </c>
      <c r="E3225" t="inlineStr">
        <is>
          <t>ÖSTHAMMAR</t>
        </is>
      </c>
      <c r="F3225" t="inlineStr">
        <is>
          <t>Bergvik skog öst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62391-2022</t>
        </is>
      </c>
      <c r="B3226" s="1" t="n">
        <v>44923</v>
      </c>
      <c r="C3226" s="1" t="n">
        <v>45706</v>
      </c>
      <c r="D3226" t="inlineStr">
        <is>
          <t>UPPSALA LÄN</t>
        </is>
      </c>
      <c r="E3226" t="inlineStr">
        <is>
          <t>ÖSTHAMMAR</t>
        </is>
      </c>
      <c r="F3226" t="inlineStr">
        <is>
          <t>Bergvik skog öst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62423-2022</t>
        </is>
      </c>
      <c r="B3227" s="1" t="n">
        <v>44924</v>
      </c>
      <c r="C3227" s="1" t="n">
        <v>45706</v>
      </c>
      <c r="D3227" t="inlineStr">
        <is>
          <t>UPPSALA LÄN</t>
        </is>
      </c>
      <c r="E3227" t="inlineStr">
        <is>
          <t>ENKÖPING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62419-2022</t>
        </is>
      </c>
      <c r="B3228" s="1" t="n">
        <v>44924</v>
      </c>
      <c r="C3228" s="1" t="n">
        <v>45706</v>
      </c>
      <c r="D3228" t="inlineStr">
        <is>
          <t>UPPSALA LÄN</t>
        </is>
      </c>
      <c r="E3228" t="inlineStr">
        <is>
          <t>ENKÖPING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439-2023</t>
        </is>
      </c>
      <c r="B3229" s="1" t="n">
        <v>44924</v>
      </c>
      <c r="C3229" s="1" t="n">
        <v>45706</v>
      </c>
      <c r="D3229" t="inlineStr">
        <is>
          <t>UPPSALA LÄN</t>
        </is>
      </c>
      <c r="E3229" t="inlineStr">
        <is>
          <t>TIERP</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437-2023</t>
        </is>
      </c>
      <c r="B3230" s="1" t="n">
        <v>44924</v>
      </c>
      <c r="C3230" s="1" t="n">
        <v>45706</v>
      </c>
      <c r="D3230" t="inlineStr">
        <is>
          <t>UPPSALA LÄN</t>
        </is>
      </c>
      <c r="E3230" t="inlineStr">
        <is>
          <t>TIERP</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62650-2022</t>
        </is>
      </c>
      <c r="B3231" s="1" t="n">
        <v>44925</v>
      </c>
      <c r="C3231" s="1" t="n">
        <v>45706</v>
      </c>
      <c r="D3231" t="inlineStr">
        <is>
          <t>UPPSALA LÄN</t>
        </is>
      </c>
      <c r="E3231" t="inlineStr">
        <is>
          <t>HEBY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57-2023</t>
        </is>
      </c>
      <c r="B3232" s="1" t="n">
        <v>44928</v>
      </c>
      <c r="C3232" s="1" t="n">
        <v>45706</v>
      </c>
      <c r="D3232" t="inlineStr">
        <is>
          <t>UPPSALA LÄN</t>
        </is>
      </c>
      <c r="E3232" t="inlineStr">
        <is>
          <t>ÖSTHAMMAR</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59-2023</t>
        </is>
      </c>
      <c r="B3233" s="1" t="n">
        <v>44928</v>
      </c>
      <c r="C3233" s="1" t="n">
        <v>45706</v>
      </c>
      <c r="D3233" t="inlineStr">
        <is>
          <t>UPPSALA LÄN</t>
        </is>
      </c>
      <c r="E3233" t="inlineStr">
        <is>
          <t>ÖSTHAMMAR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73-2023</t>
        </is>
      </c>
      <c r="B3234" s="1" t="n">
        <v>44928</v>
      </c>
      <c r="C3234" s="1" t="n">
        <v>45706</v>
      </c>
      <c r="D3234" t="inlineStr">
        <is>
          <t>UPPSALA LÄN</t>
        </is>
      </c>
      <c r="E3234" t="inlineStr">
        <is>
          <t>TIERP</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111-2023</t>
        </is>
      </c>
      <c r="B3235" s="1" t="n">
        <v>44928</v>
      </c>
      <c r="C3235" s="1" t="n">
        <v>45706</v>
      </c>
      <c r="D3235" t="inlineStr">
        <is>
          <t>UPPSALA LÄN</t>
        </is>
      </c>
      <c r="E3235" t="inlineStr">
        <is>
          <t>UPPSALA</t>
        </is>
      </c>
      <c r="F3235" t="inlineStr">
        <is>
          <t>Kommuner</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179-2023</t>
        </is>
      </c>
      <c r="B3236" s="1" t="n">
        <v>44928</v>
      </c>
      <c r="C3236" s="1" t="n">
        <v>45706</v>
      </c>
      <c r="D3236" t="inlineStr">
        <is>
          <t>UPPSALA LÄN</t>
        </is>
      </c>
      <c r="E3236" t="inlineStr">
        <is>
          <t>UPPSALA</t>
        </is>
      </c>
      <c r="F3236" t="inlineStr">
        <is>
          <t>Kommuner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319-2023</t>
        </is>
      </c>
      <c r="B3237" s="1" t="n">
        <v>44929</v>
      </c>
      <c r="C3237" s="1" t="n">
        <v>45706</v>
      </c>
      <c r="D3237" t="inlineStr">
        <is>
          <t>UPPSALA LÄN</t>
        </is>
      </c>
      <c r="E3237" t="inlineStr">
        <is>
          <t>TIERP</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367-2023</t>
        </is>
      </c>
      <c r="B3238" s="1" t="n">
        <v>44929</v>
      </c>
      <c r="C3238" s="1" t="n">
        <v>45706</v>
      </c>
      <c r="D3238" t="inlineStr">
        <is>
          <t>UPPSALA LÄN</t>
        </is>
      </c>
      <c r="E3238" t="inlineStr">
        <is>
          <t>UPPSALA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390-2023</t>
        </is>
      </c>
      <c r="B3239" s="1" t="n">
        <v>44929</v>
      </c>
      <c r="C3239" s="1" t="n">
        <v>45706</v>
      </c>
      <c r="D3239" t="inlineStr">
        <is>
          <t>UPPSALA LÄN</t>
        </is>
      </c>
      <c r="E3239" t="inlineStr">
        <is>
          <t>ÖSTHAMMAR</t>
        </is>
      </c>
      <c r="F3239" t="inlineStr">
        <is>
          <t>Övriga Aktiebolag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554-2023</t>
        </is>
      </c>
      <c r="B3240" s="1" t="n">
        <v>44930</v>
      </c>
      <c r="C3240" s="1" t="n">
        <v>45706</v>
      </c>
      <c r="D3240" t="inlineStr">
        <is>
          <t>UPPSALA LÄN</t>
        </is>
      </c>
      <c r="E3240" t="inlineStr">
        <is>
          <t>UPPSALA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686-2023</t>
        </is>
      </c>
      <c r="B3241" s="1" t="n">
        <v>44930</v>
      </c>
      <c r="C3241" s="1" t="n">
        <v>45706</v>
      </c>
      <c r="D3241" t="inlineStr">
        <is>
          <t>UPPSALA LÄN</t>
        </is>
      </c>
      <c r="E3241" t="inlineStr">
        <is>
          <t>UPPSALA</t>
        </is>
      </c>
      <c r="F3241" t="inlineStr">
        <is>
          <t>Bergvik skog öst AB</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799-2023</t>
        </is>
      </c>
      <c r="B3242" s="1" t="n">
        <v>44931</v>
      </c>
      <c r="C3242" s="1" t="n">
        <v>45706</v>
      </c>
      <c r="D3242" t="inlineStr">
        <is>
          <t>UPPSALA LÄN</t>
        </is>
      </c>
      <c r="E3242" t="inlineStr">
        <is>
          <t>ENKÖPING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946-2023</t>
        </is>
      </c>
      <c r="B3243" s="1" t="n">
        <v>44934</v>
      </c>
      <c r="C3243" s="1" t="n">
        <v>45706</v>
      </c>
      <c r="D3243" t="inlineStr">
        <is>
          <t>UPPSALA LÄN</t>
        </is>
      </c>
      <c r="E3243" t="inlineStr">
        <is>
          <t>HEBY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1032-2023</t>
        </is>
      </c>
      <c r="B3244" s="1" t="n">
        <v>44935</v>
      </c>
      <c r="C3244" s="1" t="n">
        <v>45706</v>
      </c>
      <c r="D3244" t="inlineStr">
        <is>
          <t>UPPSALA LÄN</t>
        </is>
      </c>
      <c r="E3244" t="inlineStr">
        <is>
          <t>UPPSALA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1357-2023</t>
        </is>
      </c>
      <c r="B3245" s="1" t="n">
        <v>44936</v>
      </c>
      <c r="C3245" s="1" t="n">
        <v>45706</v>
      </c>
      <c r="D3245" t="inlineStr">
        <is>
          <t>UPPSALA LÄN</t>
        </is>
      </c>
      <c r="E3245" t="inlineStr">
        <is>
          <t>UPPSALA</t>
        </is>
      </c>
      <c r="F3245" t="inlineStr">
        <is>
          <t>Bergvik skog öst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1384-2023</t>
        </is>
      </c>
      <c r="B3246" s="1" t="n">
        <v>44936</v>
      </c>
      <c r="C3246" s="1" t="n">
        <v>45706</v>
      </c>
      <c r="D3246" t="inlineStr">
        <is>
          <t>UPPSALA LÄN</t>
        </is>
      </c>
      <c r="E3246" t="inlineStr">
        <is>
          <t>TIERP</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1383-2023</t>
        </is>
      </c>
      <c r="B3247" s="1" t="n">
        <v>44936</v>
      </c>
      <c r="C3247" s="1" t="n">
        <v>45706</v>
      </c>
      <c r="D3247" t="inlineStr">
        <is>
          <t>UPPSALA LÄN</t>
        </is>
      </c>
      <c r="E3247" t="inlineStr">
        <is>
          <t>TIERP</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1572-2023</t>
        </is>
      </c>
      <c r="B3248" s="1" t="n">
        <v>44937</v>
      </c>
      <c r="C3248" s="1" t="n">
        <v>45706</v>
      </c>
      <c r="D3248" t="inlineStr">
        <is>
          <t>UPPSALA LÄN</t>
        </is>
      </c>
      <c r="E3248" t="inlineStr">
        <is>
          <t>TIERP</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1587-2023</t>
        </is>
      </c>
      <c r="B3249" s="1" t="n">
        <v>44937</v>
      </c>
      <c r="C3249" s="1" t="n">
        <v>45706</v>
      </c>
      <c r="D3249" t="inlineStr">
        <is>
          <t>UPPSALA LÄN</t>
        </is>
      </c>
      <c r="E3249" t="inlineStr">
        <is>
          <t>ENKÖPING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1593-2023</t>
        </is>
      </c>
      <c r="B3250" s="1" t="n">
        <v>44937</v>
      </c>
      <c r="C3250" s="1" t="n">
        <v>45706</v>
      </c>
      <c r="D3250" t="inlineStr">
        <is>
          <t>UPPSALA LÄN</t>
        </is>
      </c>
      <c r="E3250" t="inlineStr">
        <is>
          <t>ENKÖPING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1791-2023</t>
        </is>
      </c>
      <c r="B3251" s="1" t="n">
        <v>44938</v>
      </c>
      <c r="C3251" s="1" t="n">
        <v>45706</v>
      </c>
      <c r="D3251" t="inlineStr">
        <is>
          <t>UPPSALA LÄN</t>
        </is>
      </c>
      <c r="E3251" t="inlineStr">
        <is>
          <t>ÖSTHAMMAR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1800-2023</t>
        </is>
      </c>
      <c r="B3252" s="1" t="n">
        <v>44938</v>
      </c>
      <c r="C3252" s="1" t="n">
        <v>45706</v>
      </c>
      <c r="D3252" t="inlineStr">
        <is>
          <t>UPPSALA LÄN</t>
        </is>
      </c>
      <c r="E3252" t="inlineStr">
        <is>
          <t>ÖSTHAMMAR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1796-2023</t>
        </is>
      </c>
      <c r="B3253" s="1" t="n">
        <v>44938</v>
      </c>
      <c r="C3253" s="1" t="n">
        <v>45706</v>
      </c>
      <c r="D3253" t="inlineStr">
        <is>
          <t>UPPSALA LÄN</t>
        </is>
      </c>
      <c r="E3253" t="inlineStr">
        <is>
          <t>ÖSTHAMMAR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2064-2023</t>
        </is>
      </c>
      <c r="B3254" s="1" t="n">
        <v>44939</v>
      </c>
      <c r="C3254" s="1" t="n">
        <v>45706</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2025-2023</t>
        </is>
      </c>
      <c r="B3255" s="1" t="n">
        <v>44939</v>
      </c>
      <c r="C3255" s="1" t="n">
        <v>45706</v>
      </c>
      <c r="D3255" t="inlineStr">
        <is>
          <t>UPPSALA LÄN</t>
        </is>
      </c>
      <c r="E3255" t="inlineStr">
        <is>
          <t>HEBY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2039-2023</t>
        </is>
      </c>
      <c r="B3256" s="1" t="n">
        <v>44939</v>
      </c>
      <c r="C3256" s="1" t="n">
        <v>45706</v>
      </c>
      <c r="D3256" t="inlineStr">
        <is>
          <t>UPPSALA LÄN</t>
        </is>
      </c>
      <c r="E3256" t="inlineStr">
        <is>
          <t>HEBY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2020-2023</t>
        </is>
      </c>
      <c r="B3257" s="1" t="n">
        <v>44939</v>
      </c>
      <c r="C3257" s="1" t="n">
        <v>45706</v>
      </c>
      <c r="D3257" t="inlineStr">
        <is>
          <t>UPPSALA LÄN</t>
        </is>
      </c>
      <c r="E3257" t="inlineStr">
        <is>
          <t>HEBY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2030-2023</t>
        </is>
      </c>
      <c r="B3258" s="1" t="n">
        <v>44939</v>
      </c>
      <c r="C3258" s="1" t="n">
        <v>45706</v>
      </c>
      <c r="D3258" t="inlineStr">
        <is>
          <t>UPPSALA LÄN</t>
        </is>
      </c>
      <c r="E3258" t="inlineStr">
        <is>
          <t>HEBY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2102-2023</t>
        </is>
      </c>
      <c r="B3259" s="1" t="n">
        <v>44939</v>
      </c>
      <c r="C3259" s="1" t="n">
        <v>45706</v>
      </c>
      <c r="D3259" t="inlineStr">
        <is>
          <t>UPPSALA LÄN</t>
        </is>
      </c>
      <c r="E3259" t="inlineStr">
        <is>
          <t>TIERP</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2161-2023</t>
        </is>
      </c>
      <c r="B3260" s="1" t="n">
        <v>44941</v>
      </c>
      <c r="C3260" s="1" t="n">
        <v>45706</v>
      </c>
      <c r="D3260" t="inlineStr">
        <is>
          <t>UPPSALA LÄN</t>
        </is>
      </c>
      <c r="E3260" t="inlineStr">
        <is>
          <t>ENKÖPING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2165-2023</t>
        </is>
      </c>
      <c r="B3261" s="1" t="n">
        <v>44941</v>
      </c>
      <c r="C3261" s="1" t="n">
        <v>45706</v>
      </c>
      <c r="D3261" t="inlineStr">
        <is>
          <t>UPPSALA LÄN</t>
        </is>
      </c>
      <c r="E3261" t="inlineStr">
        <is>
          <t>ENKÖPING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2162-2023</t>
        </is>
      </c>
      <c r="B3262" s="1" t="n">
        <v>44941</v>
      </c>
      <c r="C3262" s="1" t="n">
        <v>45706</v>
      </c>
      <c r="D3262" t="inlineStr">
        <is>
          <t>UPPSALA LÄN</t>
        </is>
      </c>
      <c r="E3262" t="inlineStr">
        <is>
          <t>ENKÖPING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2164-2023</t>
        </is>
      </c>
      <c r="B3263" s="1" t="n">
        <v>44941</v>
      </c>
      <c r="C3263" s="1" t="n">
        <v>45706</v>
      </c>
      <c r="D3263" t="inlineStr">
        <is>
          <t>UPPSALA LÄN</t>
        </is>
      </c>
      <c r="E3263" t="inlineStr">
        <is>
          <t>ENKÖPING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2227-2023</t>
        </is>
      </c>
      <c r="B3264" s="1" t="n">
        <v>44942</v>
      </c>
      <c r="C3264" s="1" t="n">
        <v>45706</v>
      </c>
      <c r="D3264" t="inlineStr">
        <is>
          <t>UPPSALA LÄN</t>
        </is>
      </c>
      <c r="E3264" t="inlineStr">
        <is>
          <t>HEBY</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2212-2023</t>
        </is>
      </c>
      <c r="B3265" s="1" t="n">
        <v>44942</v>
      </c>
      <c r="C3265" s="1" t="n">
        <v>45706</v>
      </c>
      <c r="D3265" t="inlineStr">
        <is>
          <t>UPPSALA LÄN</t>
        </is>
      </c>
      <c r="E3265" t="inlineStr">
        <is>
          <t>HEBY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2186-2023</t>
        </is>
      </c>
      <c r="B3266" s="1" t="n">
        <v>44942</v>
      </c>
      <c r="C3266" s="1" t="n">
        <v>45706</v>
      </c>
      <c r="D3266" t="inlineStr">
        <is>
          <t>UPPSALA LÄN</t>
        </is>
      </c>
      <c r="E3266" t="inlineStr">
        <is>
          <t>UPPSALA</t>
        </is>
      </c>
      <c r="F3266" t="inlineStr">
        <is>
          <t>Bergvik skog öst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2266-2023</t>
        </is>
      </c>
      <c r="B3267" s="1" t="n">
        <v>44942</v>
      </c>
      <c r="C3267" s="1" t="n">
        <v>45706</v>
      </c>
      <c r="D3267" t="inlineStr">
        <is>
          <t>UPPSALA LÄN</t>
        </is>
      </c>
      <c r="E3267" t="inlineStr">
        <is>
          <t>TIERP</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2541-2023</t>
        </is>
      </c>
      <c r="B3268" s="1" t="n">
        <v>44943</v>
      </c>
      <c r="C3268" s="1" t="n">
        <v>45706</v>
      </c>
      <c r="D3268" t="inlineStr">
        <is>
          <t>UPPSALA LÄN</t>
        </is>
      </c>
      <c r="E3268" t="inlineStr">
        <is>
          <t>HEBY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2733-2023</t>
        </is>
      </c>
      <c r="B3269" s="1" t="n">
        <v>44943</v>
      </c>
      <c r="C3269" s="1" t="n">
        <v>45706</v>
      </c>
      <c r="D3269" t="inlineStr">
        <is>
          <t>UPPSALA LÄN</t>
        </is>
      </c>
      <c r="E3269" t="inlineStr">
        <is>
          <t>ÖSTHAMMAR</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2553-2023</t>
        </is>
      </c>
      <c r="B3270" s="1" t="n">
        <v>44943</v>
      </c>
      <c r="C3270" s="1" t="n">
        <v>45706</v>
      </c>
      <c r="D3270" t="inlineStr">
        <is>
          <t>UPPSALA LÄN</t>
        </is>
      </c>
      <c r="E3270" t="inlineStr">
        <is>
          <t>HEBY</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2617-2023</t>
        </is>
      </c>
      <c r="B3271" s="1" t="n">
        <v>44944</v>
      </c>
      <c r="C3271" s="1" t="n">
        <v>45706</v>
      </c>
      <c r="D3271" t="inlineStr">
        <is>
          <t>UPPSALA LÄN</t>
        </is>
      </c>
      <c r="E3271" t="inlineStr">
        <is>
          <t>HEBY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2641-2023</t>
        </is>
      </c>
      <c r="B3272" s="1" t="n">
        <v>44944</v>
      </c>
      <c r="C3272" s="1" t="n">
        <v>45706</v>
      </c>
      <c r="D3272" t="inlineStr">
        <is>
          <t>UPPSALA LÄN</t>
        </is>
      </c>
      <c r="E3272" t="inlineStr">
        <is>
          <t>HEBY</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2622-2023</t>
        </is>
      </c>
      <c r="B3273" s="1" t="n">
        <v>44944</v>
      </c>
      <c r="C3273" s="1" t="n">
        <v>45706</v>
      </c>
      <c r="D3273" t="inlineStr">
        <is>
          <t>UPPSALA LÄN</t>
        </is>
      </c>
      <c r="E3273" t="inlineStr">
        <is>
          <t>UPPSALA</t>
        </is>
      </c>
      <c r="F3273" t="inlineStr">
        <is>
          <t>Kommuner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2670-2023</t>
        </is>
      </c>
      <c r="B3274" s="1" t="n">
        <v>44944</v>
      </c>
      <c r="C3274" s="1" t="n">
        <v>45706</v>
      </c>
      <c r="D3274" t="inlineStr">
        <is>
          <t>UPPSALA LÄN</t>
        </is>
      </c>
      <c r="E3274" t="inlineStr">
        <is>
          <t>HÅBO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2611-2023</t>
        </is>
      </c>
      <c r="B3275" s="1" t="n">
        <v>44944</v>
      </c>
      <c r="C3275" s="1" t="n">
        <v>45706</v>
      </c>
      <c r="D3275" t="inlineStr">
        <is>
          <t>UPPSALA LÄN</t>
        </is>
      </c>
      <c r="E3275" t="inlineStr">
        <is>
          <t>HEBY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2624-2023</t>
        </is>
      </c>
      <c r="B3276" s="1" t="n">
        <v>44944</v>
      </c>
      <c r="C3276" s="1" t="n">
        <v>45706</v>
      </c>
      <c r="D3276" t="inlineStr">
        <is>
          <t>UPPSALA LÄN</t>
        </is>
      </c>
      <c r="E3276" t="inlineStr">
        <is>
          <t>UPPSALA</t>
        </is>
      </c>
      <c r="F3276" t="inlineStr">
        <is>
          <t>Kommuner</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2682-2023</t>
        </is>
      </c>
      <c r="B3277" s="1" t="n">
        <v>44944</v>
      </c>
      <c r="C3277" s="1" t="n">
        <v>45706</v>
      </c>
      <c r="D3277" t="inlineStr">
        <is>
          <t>UPPSALA LÄN</t>
        </is>
      </c>
      <c r="E3277" t="inlineStr">
        <is>
          <t>HÅBO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2735-2023</t>
        </is>
      </c>
      <c r="B3278" s="1" t="n">
        <v>44944</v>
      </c>
      <c r="C3278" s="1" t="n">
        <v>45706</v>
      </c>
      <c r="D3278" t="inlineStr">
        <is>
          <t>UPPSALA LÄN</t>
        </is>
      </c>
      <c r="E3278" t="inlineStr">
        <is>
          <t>TIERP</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5362-2023</t>
        </is>
      </c>
      <c r="B3279" s="1" t="n">
        <v>44944</v>
      </c>
      <c r="C3279" s="1" t="n">
        <v>45706</v>
      </c>
      <c r="D3279" t="inlineStr">
        <is>
          <t>UPPSALA LÄN</t>
        </is>
      </c>
      <c r="E3279" t="inlineStr">
        <is>
          <t>UPPSALA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2983-2023</t>
        </is>
      </c>
      <c r="B3280" s="1" t="n">
        <v>44944</v>
      </c>
      <c r="C3280" s="1" t="n">
        <v>45706</v>
      </c>
      <c r="D3280" t="inlineStr">
        <is>
          <t>UPPSALA LÄN</t>
        </is>
      </c>
      <c r="E3280" t="inlineStr">
        <is>
          <t>HEBY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3214-2023</t>
        </is>
      </c>
      <c r="B3281" s="1" t="n">
        <v>44944</v>
      </c>
      <c r="C3281" s="1" t="n">
        <v>45706</v>
      </c>
      <c r="D3281" t="inlineStr">
        <is>
          <t>UPPSALA LÄN</t>
        </is>
      </c>
      <c r="E3281" t="inlineStr">
        <is>
          <t>UPPSALA</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5374-2023</t>
        </is>
      </c>
      <c r="B3282" s="1" t="n">
        <v>44944</v>
      </c>
      <c r="C3282" s="1" t="n">
        <v>45706</v>
      </c>
      <c r="D3282" t="inlineStr">
        <is>
          <t>UPPSALA LÄN</t>
        </is>
      </c>
      <c r="E3282" t="inlineStr">
        <is>
          <t>UPPSALA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2860-2023</t>
        </is>
      </c>
      <c r="B3283" s="1" t="n">
        <v>44945</v>
      </c>
      <c r="C3283" s="1" t="n">
        <v>45706</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2899-2023</t>
        </is>
      </c>
      <c r="B3284" s="1" t="n">
        <v>44945</v>
      </c>
      <c r="C3284" s="1" t="n">
        <v>45706</v>
      </c>
      <c r="D3284" t="inlineStr">
        <is>
          <t>UPPSALA LÄN</t>
        </is>
      </c>
      <c r="E3284" t="inlineStr">
        <is>
          <t>TIERP</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2942-2023</t>
        </is>
      </c>
      <c r="B3285" s="1" t="n">
        <v>44945</v>
      </c>
      <c r="C3285" s="1" t="n">
        <v>45706</v>
      </c>
      <c r="D3285" t="inlineStr">
        <is>
          <t>UPPSALA LÄN</t>
        </is>
      </c>
      <c r="E3285" t="inlineStr">
        <is>
          <t>UPPSALA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2874-2023</t>
        </is>
      </c>
      <c r="B3286" s="1" t="n">
        <v>44945</v>
      </c>
      <c r="C3286" s="1" t="n">
        <v>45706</v>
      </c>
      <c r="D3286" t="inlineStr">
        <is>
          <t>UPPSALA LÄN</t>
        </is>
      </c>
      <c r="E3286" t="inlineStr">
        <is>
          <t>HEBY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2902-2023</t>
        </is>
      </c>
      <c r="B3287" s="1" t="n">
        <v>44945</v>
      </c>
      <c r="C3287" s="1" t="n">
        <v>45706</v>
      </c>
      <c r="D3287" t="inlineStr">
        <is>
          <t>UPPSALA LÄN</t>
        </is>
      </c>
      <c r="E3287" t="inlineStr">
        <is>
          <t>TIERP</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2880-2023</t>
        </is>
      </c>
      <c r="B3288" s="1" t="n">
        <v>44945</v>
      </c>
      <c r="C3288" s="1" t="n">
        <v>45706</v>
      </c>
      <c r="D3288" t="inlineStr">
        <is>
          <t>UPPSALA LÄN</t>
        </is>
      </c>
      <c r="E3288" t="inlineStr">
        <is>
          <t>HEBY</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2901-2023</t>
        </is>
      </c>
      <c r="B3289" s="1" t="n">
        <v>44945</v>
      </c>
      <c r="C3289" s="1" t="n">
        <v>45706</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2967-2023</t>
        </is>
      </c>
      <c r="B3290" s="1" t="n">
        <v>44945</v>
      </c>
      <c r="C3290" s="1" t="n">
        <v>45706</v>
      </c>
      <c r="D3290" t="inlineStr">
        <is>
          <t>UPPSALA LÄN</t>
        </is>
      </c>
      <c r="E3290" t="inlineStr">
        <is>
          <t>ÖSTHAMMAR</t>
        </is>
      </c>
      <c r="F3290" t="inlineStr">
        <is>
          <t>Övriga Aktiebolag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3005-2023</t>
        </is>
      </c>
      <c r="B3291" s="1" t="n">
        <v>44945</v>
      </c>
      <c r="C3291" s="1" t="n">
        <v>45706</v>
      </c>
      <c r="D3291" t="inlineStr">
        <is>
          <t>UPPSALA LÄN</t>
        </is>
      </c>
      <c r="E3291" t="inlineStr">
        <is>
          <t>ÖSTHAMMAR</t>
        </is>
      </c>
      <c r="F3291" t="inlineStr">
        <is>
          <t>Bergvik skog öst AB</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3040-2023</t>
        </is>
      </c>
      <c r="B3292" s="1" t="n">
        <v>44946</v>
      </c>
      <c r="C3292" s="1" t="n">
        <v>45706</v>
      </c>
      <c r="D3292" t="inlineStr">
        <is>
          <t>UPPSALA LÄN</t>
        </is>
      </c>
      <c r="E3292" t="inlineStr">
        <is>
          <t>UPPSALA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3089-2023</t>
        </is>
      </c>
      <c r="B3293" s="1" t="n">
        <v>44946</v>
      </c>
      <c r="C3293" s="1" t="n">
        <v>45706</v>
      </c>
      <c r="D3293" t="inlineStr">
        <is>
          <t>UPPSALA LÄN</t>
        </is>
      </c>
      <c r="E3293" t="inlineStr">
        <is>
          <t>UPPSALA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3086-2023</t>
        </is>
      </c>
      <c r="B3294" s="1" t="n">
        <v>44946</v>
      </c>
      <c r="C3294" s="1" t="n">
        <v>45706</v>
      </c>
      <c r="D3294" t="inlineStr">
        <is>
          <t>UPPSALA LÄN</t>
        </is>
      </c>
      <c r="E3294" t="inlineStr">
        <is>
          <t>UPPSALA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3092-2023</t>
        </is>
      </c>
      <c r="B3295" s="1" t="n">
        <v>44946</v>
      </c>
      <c r="C3295" s="1" t="n">
        <v>45706</v>
      </c>
      <c r="D3295" t="inlineStr">
        <is>
          <t>UPPSALA LÄN</t>
        </is>
      </c>
      <c r="E3295" t="inlineStr">
        <is>
          <t>UPPSALA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3234-2023</t>
        </is>
      </c>
      <c r="B3296" s="1" t="n">
        <v>44946</v>
      </c>
      <c r="C3296" s="1" t="n">
        <v>45706</v>
      </c>
      <c r="D3296" t="inlineStr">
        <is>
          <t>UPPSALA LÄN</t>
        </is>
      </c>
      <c r="E3296" t="inlineStr">
        <is>
          <t>HEBY</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3232-2023</t>
        </is>
      </c>
      <c r="B3297" s="1" t="n">
        <v>44946</v>
      </c>
      <c r="C3297" s="1" t="n">
        <v>45706</v>
      </c>
      <c r="D3297" t="inlineStr">
        <is>
          <t>UPPSALA LÄN</t>
        </is>
      </c>
      <c r="E3297" t="inlineStr">
        <is>
          <t>HEBY</t>
        </is>
      </c>
      <c r="G3297" t="n">
        <v>10.2</v>
      </c>
      <c r="H3297" t="n">
        <v>0</v>
      </c>
      <c r="I3297" t="n">
        <v>0</v>
      </c>
      <c r="J3297" t="n">
        <v>0</v>
      </c>
      <c r="K3297" t="n">
        <v>0</v>
      </c>
      <c r="L3297" t="n">
        <v>0</v>
      </c>
      <c r="M3297" t="n">
        <v>0</v>
      </c>
      <c r="N3297" t="n">
        <v>0</v>
      </c>
      <c r="O3297" t="n">
        <v>0</v>
      </c>
      <c r="P3297" t="n">
        <v>0</v>
      </c>
      <c r="Q3297" t="n">
        <v>0</v>
      </c>
      <c r="R3297" s="2" t="inlineStr"/>
    </row>
    <row r="3298" ht="15" customHeight="1">
      <c r="A3298" t="inlineStr">
        <is>
          <t>A 3743-2023</t>
        </is>
      </c>
      <c r="B3298" s="1" t="n">
        <v>44948</v>
      </c>
      <c r="C3298" s="1" t="n">
        <v>45706</v>
      </c>
      <c r="D3298" t="inlineStr">
        <is>
          <t>UPPSALA LÄN</t>
        </is>
      </c>
      <c r="E3298" t="inlineStr">
        <is>
          <t>ÖSTHAMMAR</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3327-2023</t>
        </is>
      </c>
      <c r="B3299" s="1" t="n">
        <v>44949</v>
      </c>
      <c r="C3299" s="1" t="n">
        <v>45706</v>
      </c>
      <c r="D3299" t="inlineStr">
        <is>
          <t>UPPSALA LÄN</t>
        </is>
      </c>
      <c r="E3299" t="inlineStr">
        <is>
          <t>ÖSTHAMMAR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3343-2023</t>
        </is>
      </c>
      <c r="B3300" s="1" t="n">
        <v>44949</v>
      </c>
      <c r="C3300" s="1" t="n">
        <v>45706</v>
      </c>
      <c r="D3300" t="inlineStr">
        <is>
          <t>UPPSALA LÄN</t>
        </is>
      </c>
      <c r="E3300" t="inlineStr">
        <is>
          <t>UPPSALA</t>
        </is>
      </c>
      <c r="F3300" t="inlineStr">
        <is>
          <t>Allmännings- och besparingsskogar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3353-2023</t>
        </is>
      </c>
      <c r="B3301" s="1" t="n">
        <v>44949</v>
      </c>
      <c r="C3301" s="1" t="n">
        <v>45706</v>
      </c>
      <c r="D3301" t="inlineStr">
        <is>
          <t>UPPSALA LÄN</t>
        </is>
      </c>
      <c r="E3301" t="inlineStr">
        <is>
          <t>UPPSALA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3550-2023</t>
        </is>
      </c>
      <c r="B3302" s="1" t="n">
        <v>44950</v>
      </c>
      <c r="C3302" s="1" t="n">
        <v>45706</v>
      </c>
      <c r="D3302" t="inlineStr">
        <is>
          <t>UPPSALA LÄN</t>
        </is>
      </c>
      <c r="E3302" t="inlineStr">
        <is>
          <t>ENKÖPING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3547-2023</t>
        </is>
      </c>
      <c r="B3303" s="1" t="n">
        <v>44950</v>
      </c>
      <c r="C3303" s="1" t="n">
        <v>45706</v>
      </c>
      <c r="D3303" t="inlineStr">
        <is>
          <t>UPPSALA LÄN</t>
        </is>
      </c>
      <c r="E3303" t="inlineStr">
        <is>
          <t>HEBY</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3514-2023</t>
        </is>
      </c>
      <c r="B3304" s="1" t="n">
        <v>44950</v>
      </c>
      <c r="C3304" s="1" t="n">
        <v>45706</v>
      </c>
      <c r="D3304" t="inlineStr">
        <is>
          <t>UPPSALA LÄN</t>
        </is>
      </c>
      <c r="E3304" t="inlineStr">
        <is>
          <t>ÖSTHAMMAR</t>
        </is>
      </c>
      <c r="F3304" t="inlineStr">
        <is>
          <t>Övriga Aktiebolag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3545-2023</t>
        </is>
      </c>
      <c r="B3305" s="1" t="n">
        <v>44950</v>
      </c>
      <c r="C3305" s="1" t="n">
        <v>45706</v>
      </c>
      <c r="D3305" t="inlineStr">
        <is>
          <t>UPPSALA LÄN</t>
        </is>
      </c>
      <c r="E3305" t="inlineStr">
        <is>
          <t>TIERP</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3561-2023</t>
        </is>
      </c>
      <c r="B3306" s="1" t="n">
        <v>44950</v>
      </c>
      <c r="C3306" s="1" t="n">
        <v>45706</v>
      </c>
      <c r="D3306" t="inlineStr">
        <is>
          <t>UPPSALA LÄN</t>
        </is>
      </c>
      <c r="E3306" t="inlineStr">
        <is>
          <t>TIERP</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3661-2023</t>
        </is>
      </c>
      <c r="B3307" s="1" t="n">
        <v>44950</v>
      </c>
      <c r="C3307" s="1" t="n">
        <v>45706</v>
      </c>
      <c r="D3307" t="inlineStr">
        <is>
          <t>UPPSALA LÄN</t>
        </is>
      </c>
      <c r="E3307" t="inlineStr">
        <is>
          <t>UPPSALA</t>
        </is>
      </c>
      <c r="F3307" t="inlineStr">
        <is>
          <t>Allmännings- och besparingsskogar</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4213-2023</t>
        </is>
      </c>
      <c r="B3308" s="1" t="n">
        <v>44951</v>
      </c>
      <c r="C3308" s="1" t="n">
        <v>45706</v>
      </c>
      <c r="D3308" t="inlineStr">
        <is>
          <t>UPPSALA LÄN</t>
        </is>
      </c>
      <c r="E3308" t="inlineStr">
        <is>
          <t>HEBY</t>
        </is>
      </c>
      <c r="G3308" t="n">
        <v>11.2</v>
      </c>
      <c r="H3308" t="n">
        <v>0</v>
      </c>
      <c r="I3308" t="n">
        <v>0</v>
      </c>
      <c r="J3308" t="n">
        <v>0</v>
      </c>
      <c r="K3308" t="n">
        <v>0</v>
      </c>
      <c r="L3308" t="n">
        <v>0</v>
      </c>
      <c r="M3308" t="n">
        <v>0</v>
      </c>
      <c r="N3308" t="n">
        <v>0</v>
      </c>
      <c r="O3308" t="n">
        <v>0</v>
      </c>
      <c r="P3308" t="n">
        <v>0</v>
      </c>
      <c r="Q3308" t="n">
        <v>0</v>
      </c>
      <c r="R3308" s="2" t="inlineStr"/>
    </row>
    <row r="3309" ht="15" customHeight="1">
      <c r="A3309" t="inlineStr">
        <is>
          <t>A 3940-2023</t>
        </is>
      </c>
      <c r="B3309" s="1" t="n">
        <v>44952</v>
      </c>
      <c r="C3309" s="1" t="n">
        <v>45706</v>
      </c>
      <c r="D3309" t="inlineStr">
        <is>
          <t>UPPSALA LÄN</t>
        </is>
      </c>
      <c r="E3309" t="inlineStr">
        <is>
          <t>UPPSALA</t>
        </is>
      </c>
      <c r="F3309" t="inlineStr">
        <is>
          <t>Bergvik skog öst AB</t>
        </is>
      </c>
      <c r="G3309" t="n">
        <v>20.6</v>
      </c>
      <c r="H3309" t="n">
        <v>0</v>
      </c>
      <c r="I3309" t="n">
        <v>0</v>
      </c>
      <c r="J3309" t="n">
        <v>0</v>
      </c>
      <c r="K3309" t="n">
        <v>0</v>
      </c>
      <c r="L3309" t="n">
        <v>0</v>
      </c>
      <c r="M3309" t="n">
        <v>0</v>
      </c>
      <c r="N3309" t="n">
        <v>0</v>
      </c>
      <c r="O3309" t="n">
        <v>0</v>
      </c>
      <c r="P3309" t="n">
        <v>0</v>
      </c>
      <c r="Q3309" t="n">
        <v>0</v>
      </c>
      <c r="R3309" s="2" t="inlineStr"/>
    </row>
    <row r="3310" ht="15" customHeight="1">
      <c r="A3310" t="inlineStr">
        <is>
          <t>A 3939-2023</t>
        </is>
      </c>
      <c r="B3310" s="1" t="n">
        <v>44952</v>
      </c>
      <c r="C3310" s="1" t="n">
        <v>45706</v>
      </c>
      <c r="D3310" t="inlineStr">
        <is>
          <t>UPPSALA LÄN</t>
        </is>
      </c>
      <c r="E3310" t="inlineStr">
        <is>
          <t>UPPSALA</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4004-2023</t>
        </is>
      </c>
      <c r="B3311" s="1" t="n">
        <v>44952</v>
      </c>
      <c r="C3311" s="1" t="n">
        <v>45706</v>
      </c>
      <c r="D3311" t="inlineStr">
        <is>
          <t>UPPSALA LÄN</t>
        </is>
      </c>
      <c r="E3311" t="inlineStr">
        <is>
          <t>ÖSTHAMMAR</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4054-2023</t>
        </is>
      </c>
      <c r="B3312" s="1" t="n">
        <v>44952</v>
      </c>
      <c r="C3312" s="1" t="n">
        <v>45706</v>
      </c>
      <c r="D3312" t="inlineStr">
        <is>
          <t>UPPSALA LÄN</t>
        </is>
      </c>
      <c r="E3312" t="inlineStr">
        <is>
          <t>ÖSTHAMMAR</t>
        </is>
      </c>
      <c r="F3312" t="inlineStr">
        <is>
          <t>Övriga Aktiebolag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4233-2023</t>
        </is>
      </c>
      <c r="B3313" s="1" t="n">
        <v>44953</v>
      </c>
      <c r="C3313" s="1" t="n">
        <v>45706</v>
      </c>
      <c r="D3313" t="inlineStr">
        <is>
          <t>UPPSALA LÄN</t>
        </is>
      </c>
      <c r="E3313" t="inlineStr">
        <is>
          <t>ÖSTHAMMAR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4276-2023</t>
        </is>
      </c>
      <c r="B3314" s="1" t="n">
        <v>44953</v>
      </c>
      <c r="C3314" s="1" t="n">
        <v>45706</v>
      </c>
      <c r="D3314" t="inlineStr">
        <is>
          <t>UPPSALA LÄN</t>
        </is>
      </c>
      <c r="E3314" t="inlineStr">
        <is>
          <t>TIERP</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4228-2023</t>
        </is>
      </c>
      <c r="B3315" s="1" t="n">
        <v>44953</v>
      </c>
      <c r="C3315" s="1" t="n">
        <v>45706</v>
      </c>
      <c r="D3315" t="inlineStr">
        <is>
          <t>UPPSALA LÄN</t>
        </is>
      </c>
      <c r="E3315" t="inlineStr">
        <is>
          <t>ÖSTHAMMAR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4329-2023</t>
        </is>
      </c>
      <c r="B3316" s="1" t="n">
        <v>44953</v>
      </c>
      <c r="C3316" s="1" t="n">
        <v>45706</v>
      </c>
      <c r="D3316" t="inlineStr">
        <is>
          <t>UPPSALA LÄN</t>
        </is>
      </c>
      <c r="E3316" t="inlineStr">
        <is>
          <t>TIERP</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4361-2023</t>
        </is>
      </c>
      <c r="B3317" s="1" t="n">
        <v>44954</v>
      </c>
      <c r="C3317" s="1" t="n">
        <v>45706</v>
      </c>
      <c r="D3317" t="inlineStr">
        <is>
          <t>UPPSALA LÄN</t>
        </is>
      </c>
      <c r="E3317" t="inlineStr">
        <is>
          <t>ÖSTHAMMAR</t>
        </is>
      </c>
      <c r="F3317" t="inlineStr">
        <is>
          <t>Bergvik skog öst AB</t>
        </is>
      </c>
      <c r="G3317" t="n">
        <v>18.3</v>
      </c>
      <c r="H3317" t="n">
        <v>0</v>
      </c>
      <c r="I3317" t="n">
        <v>0</v>
      </c>
      <c r="J3317" t="n">
        <v>0</v>
      </c>
      <c r="K3317" t="n">
        <v>0</v>
      </c>
      <c r="L3317" t="n">
        <v>0</v>
      </c>
      <c r="M3317" t="n">
        <v>0</v>
      </c>
      <c r="N3317" t="n">
        <v>0</v>
      </c>
      <c r="O3317" t="n">
        <v>0</v>
      </c>
      <c r="P3317" t="n">
        <v>0</v>
      </c>
      <c r="Q3317" t="n">
        <v>0</v>
      </c>
      <c r="R3317" s="2" t="inlineStr"/>
    </row>
    <row r="3318" ht="15" customHeight="1">
      <c r="A3318" t="inlineStr">
        <is>
          <t>A 4487-2023</t>
        </is>
      </c>
      <c r="B3318" s="1" t="n">
        <v>44956</v>
      </c>
      <c r="C3318" s="1" t="n">
        <v>45706</v>
      </c>
      <c r="D3318" t="inlineStr">
        <is>
          <t>UPPSALA LÄN</t>
        </is>
      </c>
      <c r="E3318" t="inlineStr">
        <is>
          <t>HEBY</t>
        </is>
      </c>
      <c r="F3318" t="inlineStr">
        <is>
          <t>Kyrkan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4409-2023</t>
        </is>
      </c>
      <c r="B3319" s="1" t="n">
        <v>44956</v>
      </c>
      <c r="C3319" s="1" t="n">
        <v>45706</v>
      </c>
      <c r="D3319" t="inlineStr">
        <is>
          <t>UPPSALA LÄN</t>
        </is>
      </c>
      <c r="E3319" t="inlineStr">
        <is>
          <t>TIERP</t>
        </is>
      </c>
      <c r="F3319" t="inlineStr">
        <is>
          <t>Bergvik skog öst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4531-2023</t>
        </is>
      </c>
      <c r="B3320" s="1" t="n">
        <v>44956</v>
      </c>
      <c r="C3320" s="1" t="n">
        <v>45706</v>
      </c>
      <c r="D3320" t="inlineStr">
        <is>
          <t>UPPSALA LÄN</t>
        </is>
      </c>
      <c r="E3320" t="inlineStr">
        <is>
          <t>TIERP</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4511-2023</t>
        </is>
      </c>
      <c r="B3321" s="1" t="n">
        <v>44956</v>
      </c>
      <c r="C3321" s="1" t="n">
        <v>45706</v>
      </c>
      <c r="D3321" t="inlineStr">
        <is>
          <t>UPPSALA LÄN</t>
        </is>
      </c>
      <c r="E3321" t="inlineStr">
        <is>
          <t>TIERP</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4530-2023</t>
        </is>
      </c>
      <c r="B3322" s="1" t="n">
        <v>44956</v>
      </c>
      <c r="C3322" s="1" t="n">
        <v>45706</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4639-2023</t>
        </is>
      </c>
      <c r="B3323" s="1" t="n">
        <v>44957</v>
      </c>
      <c r="C3323" s="1" t="n">
        <v>45706</v>
      </c>
      <c r="D3323" t="inlineStr">
        <is>
          <t>UPPSALA LÄN</t>
        </is>
      </c>
      <c r="E3323" t="inlineStr">
        <is>
          <t>HEBY</t>
        </is>
      </c>
      <c r="F3323" t="inlineStr">
        <is>
          <t>Kyrkan</t>
        </is>
      </c>
      <c r="G3323" t="n">
        <v>9.5</v>
      </c>
      <c r="H3323" t="n">
        <v>0</v>
      </c>
      <c r="I3323" t="n">
        <v>0</v>
      </c>
      <c r="J3323" t="n">
        <v>0</v>
      </c>
      <c r="K3323" t="n">
        <v>0</v>
      </c>
      <c r="L3323" t="n">
        <v>0</v>
      </c>
      <c r="M3323" t="n">
        <v>0</v>
      </c>
      <c r="N3323" t="n">
        <v>0</v>
      </c>
      <c r="O3323" t="n">
        <v>0</v>
      </c>
      <c r="P3323" t="n">
        <v>0</v>
      </c>
      <c r="Q3323" t="n">
        <v>0</v>
      </c>
      <c r="R3323" s="2" t="inlineStr"/>
    </row>
    <row r="3324" ht="15" customHeight="1">
      <c r="A3324" t="inlineStr">
        <is>
          <t>A 5404-2023</t>
        </is>
      </c>
      <c r="B3324" s="1" t="n">
        <v>44957</v>
      </c>
      <c r="C3324" s="1" t="n">
        <v>45706</v>
      </c>
      <c r="D3324" t="inlineStr">
        <is>
          <t>UPPSALA LÄN</t>
        </is>
      </c>
      <c r="E3324" t="inlineStr">
        <is>
          <t>ÖSTHAMMAR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4901-2023</t>
        </is>
      </c>
      <c r="B3325" s="1" t="n">
        <v>44958</v>
      </c>
      <c r="C3325" s="1" t="n">
        <v>45706</v>
      </c>
      <c r="D3325" t="inlineStr">
        <is>
          <t>UPPSALA LÄN</t>
        </is>
      </c>
      <c r="E3325" t="inlineStr">
        <is>
          <t>ENKÖPING</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5060-2023</t>
        </is>
      </c>
      <c r="B3326" s="1" t="n">
        <v>44958</v>
      </c>
      <c r="C3326" s="1" t="n">
        <v>45706</v>
      </c>
      <c r="D3326" t="inlineStr">
        <is>
          <t>UPPSALA LÄN</t>
        </is>
      </c>
      <c r="E3326" t="inlineStr">
        <is>
          <t>HEBY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5254-2023</t>
        </is>
      </c>
      <c r="B3327" s="1" t="n">
        <v>44959</v>
      </c>
      <c r="C3327" s="1" t="n">
        <v>45706</v>
      </c>
      <c r="D3327" t="inlineStr">
        <is>
          <t>UPPSALA LÄN</t>
        </is>
      </c>
      <c r="E3327" t="inlineStr">
        <is>
          <t>UPPSALA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5258-2023</t>
        </is>
      </c>
      <c r="B3328" s="1" t="n">
        <v>44959</v>
      </c>
      <c r="C3328" s="1" t="n">
        <v>45706</v>
      </c>
      <c r="D3328" t="inlineStr">
        <is>
          <t>UPPSALA LÄN</t>
        </is>
      </c>
      <c r="E3328" t="inlineStr">
        <is>
          <t>UPPSALA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5289-2023</t>
        </is>
      </c>
      <c r="B3329" s="1" t="n">
        <v>44959</v>
      </c>
      <c r="C3329" s="1" t="n">
        <v>45706</v>
      </c>
      <c r="D3329" t="inlineStr">
        <is>
          <t>UPPSALA LÄN</t>
        </is>
      </c>
      <c r="E3329" t="inlineStr">
        <is>
          <t>TIERP</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5429-2023</t>
        </is>
      </c>
      <c r="B3330" s="1" t="n">
        <v>44959</v>
      </c>
      <c r="C3330" s="1" t="n">
        <v>45706</v>
      </c>
      <c r="D3330" t="inlineStr">
        <is>
          <t>UPPSALA LÄN</t>
        </is>
      </c>
      <c r="E3330" t="inlineStr">
        <is>
          <t>ÖSTHAMMAR</t>
        </is>
      </c>
      <c r="F3330" t="inlineStr">
        <is>
          <t>Bergvik skog öst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5378-2023</t>
        </is>
      </c>
      <c r="B3331" s="1" t="n">
        <v>44959</v>
      </c>
      <c r="C3331" s="1" t="n">
        <v>45706</v>
      </c>
      <c r="D3331" t="inlineStr">
        <is>
          <t>UPPSALA LÄN</t>
        </is>
      </c>
      <c r="E3331" t="inlineStr">
        <is>
          <t>HEBY</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5430-2023</t>
        </is>
      </c>
      <c r="B3332" s="1" t="n">
        <v>44959</v>
      </c>
      <c r="C3332" s="1" t="n">
        <v>45706</v>
      </c>
      <c r="D3332" t="inlineStr">
        <is>
          <t>UPPSALA LÄN</t>
        </is>
      </c>
      <c r="E3332" t="inlineStr">
        <is>
          <t>ÖSTHAMMAR</t>
        </is>
      </c>
      <c r="F3332" t="inlineStr">
        <is>
          <t>Bergvik skog öst AB</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5247-2023</t>
        </is>
      </c>
      <c r="B3333" s="1" t="n">
        <v>44959</v>
      </c>
      <c r="C3333" s="1" t="n">
        <v>45706</v>
      </c>
      <c r="D3333" t="inlineStr">
        <is>
          <t>UPPSALA LÄN</t>
        </is>
      </c>
      <c r="E3333" t="inlineStr">
        <is>
          <t>UPPSALA</t>
        </is>
      </c>
      <c r="G3333" t="n">
        <v>11.1</v>
      </c>
      <c r="H3333" t="n">
        <v>0</v>
      </c>
      <c r="I3333" t="n">
        <v>0</v>
      </c>
      <c r="J3333" t="n">
        <v>0</v>
      </c>
      <c r="K3333" t="n">
        <v>0</v>
      </c>
      <c r="L3333" t="n">
        <v>0</v>
      </c>
      <c r="M3333" t="n">
        <v>0</v>
      </c>
      <c r="N3333" t="n">
        <v>0</v>
      </c>
      <c r="O3333" t="n">
        <v>0</v>
      </c>
      <c r="P3333" t="n">
        <v>0</v>
      </c>
      <c r="Q3333" t="n">
        <v>0</v>
      </c>
      <c r="R3333" s="2" t="inlineStr"/>
    </row>
    <row r="3334" ht="15" customHeight="1">
      <c r="A3334" t="inlineStr">
        <is>
          <t>A 5402-2023</t>
        </is>
      </c>
      <c r="B3334" s="1" t="n">
        <v>44959</v>
      </c>
      <c r="C3334" s="1" t="n">
        <v>45706</v>
      </c>
      <c r="D3334" t="inlineStr">
        <is>
          <t>UPPSALA LÄN</t>
        </is>
      </c>
      <c r="E3334" t="inlineStr">
        <is>
          <t>KNIVSTA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5643-2023</t>
        </is>
      </c>
      <c r="B3335" s="1" t="n">
        <v>44960</v>
      </c>
      <c r="C3335" s="1" t="n">
        <v>45706</v>
      </c>
      <c r="D3335" t="inlineStr">
        <is>
          <t>UPPSALA LÄN</t>
        </is>
      </c>
      <c r="E3335" t="inlineStr">
        <is>
          <t>ÖSTHAMMAR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5678-2023</t>
        </is>
      </c>
      <c r="B3336" s="1" t="n">
        <v>44960</v>
      </c>
      <c r="C3336" s="1" t="n">
        <v>45706</v>
      </c>
      <c r="D3336" t="inlineStr">
        <is>
          <t>UPPSALA LÄN</t>
        </is>
      </c>
      <c r="E3336" t="inlineStr">
        <is>
          <t>UPPSALA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5682-2023</t>
        </is>
      </c>
      <c r="B3337" s="1" t="n">
        <v>44960</v>
      </c>
      <c r="C3337" s="1" t="n">
        <v>45706</v>
      </c>
      <c r="D3337" t="inlineStr">
        <is>
          <t>UPPSALA LÄN</t>
        </is>
      </c>
      <c r="E3337" t="inlineStr">
        <is>
          <t>UPPSALA</t>
        </is>
      </c>
      <c r="F3337" t="inlineStr">
        <is>
          <t>Allmännings- och besparingsskogar</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5663-2023</t>
        </is>
      </c>
      <c r="B3338" s="1" t="n">
        <v>44960</v>
      </c>
      <c r="C3338" s="1" t="n">
        <v>45706</v>
      </c>
      <c r="D3338" t="inlineStr">
        <is>
          <t>UPPSALA LÄN</t>
        </is>
      </c>
      <c r="E3338" t="inlineStr">
        <is>
          <t>UPPSALA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5669-2023</t>
        </is>
      </c>
      <c r="B3339" s="1" t="n">
        <v>44960</v>
      </c>
      <c r="C3339" s="1" t="n">
        <v>45706</v>
      </c>
      <c r="D3339" t="inlineStr">
        <is>
          <t>UPPSALA LÄN</t>
        </is>
      </c>
      <c r="E3339" t="inlineStr">
        <is>
          <t>UPPSALA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5675-2023</t>
        </is>
      </c>
      <c r="B3340" s="1" t="n">
        <v>44960</v>
      </c>
      <c r="C3340" s="1" t="n">
        <v>45706</v>
      </c>
      <c r="D3340" t="inlineStr">
        <is>
          <t>UPPSALA LÄN</t>
        </is>
      </c>
      <c r="E3340" t="inlineStr">
        <is>
          <t>UPPSALA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5565-2023</t>
        </is>
      </c>
      <c r="B3341" s="1" t="n">
        <v>44960</v>
      </c>
      <c r="C3341" s="1" t="n">
        <v>45706</v>
      </c>
      <c r="D3341" t="inlineStr">
        <is>
          <t>UPPSALA LÄN</t>
        </is>
      </c>
      <c r="E3341" t="inlineStr">
        <is>
          <t>HEBY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5570-2023</t>
        </is>
      </c>
      <c r="B3342" s="1" t="n">
        <v>44960</v>
      </c>
      <c r="C3342" s="1" t="n">
        <v>45706</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6629-2023</t>
        </is>
      </c>
      <c r="B3343" s="1" t="n">
        <v>44960</v>
      </c>
      <c r="C3343" s="1" t="n">
        <v>45706</v>
      </c>
      <c r="D3343" t="inlineStr">
        <is>
          <t>UPPSALA LÄN</t>
        </is>
      </c>
      <c r="E3343" t="inlineStr">
        <is>
          <t>ÖSTHAMMAR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6635-2023</t>
        </is>
      </c>
      <c r="B3344" s="1" t="n">
        <v>44960</v>
      </c>
      <c r="C3344" s="1" t="n">
        <v>45706</v>
      </c>
      <c r="D3344" t="inlineStr">
        <is>
          <t>UPPSALA LÄN</t>
        </is>
      </c>
      <c r="E3344" t="inlineStr">
        <is>
          <t>ÖSTHAMMAR</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5832-2023</t>
        </is>
      </c>
      <c r="B3345" s="1" t="n">
        <v>44963</v>
      </c>
      <c r="C3345" s="1" t="n">
        <v>45706</v>
      </c>
      <c r="D3345" t="inlineStr">
        <is>
          <t>UPPSALA LÄN</t>
        </is>
      </c>
      <c r="E3345" t="inlineStr">
        <is>
          <t>ÖSTHAMMAR</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5836-2023</t>
        </is>
      </c>
      <c r="B3346" s="1" t="n">
        <v>44963</v>
      </c>
      <c r="C3346" s="1" t="n">
        <v>45706</v>
      </c>
      <c r="D3346" t="inlineStr">
        <is>
          <t>UPPSALA LÄN</t>
        </is>
      </c>
      <c r="E3346" t="inlineStr">
        <is>
          <t>ÖSTHAMMAR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5831-2023</t>
        </is>
      </c>
      <c r="B3347" s="1" t="n">
        <v>44963</v>
      </c>
      <c r="C3347" s="1" t="n">
        <v>45706</v>
      </c>
      <c r="D3347" t="inlineStr">
        <is>
          <t>UPPSALA LÄN</t>
        </is>
      </c>
      <c r="E3347" t="inlineStr">
        <is>
          <t>ÖSTHAMMAR</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5857-2023</t>
        </is>
      </c>
      <c r="B3348" s="1" t="n">
        <v>44963</v>
      </c>
      <c r="C3348" s="1" t="n">
        <v>45706</v>
      </c>
      <c r="D3348" t="inlineStr">
        <is>
          <t>UPPSALA LÄN</t>
        </is>
      </c>
      <c r="E3348" t="inlineStr">
        <is>
          <t>ÖSTHAMMAR</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5892-2023</t>
        </is>
      </c>
      <c r="B3349" s="1" t="n">
        <v>44963</v>
      </c>
      <c r="C3349" s="1" t="n">
        <v>45706</v>
      </c>
      <c r="D3349" t="inlineStr">
        <is>
          <t>UPPSALA LÄN</t>
        </is>
      </c>
      <c r="E3349" t="inlineStr">
        <is>
          <t>ENKÖPING</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5884-2023</t>
        </is>
      </c>
      <c r="B3350" s="1" t="n">
        <v>44963</v>
      </c>
      <c r="C3350" s="1" t="n">
        <v>45706</v>
      </c>
      <c r="D3350" t="inlineStr">
        <is>
          <t>UPPSALA LÄN</t>
        </is>
      </c>
      <c r="E3350" t="inlineStr">
        <is>
          <t>ÖSTHAMMAR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5877-2023</t>
        </is>
      </c>
      <c r="B3351" s="1" t="n">
        <v>44963</v>
      </c>
      <c r="C3351" s="1" t="n">
        <v>45706</v>
      </c>
      <c r="D3351" t="inlineStr">
        <is>
          <t>UPPSALA LÄN</t>
        </is>
      </c>
      <c r="E3351" t="inlineStr">
        <is>
          <t>ÖSTHAMMAR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5967-2023</t>
        </is>
      </c>
      <c r="B3352" s="1" t="n">
        <v>44964</v>
      </c>
      <c r="C3352" s="1" t="n">
        <v>45706</v>
      </c>
      <c r="D3352" t="inlineStr">
        <is>
          <t>UPPSALA LÄN</t>
        </is>
      </c>
      <c r="E3352" t="inlineStr">
        <is>
          <t>TIERP</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5987-2023</t>
        </is>
      </c>
      <c r="B3353" s="1" t="n">
        <v>44964</v>
      </c>
      <c r="C3353" s="1" t="n">
        <v>45706</v>
      </c>
      <c r="D3353" t="inlineStr">
        <is>
          <t>UPPSALA LÄN</t>
        </is>
      </c>
      <c r="E3353" t="inlineStr">
        <is>
          <t>TIERP</t>
        </is>
      </c>
      <c r="F3353" t="inlineStr">
        <is>
          <t>Bergvik skog öst AB</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5994-2023</t>
        </is>
      </c>
      <c r="B3354" s="1" t="n">
        <v>44964</v>
      </c>
      <c r="C3354" s="1" t="n">
        <v>45706</v>
      </c>
      <c r="D3354" t="inlineStr">
        <is>
          <t>UPPSALA LÄN</t>
        </is>
      </c>
      <c r="E3354" t="inlineStr">
        <is>
          <t>TIERP</t>
        </is>
      </c>
      <c r="F3354" t="inlineStr">
        <is>
          <t>Bergvik skog öst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6075-2023</t>
        </is>
      </c>
      <c r="B3355" s="1" t="n">
        <v>44964</v>
      </c>
      <c r="C3355" s="1" t="n">
        <v>45706</v>
      </c>
      <c r="D3355" t="inlineStr">
        <is>
          <t>UPPSALA LÄN</t>
        </is>
      </c>
      <c r="E3355" t="inlineStr">
        <is>
          <t>TIERP</t>
        </is>
      </c>
      <c r="F3355" t="inlineStr">
        <is>
          <t>Bergvik skog öst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5963-2023</t>
        </is>
      </c>
      <c r="B3356" s="1" t="n">
        <v>44964</v>
      </c>
      <c r="C3356" s="1" t="n">
        <v>45706</v>
      </c>
      <c r="D3356" t="inlineStr">
        <is>
          <t>UPPSALA LÄN</t>
        </is>
      </c>
      <c r="E3356" t="inlineStr">
        <is>
          <t>TIERP</t>
        </is>
      </c>
      <c r="F3356" t="inlineStr">
        <is>
          <t>Bergvik skog öst AB</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5995-2023</t>
        </is>
      </c>
      <c r="B3357" s="1" t="n">
        <v>44964</v>
      </c>
      <c r="C3357" s="1" t="n">
        <v>45706</v>
      </c>
      <c r="D3357" t="inlineStr">
        <is>
          <t>UPPSALA LÄN</t>
        </is>
      </c>
      <c r="E3357" t="inlineStr">
        <is>
          <t>TIERP</t>
        </is>
      </c>
      <c r="F3357" t="inlineStr">
        <is>
          <t>Bergvik skog öst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6048-2023</t>
        </is>
      </c>
      <c r="B3358" s="1" t="n">
        <v>44964</v>
      </c>
      <c r="C3358" s="1" t="n">
        <v>45706</v>
      </c>
      <c r="D3358" t="inlineStr">
        <is>
          <t>UPPSALA LÄN</t>
        </is>
      </c>
      <c r="E3358" t="inlineStr">
        <is>
          <t>TIERP</t>
        </is>
      </c>
      <c r="F3358" t="inlineStr">
        <is>
          <t>Bergvik skog öst AB</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6071-2023</t>
        </is>
      </c>
      <c r="B3359" s="1" t="n">
        <v>44964</v>
      </c>
      <c r="C3359" s="1" t="n">
        <v>45706</v>
      </c>
      <c r="D3359" t="inlineStr">
        <is>
          <t>UPPSALA LÄN</t>
        </is>
      </c>
      <c r="E3359" t="inlineStr">
        <is>
          <t>TIERP</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5993-2023</t>
        </is>
      </c>
      <c r="B3360" s="1" t="n">
        <v>44964</v>
      </c>
      <c r="C3360" s="1" t="n">
        <v>45706</v>
      </c>
      <c r="D3360" t="inlineStr">
        <is>
          <t>UPPSALA LÄN</t>
        </is>
      </c>
      <c r="E3360" t="inlineStr">
        <is>
          <t>TIERP</t>
        </is>
      </c>
      <c r="F3360" t="inlineStr">
        <is>
          <t>Bergvik skog öst AB</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6213-2023</t>
        </is>
      </c>
      <c r="B3361" s="1" t="n">
        <v>44964</v>
      </c>
      <c r="C3361" s="1" t="n">
        <v>45706</v>
      </c>
      <c r="D3361" t="inlineStr">
        <is>
          <t>UPPSALA LÄN</t>
        </is>
      </c>
      <c r="E3361" t="inlineStr">
        <is>
          <t>UPPSALA</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5997-2023</t>
        </is>
      </c>
      <c r="B3362" s="1" t="n">
        <v>44964</v>
      </c>
      <c r="C3362" s="1" t="n">
        <v>45706</v>
      </c>
      <c r="D3362" t="inlineStr">
        <is>
          <t>UPPSALA LÄN</t>
        </is>
      </c>
      <c r="E3362" t="inlineStr">
        <is>
          <t>TIERP</t>
        </is>
      </c>
      <c r="F3362" t="inlineStr">
        <is>
          <t>Bergvik skog öst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6049-2023</t>
        </is>
      </c>
      <c r="B3363" s="1" t="n">
        <v>44964</v>
      </c>
      <c r="C3363" s="1" t="n">
        <v>45706</v>
      </c>
      <c r="D3363" t="inlineStr">
        <is>
          <t>UPPSALA LÄN</t>
        </is>
      </c>
      <c r="E3363" t="inlineStr">
        <is>
          <t>TIERP</t>
        </is>
      </c>
      <c r="F3363" t="inlineStr">
        <is>
          <t>Bergvik skog öst AB</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6155-2023</t>
        </is>
      </c>
      <c r="B3364" s="1" t="n">
        <v>44964</v>
      </c>
      <c r="C3364" s="1" t="n">
        <v>45706</v>
      </c>
      <c r="D3364" t="inlineStr">
        <is>
          <t>UPPSALA LÄN</t>
        </is>
      </c>
      <c r="E3364" t="inlineStr">
        <is>
          <t>UPPSALA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6203-2023</t>
        </is>
      </c>
      <c r="B3365" s="1" t="n">
        <v>44964</v>
      </c>
      <c r="C3365" s="1" t="n">
        <v>45706</v>
      </c>
      <c r="D3365" t="inlineStr">
        <is>
          <t>UPPSALA LÄN</t>
        </is>
      </c>
      <c r="E3365" t="inlineStr">
        <is>
          <t>HEBY</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6215-2023</t>
        </is>
      </c>
      <c r="B3366" s="1" t="n">
        <v>44964</v>
      </c>
      <c r="C3366" s="1" t="n">
        <v>45706</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6172-2023</t>
        </is>
      </c>
      <c r="B3367" s="1" t="n">
        <v>44964</v>
      </c>
      <c r="C3367" s="1" t="n">
        <v>45706</v>
      </c>
      <c r="D3367" t="inlineStr">
        <is>
          <t>UPPSALA LÄN</t>
        </is>
      </c>
      <c r="E3367" t="inlineStr">
        <is>
          <t>ENKÖPING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6288-2023</t>
        </is>
      </c>
      <c r="B3368" s="1" t="n">
        <v>44965</v>
      </c>
      <c r="C3368" s="1" t="n">
        <v>45706</v>
      </c>
      <c r="D3368" t="inlineStr">
        <is>
          <t>UPPSALA LÄN</t>
        </is>
      </c>
      <c r="E3368" t="inlineStr">
        <is>
          <t>TIERP</t>
        </is>
      </c>
      <c r="F3368" t="inlineStr">
        <is>
          <t>Bergvik skog öst AB</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6364-2023</t>
        </is>
      </c>
      <c r="B3369" s="1" t="n">
        <v>44965</v>
      </c>
      <c r="C3369" s="1" t="n">
        <v>45706</v>
      </c>
      <c r="D3369" t="inlineStr">
        <is>
          <t>UPPSALA LÄN</t>
        </is>
      </c>
      <c r="E3369" t="inlineStr">
        <is>
          <t>TIERP</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6422-2023</t>
        </is>
      </c>
      <c r="B3370" s="1" t="n">
        <v>44965</v>
      </c>
      <c r="C3370" s="1" t="n">
        <v>45706</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6423-2023</t>
        </is>
      </c>
      <c r="B3371" s="1" t="n">
        <v>44965</v>
      </c>
      <c r="C3371" s="1" t="n">
        <v>45706</v>
      </c>
      <c r="D3371" t="inlineStr">
        <is>
          <t>UPPSALA LÄN</t>
        </is>
      </c>
      <c r="E3371" t="inlineStr">
        <is>
          <t>UPPSALA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6602-2023</t>
        </is>
      </c>
      <c r="B3372" s="1" t="n">
        <v>44966</v>
      </c>
      <c r="C3372" s="1" t="n">
        <v>45706</v>
      </c>
      <c r="D3372" t="inlineStr">
        <is>
          <t>UPPSALA LÄN</t>
        </is>
      </c>
      <c r="E3372" t="inlineStr">
        <is>
          <t>UPPSALA</t>
        </is>
      </c>
      <c r="F3372" t="inlineStr">
        <is>
          <t>Allmännings- och besparingsskogar</t>
        </is>
      </c>
      <c r="G3372" t="n">
        <v>20.2</v>
      </c>
      <c r="H3372" t="n">
        <v>0</v>
      </c>
      <c r="I3372" t="n">
        <v>0</v>
      </c>
      <c r="J3372" t="n">
        <v>0</v>
      </c>
      <c r="K3372" t="n">
        <v>0</v>
      </c>
      <c r="L3372" t="n">
        <v>0</v>
      </c>
      <c r="M3372" t="n">
        <v>0</v>
      </c>
      <c r="N3372" t="n">
        <v>0</v>
      </c>
      <c r="O3372" t="n">
        <v>0</v>
      </c>
      <c r="P3372" t="n">
        <v>0</v>
      </c>
      <c r="Q3372" t="n">
        <v>0</v>
      </c>
      <c r="R3372" s="2" t="inlineStr"/>
    </row>
    <row r="3373" ht="15" customHeight="1">
      <c r="A3373" t="inlineStr">
        <is>
          <t>A 6620-2023</t>
        </is>
      </c>
      <c r="B3373" s="1" t="n">
        <v>44966</v>
      </c>
      <c r="C3373" s="1" t="n">
        <v>45706</v>
      </c>
      <c r="D3373" t="inlineStr">
        <is>
          <t>UPPSALA LÄN</t>
        </is>
      </c>
      <c r="E3373" t="inlineStr">
        <is>
          <t>ENKÖPING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6497-2023</t>
        </is>
      </c>
      <c r="B3374" s="1" t="n">
        <v>44966</v>
      </c>
      <c r="C3374" s="1" t="n">
        <v>45706</v>
      </c>
      <c r="D3374" t="inlineStr">
        <is>
          <t>UPPSALA LÄN</t>
        </is>
      </c>
      <c r="E3374" t="inlineStr">
        <is>
          <t>TIERP</t>
        </is>
      </c>
      <c r="F3374" t="inlineStr">
        <is>
          <t>Bergvik skog öst AB</t>
        </is>
      </c>
      <c r="G3374" t="n">
        <v>12.9</v>
      </c>
      <c r="H3374" t="n">
        <v>0</v>
      </c>
      <c r="I3374" t="n">
        <v>0</v>
      </c>
      <c r="J3374" t="n">
        <v>0</v>
      </c>
      <c r="K3374" t="n">
        <v>0</v>
      </c>
      <c r="L3374" t="n">
        <v>0</v>
      </c>
      <c r="M3374" t="n">
        <v>0</v>
      </c>
      <c r="N3374" t="n">
        <v>0</v>
      </c>
      <c r="O3374" t="n">
        <v>0</v>
      </c>
      <c r="P3374" t="n">
        <v>0</v>
      </c>
      <c r="Q3374" t="n">
        <v>0</v>
      </c>
      <c r="R3374" s="2" t="inlineStr"/>
    </row>
    <row r="3375" ht="15" customHeight="1">
      <c r="A3375" t="inlineStr">
        <is>
          <t>A 6623-2023</t>
        </is>
      </c>
      <c r="B3375" s="1" t="n">
        <v>44966</v>
      </c>
      <c r="C3375" s="1" t="n">
        <v>45706</v>
      </c>
      <c r="D3375" t="inlineStr">
        <is>
          <t>UPPSALA LÄN</t>
        </is>
      </c>
      <c r="E3375" t="inlineStr">
        <is>
          <t>ENKÖPING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6624-2023</t>
        </is>
      </c>
      <c r="B3376" s="1" t="n">
        <v>44966</v>
      </c>
      <c r="C3376" s="1" t="n">
        <v>45706</v>
      </c>
      <c r="D3376" t="inlineStr">
        <is>
          <t>UPPSALA LÄN</t>
        </is>
      </c>
      <c r="E3376" t="inlineStr">
        <is>
          <t>ENKÖPING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6626-2023</t>
        </is>
      </c>
      <c r="B3377" s="1" t="n">
        <v>44966</v>
      </c>
      <c r="C3377" s="1" t="n">
        <v>45706</v>
      </c>
      <c r="D3377" t="inlineStr">
        <is>
          <t>UPPSALA LÄN</t>
        </is>
      </c>
      <c r="E3377" t="inlineStr">
        <is>
          <t>ENKÖPING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6692-2023</t>
        </is>
      </c>
      <c r="B3378" s="1" t="n">
        <v>44966</v>
      </c>
      <c r="C3378" s="1" t="n">
        <v>45706</v>
      </c>
      <c r="D3378" t="inlineStr">
        <is>
          <t>UPPSALA LÄN</t>
        </is>
      </c>
      <c r="E3378" t="inlineStr">
        <is>
          <t>HEBY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6749-2023</t>
        </is>
      </c>
      <c r="B3379" s="1" t="n">
        <v>44966</v>
      </c>
      <c r="C3379" s="1" t="n">
        <v>45706</v>
      </c>
      <c r="D3379" t="inlineStr">
        <is>
          <t>UPPSALA LÄN</t>
        </is>
      </c>
      <c r="E3379" t="inlineStr">
        <is>
          <t>UPPSALA</t>
        </is>
      </c>
      <c r="F3379" t="inlineStr">
        <is>
          <t>Allmännings- och besparingsskogar</t>
        </is>
      </c>
      <c r="G3379" t="n">
        <v>13.5</v>
      </c>
      <c r="H3379" t="n">
        <v>0</v>
      </c>
      <c r="I3379" t="n">
        <v>0</v>
      </c>
      <c r="J3379" t="n">
        <v>0</v>
      </c>
      <c r="K3379" t="n">
        <v>0</v>
      </c>
      <c r="L3379" t="n">
        <v>0</v>
      </c>
      <c r="M3379" t="n">
        <v>0</v>
      </c>
      <c r="N3379" t="n">
        <v>0</v>
      </c>
      <c r="O3379" t="n">
        <v>0</v>
      </c>
      <c r="P3379" t="n">
        <v>0</v>
      </c>
      <c r="Q3379" t="n">
        <v>0</v>
      </c>
      <c r="R3379" s="2" t="inlineStr"/>
    </row>
    <row r="3380" ht="15" customHeight="1">
      <c r="A3380" t="inlineStr">
        <is>
          <t>A 7352-2023</t>
        </is>
      </c>
      <c r="B3380" s="1" t="n">
        <v>44966</v>
      </c>
      <c r="C3380" s="1" t="n">
        <v>45706</v>
      </c>
      <c r="D3380" t="inlineStr">
        <is>
          <t>UPPSALA LÄN</t>
        </is>
      </c>
      <c r="E3380" t="inlineStr">
        <is>
          <t>TIERP</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7359-2023</t>
        </is>
      </c>
      <c r="B3381" s="1" t="n">
        <v>44966</v>
      </c>
      <c r="C3381" s="1" t="n">
        <v>45706</v>
      </c>
      <c r="D3381" t="inlineStr">
        <is>
          <t>UPPSALA LÄN</t>
        </is>
      </c>
      <c r="E3381" t="inlineStr">
        <is>
          <t>TIERP</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6839-2023</t>
        </is>
      </c>
      <c r="B3382" s="1" t="n">
        <v>44967</v>
      </c>
      <c r="C3382" s="1" t="n">
        <v>45706</v>
      </c>
      <c r="D3382" t="inlineStr">
        <is>
          <t>UPPSALA LÄN</t>
        </is>
      </c>
      <c r="E3382" t="inlineStr">
        <is>
          <t>ÄLVKARLEBY</t>
        </is>
      </c>
      <c r="F3382" t="inlineStr">
        <is>
          <t>Bergvik skog väst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6834-2023</t>
        </is>
      </c>
      <c r="B3383" s="1" t="n">
        <v>44967</v>
      </c>
      <c r="C3383" s="1" t="n">
        <v>45706</v>
      </c>
      <c r="D3383" t="inlineStr">
        <is>
          <t>UPPSALA LÄN</t>
        </is>
      </c>
      <c r="E3383" t="inlineStr">
        <is>
          <t>ÄLVKARLEBY</t>
        </is>
      </c>
      <c r="F3383" t="inlineStr">
        <is>
          <t>Bergvik skog väst AB</t>
        </is>
      </c>
      <c r="G3383" t="n">
        <v>8.1</v>
      </c>
      <c r="H3383" t="n">
        <v>0</v>
      </c>
      <c r="I3383" t="n">
        <v>0</v>
      </c>
      <c r="J3383" t="n">
        <v>0</v>
      </c>
      <c r="K3383" t="n">
        <v>0</v>
      </c>
      <c r="L3383" t="n">
        <v>0</v>
      </c>
      <c r="M3383" t="n">
        <v>0</v>
      </c>
      <c r="N3383" t="n">
        <v>0</v>
      </c>
      <c r="O3383" t="n">
        <v>0</v>
      </c>
      <c r="P3383" t="n">
        <v>0</v>
      </c>
      <c r="Q3383" t="n">
        <v>0</v>
      </c>
      <c r="R3383" s="2" t="inlineStr"/>
    </row>
    <row r="3384" ht="15" customHeight="1">
      <c r="A3384" t="inlineStr">
        <is>
          <t>A 6930-2023</t>
        </is>
      </c>
      <c r="B3384" s="1" t="n">
        <v>44967</v>
      </c>
      <c r="C3384" s="1" t="n">
        <v>45706</v>
      </c>
      <c r="D3384" t="inlineStr">
        <is>
          <t>UPPSALA LÄN</t>
        </is>
      </c>
      <c r="E3384" t="inlineStr">
        <is>
          <t>UPPSALA</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7000-2023</t>
        </is>
      </c>
      <c r="B3385" s="1" t="n">
        <v>44967</v>
      </c>
      <c r="C3385" s="1" t="n">
        <v>45706</v>
      </c>
      <c r="D3385" t="inlineStr">
        <is>
          <t>UPPSALA LÄN</t>
        </is>
      </c>
      <c r="E3385" t="inlineStr">
        <is>
          <t>UPPSALA</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6999-2023</t>
        </is>
      </c>
      <c r="B3386" s="1" t="n">
        <v>44967</v>
      </c>
      <c r="C3386" s="1" t="n">
        <v>45706</v>
      </c>
      <c r="D3386" t="inlineStr">
        <is>
          <t>UPPSALA LÄN</t>
        </is>
      </c>
      <c r="E3386" t="inlineStr">
        <is>
          <t>UPPSALA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6997-2023</t>
        </is>
      </c>
      <c r="B3387" s="1" t="n">
        <v>44967</v>
      </c>
      <c r="C3387" s="1" t="n">
        <v>45706</v>
      </c>
      <c r="D3387" t="inlineStr">
        <is>
          <t>UPPSALA LÄN</t>
        </is>
      </c>
      <c r="E3387" t="inlineStr">
        <is>
          <t>UPPSALA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7001-2023</t>
        </is>
      </c>
      <c r="B3388" s="1" t="n">
        <v>44967</v>
      </c>
      <c r="C3388" s="1" t="n">
        <v>45706</v>
      </c>
      <c r="D3388" t="inlineStr">
        <is>
          <t>UPPSALA LÄN</t>
        </is>
      </c>
      <c r="E3388" t="inlineStr">
        <is>
          <t>UPPSALA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7002-2023</t>
        </is>
      </c>
      <c r="B3389" s="1" t="n">
        <v>44967</v>
      </c>
      <c r="C3389" s="1" t="n">
        <v>45706</v>
      </c>
      <c r="D3389" t="inlineStr">
        <is>
          <t>UPPSALA LÄN</t>
        </is>
      </c>
      <c r="E3389" t="inlineStr">
        <is>
          <t>UPPSALA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7611-2023</t>
        </is>
      </c>
      <c r="B3390" s="1" t="n">
        <v>44967</v>
      </c>
      <c r="C3390" s="1" t="n">
        <v>45706</v>
      </c>
      <c r="D3390" t="inlineStr">
        <is>
          <t>UPPSALA LÄN</t>
        </is>
      </c>
      <c r="E3390" t="inlineStr">
        <is>
          <t>UPPSALA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7607-2023</t>
        </is>
      </c>
      <c r="B3391" s="1" t="n">
        <v>44967</v>
      </c>
      <c r="C3391" s="1" t="n">
        <v>45706</v>
      </c>
      <c r="D3391" t="inlineStr">
        <is>
          <t>UPPSALA LÄN</t>
        </is>
      </c>
      <c r="E3391" t="inlineStr">
        <is>
          <t>UPPSALA</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7058-2023</t>
        </is>
      </c>
      <c r="B3392" s="1" t="n">
        <v>44969</v>
      </c>
      <c r="C3392" s="1" t="n">
        <v>45706</v>
      </c>
      <c r="D3392" t="inlineStr">
        <is>
          <t>UPPSALA LÄN</t>
        </is>
      </c>
      <c r="E3392" t="inlineStr">
        <is>
          <t>UPPSALA</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7074-2023</t>
        </is>
      </c>
      <c r="B3393" s="1" t="n">
        <v>44970</v>
      </c>
      <c r="C3393" s="1" t="n">
        <v>45706</v>
      </c>
      <c r="D3393" t="inlineStr">
        <is>
          <t>UPPSALA LÄN</t>
        </is>
      </c>
      <c r="E3393" t="inlineStr">
        <is>
          <t>HÅBO</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7084-2023</t>
        </is>
      </c>
      <c r="B3394" s="1" t="n">
        <v>44970</v>
      </c>
      <c r="C3394" s="1" t="n">
        <v>45706</v>
      </c>
      <c r="D3394" t="inlineStr">
        <is>
          <t>UPPSALA LÄN</t>
        </is>
      </c>
      <c r="E3394" t="inlineStr">
        <is>
          <t>UPPSALA</t>
        </is>
      </c>
      <c r="F3394" t="inlineStr">
        <is>
          <t>Sveaskog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7195-2023</t>
        </is>
      </c>
      <c r="B3395" s="1" t="n">
        <v>44970</v>
      </c>
      <c r="C3395" s="1" t="n">
        <v>45706</v>
      </c>
      <c r="D3395" t="inlineStr">
        <is>
          <t>UPPSALA LÄN</t>
        </is>
      </c>
      <c r="E3395" t="inlineStr">
        <is>
          <t>ÖSTHAMMAR</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7206-2023</t>
        </is>
      </c>
      <c r="B3396" s="1" t="n">
        <v>44970</v>
      </c>
      <c r="C3396" s="1" t="n">
        <v>45706</v>
      </c>
      <c r="D3396" t="inlineStr">
        <is>
          <t>UPPSALA LÄN</t>
        </is>
      </c>
      <c r="E3396" t="inlineStr">
        <is>
          <t>ÖSTHAMMAR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7286-2023</t>
        </is>
      </c>
      <c r="B3397" s="1" t="n">
        <v>44970</v>
      </c>
      <c r="C3397" s="1" t="n">
        <v>45706</v>
      </c>
      <c r="D3397" t="inlineStr">
        <is>
          <t>UPPSALA LÄN</t>
        </is>
      </c>
      <c r="E3397" t="inlineStr">
        <is>
          <t>ÄLVKARLEBY</t>
        </is>
      </c>
      <c r="F3397" t="inlineStr">
        <is>
          <t>Bergvik skog väst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7118-2023</t>
        </is>
      </c>
      <c r="B3398" s="1" t="n">
        <v>44970</v>
      </c>
      <c r="C3398" s="1" t="n">
        <v>45706</v>
      </c>
      <c r="D3398" t="inlineStr">
        <is>
          <t>UPPSALA LÄN</t>
        </is>
      </c>
      <c r="E3398" t="inlineStr">
        <is>
          <t>ÖSTHAMMAR</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7392-2023</t>
        </is>
      </c>
      <c r="B3399" s="1" t="n">
        <v>44971</v>
      </c>
      <c r="C3399" s="1" t="n">
        <v>45706</v>
      </c>
      <c r="D3399" t="inlineStr">
        <is>
          <t>UPPSALA LÄN</t>
        </is>
      </c>
      <c r="E3399" t="inlineStr">
        <is>
          <t>TIERP</t>
        </is>
      </c>
      <c r="F3399" t="inlineStr">
        <is>
          <t>Bergvik skog öst AB</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7370-2023</t>
        </is>
      </c>
      <c r="B3400" s="1" t="n">
        <v>44971</v>
      </c>
      <c r="C3400" s="1" t="n">
        <v>45706</v>
      </c>
      <c r="D3400" t="inlineStr">
        <is>
          <t>UPPSALA LÄN</t>
        </is>
      </c>
      <c r="E3400" t="inlineStr">
        <is>
          <t>TIERP</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8384-2023</t>
        </is>
      </c>
      <c r="B3401" s="1" t="n">
        <v>44971</v>
      </c>
      <c r="C3401" s="1" t="n">
        <v>45706</v>
      </c>
      <c r="D3401" t="inlineStr">
        <is>
          <t>UPPSALA LÄN</t>
        </is>
      </c>
      <c r="E3401" t="inlineStr">
        <is>
          <t>UPPSALA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8286-2023</t>
        </is>
      </c>
      <c r="B3402" s="1" t="n">
        <v>44971</v>
      </c>
      <c r="C3402" s="1" t="n">
        <v>45706</v>
      </c>
      <c r="D3402" t="inlineStr">
        <is>
          <t>UPPSALA LÄN</t>
        </is>
      </c>
      <c r="E3402" t="inlineStr">
        <is>
          <t>UPPSALA</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7546-2023</t>
        </is>
      </c>
      <c r="B3403" s="1" t="n">
        <v>44972</v>
      </c>
      <c r="C3403" s="1" t="n">
        <v>45706</v>
      </c>
      <c r="D3403" t="inlineStr">
        <is>
          <t>UPPSALA LÄN</t>
        </is>
      </c>
      <c r="E3403" t="inlineStr">
        <is>
          <t>ÖSTHAMMAR</t>
        </is>
      </c>
      <c r="F3403" t="inlineStr">
        <is>
          <t>Bergvik skog öst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7543-2023</t>
        </is>
      </c>
      <c r="B3404" s="1" t="n">
        <v>44972</v>
      </c>
      <c r="C3404" s="1" t="n">
        <v>45706</v>
      </c>
      <c r="D3404" t="inlineStr">
        <is>
          <t>UPPSALA LÄN</t>
        </is>
      </c>
      <c r="E3404" t="inlineStr">
        <is>
          <t>ÖSTHAMMAR</t>
        </is>
      </c>
      <c r="F3404" t="inlineStr">
        <is>
          <t>Bergvik skog öst AB</t>
        </is>
      </c>
      <c r="G3404" t="n">
        <v>13.3</v>
      </c>
      <c r="H3404" t="n">
        <v>0</v>
      </c>
      <c r="I3404" t="n">
        <v>0</v>
      </c>
      <c r="J3404" t="n">
        <v>0</v>
      </c>
      <c r="K3404" t="n">
        <v>0</v>
      </c>
      <c r="L3404" t="n">
        <v>0</v>
      </c>
      <c r="M3404" t="n">
        <v>0</v>
      </c>
      <c r="N3404" t="n">
        <v>0</v>
      </c>
      <c r="O3404" t="n">
        <v>0</v>
      </c>
      <c r="P3404" t="n">
        <v>0</v>
      </c>
      <c r="Q3404" t="n">
        <v>0</v>
      </c>
      <c r="R3404" s="2" t="inlineStr"/>
    </row>
    <row r="3405" ht="15" customHeight="1">
      <c r="A3405" t="inlineStr">
        <is>
          <t>A 7560-2023</t>
        </is>
      </c>
      <c r="B3405" s="1" t="n">
        <v>44972</v>
      </c>
      <c r="C3405" s="1" t="n">
        <v>45706</v>
      </c>
      <c r="D3405" t="inlineStr">
        <is>
          <t>UPPSALA LÄN</t>
        </is>
      </c>
      <c r="E3405" t="inlineStr">
        <is>
          <t>ÖSTHAMMAR</t>
        </is>
      </c>
      <c r="F3405" t="inlineStr">
        <is>
          <t>Bergvik skog öst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7577-2023</t>
        </is>
      </c>
      <c r="B3406" s="1" t="n">
        <v>44972</v>
      </c>
      <c r="C3406" s="1" t="n">
        <v>45706</v>
      </c>
      <c r="D3406" t="inlineStr">
        <is>
          <t>UPPSALA LÄN</t>
        </is>
      </c>
      <c r="E3406" t="inlineStr">
        <is>
          <t>UPPSALA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7591-2023</t>
        </is>
      </c>
      <c r="B3407" s="1" t="n">
        <v>44972</v>
      </c>
      <c r="C3407" s="1" t="n">
        <v>45706</v>
      </c>
      <c r="D3407" t="inlineStr">
        <is>
          <t>UPPSALA LÄN</t>
        </is>
      </c>
      <c r="E3407" t="inlineStr">
        <is>
          <t>TIERP</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7663-2023</t>
        </is>
      </c>
      <c r="B3408" s="1" t="n">
        <v>44972</v>
      </c>
      <c r="C3408" s="1" t="n">
        <v>45706</v>
      </c>
      <c r="D3408" t="inlineStr">
        <is>
          <t>UPPSALA LÄN</t>
        </is>
      </c>
      <c r="E3408" t="inlineStr">
        <is>
          <t>UPPSALA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7876-2023</t>
        </is>
      </c>
      <c r="B3409" s="1" t="n">
        <v>44973</v>
      </c>
      <c r="C3409" s="1" t="n">
        <v>45706</v>
      </c>
      <c r="D3409" t="inlineStr">
        <is>
          <t>UPPSALA LÄN</t>
        </is>
      </c>
      <c r="E3409" t="inlineStr">
        <is>
          <t>ÖSTHAMMAR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7944-2023</t>
        </is>
      </c>
      <c r="B3410" s="1" t="n">
        <v>44973</v>
      </c>
      <c r="C3410" s="1" t="n">
        <v>45706</v>
      </c>
      <c r="D3410" t="inlineStr">
        <is>
          <t>UPPSALA LÄN</t>
        </is>
      </c>
      <c r="E3410" t="inlineStr">
        <is>
          <t>ÖSTHAMMAR</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7975-2023</t>
        </is>
      </c>
      <c r="B3411" s="1" t="n">
        <v>44973</v>
      </c>
      <c r="C3411" s="1" t="n">
        <v>45706</v>
      </c>
      <c r="D3411" t="inlineStr">
        <is>
          <t>UPPSALA LÄN</t>
        </is>
      </c>
      <c r="E3411" t="inlineStr">
        <is>
          <t>ÖSTHAMMAR</t>
        </is>
      </c>
      <c r="F3411" t="inlineStr">
        <is>
          <t>Bergvik skog öst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7894-2023</t>
        </is>
      </c>
      <c r="B3412" s="1" t="n">
        <v>44973</v>
      </c>
      <c r="C3412" s="1" t="n">
        <v>45706</v>
      </c>
      <c r="D3412" t="inlineStr">
        <is>
          <t>UPPSALA LÄN</t>
        </is>
      </c>
      <c r="E3412" t="inlineStr">
        <is>
          <t>UPPSALA</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8006-2023</t>
        </is>
      </c>
      <c r="B3413" s="1" t="n">
        <v>44973</v>
      </c>
      <c r="C3413" s="1" t="n">
        <v>45706</v>
      </c>
      <c r="D3413" t="inlineStr">
        <is>
          <t>UPPSALA LÄN</t>
        </is>
      </c>
      <c r="E3413" t="inlineStr">
        <is>
          <t>ÖSTHAMMAR</t>
        </is>
      </c>
      <c r="F3413" t="inlineStr">
        <is>
          <t>Bergvik skog öst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8914-2023</t>
        </is>
      </c>
      <c r="B3414" s="1" t="n">
        <v>44973</v>
      </c>
      <c r="C3414" s="1" t="n">
        <v>45706</v>
      </c>
      <c r="D3414" t="inlineStr">
        <is>
          <t>UPPSALA LÄN</t>
        </is>
      </c>
      <c r="E3414" t="inlineStr">
        <is>
          <t>TIERP</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8051-2023</t>
        </is>
      </c>
      <c r="B3415" s="1" t="n">
        <v>44974</v>
      </c>
      <c r="C3415" s="1" t="n">
        <v>45706</v>
      </c>
      <c r="D3415" t="inlineStr">
        <is>
          <t>UPPSALA LÄN</t>
        </is>
      </c>
      <c r="E3415" t="inlineStr">
        <is>
          <t>HEBY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8046-2023</t>
        </is>
      </c>
      <c r="B3416" s="1" t="n">
        <v>44974</v>
      </c>
      <c r="C3416" s="1" t="n">
        <v>45706</v>
      </c>
      <c r="D3416" t="inlineStr">
        <is>
          <t>UPPSALA LÄN</t>
        </is>
      </c>
      <c r="E3416" t="inlineStr">
        <is>
          <t>HEBY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8162-2023</t>
        </is>
      </c>
      <c r="B3417" s="1" t="n">
        <v>44974</v>
      </c>
      <c r="C3417" s="1" t="n">
        <v>45706</v>
      </c>
      <c r="D3417" t="inlineStr">
        <is>
          <t>UPPSALA LÄN</t>
        </is>
      </c>
      <c r="E3417" t="inlineStr">
        <is>
          <t>UPPSALA</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8232-2023</t>
        </is>
      </c>
      <c r="B3418" s="1" t="n">
        <v>44974</v>
      </c>
      <c r="C3418" s="1" t="n">
        <v>45706</v>
      </c>
      <c r="D3418" t="inlineStr">
        <is>
          <t>UPPSALA LÄN</t>
        </is>
      </c>
      <c r="E3418" t="inlineStr">
        <is>
          <t>HEBY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8314-2023</t>
        </is>
      </c>
      <c r="B3419" s="1" t="n">
        <v>44974</v>
      </c>
      <c r="C3419" s="1" t="n">
        <v>45706</v>
      </c>
      <c r="D3419" t="inlineStr">
        <is>
          <t>UPPSALA LÄN</t>
        </is>
      </c>
      <c r="E3419" t="inlineStr">
        <is>
          <t>HEBY</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8473-2023</t>
        </is>
      </c>
      <c r="B3420" s="1" t="n">
        <v>44977</v>
      </c>
      <c r="C3420" s="1" t="n">
        <v>45706</v>
      </c>
      <c r="D3420" t="inlineStr">
        <is>
          <t>UPPSALA LÄN</t>
        </is>
      </c>
      <c r="E3420" t="inlineStr">
        <is>
          <t>UPPSALA</t>
        </is>
      </c>
      <c r="F3420" t="inlineStr">
        <is>
          <t>Holmen skog AB</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8616-2023</t>
        </is>
      </c>
      <c r="B3421" s="1" t="n">
        <v>44977</v>
      </c>
      <c r="C3421" s="1" t="n">
        <v>45706</v>
      </c>
      <c r="D3421" t="inlineStr">
        <is>
          <t>UPPSALA LÄN</t>
        </is>
      </c>
      <c r="E3421" t="inlineStr">
        <is>
          <t>ÖSTHAMMAR</t>
        </is>
      </c>
      <c r="F3421" t="inlineStr">
        <is>
          <t>Bergvik skog öst AB</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9426-2023</t>
        </is>
      </c>
      <c r="B3422" s="1" t="n">
        <v>44977</v>
      </c>
      <c r="C3422" s="1" t="n">
        <v>45706</v>
      </c>
      <c r="D3422" t="inlineStr">
        <is>
          <t>UPPSALA LÄN</t>
        </is>
      </c>
      <c r="E3422" t="inlineStr">
        <is>
          <t>UPPSALA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9398-2023</t>
        </is>
      </c>
      <c r="B3423" s="1" t="n">
        <v>44977</v>
      </c>
      <c r="C3423" s="1" t="n">
        <v>45706</v>
      </c>
      <c r="D3423" t="inlineStr">
        <is>
          <t>UPPSALA LÄN</t>
        </is>
      </c>
      <c r="E3423" t="inlineStr">
        <is>
          <t>UPPSALA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8767-2023</t>
        </is>
      </c>
      <c r="B3424" s="1" t="n">
        <v>44978</v>
      </c>
      <c r="C3424" s="1" t="n">
        <v>45706</v>
      </c>
      <c r="D3424" t="inlineStr">
        <is>
          <t>UPPSALA LÄN</t>
        </is>
      </c>
      <c r="E3424" t="inlineStr">
        <is>
          <t>TIERP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8777-2023</t>
        </is>
      </c>
      <c r="B3425" s="1" t="n">
        <v>44978</v>
      </c>
      <c r="C3425" s="1" t="n">
        <v>45706</v>
      </c>
      <c r="D3425" t="inlineStr">
        <is>
          <t>UPPSALA LÄN</t>
        </is>
      </c>
      <c r="E3425" t="inlineStr">
        <is>
          <t>HEBY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8775-2023</t>
        </is>
      </c>
      <c r="B3426" s="1" t="n">
        <v>44978</v>
      </c>
      <c r="C3426" s="1" t="n">
        <v>45706</v>
      </c>
      <c r="D3426" t="inlineStr">
        <is>
          <t>UPPSALA LÄN</t>
        </is>
      </c>
      <c r="E3426" t="inlineStr">
        <is>
          <t>HEBY</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8768-2023</t>
        </is>
      </c>
      <c r="B3427" s="1" t="n">
        <v>44978</v>
      </c>
      <c r="C3427" s="1" t="n">
        <v>45706</v>
      </c>
      <c r="D3427" t="inlineStr">
        <is>
          <t>UPPSALA LÄN</t>
        </is>
      </c>
      <c r="E3427" t="inlineStr">
        <is>
          <t>TIERP</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8774-2023</t>
        </is>
      </c>
      <c r="B3428" s="1" t="n">
        <v>44978</v>
      </c>
      <c r="C3428" s="1" t="n">
        <v>45706</v>
      </c>
      <c r="D3428" t="inlineStr">
        <is>
          <t>UPPSALA LÄN</t>
        </is>
      </c>
      <c r="E3428" t="inlineStr">
        <is>
          <t>TIERP</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8783-2023</t>
        </is>
      </c>
      <c r="B3429" s="1" t="n">
        <v>44978</v>
      </c>
      <c r="C3429" s="1" t="n">
        <v>45706</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8826-2023</t>
        </is>
      </c>
      <c r="B3430" s="1" t="n">
        <v>44978</v>
      </c>
      <c r="C3430" s="1" t="n">
        <v>45706</v>
      </c>
      <c r="D3430" t="inlineStr">
        <is>
          <t>UPPSALA LÄN</t>
        </is>
      </c>
      <c r="E3430" t="inlineStr">
        <is>
          <t>ÖSTHAMMAR</t>
        </is>
      </c>
      <c r="F3430" t="inlineStr">
        <is>
          <t>Bergvik skog öst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8772-2023</t>
        </is>
      </c>
      <c r="B3431" s="1" t="n">
        <v>44978</v>
      </c>
      <c r="C3431" s="1" t="n">
        <v>45706</v>
      </c>
      <c r="D3431" t="inlineStr">
        <is>
          <t>UPPSALA LÄN</t>
        </is>
      </c>
      <c r="E3431" t="inlineStr">
        <is>
          <t>TIERP</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8790-2023</t>
        </is>
      </c>
      <c r="B3432" s="1" t="n">
        <v>44978</v>
      </c>
      <c r="C3432" s="1" t="n">
        <v>45706</v>
      </c>
      <c r="D3432" t="inlineStr">
        <is>
          <t>UPPSALA LÄN</t>
        </is>
      </c>
      <c r="E3432" t="inlineStr">
        <is>
          <t>HEBY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8830-2023</t>
        </is>
      </c>
      <c r="B3433" s="1" t="n">
        <v>44978</v>
      </c>
      <c r="C3433" s="1" t="n">
        <v>45706</v>
      </c>
      <c r="D3433" t="inlineStr">
        <is>
          <t>UPPSALA LÄN</t>
        </is>
      </c>
      <c r="E3433" t="inlineStr">
        <is>
          <t>ÖSTHAMMAR</t>
        </is>
      </c>
      <c r="F3433" t="inlineStr">
        <is>
          <t>Bergvik skog öst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8805-2023</t>
        </is>
      </c>
      <c r="B3434" s="1" t="n">
        <v>44978</v>
      </c>
      <c r="C3434" s="1" t="n">
        <v>45706</v>
      </c>
      <c r="D3434" t="inlineStr">
        <is>
          <t>UPPSALA LÄN</t>
        </is>
      </c>
      <c r="E3434" t="inlineStr">
        <is>
          <t>HEBY</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9957-2023</t>
        </is>
      </c>
      <c r="B3435" s="1" t="n">
        <v>44978</v>
      </c>
      <c r="C3435" s="1" t="n">
        <v>45706</v>
      </c>
      <c r="D3435" t="inlineStr">
        <is>
          <t>UPPSALA LÄN</t>
        </is>
      </c>
      <c r="E3435" t="inlineStr">
        <is>
          <t>ENKÖPING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9958-2023</t>
        </is>
      </c>
      <c r="B3436" s="1" t="n">
        <v>44978</v>
      </c>
      <c r="C3436" s="1" t="n">
        <v>45706</v>
      </c>
      <c r="D3436" t="inlineStr">
        <is>
          <t>UPPSALA LÄN</t>
        </is>
      </c>
      <c r="E3436" t="inlineStr">
        <is>
          <t>ENKÖPING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9041-2023</t>
        </is>
      </c>
      <c r="B3437" s="1" t="n">
        <v>44979</v>
      </c>
      <c r="C3437" s="1" t="n">
        <v>45706</v>
      </c>
      <c r="D3437" t="inlineStr">
        <is>
          <t>UPPSALA LÄN</t>
        </is>
      </c>
      <c r="E3437" t="inlineStr">
        <is>
          <t>ENKÖPING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9030-2023</t>
        </is>
      </c>
      <c r="B3438" s="1" t="n">
        <v>44979</v>
      </c>
      <c r="C3438" s="1" t="n">
        <v>45706</v>
      </c>
      <c r="D3438" t="inlineStr">
        <is>
          <t>UPPSALA LÄN</t>
        </is>
      </c>
      <c r="E3438" t="inlineStr">
        <is>
          <t>TIERP</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9043-2023</t>
        </is>
      </c>
      <c r="B3439" s="1" t="n">
        <v>44979</v>
      </c>
      <c r="C3439" s="1" t="n">
        <v>45706</v>
      </c>
      <c r="D3439" t="inlineStr">
        <is>
          <t>UPPSALA LÄN</t>
        </is>
      </c>
      <c r="E3439" t="inlineStr">
        <is>
          <t>HEBY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9052-2023</t>
        </is>
      </c>
      <c r="B3440" s="1" t="n">
        <v>44979</v>
      </c>
      <c r="C3440" s="1" t="n">
        <v>45706</v>
      </c>
      <c r="D3440" t="inlineStr">
        <is>
          <t>UPPSALA LÄN</t>
        </is>
      </c>
      <c r="E3440" t="inlineStr">
        <is>
          <t>ÖSTHAMMAR</t>
        </is>
      </c>
      <c r="F3440" t="inlineStr">
        <is>
          <t>Kyrkan</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9243-2023</t>
        </is>
      </c>
      <c r="B3441" s="1" t="n">
        <v>44980</v>
      </c>
      <c r="C3441" s="1" t="n">
        <v>45706</v>
      </c>
      <c r="D3441" t="inlineStr">
        <is>
          <t>UPPSALA LÄN</t>
        </is>
      </c>
      <c r="E3441" t="inlineStr">
        <is>
          <t>HEBY</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9295-2023</t>
        </is>
      </c>
      <c r="B3442" s="1" t="n">
        <v>44980</v>
      </c>
      <c r="C3442" s="1" t="n">
        <v>45706</v>
      </c>
      <c r="D3442" t="inlineStr">
        <is>
          <t>UPPSALA LÄN</t>
        </is>
      </c>
      <c r="E3442" t="inlineStr">
        <is>
          <t>UPPSALA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9231-2023</t>
        </is>
      </c>
      <c r="B3443" s="1" t="n">
        <v>44980</v>
      </c>
      <c r="C3443" s="1" t="n">
        <v>45706</v>
      </c>
      <c r="D3443" t="inlineStr">
        <is>
          <t>UPPSALA LÄN</t>
        </is>
      </c>
      <c r="E3443" t="inlineStr">
        <is>
          <t>ENKÖPING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9261-2023</t>
        </is>
      </c>
      <c r="B3444" s="1" t="n">
        <v>44980</v>
      </c>
      <c r="C3444" s="1" t="n">
        <v>45706</v>
      </c>
      <c r="D3444" t="inlineStr">
        <is>
          <t>UPPSALA LÄN</t>
        </is>
      </c>
      <c r="E3444" t="inlineStr">
        <is>
          <t>UPPSALA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9291-2023</t>
        </is>
      </c>
      <c r="B3445" s="1" t="n">
        <v>44980</v>
      </c>
      <c r="C3445" s="1" t="n">
        <v>45706</v>
      </c>
      <c r="D3445" t="inlineStr">
        <is>
          <t>UPPSALA LÄN</t>
        </is>
      </c>
      <c r="E3445" t="inlineStr">
        <is>
          <t>UPPSALA</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9313-2023</t>
        </is>
      </c>
      <c r="B3446" s="1" t="n">
        <v>44980</v>
      </c>
      <c r="C3446" s="1" t="n">
        <v>45706</v>
      </c>
      <c r="D3446" t="inlineStr">
        <is>
          <t>UPPSALA LÄN</t>
        </is>
      </c>
      <c r="E3446" t="inlineStr">
        <is>
          <t>UPPSALA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9230-2023</t>
        </is>
      </c>
      <c r="B3447" s="1" t="n">
        <v>44980</v>
      </c>
      <c r="C3447" s="1" t="n">
        <v>45706</v>
      </c>
      <c r="D3447" t="inlineStr">
        <is>
          <t>UPPSALA LÄN</t>
        </is>
      </c>
      <c r="E3447" t="inlineStr">
        <is>
          <t>TIERP</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9238-2023</t>
        </is>
      </c>
      <c r="B3448" s="1" t="n">
        <v>44980</v>
      </c>
      <c r="C3448" s="1" t="n">
        <v>45706</v>
      </c>
      <c r="D3448" t="inlineStr">
        <is>
          <t>UPPSALA LÄN</t>
        </is>
      </c>
      <c r="E3448" t="inlineStr">
        <is>
          <t>TIERP</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9290-2023</t>
        </is>
      </c>
      <c r="B3449" s="1" t="n">
        <v>44980</v>
      </c>
      <c r="C3449" s="1" t="n">
        <v>45706</v>
      </c>
      <c r="D3449" t="inlineStr">
        <is>
          <t>UPPSALA LÄN</t>
        </is>
      </c>
      <c r="E3449" t="inlineStr">
        <is>
          <t>TIERP</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9432-2023</t>
        </is>
      </c>
      <c r="B3450" s="1" t="n">
        <v>44981</v>
      </c>
      <c r="C3450" s="1" t="n">
        <v>45706</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9443-2023</t>
        </is>
      </c>
      <c r="B3451" s="1" t="n">
        <v>44981</v>
      </c>
      <c r="C3451" s="1" t="n">
        <v>45706</v>
      </c>
      <c r="D3451" t="inlineStr">
        <is>
          <t>UPPSALA LÄN</t>
        </is>
      </c>
      <c r="E3451" t="inlineStr">
        <is>
          <t>HEBY</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9446-2023</t>
        </is>
      </c>
      <c r="B3452" s="1" t="n">
        <v>44981</v>
      </c>
      <c r="C3452" s="1" t="n">
        <v>45706</v>
      </c>
      <c r="D3452" t="inlineStr">
        <is>
          <t>UPPSALA LÄN</t>
        </is>
      </c>
      <c r="E3452" t="inlineStr">
        <is>
          <t>HEBY</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9461-2023</t>
        </is>
      </c>
      <c r="B3453" s="1" t="n">
        <v>44981</v>
      </c>
      <c r="C3453" s="1" t="n">
        <v>45706</v>
      </c>
      <c r="D3453" t="inlineStr">
        <is>
          <t>UPPSALA LÄN</t>
        </is>
      </c>
      <c r="E3453" t="inlineStr">
        <is>
          <t>HEBY</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9543-2023</t>
        </is>
      </c>
      <c r="B3454" s="1" t="n">
        <v>44981</v>
      </c>
      <c r="C3454" s="1" t="n">
        <v>45706</v>
      </c>
      <c r="D3454" t="inlineStr">
        <is>
          <t>UPPSALA LÄN</t>
        </is>
      </c>
      <c r="E3454" t="inlineStr">
        <is>
          <t>ÖSTHAMMAR</t>
        </is>
      </c>
      <c r="F3454" t="inlineStr">
        <is>
          <t>Bergvik skog öst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9494-2023</t>
        </is>
      </c>
      <c r="B3455" s="1" t="n">
        <v>44981</v>
      </c>
      <c r="C3455" s="1" t="n">
        <v>45706</v>
      </c>
      <c r="D3455" t="inlineStr">
        <is>
          <t>UPPSALA LÄN</t>
        </is>
      </c>
      <c r="E3455" t="inlineStr">
        <is>
          <t>HEBY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9497-2023</t>
        </is>
      </c>
      <c r="B3456" s="1" t="n">
        <v>44981</v>
      </c>
      <c r="C3456" s="1" t="n">
        <v>45706</v>
      </c>
      <c r="D3456" t="inlineStr">
        <is>
          <t>UPPSALA LÄN</t>
        </is>
      </c>
      <c r="E3456" t="inlineStr">
        <is>
          <t>HEBY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9542-2023</t>
        </is>
      </c>
      <c r="B3457" s="1" t="n">
        <v>44981</v>
      </c>
      <c r="C3457" s="1" t="n">
        <v>45706</v>
      </c>
      <c r="D3457" t="inlineStr">
        <is>
          <t>UPPSALA LÄN</t>
        </is>
      </c>
      <c r="E3457" t="inlineStr">
        <is>
          <t>ÖSTHAMMAR</t>
        </is>
      </c>
      <c r="F3457" t="inlineStr">
        <is>
          <t>Bergvik skog öst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9664-2023</t>
        </is>
      </c>
      <c r="B3458" s="1" t="n">
        <v>44984</v>
      </c>
      <c r="C3458" s="1" t="n">
        <v>45706</v>
      </c>
      <c r="D3458" t="inlineStr">
        <is>
          <t>UPPSALA LÄN</t>
        </is>
      </c>
      <c r="E3458" t="inlineStr">
        <is>
          <t>TIERP</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9687-2023</t>
        </is>
      </c>
      <c r="B3459" s="1" t="n">
        <v>44984</v>
      </c>
      <c r="C3459" s="1" t="n">
        <v>45706</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9675-2023</t>
        </is>
      </c>
      <c r="B3460" s="1" t="n">
        <v>44984</v>
      </c>
      <c r="C3460" s="1" t="n">
        <v>45706</v>
      </c>
      <c r="D3460" t="inlineStr">
        <is>
          <t>UPPSALA LÄN</t>
        </is>
      </c>
      <c r="E3460" t="inlineStr">
        <is>
          <t>HEBY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9761-2023</t>
        </is>
      </c>
      <c r="B3461" s="1" t="n">
        <v>44984</v>
      </c>
      <c r="C3461" s="1" t="n">
        <v>45706</v>
      </c>
      <c r="D3461" t="inlineStr">
        <is>
          <t>UPPSALA LÄN</t>
        </is>
      </c>
      <c r="E3461" t="inlineStr">
        <is>
          <t>HEBY</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9769-2023</t>
        </is>
      </c>
      <c r="B3462" s="1" t="n">
        <v>44984</v>
      </c>
      <c r="C3462" s="1" t="n">
        <v>45706</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9817-2023</t>
        </is>
      </c>
      <c r="B3463" s="1" t="n">
        <v>44984</v>
      </c>
      <c r="C3463" s="1" t="n">
        <v>45706</v>
      </c>
      <c r="D3463" t="inlineStr">
        <is>
          <t>UPPSALA LÄN</t>
        </is>
      </c>
      <c r="E3463" t="inlineStr">
        <is>
          <t>UPPSALA</t>
        </is>
      </c>
      <c r="F3463" t="inlineStr">
        <is>
          <t>Kyrkan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9767-2023</t>
        </is>
      </c>
      <c r="B3464" s="1" t="n">
        <v>44984</v>
      </c>
      <c r="C3464" s="1" t="n">
        <v>45706</v>
      </c>
      <c r="D3464" t="inlineStr">
        <is>
          <t>UPPSALA LÄN</t>
        </is>
      </c>
      <c r="E3464" t="inlineStr">
        <is>
          <t>HEBY</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9814-2023</t>
        </is>
      </c>
      <c r="B3465" s="1" t="n">
        <v>44984</v>
      </c>
      <c r="C3465" s="1" t="n">
        <v>45706</v>
      </c>
      <c r="D3465" t="inlineStr">
        <is>
          <t>UPPSALA LÄN</t>
        </is>
      </c>
      <c r="E3465" t="inlineStr">
        <is>
          <t>UPPSALA</t>
        </is>
      </c>
      <c r="F3465" t="inlineStr">
        <is>
          <t>Kyrkan</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9758-2023</t>
        </is>
      </c>
      <c r="B3466" s="1" t="n">
        <v>44984</v>
      </c>
      <c r="C3466" s="1" t="n">
        <v>45706</v>
      </c>
      <c r="D3466" t="inlineStr">
        <is>
          <t>UPPSALA LÄN</t>
        </is>
      </c>
      <c r="E3466" t="inlineStr">
        <is>
          <t>HEBY</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9766-2023</t>
        </is>
      </c>
      <c r="B3467" s="1" t="n">
        <v>44984</v>
      </c>
      <c r="C3467" s="1" t="n">
        <v>45706</v>
      </c>
      <c r="D3467" t="inlineStr">
        <is>
          <t>UPPSALA LÄN</t>
        </is>
      </c>
      <c r="E3467" t="inlineStr">
        <is>
          <t>HEBY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9773-2023</t>
        </is>
      </c>
      <c r="B3468" s="1" t="n">
        <v>44984</v>
      </c>
      <c r="C3468" s="1" t="n">
        <v>45706</v>
      </c>
      <c r="D3468" t="inlineStr">
        <is>
          <t>UPPSALA LÄN</t>
        </is>
      </c>
      <c r="E3468" t="inlineStr">
        <is>
          <t>HEBY</t>
        </is>
      </c>
      <c r="F3468" t="inlineStr">
        <is>
          <t>Allmännings- och besparingsskogar</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9811-2023</t>
        </is>
      </c>
      <c r="B3469" s="1" t="n">
        <v>44984</v>
      </c>
      <c r="C3469" s="1" t="n">
        <v>45706</v>
      </c>
      <c r="D3469" t="inlineStr">
        <is>
          <t>UPPSALA LÄN</t>
        </is>
      </c>
      <c r="E3469" t="inlineStr">
        <is>
          <t>UPPSALA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9820-2023</t>
        </is>
      </c>
      <c r="B3470" s="1" t="n">
        <v>44984</v>
      </c>
      <c r="C3470" s="1" t="n">
        <v>45706</v>
      </c>
      <c r="D3470" t="inlineStr">
        <is>
          <t>UPPSALA LÄN</t>
        </is>
      </c>
      <c r="E3470" t="inlineStr">
        <is>
          <t>UPPSALA</t>
        </is>
      </c>
      <c r="F3470" t="inlineStr">
        <is>
          <t>Kyrkan</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10005-2023</t>
        </is>
      </c>
      <c r="B3471" s="1" t="n">
        <v>44985</v>
      </c>
      <c r="C3471" s="1" t="n">
        <v>45706</v>
      </c>
      <c r="D3471" t="inlineStr">
        <is>
          <t>UPPSALA LÄN</t>
        </is>
      </c>
      <c r="E3471" t="inlineStr">
        <is>
          <t>UPPSALA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10204-2023</t>
        </is>
      </c>
      <c r="B3472" s="1" t="n">
        <v>44986</v>
      </c>
      <c r="C3472" s="1" t="n">
        <v>45706</v>
      </c>
      <c r="D3472" t="inlineStr">
        <is>
          <t>UPPSALA LÄN</t>
        </is>
      </c>
      <c r="E3472" t="inlineStr">
        <is>
          <t>TIERP</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10216-2023</t>
        </is>
      </c>
      <c r="B3473" s="1" t="n">
        <v>44986</v>
      </c>
      <c r="C3473" s="1" t="n">
        <v>45706</v>
      </c>
      <c r="D3473" t="inlineStr">
        <is>
          <t>UPPSALA LÄN</t>
        </is>
      </c>
      <c r="E3473" t="inlineStr">
        <is>
          <t>TIERP</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10199-2023</t>
        </is>
      </c>
      <c r="B3474" s="1" t="n">
        <v>44986</v>
      </c>
      <c r="C3474" s="1" t="n">
        <v>45706</v>
      </c>
      <c r="D3474" t="inlineStr">
        <is>
          <t>UPPSALA LÄN</t>
        </is>
      </c>
      <c r="E3474" t="inlineStr">
        <is>
          <t>TIERP</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10449-2023</t>
        </is>
      </c>
      <c r="B3475" s="1" t="n">
        <v>44987</v>
      </c>
      <c r="C3475" s="1" t="n">
        <v>45706</v>
      </c>
      <c r="D3475" t="inlineStr">
        <is>
          <t>UPPSALA LÄN</t>
        </is>
      </c>
      <c r="E3475" t="inlineStr">
        <is>
          <t>ÖSTHAMMAR</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10451-2023</t>
        </is>
      </c>
      <c r="B3476" s="1" t="n">
        <v>44987</v>
      </c>
      <c r="C3476" s="1" t="n">
        <v>45706</v>
      </c>
      <c r="D3476" t="inlineStr">
        <is>
          <t>UPPSALA LÄN</t>
        </is>
      </c>
      <c r="E3476" t="inlineStr">
        <is>
          <t>HEBY</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10448-2023</t>
        </is>
      </c>
      <c r="B3477" s="1" t="n">
        <v>44987</v>
      </c>
      <c r="C3477" s="1" t="n">
        <v>45706</v>
      </c>
      <c r="D3477" t="inlineStr">
        <is>
          <t>UPPSALA LÄN</t>
        </is>
      </c>
      <c r="E3477" t="inlineStr">
        <is>
          <t>HEBY</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11191-2023</t>
        </is>
      </c>
      <c r="B3478" s="1" t="n">
        <v>44987</v>
      </c>
      <c r="C3478" s="1" t="n">
        <v>45706</v>
      </c>
      <c r="D3478" t="inlineStr">
        <is>
          <t>UPPSALA LÄN</t>
        </is>
      </c>
      <c r="E3478" t="inlineStr">
        <is>
          <t>KNIVSTA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10669-2023</t>
        </is>
      </c>
      <c r="B3479" s="1" t="n">
        <v>44988</v>
      </c>
      <c r="C3479" s="1" t="n">
        <v>45706</v>
      </c>
      <c r="D3479" t="inlineStr">
        <is>
          <t>UPPSALA LÄN</t>
        </is>
      </c>
      <c r="E3479" t="inlineStr">
        <is>
          <t>UPPSALA</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10594-2023</t>
        </is>
      </c>
      <c r="B3480" s="1" t="n">
        <v>44988</v>
      </c>
      <c r="C3480" s="1" t="n">
        <v>45706</v>
      </c>
      <c r="D3480" t="inlineStr">
        <is>
          <t>UPPSALA LÄN</t>
        </is>
      </c>
      <c r="E3480" t="inlineStr">
        <is>
          <t>TIERP</t>
        </is>
      </c>
      <c r="F3480" t="inlineStr">
        <is>
          <t>Bergvik skog öst AB</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10898-2023</t>
        </is>
      </c>
      <c r="B3481" s="1" t="n">
        <v>44991</v>
      </c>
      <c r="C3481" s="1" t="n">
        <v>45706</v>
      </c>
      <c r="D3481" t="inlineStr">
        <is>
          <t>UPPSALA LÄN</t>
        </is>
      </c>
      <c r="E3481" t="inlineStr">
        <is>
          <t>KNIVSTA</t>
        </is>
      </c>
      <c r="F3481" t="inlineStr">
        <is>
          <t>Holmen skog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11017-2023</t>
        </is>
      </c>
      <c r="B3482" s="1" t="n">
        <v>44991</v>
      </c>
      <c r="C3482" s="1" t="n">
        <v>45706</v>
      </c>
      <c r="D3482" t="inlineStr">
        <is>
          <t>UPPSALA LÄN</t>
        </is>
      </c>
      <c r="E3482" t="inlineStr">
        <is>
          <t>ÖSTHAMMAR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10914-2023</t>
        </is>
      </c>
      <c r="B3483" s="1" t="n">
        <v>44991</v>
      </c>
      <c r="C3483" s="1" t="n">
        <v>45706</v>
      </c>
      <c r="D3483" t="inlineStr">
        <is>
          <t>UPPSALA LÄN</t>
        </is>
      </c>
      <c r="E3483" t="inlineStr">
        <is>
          <t>KNIVSTA</t>
        </is>
      </c>
      <c r="F3483" t="inlineStr">
        <is>
          <t>Holmen skog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10943-2023</t>
        </is>
      </c>
      <c r="B3484" s="1" t="n">
        <v>44991</v>
      </c>
      <c r="C3484" s="1" t="n">
        <v>45706</v>
      </c>
      <c r="D3484" t="inlineStr">
        <is>
          <t>UPPSALA LÄN</t>
        </is>
      </c>
      <c r="E3484" t="inlineStr">
        <is>
          <t>TIERP</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10982-2023</t>
        </is>
      </c>
      <c r="B3485" s="1" t="n">
        <v>44991</v>
      </c>
      <c r="C3485" s="1" t="n">
        <v>45706</v>
      </c>
      <c r="D3485" t="inlineStr">
        <is>
          <t>UPPSALA LÄN</t>
        </is>
      </c>
      <c r="E3485" t="inlineStr">
        <is>
          <t>ÖSTHAMMAR</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11008-2023</t>
        </is>
      </c>
      <c r="B3486" s="1" t="n">
        <v>44991</v>
      </c>
      <c r="C3486" s="1" t="n">
        <v>45706</v>
      </c>
      <c r="D3486" t="inlineStr">
        <is>
          <t>UPPSALA LÄN</t>
        </is>
      </c>
      <c r="E3486" t="inlineStr">
        <is>
          <t>ÖSTHAMMAR</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11015-2023</t>
        </is>
      </c>
      <c r="B3487" s="1" t="n">
        <v>44991</v>
      </c>
      <c r="C3487" s="1" t="n">
        <v>45706</v>
      </c>
      <c r="D3487" t="inlineStr">
        <is>
          <t>UPPSALA LÄN</t>
        </is>
      </c>
      <c r="E3487" t="inlineStr">
        <is>
          <t>ÖSTHAMMAR</t>
        </is>
      </c>
      <c r="F3487" t="inlineStr">
        <is>
          <t>Bergvik skog öst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11005-2023</t>
        </is>
      </c>
      <c r="B3488" s="1" t="n">
        <v>44991</v>
      </c>
      <c r="C3488" s="1" t="n">
        <v>45706</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11036-2023</t>
        </is>
      </c>
      <c r="B3489" s="1" t="n">
        <v>44991</v>
      </c>
      <c r="C3489" s="1" t="n">
        <v>45706</v>
      </c>
      <c r="D3489" t="inlineStr">
        <is>
          <t>UPPSALA LÄN</t>
        </is>
      </c>
      <c r="E3489" t="inlineStr">
        <is>
          <t>ÖSTHAMMAR</t>
        </is>
      </c>
      <c r="F3489" t="inlineStr">
        <is>
          <t>Bergvik skog öst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11484-2023</t>
        </is>
      </c>
      <c r="B3490" s="1" t="n">
        <v>44991</v>
      </c>
      <c r="C3490" s="1" t="n">
        <v>45706</v>
      </c>
      <c r="D3490" t="inlineStr">
        <is>
          <t>UPPSALA LÄN</t>
        </is>
      </c>
      <c r="E3490" t="inlineStr">
        <is>
          <t>UPPSALA</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10940-2023</t>
        </is>
      </c>
      <c r="B3491" s="1" t="n">
        <v>44991</v>
      </c>
      <c r="C3491" s="1" t="n">
        <v>45706</v>
      </c>
      <c r="D3491" t="inlineStr">
        <is>
          <t>UPPSALA LÄN</t>
        </is>
      </c>
      <c r="E3491" t="inlineStr">
        <is>
          <t>TIERP</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11009-2023</t>
        </is>
      </c>
      <c r="B3492" s="1" t="n">
        <v>44991</v>
      </c>
      <c r="C3492" s="1" t="n">
        <v>45706</v>
      </c>
      <c r="D3492" t="inlineStr">
        <is>
          <t>UPPSALA LÄN</t>
        </is>
      </c>
      <c r="E3492" t="inlineStr">
        <is>
          <t>ÖSTHAMMAR</t>
        </is>
      </c>
      <c r="F3492" t="inlineStr">
        <is>
          <t>Bergvik skog öst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11033-2023</t>
        </is>
      </c>
      <c r="B3493" s="1" t="n">
        <v>44991</v>
      </c>
      <c r="C3493" s="1" t="n">
        <v>45706</v>
      </c>
      <c r="D3493" t="inlineStr">
        <is>
          <t>UPPSALA LÄN</t>
        </is>
      </c>
      <c r="E3493" t="inlineStr">
        <is>
          <t>ÖSTHAMMAR</t>
        </is>
      </c>
      <c r="F3493" t="inlineStr">
        <is>
          <t>Bergvik skog öst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11282-2023</t>
        </is>
      </c>
      <c r="B3494" s="1" t="n">
        <v>44992</v>
      </c>
      <c r="C3494" s="1" t="n">
        <v>45706</v>
      </c>
      <c r="D3494" t="inlineStr">
        <is>
          <t>UPPSALA LÄN</t>
        </is>
      </c>
      <c r="E3494" t="inlineStr">
        <is>
          <t>ÖSTHAMMAR</t>
        </is>
      </c>
      <c r="F3494" t="inlineStr">
        <is>
          <t>Bergvik skog öst AB</t>
        </is>
      </c>
      <c r="G3494" t="n">
        <v>12.3</v>
      </c>
      <c r="H3494" t="n">
        <v>0</v>
      </c>
      <c r="I3494" t="n">
        <v>0</v>
      </c>
      <c r="J3494" t="n">
        <v>0</v>
      </c>
      <c r="K3494" t="n">
        <v>0</v>
      </c>
      <c r="L3494" t="n">
        <v>0</v>
      </c>
      <c r="M3494" t="n">
        <v>0</v>
      </c>
      <c r="N3494" t="n">
        <v>0</v>
      </c>
      <c r="O3494" t="n">
        <v>0</v>
      </c>
      <c r="P3494" t="n">
        <v>0</v>
      </c>
      <c r="Q3494" t="n">
        <v>0</v>
      </c>
      <c r="R3494" s="2" t="inlineStr"/>
    </row>
    <row r="3495" ht="15" customHeight="1">
      <c r="A3495" t="inlineStr">
        <is>
          <t>A 11281-2023</t>
        </is>
      </c>
      <c r="B3495" s="1" t="n">
        <v>44992</v>
      </c>
      <c r="C3495" s="1" t="n">
        <v>45706</v>
      </c>
      <c r="D3495" t="inlineStr">
        <is>
          <t>UPPSALA LÄN</t>
        </is>
      </c>
      <c r="E3495" t="inlineStr">
        <is>
          <t>ÖSTHAMMAR</t>
        </is>
      </c>
      <c r="F3495" t="inlineStr">
        <is>
          <t>Bergvik skog öst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11452-2023</t>
        </is>
      </c>
      <c r="B3496" s="1" t="n">
        <v>44993</v>
      </c>
      <c r="C3496" s="1" t="n">
        <v>45706</v>
      </c>
      <c r="D3496" t="inlineStr">
        <is>
          <t>UPPSALA LÄN</t>
        </is>
      </c>
      <c r="E3496" t="inlineStr">
        <is>
          <t>KNIVSTA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11503-2023</t>
        </is>
      </c>
      <c r="B3497" s="1" t="n">
        <v>44993</v>
      </c>
      <c r="C3497" s="1" t="n">
        <v>45706</v>
      </c>
      <c r="D3497" t="inlineStr">
        <is>
          <t>UPPSALA LÄN</t>
        </is>
      </c>
      <c r="E3497" t="inlineStr">
        <is>
          <t>HEBY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11450-2023</t>
        </is>
      </c>
      <c r="B3498" s="1" t="n">
        <v>44993</v>
      </c>
      <c r="C3498" s="1" t="n">
        <v>45706</v>
      </c>
      <c r="D3498" t="inlineStr">
        <is>
          <t>UPPSALA LÄN</t>
        </is>
      </c>
      <c r="E3498" t="inlineStr">
        <is>
          <t>KNIVSTA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11469-2023</t>
        </is>
      </c>
      <c r="B3499" s="1" t="n">
        <v>44993</v>
      </c>
      <c r="C3499" s="1" t="n">
        <v>45706</v>
      </c>
      <c r="D3499" t="inlineStr">
        <is>
          <t>UPPSALA LÄN</t>
        </is>
      </c>
      <c r="E3499" t="inlineStr">
        <is>
          <t>ÖSTHAMMAR</t>
        </is>
      </c>
      <c r="F3499" t="inlineStr">
        <is>
          <t>Bergvik skog öst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11739-2023</t>
        </is>
      </c>
      <c r="B3500" s="1" t="n">
        <v>44993</v>
      </c>
      <c r="C3500" s="1" t="n">
        <v>45706</v>
      </c>
      <c r="D3500" t="inlineStr">
        <is>
          <t>UPPSALA LÄN</t>
        </is>
      </c>
      <c r="E3500" t="inlineStr">
        <is>
          <t>UPPSALA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11744-2023</t>
        </is>
      </c>
      <c r="B3501" s="1" t="n">
        <v>44993</v>
      </c>
      <c r="C3501" s="1" t="n">
        <v>45706</v>
      </c>
      <c r="D3501" t="inlineStr">
        <is>
          <t>UPPSALA LÄN</t>
        </is>
      </c>
      <c r="E3501" t="inlineStr">
        <is>
          <t>UPPSALA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11568-2023</t>
        </is>
      </c>
      <c r="B3502" s="1" t="n">
        <v>44994</v>
      </c>
      <c r="C3502" s="1" t="n">
        <v>45706</v>
      </c>
      <c r="D3502" t="inlineStr">
        <is>
          <t>UPPSALA LÄN</t>
        </is>
      </c>
      <c r="E3502" t="inlineStr">
        <is>
          <t>UPPSALA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11574-2023</t>
        </is>
      </c>
      <c r="B3503" s="1" t="n">
        <v>44994</v>
      </c>
      <c r="C3503" s="1" t="n">
        <v>45706</v>
      </c>
      <c r="D3503" t="inlineStr">
        <is>
          <t>UPPSALA LÄN</t>
        </is>
      </c>
      <c r="E3503" t="inlineStr">
        <is>
          <t>TIERP</t>
        </is>
      </c>
      <c r="F3503" t="inlineStr">
        <is>
          <t>Bergvik skog öst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11845-2023</t>
        </is>
      </c>
      <c r="B3504" s="1" t="n">
        <v>44995</v>
      </c>
      <c r="C3504" s="1" t="n">
        <v>45706</v>
      </c>
      <c r="D3504" t="inlineStr">
        <is>
          <t>UPPSALA LÄN</t>
        </is>
      </c>
      <c r="E3504" t="inlineStr">
        <is>
          <t>KNIVSTA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11847-2023</t>
        </is>
      </c>
      <c r="B3505" s="1" t="n">
        <v>44995</v>
      </c>
      <c r="C3505" s="1" t="n">
        <v>45706</v>
      </c>
      <c r="D3505" t="inlineStr">
        <is>
          <t>UPPSALA LÄN</t>
        </is>
      </c>
      <c r="E3505" t="inlineStr">
        <is>
          <t>KNIVSTA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11841-2023</t>
        </is>
      </c>
      <c r="B3506" s="1" t="n">
        <v>44995</v>
      </c>
      <c r="C3506" s="1" t="n">
        <v>45706</v>
      </c>
      <c r="D3506" t="inlineStr">
        <is>
          <t>UPPSALA LÄN</t>
        </is>
      </c>
      <c r="E3506" t="inlineStr">
        <is>
          <t>KNIVSTA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12190-2023</t>
        </is>
      </c>
      <c r="B3507" s="1" t="n">
        <v>44995</v>
      </c>
      <c r="C3507" s="1" t="n">
        <v>45706</v>
      </c>
      <c r="D3507" t="inlineStr">
        <is>
          <t>UPPSALA LÄN</t>
        </is>
      </c>
      <c r="E3507" t="inlineStr">
        <is>
          <t>ÖSTHAMMAR</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12186-2023</t>
        </is>
      </c>
      <c r="B3508" s="1" t="n">
        <v>44995</v>
      </c>
      <c r="C3508" s="1" t="n">
        <v>45706</v>
      </c>
      <c r="D3508" t="inlineStr">
        <is>
          <t>UPPSALA LÄN</t>
        </is>
      </c>
      <c r="E3508" t="inlineStr">
        <is>
          <t>ÖSTHAMMAR</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12262-2023</t>
        </is>
      </c>
      <c r="B3509" s="1" t="n">
        <v>44998</v>
      </c>
      <c r="C3509" s="1" t="n">
        <v>45706</v>
      </c>
      <c r="D3509" t="inlineStr">
        <is>
          <t>UPPSALA LÄN</t>
        </is>
      </c>
      <c r="E3509" t="inlineStr">
        <is>
          <t>ÖSTHAMMAR</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12154-2023</t>
        </is>
      </c>
      <c r="B3510" s="1" t="n">
        <v>44998</v>
      </c>
      <c r="C3510" s="1" t="n">
        <v>45706</v>
      </c>
      <c r="D3510" t="inlineStr">
        <is>
          <t>UPPSALA LÄN</t>
        </is>
      </c>
      <c r="E3510" t="inlineStr">
        <is>
          <t>HÅBO</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12158-2023</t>
        </is>
      </c>
      <c r="B3511" s="1" t="n">
        <v>44998</v>
      </c>
      <c r="C3511" s="1" t="n">
        <v>45706</v>
      </c>
      <c r="D3511" t="inlineStr">
        <is>
          <t>UPPSALA LÄN</t>
        </is>
      </c>
      <c r="E3511" t="inlineStr">
        <is>
          <t>UPPSALA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12215-2023</t>
        </is>
      </c>
      <c r="B3512" s="1" t="n">
        <v>44998</v>
      </c>
      <c r="C3512" s="1" t="n">
        <v>45706</v>
      </c>
      <c r="D3512" t="inlineStr">
        <is>
          <t>UPPSALA LÄN</t>
        </is>
      </c>
      <c r="E3512" t="inlineStr">
        <is>
          <t>ÖSTHAMMAR</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12146-2023</t>
        </is>
      </c>
      <c r="B3513" s="1" t="n">
        <v>44998</v>
      </c>
      <c r="C3513" s="1" t="n">
        <v>45706</v>
      </c>
      <c r="D3513" t="inlineStr">
        <is>
          <t>UPPSALA LÄN</t>
        </is>
      </c>
      <c r="E3513" t="inlineStr">
        <is>
          <t>HÅBO</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12156-2023</t>
        </is>
      </c>
      <c r="B3514" s="1" t="n">
        <v>44998</v>
      </c>
      <c r="C3514" s="1" t="n">
        <v>45706</v>
      </c>
      <c r="D3514" t="inlineStr">
        <is>
          <t>UPPSALA LÄN</t>
        </is>
      </c>
      <c r="E3514" t="inlineStr">
        <is>
          <t>HÅBO</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12360-2023</t>
        </is>
      </c>
      <c r="B3515" s="1" t="n">
        <v>44999</v>
      </c>
      <c r="C3515" s="1" t="n">
        <v>45706</v>
      </c>
      <c r="D3515" t="inlineStr">
        <is>
          <t>UPPSALA LÄN</t>
        </is>
      </c>
      <c r="E3515" t="inlineStr">
        <is>
          <t>ENKÖPING</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12433-2023</t>
        </is>
      </c>
      <c r="B3516" s="1" t="n">
        <v>44999</v>
      </c>
      <c r="C3516" s="1" t="n">
        <v>45706</v>
      </c>
      <c r="D3516" t="inlineStr">
        <is>
          <t>UPPSALA LÄN</t>
        </is>
      </c>
      <c r="E3516" t="inlineStr">
        <is>
          <t>HEBY</t>
        </is>
      </c>
      <c r="F3516" t="inlineStr">
        <is>
          <t>Kyrkan</t>
        </is>
      </c>
      <c r="G3516" t="n">
        <v>15.9</v>
      </c>
      <c r="H3516" t="n">
        <v>0</v>
      </c>
      <c r="I3516" t="n">
        <v>0</v>
      </c>
      <c r="J3516" t="n">
        <v>0</v>
      </c>
      <c r="K3516" t="n">
        <v>0</v>
      </c>
      <c r="L3516" t="n">
        <v>0</v>
      </c>
      <c r="M3516" t="n">
        <v>0</v>
      </c>
      <c r="N3516" t="n">
        <v>0</v>
      </c>
      <c r="O3516" t="n">
        <v>0</v>
      </c>
      <c r="P3516" t="n">
        <v>0</v>
      </c>
      <c r="Q3516" t="n">
        <v>0</v>
      </c>
      <c r="R3516" s="2" t="inlineStr"/>
    </row>
    <row r="3517" ht="15" customHeight="1">
      <c r="A3517" t="inlineStr">
        <is>
          <t>A 12497-2023</t>
        </is>
      </c>
      <c r="B3517" s="1" t="n">
        <v>44999</v>
      </c>
      <c r="C3517" s="1" t="n">
        <v>45706</v>
      </c>
      <c r="D3517" t="inlineStr">
        <is>
          <t>UPPSALA LÄN</t>
        </is>
      </c>
      <c r="E3517" t="inlineStr">
        <is>
          <t>ÖSTHAMMAR</t>
        </is>
      </c>
      <c r="F3517" t="inlineStr">
        <is>
          <t>Bergvik skog öst AB</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12604-2023</t>
        </is>
      </c>
      <c r="B3518" s="1" t="n">
        <v>45000</v>
      </c>
      <c r="C3518" s="1" t="n">
        <v>45706</v>
      </c>
      <c r="D3518" t="inlineStr">
        <is>
          <t>UPPSALA LÄN</t>
        </is>
      </c>
      <c r="E3518" t="inlineStr">
        <is>
          <t>UPPSALA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12603-2023</t>
        </is>
      </c>
      <c r="B3519" s="1" t="n">
        <v>45000</v>
      </c>
      <c r="C3519" s="1" t="n">
        <v>45706</v>
      </c>
      <c r="D3519" t="inlineStr">
        <is>
          <t>UPPSALA LÄN</t>
        </is>
      </c>
      <c r="E3519" t="inlineStr">
        <is>
          <t>UPPSALA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12602-2023</t>
        </is>
      </c>
      <c r="B3520" s="1" t="n">
        <v>45000</v>
      </c>
      <c r="C3520" s="1" t="n">
        <v>45706</v>
      </c>
      <c r="D3520" t="inlineStr">
        <is>
          <t>UPPSALA LÄN</t>
        </is>
      </c>
      <c r="E3520" t="inlineStr">
        <is>
          <t>UPPSALA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12703-2023</t>
        </is>
      </c>
      <c r="B3521" s="1" t="n">
        <v>45000</v>
      </c>
      <c r="C3521" s="1" t="n">
        <v>45706</v>
      </c>
      <c r="D3521" t="inlineStr">
        <is>
          <t>UPPSALA LÄN</t>
        </is>
      </c>
      <c r="E3521" t="inlineStr">
        <is>
          <t>UPPSALA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12709-2023</t>
        </is>
      </c>
      <c r="B3522" s="1" t="n">
        <v>45000</v>
      </c>
      <c r="C3522" s="1" t="n">
        <v>45706</v>
      </c>
      <c r="D3522" t="inlineStr">
        <is>
          <t>UPPSALA LÄN</t>
        </is>
      </c>
      <c r="E3522" t="inlineStr">
        <is>
          <t>HEBY</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12606-2023</t>
        </is>
      </c>
      <c r="B3523" s="1" t="n">
        <v>45000</v>
      </c>
      <c r="C3523" s="1" t="n">
        <v>45706</v>
      </c>
      <c r="D3523" t="inlineStr">
        <is>
          <t>UPPSALA LÄN</t>
        </is>
      </c>
      <c r="E3523" t="inlineStr">
        <is>
          <t>UPPSALA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13140-2023</t>
        </is>
      </c>
      <c r="B3524" s="1" t="n">
        <v>45001</v>
      </c>
      <c r="C3524" s="1" t="n">
        <v>45706</v>
      </c>
      <c r="D3524" t="inlineStr">
        <is>
          <t>UPPSALA LÄN</t>
        </is>
      </c>
      <c r="E3524" t="inlineStr">
        <is>
          <t>ENKÖPING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13099-2023</t>
        </is>
      </c>
      <c r="B3525" s="1" t="n">
        <v>45001</v>
      </c>
      <c r="C3525" s="1" t="n">
        <v>45706</v>
      </c>
      <c r="D3525" t="inlineStr">
        <is>
          <t>UPPSALA LÄN</t>
        </is>
      </c>
      <c r="E3525" t="inlineStr">
        <is>
          <t>ENKÖPING</t>
        </is>
      </c>
      <c r="G3525" t="n">
        <v>10.5</v>
      </c>
      <c r="H3525" t="n">
        <v>0</v>
      </c>
      <c r="I3525" t="n">
        <v>0</v>
      </c>
      <c r="J3525" t="n">
        <v>0</v>
      </c>
      <c r="K3525" t="n">
        <v>0</v>
      </c>
      <c r="L3525" t="n">
        <v>0</v>
      </c>
      <c r="M3525" t="n">
        <v>0</v>
      </c>
      <c r="N3525" t="n">
        <v>0</v>
      </c>
      <c r="O3525" t="n">
        <v>0</v>
      </c>
      <c r="P3525" t="n">
        <v>0</v>
      </c>
      <c r="Q3525" t="n">
        <v>0</v>
      </c>
      <c r="R3525" s="2" t="inlineStr"/>
    </row>
    <row r="3526" ht="15" customHeight="1">
      <c r="A3526" t="inlineStr">
        <is>
          <t>A 13110-2023</t>
        </is>
      </c>
      <c r="B3526" s="1" t="n">
        <v>45001</v>
      </c>
      <c r="C3526" s="1" t="n">
        <v>45706</v>
      </c>
      <c r="D3526" t="inlineStr">
        <is>
          <t>UPPSALA LÄN</t>
        </is>
      </c>
      <c r="E3526" t="inlineStr">
        <is>
          <t>ENKÖPING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13448-2023</t>
        </is>
      </c>
      <c r="B3527" s="1" t="n">
        <v>45005</v>
      </c>
      <c r="C3527" s="1" t="n">
        <v>45706</v>
      </c>
      <c r="D3527" t="inlineStr">
        <is>
          <t>UPPSALA LÄN</t>
        </is>
      </c>
      <c r="E3527" t="inlineStr">
        <is>
          <t>TIERP</t>
        </is>
      </c>
      <c r="F3527" t="inlineStr">
        <is>
          <t>Bergvik skog väst AB</t>
        </is>
      </c>
      <c r="G3527" t="n">
        <v>15.7</v>
      </c>
      <c r="H3527" t="n">
        <v>0</v>
      </c>
      <c r="I3527" t="n">
        <v>0</v>
      </c>
      <c r="J3527" t="n">
        <v>0</v>
      </c>
      <c r="K3527" t="n">
        <v>0</v>
      </c>
      <c r="L3527" t="n">
        <v>0</v>
      </c>
      <c r="M3527" t="n">
        <v>0</v>
      </c>
      <c r="N3527" t="n">
        <v>0</v>
      </c>
      <c r="O3527" t="n">
        <v>0</v>
      </c>
      <c r="P3527" t="n">
        <v>0</v>
      </c>
      <c r="Q3527" t="n">
        <v>0</v>
      </c>
      <c r="R3527" s="2" t="inlineStr"/>
    </row>
    <row r="3528" ht="15" customHeight="1">
      <c r="A3528" t="inlineStr">
        <is>
          <t>A 13336-2023</t>
        </is>
      </c>
      <c r="B3528" s="1" t="n">
        <v>45005</v>
      </c>
      <c r="C3528" s="1" t="n">
        <v>45706</v>
      </c>
      <c r="D3528" t="inlineStr">
        <is>
          <t>UPPSALA LÄN</t>
        </is>
      </c>
      <c r="E3528" t="inlineStr">
        <is>
          <t>ÖSTHAMMAR</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13407-2023</t>
        </is>
      </c>
      <c r="B3529" s="1" t="n">
        <v>45005</v>
      </c>
      <c r="C3529" s="1" t="n">
        <v>45706</v>
      </c>
      <c r="D3529" t="inlineStr">
        <is>
          <t>UPPSALA LÄN</t>
        </is>
      </c>
      <c r="E3529" t="inlineStr">
        <is>
          <t>TIERP</t>
        </is>
      </c>
      <c r="F3529" t="inlineStr">
        <is>
          <t>Bergvik skog väst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13428-2023</t>
        </is>
      </c>
      <c r="B3530" s="1" t="n">
        <v>45005</v>
      </c>
      <c r="C3530" s="1" t="n">
        <v>45706</v>
      </c>
      <c r="D3530" t="inlineStr">
        <is>
          <t>UPPSALA LÄN</t>
        </is>
      </c>
      <c r="E3530" t="inlineStr">
        <is>
          <t>TIERP</t>
        </is>
      </c>
      <c r="F3530" t="inlineStr">
        <is>
          <t>Bergvik skog väst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13447-2023</t>
        </is>
      </c>
      <c r="B3531" s="1" t="n">
        <v>45005</v>
      </c>
      <c r="C3531" s="1" t="n">
        <v>45706</v>
      </c>
      <c r="D3531" t="inlineStr">
        <is>
          <t>UPPSALA LÄN</t>
        </is>
      </c>
      <c r="E3531" t="inlineStr">
        <is>
          <t>TIERP</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13466-2023</t>
        </is>
      </c>
      <c r="B3532" s="1" t="n">
        <v>45005</v>
      </c>
      <c r="C3532" s="1" t="n">
        <v>45706</v>
      </c>
      <c r="D3532" t="inlineStr">
        <is>
          <t>UPPSALA LÄN</t>
        </is>
      </c>
      <c r="E3532" t="inlineStr">
        <is>
          <t>TIERP</t>
        </is>
      </c>
      <c r="F3532" t="inlineStr">
        <is>
          <t>Övriga Aktiebolag</t>
        </is>
      </c>
      <c r="G3532" t="n">
        <v>20.6</v>
      </c>
      <c r="H3532" t="n">
        <v>0</v>
      </c>
      <c r="I3532" t="n">
        <v>0</v>
      </c>
      <c r="J3532" t="n">
        <v>0</v>
      </c>
      <c r="K3532" t="n">
        <v>0</v>
      </c>
      <c r="L3532" t="n">
        <v>0</v>
      </c>
      <c r="M3532" t="n">
        <v>0</v>
      </c>
      <c r="N3532" t="n">
        <v>0</v>
      </c>
      <c r="O3532" t="n">
        <v>0</v>
      </c>
      <c r="P3532" t="n">
        <v>0</v>
      </c>
      <c r="Q3532" t="n">
        <v>0</v>
      </c>
      <c r="R3532" s="2" t="inlineStr"/>
    </row>
    <row r="3533" ht="15" customHeight="1">
      <c r="A3533" t="inlineStr">
        <is>
          <t>A 13304-2023</t>
        </is>
      </c>
      <c r="B3533" s="1" t="n">
        <v>45005</v>
      </c>
      <c r="C3533" s="1" t="n">
        <v>45706</v>
      </c>
      <c r="D3533" t="inlineStr">
        <is>
          <t>UPPSALA LÄN</t>
        </is>
      </c>
      <c r="E3533" t="inlineStr">
        <is>
          <t>TIERP</t>
        </is>
      </c>
      <c r="F3533" t="inlineStr">
        <is>
          <t>Kyrkan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13394-2023</t>
        </is>
      </c>
      <c r="B3534" s="1" t="n">
        <v>45005</v>
      </c>
      <c r="C3534" s="1" t="n">
        <v>45706</v>
      </c>
      <c r="D3534" t="inlineStr">
        <is>
          <t>UPPSALA LÄN</t>
        </is>
      </c>
      <c r="E3534" t="inlineStr">
        <is>
          <t>HEBY</t>
        </is>
      </c>
      <c r="F3534" t="inlineStr">
        <is>
          <t>Kyrkan</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13412-2023</t>
        </is>
      </c>
      <c r="B3535" s="1" t="n">
        <v>45005</v>
      </c>
      <c r="C3535" s="1" t="n">
        <v>45706</v>
      </c>
      <c r="D3535" t="inlineStr">
        <is>
          <t>UPPSALA LÄN</t>
        </is>
      </c>
      <c r="E3535" t="inlineStr">
        <is>
          <t>TIERP</t>
        </is>
      </c>
      <c r="F3535" t="inlineStr">
        <is>
          <t>Bergvik skog väst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13352-2023</t>
        </is>
      </c>
      <c r="B3536" s="1" t="n">
        <v>45005</v>
      </c>
      <c r="C3536" s="1" t="n">
        <v>45706</v>
      </c>
      <c r="D3536" t="inlineStr">
        <is>
          <t>UPPSALA LÄN</t>
        </is>
      </c>
      <c r="E3536" t="inlineStr">
        <is>
          <t>ÖSTHAMMAR</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13418-2023</t>
        </is>
      </c>
      <c r="B3537" s="1" t="n">
        <v>45005</v>
      </c>
      <c r="C3537" s="1" t="n">
        <v>45706</v>
      </c>
      <c r="D3537" t="inlineStr">
        <is>
          <t>UPPSALA LÄN</t>
        </is>
      </c>
      <c r="E3537" t="inlineStr">
        <is>
          <t>TIERP</t>
        </is>
      </c>
      <c r="F3537" t="inlineStr">
        <is>
          <t>Bergvik skog väst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13593-2023</t>
        </is>
      </c>
      <c r="B3538" s="1" t="n">
        <v>45006</v>
      </c>
      <c r="C3538" s="1" t="n">
        <v>45706</v>
      </c>
      <c r="D3538" t="inlineStr">
        <is>
          <t>UPPSALA LÄN</t>
        </is>
      </c>
      <c r="E3538" t="inlineStr">
        <is>
          <t>HEBY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13599-2023</t>
        </is>
      </c>
      <c r="B3539" s="1" t="n">
        <v>45006</v>
      </c>
      <c r="C3539" s="1" t="n">
        <v>45706</v>
      </c>
      <c r="D3539" t="inlineStr">
        <is>
          <t>UPPSALA LÄN</t>
        </is>
      </c>
      <c r="E3539" t="inlineStr">
        <is>
          <t>HEBY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13572-2023</t>
        </is>
      </c>
      <c r="B3540" s="1" t="n">
        <v>45006</v>
      </c>
      <c r="C3540" s="1" t="n">
        <v>45706</v>
      </c>
      <c r="D3540" t="inlineStr">
        <is>
          <t>UPPSALA LÄN</t>
        </is>
      </c>
      <c r="E3540" t="inlineStr">
        <is>
          <t>TIERP</t>
        </is>
      </c>
      <c r="F3540" t="inlineStr">
        <is>
          <t>Bergvik skog väst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13643-2023</t>
        </is>
      </c>
      <c r="B3541" s="1" t="n">
        <v>45006</v>
      </c>
      <c r="C3541" s="1" t="n">
        <v>45706</v>
      </c>
      <c r="D3541" t="inlineStr">
        <is>
          <t>UPPSALA LÄN</t>
        </is>
      </c>
      <c r="E3541" t="inlineStr">
        <is>
          <t>ÖSTHAMMAR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13501-2023</t>
        </is>
      </c>
      <c r="B3542" s="1" t="n">
        <v>45006</v>
      </c>
      <c r="C3542" s="1" t="n">
        <v>45706</v>
      </c>
      <c r="D3542" t="inlineStr">
        <is>
          <t>UPPSALA LÄN</t>
        </is>
      </c>
      <c r="E3542" t="inlineStr">
        <is>
          <t>HEBY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13634-2023</t>
        </is>
      </c>
      <c r="B3543" s="1" t="n">
        <v>45006</v>
      </c>
      <c r="C3543" s="1" t="n">
        <v>45706</v>
      </c>
      <c r="D3543" t="inlineStr">
        <is>
          <t>UPPSALA LÄN</t>
        </is>
      </c>
      <c r="E3543" t="inlineStr">
        <is>
          <t>HEBY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13526-2023</t>
        </is>
      </c>
      <c r="B3544" s="1" t="n">
        <v>45006</v>
      </c>
      <c r="C3544" s="1" t="n">
        <v>45706</v>
      </c>
      <c r="D3544" t="inlineStr">
        <is>
          <t>UPPSALA LÄN</t>
        </is>
      </c>
      <c r="E3544" t="inlineStr">
        <is>
          <t>UPPSALA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13580-2023</t>
        </is>
      </c>
      <c r="B3545" s="1" t="n">
        <v>45006</v>
      </c>
      <c r="C3545" s="1" t="n">
        <v>45706</v>
      </c>
      <c r="D3545" t="inlineStr">
        <is>
          <t>UPPSALA LÄN</t>
        </is>
      </c>
      <c r="E3545" t="inlineStr">
        <is>
          <t>ÖSTHAMMAR</t>
        </is>
      </c>
      <c r="F3545" t="inlineStr">
        <is>
          <t>Övriga Aktiebolag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13584-2023</t>
        </is>
      </c>
      <c r="B3546" s="1" t="n">
        <v>45006</v>
      </c>
      <c r="C3546" s="1" t="n">
        <v>45706</v>
      </c>
      <c r="D3546" t="inlineStr">
        <is>
          <t>UPPSALA LÄN</t>
        </is>
      </c>
      <c r="E3546" t="inlineStr">
        <is>
          <t>ÖSTHAMMAR</t>
        </is>
      </c>
      <c r="F3546" t="inlineStr">
        <is>
          <t>Övriga Aktiebolag</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13603-2023</t>
        </is>
      </c>
      <c r="B3547" s="1" t="n">
        <v>45006</v>
      </c>
      <c r="C3547" s="1" t="n">
        <v>45706</v>
      </c>
      <c r="D3547" t="inlineStr">
        <is>
          <t>UPPSALA LÄN</t>
        </is>
      </c>
      <c r="E3547" t="inlineStr">
        <is>
          <t>HEBY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13738-2023</t>
        </is>
      </c>
      <c r="B3548" s="1" t="n">
        <v>45007</v>
      </c>
      <c r="C3548" s="1" t="n">
        <v>45706</v>
      </c>
      <c r="D3548" t="inlineStr">
        <is>
          <t>UPPSALA LÄN</t>
        </is>
      </c>
      <c r="E3548" t="inlineStr">
        <is>
          <t>ÖSTHAMMAR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13767-2023</t>
        </is>
      </c>
      <c r="B3549" s="1" t="n">
        <v>45007</v>
      </c>
      <c r="C3549" s="1" t="n">
        <v>45706</v>
      </c>
      <c r="D3549" t="inlineStr">
        <is>
          <t>UPPSALA LÄN</t>
        </is>
      </c>
      <c r="E3549" t="inlineStr">
        <is>
          <t>ÖSTHAMMAR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13755-2023</t>
        </is>
      </c>
      <c r="B3550" s="1" t="n">
        <v>45007</v>
      </c>
      <c r="C3550" s="1" t="n">
        <v>45706</v>
      </c>
      <c r="D3550" t="inlineStr">
        <is>
          <t>UPPSALA LÄN</t>
        </is>
      </c>
      <c r="E3550" t="inlineStr">
        <is>
          <t>ÖSTHAMMAR</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13771-2023</t>
        </is>
      </c>
      <c r="B3551" s="1" t="n">
        <v>45007</v>
      </c>
      <c r="C3551" s="1" t="n">
        <v>45706</v>
      </c>
      <c r="D3551" t="inlineStr">
        <is>
          <t>UPPSALA LÄN</t>
        </is>
      </c>
      <c r="E3551" t="inlineStr">
        <is>
          <t>ÖSTHAMMAR</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13736-2023</t>
        </is>
      </c>
      <c r="B3552" s="1" t="n">
        <v>45007</v>
      </c>
      <c r="C3552" s="1" t="n">
        <v>45706</v>
      </c>
      <c r="D3552" t="inlineStr">
        <is>
          <t>UPPSALA LÄN</t>
        </is>
      </c>
      <c r="E3552" t="inlineStr">
        <is>
          <t>ÖSTHAMMAR</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13836-2023</t>
        </is>
      </c>
      <c r="B3553" s="1" t="n">
        <v>45007</v>
      </c>
      <c r="C3553" s="1" t="n">
        <v>45706</v>
      </c>
      <c r="D3553" t="inlineStr">
        <is>
          <t>UPPSALA LÄN</t>
        </is>
      </c>
      <c r="E3553" t="inlineStr">
        <is>
          <t>ENKÖPING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13853-2023</t>
        </is>
      </c>
      <c r="B3554" s="1" t="n">
        <v>45007</v>
      </c>
      <c r="C3554" s="1" t="n">
        <v>45706</v>
      </c>
      <c r="D3554" t="inlineStr">
        <is>
          <t>UPPSALA LÄN</t>
        </is>
      </c>
      <c r="E3554" t="inlineStr">
        <is>
          <t>ENKÖPING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13867-2023</t>
        </is>
      </c>
      <c r="B3555" s="1" t="n">
        <v>45007</v>
      </c>
      <c r="C3555" s="1" t="n">
        <v>45706</v>
      </c>
      <c r="D3555" t="inlineStr">
        <is>
          <t>UPPSALA LÄN</t>
        </is>
      </c>
      <c r="E3555" t="inlineStr">
        <is>
          <t>ENKÖPING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13978-2023</t>
        </is>
      </c>
      <c r="B3556" s="1" t="n">
        <v>45008</v>
      </c>
      <c r="C3556" s="1" t="n">
        <v>45706</v>
      </c>
      <c r="D3556" t="inlineStr">
        <is>
          <t>UPPSALA LÄN</t>
        </is>
      </c>
      <c r="E3556" t="inlineStr">
        <is>
          <t>HEBY</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13976-2023</t>
        </is>
      </c>
      <c r="B3557" s="1" t="n">
        <v>45008</v>
      </c>
      <c r="C3557" s="1" t="n">
        <v>45706</v>
      </c>
      <c r="D3557" t="inlineStr">
        <is>
          <t>UPPSALA LÄN</t>
        </is>
      </c>
      <c r="E3557" t="inlineStr">
        <is>
          <t>HEBY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14004-2023</t>
        </is>
      </c>
      <c r="B3558" s="1" t="n">
        <v>45008</v>
      </c>
      <c r="C3558" s="1" t="n">
        <v>45706</v>
      </c>
      <c r="D3558" t="inlineStr">
        <is>
          <t>UPPSALA LÄN</t>
        </is>
      </c>
      <c r="E3558" t="inlineStr">
        <is>
          <t>ENKÖPING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14236-2023</t>
        </is>
      </c>
      <c r="B3559" s="1" t="n">
        <v>45009</v>
      </c>
      <c r="C3559" s="1" t="n">
        <v>45706</v>
      </c>
      <c r="D3559" t="inlineStr">
        <is>
          <t>UPPSALA LÄN</t>
        </is>
      </c>
      <c r="E3559" t="inlineStr">
        <is>
          <t>HEBY</t>
        </is>
      </c>
      <c r="G3559" t="n">
        <v>9.800000000000001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14181-2023</t>
        </is>
      </c>
      <c r="B3560" s="1" t="n">
        <v>45009</v>
      </c>
      <c r="C3560" s="1" t="n">
        <v>45706</v>
      </c>
      <c r="D3560" t="inlineStr">
        <is>
          <t>UPPSALA LÄN</t>
        </is>
      </c>
      <c r="E3560" t="inlineStr">
        <is>
          <t>TIERP</t>
        </is>
      </c>
      <c r="F3560" t="inlineStr">
        <is>
          <t>Bergvik skog väst AB</t>
        </is>
      </c>
      <c r="G3560" t="n">
        <v>9.699999999999999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14086-2023</t>
        </is>
      </c>
      <c r="B3561" s="1" t="n">
        <v>45009</v>
      </c>
      <c r="C3561" s="1" t="n">
        <v>45706</v>
      </c>
      <c r="D3561" t="inlineStr">
        <is>
          <t>UPPSALA LÄN</t>
        </is>
      </c>
      <c r="E3561" t="inlineStr">
        <is>
          <t>TIERP</t>
        </is>
      </c>
      <c r="F3561" t="inlineStr">
        <is>
          <t>Bergvik skog väst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14249-2023</t>
        </is>
      </c>
      <c r="B3562" s="1" t="n">
        <v>45009</v>
      </c>
      <c r="C3562" s="1" t="n">
        <v>45706</v>
      </c>
      <c r="D3562" t="inlineStr">
        <is>
          <t>UPPSALA LÄN</t>
        </is>
      </c>
      <c r="E3562" t="inlineStr">
        <is>
          <t>HEBY</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14253-2023</t>
        </is>
      </c>
      <c r="B3563" s="1" t="n">
        <v>45009</v>
      </c>
      <c r="C3563" s="1" t="n">
        <v>45706</v>
      </c>
      <c r="D3563" t="inlineStr">
        <is>
          <t>UPPSALA LÄN</t>
        </is>
      </c>
      <c r="E3563" t="inlineStr">
        <is>
          <t>UPPSALA</t>
        </is>
      </c>
      <c r="F3563" t="inlineStr">
        <is>
          <t>Allmännings- och besparingsskogar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14402-2023</t>
        </is>
      </c>
      <c r="B3564" s="1" t="n">
        <v>45012</v>
      </c>
      <c r="C3564" s="1" t="n">
        <v>45706</v>
      </c>
      <c r="D3564" t="inlineStr">
        <is>
          <t>UPPSALA LÄN</t>
        </is>
      </c>
      <c r="E3564" t="inlineStr">
        <is>
          <t>ENKÖPING</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14505-2023</t>
        </is>
      </c>
      <c r="B3565" s="1" t="n">
        <v>45012</v>
      </c>
      <c r="C3565" s="1" t="n">
        <v>45706</v>
      </c>
      <c r="D3565" t="inlineStr">
        <is>
          <t>UPPSALA LÄN</t>
        </is>
      </c>
      <c r="E3565" t="inlineStr">
        <is>
          <t>ÖSTHAMMAR</t>
        </is>
      </c>
      <c r="F3565" t="inlineStr">
        <is>
          <t>Bergvik skog öst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14510-2023</t>
        </is>
      </c>
      <c r="B3566" s="1" t="n">
        <v>45012</v>
      </c>
      <c r="C3566" s="1" t="n">
        <v>45706</v>
      </c>
      <c r="D3566" t="inlineStr">
        <is>
          <t>UPPSALA LÄN</t>
        </is>
      </c>
      <c r="E3566" t="inlineStr">
        <is>
          <t>ÖSTHAMMAR</t>
        </is>
      </c>
      <c r="F3566" t="inlineStr">
        <is>
          <t>Bergvik skog öst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14588-2023</t>
        </is>
      </c>
      <c r="B3567" s="1" t="n">
        <v>45013</v>
      </c>
      <c r="C3567" s="1" t="n">
        <v>45706</v>
      </c>
      <c r="D3567" t="inlineStr">
        <is>
          <t>UPPSALA LÄN</t>
        </is>
      </c>
      <c r="E3567" t="inlineStr">
        <is>
          <t>HEBY</t>
        </is>
      </c>
      <c r="G3567" t="n">
        <v>15.6</v>
      </c>
      <c r="H3567" t="n">
        <v>0</v>
      </c>
      <c r="I3567" t="n">
        <v>0</v>
      </c>
      <c r="J3567" t="n">
        <v>0</v>
      </c>
      <c r="K3567" t="n">
        <v>0</v>
      </c>
      <c r="L3567" t="n">
        <v>0</v>
      </c>
      <c r="M3567" t="n">
        <v>0</v>
      </c>
      <c r="N3567" t="n">
        <v>0</v>
      </c>
      <c r="O3567" t="n">
        <v>0</v>
      </c>
      <c r="P3567" t="n">
        <v>0</v>
      </c>
      <c r="Q3567" t="n">
        <v>0</v>
      </c>
      <c r="R3567" s="2" t="inlineStr"/>
    </row>
    <row r="3568" ht="15" customHeight="1">
      <c r="A3568" t="inlineStr">
        <is>
          <t>A 14585-2023</t>
        </is>
      </c>
      <c r="B3568" s="1" t="n">
        <v>45013</v>
      </c>
      <c r="C3568" s="1" t="n">
        <v>45706</v>
      </c>
      <c r="D3568" t="inlineStr">
        <is>
          <t>UPPSALA LÄN</t>
        </is>
      </c>
      <c r="E3568" t="inlineStr">
        <is>
          <t>HEBY</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14595-2023</t>
        </is>
      </c>
      <c r="B3569" s="1" t="n">
        <v>45013</v>
      </c>
      <c r="C3569" s="1" t="n">
        <v>45706</v>
      </c>
      <c r="D3569" t="inlineStr">
        <is>
          <t>UPPSALA LÄN</t>
        </is>
      </c>
      <c r="E3569" t="inlineStr">
        <is>
          <t>ÖSTHAMMAR</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14541-2023</t>
        </is>
      </c>
      <c r="B3570" s="1" t="n">
        <v>45013</v>
      </c>
      <c r="C3570" s="1" t="n">
        <v>45706</v>
      </c>
      <c r="D3570" t="inlineStr">
        <is>
          <t>UPPSALA LÄN</t>
        </is>
      </c>
      <c r="E3570" t="inlineStr">
        <is>
          <t>TIERP</t>
        </is>
      </c>
      <c r="F3570" t="inlineStr">
        <is>
          <t>Bergvik skog öst AB</t>
        </is>
      </c>
      <c r="G3570" t="n">
        <v>10.7</v>
      </c>
      <c r="H3570" t="n">
        <v>0</v>
      </c>
      <c r="I3570" t="n">
        <v>0</v>
      </c>
      <c r="J3570" t="n">
        <v>0</v>
      </c>
      <c r="K3570" t="n">
        <v>0</v>
      </c>
      <c r="L3570" t="n">
        <v>0</v>
      </c>
      <c r="M3570" t="n">
        <v>0</v>
      </c>
      <c r="N3570" t="n">
        <v>0</v>
      </c>
      <c r="O3570" t="n">
        <v>0</v>
      </c>
      <c r="P3570" t="n">
        <v>0</v>
      </c>
      <c r="Q3570" t="n">
        <v>0</v>
      </c>
      <c r="R3570" s="2" t="inlineStr"/>
    </row>
    <row r="3571" ht="15" customHeight="1">
      <c r="A3571" t="inlineStr">
        <is>
          <t>A 14553-2023</t>
        </is>
      </c>
      <c r="B3571" s="1" t="n">
        <v>45013</v>
      </c>
      <c r="C3571" s="1" t="n">
        <v>45706</v>
      </c>
      <c r="D3571" t="inlineStr">
        <is>
          <t>UPPSALA LÄN</t>
        </is>
      </c>
      <c r="E3571" t="inlineStr">
        <is>
          <t>TIERP</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14590-2023</t>
        </is>
      </c>
      <c r="B3572" s="1" t="n">
        <v>45013</v>
      </c>
      <c r="C3572" s="1" t="n">
        <v>45706</v>
      </c>
      <c r="D3572" t="inlineStr">
        <is>
          <t>UPPSALA LÄN</t>
        </is>
      </c>
      <c r="E3572" t="inlineStr">
        <is>
          <t>ÄLVKARLEBY</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14784-2023</t>
        </is>
      </c>
      <c r="B3573" s="1" t="n">
        <v>45014</v>
      </c>
      <c r="C3573" s="1" t="n">
        <v>45706</v>
      </c>
      <c r="D3573" t="inlineStr">
        <is>
          <t>UPPSALA LÄN</t>
        </is>
      </c>
      <c r="E3573" t="inlineStr">
        <is>
          <t>UPPSALA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14822-2023</t>
        </is>
      </c>
      <c r="B3574" s="1" t="n">
        <v>45014</v>
      </c>
      <c r="C3574" s="1" t="n">
        <v>45706</v>
      </c>
      <c r="D3574" t="inlineStr">
        <is>
          <t>UPPSALA LÄN</t>
        </is>
      </c>
      <c r="E3574" t="inlineStr">
        <is>
          <t>ÖSTHAMMAR</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14835-2023</t>
        </is>
      </c>
      <c r="B3575" s="1" t="n">
        <v>45014</v>
      </c>
      <c r="C3575" s="1" t="n">
        <v>45706</v>
      </c>
      <c r="D3575" t="inlineStr">
        <is>
          <t>UPPSALA LÄN</t>
        </is>
      </c>
      <c r="E3575" t="inlineStr">
        <is>
          <t>ÖSTHAMMAR</t>
        </is>
      </c>
      <c r="G3575" t="n">
        <v>9.5</v>
      </c>
      <c r="H3575" t="n">
        <v>0</v>
      </c>
      <c r="I3575" t="n">
        <v>0</v>
      </c>
      <c r="J3575" t="n">
        <v>0</v>
      </c>
      <c r="K3575" t="n">
        <v>0</v>
      </c>
      <c r="L3575" t="n">
        <v>0</v>
      </c>
      <c r="M3575" t="n">
        <v>0</v>
      </c>
      <c r="N3575" t="n">
        <v>0</v>
      </c>
      <c r="O3575" t="n">
        <v>0</v>
      </c>
      <c r="P3575" t="n">
        <v>0</v>
      </c>
      <c r="Q3575" t="n">
        <v>0</v>
      </c>
      <c r="R3575" s="2" t="inlineStr"/>
    </row>
    <row r="3576" ht="15" customHeight="1">
      <c r="A3576" t="inlineStr">
        <is>
          <t>A 14889-2023</t>
        </is>
      </c>
      <c r="B3576" s="1" t="n">
        <v>45015</v>
      </c>
      <c r="C3576" s="1" t="n">
        <v>45706</v>
      </c>
      <c r="D3576" t="inlineStr">
        <is>
          <t>UPPSALA LÄN</t>
        </is>
      </c>
      <c r="E3576" t="inlineStr">
        <is>
          <t>ÖSTHAMMAR</t>
        </is>
      </c>
      <c r="F3576" t="inlineStr">
        <is>
          <t>Bergvik skog öst AB</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14888-2023</t>
        </is>
      </c>
      <c r="B3577" s="1" t="n">
        <v>45015</v>
      </c>
      <c r="C3577" s="1" t="n">
        <v>45706</v>
      </c>
      <c r="D3577" t="inlineStr">
        <is>
          <t>UPPSALA LÄN</t>
        </is>
      </c>
      <c r="E3577" t="inlineStr">
        <is>
          <t>ÖSTHAMMAR</t>
        </is>
      </c>
      <c r="F3577" t="inlineStr">
        <is>
          <t>Bergvik skog öst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14988-2023</t>
        </is>
      </c>
      <c r="B3578" s="1" t="n">
        <v>45015</v>
      </c>
      <c r="C3578" s="1" t="n">
        <v>45706</v>
      </c>
      <c r="D3578" t="inlineStr">
        <is>
          <t>UPPSALA LÄN</t>
        </is>
      </c>
      <c r="E3578" t="inlineStr">
        <is>
          <t>UPPSALA</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14999-2023</t>
        </is>
      </c>
      <c r="B3579" s="1" t="n">
        <v>45015</v>
      </c>
      <c r="C3579" s="1" t="n">
        <v>45706</v>
      </c>
      <c r="D3579" t="inlineStr">
        <is>
          <t>UPPSALA LÄN</t>
        </is>
      </c>
      <c r="E3579" t="inlineStr">
        <is>
          <t>HEBY</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14976-2023</t>
        </is>
      </c>
      <c r="B3580" s="1" t="n">
        <v>45015</v>
      </c>
      <c r="C3580" s="1" t="n">
        <v>45706</v>
      </c>
      <c r="D3580" t="inlineStr">
        <is>
          <t>UPPSALA LÄN</t>
        </is>
      </c>
      <c r="E3580" t="inlineStr">
        <is>
          <t>ÖSTHAMMAR</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15441-2023</t>
        </is>
      </c>
      <c r="B3581" s="1" t="n">
        <v>45016</v>
      </c>
      <c r="C3581" s="1" t="n">
        <v>45706</v>
      </c>
      <c r="D3581" t="inlineStr">
        <is>
          <t>UPPSALA LÄN</t>
        </is>
      </c>
      <c r="E3581" t="inlineStr">
        <is>
          <t>KNIVSTA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15299-2023</t>
        </is>
      </c>
      <c r="B3582" s="1" t="n">
        <v>45019</v>
      </c>
      <c r="C3582" s="1" t="n">
        <v>45706</v>
      </c>
      <c r="D3582" t="inlineStr">
        <is>
          <t>UPPSALA LÄN</t>
        </is>
      </c>
      <c r="E3582" t="inlineStr">
        <is>
          <t>HEBY</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15303-2023</t>
        </is>
      </c>
      <c r="B3583" s="1" t="n">
        <v>45019</v>
      </c>
      <c r="C3583" s="1" t="n">
        <v>45706</v>
      </c>
      <c r="D3583" t="inlineStr">
        <is>
          <t>UPPSALA LÄN</t>
        </is>
      </c>
      <c r="E3583" t="inlineStr">
        <is>
          <t>HEBY</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15263-2023</t>
        </is>
      </c>
      <c r="B3584" s="1" t="n">
        <v>45019</v>
      </c>
      <c r="C3584" s="1" t="n">
        <v>45706</v>
      </c>
      <c r="D3584" t="inlineStr">
        <is>
          <t>UPPSALA LÄN</t>
        </is>
      </c>
      <c r="E3584" t="inlineStr">
        <is>
          <t>HEBY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15269-2023</t>
        </is>
      </c>
      <c r="B3585" s="1" t="n">
        <v>45019</v>
      </c>
      <c r="C3585" s="1" t="n">
        <v>45706</v>
      </c>
      <c r="D3585" t="inlineStr">
        <is>
          <t>UPPSALA LÄN</t>
        </is>
      </c>
      <c r="E3585" t="inlineStr">
        <is>
          <t>HEBY</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15554-2023</t>
        </is>
      </c>
      <c r="B3586" s="1" t="n">
        <v>45019</v>
      </c>
      <c r="C3586" s="1" t="n">
        <v>45706</v>
      </c>
      <c r="D3586" t="inlineStr">
        <is>
          <t>UPPSALA LÄN</t>
        </is>
      </c>
      <c r="E3586" t="inlineStr">
        <is>
          <t>ÖSTHAMMAR</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15320-2023</t>
        </is>
      </c>
      <c r="B3587" s="1" t="n">
        <v>45019</v>
      </c>
      <c r="C3587" s="1" t="n">
        <v>45706</v>
      </c>
      <c r="D3587" t="inlineStr">
        <is>
          <t>UPPSALA LÄN</t>
        </is>
      </c>
      <c r="E3587" t="inlineStr">
        <is>
          <t>ENKÖPING</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15578-2023</t>
        </is>
      </c>
      <c r="B3588" s="1" t="n">
        <v>45020</v>
      </c>
      <c r="C3588" s="1" t="n">
        <v>45706</v>
      </c>
      <c r="D3588" t="inlineStr">
        <is>
          <t>UPPSALA LÄN</t>
        </is>
      </c>
      <c r="E3588" t="inlineStr">
        <is>
          <t>TIERP</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15607-2023</t>
        </is>
      </c>
      <c r="B3589" s="1" t="n">
        <v>45020</v>
      </c>
      <c r="C3589" s="1" t="n">
        <v>45706</v>
      </c>
      <c r="D3589" t="inlineStr">
        <is>
          <t>UPPSALA LÄN</t>
        </is>
      </c>
      <c r="E3589" t="inlineStr">
        <is>
          <t>HEBY</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15609-2023</t>
        </is>
      </c>
      <c r="B3590" s="1" t="n">
        <v>45020</v>
      </c>
      <c r="C3590" s="1" t="n">
        <v>45706</v>
      </c>
      <c r="D3590" t="inlineStr">
        <is>
          <t>UPPSALA LÄN</t>
        </is>
      </c>
      <c r="E3590" t="inlineStr">
        <is>
          <t>HEBY</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15547-2023</t>
        </is>
      </c>
      <c r="B3591" s="1" t="n">
        <v>45020</v>
      </c>
      <c r="C3591" s="1" t="n">
        <v>45706</v>
      </c>
      <c r="D3591" t="inlineStr">
        <is>
          <t>UPPSALA LÄN</t>
        </is>
      </c>
      <c r="E3591" t="inlineStr">
        <is>
          <t>UPPSALA</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15551-2023</t>
        </is>
      </c>
      <c r="B3592" s="1" t="n">
        <v>45020</v>
      </c>
      <c r="C3592" s="1" t="n">
        <v>45706</v>
      </c>
      <c r="D3592" t="inlineStr">
        <is>
          <t>UPPSALA LÄN</t>
        </is>
      </c>
      <c r="E3592" t="inlineStr">
        <is>
          <t>UPPSALA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15629-2023</t>
        </is>
      </c>
      <c r="B3593" s="1" t="n">
        <v>45021</v>
      </c>
      <c r="C3593" s="1" t="n">
        <v>45706</v>
      </c>
      <c r="D3593" t="inlineStr">
        <is>
          <t>UPPSALA LÄN</t>
        </is>
      </c>
      <c r="E3593" t="inlineStr">
        <is>
          <t>UPPSALA</t>
        </is>
      </c>
      <c r="F3593" t="inlineStr">
        <is>
          <t>Övriga Aktiebolag</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15757-2023</t>
        </is>
      </c>
      <c r="B3594" s="1" t="n">
        <v>45021</v>
      </c>
      <c r="C3594" s="1" t="n">
        <v>45706</v>
      </c>
      <c r="D3594" t="inlineStr">
        <is>
          <t>UPPSALA LÄN</t>
        </is>
      </c>
      <c r="E3594" t="inlineStr">
        <is>
          <t>ENKÖPING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15763-2023</t>
        </is>
      </c>
      <c r="B3595" s="1" t="n">
        <v>45021</v>
      </c>
      <c r="C3595" s="1" t="n">
        <v>45706</v>
      </c>
      <c r="D3595" t="inlineStr">
        <is>
          <t>UPPSALA LÄN</t>
        </is>
      </c>
      <c r="E3595" t="inlineStr">
        <is>
          <t>TIERP</t>
        </is>
      </c>
      <c r="F3595" t="inlineStr">
        <is>
          <t>Bergvik skog väst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15842-2023</t>
        </is>
      </c>
      <c r="B3596" s="1" t="n">
        <v>45022</v>
      </c>
      <c r="C3596" s="1" t="n">
        <v>45706</v>
      </c>
      <c r="D3596" t="inlineStr">
        <is>
          <t>UPPSALA LÄN</t>
        </is>
      </c>
      <c r="E3596" t="inlineStr">
        <is>
          <t>TIERP</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15832-2023</t>
        </is>
      </c>
      <c r="B3597" s="1" t="n">
        <v>45022</v>
      </c>
      <c r="C3597" s="1" t="n">
        <v>45706</v>
      </c>
      <c r="D3597" t="inlineStr">
        <is>
          <t>UPPSALA LÄN</t>
        </is>
      </c>
      <c r="E3597" t="inlineStr">
        <is>
          <t>TIERP</t>
        </is>
      </c>
      <c r="F3597" t="inlineStr">
        <is>
          <t>Bergvik skog väst AB</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15851-2023</t>
        </is>
      </c>
      <c r="B3598" s="1" t="n">
        <v>45022</v>
      </c>
      <c r="C3598" s="1" t="n">
        <v>45706</v>
      </c>
      <c r="D3598" t="inlineStr">
        <is>
          <t>UPPSALA LÄN</t>
        </is>
      </c>
      <c r="E3598" t="inlineStr">
        <is>
          <t>TIERP</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16256-2023</t>
        </is>
      </c>
      <c r="B3599" s="1" t="n">
        <v>45022</v>
      </c>
      <c r="C3599" s="1" t="n">
        <v>45706</v>
      </c>
      <c r="D3599" t="inlineStr">
        <is>
          <t>UPPSALA LÄN</t>
        </is>
      </c>
      <c r="E3599" t="inlineStr">
        <is>
          <t>HEBY</t>
        </is>
      </c>
      <c r="F3599" t="inlineStr">
        <is>
          <t>Bergvik skog väst AB</t>
        </is>
      </c>
      <c r="G3599" t="n">
        <v>24.1</v>
      </c>
      <c r="H3599" t="n">
        <v>0</v>
      </c>
      <c r="I3599" t="n">
        <v>0</v>
      </c>
      <c r="J3599" t="n">
        <v>0</v>
      </c>
      <c r="K3599" t="n">
        <v>0</v>
      </c>
      <c r="L3599" t="n">
        <v>0</v>
      </c>
      <c r="M3599" t="n">
        <v>0</v>
      </c>
      <c r="N3599" t="n">
        <v>0</v>
      </c>
      <c r="O3599" t="n">
        <v>0</v>
      </c>
      <c r="P3599" t="n">
        <v>0</v>
      </c>
      <c r="Q3599" t="n">
        <v>0</v>
      </c>
      <c r="R3599" s="2" t="inlineStr"/>
    </row>
    <row r="3600" ht="15" customHeight="1">
      <c r="A3600" t="inlineStr">
        <is>
          <t>A 16263-2023</t>
        </is>
      </c>
      <c r="B3600" s="1" t="n">
        <v>45022</v>
      </c>
      <c r="C3600" s="1" t="n">
        <v>45706</v>
      </c>
      <c r="D3600" t="inlineStr">
        <is>
          <t>UPPSALA LÄN</t>
        </is>
      </c>
      <c r="E3600" t="inlineStr">
        <is>
          <t>HEBY</t>
        </is>
      </c>
      <c r="F3600" t="inlineStr">
        <is>
          <t>Bergvik skog väst AB</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16110-2023</t>
        </is>
      </c>
      <c r="B3601" s="1" t="n">
        <v>45027</v>
      </c>
      <c r="C3601" s="1" t="n">
        <v>45706</v>
      </c>
      <c r="D3601" t="inlineStr">
        <is>
          <t>UPPSALA LÄN</t>
        </is>
      </c>
      <c r="E3601" t="inlineStr">
        <is>
          <t>HEBY</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16058-2023</t>
        </is>
      </c>
      <c r="B3602" s="1" t="n">
        <v>45027</v>
      </c>
      <c r="C3602" s="1" t="n">
        <v>45706</v>
      </c>
      <c r="D3602" t="inlineStr">
        <is>
          <t>UPPSALA LÄN</t>
        </is>
      </c>
      <c r="E3602" t="inlineStr">
        <is>
          <t>TIERP</t>
        </is>
      </c>
      <c r="F3602" t="inlineStr">
        <is>
          <t>Kyrkan</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16054-2023</t>
        </is>
      </c>
      <c r="B3603" s="1" t="n">
        <v>45027</v>
      </c>
      <c r="C3603" s="1" t="n">
        <v>45706</v>
      </c>
      <c r="D3603" t="inlineStr">
        <is>
          <t>UPPSALA LÄN</t>
        </is>
      </c>
      <c r="E3603" t="inlineStr">
        <is>
          <t>TIERP</t>
        </is>
      </c>
      <c r="F3603" t="inlineStr">
        <is>
          <t>Kyrkan</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16112-2023</t>
        </is>
      </c>
      <c r="B3604" s="1" t="n">
        <v>45027</v>
      </c>
      <c r="C3604" s="1" t="n">
        <v>45706</v>
      </c>
      <c r="D3604" t="inlineStr">
        <is>
          <t>UPPSALA LÄN</t>
        </is>
      </c>
      <c r="E3604" t="inlineStr">
        <is>
          <t>ÖSTHAMMAR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16346-2023</t>
        </is>
      </c>
      <c r="B3605" s="1" t="n">
        <v>45028</v>
      </c>
      <c r="C3605" s="1" t="n">
        <v>45706</v>
      </c>
      <c r="D3605" t="inlineStr">
        <is>
          <t>UPPSALA LÄN</t>
        </is>
      </c>
      <c r="E3605" t="inlineStr">
        <is>
          <t>UPPSALA</t>
        </is>
      </c>
      <c r="F3605" t="inlineStr">
        <is>
          <t>Övriga Aktiebolag</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16295-2023</t>
        </is>
      </c>
      <c r="B3606" s="1" t="n">
        <v>45028</v>
      </c>
      <c r="C3606" s="1" t="n">
        <v>45706</v>
      </c>
      <c r="D3606" t="inlineStr">
        <is>
          <t>UPPSALA LÄN</t>
        </is>
      </c>
      <c r="E3606" t="inlineStr">
        <is>
          <t>TIERP</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16300-2023</t>
        </is>
      </c>
      <c r="B3607" s="1" t="n">
        <v>45028</v>
      </c>
      <c r="C3607" s="1" t="n">
        <v>45706</v>
      </c>
      <c r="D3607" t="inlineStr">
        <is>
          <t>UPPSALA LÄN</t>
        </is>
      </c>
      <c r="E3607" t="inlineStr">
        <is>
          <t>KNIVSTA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16310-2023</t>
        </is>
      </c>
      <c r="B3608" s="1" t="n">
        <v>45028</v>
      </c>
      <c r="C3608" s="1" t="n">
        <v>45706</v>
      </c>
      <c r="D3608" t="inlineStr">
        <is>
          <t>UPPSALA LÄN</t>
        </is>
      </c>
      <c r="E3608" t="inlineStr">
        <is>
          <t>KNIVSTA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16320-2023</t>
        </is>
      </c>
      <c r="B3609" s="1" t="n">
        <v>45028</v>
      </c>
      <c r="C3609" s="1" t="n">
        <v>45706</v>
      </c>
      <c r="D3609" t="inlineStr">
        <is>
          <t>UPPSALA LÄN</t>
        </is>
      </c>
      <c r="E3609" t="inlineStr">
        <is>
          <t>ENKÖPING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16299-2023</t>
        </is>
      </c>
      <c r="B3610" s="1" t="n">
        <v>45028</v>
      </c>
      <c r="C3610" s="1" t="n">
        <v>45706</v>
      </c>
      <c r="D3610" t="inlineStr">
        <is>
          <t>UPPSALA LÄN</t>
        </is>
      </c>
      <c r="E3610" t="inlineStr">
        <is>
          <t>HÅBO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16305-2023</t>
        </is>
      </c>
      <c r="B3611" s="1" t="n">
        <v>45028</v>
      </c>
      <c r="C3611" s="1" t="n">
        <v>45706</v>
      </c>
      <c r="D3611" t="inlineStr">
        <is>
          <t>UPPSALA LÄN</t>
        </is>
      </c>
      <c r="E3611" t="inlineStr">
        <is>
          <t>KNIVSTA</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16345-2023</t>
        </is>
      </c>
      <c r="B3612" s="1" t="n">
        <v>45028</v>
      </c>
      <c r="C3612" s="1" t="n">
        <v>45706</v>
      </c>
      <c r="D3612" t="inlineStr">
        <is>
          <t>UPPSALA LÄN</t>
        </is>
      </c>
      <c r="E3612" t="inlineStr">
        <is>
          <t>ÖSTHAMMAR</t>
        </is>
      </c>
      <c r="F3612" t="inlineStr">
        <is>
          <t>Övriga Aktiebolag</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16405-2023</t>
        </is>
      </c>
      <c r="B3613" s="1" t="n">
        <v>45029</v>
      </c>
      <c r="C3613" s="1" t="n">
        <v>45706</v>
      </c>
      <c r="D3613" t="inlineStr">
        <is>
          <t>UPPSALA LÄN</t>
        </is>
      </c>
      <c r="E3613" t="inlineStr">
        <is>
          <t>TIERP</t>
        </is>
      </c>
      <c r="F3613" t="inlineStr">
        <is>
          <t>Bergvik skog väst AB</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16404-2023</t>
        </is>
      </c>
      <c r="B3614" s="1" t="n">
        <v>45029</v>
      </c>
      <c r="C3614" s="1" t="n">
        <v>45706</v>
      </c>
      <c r="D3614" t="inlineStr">
        <is>
          <t>UPPSALA LÄN</t>
        </is>
      </c>
      <c r="E3614" t="inlineStr">
        <is>
          <t>HEBY</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16660-2023</t>
        </is>
      </c>
      <c r="B3615" s="1" t="n">
        <v>45030</v>
      </c>
      <c r="C3615" s="1" t="n">
        <v>45706</v>
      </c>
      <c r="D3615" t="inlineStr">
        <is>
          <t>UPPSALA LÄN</t>
        </is>
      </c>
      <c r="E3615" t="inlineStr">
        <is>
          <t>HEBY</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16587-2023</t>
        </is>
      </c>
      <c r="B3616" s="1" t="n">
        <v>45030</v>
      </c>
      <c r="C3616" s="1" t="n">
        <v>45706</v>
      </c>
      <c r="D3616" t="inlineStr">
        <is>
          <t>UPPSALA LÄN</t>
        </is>
      </c>
      <c r="E3616" t="inlineStr">
        <is>
          <t>TIERP</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16631-2023</t>
        </is>
      </c>
      <c r="B3617" s="1" t="n">
        <v>45030</v>
      </c>
      <c r="C3617" s="1" t="n">
        <v>45706</v>
      </c>
      <c r="D3617" t="inlineStr">
        <is>
          <t>UPPSALA LÄN</t>
        </is>
      </c>
      <c r="E3617" t="inlineStr">
        <is>
          <t>TIERP</t>
        </is>
      </c>
      <c r="F3617" t="inlineStr">
        <is>
          <t>Bergvik skog väst AB</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16639-2023</t>
        </is>
      </c>
      <c r="B3618" s="1" t="n">
        <v>45030</v>
      </c>
      <c r="C3618" s="1" t="n">
        <v>45706</v>
      </c>
      <c r="D3618" t="inlineStr">
        <is>
          <t>UPPSALA LÄN</t>
        </is>
      </c>
      <c r="E3618" t="inlineStr">
        <is>
          <t>KNIVSTA</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16701-2023</t>
        </is>
      </c>
      <c r="B3619" s="1" t="n">
        <v>45030</v>
      </c>
      <c r="C3619" s="1" t="n">
        <v>45706</v>
      </c>
      <c r="D3619" t="inlineStr">
        <is>
          <t>UPPSALA LÄN</t>
        </is>
      </c>
      <c r="E3619" t="inlineStr">
        <is>
          <t>ÖSTHAMMAR</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16699-2023</t>
        </is>
      </c>
      <c r="B3620" s="1" t="n">
        <v>45030</v>
      </c>
      <c r="C3620" s="1" t="n">
        <v>45706</v>
      </c>
      <c r="D3620" t="inlineStr">
        <is>
          <t>UPPSALA LÄN</t>
        </is>
      </c>
      <c r="E3620" t="inlineStr">
        <is>
          <t>HEBY</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16791-2023</t>
        </is>
      </c>
      <c r="B3621" s="1" t="n">
        <v>45033</v>
      </c>
      <c r="C3621" s="1" t="n">
        <v>45706</v>
      </c>
      <c r="D3621" t="inlineStr">
        <is>
          <t>UPPSALA LÄN</t>
        </is>
      </c>
      <c r="E3621" t="inlineStr">
        <is>
          <t>TIERP</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16905-2023</t>
        </is>
      </c>
      <c r="B3622" s="1" t="n">
        <v>45033</v>
      </c>
      <c r="C3622" s="1" t="n">
        <v>45706</v>
      </c>
      <c r="D3622" t="inlineStr">
        <is>
          <t>UPPSALA LÄN</t>
        </is>
      </c>
      <c r="E3622" t="inlineStr">
        <is>
          <t>ENKÖPING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16811-2023</t>
        </is>
      </c>
      <c r="B3623" s="1" t="n">
        <v>45033</v>
      </c>
      <c r="C3623" s="1" t="n">
        <v>45706</v>
      </c>
      <c r="D3623" t="inlineStr">
        <is>
          <t>UPPSALA LÄN</t>
        </is>
      </c>
      <c r="E3623" t="inlineStr">
        <is>
          <t>UPPSALA</t>
        </is>
      </c>
      <c r="G3623" t="n">
        <v>10.1</v>
      </c>
      <c r="H3623" t="n">
        <v>0</v>
      </c>
      <c r="I3623" t="n">
        <v>0</v>
      </c>
      <c r="J3623" t="n">
        <v>0</v>
      </c>
      <c r="K3623" t="n">
        <v>0</v>
      </c>
      <c r="L3623" t="n">
        <v>0</v>
      </c>
      <c r="M3623" t="n">
        <v>0</v>
      </c>
      <c r="N3623" t="n">
        <v>0</v>
      </c>
      <c r="O3623" t="n">
        <v>0</v>
      </c>
      <c r="P3623" t="n">
        <v>0</v>
      </c>
      <c r="Q3623" t="n">
        <v>0</v>
      </c>
      <c r="R3623" s="2" t="inlineStr"/>
    </row>
    <row r="3624" ht="15" customHeight="1">
      <c r="A3624" t="inlineStr">
        <is>
          <t>A 16954-2023</t>
        </is>
      </c>
      <c r="B3624" s="1" t="n">
        <v>45033</v>
      </c>
      <c r="C3624" s="1" t="n">
        <v>45706</v>
      </c>
      <c r="D3624" t="inlineStr">
        <is>
          <t>UPPSALA LÄN</t>
        </is>
      </c>
      <c r="E3624" t="inlineStr">
        <is>
          <t>ÖSTHAMMAR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16916-2023</t>
        </is>
      </c>
      <c r="B3625" s="1" t="n">
        <v>45033</v>
      </c>
      <c r="C3625" s="1" t="n">
        <v>45706</v>
      </c>
      <c r="D3625" t="inlineStr">
        <is>
          <t>UPPSALA LÄN</t>
        </is>
      </c>
      <c r="E3625" t="inlineStr">
        <is>
          <t>ENKÖPING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16920-2023</t>
        </is>
      </c>
      <c r="B3626" s="1" t="n">
        <v>45033</v>
      </c>
      <c r="C3626" s="1" t="n">
        <v>45706</v>
      </c>
      <c r="D3626" t="inlineStr">
        <is>
          <t>UPPSALA LÄN</t>
        </is>
      </c>
      <c r="E3626" t="inlineStr">
        <is>
          <t>ENKÖPING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16948-2023</t>
        </is>
      </c>
      <c r="B3627" s="1" t="n">
        <v>45033</v>
      </c>
      <c r="C3627" s="1" t="n">
        <v>45706</v>
      </c>
      <c r="D3627" t="inlineStr">
        <is>
          <t>UPPSALA LÄN</t>
        </is>
      </c>
      <c r="E3627" t="inlineStr">
        <is>
          <t>ÖSTHAMMAR</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16966-2023</t>
        </is>
      </c>
      <c r="B3628" s="1" t="n">
        <v>45033</v>
      </c>
      <c r="C3628" s="1" t="n">
        <v>45706</v>
      </c>
      <c r="D3628" t="inlineStr">
        <is>
          <t>UPPSALA LÄN</t>
        </is>
      </c>
      <c r="E3628" t="inlineStr">
        <is>
          <t>ÖSTHAMMAR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17091-2023</t>
        </is>
      </c>
      <c r="B3629" s="1" t="n">
        <v>45034</v>
      </c>
      <c r="C3629" s="1" t="n">
        <v>45706</v>
      </c>
      <c r="D3629" t="inlineStr">
        <is>
          <t>UPPSALA LÄN</t>
        </is>
      </c>
      <c r="E3629" t="inlineStr">
        <is>
          <t>KNIVSTA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17094-2023</t>
        </is>
      </c>
      <c r="B3630" s="1" t="n">
        <v>45034</v>
      </c>
      <c r="C3630" s="1" t="n">
        <v>45706</v>
      </c>
      <c r="D3630" t="inlineStr">
        <is>
          <t>UPPSALA LÄN</t>
        </is>
      </c>
      <c r="E3630" t="inlineStr">
        <is>
          <t>KNIVSTA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17101-2023</t>
        </is>
      </c>
      <c r="B3631" s="1" t="n">
        <v>45034</v>
      </c>
      <c r="C3631" s="1" t="n">
        <v>45706</v>
      </c>
      <c r="D3631" t="inlineStr">
        <is>
          <t>UPPSALA LÄN</t>
        </is>
      </c>
      <c r="E3631" t="inlineStr">
        <is>
          <t>KNIVSTA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17028-2023</t>
        </is>
      </c>
      <c r="B3632" s="1" t="n">
        <v>45034</v>
      </c>
      <c r="C3632" s="1" t="n">
        <v>45706</v>
      </c>
      <c r="D3632" t="inlineStr">
        <is>
          <t>UPPSALA LÄN</t>
        </is>
      </c>
      <c r="E3632" t="inlineStr">
        <is>
          <t>ÖSTHAMMAR</t>
        </is>
      </c>
      <c r="F3632" t="inlineStr">
        <is>
          <t>Bergvik skog öst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17254-2023</t>
        </is>
      </c>
      <c r="B3633" s="1" t="n">
        <v>45034</v>
      </c>
      <c r="C3633" s="1" t="n">
        <v>45706</v>
      </c>
      <c r="D3633" t="inlineStr">
        <is>
          <t>UPPSALA LÄN</t>
        </is>
      </c>
      <c r="E3633" t="inlineStr">
        <is>
          <t>ENKÖPING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17511-2023</t>
        </is>
      </c>
      <c r="B3634" s="1" t="n">
        <v>45034</v>
      </c>
      <c r="C3634" s="1" t="n">
        <v>45706</v>
      </c>
      <c r="D3634" t="inlineStr">
        <is>
          <t>UPPSALA LÄN</t>
        </is>
      </c>
      <c r="E3634" t="inlineStr">
        <is>
          <t>ENKÖPING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17229-2023</t>
        </is>
      </c>
      <c r="B3635" s="1" t="n">
        <v>45035</v>
      </c>
      <c r="C3635" s="1" t="n">
        <v>45706</v>
      </c>
      <c r="D3635" t="inlineStr">
        <is>
          <t>UPPSALA LÄN</t>
        </is>
      </c>
      <c r="E3635" t="inlineStr">
        <is>
          <t>UPPSALA</t>
        </is>
      </c>
      <c r="F3635" t="inlineStr">
        <is>
          <t>Övriga Aktiebolag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17288-2023</t>
        </is>
      </c>
      <c r="B3636" s="1" t="n">
        <v>45035</v>
      </c>
      <c r="C3636" s="1" t="n">
        <v>45706</v>
      </c>
      <c r="D3636" t="inlineStr">
        <is>
          <t>UPPSALA LÄN</t>
        </is>
      </c>
      <c r="E3636" t="inlineStr">
        <is>
          <t>HEBY</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17369-2023</t>
        </is>
      </c>
      <c r="B3637" s="1" t="n">
        <v>45035</v>
      </c>
      <c r="C3637" s="1" t="n">
        <v>45706</v>
      </c>
      <c r="D3637" t="inlineStr">
        <is>
          <t>UPPSALA LÄN</t>
        </is>
      </c>
      <c r="E3637" t="inlineStr">
        <is>
          <t>HEBY</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17371-2023</t>
        </is>
      </c>
      <c r="B3638" s="1" t="n">
        <v>45035</v>
      </c>
      <c r="C3638" s="1" t="n">
        <v>45706</v>
      </c>
      <c r="D3638" t="inlineStr">
        <is>
          <t>UPPSALA LÄN</t>
        </is>
      </c>
      <c r="E3638" t="inlineStr">
        <is>
          <t>HEBY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17280-2023</t>
        </is>
      </c>
      <c r="B3639" s="1" t="n">
        <v>45035</v>
      </c>
      <c r="C3639" s="1" t="n">
        <v>45706</v>
      </c>
      <c r="D3639" t="inlineStr">
        <is>
          <t>UPPSALA LÄN</t>
        </is>
      </c>
      <c r="E3639" t="inlineStr">
        <is>
          <t>UPPSALA</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17407-2023</t>
        </is>
      </c>
      <c r="B3640" s="1" t="n">
        <v>45035</v>
      </c>
      <c r="C3640" s="1" t="n">
        <v>45706</v>
      </c>
      <c r="D3640" t="inlineStr">
        <is>
          <t>UPPSALA LÄN</t>
        </is>
      </c>
      <c r="E3640" t="inlineStr">
        <is>
          <t>HEBY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17373-2023</t>
        </is>
      </c>
      <c r="B3641" s="1" t="n">
        <v>45035</v>
      </c>
      <c r="C3641" s="1" t="n">
        <v>45706</v>
      </c>
      <c r="D3641" t="inlineStr">
        <is>
          <t>UPPSALA LÄN</t>
        </is>
      </c>
      <c r="E3641" t="inlineStr">
        <is>
          <t>ENKÖPING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17481-2023</t>
        </is>
      </c>
      <c r="B3642" s="1" t="n">
        <v>45036</v>
      </c>
      <c r="C3642" s="1" t="n">
        <v>45706</v>
      </c>
      <c r="D3642" t="inlineStr">
        <is>
          <t>UPPSALA LÄN</t>
        </is>
      </c>
      <c r="E3642" t="inlineStr">
        <is>
          <t>UPPSALA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17631-2023</t>
        </is>
      </c>
      <c r="B3643" s="1" t="n">
        <v>45036</v>
      </c>
      <c r="C3643" s="1" t="n">
        <v>45706</v>
      </c>
      <c r="D3643" t="inlineStr">
        <is>
          <t>UPPSALA LÄN</t>
        </is>
      </c>
      <c r="E3643" t="inlineStr">
        <is>
          <t>ÖSTHAMMAR</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17657-2023</t>
        </is>
      </c>
      <c r="B3644" s="1" t="n">
        <v>45036</v>
      </c>
      <c r="C3644" s="1" t="n">
        <v>45706</v>
      </c>
      <c r="D3644" t="inlineStr">
        <is>
          <t>UPPSALA LÄN</t>
        </is>
      </c>
      <c r="E3644" t="inlineStr">
        <is>
          <t>HEBY</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17729-2023</t>
        </is>
      </c>
      <c r="B3645" s="1" t="n">
        <v>45037</v>
      </c>
      <c r="C3645" s="1" t="n">
        <v>45706</v>
      </c>
      <c r="D3645" t="inlineStr">
        <is>
          <t>UPPSALA LÄN</t>
        </is>
      </c>
      <c r="E3645" t="inlineStr">
        <is>
          <t>ENKÖPING</t>
        </is>
      </c>
      <c r="G3645" t="n">
        <v>10.2</v>
      </c>
      <c r="H3645" t="n">
        <v>0</v>
      </c>
      <c r="I3645" t="n">
        <v>0</v>
      </c>
      <c r="J3645" t="n">
        <v>0</v>
      </c>
      <c r="K3645" t="n">
        <v>0</v>
      </c>
      <c r="L3645" t="n">
        <v>0</v>
      </c>
      <c r="M3645" t="n">
        <v>0</v>
      </c>
      <c r="N3645" t="n">
        <v>0</v>
      </c>
      <c r="O3645" t="n">
        <v>0</v>
      </c>
      <c r="P3645" t="n">
        <v>0</v>
      </c>
      <c r="Q3645" t="n">
        <v>0</v>
      </c>
      <c r="R3645" s="2" t="inlineStr"/>
    </row>
    <row r="3646" ht="15" customHeight="1">
      <c r="A3646" t="inlineStr">
        <is>
          <t>A 17813-2023</t>
        </is>
      </c>
      <c r="B3646" s="1" t="n">
        <v>45037</v>
      </c>
      <c r="C3646" s="1" t="n">
        <v>45706</v>
      </c>
      <c r="D3646" t="inlineStr">
        <is>
          <t>UPPSALA LÄN</t>
        </is>
      </c>
      <c r="E3646" t="inlineStr">
        <is>
          <t>ENKÖPING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17850-2023</t>
        </is>
      </c>
      <c r="B3647" s="1" t="n">
        <v>45037</v>
      </c>
      <c r="C3647" s="1" t="n">
        <v>45706</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17851-2023</t>
        </is>
      </c>
      <c r="B3648" s="1" t="n">
        <v>45037</v>
      </c>
      <c r="C3648" s="1" t="n">
        <v>45706</v>
      </c>
      <c r="D3648" t="inlineStr">
        <is>
          <t>UPPSALA LÄN</t>
        </is>
      </c>
      <c r="E3648" t="inlineStr">
        <is>
          <t>ÖSTHAMMAR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17788-2023</t>
        </is>
      </c>
      <c r="B3649" s="1" t="n">
        <v>45037</v>
      </c>
      <c r="C3649" s="1" t="n">
        <v>45706</v>
      </c>
      <c r="D3649" t="inlineStr">
        <is>
          <t>UPPSALA LÄN</t>
        </is>
      </c>
      <c r="E3649" t="inlineStr">
        <is>
          <t>UPPSALA</t>
        </is>
      </c>
      <c r="F3649" t="inlineStr">
        <is>
          <t>Övriga Aktiebolag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17854-2023</t>
        </is>
      </c>
      <c r="B3650" s="1" t="n">
        <v>45037</v>
      </c>
      <c r="C3650" s="1" t="n">
        <v>45706</v>
      </c>
      <c r="D3650" t="inlineStr">
        <is>
          <t>UPPSALA LÄN</t>
        </is>
      </c>
      <c r="E3650" t="inlineStr">
        <is>
          <t>ÖSTHAMMAR</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18091-2023</t>
        </is>
      </c>
      <c r="B3651" s="1" t="n">
        <v>45040</v>
      </c>
      <c r="C3651" s="1" t="n">
        <v>45706</v>
      </c>
      <c r="D3651" t="inlineStr">
        <is>
          <t>UPPSALA LÄN</t>
        </is>
      </c>
      <c r="E3651" t="inlineStr">
        <is>
          <t>ÖSTHAMMAR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17938-2023</t>
        </is>
      </c>
      <c r="B3652" s="1" t="n">
        <v>45040</v>
      </c>
      <c r="C3652" s="1" t="n">
        <v>45706</v>
      </c>
      <c r="D3652" t="inlineStr">
        <is>
          <t>UPPSALA LÄN</t>
        </is>
      </c>
      <c r="E3652" t="inlineStr">
        <is>
          <t>UPPSALA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17970-2023</t>
        </is>
      </c>
      <c r="B3653" s="1" t="n">
        <v>45040</v>
      </c>
      <c r="C3653" s="1" t="n">
        <v>45706</v>
      </c>
      <c r="D3653" t="inlineStr">
        <is>
          <t>UPPSALA LÄN</t>
        </is>
      </c>
      <c r="E3653" t="inlineStr">
        <is>
          <t>ÖSTHAMMAR</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17979-2023</t>
        </is>
      </c>
      <c r="B3654" s="1" t="n">
        <v>45040</v>
      </c>
      <c r="C3654" s="1" t="n">
        <v>45706</v>
      </c>
      <c r="D3654" t="inlineStr">
        <is>
          <t>UPPSALA LÄN</t>
        </is>
      </c>
      <c r="E3654" t="inlineStr">
        <is>
          <t>TIERP</t>
        </is>
      </c>
      <c r="F3654" t="inlineStr">
        <is>
          <t>Bergvik skog öst AB</t>
        </is>
      </c>
      <c r="G3654" t="n">
        <v>11.4</v>
      </c>
      <c r="H3654" t="n">
        <v>0</v>
      </c>
      <c r="I3654" t="n">
        <v>0</v>
      </c>
      <c r="J3654" t="n">
        <v>0</v>
      </c>
      <c r="K3654" t="n">
        <v>0</v>
      </c>
      <c r="L3654" t="n">
        <v>0</v>
      </c>
      <c r="M3654" t="n">
        <v>0</v>
      </c>
      <c r="N3654" t="n">
        <v>0</v>
      </c>
      <c r="O3654" t="n">
        <v>0</v>
      </c>
      <c r="P3654" t="n">
        <v>0</v>
      </c>
      <c r="Q3654" t="n">
        <v>0</v>
      </c>
      <c r="R3654" s="2" t="inlineStr"/>
    </row>
    <row r="3655" ht="15" customHeight="1">
      <c r="A3655" t="inlineStr">
        <is>
          <t>A 17950-2023</t>
        </is>
      </c>
      <c r="B3655" s="1" t="n">
        <v>45040</v>
      </c>
      <c r="C3655" s="1" t="n">
        <v>45706</v>
      </c>
      <c r="D3655" t="inlineStr">
        <is>
          <t>UPPSALA LÄN</t>
        </is>
      </c>
      <c r="E3655" t="inlineStr">
        <is>
          <t>TIERP</t>
        </is>
      </c>
      <c r="F3655" t="inlineStr">
        <is>
          <t>Bergvik skog väst AB</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18074-2023</t>
        </is>
      </c>
      <c r="B3656" s="1" t="n">
        <v>45040</v>
      </c>
      <c r="C3656" s="1" t="n">
        <v>45706</v>
      </c>
      <c r="D3656" t="inlineStr">
        <is>
          <t>UPPSALA LÄN</t>
        </is>
      </c>
      <c r="E3656" t="inlineStr">
        <is>
          <t>ÖSTHAMMAR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18030-2023</t>
        </is>
      </c>
      <c r="B3657" s="1" t="n">
        <v>45040</v>
      </c>
      <c r="C3657" s="1" t="n">
        <v>45706</v>
      </c>
      <c r="D3657" t="inlineStr">
        <is>
          <t>UPPSALA LÄN</t>
        </is>
      </c>
      <c r="E3657" t="inlineStr">
        <is>
          <t>ENKÖPING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18038-2023</t>
        </is>
      </c>
      <c r="B3658" s="1" t="n">
        <v>45040</v>
      </c>
      <c r="C3658" s="1" t="n">
        <v>45706</v>
      </c>
      <c r="D3658" t="inlineStr">
        <is>
          <t>UPPSALA LÄN</t>
        </is>
      </c>
      <c r="E3658" t="inlineStr">
        <is>
          <t>TIERP</t>
        </is>
      </c>
      <c r="F3658" t="inlineStr">
        <is>
          <t>Kyrkan</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18113-2023</t>
        </is>
      </c>
      <c r="B3659" s="1" t="n">
        <v>45040</v>
      </c>
      <c r="C3659" s="1" t="n">
        <v>45706</v>
      </c>
      <c r="D3659" t="inlineStr">
        <is>
          <t>UPPSALA LÄN</t>
        </is>
      </c>
      <c r="E3659" t="inlineStr">
        <is>
          <t>ÖSTHAMMAR</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17944-2023</t>
        </is>
      </c>
      <c r="B3660" s="1" t="n">
        <v>45040</v>
      </c>
      <c r="C3660" s="1" t="n">
        <v>45706</v>
      </c>
      <c r="D3660" t="inlineStr">
        <is>
          <t>UPPSALA LÄN</t>
        </is>
      </c>
      <c r="E3660" t="inlineStr">
        <is>
          <t>TIERP</t>
        </is>
      </c>
      <c r="F3660" t="inlineStr">
        <is>
          <t>Bergvik skog väst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17958-2023</t>
        </is>
      </c>
      <c r="B3661" s="1" t="n">
        <v>45040</v>
      </c>
      <c r="C3661" s="1" t="n">
        <v>45706</v>
      </c>
      <c r="D3661" t="inlineStr">
        <is>
          <t>UPPSALA LÄN</t>
        </is>
      </c>
      <c r="E3661" t="inlineStr">
        <is>
          <t>TIERP</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17969-2023</t>
        </is>
      </c>
      <c r="B3662" s="1" t="n">
        <v>45040</v>
      </c>
      <c r="C3662" s="1" t="n">
        <v>45706</v>
      </c>
      <c r="D3662" t="inlineStr">
        <is>
          <t>UPPSALA LÄN</t>
        </is>
      </c>
      <c r="E3662" t="inlineStr">
        <is>
          <t>ÖSTHAMMAR</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18014-2023</t>
        </is>
      </c>
      <c r="B3663" s="1" t="n">
        <v>45040</v>
      </c>
      <c r="C3663" s="1" t="n">
        <v>45706</v>
      </c>
      <c r="D3663" t="inlineStr">
        <is>
          <t>UPPSALA LÄN</t>
        </is>
      </c>
      <c r="E3663" t="inlineStr">
        <is>
          <t>TIERP</t>
        </is>
      </c>
      <c r="F3663" t="inlineStr">
        <is>
          <t>Bergvik skog väst AB</t>
        </is>
      </c>
      <c r="G3663" t="n">
        <v>17.3</v>
      </c>
      <c r="H3663" t="n">
        <v>0</v>
      </c>
      <c r="I3663" t="n">
        <v>0</v>
      </c>
      <c r="J3663" t="n">
        <v>0</v>
      </c>
      <c r="K3663" t="n">
        <v>0</v>
      </c>
      <c r="L3663" t="n">
        <v>0</v>
      </c>
      <c r="M3663" t="n">
        <v>0</v>
      </c>
      <c r="N3663" t="n">
        <v>0</v>
      </c>
      <c r="O3663" t="n">
        <v>0</v>
      </c>
      <c r="P3663" t="n">
        <v>0</v>
      </c>
      <c r="Q3663" t="n">
        <v>0</v>
      </c>
      <c r="R3663" s="2" t="inlineStr"/>
    </row>
    <row r="3664" ht="15" customHeight="1">
      <c r="A3664" t="inlineStr">
        <is>
          <t>A 18190-2023</t>
        </is>
      </c>
      <c r="B3664" s="1" t="n">
        <v>45041</v>
      </c>
      <c r="C3664" s="1" t="n">
        <v>45706</v>
      </c>
      <c r="D3664" t="inlineStr">
        <is>
          <t>UPPSALA LÄN</t>
        </is>
      </c>
      <c r="E3664" t="inlineStr">
        <is>
          <t>TIERP</t>
        </is>
      </c>
      <c r="F3664" t="inlineStr">
        <is>
          <t>Kyrkan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18277-2023</t>
        </is>
      </c>
      <c r="B3665" s="1" t="n">
        <v>45041</v>
      </c>
      <c r="C3665" s="1" t="n">
        <v>45706</v>
      </c>
      <c r="D3665" t="inlineStr">
        <is>
          <t>UPPSALA LÄN</t>
        </is>
      </c>
      <c r="E3665" t="inlineStr">
        <is>
          <t>UPPSALA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18219-2023</t>
        </is>
      </c>
      <c r="B3666" s="1" t="n">
        <v>45041</v>
      </c>
      <c r="C3666" s="1" t="n">
        <v>45706</v>
      </c>
      <c r="D3666" t="inlineStr">
        <is>
          <t>UPPSALA LÄN</t>
        </is>
      </c>
      <c r="E3666" t="inlineStr">
        <is>
          <t>ÖSTHAMMAR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18275-2023</t>
        </is>
      </c>
      <c r="B3667" s="1" t="n">
        <v>45041</v>
      </c>
      <c r="C3667" s="1" t="n">
        <v>45706</v>
      </c>
      <c r="D3667" t="inlineStr">
        <is>
          <t>UPPSALA LÄN</t>
        </is>
      </c>
      <c r="E3667" t="inlineStr">
        <is>
          <t>UPPSALA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18278-2023</t>
        </is>
      </c>
      <c r="B3668" s="1" t="n">
        <v>45041</v>
      </c>
      <c r="C3668" s="1" t="n">
        <v>45706</v>
      </c>
      <c r="D3668" t="inlineStr">
        <is>
          <t>UPPSALA LÄN</t>
        </is>
      </c>
      <c r="E3668" t="inlineStr">
        <is>
          <t>UPPSALA</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18276-2023</t>
        </is>
      </c>
      <c r="B3669" s="1" t="n">
        <v>45041</v>
      </c>
      <c r="C3669" s="1" t="n">
        <v>45706</v>
      </c>
      <c r="D3669" t="inlineStr">
        <is>
          <t>UPPSALA LÄN</t>
        </is>
      </c>
      <c r="E3669" t="inlineStr">
        <is>
          <t>UPPSALA</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18536-2023</t>
        </is>
      </c>
      <c r="B3670" s="1" t="n">
        <v>45042</v>
      </c>
      <c r="C3670" s="1" t="n">
        <v>45706</v>
      </c>
      <c r="D3670" t="inlineStr">
        <is>
          <t>UPPSALA LÄN</t>
        </is>
      </c>
      <c r="E3670" t="inlineStr">
        <is>
          <t>ÖSTHAMMAR</t>
        </is>
      </c>
      <c r="F3670" t="inlineStr">
        <is>
          <t>Bergvik skog öst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18386-2023</t>
        </is>
      </c>
      <c r="B3671" s="1" t="n">
        <v>45042</v>
      </c>
      <c r="C3671" s="1" t="n">
        <v>45706</v>
      </c>
      <c r="D3671" t="inlineStr">
        <is>
          <t>UPPSALA LÄN</t>
        </is>
      </c>
      <c r="E3671" t="inlineStr">
        <is>
          <t>ÖSTHAMMAR</t>
        </is>
      </c>
      <c r="F3671" t="inlineStr">
        <is>
          <t>Bergvik skog öst AB</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18443-2023</t>
        </is>
      </c>
      <c r="B3672" s="1" t="n">
        <v>45042</v>
      </c>
      <c r="C3672" s="1" t="n">
        <v>45706</v>
      </c>
      <c r="D3672" t="inlineStr">
        <is>
          <t>UPPSALA LÄN</t>
        </is>
      </c>
      <c r="E3672" t="inlineStr">
        <is>
          <t>UPPSALA</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18496-2023</t>
        </is>
      </c>
      <c r="B3673" s="1" t="n">
        <v>45042</v>
      </c>
      <c r="C3673" s="1" t="n">
        <v>45706</v>
      </c>
      <c r="D3673" t="inlineStr">
        <is>
          <t>UPPSALA LÄN</t>
        </is>
      </c>
      <c r="E3673" t="inlineStr">
        <is>
          <t>UPPSALA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18535-2023</t>
        </is>
      </c>
      <c r="B3674" s="1" t="n">
        <v>45042</v>
      </c>
      <c r="C3674" s="1" t="n">
        <v>45706</v>
      </c>
      <c r="D3674" t="inlineStr">
        <is>
          <t>UPPSALA LÄN</t>
        </is>
      </c>
      <c r="E3674" t="inlineStr">
        <is>
          <t>ÖSTHAMMAR</t>
        </is>
      </c>
      <c r="F3674" t="inlineStr">
        <is>
          <t>Bergvik skog öst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18507-2023</t>
        </is>
      </c>
      <c r="B3675" s="1" t="n">
        <v>45042</v>
      </c>
      <c r="C3675" s="1" t="n">
        <v>45706</v>
      </c>
      <c r="D3675" t="inlineStr">
        <is>
          <t>UPPSALA LÄN</t>
        </is>
      </c>
      <c r="E3675" t="inlineStr">
        <is>
          <t>UPPSALA</t>
        </is>
      </c>
      <c r="F3675" t="inlineStr">
        <is>
          <t>Övriga Aktiebolag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18534-2023</t>
        </is>
      </c>
      <c r="B3676" s="1" t="n">
        <v>45042</v>
      </c>
      <c r="C3676" s="1" t="n">
        <v>45706</v>
      </c>
      <c r="D3676" t="inlineStr">
        <is>
          <t>UPPSALA LÄN</t>
        </is>
      </c>
      <c r="E3676" t="inlineStr">
        <is>
          <t>ÖSTHAMMAR</t>
        </is>
      </c>
      <c r="F3676" t="inlineStr">
        <is>
          <t>Bergvik skog öst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18422-2023</t>
        </is>
      </c>
      <c r="B3677" s="1" t="n">
        <v>45042</v>
      </c>
      <c r="C3677" s="1" t="n">
        <v>45706</v>
      </c>
      <c r="D3677" t="inlineStr">
        <is>
          <t>UPPSALA LÄN</t>
        </is>
      </c>
      <c r="E3677" t="inlineStr">
        <is>
          <t>HEBY</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18472-2023</t>
        </is>
      </c>
      <c r="B3678" s="1" t="n">
        <v>45042</v>
      </c>
      <c r="C3678" s="1" t="n">
        <v>45706</v>
      </c>
      <c r="D3678" t="inlineStr">
        <is>
          <t>UPPSALA LÄN</t>
        </is>
      </c>
      <c r="E3678" t="inlineStr">
        <is>
          <t>UPPSALA</t>
        </is>
      </c>
      <c r="F3678" t="inlineStr">
        <is>
          <t>Övriga Aktiebolag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18538-2023</t>
        </is>
      </c>
      <c r="B3679" s="1" t="n">
        <v>45042</v>
      </c>
      <c r="C3679" s="1" t="n">
        <v>45706</v>
      </c>
      <c r="D3679" t="inlineStr">
        <is>
          <t>UPPSALA LÄN</t>
        </is>
      </c>
      <c r="E3679" t="inlineStr">
        <is>
          <t>ÖSTHAMMAR</t>
        </is>
      </c>
      <c r="F3679" t="inlineStr">
        <is>
          <t>Bergvik skog öst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18652-2023</t>
        </is>
      </c>
      <c r="B3680" s="1" t="n">
        <v>45043</v>
      </c>
      <c r="C3680" s="1" t="n">
        <v>45706</v>
      </c>
      <c r="D3680" t="inlineStr">
        <is>
          <t>UPPSALA LÄN</t>
        </is>
      </c>
      <c r="E3680" t="inlineStr">
        <is>
          <t>HEBY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18726-2023</t>
        </is>
      </c>
      <c r="B3681" s="1" t="n">
        <v>45043</v>
      </c>
      <c r="C3681" s="1" t="n">
        <v>45706</v>
      </c>
      <c r="D3681" t="inlineStr">
        <is>
          <t>UPPSALA LÄN</t>
        </is>
      </c>
      <c r="E3681" t="inlineStr">
        <is>
          <t>HEBY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18641-2023</t>
        </is>
      </c>
      <c r="B3682" s="1" t="n">
        <v>45043</v>
      </c>
      <c r="C3682" s="1" t="n">
        <v>45706</v>
      </c>
      <c r="D3682" t="inlineStr">
        <is>
          <t>UPPSALA LÄN</t>
        </is>
      </c>
      <c r="E3682" t="inlineStr">
        <is>
          <t>TIERP</t>
        </is>
      </c>
      <c r="F3682" t="inlineStr">
        <is>
          <t>Bergvik skog öst AB</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18696-2023</t>
        </is>
      </c>
      <c r="B3683" s="1" t="n">
        <v>45043</v>
      </c>
      <c r="C3683" s="1" t="n">
        <v>45706</v>
      </c>
      <c r="D3683" t="inlineStr">
        <is>
          <t>UPPSALA LÄN</t>
        </is>
      </c>
      <c r="E3683" t="inlineStr">
        <is>
          <t>ENKÖPING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18710-2023</t>
        </is>
      </c>
      <c r="B3684" s="1" t="n">
        <v>45043</v>
      </c>
      <c r="C3684" s="1" t="n">
        <v>45706</v>
      </c>
      <c r="D3684" t="inlineStr">
        <is>
          <t>UPPSALA LÄN</t>
        </is>
      </c>
      <c r="E3684" t="inlineStr">
        <is>
          <t>UPPSALA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18743-2023</t>
        </is>
      </c>
      <c r="B3685" s="1" t="n">
        <v>45043</v>
      </c>
      <c r="C3685" s="1" t="n">
        <v>45706</v>
      </c>
      <c r="D3685" t="inlineStr">
        <is>
          <t>UPPSALA LÄN</t>
        </is>
      </c>
      <c r="E3685" t="inlineStr">
        <is>
          <t>HEBY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18838-2023</t>
        </is>
      </c>
      <c r="B3686" s="1" t="n">
        <v>45044</v>
      </c>
      <c r="C3686" s="1" t="n">
        <v>45706</v>
      </c>
      <c r="D3686" t="inlineStr">
        <is>
          <t>UPPSALA LÄN</t>
        </is>
      </c>
      <c r="E3686" t="inlineStr">
        <is>
          <t>ÖSTHAMMAR</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18798-2023</t>
        </is>
      </c>
      <c r="B3687" s="1" t="n">
        <v>45044</v>
      </c>
      <c r="C3687" s="1" t="n">
        <v>45706</v>
      </c>
      <c r="D3687" t="inlineStr">
        <is>
          <t>UPPSALA LÄN</t>
        </is>
      </c>
      <c r="E3687" t="inlineStr">
        <is>
          <t>HEBY</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18839-2023</t>
        </is>
      </c>
      <c r="B3688" s="1" t="n">
        <v>45044</v>
      </c>
      <c r="C3688" s="1" t="n">
        <v>45706</v>
      </c>
      <c r="D3688" t="inlineStr">
        <is>
          <t>UPPSALA LÄN</t>
        </is>
      </c>
      <c r="E3688" t="inlineStr">
        <is>
          <t>ÖSTHAMMAR</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18841-2023</t>
        </is>
      </c>
      <c r="B3689" s="1" t="n">
        <v>45044</v>
      </c>
      <c r="C3689" s="1" t="n">
        <v>45706</v>
      </c>
      <c r="D3689" t="inlineStr">
        <is>
          <t>UPPSALA LÄN</t>
        </is>
      </c>
      <c r="E3689" t="inlineStr">
        <is>
          <t>ÖSTHAMMAR</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18945-2023</t>
        </is>
      </c>
      <c r="B3690" s="1" t="n">
        <v>45044</v>
      </c>
      <c r="C3690" s="1" t="n">
        <v>45706</v>
      </c>
      <c r="D3690" t="inlineStr">
        <is>
          <t>UPPSALA LÄN</t>
        </is>
      </c>
      <c r="E3690" t="inlineStr">
        <is>
          <t>ÖSTHAMMAR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18946-2023</t>
        </is>
      </c>
      <c r="B3691" s="1" t="n">
        <v>45044</v>
      </c>
      <c r="C3691" s="1" t="n">
        <v>45706</v>
      </c>
      <c r="D3691" t="inlineStr">
        <is>
          <t>UPPSALA LÄN</t>
        </is>
      </c>
      <c r="E3691" t="inlineStr">
        <is>
          <t>ÖSTHAMMAR</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18821-2023</t>
        </is>
      </c>
      <c r="B3692" s="1" t="n">
        <v>45044</v>
      </c>
      <c r="C3692" s="1" t="n">
        <v>45706</v>
      </c>
      <c r="D3692" t="inlineStr">
        <is>
          <t>UPPSALA LÄN</t>
        </is>
      </c>
      <c r="E3692" t="inlineStr">
        <is>
          <t>ENKÖPING</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18831-2023</t>
        </is>
      </c>
      <c r="B3693" s="1" t="n">
        <v>45044</v>
      </c>
      <c r="C3693" s="1" t="n">
        <v>45706</v>
      </c>
      <c r="D3693" t="inlineStr">
        <is>
          <t>UPPSALA LÄN</t>
        </is>
      </c>
      <c r="E3693" t="inlineStr">
        <is>
          <t>ENKÖPING</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19012-2023</t>
        </is>
      </c>
      <c r="B3694" s="1" t="n">
        <v>45045</v>
      </c>
      <c r="C3694" s="1" t="n">
        <v>45706</v>
      </c>
      <c r="D3694" t="inlineStr">
        <is>
          <t>UPPSALA LÄN</t>
        </is>
      </c>
      <c r="E3694" t="inlineStr">
        <is>
          <t>ÖSTHAMMAR</t>
        </is>
      </c>
      <c r="F3694" t="inlineStr">
        <is>
          <t>Bergvik skog öst AB</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19015-2023</t>
        </is>
      </c>
      <c r="B3695" s="1" t="n">
        <v>45045</v>
      </c>
      <c r="C3695" s="1" t="n">
        <v>45706</v>
      </c>
      <c r="D3695" t="inlineStr">
        <is>
          <t>UPPSALA LÄN</t>
        </is>
      </c>
      <c r="E3695" t="inlineStr">
        <is>
          <t>ÖSTHAMMAR</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19010-2023</t>
        </is>
      </c>
      <c r="B3696" s="1" t="n">
        <v>45045</v>
      </c>
      <c r="C3696" s="1" t="n">
        <v>45706</v>
      </c>
      <c r="D3696" t="inlineStr">
        <is>
          <t>UPPSALA LÄN</t>
        </is>
      </c>
      <c r="E3696" t="inlineStr">
        <is>
          <t>ÖSTHAMMAR</t>
        </is>
      </c>
      <c r="F3696" t="inlineStr">
        <is>
          <t>Bergvik skog öst AB</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19014-2023</t>
        </is>
      </c>
      <c r="B3697" s="1" t="n">
        <v>45045</v>
      </c>
      <c r="C3697" s="1" t="n">
        <v>45706</v>
      </c>
      <c r="D3697" t="inlineStr">
        <is>
          <t>UPPSALA LÄN</t>
        </is>
      </c>
      <c r="E3697" t="inlineStr">
        <is>
          <t>ÖSTHAMMAR</t>
        </is>
      </c>
      <c r="F3697" t="inlineStr">
        <is>
          <t>Bergvik skog öst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19009-2023</t>
        </is>
      </c>
      <c r="B3698" s="1" t="n">
        <v>45045</v>
      </c>
      <c r="C3698" s="1" t="n">
        <v>45706</v>
      </c>
      <c r="D3698" t="inlineStr">
        <is>
          <t>UPPSALA LÄN</t>
        </is>
      </c>
      <c r="E3698" t="inlineStr">
        <is>
          <t>ÖSTHAMMAR</t>
        </is>
      </c>
      <c r="F3698" t="inlineStr">
        <is>
          <t>Bergvik skog öst AB</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19172-2023</t>
        </is>
      </c>
      <c r="B3699" s="1" t="n">
        <v>45046</v>
      </c>
      <c r="C3699" s="1" t="n">
        <v>45706</v>
      </c>
      <c r="D3699" t="inlineStr">
        <is>
          <t>UPPSALA LÄN</t>
        </is>
      </c>
      <c r="E3699" t="inlineStr">
        <is>
          <t>TIERP</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19174-2023</t>
        </is>
      </c>
      <c r="B3700" s="1" t="n">
        <v>45046</v>
      </c>
      <c r="C3700" s="1" t="n">
        <v>45706</v>
      </c>
      <c r="D3700" t="inlineStr">
        <is>
          <t>UPPSALA LÄN</t>
        </is>
      </c>
      <c r="E3700" t="inlineStr">
        <is>
          <t>TIERP</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19175-2023</t>
        </is>
      </c>
      <c r="B3701" s="1" t="n">
        <v>45046</v>
      </c>
      <c r="C3701" s="1" t="n">
        <v>45706</v>
      </c>
      <c r="D3701" t="inlineStr">
        <is>
          <t>UPPSALA LÄN</t>
        </is>
      </c>
      <c r="E3701" t="inlineStr">
        <is>
          <t>TIERP</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19041-2023</t>
        </is>
      </c>
      <c r="B3702" s="1" t="n">
        <v>45047</v>
      </c>
      <c r="C3702" s="1" t="n">
        <v>45706</v>
      </c>
      <c r="D3702" t="inlineStr">
        <is>
          <t>UPPSALA LÄN</t>
        </is>
      </c>
      <c r="E3702" t="inlineStr">
        <is>
          <t>ÖSTHAMMAR</t>
        </is>
      </c>
      <c r="F3702" t="inlineStr">
        <is>
          <t>Bergvik skog öst AB</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19017-2023</t>
        </is>
      </c>
      <c r="B3703" s="1" t="n">
        <v>45047</v>
      </c>
      <c r="C3703" s="1" t="n">
        <v>45706</v>
      </c>
      <c r="D3703" t="inlineStr">
        <is>
          <t>UPPSALA LÄN</t>
        </is>
      </c>
      <c r="E3703" t="inlineStr">
        <is>
          <t>UPPSALA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19040-2023</t>
        </is>
      </c>
      <c r="B3704" s="1" t="n">
        <v>45047</v>
      </c>
      <c r="C3704" s="1" t="n">
        <v>45706</v>
      </c>
      <c r="D3704" t="inlineStr">
        <is>
          <t>UPPSALA LÄN</t>
        </is>
      </c>
      <c r="E3704" t="inlineStr">
        <is>
          <t>ÖSTHAMMAR</t>
        </is>
      </c>
      <c r="F3704" t="inlineStr">
        <is>
          <t>Bergvik skog öst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19102-2023</t>
        </is>
      </c>
      <c r="B3705" s="1" t="n">
        <v>45048</v>
      </c>
      <c r="C3705" s="1" t="n">
        <v>45706</v>
      </c>
      <c r="D3705" t="inlineStr">
        <is>
          <t>UPPSALA LÄN</t>
        </is>
      </c>
      <c r="E3705" t="inlineStr">
        <is>
          <t>ÖSTHAMMAR</t>
        </is>
      </c>
      <c r="F3705" t="inlineStr">
        <is>
          <t>Bergvik skog öst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19099-2023</t>
        </is>
      </c>
      <c r="B3706" s="1" t="n">
        <v>45048</v>
      </c>
      <c r="C3706" s="1" t="n">
        <v>45706</v>
      </c>
      <c r="D3706" t="inlineStr">
        <is>
          <t>UPPSALA LÄN</t>
        </is>
      </c>
      <c r="E3706" t="inlineStr">
        <is>
          <t>ÖSTHAMMAR</t>
        </is>
      </c>
      <c r="F3706" t="inlineStr">
        <is>
          <t>Bergvik skog öst AB</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19097-2023</t>
        </is>
      </c>
      <c r="B3707" s="1" t="n">
        <v>45048</v>
      </c>
      <c r="C3707" s="1" t="n">
        <v>45706</v>
      </c>
      <c r="D3707" t="inlineStr">
        <is>
          <t>UPPSALA LÄN</t>
        </is>
      </c>
      <c r="E3707" t="inlineStr">
        <is>
          <t>ÖSTHAMMAR</t>
        </is>
      </c>
      <c r="F3707" t="inlineStr">
        <is>
          <t>Bergvik skog öst AB</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19129-2023</t>
        </is>
      </c>
      <c r="B3708" s="1" t="n">
        <v>45048</v>
      </c>
      <c r="C3708" s="1" t="n">
        <v>45706</v>
      </c>
      <c r="D3708" t="inlineStr">
        <is>
          <t>UPPSALA LÄN</t>
        </is>
      </c>
      <c r="E3708" t="inlineStr">
        <is>
          <t>TIERP</t>
        </is>
      </c>
      <c r="F3708" t="inlineStr">
        <is>
          <t>Bergvik skog väst AB</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19135-2023</t>
        </is>
      </c>
      <c r="B3709" s="1" t="n">
        <v>45048</v>
      </c>
      <c r="C3709" s="1" t="n">
        <v>45706</v>
      </c>
      <c r="D3709" t="inlineStr">
        <is>
          <t>UPPSALA LÄN</t>
        </is>
      </c>
      <c r="E3709" t="inlineStr">
        <is>
          <t>UPPSALA</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19127-2023</t>
        </is>
      </c>
      <c r="B3710" s="1" t="n">
        <v>45048</v>
      </c>
      <c r="C3710" s="1" t="n">
        <v>45706</v>
      </c>
      <c r="D3710" t="inlineStr">
        <is>
          <t>UPPSALA LÄN</t>
        </is>
      </c>
      <c r="E3710" t="inlineStr">
        <is>
          <t>TIERP</t>
        </is>
      </c>
      <c r="F3710" t="inlineStr">
        <is>
          <t>Bergvik skog väst AB</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19139-2023</t>
        </is>
      </c>
      <c r="B3711" s="1" t="n">
        <v>45048</v>
      </c>
      <c r="C3711" s="1" t="n">
        <v>45706</v>
      </c>
      <c r="D3711" t="inlineStr">
        <is>
          <t>UPPSALA LÄN</t>
        </is>
      </c>
      <c r="E3711" t="inlineStr">
        <is>
          <t>UPPSALA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19298-2023</t>
        </is>
      </c>
      <c r="B3712" s="1" t="n">
        <v>45048</v>
      </c>
      <c r="C3712" s="1" t="n">
        <v>45706</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19215-2023</t>
        </is>
      </c>
      <c r="B3713" s="1" t="n">
        <v>45048</v>
      </c>
      <c r="C3713" s="1" t="n">
        <v>45706</v>
      </c>
      <c r="D3713" t="inlineStr">
        <is>
          <t>UPPSALA LÄN</t>
        </is>
      </c>
      <c r="E3713" t="inlineStr">
        <is>
          <t>ÖSTHAMMAR</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19301-2023</t>
        </is>
      </c>
      <c r="B3714" s="1" t="n">
        <v>45048</v>
      </c>
      <c r="C3714" s="1" t="n">
        <v>45706</v>
      </c>
      <c r="D3714" t="inlineStr">
        <is>
          <t>UPPSALA LÄN</t>
        </is>
      </c>
      <c r="E3714" t="inlineStr">
        <is>
          <t>ENKÖPING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19216-2023</t>
        </is>
      </c>
      <c r="B3715" s="1" t="n">
        <v>45048</v>
      </c>
      <c r="C3715" s="1" t="n">
        <v>45706</v>
      </c>
      <c r="D3715" t="inlineStr">
        <is>
          <t>UPPSALA LÄN</t>
        </is>
      </c>
      <c r="E3715" t="inlineStr">
        <is>
          <t>ÖSTHAMMAR</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19279-2023</t>
        </is>
      </c>
      <c r="B3716" s="1" t="n">
        <v>45049</v>
      </c>
      <c r="C3716" s="1" t="n">
        <v>45706</v>
      </c>
      <c r="D3716" t="inlineStr">
        <is>
          <t>UPPSALA LÄN</t>
        </is>
      </c>
      <c r="E3716" t="inlineStr">
        <is>
          <t>UPPSALA</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19283-2023</t>
        </is>
      </c>
      <c r="B3717" s="1" t="n">
        <v>45049</v>
      </c>
      <c r="C3717" s="1" t="n">
        <v>45706</v>
      </c>
      <c r="D3717" t="inlineStr">
        <is>
          <t>UPPSALA LÄN</t>
        </is>
      </c>
      <c r="E3717" t="inlineStr">
        <is>
          <t>TIERP</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19269-2023</t>
        </is>
      </c>
      <c r="B3718" s="1" t="n">
        <v>45049</v>
      </c>
      <c r="C3718" s="1" t="n">
        <v>45706</v>
      </c>
      <c r="D3718" t="inlineStr">
        <is>
          <t>UPPSALA LÄN</t>
        </is>
      </c>
      <c r="E3718" t="inlineStr">
        <is>
          <t>UPPSALA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19314-2023</t>
        </is>
      </c>
      <c r="B3719" s="1" t="n">
        <v>45049</v>
      </c>
      <c r="C3719" s="1" t="n">
        <v>45706</v>
      </c>
      <c r="D3719" t="inlineStr">
        <is>
          <t>UPPSALA LÄN</t>
        </is>
      </c>
      <c r="E3719" t="inlineStr">
        <is>
          <t>UPPSALA</t>
        </is>
      </c>
      <c r="G3719" t="n">
        <v>9</v>
      </c>
      <c r="H3719" t="n">
        <v>0</v>
      </c>
      <c r="I3719" t="n">
        <v>0</v>
      </c>
      <c r="J3719" t="n">
        <v>0</v>
      </c>
      <c r="K3719" t="n">
        <v>0</v>
      </c>
      <c r="L3719" t="n">
        <v>0</v>
      </c>
      <c r="M3719" t="n">
        <v>0</v>
      </c>
      <c r="N3719" t="n">
        <v>0</v>
      </c>
      <c r="O3719" t="n">
        <v>0</v>
      </c>
      <c r="P3719" t="n">
        <v>0</v>
      </c>
      <c r="Q3719" t="n">
        <v>0</v>
      </c>
      <c r="R3719" s="2" t="inlineStr"/>
    </row>
    <row r="3720" ht="15" customHeight="1">
      <c r="A3720" t="inlineStr">
        <is>
          <t>A 19320-2023</t>
        </is>
      </c>
      <c r="B3720" s="1" t="n">
        <v>45049</v>
      </c>
      <c r="C3720" s="1" t="n">
        <v>45706</v>
      </c>
      <c r="D3720" t="inlineStr">
        <is>
          <t>UPPSALA LÄN</t>
        </is>
      </c>
      <c r="E3720" t="inlineStr">
        <is>
          <t>UPPSALA</t>
        </is>
      </c>
      <c r="G3720" t="n">
        <v>17.5</v>
      </c>
      <c r="H3720" t="n">
        <v>0</v>
      </c>
      <c r="I3720" t="n">
        <v>0</v>
      </c>
      <c r="J3720" t="n">
        <v>0</v>
      </c>
      <c r="K3720" t="n">
        <v>0</v>
      </c>
      <c r="L3720" t="n">
        <v>0</v>
      </c>
      <c r="M3720" t="n">
        <v>0</v>
      </c>
      <c r="N3720" t="n">
        <v>0</v>
      </c>
      <c r="O3720" t="n">
        <v>0</v>
      </c>
      <c r="P3720" t="n">
        <v>0</v>
      </c>
      <c r="Q3720" t="n">
        <v>0</v>
      </c>
      <c r="R3720" s="2" t="inlineStr"/>
    </row>
    <row r="3721" ht="15" customHeight="1">
      <c r="A3721" t="inlineStr">
        <is>
          <t>A 19339-2023</t>
        </is>
      </c>
      <c r="B3721" s="1" t="n">
        <v>45049</v>
      </c>
      <c r="C3721" s="1" t="n">
        <v>45706</v>
      </c>
      <c r="D3721" t="inlineStr">
        <is>
          <t>UPPSALA LÄN</t>
        </is>
      </c>
      <c r="E3721" t="inlineStr">
        <is>
          <t>UPPSALA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19380-2023</t>
        </is>
      </c>
      <c r="B3722" s="1" t="n">
        <v>45049</v>
      </c>
      <c r="C3722" s="1" t="n">
        <v>45706</v>
      </c>
      <c r="D3722" t="inlineStr">
        <is>
          <t>UPPSALA LÄN</t>
        </is>
      </c>
      <c r="E3722" t="inlineStr">
        <is>
          <t>UPPSALA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19411-2023</t>
        </is>
      </c>
      <c r="B3723" s="1" t="n">
        <v>45049</v>
      </c>
      <c r="C3723" s="1" t="n">
        <v>45706</v>
      </c>
      <c r="D3723" t="inlineStr">
        <is>
          <t>UPPSALA LÄN</t>
        </is>
      </c>
      <c r="E3723" t="inlineStr">
        <is>
          <t>UPPSALA</t>
        </is>
      </c>
      <c r="G3723" t="n">
        <v>12.6</v>
      </c>
      <c r="H3723" t="n">
        <v>0</v>
      </c>
      <c r="I3723" t="n">
        <v>0</v>
      </c>
      <c r="J3723" t="n">
        <v>0</v>
      </c>
      <c r="K3723" t="n">
        <v>0</v>
      </c>
      <c r="L3723" t="n">
        <v>0</v>
      </c>
      <c r="M3723" t="n">
        <v>0</v>
      </c>
      <c r="N3723" t="n">
        <v>0</v>
      </c>
      <c r="O3723" t="n">
        <v>0</v>
      </c>
      <c r="P3723" t="n">
        <v>0</v>
      </c>
      <c r="Q3723" t="n">
        <v>0</v>
      </c>
      <c r="R3723" s="2" t="inlineStr"/>
    </row>
    <row r="3724" ht="15" customHeight="1">
      <c r="A3724" t="inlineStr">
        <is>
          <t>A 19272-2023</t>
        </is>
      </c>
      <c r="B3724" s="1" t="n">
        <v>45049</v>
      </c>
      <c r="C3724" s="1" t="n">
        <v>45706</v>
      </c>
      <c r="D3724" t="inlineStr">
        <is>
          <t>UPPSALA LÄN</t>
        </is>
      </c>
      <c r="E3724" t="inlineStr">
        <is>
          <t>UPPSALA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19276-2023</t>
        </is>
      </c>
      <c r="B3725" s="1" t="n">
        <v>45049</v>
      </c>
      <c r="C3725" s="1" t="n">
        <v>45706</v>
      </c>
      <c r="D3725" t="inlineStr">
        <is>
          <t>UPPSALA LÄN</t>
        </is>
      </c>
      <c r="E3725" t="inlineStr">
        <is>
          <t>UPPSALA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19317-2023</t>
        </is>
      </c>
      <c r="B3726" s="1" t="n">
        <v>45049</v>
      </c>
      <c r="C3726" s="1" t="n">
        <v>45706</v>
      </c>
      <c r="D3726" t="inlineStr">
        <is>
          <t>UPPSALA LÄN</t>
        </is>
      </c>
      <c r="E3726" t="inlineStr">
        <is>
          <t>UPPSALA</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19409-2023</t>
        </is>
      </c>
      <c r="B3727" s="1" t="n">
        <v>45049</v>
      </c>
      <c r="C3727" s="1" t="n">
        <v>45706</v>
      </c>
      <c r="D3727" t="inlineStr">
        <is>
          <t>UPPSALA LÄN</t>
        </is>
      </c>
      <c r="E3727" t="inlineStr">
        <is>
          <t>UPPSALA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19415-2023</t>
        </is>
      </c>
      <c r="B3728" s="1" t="n">
        <v>45049</v>
      </c>
      <c r="C3728" s="1" t="n">
        <v>45706</v>
      </c>
      <c r="D3728" t="inlineStr">
        <is>
          <t>UPPSALA LÄN</t>
        </is>
      </c>
      <c r="E3728" t="inlineStr">
        <is>
          <t>ENKÖPING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19455-2023</t>
        </is>
      </c>
      <c r="B3729" s="1" t="n">
        <v>45050</v>
      </c>
      <c r="C3729" s="1" t="n">
        <v>45706</v>
      </c>
      <c r="D3729" t="inlineStr">
        <is>
          <t>UPPSALA LÄN</t>
        </is>
      </c>
      <c r="E3729" t="inlineStr">
        <is>
          <t>UPPSALA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19515-2023</t>
        </is>
      </c>
      <c r="B3730" s="1" t="n">
        <v>45050</v>
      </c>
      <c r="C3730" s="1" t="n">
        <v>45706</v>
      </c>
      <c r="D3730" t="inlineStr">
        <is>
          <t>UPPSALA LÄN</t>
        </is>
      </c>
      <c r="E3730" t="inlineStr">
        <is>
          <t>UPPSALA</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19447-2023</t>
        </is>
      </c>
      <c r="B3731" s="1" t="n">
        <v>45050</v>
      </c>
      <c r="C3731" s="1" t="n">
        <v>45706</v>
      </c>
      <c r="D3731" t="inlineStr">
        <is>
          <t>UPPSALA LÄN</t>
        </is>
      </c>
      <c r="E3731" t="inlineStr">
        <is>
          <t>UPPSALA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19454-2023</t>
        </is>
      </c>
      <c r="B3732" s="1" t="n">
        <v>45050</v>
      </c>
      <c r="C3732" s="1" t="n">
        <v>45706</v>
      </c>
      <c r="D3732" t="inlineStr">
        <is>
          <t>UPPSALA LÄN</t>
        </is>
      </c>
      <c r="E3732" t="inlineStr">
        <is>
          <t>HEBY</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19513-2023</t>
        </is>
      </c>
      <c r="B3733" s="1" t="n">
        <v>45050</v>
      </c>
      <c r="C3733" s="1" t="n">
        <v>45706</v>
      </c>
      <c r="D3733" t="inlineStr">
        <is>
          <t>UPPSALA LÄN</t>
        </is>
      </c>
      <c r="E3733" t="inlineStr">
        <is>
          <t>UPPSALA</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19516-2023</t>
        </is>
      </c>
      <c r="B3734" s="1" t="n">
        <v>45050</v>
      </c>
      <c r="C3734" s="1" t="n">
        <v>45706</v>
      </c>
      <c r="D3734" t="inlineStr">
        <is>
          <t>UPPSALA LÄN</t>
        </is>
      </c>
      <c r="E3734" t="inlineStr">
        <is>
          <t>UPPSALA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19741-2023</t>
        </is>
      </c>
      <c r="B3735" s="1" t="n">
        <v>45050</v>
      </c>
      <c r="C3735" s="1" t="n">
        <v>45706</v>
      </c>
      <c r="D3735" t="inlineStr">
        <is>
          <t>UPPSALA LÄN</t>
        </is>
      </c>
      <c r="E3735" t="inlineStr">
        <is>
          <t>HEBY</t>
        </is>
      </c>
      <c r="F3735" t="inlineStr">
        <is>
          <t>Bergvik skog väst AB</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19718-2023</t>
        </is>
      </c>
      <c r="B3736" s="1" t="n">
        <v>45050</v>
      </c>
      <c r="C3736" s="1" t="n">
        <v>45706</v>
      </c>
      <c r="D3736" t="inlineStr">
        <is>
          <t>UPPSALA LÄN</t>
        </is>
      </c>
      <c r="E3736" t="inlineStr">
        <is>
          <t>HEBY</t>
        </is>
      </c>
      <c r="F3736" t="inlineStr">
        <is>
          <t>Bergvik skog väst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19751-2023</t>
        </is>
      </c>
      <c r="B3737" s="1" t="n">
        <v>45050</v>
      </c>
      <c r="C3737" s="1" t="n">
        <v>45706</v>
      </c>
      <c r="D3737" t="inlineStr">
        <is>
          <t>UPPSALA LÄN</t>
        </is>
      </c>
      <c r="E3737" t="inlineStr">
        <is>
          <t>HEBY</t>
        </is>
      </c>
      <c r="F3737" t="inlineStr">
        <is>
          <t>Bergvik skog väst AB</t>
        </is>
      </c>
      <c r="G3737" t="n">
        <v>2.3</v>
      </c>
      <c r="H3737" t="n">
        <v>0</v>
      </c>
      <c r="I3737" t="n">
        <v>0</v>
      </c>
      <c r="J3737" t="n">
        <v>0</v>
      </c>
      <c r="K3737" t="n">
        <v>0</v>
      </c>
      <c r="L3737" t="n">
        <v>0</v>
      </c>
      <c r="M3737" t="n">
        <v>0</v>
      </c>
      <c r="N3737" t="n">
        <v>0</v>
      </c>
      <c r="O3737" t="n">
        <v>0</v>
      </c>
      <c r="P3737" t="n">
        <v>0</v>
      </c>
      <c r="Q3737" t="n">
        <v>0</v>
      </c>
      <c r="R3737" s="2" t="inlineStr"/>
      <c r="U3737">
        <f>HYPERLINK("https://klasma.github.io/Logging_0331/knärot/A 19751-2023 karta knärot.png", "A 19751-2023")</f>
        <v/>
      </c>
      <c r="V3737">
        <f>HYPERLINK("https://klasma.github.io/Logging_0331/klagomål/A 19751-2023 FSC-klagomål.docx", "A 19751-2023")</f>
        <v/>
      </c>
      <c r="W3737">
        <f>HYPERLINK("https://klasma.github.io/Logging_0331/klagomålsmail/A 19751-2023 FSC-klagomål mail.docx", "A 19751-2023")</f>
        <v/>
      </c>
      <c r="X3737">
        <f>HYPERLINK("https://klasma.github.io/Logging_0331/tillsyn/A 19751-2023 tillsynsbegäran.docx", "A 19751-2023")</f>
        <v/>
      </c>
      <c r="Y3737">
        <f>HYPERLINK("https://klasma.github.io/Logging_0331/tillsynsmail/A 19751-2023 tillsynsbegäran mail.docx", "A 19751-2023")</f>
        <v/>
      </c>
    </row>
    <row r="3738" ht="15" customHeight="1">
      <c r="A3738" t="inlineStr">
        <is>
          <t>A 19764-2023</t>
        </is>
      </c>
      <c r="B3738" s="1" t="n">
        <v>45050</v>
      </c>
      <c r="C3738" s="1" t="n">
        <v>45706</v>
      </c>
      <c r="D3738" t="inlineStr">
        <is>
          <t>UPPSALA LÄN</t>
        </is>
      </c>
      <c r="E3738" t="inlineStr">
        <is>
          <t>HEBY</t>
        </is>
      </c>
      <c r="F3738" t="inlineStr">
        <is>
          <t>Bergvik skog väst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19754-2023</t>
        </is>
      </c>
      <c r="B3739" s="1" t="n">
        <v>45050</v>
      </c>
      <c r="C3739" s="1" t="n">
        <v>45706</v>
      </c>
      <c r="D3739" t="inlineStr">
        <is>
          <t>UPPSALA LÄN</t>
        </is>
      </c>
      <c r="E3739" t="inlineStr">
        <is>
          <t>HEBY</t>
        </is>
      </c>
      <c r="F3739" t="inlineStr">
        <is>
          <t>Bergvik skog väst AB</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19737-2023</t>
        </is>
      </c>
      <c r="B3740" s="1" t="n">
        <v>45050</v>
      </c>
      <c r="C3740" s="1" t="n">
        <v>45706</v>
      </c>
      <c r="D3740" t="inlineStr">
        <is>
          <t>UPPSALA LÄN</t>
        </is>
      </c>
      <c r="E3740" t="inlineStr">
        <is>
          <t>HEBY</t>
        </is>
      </c>
      <c r="F3740" t="inlineStr">
        <is>
          <t>Bergvik skog väst AB</t>
        </is>
      </c>
      <c r="G3740" t="n">
        <v>10.4</v>
      </c>
      <c r="H3740" t="n">
        <v>0</v>
      </c>
      <c r="I3740" t="n">
        <v>0</v>
      </c>
      <c r="J3740" t="n">
        <v>0</v>
      </c>
      <c r="K3740" t="n">
        <v>0</v>
      </c>
      <c r="L3740" t="n">
        <v>0</v>
      </c>
      <c r="M3740" t="n">
        <v>0</v>
      </c>
      <c r="N3740" t="n">
        <v>0</v>
      </c>
      <c r="O3740" t="n">
        <v>0</v>
      </c>
      <c r="P3740" t="n">
        <v>0</v>
      </c>
      <c r="Q3740" t="n">
        <v>0</v>
      </c>
      <c r="R3740" s="2" t="inlineStr"/>
    </row>
    <row r="3741" ht="15" customHeight="1">
      <c r="A3741" t="inlineStr">
        <is>
          <t>A 19791-2023</t>
        </is>
      </c>
      <c r="B3741" s="1" t="n">
        <v>45051</v>
      </c>
      <c r="C3741" s="1" t="n">
        <v>45706</v>
      </c>
      <c r="D3741" t="inlineStr">
        <is>
          <t>UPPSALA LÄN</t>
        </is>
      </c>
      <c r="E3741" t="inlineStr">
        <is>
          <t>TIERP</t>
        </is>
      </c>
      <c r="G3741" t="n">
        <v>8.1</v>
      </c>
      <c r="H3741" t="n">
        <v>0</v>
      </c>
      <c r="I3741" t="n">
        <v>0</v>
      </c>
      <c r="J3741" t="n">
        <v>0</v>
      </c>
      <c r="K3741" t="n">
        <v>0</v>
      </c>
      <c r="L3741" t="n">
        <v>0</v>
      </c>
      <c r="M3741" t="n">
        <v>0</v>
      </c>
      <c r="N3741" t="n">
        <v>0</v>
      </c>
      <c r="O3741" t="n">
        <v>0</v>
      </c>
      <c r="P3741" t="n">
        <v>0</v>
      </c>
      <c r="Q3741" t="n">
        <v>0</v>
      </c>
      <c r="R3741" s="2" t="inlineStr"/>
    </row>
    <row r="3742" ht="15" customHeight="1">
      <c r="A3742" t="inlineStr">
        <is>
          <t>A 19784-2023</t>
        </is>
      </c>
      <c r="B3742" s="1" t="n">
        <v>45051</v>
      </c>
      <c r="C3742" s="1" t="n">
        <v>45706</v>
      </c>
      <c r="D3742" t="inlineStr">
        <is>
          <t>UPPSALA LÄN</t>
        </is>
      </c>
      <c r="E3742" t="inlineStr">
        <is>
          <t>ÖSTHAMMAR</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19801-2023</t>
        </is>
      </c>
      <c r="B3743" s="1" t="n">
        <v>45051</v>
      </c>
      <c r="C3743" s="1" t="n">
        <v>45706</v>
      </c>
      <c r="D3743" t="inlineStr">
        <is>
          <t>UPPSALA LÄN</t>
        </is>
      </c>
      <c r="E3743" t="inlineStr">
        <is>
          <t>ÖSTHAMMAR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19920-2023</t>
        </is>
      </c>
      <c r="B3744" s="1" t="n">
        <v>45054</v>
      </c>
      <c r="C3744" s="1" t="n">
        <v>45706</v>
      </c>
      <c r="D3744" t="inlineStr">
        <is>
          <t>UPPSALA LÄN</t>
        </is>
      </c>
      <c r="E3744" t="inlineStr">
        <is>
          <t>UPPSALA</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19968-2023</t>
        </is>
      </c>
      <c r="B3745" s="1" t="n">
        <v>45054</v>
      </c>
      <c r="C3745" s="1" t="n">
        <v>45706</v>
      </c>
      <c r="D3745" t="inlineStr">
        <is>
          <t>UPPSALA LÄN</t>
        </is>
      </c>
      <c r="E3745" t="inlineStr">
        <is>
          <t>ÖSTHAMMAR</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20038-2023</t>
        </is>
      </c>
      <c r="B3746" s="1" t="n">
        <v>45054</v>
      </c>
      <c r="C3746" s="1" t="n">
        <v>45706</v>
      </c>
      <c r="D3746" t="inlineStr">
        <is>
          <t>UPPSALA LÄN</t>
        </is>
      </c>
      <c r="E3746" t="inlineStr">
        <is>
          <t>ÖSTHAMMAR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20046-2023</t>
        </is>
      </c>
      <c r="B3747" s="1" t="n">
        <v>45054</v>
      </c>
      <c r="C3747" s="1" t="n">
        <v>45706</v>
      </c>
      <c r="D3747" t="inlineStr">
        <is>
          <t>UPPSALA LÄN</t>
        </is>
      </c>
      <c r="E3747" t="inlineStr">
        <is>
          <t>ÖSTHAMMAR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20087-2023</t>
        </is>
      </c>
      <c r="B3748" s="1" t="n">
        <v>45055</v>
      </c>
      <c r="C3748" s="1" t="n">
        <v>45706</v>
      </c>
      <c r="D3748" t="inlineStr">
        <is>
          <t>UPPSALA LÄN</t>
        </is>
      </c>
      <c r="E3748" t="inlineStr">
        <is>
          <t>UPPSALA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20102-2023</t>
        </is>
      </c>
      <c r="B3749" s="1" t="n">
        <v>45055</v>
      </c>
      <c r="C3749" s="1" t="n">
        <v>45706</v>
      </c>
      <c r="D3749" t="inlineStr">
        <is>
          <t>UPPSALA LÄN</t>
        </is>
      </c>
      <c r="E3749" t="inlineStr">
        <is>
          <t>UPPSALA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20029-2023</t>
        </is>
      </c>
      <c r="B3750" s="1" t="n">
        <v>45054</v>
      </c>
      <c r="C3750" s="1" t="n">
        <v>45706</v>
      </c>
      <c r="D3750" t="inlineStr">
        <is>
          <t>UPPSALA LÄN</t>
        </is>
      </c>
      <c r="E3750" t="inlineStr">
        <is>
          <t>ÖSTHAMMAR</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20431-2023</t>
        </is>
      </c>
      <c r="B3751" s="1" t="n">
        <v>45054</v>
      </c>
      <c r="C3751" s="1" t="n">
        <v>45706</v>
      </c>
      <c r="D3751" t="inlineStr">
        <is>
          <t>UPPSALA LÄN</t>
        </is>
      </c>
      <c r="E3751" t="inlineStr">
        <is>
          <t>ENKÖPING</t>
        </is>
      </c>
      <c r="F3751" t="inlineStr">
        <is>
          <t>Övriga statliga verk och myndigheter</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20105-2023</t>
        </is>
      </c>
      <c r="B3752" s="1" t="n">
        <v>45055</v>
      </c>
      <c r="C3752" s="1" t="n">
        <v>45706</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20179-2023</t>
        </is>
      </c>
      <c r="B3753" s="1" t="n">
        <v>45055</v>
      </c>
      <c r="C3753" s="1" t="n">
        <v>45706</v>
      </c>
      <c r="D3753" t="inlineStr">
        <is>
          <t>UPPSALA LÄN</t>
        </is>
      </c>
      <c r="E3753" t="inlineStr">
        <is>
          <t>ENKÖPING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20184-2023</t>
        </is>
      </c>
      <c r="B3754" s="1" t="n">
        <v>45055</v>
      </c>
      <c r="C3754" s="1" t="n">
        <v>45706</v>
      </c>
      <c r="D3754" t="inlineStr">
        <is>
          <t>UPPSALA LÄN</t>
        </is>
      </c>
      <c r="E3754" t="inlineStr">
        <is>
          <t>ENKÖPING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20188-2023</t>
        </is>
      </c>
      <c r="B3755" s="1" t="n">
        <v>45055</v>
      </c>
      <c r="C3755" s="1" t="n">
        <v>45706</v>
      </c>
      <c r="D3755" t="inlineStr">
        <is>
          <t>UPPSALA LÄN</t>
        </is>
      </c>
      <c r="E3755" t="inlineStr">
        <is>
          <t>ENKÖPING</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20201-2023</t>
        </is>
      </c>
      <c r="B3756" s="1" t="n">
        <v>45055</v>
      </c>
      <c r="C3756" s="1" t="n">
        <v>45706</v>
      </c>
      <c r="D3756" t="inlineStr">
        <is>
          <t>UPPSALA LÄN</t>
        </is>
      </c>
      <c r="E3756" t="inlineStr">
        <is>
          <t>ENKÖPING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20206-2023</t>
        </is>
      </c>
      <c r="B3757" s="1" t="n">
        <v>45055</v>
      </c>
      <c r="C3757" s="1" t="n">
        <v>45706</v>
      </c>
      <c r="D3757" t="inlineStr">
        <is>
          <t>UPPSALA LÄN</t>
        </is>
      </c>
      <c r="E3757" t="inlineStr">
        <is>
          <t>UPPSALA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20116-2023</t>
        </is>
      </c>
      <c r="B3758" s="1" t="n">
        <v>45055</v>
      </c>
      <c r="C3758" s="1" t="n">
        <v>45706</v>
      </c>
      <c r="D3758" t="inlineStr">
        <is>
          <t>UPPSALA LÄN</t>
        </is>
      </c>
      <c r="E3758" t="inlineStr">
        <is>
          <t>TIERP</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20181-2023</t>
        </is>
      </c>
      <c r="B3759" s="1" t="n">
        <v>45055</v>
      </c>
      <c r="C3759" s="1" t="n">
        <v>45706</v>
      </c>
      <c r="D3759" t="inlineStr">
        <is>
          <t>UPPSALA LÄN</t>
        </is>
      </c>
      <c r="E3759" t="inlineStr">
        <is>
          <t>ENKÖPING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20186-2023</t>
        </is>
      </c>
      <c r="B3760" s="1" t="n">
        <v>45055</v>
      </c>
      <c r="C3760" s="1" t="n">
        <v>45706</v>
      </c>
      <c r="D3760" t="inlineStr">
        <is>
          <t>UPPSALA LÄN</t>
        </is>
      </c>
      <c r="E3760" t="inlineStr">
        <is>
          <t>ENKÖPING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20199-2023</t>
        </is>
      </c>
      <c r="B3761" s="1" t="n">
        <v>45055</v>
      </c>
      <c r="C3761" s="1" t="n">
        <v>45706</v>
      </c>
      <c r="D3761" t="inlineStr">
        <is>
          <t>UPPSALA LÄN</t>
        </is>
      </c>
      <c r="E3761" t="inlineStr">
        <is>
          <t>ENKÖPING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20261-2023</t>
        </is>
      </c>
      <c r="B3762" s="1" t="n">
        <v>45055</v>
      </c>
      <c r="C3762" s="1" t="n">
        <v>45706</v>
      </c>
      <c r="D3762" t="inlineStr">
        <is>
          <t>UPPSALA LÄN</t>
        </is>
      </c>
      <c r="E3762" t="inlineStr">
        <is>
          <t>ENKÖPING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20438-2023</t>
        </is>
      </c>
      <c r="B3763" s="1" t="n">
        <v>45056</v>
      </c>
      <c r="C3763" s="1" t="n">
        <v>45706</v>
      </c>
      <c r="D3763" t="inlineStr">
        <is>
          <t>UPPSALA LÄN</t>
        </is>
      </c>
      <c r="E3763" t="inlineStr">
        <is>
          <t>UPPSALA</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20366-2023</t>
        </is>
      </c>
      <c r="B3764" s="1" t="n">
        <v>45056</v>
      </c>
      <c r="C3764" s="1" t="n">
        <v>45706</v>
      </c>
      <c r="D3764" t="inlineStr">
        <is>
          <t>UPPSALA LÄN</t>
        </is>
      </c>
      <c r="E3764" t="inlineStr">
        <is>
          <t>ÖSTHAMMAR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20440-2023</t>
        </is>
      </c>
      <c r="B3765" s="1" t="n">
        <v>45056</v>
      </c>
      <c r="C3765" s="1" t="n">
        <v>45706</v>
      </c>
      <c r="D3765" t="inlineStr">
        <is>
          <t>UPPSALA LÄN</t>
        </is>
      </c>
      <c r="E3765" t="inlineStr">
        <is>
          <t>UPPSALA</t>
        </is>
      </c>
      <c r="F3765" t="inlineStr">
        <is>
          <t>Holmen skog AB</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20396-2023</t>
        </is>
      </c>
      <c r="B3766" s="1" t="n">
        <v>45056</v>
      </c>
      <c r="C3766" s="1" t="n">
        <v>45706</v>
      </c>
      <c r="D3766" t="inlineStr">
        <is>
          <t>UPPSALA LÄN</t>
        </is>
      </c>
      <c r="E3766" t="inlineStr">
        <is>
          <t>ENKÖPING</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20845-2023</t>
        </is>
      </c>
      <c r="B3767" s="1" t="n">
        <v>45056</v>
      </c>
      <c r="C3767" s="1" t="n">
        <v>45706</v>
      </c>
      <c r="D3767" t="inlineStr">
        <is>
          <t>UPPSALA LÄN</t>
        </is>
      </c>
      <c r="E3767" t="inlineStr">
        <is>
          <t>ENKÖPING</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20437-2023</t>
        </is>
      </c>
      <c r="B3768" s="1" t="n">
        <v>45056</v>
      </c>
      <c r="C3768" s="1" t="n">
        <v>45706</v>
      </c>
      <c r="D3768" t="inlineStr">
        <is>
          <t>UPPSALA LÄN</t>
        </is>
      </c>
      <c r="E3768" t="inlineStr">
        <is>
          <t>UPPSALA</t>
        </is>
      </c>
      <c r="F3768" t="inlineStr">
        <is>
          <t>Holmen skog AB</t>
        </is>
      </c>
      <c r="G3768" t="n">
        <v>20.1</v>
      </c>
      <c r="H3768" t="n">
        <v>0</v>
      </c>
      <c r="I3768" t="n">
        <v>0</v>
      </c>
      <c r="J3768" t="n">
        <v>0</v>
      </c>
      <c r="K3768" t="n">
        <v>0</v>
      </c>
      <c r="L3768" t="n">
        <v>0</v>
      </c>
      <c r="M3768" t="n">
        <v>0</v>
      </c>
      <c r="N3768" t="n">
        <v>0</v>
      </c>
      <c r="O3768" t="n">
        <v>0</v>
      </c>
      <c r="P3768" t="n">
        <v>0</v>
      </c>
      <c r="Q3768" t="n">
        <v>0</v>
      </c>
      <c r="R3768" s="2" t="inlineStr"/>
    </row>
    <row r="3769" ht="15" customHeight="1">
      <c r="A3769" t="inlineStr">
        <is>
          <t>A 20508-2023</t>
        </is>
      </c>
      <c r="B3769" s="1" t="n">
        <v>45057</v>
      </c>
      <c r="C3769" s="1" t="n">
        <v>45706</v>
      </c>
      <c r="D3769" t="inlineStr">
        <is>
          <t>UPPSALA LÄN</t>
        </is>
      </c>
      <c r="E3769" t="inlineStr">
        <is>
          <t>TIERP</t>
        </is>
      </c>
      <c r="F3769" t="inlineStr">
        <is>
          <t>Bergvik skog öst AB</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20572-2023</t>
        </is>
      </c>
      <c r="B3770" s="1" t="n">
        <v>45057</v>
      </c>
      <c r="C3770" s="1" t="n">
        <v>45706</v>
      </c>
      <c r="D3770" t="inlineStr">
        <is>
          <t>UPPSALA LÄN</t>
        </is>
      </c>
      <c r="E3770" t="inlineStr">
        <is>
          <t>ÖSTHAMMAR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20495-2023</t>
        </is>
      </c>
      <c r="B3771" s="1" t="n">
        <v>45057</v>
      </c>
      <c r="C3771" s="1" t="n">
        <v>45706</v>
      </c>
      <c r="D3771" t="inlineStr">
        <is>
          <t>UPPSALA LÄN</t>
        </is>
      </c>
      <c r="E3771" t="inlineStr">
        <is>
          <t>TIERP</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20496-2023</t>
        </is>
      </c>
      <c r="B3772" s="1" t="n">
        <v>45057</v>
      </c>
      <c r="C3772" s="1" t="n">
        <v>45706</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20550-2023</t>
        </is>
      </c>
      <c r="B3773" s="1" t="n">
        <v>45057</v>
      </c>
      <c r="C3773" s="1" t="n">
        <v>45706</v>
      </c>
      <c r="D3773" t="inlineStr">
        <is>
          <t>UPPSALA LÄN</t>
        </is>
      </c>
      <c r="E3773" t="inlineStr">
        <is>
          <t>UPPSALA</t>
        </is>
      </c>
      <c r="F3773" t="inlineStr">
        <is>
          <t>Övriga Aktiebolag</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20657-2023</t>
        </is>
      </c>
      <c r="B3774" s="1" t="n">
        <v>45058</v>
      </c>
      <c r="C3774" s="1" t="n">
        <v>45706</v>
      </c>
      <c r="D3774" t="inlineStr">
        <is>
          <t>UPPSALA LÄN</t>
        </is>
      </c>
      <c r="E3774" t="inlineStr">
        <is>
          <t>ÖSTHAMMAR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20664-2023</t>
        </is>
      </c>
      <c r="B3775" s="1" t="n">
        <v>45058</v>
      </c>
      <c r="C3775" s="1" t="n">
        <v>45706</v>
      </c>
      <c r="D3775" t="inlineStr">
        <is>
          <t>UPPSALA LÄN</t>
        </is>
      </c>
      <c r="E3775" t="inlineStr">
        <is>
          <t>ÖSTHAMMAR</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20748-2023</t>
        </is>
      </c>
      <c r="B3776" s="1" t="n">
        <v>45058</v>
      </c>
      <c r="C3776" s="1" t="n">
        <v>45706</v>
      </c>
      <c r="D3776" t="inlineStr">
        <is>
          <t>UPPSALA LÄN</t>
        </is>
      </c>
      <c r="E3776" t="inlineStr">
        <is>
          <t>TIERP</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20670-2023</t>
        </is>
      </c>
      <c r="B3777" s="1" t="n">
        <v>45058</v>
      </c>
      <c r="C3777" s="1" t="n">
        <v>45706</v>
      </c>
      <c r="D3777" t="inlineStr">
        <is>
          <t>UPPSALA LÄN</t>
        </is>
      </c>
      <c r="E3777" t="inlineStr">
        <is>
          <t>UPPSALA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20680-2023</t>
        </is>
      </c>
      <c r="B3778" s="1" t="n">
        <v>45058</v>
      </c>
      <c r="C3778" s="1" t="n">
        <v>45706</v>
      </c>
      <c r="D3778" t="inlineStr">
        <is>
          <t>UPPSALA LÄN</t>
        </is>
      </c>
      <c r="E3778" t="inlineStr">
        <is>
          <t>ÖSTHAMMAR</t>
        </is>
      </c>
      <c r="F3778" t="inlineStr">
        <is>
          <t>Bergvik skog öst AB</t>
        </is>
      </c>
      <c r="G3778" t="n">
        <v>10.5</v>
      </c>
      <c r="H3778" t="n">
        <v>0</v>
      </c>
      <c r="I3778" t="n">
        <v>0</v>
      </c>
      <c r="J3778" t="n">
        <v>0</v>
      </c>
      <c r="K3778" t="n">
        <v>0</v>
      </c>
      <c r="L3778" t="n">
        <v>0</v>
      </c>
      <c r="M3778" t="n">
        <v>0</v>
      </c>
      <c r="N3778" t="n">
        <v>0</v>
      </c>
      <c r="O3778" t="n">
        <v>0</v>
      </c>
      <c r="P3778" t="n">
        <v>0</v>
      </c>
      <c r="Q3778" t="n">
        <v>0</v>
      </c>
      <c r="R3778" s="2" t="inlineStr"/>
    </row>
    <row r="3779" ht="15" customHeight="1">
      <c r="A3779" t="inlineStr">
        <is>
          <t>A 20692-2023</t>
        </is>
      </c>
      <c r="B3779" s="1" t="n">
        <v>45058</v>
      </c>
      <c r="C3779" s="1" t="n">
        <v>45706</v>
      </c>
      <c r="D3779" t="inlineStr">
        <is>
          <t>UPPSALA LÄN</t>
        </is>
      </c>
      <c r="E3779" t="inlineStr">
        <is>
          <t>UPPSALA</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20667-2023</t>
        </is>
      </c>
      <c r="B3780" s="1" t="n">
        <v>45058</v>
      </c>
      <c r="C3780" s="1" t="n">
        <v>45706</v>
      </c>
      <c r="D3780" t="inlineStr">
        <is>
          <t>UPPSALA LÄN</t>
        </is>
      </c>
      <c r="E3780" t="inlineStr">
        <is>
          <t>UPPSALA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20677-2023</t>
        </is>
      </c>
      <c r="B3781" s="1" t="n">
        <v>45058</v>
      </c>
      <c r="C3781" s="1" t="n">
        <v>45706</v>
      </c>
      <c r="D3781" t="inlineStr">
        <is>
          <t>UPPSALA LÄN</t>
        </is>
      </c>
      <c r="E3781" t="inlineStr">
        <is>
          <t>ÖSTHAMMAR</t>
        </is>
      </c>
      <c r="F3781" t="inlineStr">
        <is>
          <t>Bergvik skog öst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20750-2023</t>
        </is>
      </c>
      <c r="B3782" s="1" t="n">
        <v>45058</v>
      </c>
      <c r="C3782" s="1" t="n">
        <v>45706</v>
      </c>
      <c r="D3782" t="inlineStr">
        <is>
          <t>UPPSALA LÄN</t>
        </is>
      </c>
      <c r="E3782" t="inlineStr">
        <is>
          <t>TIERP</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20708-2023</t>
        </is>
      </c>
      <c r="B3783" s="1" t="n">
        <v>45058</v>
      </c>
      <c r="C3783" s="1" t="n">
        <v>45706</v>
      </c>
      <c r="D3783" t="inlineStr">
        <is>
          <t>UPPSALA LÄN</t>
        </is>
      </c>
      <c r="E3783" t="inlineStr">
        <is>
          <t>UPPSALA</t>
        </is>
      </c>
      <c r="F3783" t="inlineStr">
        <is>
          <t>Holmen skog AB</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20767-2023</t>
        </is>
      </c>
      <c r="B3784" s="1" t="n">
        <v>45058</v>
      </c>
      <c r="C3784" s="1" t="n">
        <v>45706</v>
      </c>
      <c r="D3784" t="inlineStr">
        <is>
          <t>UPPSALA LÄN</t>
        </is>
      </c>
      <c r="E3784" t="inlineStr">
        <is>
          <t>TIERP</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20669-2023</t>
        </is>
      </c>
      <c r="B3785" s="1" t="n">
        <v>45058</v>
      </c>
      <c r="C3785" s="1" t="n">
        <v>45706</v>
      </c>
      <c r="D3785" t="inlineStr">
        <is>
          <t>UPPSALA LÄN</t>
        </is>
      </c>
      <c r="E3785" t="inlineStr">
        <is>
          <t>UPPSALA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20786-2023</t>
        </is>
      </c>
      <c r="B3786" s="1" t="n">
        <v>45058</v>
      </c>
      <c r="C3786" s="1" t="n">
        <v>45706</v>
      </c>
      <c r="D3786" t="inlineStr">
        <is>
          <t>UPPSALA LÄN</t>
        </is>
      </c>
      <c r="E3786" t="inlineStr">
        <is>
          <t>UPPSALA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21310-2023</t>
        </is>
      </c>
      <c r="B3787" s="1" t="n">
        <v>45058</v>
      </c>
      <c r="C3787" s="1" t="n">
        <v>45706</v>
      </c>
      <c r="D3787" t="inlineStr">
        <is>
          <t>UPPSALA LÄN</t>
        </is>
      </c>
      <c r="E3787" t="inlineStr">
        <is>
          <t>HEBY</t>
        </is>
      </c>
      <c r="F3787" t="inlineStr">
        <is>
          <t>Bergvik skog väst AB</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21313-2023</t>
        </is>
      </c>
      <c r="B3788" s="1" t="n">
        <v>45058</v>
      </c>
      <c r="C3788" s="1" t="n">
        <v>45706</v>
      </c>
      <c r="D3788" t="inlineStr">
        <is>
          <t>UPPSALA LÄN</t>
        </is>
      </c>
      <c r="E3788" t="inlineStr">
        <is>
          <t>HEBY</t>
        </is>
      </c>
      <c r="F3788" t="inlineStr">
        <is>
          <t>Bergvik skog väst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21293-2023</t>
        </is>
      </c>
      <c r="B3789" s="1" t="n">
        <v>45058</v>
      </c>
      <c r="C3789" s="1" t="n">
        <v>45706</v>
      </c>
      <c r="D3789" t="inlineStr">
        <is>
          <t>UPPSALA LÄN</t>
        </is>
      </c>
      <c r="E3789" t="inlineStr">
        <is>
          <t>HEBY</t>
        </is>
      </c>
      <c r="F3789" t="inlineStr">
        <is>
          <t>Bergvik skog väst AB</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21302-2023</t>
        </is>
      </c>
      <c r="B3790" s="1" t="n">
        <v>45058</v>
      </c>
      <c r="C3790" s="1" t="n">
        <v>45706</v>
      </c>
      <c r="D3790" t="inlineStr">
        <is>
          <t>UPPSALA LÄN</t>
        </is>
      </c>
      <c r="E3790" t="inlineStr">
        <is>
          <t>HEBY</t>
        </is>
      </c>
      <c r="F3790" t="inlineStr">
        <is>
          <t>Bergvik skog väst AB</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20897-2023</t>
        </is>
      </c>
      <c r="B3791" s="1" t="n">
        <v>45059</v>
      </c>
      <c r="C3791" s="1" t="n">
        <v>45706</v>
      </c>
      <c r="D3791" t="inlineStr">
        <is>
          <t>UPPSALA LÄN</t>
        </is>
      </c>
      <c r="E3791" t="inlineStr">
        <is>
          <t>ENKÖPING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20900-2023</t>
        </is>
      </c>
      <c r="B3792" s="1" t="n">
        <v>45060</v>
      </c>
      <c r="C3792" s="1" t="n">
        <v>45706</v>
      </c>
      <c r="D3792" t="inlineStr">
        <is>
          <t>UPPSALA LÄN</t>
        </is>
      </c>
      <c r="E3792" t="inlineStr">
        <is>
          <t>UPPSALA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21020-2023</t>
        </is>
      </c>
      <c r="B3793" s="1" t="n">
        <v>45061</v>
      </c>
      <c r="C3793" s="1" t="n">
        <v>45706</v>
      </c>
      <c r="D3793" t="inlineStr">
        <is>
          <t>UPPSALA LÄN</t>
        </is>
      </c>
      <c r="E3793" t="inlineStr">
        <is>
          <t>ENKÖPING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21051-2023</t>
        </is>
      </c>
      <c r="B3794" s="1" t="n">
        <v>45061</v>
      </c>
      <c r="C3794" s="1" t="n">
        <v>45706</v>
      </c>
      <c r="D3794" t="inlineStr">
        <is>
          <t>UPPSALA LÄN</t>
        </is>
      </c>
      <c r="E3794" t="inlineStr">
        <is>
          <t>TIERP</t>
        </is>
      </c>
      <c r="F3794" t="inlineStr">
        <is>
          <t>Bergvik skog öst AB</t>
        </is>
      </c>
      <c r="G3794" t="n">
        <v>40.2</v>
      </c>
      <c r="H3794" t="n">
        <v>0</v>
      </c>
      <c r="I3794" t="n">
        <v>0</v>
      </c>
      <c r="J3794" t="n">
        <v>0</v>
      </c>
      <c r="K3794" t="n">
        <v>0</v>
      </c>
      <c r="L3794" t="n">
        <v>0</v>
      </c>
      <c r="M3794" t="n">
        <v>0</v>
      </c>
      <c r="N3794" t="n">
        <v>0</v>
      </c>
      <c r="O3794" t="n">
        <v>0</v>
      </c>
      <c r="P3794" t="n">
        <v>0</v>
      </c>
      <c r="Q3794" t="n">
        <v>0</v>
      </c>
      <c r="R3794" s="2" t="inlineStr"/>
    </row>
    <row r="3795" ht="15" customHeight="1">
      <c r="A3795" t="inlineStr">
        <is>
          <t>A 21052-2023</t>
        </is>
      </c>
      <c r="B3795" s="1" t="n">
        <v>45061</v>
      </c>
      <c r="C3795" s="1" t="n">
        <v>45706</v>
      </c>
      <c r="D3795" t="inlineStr">
        <is>
          <t>UPPSALA LÄN</t>
        </is>
      </c>
      <c r="E3795" t="inlineStr">
        <is>
          <t>UPPSALA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21017-2023</t>
        </is>
      </c>
      <c r="B3796" s="1" t="n">
        <v>45061</v>
      </c>
      <c r="C3796" s="1" t="n">
        <v>45706</v>
      </c>
      <c r="D3796" t="inlineStr">
        <is>
          <t>UPPSALA LÄN</t>
        </is>
      </c>
      <c r="E3796" t="inlineStr">
        <is>
          <t>ENKÖPING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21053-2023</t>
        </is>
      </c>
      <c r="B3797" s="1" t="n">
        <v>45061</v>
      </c>
      <c r="C3797" s="1" t="n">
        <v>45706</v>
      </c>
      <c r="D3797" t="inlineStr">
        <is>
          <t>UPPSALA LÄN</t>
        </is>
      </c>
      <c r="E3797" t="inlineStr">
        <is>
          <t>TIERP</t>
        </is>
      </c>
      <c r="F3797" t="inlineStr">
        <is>
          <t>Bergvik skog öst AB</t>
        </is>
      </c>
      <c r="G3797" t="n">
        <v>13.4</v>
      </c>
      <c r="H3797" t="n">
        <v>0</v>
      </c>
      <c r="I3797" t="n">
        <v>0</v>
      </c>
      <c r="J3797" t="n">
        <v>0</v>
      </c>
      <c r="K3797" t="n">
        <v>0</v>
      </c>
      <c r="L3797" t="n">
        <v>0</v>
      </c>
      <c r="M3797" t="n">
        <v>0</v>
      </c>
      <c r="N3797" t="n">
        <v>0</v>
      </c>
      <c r="O3797" t="n">
        <v>0</v>
      </c>
      <c r="P3797" t="n">
        <v>0</v>
      </c>
      <c r="Q3797" t="n">
        <v>0</v>
      </c>
      <c r="R3797" s="2" t="inlineStr"/>
    </row>
    <row r="3798" ht="15" customHeight="1">
      <c r="A3798" t="inlineStr">
        <is>
          <t>A 21170-2023</t>
        </is>
      </c>
      <c r="B3798" s="1" t="n">
        <v>45062</v>
      </c>
      <c r="C3798" s="1" t="n">
        <v>45706</v>
      </c>
      <c r="D3798" t="inlineStr">
        <is>
          <t>UPPSALA LÄN</t>
        </is>
      </c>
      <c r="E3798" t="inlineStr">
        <is>
          <t>TIERP</t>
        </is>
      </c>
      <c r="F3798" t="inlineStr">
        <is>
          <t>Bergvik skog öst AB</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21193-2023</t>
        </is>
      </c>
      <c r="B3799" s="1" t="n">
        <v>45062</v>
      </c>
      <c r="C3799" s="1" t="n">
        <v>45706</v>
      </c>
      <c r="D3799" t="inlineStr">
        <is>
          <t>UPPSALA LÄN</t>
        </is>
      </c>
      <c r="E3799" t="inlineStr">
        <is>
          <t>HEBY</t>
        </is>
      </c>
      <c r="G3799" t="n">
        <v>10.6</v>
      </c>
      <c r="H3799" t="n">
        <v>0</v>
      </c>
      <c r="I3799" t="n">
        <v>0</v>
      </c>
      <c r="J3799" t="n">
        <v>0</v>
      </c>
      <c r="K3799" t="n">
        <v>0</v>
      </c>
      <c r="L3799" t="n">
        <v>0</v>
      </c>
      <c r="M3799" t="n">
        <v>0</v>
      </c>
      <c r="N3799" t="n">
        <v>0</v>
      </c>
      <c r="O3799" t="n">
        <v>0</v>
      </c>
      <c r="P3799" t="n">
        <v>0</v>
      </c>
      <c r="Q3799" t="n">
        <v>0</v>
      </c>
      <c r="R3799" s="2" t="inlineStr"/>
    </row>
    <row r="3800" ht="15" customHeight="1">
      <c r="A3800" t="inlineStr">
        <is>
          <t>A 21143-2023</t>
        </is>
      </c>
      <c r="B3800" s="1" t="n">
        <v>45062</v>
      </c>
      <c r="C3800" s="1" t="n">
        <v>45706</v>
      </c>
      <c r="D3800" t="inlineStr">
        <is>
          <t>UPPSALA LÄN</t>
        </is>
      </c>
      <c r="E3800" t="inlineStr">
        <is>
          <t>HEBY</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21520-2023</t>
        </is>
      </c>
      <c r="B3801" s="1" t="n">
        <v>45063</v>
      </c>
      <c r="C3801" s="1" t="n">
        <v>45706</v>
      </c>
      <c r="D3801" t="inlineStr">
        <is>
          <t>UPPSALA LÄN</t>
        </is>
      </c>
      <c r="E3801" t="inlineStr">
        <is>
          <t>ÄLVKARLEBY</t>
        </is>
      </c>
      <c r="F3801" t="inlineStr">
        <is>
          <t>Bergvik skog väst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21416-2023</t>
        </is>
      </c>
      <c r="B3802" s="1" t="n">
        <v>45063</v>
      </c>
      <c r="C3802" s="1" t="n">
        <v>45706</v>
      </c>
      <c r="D3802" t="inlineStr">
        <is>
          <t>UPPSALA LÄN</t>
        </is>
      </c>
      <c r="E3802" t="inlineStr">
        <is>
          <t>UPPSALA</t>
        </is>
      </c>
      <c r="G3802" t="n">
        <v>13.9</v>
      </c>
      <c r="H3802" t="n">
        <v>0</v>
      </c>
      <c r="I3802" t="n">
        <v>0</v>
      </c>
      <c r="J3802" t="n">
        <v>0</v>
      </c>
      <c r="K3802" t="n">
        <v>0</v>
      </c>
      <c r="L3802" t="n">
        <v>0</v>
      </c>
      <c r="M3802" t="n">
        <v>0</v>
      </c>
      <c r="N3802" t="n">
        <v>0</v>
      </c>
      <c r="O3802" t="n">
        <v>0</v>
      </c>
      <c r="P3802" t="n">
        <v>0</v>
      </c>
      <c r="Q3802" t="n">
        <v>0</v>
      </c>
      <c r="R3802" s="2" t="inlineStr"/>
    </row>
    <row r="3803" ht="15" customHeight="1">
      <c r="A3803" t="inlineStr">
        <is>
          <t>A 21478-2023</t>
        </is>
      </c>
      <c r="B3803" s="1" t="n">
        <v>45063</v>
      </c>
      <c r="C3803" s="1" t="n">
        <v>45706</v>
      </c>
      <c r="D3803" t="inlineStr">
        <is>
          <t>UPPSALA LÄN</t>
        </is>
      </c>
      <c r="E3803" t="inlineStr">
        <is>
          <t>ÖSTHAMMAR</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21424-2023</t>
        </is>
      </c>
      <c r="B3804" s="1" t="n">
        <v>45063</v>
      </c>
      <c r="C3804" s="1" t="n">
        <v>45706</v>
      </c>
      <c r="D3804" t="inlineStr">
        <is>
          <t>UPPSALA LÄN</t>
        </is>
      </c>
      <c r="E3804" t="inlineStr">
        <is>
          <t>UPPSALA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21547-2023</t>
        </is>
      </c>
      <c r="B3805" s="1" t="n">
        <v>45063</v>
      </c>
      <c r="C3805" s="1" t="n">
        <v>45706</v>
      </c>
      <c r="D3805" t="inlineStr">
        <is>
          <t>UPPSALA LÄN</t>
        </is>
      </c>
      <c r="E3805" t="inlineStr">
        <is>
          <t>TIERP</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21550-2023</t>
        </is>
      </c>
      <c r="B3806" s="1" t="n">
        <v>45063</v>
      </c>
      <c r="C3806" s="1" t="n">
        <v>45706</v>
      </c>
      <c r="D3806" t="inlineStr">
        <is>
          <t>UPPSALA LÄN</t>
        </is>
      </c>
      <c r="E3806" t="inlineStr">
        <is>
          <t>TIERP</t>
        </is>
      </c>
      <c r="F3806" t="inlineStr">
        <is>
          <t>Bergvik skog väst AB</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21615-2023</t>
        </is>
      </c>
      <c r="B3807" s="1" t="n">
        <v>45063</v>
      </c>
      <c r="C3807" s="1" t="n">
        <v>45706</v>
      </c>
      <c r="D3807" t="inlineStr">
        <is>
          <t>UPPSALA LÄN</t>
        </is>
      </c>
      <c r="E3807" t="inlineStr">
        <is>
          <t>ÖSTHAMMAR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21620-2023</t>
        </is>
      </c>
      <c r="B3808" s="1" t="n">
        <v>45063</v>
      </c>
      <c r="C3808" s="1" t="n">
        <v>45706</v>
      </c>
      <c r="D3808" t="inlineStr">
        <is>
          <t>UPPSALA LÄN</t>
        </is>
      </c>
      <c r="E3808" t="inlineStr">
        <is>
          <t>ENKÖPING</t>
        </is>
      </c>
      <c r="F3808" t="inlineStr">
        <is>
          <t>Allmännings- och besparingsskogar</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21612-2023</t>
        </is>
      </c>
      <c r="B3809" s="1" t="n">
        <v>45063</v>
      </c>
      <c r="C3809" s="1" t="n">
        <v>45706</v>
      </c>
      <c r="D3809" t="inlineStr">
        <is>
          <t>UPPSALA LÄN</t>
        </is>
      </c>
      <c r="E3809" t="inlineStr">
        <is>
          <t>ENKÖPING</t>
        </is>
      </c>
      <c r="F3809" t="inlineStr">
        <is>
          <t>Allmännings- och besparingsskogar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21624-2023</t>
        </is>
      </c>
      <c r="B3810" s="1" t="n">
        <v>45063</v>
      </c>
      <c r="C3810" s="1" t="n">
        <v>45706</v>
      </c>
      <c r="D3810" t="inlineStr">
        <is>
          <t>UPPSALA LÄN</t>
        </is>
      </c>
      <c r="E3810" t="inlineStr">
        <is>
          <t>ÖSTHAMMAR</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21727-2023</t>
        </is>
      </c>
      <c r="B3811" s="1" t="n">
        <v>45065</v>
      </c>
      <c r="C3811" s="1" t="n">
        <v>45706</v>
      </c>
      <c r="D3811" t="inlineStr">
        <is>
          <t>UPPSALA LÄN</t>
        </is>
      </c>
      <c r="E3811" t="inlineStr">
        <is>
          <t>UPPSALA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22090-2023</t>
        </is>
      </c>
      <c r="B3812" s="1" t="n">
        <v>45065</v>
      </c>
      <c r="C3812" s="1" t="n">
        <v>45706</v>
      </c>
      <c r="D3812" t="inlineStr">
        <is>
          <t>UPPSALA LÄN</t>
        </is>
      </c>
      <c r="E3812" t="inlineStr">
        <is>
          <t>HEBY</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21935-2023</t>
        </is>
      </c>
      <c r="B3813" s="1" t="n">
        <v>45068</v>
      </c>
      <c r="C3813" s="1" t="n">
        <v>45706</v>
      </c>
      <c r="D3813" t="inlineStr">
        <is>
          <t>UPPSALA LÄN</t>
        </is>
      </c>
      <c r="E3813" t="inlineStr">
        <is>
          <t>UPPSALA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21882-2023</t>
        </is>
      </c>
      <c r="B3814" s="1" t="n">
        <v>45068</v>
      </c>
      <c r="C3814" s="1" t="n">
        <v>45706</v>
      </c>
      <c r="D3814" t="inlineStr">
        <is>
          <t>UPPSALA LÄN</t>
        </is>
      </c>
      <c r="E3814" t="inlineStr">
        <is>
          <t>HEBY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21862-2023</t>
        </is>
      </c>
      <c r="B3815" s="1" t="n">
        <v>45068</v>
      </c>
      <c r="C3815" s="1" t="n">
        <v>45706</v>
      </c>
      <c r="D3815" t="inlineStr">
        <is>
          <t>UPPSALA LÄN</t>
        </is>
      </c>
      <c r="E3815" t="inlineStr">
        <is>
          <t>ÖSTHAMMAR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22166-2023</t>
        </is>
      </c>
      <c r="B3816" s="1" t="n">
        <v>45068</v>
      </c>
      <c r="C3816" s="1" t="n">
        <v>45706</v>
      </c>
      <c r="D3816" t="inlineStr">
        <is>
          <t>UPPSALA LÄN</t>
        </is>
      </c>
      <c r="E3816" t="inlineStr">
        <is>
          <t>HEBY</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22094-2023</t>
        </is>
      </c>
      <c r="B3817" s="1" t="n">
        <v>45069</v>
      </c>
      <c r="C3817" s="1" t="n">
        <v>45706</v>
      </c>
      <c r="D3817" t="inlineStr">
        <is>
          <t>UPPSALA LÄN</t>
        </is>
      </c>
      <c r="E3817" t="inlineStr">
        <is>
          <t>ENKÖPING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22321-2023</t>
        </is>
      </c>
      <c r="B3818" s="1" t="n">
        <v>45070</v>
      </c>
      <c r="C3818" s="1" t="n">
        <v>45706</v>
      </c>
      <c r="D3818" t="inlineStr">
        <is>
          <t>UPPSALA LÄN</t>
        </is>
      </c>
      <c r="E3818" t="inlineStr">
        <is>
          <t>TIERP</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22405-2023</t>
        </is>
      </c>
      <c r="B3819" s="1" t="n">
        <v>45070</v>
      </c>
      <c r="C3819" s="1" t="n">
        <v>45706</v>
      </c>
      <c r="D3819" t="inlineStr">
        <is>
          <t>UPPSALA LÄN</t>
        </is>
      </c>
      <c r="E3819" t="inlineStr">
        <is>
          <t>ÖSTHAMMAR</t>
        </is>
      </c>
      <c r="F3819" t="inlineStr">
        <is>
          <t>Bergvik skog öst AB</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22450-2023</t>
        </is>
      </c>
      <c r="B3820" s="1" t="n">
        <v>45070</v>
      </c>
      <c r="C3820" s="1" t="n">
        <v>45706</v>
      </c>
      <c r="D3820" t="inlineStr">
        <is>
          <t>UPPSALA LÄN</t>
        </is>
      </c>
      <c r="E3820" t="inlineStr">
        <is>
          <t>UPPSALA</t>
        </is>
      </c>
      <c r="F3820" t="inlineStr">
        <is>
          <t>Allmännings- och besparingsskogar</t>
        </is>
      </c>
      <c r="G3820" t="n">
        <v>10</v>
      </c>
      <c r="H3820" t="n">
        <v>0</v>
      </c>
      <c r="I3820" t="n">
        <v>0</v>
      </c>
      <c r="J3820" t="n">
        <v>0</v>
      </c>
      <c r="K3820" t="n">
        <v>0</v>
      </c>
      <c r="L3820" t="n">
        <v>0</v>
      </c>
      <c r="M3820" t="n">
        <v>0</v>
      </c>
      <c r="N3820" t="n">
        <v>0</v>
      </c>
      <c r="O3820" t="n">
        <v>0</v>
      </c>
      <c r="P3820" t="n">
        <v>0</v>
      </c>
      <c r="Q3820" t="n">
        <v>0</v>
      </c>
      <c r="R3820" s="2" t="inlineStr"/>
    </row>
    <row r="3821" ht="15" customHeight="1">
      <c r="A3821" t="inlineStr">
        <is>
          <t>A 22413-2023</t>
        </is>
      </c>
      <c r="B3821" s="1" t="n">
        <v>45070</v>
      </c>
      <c r="C3821" s="1" t="n">
        <v>45706</v>
      </c>
      <c r="D3821" t="inlineStr">
        <is>
          <t>UPPSALA LÄN</t>
        </is>
      </c>
      <c r="E3821" t="inlineStr">
        <is>
          <t>ÖSTHAMMAR</t>
        </is>
      </c>
      <c r="F3821" t="inlineStr">
        <is>
          <t>Bergvik skog öst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22322-2023</t>
        </is>
      </c>
      <c r="B3822" s="1" t="n">
        <v>45070</v>
      </c>
      <c r="C3822" s="1" t="n">
        <v>45706</v>
      </c>
      <c r="D3822" t="inlineStr">
        <is>
          <t>UPPSALA LÄN</t>
        </is>
      </c>
      <c r="E3822" t="inlineStr">
        <is>
          <t>ÖSTHAMMAR</t>
        </is>
      </c>
      <c r="F3822" t="inlineStr">
        <is>
          <t>Bergvik skog öst AB</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22486-2023</t>
        </is>
      </c>
      <c r="B3823" s="1" t="n">
        <v>45071</v>
      </c>
      <c r="C3823" s="1" t="n">
        <v>45706</v>
      </c>
      <c r="D3823" t="inlineStr">
        <is>
          <t>UPPSALA LÄN</t>
        </is>
      </c>
      <c r="E3823" t="inlineStr">
        <is>
          <t>HEBY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22519-2023</t>
        </is>
      </c>
      <c r="B3824" s="1" t="n">
        <v>45071</v>
      </c>
      <c r="C3824" s="1" t="n">
        <v>45706</v>
      </c>
      <c r="D3824" t="inlineStr">
        <is>
          <t>UPPSALA LÄN</t>
        </is>
      </c>
      <c r="E3824" t="inlineStr">
        <is>
          <t>HEBY</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22549-2023</t>
        </is>
      </c>
      <c r="B3825" s="1" t="n">
        <v>45071</v>
      </c>
      <c r="C3825" s="1" t="n">
        <v>45706</v>
      </c>
      <c r="D3825" t="inlineStr">
        <is>
          <t>UPPSALA LÄN</t>
        </is>
      </c>
      <c r="E3825" t="inlineStr">
        <is>
          <t>HEBY</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22545-2023</t>
        </is>
      </c>
      <c r="B3826" s="1" t="n">
        <v>45071</v>
      </c>
      <c r="C3826" s="1" t="n">
        <v>45706</v>
      </c>
      <c r="D3826" t="inlineStr">
        <is>
          <t>UPPSALA LÄN</t>
        </is>
      </c>
      <c r="E3826" t="inlineStr">
        <is>
          <t>HEBY</t>
        </is>
      </c>
      <c r="G3826" t="n">
        <v>19.3</v>
      </c>
      <c r="H3826" t="n">
        <v>0</v>
      </c>
      <c r="I3826" t="n">
        <v>0</v>
      </c>
      <c r="J3826" t="n">
        <v>0</v>
      </c>
      <c r="K3826" t="n">
        <v>0</v>
      </c>
      <c r="L3826" t="n">
        <v>0</v>
      </c>
      <c r="M3826" t="n">
        <v>0</v>
      </c>
      <c r="N3826" t="n">
        <v>0</v>
      </c>
      <c r="O3826" t="n">
        <v>0</v>
      </c>
      <c r="P3826" t="n">
        <v>0</v>
      </c>
      <c r="Q3826" t="n">
        <v>0</v>
      </c>
      <c r="R3826" s="2" t="inlineStr"/>
    </row>
    <row r="3827" ht="15" customHeight="1">
      <c r="A3827" t="inlineStr">
        <is>
          <t>A 22672-2023</t>
        </is>
      </c>
      <c r="B3827" s="1" t="n">
        <v>45071</v>
      </c>
      <c r="C3827" s="1" t="n">
        <v>45706</v>
      </c>
      <c r="D3827" t="inlineStr">
        <is>
          <t>UPPSALA LÄN</t>
        </is>
      </c>
      <c r="E3827" t="inlineStr">
        <is>
          <t>TIERP</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22701-2023</t>
        </is>
      </c>
      <c r="B3828" s="1" t="n">
        <v>45071</v>
      </c>
      <c r="C3828" s="1" t="n">
        <v>45706</v>
      </c>
      <c r="D3828" t="inlineStr">
        <is>
          <t>UPPSALA LÄN</t>
        </is>
      </c>
      <c r="E3828" t="inlineStr">
        <is>
          <t>ÖSTHAMMAR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22794-2023</t>
        </is>
      </c>
      <c r="B3829" s="1" t="n">
        <v>45072</v>
      </c>
      <c r="C3829" s="1" t="n">
        <v>45706</v>
      </c>
      <c r="D3829" t="inlineStr">
        <is>
          <t>UPPSALA LÄN</t>
        </is>
      </c>
      <c r="E3829" t="inlineStr">
        <is>
          <t>ÖSTHAMMAR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22798-2023</t>
        </is>
      </c>
      <c r="B3830" s="1" t="n">
        <v>45072</v>
      </c>
      <c r="C3830" s="1" t="n">
        <v>45706</v>
      </c>
      <c r="D3830" t="inlineStr">
        <is>
          <t>UPPSALA LÄN</t>
        </is>
      </c>
      <c r="E3830" t="inlineStr">
        <is>
          <t>ÖSTHAMMAR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22796-2023</t>
        </is>
      </c>
      <c r="B3831" s="1" t="n">
        <v>45072</v>
      </c>
      <c r="C3831" s="1" t="n">
        <v>45706</v>
      </c>
      <c r="D3831" t="inlineStr">
        <is>
          <t>UPPSALA LÄN</t>
        </is>
      </c>
      <c r="E3831" t="inlineStr">
        <is>
          <t>ÖSTHAMMAR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22901-2023</t>
        </is>
      </c>
      <c r="B3832" s="1" t="n">
        <v>45072</v>
      </c>
      <c r="C3832" s="1" t="n">
        <v>45706</v>
      </c>
      <c r="D3832" t="inlineStr">
        <is>
          <t>UPPSALA LÄN</t>
        </is>
      </c>
      <c r="E3832" t="inlineStr">
        <is>
          <t>TIERP</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23065-2023</t>
        </is>
      </c>
      <c r="B3833" s="1" t="n">
        <v>45075</v>
      </c>
      <c r="C3833" s="1" t="n">
        <v>45706</v>
      </c>
      <c r="D3833" t="inlineStr">
        <is>
          <t>UPPSALA LÄN</t>
        </is>
      </c>
      <c r="E3833" t="inlineStr">
        <is>
          <t>HEBY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23083-2023</t>
        </is>
      </c>
      <c r="B3834" s="1" t="n">
        <v>45075</v>
      </c>
      <c r="C3834" s="1" t="n">
        <v>45706</v>
      </c>
      <c r="D3834" t="inlineStr">
        <is>
          <t>UPPSALA LÄN</t>
        </is>
      </c>
      <c r="E3834" t="inlineStr">
        <is>
          <t>ÖSTHAMMAR</t>
        </is>
      </c>
      <c r="F3834" t="inlineStr">
        <is>
          <t>Sveaskog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23064-2023</t>
        </is>
      </c>
      <c r="B3835" s="1" t="n">
        <v>45075</v>
      </c>
      <c r="C3835" s="1" t="n">
        <v>45706</v>
      </c>
      <c r="D3835" t="inlineStr">
        <is>
          <t>UPPSALA LÄN</t>
        </is>
      </c>
      <c r="E3835" t="inlineStr">
        <is>
          <t>ÖSTHAMMAR</t>
        </is>
      </c>
      <c r="F3835" t="inlineStr">
        <is>
          <t>Kyrkan</t>
        </is>
      </c>
      <c r="G3835" t="n">
        <v>16.6</v>
      </c>
      <c r="H3835" t="n">
        <v>0</v>
      </c>
      <c r="I3835" t="n">
        <v>0</v>
      </c>
      <c r="J3835" t="n">
        <v>0</v>
      </c>
      <c r="K3835" t="n">
        <v>0</v>
      </c>
      <c r="L3835" t="n">
        <v>0</v>
      </c>
      <c r="M3835" t="n">
        <v>0</v>
      </c>
      <c r="N3835" t="n">
        <v>0</v>
      </c>
      <c r="O3835" t="n">
        <v>0</v>
      </c>
      <c r="P3835" t="n">
        <v>0</v>
      </c>
      <c r="Q3835" t="n">
        <v>0</v>
      </c>
      <c r="R3835" s="2" t="inlineStr"/>
    </row>
    <row r="3836" ht="15" customHeight="1">
      <c r="A3836" t="inlineStr">
        <is>
          <t>A 23042-2023</t>
        </is>
      </c>
      <c r="B3836" s="1" t="n">
        <v>45075</v>
      </c>
      <c r="C3836" s="1" t="n">
        <v>45706</v>
      </c>
      <c r="D3836" t="inlineStr">
        <is>
          <t>UPPSALA LÄN</t>
        </is>
      </c>
      <c r="E3836" t="inlineStr">
        <is>
          <t>KNIVSTA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23164-2023</t>
        </is>
      </c>
      <c r="B3837" s="1" t="n">
        <v>45075</v>
      </c>
      <c r="C3837" s="1" t="n">
        <v>45706</v>
      </c>
      <c r="D3837" t="inlineStr">
        <is>
          <t>UPPSALA LÄN</t>
        </is>
      </c>
      <c r="E3837" t="inlineStr">
        <is>
          <t>TIERP</t>
        </is>
      </c>
      <c r="F3837" t="inlineStr">
        <is>
          <t>Bergvik skog öst AB</t>
        </is>
      </c>
      <c r="G3837" t="n">
        <v>16.5</v>
      </c>
      <c r="H3837" t="n">
        <v>0</v>
      </c>
      <c r="I3837" t="n">
        <v>0</v>
      </c>
      <c r="J3837" t="n">
        <v>0</v>
      </c>
      <c r="K3837" t="n">
        <v>0</v>
      </c>
      <c r="L3837" t="n">
        <v>0</v>
      </c>
      <c r="M3837" t="n">
        <v>0</v>
      </c>
      <c r="N3837" t="n">
        <v>0</v>
      </c>
      <c r="O3837" t="n">
        <v>0</v>
      </c>
      <c r="P3837" t="n">
        <v>0</v>
      </c>
      <c r="Q3837" t="n">
        <v>0</v>
      </c>
      <c r="R3837" s="2" t="inlineStr"/>
    </row>
    <row r="3838" ht="15" customHeight="1">
      <c r="A3838" t="inlineStr">
        <is>
          <t>A 23197-2023</t>
        </is>
      </c>
      <c r="B3838" s="1" t="n">
        <v>45075</v>
      </c>
      <c r="C3838" s="1" t="n">
        <v>45706</v>
      </c>
      <c r="D3838" t="inlineStr">
        <is>
          <t>UPPSALA LÄN</t>
        </is>
      </c>
      <c r="E3838" t="inlineStr">
        <is>
          <t>ÖSTHAMMAR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23142-2023</t>
        </is>
      </c>
      <c r="B3839" s="1" t="n">
        <v>45075</v>
      </c>
      <c r="C3839" s="1" t="n">
        <v>45706</v>
      </c>
      <c r="D3839" t="inlineStr">
        <is>
          <t>UPPSALA LÄN</t>
        </is>
      </c>
      <c r="E3839" t="inlineStr">
        <is>
          <t>ÖSTHAMMAR</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23154-2023</t>
        </is>
      </c>
      <c r="B3840" s="1" t="n">
        <v>45075</v>
      </c>
      <c r="C3840" s="1" t="n">
        <v>45706</v>
      </c>
      <c r="D3840" t="inlineStr">
        <is>
          <t>UPPSALA LÄN</t>
        </is>
      </c>
      <c r="E3840" t="inlineStr">
        <is>
          <t>TIERP</t>
        </is>
      </c>
      <c r="F3840" t="inlineStr">
        <is>
          <t>Kyrkan</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23059-2023</t>
        </is>
      </c>
      <c r="B3841" s="1" t="n">
        <v>45075</v>
      </c>
      <c r="C3841" s="1" t="n">
        <v>45706</v>
      </c>
      <c r="D3841" t="inlineStr">
        <is>
          <t>UPPSALA LÄN</t>
        </is>
      </c>
      <c r="E3841" t="inlineStr">
        <is>
          <t>ÖSTHAMMAR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23159-2023</t>
        </is>
      </c>
      <c r="B3842" s="1" t="n">
        <v>45075</v>
      </c>
      <c r="C3842" s="1" t="n">
        <v>45706</v>
      </c>
      <c r="D3842" t="inlineStr">
        <is>
          <t>UPPSALA LÄN</t>
        </is>
      </c>
      <c r="E3842" t="inlineStr">
        <is>
          <t>UPPSALA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23239-2023</t>
        </is>
      </c>
      <c r="B3843" s="1" t="n">
        <v>45075</v>
      </c>
      <c r="C3843" s="1" t="n">
        <v>45706</v>
      </c>
      <c r="D3843" t="inlineStr">
        <is>
          <t>UPPSALA LÄN</t>
        </is>
      </c>
      <c r="E3843" t="inlineStr">
        <is>
          <t>KNIVSTA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23157-2023</t>
        </is>
      </c>
      <c r="B3844" s="1" t="n">
        <v>45075</v>
      </c>
      <c r="C3844" s="1" t="n">
        <v>45706</v>
      </c>
      <c r="D3844" t="inlineStr">
        <is>
          <t>UPPSALA LÄN</t>
        </is>
      </c>
      <c r="E3844" t="inlineStr">
        <is>
          <t>UPPSALA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23363-2023</t>
        </is>
      </c>
      <c r="B3845" s="1" t="n">
        <v>45076</v>
      </c>
      <c r="C3845" s="1" t="n">
        <v>45706</v>
      </c>
      <c r="D3845" t="inlineStr">
        <is>
          <t>UPPSALA LÄN</t>
        </is>
      </c>
      <c r="E3845" t="inlineStr">
        <is>
          <t>ÖSTHAMMAR</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23466-2023</t>
        </is>
      </c>
      <c r="B3846" s="1" t="n">
        <v>45076</v>
      </c>
      <c r="C3846" s="1" t="n">
        <v>45706</v>
      </c>
      <c r="D3846" t="inlineStr">
        <is>
          <t>UPPSALA LÄN</t>
        </is>
      </c>
      <c r="E3846" t="inlineStr">
        <is>
          <t>KNIVSTA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23495-2023</t>
        </is>
      </c>
      <c r="B3847" s="1" t="n">
        <v>45076</v>
      </c>
      <c r="C3847" s="1" t="n">
        <v>45706</v>
      </c>
      <c r="D3847" t="inlineStr">
        <is>
          <t>UPPSALA LÄN</t>
        </is>
      </c>
      <c r="E3847" t="inlineStr">
        <is>
          <t>ÖSTHAMMAR</t>
        </is>
      </c>
      <c r="F3847" t="inlineStr">
        <is>
          <t>Sveaskog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23929-2023</t>
        </is>
      </c>
      <c r="B3848" s="1" t="n">
        <v>45078</v>
      </c>
      <c r="C3848" s="1" t="n">
        <v>45706</v>
      </c>
      <c r="D3848" t="inlineStr">
        <is>
          <t>UPPSALA LÄN</t>
        </is>
      </c>
      <c r="E3848" t="inlineStr">
        <is>
          <t>UPPSALA</t>
        </is>
      </c>
      <c r="G3848" t="n">
        <v>12.7</v>
      </c>
      <c r="H3848" t="n">
        <v>0</v>
      </c>
      <c r="I3848" t="n">
        <v>0</v>
      </c>
      <c r="J3848" t="n">
        <v>0</v>
      </c>
      <c r="K3848" t="n">
        <v>0</v>
      </c>
      <c r="L3848" t="n">
        <v>0</v>
      </c>
      <c r="M3848" t="n">
        <v>0</v>
      </c>
      <c r="N3848" t="n">
        <v>0</v>
      </c>
      <c r="O3848" t="n">
        <v>0</v>
      </c>
      <c r="P3848" t="n">
        <v>0</v>
      </c>
      <c r="Q3848" t="n">
        <v>0</v>
      </c>
      <c r="R3848" s="2" t="inlineStr"/>
    </row>
    <row r="3849" ht="15" customHeight="1">
      <c r="A3849" t="inlineStr">
        <is>
          <t>A 24012-2023</t>
        </is>
      </c>
      <c r="B3849" s="1" t="n">
        <v>45078</v>
      </c>
      <c r="C3849" s="1" t="n">
        <v>45706</v>
      </c>
      <c r="D3849" t="inlineStr">
        <is>
          <t>UPPSALA LÄN</t>
        </is>
      </c>
      <c r="E3849" t="inlineStr">
        <is>
          <t>UPPSALA</t>
        </is>
      </c>
      <c r="F3849" t="inlineStr">
        <is>
          <t>Kyrkan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24016-2023</t>
        </is>
      </c>
      <c r="B3850" s="1" t="n">
        <v>45078</v>
      </c>
      <c r="C3850" s="1" t="n">
        <v>45706</v>
      </c>
      <c r="D3850" t="inlineStr">
        <is>
          <t>UPPSALA LÄN</t>
        </is>
      </c>
      <c r="E3850" t="inlineStr">
        <is>
          <t>UPPSALA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24033-2023</t>
        </is>
      </c>
      <c r="B3851" s="1" t="n">
        <v>45078</v>
      </c>
      <c r="C3851" s="1" t="n">
        <v>45706</v>
      </c>
      <c r="D3851" t="inlineStr">
        <is>
          <t>UPPSALA LÄN</t>
        </is>
      </c>
      <c r="E3851" t="inlineStr">
        <is>
          <t>ÖSTHAMMAR</t>
        </is>
      </c>
      <c r="F3851" t="inlineStr">
        <is>
          <t>Bergvik skog öst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24009-2023</t>
        </is>
      </c>
      <c r="B3852" s="1" t="n">
        <v>45078</v>
      </c>
      <c r="C3852" s="1" t="n">
        <v>45706</v>
      </c>
      <c r="D3852" t="inlineStr">
        <is>
          <t>UPPSALA LÄN</t>
        </is>
      </c>
      <c r="E3852" t="inlineStr">
        <is>
          <t>UPPSALA</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24110-2023</t>
        </is>
      </c>
      <c r="B3853" s="1" t="n">
        <v>45079</v>
      </c>
      <c r="C3853" s="1" t="n">
        <v>45706</v>
      </c>
      <c r="D3853" t="inlineStr">
        <is>
          <t>UPPSALA LÄN</t>
        </is>
      </c>
      <c r="E3853" t="inlineStr">
        <is>
          <t>TIERP</t>
        </is>
      </c>
      <c r="F3853" t="inlineStr">
        <is>
          <t>Kyrkan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24128-2023</t>
        </is>
      </c>
      <c r="B3854" s="1" t="n">
        <v>45079</v>
      </c>
      <c r="C3854" s="1" t="n">
        <v>45706</v>
      </c>
      <c r="D3854" t="inlineStr">
        <is>
          <t>UPPSALA LÄN</t>
        </is>
      </c>
      <c r="E3854" t="inlineStr">
        <is>
          <t>ÖSTHAMMAR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24174-2023</t>
        </is>
      </c>
      <c r="B3855" s="1" t="n">
        <v>45079</v>
      </c>
      <c r="C3855" s="1" t="n">
        <v>45706</v>
      </c>
      <c r="D3855" t="inlineStr">
        <is>
          <t>UPPSALA LÄN</t>
        </is>
      </c>
      <c r="E3855" t="inlineStr">
        <is>
          <t>UPPSALA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24325-2023</t>
        </is>
      </c>
      <c r="B3856" s="1" t="n">
        <v>45080</v>
      </c>
      <c r="C3856" s="1" t="n">
        <v>45706</v>
      </c>
      <c r="D3856" t="inlineStr">
        <is>
          <t>UPPSALA LÄN</t>
        </is>
      </c>
      <c r="E3856" t="inlineStr">
        <is>
          <t>ÖSTHAMMAR</t>
        </is>
      </c>
      <c r="F3856" t="inlineStr">
        <is>
          <t>Bergvik skog öst AB</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24324-2023</t>
        </is>
      </c>
      <c r="B3857" s="1" t="n">
        <v>45080</v>
      </c>
      <c r="C3857" s="1" t="n">
        <v>45706</v>
      </c>
      <c r="D3857" t="inlineStr">
        <is>
          <t>UPPSALA LÄN</t>
        </is>
      </c>
      <c r="E3857" t="inlineStr">
        <is>
          <t>ÖSTHAMMAR</t>
        </is>
      </c>
      <c r="F3857" t="inlineStr">
        <is>
          <t>Bergvik skog öst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25408-2023</t>
        </is>
      </c>
      <c r="B3858" s="1" t="n">
        <v>45080</v>
      </c>
      <c r="C3858" s="1" t="n">
        <v>45706</v>
      </c>
      <c r="D3858" t="inlineStr">
        <is>
          <t>UPPSALA LÄN</t>
        </is>
      </c>
      <c r="E3858" t="inlineStr">
        <is>
          <t>TIERP</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24421-2023</t>
        </is>
      </c>
      <c r="B3859" s="1" t="n">
        <v>45082</v>
      </c>
      <c r="C3859" s="1" t="n">
        <v>45706</v>
      </c>
      <c r="D3859" t="inlineStr">
        <is>
          <t>UPPSALA LÄN</t>
        </is>
      </c>
      <c r="E3859" t="inlineStr">
        <is>
          <t>HEBY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24408-2023</t>
        </is>
      </c>
      <c r="B3860" s="1" t="n">
        <v>45082</v>
      </c>
      <c r="C3860" s="1" t="n">
        <v>45706</v>
      </c>
      <c r="D3860" t="inlineStr">
        <is>
          <t>UPPSALA LÄN</t>
        </is>
      </c>
      <c r="E3860" t="inlineStr">
        <is>
          <t>HEBY</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24419-2023</t>
        </is>
      </c>
      <c r="B3861" s="1" t="n">
        <v>45082</v>
      </c>
      <c r="C3861" s="1" t="n">
        <v>45706</v>
      </c>
      <c r="D3861" t="inlineStr">
        <is>
          <t>UPPSALA LÄN</t>
        </is>
      </c>
      <c r="E3861" t="inlineStr">
        <is>
          <t>HEBY</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24428-2023</t>
        </is>
      </c>
      <c r="B3862" s="1" t="n">
        <v>45082</v>
      </c>
      <c r="C3862" s="1" t="n">
        <v>45706</v>
      </c>
      <c r="D3862" t="inlineStr">
        <is>
          <t>UPPSALA LÄN</t>
        </is>
      </c>
      <c r="E3862" t="inlineStr">
        <is>
          <t>ÖSTHAMMAR</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24493-2023</t>
        </is>
      </c>
      <c r="B3863" s="1" t="n">
        <v>45082</v>
      </c>
      <c r="C3863" s="1" t="n">
        <v>45706</v>
      </c>
      <c r="D3863" t="inlineStr">
        <is>
          <t>UPPSALA LÄN</t>
        </is>
      </c>
      <c r="E3863" t="inlineStr">
        <is>
          <t>ÖSTHAMMAR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24491-2023</t>
        </is>
      </c>
      <c r="B3864" s="1" t="n">
        <v>45082</v>
      </c>
      <c r="C3864" s="1" t="n">
        <v>45706</v>
      </c>
      <c r="D3864" t="inlineStr">
        <is>
          <t>UPPSALA LÄN</t>
        </is>
      </c>
      <c r="E3864" t="inlineStr">
        <is>
          <t>ÖSTHAMMAR</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24559-2023</t>
        </is>
      </c>
      <c r="B3865" s="1" t="n">
        <v>45083</v>
      </c>
      <c r="C3865" s="1" t="n">
        <v>45706</v>
      </c>
      <c r="D3865" t="inlineStr">
        <is>
          <t>UPPSALA LÄN</t>
        </is>
      </c>
      <c r="E3865" t="inlineStr">
        <is>
          <t>HEBY</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24558-2023</t>
        </is>
      </c>
      <c r="B3866" s="1" t="n">
        <v>45083</v>
      </c>
      <c r="C3866" s="1" t="n">
        <v>45706</v>
      </c>
      <c r="D3866" t="inlineStr">
        <is>
          <t>UPPSALA LÄN</t>
        </is>
      </c>
      <c r="E3866" t="inlineStr">
        <is>
          <t>HEBY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24562-2023</t>
        </is>
      </c>
      <c r="B3867" s="1" t="n">
        <v>45083</v>
      </c>
      <c r="C3867" s="1" t="n">
        <v>45706</v>
      </c>
      <c r="D3867" t="inlineStr">
        <is>
          <t>UPPSALA LÄN</t>
        </is>
      </c>
      <c r="E3867" t="inlineStr">
        <is>
          <t>HEBY</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24587-2023</t>
        </is>
      </c>
      <c r="B3868" s="1" t="n">
        <v>45083</v>
      </c>
      <c r="C3868" s="1" t="n">
        <v>45706</v>
      </c>
      <c r="D3868" t="inlineStr">
        <is>
          <t>UPPSALA LÄN</t>
        </is>
      </c>
      <c r="E3868" t="inlineStr">
        <is>
          <t>ÖSTHAMMAR</t>
        </is>
      </c>
      <c r="F3868" t="inlineStr">
        <is>
          <t>Bergvik skog öst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24560-2023</t>
        </is>
      </c>
      <c r="B3869" s="1" t="n">
        <v>45083</v>
      </c>
      <c r="C3869" s="1" t="n">
        <v>45706</v>
      </c>
      <c r="D3869" t="inlineStr">
        <is>
          <t>UPPSALA LÄN</t>
        </is>
      </c>
      <c r="E3869" t="inlineStr">
        <is>
          <t>HEBY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25333-2023</t>
        </is>
      </c>
      <c r="B3870" s="1" t="n">
        <v>45083</v>
      </c>
      <c r="C3870" s="1" t="n">
        <v>45706</v>
      </c>
      <c r="D3870" t="inlineStr">
        <is>
          <t>UPPSALA LÄN</t>
        </is>
      </c>
      <c r="E3870" t="inlineStr">
        <is>
          <t>ENKÖPING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25334-2023</t>
        </is>
      </c>
      <c r="B3871" s="1" t="n">
        <v>45083</v>
      </c>
      <c r="C3871" s="1" t="n">
        <v>45706</v>
      </c>
      <c r="D3871" t="inlineStr">
        <is>
          <t>UPPSALA LÄN</t>
        </is>
      </c>
      <c r="E3871" t="inlineStr">
        <is>
          <t>ENKÖPING</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24642-2023</t>
        </is>
      </c>
      <c r="B3872" s="1" t="n">
        <v>45084</v>
      </c>
      <c r="C3872" s="1" t="n">
        <v>45706</v>
      </c>
      <c r="D3872" t="inlineStr">
        <is>
          <t>UPPSALA LÄN</t>
        </is>
      </c>
      <c r="E3872" t="inlineStr">
        <is>
          <t>ÖSTHAMMAR</t>
        </is>
      </c>
      <c r="F3872" t="inlineStr">
        <is>
          <t>Bergvik skog öst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24648-2023</t>
        </is>
      </c>
      <c r="B3873" s="1" t="n">
        <v>45084</v>
      </c>
      <c r="C3873" s="1" t="n">
        <v>45706</v>
      </c>
      <c r="D3873" t="inlineStr">
        <is>
          <t>UPPSALA LÄN</t>
        </is>
      </c>
      <c r="E3873" t="inlineStr">
        <is>
          <t>ÖSTHAMMAR</t>
        </is>
      </c>
      <c r="F3873" t="inlineStr">
        <is>
          <t>Bergvik skog öst AB</t>
        </is>
      </c>
      <c r="G3873" t="n">
        <v>12.5</v>
      </c>
      <c r="H3873" t="n">
        <v>0</v>
      </c>
      <c r="I3873" t="n">
        <v>0</v>
      </c>
      <c r="J3873" t="n">
        <v>0</v>
      </c>
      <c r="K3873" t="n">
        <v>0</v>
      </c>
      <c r="L3873" t="n">
        <v>0</v>
      </c>
      <c r="M3873" t="n">
        <v>0</v>
      </c>
      <c r="N3873" t="n">
        <v>0</v>
      </c>
      <c r="O3873" t="n">
        <v>0</v>
      </c>
      <c r="P3873" t="n">
        <v>0</v>
      </c>
      <c r="Q3873" t="n">
        <v>0</v>
      </c>
      <c r="R3873" s="2" t="inlineStr"/>
    </row>
    <row r="3874" ht="15" customHeight="1">
      <c r="A3874" t="inlineStr">
        <is>
          <t>A 24670-2023</t>
        </is>
      </c>
      <c r="B3874" s="1" t="n">
        <v>45084</v>
      </c>
      <c r="C3874" s="1" t="n">
        <v>45706</v>
      </c>
      <c r="D3874" t="inlineStr">
        <is>
          <t>UPPSALA LÄN</t>
        </is>
      </c>
      <c r="E3874" t="inlineStr">
        <is>
          <t>UPPSALA</t>
        </is>
      </c>
      <c r="F3874" t="inlineStr">
        <is>
          <t>Holmen skog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24751-2023</t>
        </is>
      </c>
      <c r="B3875" s="1" t="n">
        <v>45084</v>
      </c>
      <c r="C3875" s="1" t="n">
        <v>45706</v>
      </c>
      <c r="D3875" t="inlineStr">
        <is>
          <t>UPPSALA LÄN</t>
        </is>
      </c>
      <c r="E3875" t="inlineStr">
        <is>
          <t>ÖSTHAMMAR</t>
        </is>
      </c>
      <c r="F3875" t="inlineStr">
        <is>
          <t>Bergvik skog öst AB</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24962-2023</t>
        </is>
      </c>
      <c r="B3876" s="1" t="n">
        <v>45085</v>
      </c>
      <c r="C3876" s="1" t="n">
        <v>45706</v>
      </c>
      <c r="D3876" t="inlineStr">
        <is>
          <t>UPPSALA LÄN</t>
        </is>
      </c>
      <c r="E3876" t="inlineStr">
        <is>
          <t>ENKÖPING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24960-2023</t>
        </is>
      </c>
      <c r="B3877" s="1" t="n">
        <v>45085</v>
      </c>
      <c r="C3877" s="1" t="n">
        <v>45706</v>
      </c>
      <c r="D3877" t="inlineStr">
        <is>
          <t>UPPSALA LÄN</t>
        </is>
      </c>
      <c r="E3877" t="inlineStr">
        <is>
          <t>ENKÖPING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24974-2023</t>
        </is>
      </c>
      <c r="B3878" s="1" t="n">
        <v>45085</v>
      </c>
      <c r="C3878" s="1" t="n">
        <v>45706</v>
      </c>
      <c r="D3878" t="inlineStr">
        <is>
          <t>UPPSALA LÄN</t>
        </is>
      </c>
      <c r="E3878" t="inlineStr">
        <is>
          <t>ENKÖPING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24978-2023</t>
        </is>
      </c>
      <c r="B3879" s="1" t="n">
        <v>45085</v>
      </c>
      <c r="C3879" s="1" t="n">
        <v>45706</v>
      </c>
      <c r="D3879" t="inlineStr">
        <is>
          <t>UPPSALA LÄN</t>
        </is>
      </c>
      <c r="E3879" t="inlineStr">
        <is>
          <t>ENKÖPING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25235-2023</t>
        </is>
      </c>
      <c r="B3880" s="1" t="n">
        <v>45086</v>
      </c>
      <c r="C3880" s="1" t="n">
        <v>45706</v>
      </c>
      <c r="D3880" t="inlineStr">
        <is>
          <t>UPPSALA LÄN</t>
        </is>
      </c>
      <c r="E3880" t="inlineStr">
        <is>
          <t>HEBY</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25194-2023</t>
        </is>
      </c>
      <c r="B3881" s="1" t="n">
        <v>45086</v>
      </c>
      <c r="C3881" s="1" t="n">
        <v>45706</v>
      </c>
      <c r="D3881" t="inlineStr">
        <is>
          <t>UPPSALA LÄN</t>
        </is>
      </c>
      <c r="E3881" t="inlineStr">
        <is>
          <t>ÖSTHAMMAR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25264-2023</t>
        </is>
      </c>
      <c r="B3882" s="1" t="n">
        <v>45086</v>
      </c>
      <c r="C3882" s="1" t="n">
        <v>45706</v>
      </c>
      <c r="D3882" t="inlineStr">
        <is>
          <t>UPPSALA LÄN</t>
        </is>
      </c>
      <c r="E3882" t="inlineStr">
        <is>
          <t>UPPSALA</t>
        </is>
      </c>
      <c r="F3882" t="inlineStr">
        <is>
          <t>Holmen skog AB</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25280-2023</t>
        </is>
      </c>
      <c r="B3883" s="1" t="n">
        <v>45086</v>
      </c>
      <c r="C3883" s="1" t="n">
        <v>45706</v>
      </c>
      <c r="D3883" t="inlineStr">
        <is>
          <t>UPPSALA LÄN</t>
        </is>
      </c>
      <c r="E3883" t="inlineStr">
        <is>
          <t>UPPSALA</t>
        </is>
      </c>
      <c r="F3883" t="inlineStr">
        <is>
          <t>Holmen skog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25249-2023</t>
        </is>
      </c>
      <c r="B3884" s="1" t="n">
        <v>45086</v>
      </c>
      <c r="C3884" s="1" t="n">
        <v>45706</v>
      </c>
      <c r="D3884" t="inlineStr">
        <is>
          <t>UPPSALA LÄN</t>
        </is>
      </c>
      <c r="E3884" t="inlineStr">
        <is>
          <t>HEBY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25380-2023</t>
        </is>
      </c>
      <c r="B3885" s="1" t="n">
        <v>45089</v>
      </c>
      <c r="C3885" s="1" t="n">
        <v>45706</v>
      </c>
      <c r="D3885" t="inlineStr">
        <is>
          <t>UPPSALA LÄN</t>
        </is>
      </c>
      <c r="E3885" t="inlineStr">
        <is>
          <t>UPPSALA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25529-2023</t>
        </is>
      </c>
      <c r="B3886" s="1" t="n">
        <v>45089</v>
      </c>
      <c r="C3886" s="1" t="n">
        <v>45706</v>
      </c>
      <c r="D3886" t="inlineStr">
        <is>
          <t>UPPSALA LÄN</t>
        </is>
      </c>
      <c r="E3886" t="inlineStr">
        <is>
          <t>HEBY</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25381-2023</t>
        </is>
      </c>
      <c r="B3887" s="1" t="n">
        <v>45089</v>
      </c>
      <c r="C3887" s="1" t="n">
        <v>45706</v>
      </c>
      <c r="D3887" t="inlineStr">
        <is>
          <t>UPPSALA LÄN</t>
        </is>
      </c>
      <c r="E3887" t="inlineStr">
        <is>
          <t>UPPSALA</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25446-2023</t>
        </is>
      </c>
      <c r="B3888" s="1" t="n">
        <v>45089</v>
      </c>
      <c r="C3888" s="1" t="n">
        <v>45706</v>
      </c>
      <c r="D3888" t="inlineStr">
        <is>
          <t>UPPSALA LÄN</t>
        </is>
      </c>
      <c r="E3888" t="inlineStr">
        <is>
          <t>UPPSALA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25525-2023</t>
        </is>
      </c>
      <c r="B3889" s="1" t="n">
        <v>45089</v>
      </c>
      <c r="C3889" s="1" t="n">
        <v>45706</v>
      </c>
      <c r="D3889" t="inlineStr">
        <is>
          <t>UPPSALA LÄN</t>
        </is>
      </c>
      <c r="E3889" t="inlineStr">
        <is>
          <t>HEBY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25462-2023</t>
        </is>
      </c>
      <c r="B3890" s="1" t="n">
        <v>45089</v>
      </c>
      <c r="C3890" s="1" t="n">
        <v>45706</v>
      </c>
      <c r="D3890" t="inlineStr">
        <is>
          <t>UPPSALA LÄN</t>
        </is>
      </c>
      <c r="E3890" t="inlineStr">
        <is>
          <t>UPPSALA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26612-2023</t>
        </is>
      </c>
      <c r="B3891" s="1" t="n">
        <v>45089</v>
      </c>
      <c r="C3891" s="1" t="n">
        <v>45706</v>
      </c>
      <c r="D3891" t="inlineStr">
        <is>
          <t>UPPSALA LÄN</t>
        </is>
      </c>
      <c r="E3891" t="inlineStr">
        <is>
          <t>ÖSTHAMMAR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26610-2023</t>
        </is>
      </c>
      <c r="B3892" s="1" t="n">
        <v>45089</v>
      </c>
      <c r="C3892" s="1" t="n">
        <v>45706</v>
      </c>
      <c r="D3892" t="inlineStr">
        <is>
          <t>UPPSALA LÄN</t>
        </is>
      </c>
      <c r="E3892" t="inlineStr">
        <is>
          <t>ÖSTHAMMAR</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25784-2023</t>
        </is>
      </c>
      <c r="B3893" s="1" t="n">
        <v>45090</v>
      </c>
      <c r="C3893" s="1" t="n">
        <v>45706</v>
      </c>
      <c r="D3893" t="inlineStr">
        <is>
          <t>UPPSALA LÄN</t>
        </is>
      </c>
      <c r="E3893" t="inlineStr">
        <is>
          <t>TIERP</t>
        </is>
      </c>
      <c r="F3893" t="inlineStr">
        <is>
          <t>Bergvik skog väst AB</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25897-2023</t>
        </is>
      </c>
      <c r="B3894" s="1" t="n">
        <v>45090</v>
      </c>
      <c r="C3894" s="1" t="n">
        <v>45706</v>
      </c>
      <c r="D3894" t="inlineStr">
        <is>
          <t>UPPSALA LÄN</t>
        </is>
      </c>
      <c r="E3894" t="inlineStr">
        <is>
          <t>ÖSTHAMMAR</t>
        </is>
      </c>
      <c r="F3894" t="inlineStr">
        <is>
          <t>Bergvik skog öst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25939-2023</t>
        </is>
      </c>
      <c r="B3895" s="1" t="n">
        <v>45090</v>
      </c>
      <c r="C3895" s="1" t="n">
        <v>45706</v>
      </c>
      <c r="D3895" t="inlineStr">
        <is>
          <t>UPPSALA LÄN</t>
        </is>
      </c>
      <c r="E3895" t="inlineStr">
        <is>
          <t>UPPSALA</t>
        </is>
      </c>
      <c r="F3895" t="inlineStr">
        <is>
          <t>Holmen skog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25903-2023</t>
        </is>
      </c>
      <c r="B3896" s="1" t="n">
        <v>45090</v>
      </c>
      <c r="C3896" s="1" t="n">
        <v>45706</v>
      </c>
      <c r="D3896" t="inlineStr">
        <is>
          <t>UPPSALA LÄN</t>
        </is>
      </c>
      <c r="E3896" t="inlineStr">
        <is>
          <t>ÖSTHAMMAR</t>
        </is>
      </c>
      <c r="F3896" t="inlineStr">
        <is>
          <t>Bergvik skog öst AB</t>
        </is>
      </c>
      <c r="G3896" t="n">
        <v>29.2</v>
      </c>
      <c r="H3896" t="n">
        <v>0</v>
      </c>
      <c r="I3896" t="n">
        <v>0</v>
      </c>
      <c r="J3896" t="n">
        <v>0</v>
      </c>
      <c r="K3896" t="n">
        <v>0</v>
      </c>
      <c r="L3896" t="n">
        <v>0</v>
      </c>
      <c r="M3896" t="n">
        <v>0</v>
      </c>
      <c r="N3896" t="n">
        <v>0</v>
      </c>
      <c r="O3896" t="n">
        <v>0</v>
      </c>
      <c r="P3896" t="n">
        <v>0</v>
      </c>
      <c r="Q3896" t="n">
        <v>0</v>
      </c>
      <c r="R3896" s="2" t="inlineStr"/>
    </row>
    <row r="3897" ht="15" customHeight="1">
      <c r="A3897" t="inlineStr">
        <is>
          <t>A 25970-2023</t>
        </is>
      </c>
      <c r="B3897" s="1" t="n">
        <v>45090</v>
      </c>
      <c r="C3897" s="1" t="n">
        <v>45706</v>
      </c>
      <c r="D3897" t="inlineStr">
        <is>
          <t>UPPSALA LÄN</t>
        </is>
      </c>
      <c r="E3897" t="inlineStr">
        <is>
          <t>ÖSTHAMMAR</t>
        </is>
      </c>
      <c r="F3897" t="inlineStr">
        <is>
          <t>Sveaskog</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25971-2023</t>
        </is>
      </c>
      <c r="B3898" s="1" t="n">
        <v>45090</v>
      </c>
      <c r="C3898" s="1" t="n">
        <v>45706</v>
      </c>
      <c r="D3898" t="inlineStr">
        <is>
          <t>UPPSALA LÄN</t>
        </is>
      </c>
      <c r="E3898" t="inlineStr">
        <is>
          <t>HEBY</t>
        </is>
      </c>
      <c r="F3898" t="inlineStr">
        <is>
          <t>Övriga Aktiebolag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25968-2023</t>
        </is>
      </c>
      <c r="B3899" s="1" t="n">
        <v>45090</v>
      </c>
      <c r="C3899" s="1" t="n">
        <v>45706</v>
      </c>
      <c r="D3899" t="inlineStr">
        <is>
          <t>UPPSALA LÄN</t>
        </is>
      </c>
      <c r="E3899" t="inlineStr">
        <is>
          <t>ÖSTHAMMAR</t>
        </is>
      </c>
      <c r="F3899" t="inlineStr">
        <is>
          <t>Sveaskog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25969-2023</t>
        </is>
      </c>
      <c r="B3900" s="1" t="n">
        <v>45090</v>
      </c>
      <c r="C3900" s="1" t="n">
        <v>45706</v>
      </c>
      <c r="D3900" t="inlineStr">
        <is>
          <t>UPPSALA LÄN</t>
        </is>
      </c>
      <c r="E3900" t="inlineStr">
        <is>
          <t>ÖSTHAMMAR</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25972-2023</t>
        </is>
      </c>
      <c r="B3901" s="1" t="n">
        <v>45090</v>
      </c>
      <c r="C3901" s="1" t="n">
        <v>45706</v>
      </c>
      <c r="D3901" t="inlineStr">
        <is>
          <t>UPPSALA LÄN</t>
        </is>
      </c>
      <c r="E3901" t="inlineStr">
        <is>
          <t>HEBY</t>
        </is>
      </c>
      <c r="F3901" t="inlineStr">
        <is>
          <t>Övriga Aktiebolag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26332-2023</t>
        </is>
      </c>
      <c r="B3902" s="1" t="n">
        <v>45091</v>
      </c>
      <c r="C3902" s="1" t="n">
        <v>45706</v>
      </c>
      <c r="D3902" t="inlineStr">
        <is>
          <t>UPPSALA LÄN</t>
        </is>
      </c>
      <c r="E3902" t="inlineStr">
        <is>
          <t>HEBY</t>
        </is>
      </c>
      <c r="F3902" t="inlineStr">
        <is>
          <t>Övriga Aktiebolag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26208-2023</t>
        </is>
      </c>
      <c r="B3903" s="1" t="n">
        <v>45091</v>
      </c>
      <c r="C3903" s="1" t="n">
        <v>45706</v>
      </c>
      <c r="D3903" t="inlineStr">
        <is>
          <t>UPPSALA LÄN</t>
        </is>
      </c>
      <c r="E3903" t="inlineStr">
        <is>
          <t>UPPSALA</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26275-2023</t>
        </is>
      </c>
      <c r="B3904" s="1" t="n">
        <v>45091</v>
      </c>
      <c r="C3904" s="1" t="n">
        <v>45706</v>
      </c>
      <c r="D3904" t="inlineStr">
        <is>
          <t>UPPSALA LÄN</t>
        </is>
      </c>
      <c r="E3904" t="inlineStr">
        <is>
          <t>TIERP</t>
        </is>
      </c>
      <c r="F3904" t="inlineStr">
        <is>
          <t>Bergvik skog väst AB</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26298-2023</t>
        </is>
      </c>
      <c r="B3905" s="1" t="n">
        <v>45091</v>
      </c>
      <c r="C3905" s="1" t="n">
        <v>45706</v>
      </c>
      <c r="D3905" t="inlineStr">
        <is>
          <t>UPPSALA LÄN</t>
        </is>
      </c>
      <c r="E3905" t="inlineStr">
        <is>
          <t>UPPSALA</t>
        </is>
      </c>
      <c r="G3905" t="n">
        <v>10.8</v>
      </c>
      <c r="H3905" t="n">
        <v>0</v>
      </c>
      <c r="I3905" t="n">
        <v>0</v>
      </c>
      <c r="J3905" t="n">
        <v>0</v>
      </c>
      <c r="K3905" t="n">
        <v>0</v>
      </c>
      <c r="L3905" t="n">
        <v>0</v>
      </c>
      <c r="M3905" t="n">
        <v>0</v>
      </c>
      <c r="N3905" t="n">
        <v>0</v>
      </c>
      <c r="O3905" t="n">
        <v>0</v>
      </c>
      <c r="P3905" t="n">
        <v>0</v>
      </c>
      <c r="Q3905" t="n">
        <v>0</v>
      </c>
      <c r="R3905" s="2" t="inlineStr"/>
    </row>
    <row r="3906" ht="15" customHeight="1">
      <c r="A3906" t="inlineStr">
        <is>
          <t>A 26331-2023</t>
        </is>
      </c>
      <c r="B3906" s="1" t="n">
        <v>45091</v>
      </c>
      <c r="C3906" s="1" t="n">
        <v>45706</v>
      </c>
      <c r="D3906" t="inlineStr">
        <is>
          <t>UPPSALA LÄN</t>
        </is>
      </c>
      <c r="E3906" t="inlineStr">
        <is>
          <t>HEBY</t>
        </is>
      </c>
      <c r="F3906" t="inlineStr">
        <is>
          <t>Övriga Aktiebolag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26323-2023</t>
        </is>
      </c>
      <c r="B3907" s="1" t="n">
        <v>45091</v>
      </c>
      <c r="C3907" s="1" t="n">
        <v>45706</v>
      </c>
      <c r="D3907" t="inlineStr">
        <is>
          <t>UPPSALA LÄN</t>
        </is>
      </c>
      <c r="E3907" t="inlineStr">
        <is>
          <t>UPPSALA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26333-2023</t>
        </is>
      </c>
      <c r="B3908" s="1" t="n">
        <v>45091</v>
      </c>
      <c r="C3908" s="1" t="n">
        <v>45706</v>
      </c>
      <c r="D3908" t="inlineStr">
        <is>
          <t>UPPSALA LÄN</t>
        </is>
      </c>
      <c r="E3908" t="inlineStr">
        <is>
          <t>HEBY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26081-2023</t>
        </is>
      </c>
      <c r="B3909" s="1" t="n">
        <v>45091</v>
      </c>
      <c r="C3909" s="1" t="n">
        <v>45706</v>
      </c>
      <c r="D3909" t="inlineStr">
        <is>
          <t>UPPSALA LÄN</t>
        </is>
      </c>
      <c r="E3909" t="inlineStr">
        <is>
          <t>UPPSALA</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26143-2023</t>
        </is>
      </c>
      <c r="B3910" s="1" t="n">
        <v>45091</v>
      </c>
      <c r="C3910" s="1" t="n">
        <v>45706</v>
      </c>
      <c r="D3910" t="inlineStr">
        <is>
          <t>UPPSALA LÄN</t>
        </is>
      </c>
      <c r="E3910" t="inlineStr">
        <is>
          <t>UPPSALA</t>
        </is>
      </c>
      <c r="F3910" t="inlineStr">
        <is>
          <t>Holmen skog AB</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26134-2023</t>
        </is>
      </c>
      <c r="B3911" s="1" t="n">
        <v>45091</v>
      </c>
      <c r="C3911" s="1" t="n">
        <v>45706</v>
      </c>
      <c r="D3911" t="inlineStr">
        <is>
          <t>UPPSALA LÄN</t>
        </is>
      </c>
      <c r="E3911" t="inlineStr">
        <is>
          <t>UPPSALA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26380-2023</t>
        </is>
      </c>
      <c r="B3912" s="1" t="n">
        <v>45092</v>
      </c>
      <c r="C3912" s="1" t="n">
        <v>45706</v>
      </c>
      <c r="D3912" t="inlineStr">
        <is>
          <t>UPPSALA LÄN</t>
        </is>
      </c>
      <c r="E3912" t="inlineStr">
        <is>
          <t>TIERP</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26546-2023</t>
        </is>
      </c>
      <c r="B3913" s="1" t="n">
        <v>45092</v>
      </c>
      <c r="C3913" s="1" t="n">
        <v>45706</v>
      </c>
      <c r="D3913" t="inlineStr">
        <is>
          <t>UPPSALA LÄN</t>
        </is>
      </c>
      <c r="E3913" t="inlineStr">
        <is>
          <t>TIERP</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26421-2023</t>
        </is>
      </c>
      <c r="B3914" s="1" t="n">
        <v>45092</v>
      </c>
      <c r="C3914" s="1" t="n">
        <v>45706</v>
      </c>
      <c r="D3914" t="inlineStr">
        <is>
          <t>UPPSALA LÄN</t>
        </is>
      </c>
      <c r="E3914" t="inlineStr">
        <is>
          <t>HEBY</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26449-2023</t>
        </is>
      </c>
      <c r="B3915" s="1" t="n">
        <v>45092</v>
      </c>
      <c r="C3915" s="1" t="n">
        <v>45706</v>
      </c>
      <c r="D3915" t="inlineStr">
        <is>
          <t>UPPSALA LÄN</t>
        </is>
      </c>
      <c r="E3915" t="inlineStr">
        <is>
          <t>HEBY</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26511-2023</t>
        </is>
      </c>
      <c r="B3916" s="1" t="n">
        <v>45092</v>
      </c>
      <c r="C3916" s="1" t="n">
        <v>45706</v>
      </c>
      <c r="D3916" t="inlineStr">
        <is>
          <t>UPPSALA LÄN</t>
        </is>
      </c>
      <c r="E3916" t="inlineStr">
        <is>
          <t>HEBY</t>
        </is>
      </c>
      <c r="F3916" t="inlineStr">
        <is>
          <t>Sveaskog</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26541-2023</t>
        </is>
      </c>
      <c r="B3917" s="1" t="n">
        <v>45092</v>
      </c>
      <c r="C3917" s="1" t="n">
        <v>45706</v>
      </c>
      <c r="D3917" t="inlineStr">
        <is>
          <t>UPPSALA LÄN</t>
        </is>
      </c>
      <c r="E3917" t="inlineStr">
        <is>
          <t>TIERP</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26559-2023</t>
        </is>
      </c>
      <c r="B3918" s="1" t="n">
        <v>45092</v>
      </c>
      <c r="C3918" s="1" t="n">
        <v>45706</v>
      </c>
      <c r="D3918" t="inlineStr">
        <is>
          <t>UPPSALA LÄN</t>
        </is>
      </c>
      <c r="E3918" t="inlineStr">
        <is>
          <t>HEBY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26550-2023</t>
        </is>
      </c>
      <c r="B3919" s="1" t="n">
        <v>45092</v>
      </c>
      <c r="C3919" s="1" t="n">
        <v>45706</v>
      </c>
      <c r="D3919" t="inlineStr">
        <is>
          <t>UPPSALA LÄN</t>
        </is>
      </c>
      <c r="E3919" t="inlineStr">
        <is>
          <t>HEBY</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26571-2023</t>
        </is>
      </c>
      <c r="B3920" s="1" t="n">
        <v>45092</v>
      </c>
      <c r="C3920" s="1" t="n">
        <v>45706</v>
      </c>
      <c r="D3920" t="inlineStr">
        <is>
          <t>UPPSALA LÄN</t>
        </is>
      </c>
      <c r="E3920" t="inlineStr">
        <is>
          <t>HEBY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26577-2023</t>
        </is>
      </c>
      <c r="B3921" s="1" t="n">
        <v>45092</v>
      </c>
      <c r="C3921" s="1" t="n">
        <v>45706</v>
      </c>
      <c r="D3921" t="inlineStr">
        <is>
          <t>UPPSALA LÄN</t>
        </is>
      </c>
      <c r="E3921" t="inlineStr">
        <is>
          <t>ENKÖPING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26759-2023</t>
        </is>
      </c>
      <c r="B3922" s="1" t="n">
        <v>45093</v>
      </c>
      <c r="C3922" s="1" t="n">
        <v>45706</v>
      </c>
      <c r="D3922" t="inlineStr">
        <is>
          <t>UPPSALA LÄN</t>
        </is>
      </c>
      <c r="E3922" t="inlineStr">
        <is>
          <t>UPPSALA</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26774-2023</t>
        </is>
      </c>
      <c r="B3923" s="1" t="n">
        <v>45093</v>
      </c>
      <c r="C3923" s="1" t="n">
        <v>45706</v>
      </c>
      <c r="D3923" t="inlineStr">
        <is>
          <t>UPPSALA LÄN</t>
        </is>
      </c>
      <c r="E3923" t="inlineStr">
        <is>
          <t>ÖSTHAMMAR</t>
        </is>
      </c>
      <c r="F3923" t="inlineStr">
        <is>
          <t>Bergvik skog öst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26762-2023</t>
        </is>
      </c>
      <c r="B3924" s="1" t="n">
        <v>45093</v>
      </c>
      <c r="C3924" s="1" t="n">
        <v>45706</v>
      </c>
      <c r="D3924" t="inlineStr">
        <is>
          <t>UPPSALA LÄN</t>
        </is>
      </c>
      <c r="E3924" t="inlineStr">
        <is>
          <t>UPPSALA</t>
        </is>
      </c>
      <c r="F3924" t="inlineStr">
        <is>
          <t>Sveaskog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26734-2023</t>
        </is>
      </c>
      <c r="B3925" s="1" t="n">
        <v>45093</v>
      </c>
      <c r="C3925" s="1" t="n">
        <v>45706</v>
      </c>
      <c r="D3925" t="inlineStr">
        <is>
          <t>UPPSALA LÄN</t>
        </is>
      </c>
      <c r="E3925" t="inlineStr">
        <is>
          <t>ÖSTHAMMAR</t>
        </is>
      </c>
      <c r="F3925" t="inlineStr">
        <is>
          <t>Bergvik skog öst AB</t>
        </is>
      </c>
      <c r="G3925" t="n">
        <v>25.5</v>
      </c>
      <c r="H3925" t="n">
        <v>0</v>
      </c>
      <c r="I3925" t="n">
        <v>0</v>
      </c>
      <c r="J3925" t="n">
        <v>0</v>
      </c>
      <c r="K3925" t="n">
        <v>0</v>
      </c>
      <c r="L3925" t="n">
        <v>0</v>
      </c>
      <c r="M3925" t="n">
        <v>0</v>
      </c>
      <c r="N3925" t="n">
        <v>0</v>
      </c>
      <c r="O3925" t="n">
        <v>0</v>
      </c>
      <c r="P3925" t="n">
        <v>0</v>
      </c>
      <c r="Q3925" t="n">
        <v>0</v>
      </c>
      <c r="R3925" s="2" t="inlineStr"/>
    </row>
    <row r="3926" ht="15" customHeight="1">
      <c r="A3926" t="inlineStr">
        <is>
          <t>A 26983-2023</t>
        </is>
      </c>
      <c r="B3926" s="1" t="n">
        <v>45093</v>
      </c>
      <c r="C3926" s="1" t="n">
        <v>45706</v>
      </c>
      <c r="D3926" t="inlineStr">
        <is>
          <t>UPPSALA LÄN</t>
        </is>
      </c>
      <c r="E3926" t="inlineStr">
        <is>
          <t>ÄLVKARLEBY</t>
        </is>
      </c>
      <c r="F3926" t="inlineStr">
        <is>
          <t>Bergvik skog väst AB</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28170-2023</t>
        </is>
      </c>
      <c r="B3927" s="1" t="n">
        <v>45093</v>
      </c>
      <c r="C3927" s="1" t="n">
        <v>45706</v>
      </c>
      <c r="D3927" t="inlineStr">
        <is>
          <t>UPPSALA LÄN</t>
        </is>
      </c>
      <c r="E3927" t="inlineStr">
        <is>
          <t>ÖSTHAMMAR</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27128-2023</t>
        </is>
      </c>
      <c r="B3928" s="1" t="n">
        <v>45096</v>
      </c>
      <c r="C3928" s="1" t="n">
        <v>45706</v>
      </c>
      <c r="D3928" t="inlineStr">
        <is>
          <t>UPPSALA LÄN</t>
        </is>
      </c>
      <c r="E3928" t="inlineStr">
        <is>
          <t>UPPSALA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27168-2023</t>
        </is>
      </c>
      <c r="B3929" s="1" t="n">
        <v>45096</v>
      </c>
      <c r="C3929" s="1" t="n">
        <v>45706</v>
      </c>
      <c r="D3929" t="inlineStr">
        <is>
          <t>UPPSALA LÄN</t>
        </is>
      </c>
      <c r="E3929" t="inlineStr">
        <is>
          <t>TIERP</t>
        </is>
      </c>
      <c r="F3929" t="inlineStr">
        <is>
          <t>Bergvik skog öst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27068-2023</t>
        </is>
      </c>
      <c r="B3930" s="1" t="n">
        <v>45096</v>
      </c>
      <c r="C3930" s="1" t="n">
        <v>45706</v>
      </c>
      <c r="D3930" t="inlineStr">
        <is>
          <t>UPPSALA LÄN</t>
        </is>
      </c>
      <c r="E3930" t="inlineStr">
        <is>
          <t>UPPSALA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27074-2023</t>
        </is>
      </c>
      <c r="B3931" s="1" t="n">
        <v>45096</v>
      </c>
      <c r="C3931" s="1" t="n">
        <v>45706</v>
      </c>
      <c r="D3931" t="inlineStr">
        <is>
          <t>UPPSALA LÄN</t>
        </is>
      </c>
      <c r="E3931" t="inlineStr">
        <is>
          <t>TIERP</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27119-2023</t>
        </is>
      </c>
      <c r="B3932" s="1" t="n">
        <v>45096</v>
      </c>
      <c r="C3932" s="1" t="n">
        <v>45706</v>
      </c>
      <c r="D3932" t="inlineStr">
        <is>
          <t>UPPSALA LÄN</t>
        </is>
      </c>
      <c r="E3932" t="inlineStr">
        <is>
          <t>UPPSALA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27123-2023</t>
        </is>
      </c>
      <c r="B3933" s="1" t="n">
        <v>45096</v>
      </c>
      <c r="C3933" s="1" t="n">
        <v>45706</v>
      </c>
      <c r="D3933" t="inlineStr">
        <is>
          <t>UPPSALA LÄN</t>
        </is>
      </c>
      <c r="E3933" t="inlineStr">
        <is>
          <t>UPPSALA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27126-2023</t>
        </is>
      </c>
      <c r="B3934" s="1" t="n">
        <v>45096</v>
      </c>
      <c r="C3934" s="1" t="n">
        <v>45706</v>
      </c>
      <c r="D3934" t="inlineStr">
        <is>
          <t>UPPSALA LÄN</t>
        </is>
      </c>
      <c r="E3934" t="inlineStr">
        <is>
          <t>UPPSALA</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27150-2023</t>
        </is>
      </c>
      <c r="B3935" s="1" t="n">
        <v>45096</v>
      </c>
      <c r="C3935" s="1" t="n">
        <v>45706</v>
      </c>
      <c r="D3935" t="inlineStr">
        <is>
          <t>UPPSALA LÄN</t>
        </is>
      </c>
      <c r="E3935" t="inlineStr">
        <is>
          <t>ÖSTHAMMAR</t>
        </is>
      </c>
      <c r="F3935" t="inlineStr">
        <is>
          <t>Bergvik skog öst AB</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27154-2023</t>
        </is>
      </c>
      <c r="B3936" s="1" t="n">
        <v>45096</v>
      </c>
      <c r="C3936" s="1" t="n">
        <v>45706</v>
      </c>
      <c r="D3936" t="inlineStr">
        <is>
          <t>UPPSALA LÄN</t>
        </is>
      </c>
      <c r="E3936" t="inlineStr">
        <is>
          <t>ÖSTHAMMAR</t>
        </is>
      </c>
      <c r="F3936" t="inlineStr">
        <is>
          <t>Bergvik skog öst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27212-2023</t>
        </is>
      </c>
      <c r="B3937" s="1" t="n">
        <v>45096</v>
      </c>
      <c r="C3937" s="1" t="n">
        <v>45706</v>
      </c>
      <c r="D3937" t="inlineStr">
        <is>
          <t>UPPSALA LÄN</t>
        </is>
      </c>
      <c r="E3937" t="inlineStr">
        <is>
          <t>HEBY</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27178-2023</t>
        </is>
      </c>
      <c r="B3938" s="1" t="n">
        <v>45096</v>
      </c>
      <c r="C3938" s="1" t="n">
        <v>45706</v>
      </c>
      <c r="D3938" t="inlineStr">
        <is>
          <t>UPPSALA LÄN</t>
        </is>
      </c>
      <c r="E3938" t="inlineStr">
        <is>
          <t>ENKÖPING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27266-2023</t>
        </is>
      </c>
      <c r="B3939" s="1" t="n">
        <v>45096</v>
      </c>
      <c r="C3939" s="1" t="n">
        <v>45706</v>
      </c>
      <c r="D3939" t="inlineStr">
        <is>
          <t>UPPSALA LÄN</t>
        </is>
      </c>
      <c r="E3939" t="inlineStr">
        <is>
          <t>TIERP</t>
        </is>
      </c>
      <c r="F3939" t="inlineStr">
        <is>
          <t>Bergvik skog öst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27104-2023</t>
        </is>
      </c>
      <c r="B3940" s="1" t="n">
        <v>45096</v>
      </c>
      <c r="C3940" s="1" t="n">
        <v>45706</v>
      </c>
      <c r="D3940" t="inlineStr">
        <is>
          <t>UPPSALA LÄN</t>
        </is>
      </c>
      <c r="E3940" t="inlineStr">
        <is>
          <t>UPPSALA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27121-2023</t>
        </is>
      </c>
      <c r="B3941" s="1" t="n">
        <v>45096</v>
      </c>
      <c r="C3941" s="1" t="n">
        <v>45706</v>
      </c>
      <c r="D3941" t="inlineStr">
        <is>
          <t>UPPSALA LÄN</t>
        </is>
      </c>
      <c r="E3941" t="inlineStr">
        <is>
          <t>UPPSALA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27125-2023</t>
        </is>
      </c>
      <c r="B3942" s="1" t="n">
        <v>45096</v>
      </c>
      <c r="C3942" s="1" t="n">
        <v>45706</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27254-2023</t>
        </is>
      </c>
      <c r="B3943" s="1" t="n">
        <v>45096</v>
      </c>
      <c r="C3943" s="1" t="n">
        <v>45706</v>
      </c>
      <c r="D3943" t="inlineStr">
        <is>
          <t>UPPSALA LÄN</t>
        </is>
      </c>
      <c r="E3943" t="inlineStr">
        <is>
          <t>UPPSALA</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27308-2023</t>
        </is>
      </c>
      <c r="B3944" s="1" t="n">
        <v>45096</v>
      </c>
      <c r="C3944" s="1" t="n">
        <v>45706</v>
      </c>
      <c r="D3944" t="inlineStr">
        <is>
          <t>UPPSALA LÄN</t>
        </is>
      </c>
      <c r="E3944" t="inlineStr">
        <is>
          <t>ÖSTHAMMAR</t>
        </is>
      </c>
      <c r="F3944" t="inlineStr">
        <is>
          <t>Bergvik skog öst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27467-2023</t>
        </is>
      </c>
      <c r="B3945" s="1" t="n">
        <v>45097</v>
      </c>
      <c r="C3945" s="1" t="n">
        <v>45706</v>
      </c>
      <c r="D3945" t="inlineStr">
        <is>
          <t>UPPSALA LÄN</t>
        </is>
      </c>
      <c r="E3945" t="inlineStr">
        <is>
          <t>UPPSALA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27617-2023</t>
        </is>
      </c>
      <c r="B3946" s="1" t="n">
        <v>45097</v>
      </c>
      <c r="C3946" s="1" t="n">
        <v>45706</v>
      </c>
      <c r="D3946" t="inlineStr">
        <is>
          <t>UPPSALA LÄN</t>
        </is>
      </c>
      <c r="E3946" t="inlineStr">
        <is>
          <t>UPPSALA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27622-2023</t>
        </is>
      </c>
      <c r="B3947" s="1" t="n">
        <v>45097</v>
      </c>
      <c r="C3947" s="1" t="n">
        <v>45706</v>
      </c>
      <c r="D3947" t="inlineStr">
        <is>
          <t>UPPSALA LÄN</t>
        </is>
      </c>
      <c r="E3947" t="inlineStr">
        <is>
          <t>UPPSALA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27538-2023</t>
        </is>
      </c>
      <c r="B3948" s="1" t="n">
        <v>45097</v>
      </c>
      <c r="C3948" s="1" t="n">
        <v>45706</v>
      </c>
      <c r="D3948" t="inlineStr">
        <is>
          <t>UPPSALA LÄN</t>
        </is>
      </c>
      <c r="E3948" t="inlineStr">
        <is>
          <t>ENKÖPING</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27599-2023</t>
        </is>
      </c>
      <c r="B3949" s="1" t="n">
        <v>45097</v>
      </c>
      <c r="C3949" s="1" t="n">
        <v>45706</v>
      </c>
      <c r="D3949" t="inlineStr">
        <is>
          <t>UPPSALA LÄN</t>
        </is>
      </c>
      <c r="E3949" t="inlineStr">
        <is>
          <t>UPPSALA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27620-2023</t>
        </is>
      </c>
      <c r="B3950" s="1" t="n">
        <v>45097</v>
      </c>
      <c r="C3950" s="1" t="n">
        <v>45706</v>
      </c>
      <c r="D3950" t="inlineStr">
        <is>
          <t>UPPSALA LÄN</t>
        </is>
      </c>
      <c r="E3950" t="inlineStr">
        <is>
          <t>UPPSALA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27660-2023</t>
        </is>
      </c>
      <c r="B3951" s="1" t="n">
        <v>45097</v>
      </c>
      <c r="C3951" s="1" t="n">
        <v>45706</v>
      </c>
      <c r="D3951" t="inlineStr">
        <is>
          <t>UPPSALA LÄN</t>
        </is>
      </c>
      <c r="E3951" t="inlineStr">
        <is>
          <t>ÖSTHAMMAR</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27659-2023</t>
        </is>
      </c>
      <c r="B3952" s="1" t="n">
        <v>45097</v>
      </c>
      <c r="C3952" s="1" t="n">
        <v>45706</v>
      </c>
      <c r="D3952" t="inlineStr">
        <is>
          <t>UPPSALA LÄN</t>
        </is>
      </c>
      <c r="E3952" t="inlineStr">
        <is>
          <t>ÖSTHAMMAR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27730-2023</t>
        </is>
      </c>
      <c r="B3953" s="1" t="n">
        <v>45097</v>
      </c>
      <c r="C3953" s="1" t="n">
        <v>45706</v>
      </c>
      <c r="D3953" t="inlineStr">
        <is>
          <t>UPPSALA LÄN</t>
        </is>
      </c>
      <c r="E3953" t="inlineStr">
        <is>
          <t>ENKÖPING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29220-2023</t>
        </is>
      </c>
      <c r="B3954" s="1" t="n">
        <v>45097</v>
      </c>
      <c r="C3954" s="1" t="n">
        <v>45706</v>
      </c>
      <c r="D3954" t="inlineStr">
        <is>
          <t>UPPSALA LÄN</t>
        </is>
      </c>
      <c r="E3954" t="inlineStr">
        <is>
          <t>KNIVSTA</t>
        </is>
      </c>
      <c r="G3954" t="n">
        <v>21.3</v>
      </c>
      <c r="H3954" t="n">
        <v>0</v>
      </c>
      <c r="I3954" t="n">
        <v>0</v>
      </c>
      <c r="J3954" t="n">
        <v>0</v>
      </c>
      <c r="K3954" t="n">
        <v>0</v>
      </c>
      <c r="L3954" t="n">
        <v>0</v>
      </c>
      <c r="M3954" t="n">
        <v>0</v>
      </c>
      <c r="N3954" t="n">
        <v>0</v>
      </c>
      <c r="O3954" t="n">
        <v>0</v>
      </c>
      <c r="P3954" t="n">
        <v>0</v>
      </c>
      <c r="Q3954" t="n">
        <v>0</v>
      </c>
      <c r="R3954" s="2" t="inlineStr"/>
    </row>
    <row r="3955" ht="15" customHeight="1">
      <c r="A3955" t="inlineStr">
        <is>
          <t>A 27801-2023</t>
        </is>
      </c>
      <c r="B3955" s="1" t="n">
        <v>45098</v>
      </c>
      <c r="C3955" s="1" t="n">
        <v>45706</v>
      </c>
      <c r="D3955" t="inlineStr">
        <is>
          <t>UPPSALA LÄN</t>
        </is>
      </c>
      <c r="E3955" t="inlineStr">
        <is>
          <t>ÖSTHAMMAR</t>
        </is>
      </c>
      <c r="F3955" t="inlineStr">
        <is>
          <t>Kyrkan</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27805-2023</t>
        </is>
      </c>
      <c r="B3956" s="1" t="n">
        <v>45098</v>
      </c>
      <c r="C3956" s="1" t="n">
        <v>45706</v>
      </c>
      <c r="D3956" t="inlineStr">
        <is>
          <t>UPPSALA LÄN</t>
        </is>
      </c>
      <c r="E3956" t="inlineStr">
        <is>
          <t>ENKÖPING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27840-2023</t>
        </is>
      </c>
      <c r="B3957" s="1" t="n">
        <v>45098</v>
      </c>
      <c r="C3957" s="1" t="n">
        <v>45706</v>
      </c>
      <c r="D3957" t="inlineStr">
        <is>
          <t>UPPSALA LÄN</t>
        </is>
      </c>
      <c r="E3957" t="inlineStr">
        <is>
          <t>HEBY</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27839-2023</t>
        </is>
      </c>
      <c r="B3958" s="1" t="n">
        <v>45098</v>
      </c>
      <c r="C3958" s="1" t="n">
        <v>45706</v>
      </c>
      <c r="D3958" t="inlineStr">
        <is>
          <t>UPPSALA LÄN</t>
        </is>
      </c>
      <c r="E3958" t="inlineStr">
        <is>
          <t>ENKÖPING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27856-2023</t>
        </is>
      </c>
      <c r="B3959" s="1" t="n">
        <v>45098</v>
      </c>
      <c r="C3959" s="1" t="n">
        <v>45706</v>
      </c>
      <c r="D3959" t="inlineStr">
        <is>
          <t>UPPSALA LÄN</t>
        </is>
      </c>
      <c r="E3959" t="inlineStr">
        <is>
          <t>TIERP</t>
        </is>
      </c>
      <c r="F3959" t="inlineStr">
        <is>
          <t>Bergvik skog öst AB</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27912-2023</t>
        </is>
      </c>
      <c r="B3960" s="1" t="n">
        <v>45098</v>
      </c>
      <c r="C3960" s="1" t="n">
        <v>45706</v>
      </c>
      <c r="D3960" t="inlineStr">
        <is>
          <t>UPPSALA LÄN</t>
        </is>
      </c>
      <c r="E3960" t="inlineStr">
        <is>
          <t>UPPSALA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27903-2023</t>
        </is>
      </c>
      <c r="B3961" s="1" t="n">
        <v>45098</v>
      </c>
      <c r="C3961" s="1" t="n">
        <v>45706</v>
      </c>
      <c r="D3961" t="inlineStr">
        <is>
          <t>UPPSALA LÄN</t>
        </is>
      </c>
      <c r="E3961" t="inlineStr">
        <is>
          <t>UPPSALA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27786-2023</t>
        </is>
      </c>
      <c r="B3962" s="1" t="n">
        <v>45098</v>
      </c>
      <c r="C3962" s="1" t="n">
        <v>45706</v>
      </c>
      <c r="D3962" t="inlineStr">
        <is>
          <t>UPPSALA LÄN</t>
        </is>
      </c>
      <c r="E3962" t="inlineStr">
        <is>
          <t>ENKÖPING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27855-2023</t>
        </is>
      </c>
      <c r="B3963" s="1" t="n">
        <v>45098</v>
      </c>
      <c r="C3963" s="1" t="n">
        <v>45706</v>
      </c>
      <c r="D3963" t="inlineStr">
        <is>
          <t>UPPSALA LÄN</t>
        </is>
      </c>
      <c r="E3963" t="inlineStr">
        <is>
          <t>ENKÖPING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27879-2023</t>
        </is>
      </c>
      <c r="B3964" s="1" t="n">
        <v>45098</v>
      </c>
      <c r="C3964" s="1" t="n">
        <v>45706</v>
      </c>
      <c r="D3964" t="inlineStr">
        <is>
          <t>UPPSALA LÄN</t>
        </is>
      </c>
      <c r="E3964" t="inlineStr">
        <is>
          <t>HEBY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27928-2023</t>
        </is>
      </c>
      <c r="B3965" s="1" t="n">
        <v>45098</v>
      </c>
      <c r="C3965" s="1" t="n">
        <v>45706</v>
      </c>
      <c r="D3965" t="inlineStr">
        <is>
          <t>UPPSALA LÄN</t>
        </is>
      </c>
      <c r="E3965" t="inlineStr">
        <is>
          <t>ENKÖPING</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27930-2023</t>
        </is>
      </c>
      <c r="B3966" s="1" t="n">
        <v>45098</v>
      </c>
      <c r="C3966" s="1" t="n">
        <v>45706</v>
      </c>
      <c r="D3966" t="inlineStr">
        <is>
          <t>UPPSALA LÄN</t>
        </is>
      </c>
      <c r="E3966" t="inlineStr">
        <is>
          <t>UPPSALA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28207-2023</t>
        </is>
      </c>
      <c r="B3967" s="1" t="n">
        <v>45099</v>
      </c>
      <c r="C3967" s="1" t="n">
        <v>45706</v>
      </c>
      <c r="D3967" t="inlineStr">
        <is>
          <t>UPPSALA LÄN</t>
        </is>
      </c>
      <c r="E3967" t="inlineStr">
        <is>
          <t>HEBY</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28146-2023</t>
        </is>
      </c>
      <c r="B3968" s="1" t="n">
        <v>45099</v>
      </c>
      <c r="C3968" s="1" t="n">
        <v>45706</v>
      </c>
      <c r="D3968" t="inlineStr">
        <is>
          <t>UPPSALA LÄN</t>
        </is>
      </c>
      <c r="E3968" t="inlineStr">
        <is>
          <t>HEBY</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28186-2023</t>
        </is>
      </c>
      <c r="B3969" s="1" t="n">
        <v>45099</v>
      </c>
      <c r="C3969" s="1" t="n">
        <v>45706</v>
      </c>
      <c r="D3969" t="inlineStr">
        <is>
          <t>UPPSALA LÄN</t>
        </is>
      </c>
      <c r="E3969" t="inlineStr">
        <is>
          <t>UPPSALA</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28243-2023</t>
        </is>
      </c>
      <c r="B3970" s="1" t="n">
        <v>45099</v>
      </c>
      <c r="C3970" s="1" t="n">
        <v>45706</v>
      </c>
      <c r="D3970" t="inlineStr">
        <is>
          <t>UPPSALA LÄN</t>
        </is>
      </c>
      <c r="E3970" t="inlineStr">
        <is>
          <t>ENKÖPING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28252-2023</t>
        </is>
      </c>
      <c r="B3971" s="1" t="n">
        <v>45099</v>
      </c>
      <c r="C3971" s="1" t="n">
        <v>45706</v>
      </c>
      <c r="D3971" t="inlineStr">
        <is>
          <t>UPPSALA LÄN</t>
        </is>
      </c>
      <c r="E3971" t="inlineStr">
        <is>
          <t>TIERP</t>
        </is>
      </c>
      <c r="F3971" t="inlineStr">
        <is>
          <t>Bergvik skog väst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28226-2023</t>
        </is>
      </c>
      <c r="B3972" s="1" t="n">
        <v>45099</v>
      </c>
      <c r="C3972" s="1" t="n">
        <v>45706</v>
      </c>
      <c r="D3972" t="inlineStr">
        <is>
          <t>UPPSALA LÄN</t>
        </is>
      </c>
      <c r="E3972" t="inlineStr">
        <is>
          <t>HEBY</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29917-2023</t>
        </is>
      </c>
      <c r="B3973" s="1" t="n">
        <v>45099</v>
      </c>
      <c r="C3973" s="1" t="n">
        <v>45706</v>
      </c>
      <c r="D3973" t="inlineStr">
        <is>
          <t>UPPSALA LÄN</t>
        </is>
      </c>
      <c r="E3973" t="inlineStr">
        <is>
          <t>ENKÖPING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29918-2023</t>
        </is>
      </c>
      <c r="B3974" s="1" t="n">
        <v>45099</v>
      </c>
      <c r="C3974" s="1" t="n">
        <v>45706</v>
      </c>
      <c r="D3974" t="inlineStr">
        <is>
          <t>UPPSALA LÄN</t>
        </is>
      </c>
      <c r="E3974" t="inlineStr">
        <is>
          <t>ENKÖPING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28422-2023</t>
        </is>
      </c>
      <c r="B3975" s="1" t="n">
        <v>45102</v>
      </c>
      <c r="C3975" s="1" t="n">
        <v>45706</v>
      </c>
      <c r="D3975" t="inlineStr">
        <is>
          <t>UPPSALA LÄN</t>
        </is>
      </c>
      <c r="E3975" t="inlineStr">
        <is>
          <t>ÖSTHAMMAR</t>
        </is>
      </c>
      <c r="F3975" t="inlineStr">
        <is>
          <t>Bergvik skog öst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28430-2023</t>
        </is>
      </c>
      <c r="B3976" s="1" t="n">
        <v>45102</v>
      </c>
      <c r="C3976" s="1" t="n">
        <v>45706</v>
      </c>
      <c r="D3976" t="inlineStr">
        <is>
          <t>UPPSALA LÄN</t>
        </is>
      </c>
      <c r="E3976" t="inlineStr">
        <is>
          <t>ÖSTHAMMAR</t>
        </is>
      </c>
      <c r="F3976" t="inlineStr">
        <is>
          <t>Bergvik skog öst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28434-2023</t>
        </is>
      </c>
      <c r="B3977" s="1" t="n">
        <v>45102</v>
      </c>
      <c r="C3977" s="1" t="n">
        <v>45706</v>
      </c>
      <c r="D3977" t="inlineStr">
        <is>
          <t>UPPSALA LÄN</t>
        </is>
      </c>
      <c r="E3977" t="inlineStr">
        <is>
          <t>ÖSTHAMMAR</t>
        </is>
      </c>
      <c r="F3977" t="inlineStr">
        <is>
          <t>Bergvik skog öst AB</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28420-2023</t>
        </is>
      </c>
      <c r="B3978" s="1" t="n">
        <v>45102</v>
      </c>
      <c r="C3978" s="1" t="n">
        <v>45706</v>
      </c>
      <c r="D3978" t="inlineStr">
        <is>
          <t>UPPSALA LÄN</t>
        </is>
      </c>
      <c r="E3978" t="inlineStr">
        <is>
          <t>ÖSTHAMMAR</t>
        </is>
      </c>
      <c r="F3978" t="inlineStr">
        <is>
          <t>Bergvik skog öst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28432-2023</t>
        </is>
      </c>
      <c r="B3979" s="1" t="n">
        <v>45102</v>
      </c>
      <c r="C3979" s="1" t="n">
        <v>45706</v>
      </c>
      <c r="D3979" t="inlineStr">
        <is>
          <t>UPPSALA LÄN</t>
        </is>
      </c>
      <c r="E3979" t="inlineStr">
        <is>
          <t>ÖSTHAMMAR</t>
        </is>
      </c>
      <c r="F3979" t="inlineStr">
        <is>
          <t>Bergvik skog öst AB</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28421-2023</t>
        </is>
      </c>
      <c r="B3980" s="1" t="n">
        <v>45102</v>
      </c>
      <c r="C3980" s="1" t="n">
        <v>45706</v>
      </c>
      <c r="D3980" t="inlineStr">
        <is>
          <t>UPPSALA LÄN</t>
        </is>
      </c>
      <c r="E3980" t="inlineStr">
        <is>
          <t>ÖSTHAMMAR</t>
        </is>
      </c>
      <c r="F3980" t="inlineStr">
        <is>
          <t>Bergvik skog öst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28429-2023</t>
        </is>
      </c>
      <c r="B3981" s="1" t="n">
        <v>45102</v>
      </c>
      <c r="C3981" s="1" t="n">
        <v>45706</v>
      </c>
      <c r="D3981" t="inlineStr">
        <is>
          <t>UPPSALA LÄN</t>
        </is>
      </c>
      <c r="E3981" t="inlineStr">
        <is>
          <t>ÖSTHAMMAR</t>
        </is>
      </c>
      <c r="F3981" t="inlineStr">
        <is>
          <t>Bergvik skog öst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28482-2023</t>
        </is>
      </c>
      <c r="B3982" s="1" t="n">
        <v>45103</v>
      </c>
      <c r="C3982" s="1" t="n">
        <v>45706</v>
      </c>
      <c r="D3982" t="inlineStr">
        <is>
          <t>UPPSALA LÄN</t>
        </is>
      </c>
      <c r="E3982" t="inlineStr">
        <is>
          <t>ÖSTHAMMAR</t>
        </is>
      </c>
      <c r="F3982" t="inlineStr">
        <is>
          <t>Naturvårdsverket</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28564-2023</t>
        </is>
      </c>
      <c r="B3983" s="1" t="n">
        <v>45103</v>
      </c>
      <c r="C3983" s="1" t="n">
        <v>45706</v>
      </c>
      <c r="D3983" t="inlineStr">
        <is>
          <t>UPPSALA LÄN</t>
        </is>
      </c>
      <c r="E3983" t="inlineStr">
        <is>
          <t>TIERP</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28577-2023</t>
        </is>
      </c>
      <c r="B3984" s="1" t="n">
        <v>45103</v>
      </c>
      <c r="C3984" s="1" t="n">
        <v>45706</v>
      </c>
      <c r="D3984" t="inlineStr">
        <is>
          <t>UPPSALA LÄN</t>
        </is>
      </c>
      <c r="E3984" t="inlineStr">
        <is>
          <t>UPPSALA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28701-2023</t>
        </is>
      </c>
      <c r="B3985" s="1" t="n">
        <v>45103</v>
      </c>
      <c r="C3985" s="1" t="n">
        <v>45706</v>
      </c>
      <c r="D3985" t="inlineStr">
        <is>
          <t>UPPSALA LÄN</t>
        </is>
      </c>
      <c r="E3985" t="inlineStr">
        <is>
          <t>UPPSALA</t>
        </is>
      </c>
      <c r="G3985" t="n">
        <v>12.4</v>
      </c>
      <c r="H3985" t="n">
        <v>0</v>
      </c>
      <c r="I3985" t="n">
        <v>0</v>
      </c>
      <c r="J3985" t="n">
        <v>0</v>
      </c>
      <c r="K3985" t="n">
        <v>0</v>
      </c>
      <c r="L3985" t="n">
        <v>0</v>
      </c>
      <c r="M3985" t="n">
        <v>0</v>
      </c>
      <c r="N3985" t="n">
        <v>0</v>
      </c>
      <c r="O3985" t="n">
        <v>0</v>
      </c>
      <c r="P3985" t="n">
        <v>0</v>
      </c>
      <c r="Q3985" t="n">
        <v>0</v>
      </c>
      <c r="R3985" s="2" t="inlineStr"/>
    </row>
    <row r="3986" ht="15" customHeight="1">
      <c r="A3986" t="inlineStr">
        <is>
          <t>A 31131-2023</t>
        </is>
      </c>
      <c r="B3986" s="1" t="n">
        <v>45103</v>
      </c>
      <c r="C3986" s="1" t="n">
        <v>45706</v>
      </c>
      <c r="D3986" t="inlineStr">
        <is>
          <t>UPPSALA LÄN</t>
        </is>
      </c>
      <c r="E3986" t="inlineStr">
        <is>
          <t>HEBY</t>
        </is>
      </c>
      <c r="F3986" t="inlineStr">
        <is>
          <t>Bergvik skog väst AB</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31139-2023</t>
        </is>
      </c>
      <c r="B3987" s="1" t="n">
        <v>45103</v>
      </c>
      <c r="C3987" s="1" t="n">
        <v>45706</v>
      </c>
      <c r="D3987" t="inlineStr">
        <is>
          <t>UPPSALA LÄN</t>
        </is>
      </c>
      <c r="E3987" t="inlineStr">
        <is>
          <t>HEBY</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31143-2023</t>
        </is>
      </c>
      <c r="B3988" s="1" t="n">
        <v>45103</v>
      </c>
      <c r="C3988" s="1" t="n">
        <v>45706</v>
      </c>
      <c r="D3988" t="inlineStr">
        <is>
          <t>UPPSALA LÄN</t>
        </is>
      </c>
      <c r="E3988" t="inlineStr">
        <is>
          <t>HEBY</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28912-2023</t>
        </is>
      </c>
      <c r="B3989" s="1" t="n">
        <v>45104</v>
      </c>
      <c r="C3989" s="1" t="n">
        <v>45706</v>
      </c>
      <c r="D3989" t="inlineStr">
        <is>
          <t>UPPSALA LÄN</t>
        </is>
      </c>
      <c r="E3989" t="inlineStr">
        <is>
          <t>TIERP</t>
        </is>
      </c>
      <c r="F3989" t="inlineStr">
        <is>
          <t>Bergvik skog öst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29019-2023</t>
        </is>
      </c>
      <c r="B3990" s="1" t="n">
        <v>45104</v>
      </c>
      <c r="C3990" s="1" t="n">
        <v>45706</v>
      </c>
      <c r="D3990" t="inlineStr">
        <is>
          <t>UPPSALA LÄN</t>
        </is>
      </c>
      <c r="E3990" t="inlineStr">
        <is>
          <t>UPPSALA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28909-2023</t>
        </is>
      </c>
      <c r="B3991" s="1" t="n">
        <v>45104</v>
      </c>
      <c r="C3991" s="1" t="n">
        <v>45706</v>
      </c>
      <c r="D3991" t="inlineStr">
        <is>
          <t>UPPSALA LÄN</t>
        </is>
      </c>
      <c r="E3991" t="inlineStr">
        <is>
          <t>TIERP</t>
        </is>
      </c>
      <c r="F3991" t="inlineStr">
        <is>
          <t>Bergvik skog öst AB</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31573-2023</t>
        </is>
      </c>
      <c r="B3992" s="1" t="n">
        <v>45104</v>
      </c>
      <c r="C3992" s="1" t="n">
        <v>45706</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29109-2023</t>
        </is>
      </c>
      <c r="B3993" s="1" t="n">
        <v>45105</v>
      </c>
      <c r="C3993" s="1" t="n">
        <v>45706</v>
      </c>
      <c r="D3993" t="inlineStr">
        <is>
          <t>UPPSALA LÄN</t>
        </is>
      </c>
      <c r="E3993" t="inlineStr">
        <is>
          <t>TIERP</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29113-2023</t>
        </is>
      </c>
      <c r="B3994" s="1" t="n">
        <v>45105</v>
      </c>
      <c r="C3994" s="1" t="n">
        <v>45706</v>
      </c>
      <c r="D3994" t="inlineStr">
        <is>
          <t>UPPSALA LÄN</t>
        </is>
      </c>
      <c r="E3994" t="inlineStr">
        <is>
          <t>TIERP</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29110-2023</t>
        </is>
      </c>
      <c r="B3995" s="1" t="n">
        <v>45105</v>
      </c>
      <c r="C3995" s="1" t="n">
        <v>45706</v>
      </c>
      <c r="D3995" t="inlineStr">
        <is>
          <t>UPPSALA LÄN</t>
        </is>
      </c>
      <c r="E3995" t="inlineStr">
        <is>
          <t>TIERP</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29115-2023</t>
        </is>
      </c>
      <c r="B3996" s="1" t="n">
        <v>45105</v>
      </c>
      <c r="C3996" s="1" t="n">
        <v>45706</v>
      </c>
      <c r="D3996" t="inlineStr">
        <is>
          <t>UPPSALA LÄN</t>
        </is>
      </c>
      <c r="E3996" t="inlineStr">
        <is>
          <t>TIERP</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29085-2023</t>
        </is>
      </c>
      <c r="B3997" s="1" t="n">
        <v>45105</v>
      </c>
      <c r="C3997" s="1" t="n">
        <v>45706</v>
      </c>
      <c r="D3997" t="inlineStr">
        <is>
          <t>UPPSALA LÄN</t>
        </is>
      </c>
      <c r="E3997" t="inlineStr">
        <is>
          <t>HEBY</t>
        </is>
      </c>
      <c r="G3997" t="n">
        <v>14.6</v>
      </c>
      <c r="H3997" t="n">
        <v>0</v>
      </c>
      <c r="I3997" t="n">
        <v>0</v>
      </c>
      <c r="J3997" t="n">
        <v>0</v>
      </c>
      <c r="K3997" t="n">
        <v>0</v>
      </c>
      <c r="L3997" t="n">
        <v>0</v>
      </c>
      <c r="M3997" t="n">
        <v>0</v>
      </c>
      <c r="N3997" t="n">
        <v>0</v>
      </c>
      <c r="O3997" t="n">
        <v>0</v>
      </c>
      <c r="P3997" t="n">
        <v>0</v>
      </c>
      <c r="Q3997" t="n">
        <v>0</v>
      </c>
      <c r="R3997" s="2" t="inlineStr"/>
    </row>
    <row r="3998" ht="15" customHeight="1">
      <c r="A3998" t="inlineStr">
        <is>
          <t>A 29099-2023</t>
        </is>
      </c>
      <c r="B3998" s="1" t="n">
        <v>45105</v>
      </c>
      <c r="C3998" s="1" t="n">
        <v>45706</v>
      </c>
      <c r="D3998" t="inlineStr">
        <is>
          <t>UPPSALA LÄN</t>
        </is>
      </c>
      <c r="E3998" t="inlineStr">
        <is>
          <t>TIERP</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31599-2023</t>
        </is>
      </c>
      <c r="B3999" s="1" t="n">
        <v>45105</v>
      </c>
      <c r="C3999" s="1" t="n">
        <v>45706</v>
      </c>
      <c r="D3999" t="inlineStr">
        <is>
          <t>UPPSALA LÄN</t>
        </is>
      </c>
      <c r="E3999" t="inlineStr">
        <is>
          <t>UPPSALA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29282-2023</t>
        </is>
      </c>
      <c r="B4000" s="1" t="n">
        <v>45105</v>
      </c>
      <c r="C4000" s="1" t="n">
        <v>45706</v>
      </c>
      <c r="D4000" t="inlineStr">
        <is>
          <t>UPPSALA LÄN</t>
        </is>
      </c>
      <c r="E4000" t="inlineStr">
        <is>
          <t>UPPSALA</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29098-2023</t>
        </is>
      </c>
      <c r="B4001" s="1" t="n">
        <v>45105</v>
      </c>
      <c r="C4001" s="1" t="n">
        <v>45706</v>
      </c>
      <c r="D4001" t="inlineStr">
        <is>
          <t>UPPSALA LÄN</t>
        </is>
      </c>
      <c r="E4001" t="inlineStr">
        <is>
          <t>TIERP</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29107-2023</t>
        </is>
      </c>
      <c r="B4002" s="1" t="n">
        <v>45105</v>
      </c>
      <c r="C4002" s="1" t="n">
        <v>45706</v>
      </c>
      <c r="D4002" t="inlineStr">
        <is>
          <t>UPPSALA LÄN</t>
        </is>
      </c>
      <c r="E4002" t="inlineStr">
        <is>
          <t>TIERP</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31630-2023</t>
        </is>
      </c>
      <c r="B4003" s="1" t="n">
        <v>45105</v>
      </c>
      <c r="C4003" s="1" t="n">
        <v>45706</v>
      </c>
      <c r="D4003" t="inlineStr">
        <is>
          <t>UPPSALA LÄN</t>
        </is>
      </c>
      <c r="E4003" t="inlineStr">
        <is>
          <t>UPPSALA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29536-2023</t>
        </is>
      </c>
      <c r="B4004" s="1" t="n">
        <v>45106</v>
      </c>
      <c r="C4004" s="1" t="n">
        <v>45706</v>
      </c>
      <c r="D4004" t="inlineStr">
        <is>
          <t>UPPSALA LÄN</t>
        </is>
      </c>
      <c r="E4004" t="inlineStr">
        <is>
          <t>HEBY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29480-2023</t>
        </is>
      </c>
      <c r="B4005" s="1" t="n">
        <v>45106</v>
      </c>
      <c r="C4005" s="1" t="n">
        <v>45706</v>
      </c>
      <c r="D4005" t="inlineStr">
        <is>
          <t>UPPSALA LÄN</t>
        </is>
      </c>
      <c r="E4005" t="inlineStr">
        <is>
          <t>TIERP</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29529-2023</t>
        </is>
      </c>
      <c r="B4006" s="1" t="n">
        <v>45106</v>
      </c>
      <c r="C4006" s="1" t="n">
        <v>45706</v>
      </c>
      <c r="D4006" t="inlineStr">
        <is>
          <t>UPPSALA LÄN</t>
        </is>
      </c>
      <c r="E4006" t="inlineStr">
        <is>
          <t>HEBY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29579-2023</t>
        </is>
      </c>
      <c r="B4007" s="1" t="n">
        <v>45106</v>
      </c>
      <c r="C4007" s="1" t="n">
        <v>45706</v>
      </c>
      <c r="D4007" t="inlineStr">
        <is>
          <t>UPPSALA LÄN</t>
        </is>
      </c>
      <c r="E4007" t="inlineStr">
        <is>
          <t>UPPSALA</t>
        </is>
      </c>
      <c r="F4007" t="inlineStr">
        <is>
          <t>Kyrkan</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29591-2023</t>
        </is>
      </c>
      <c r="B4008" s="1" t="n">
        <v>45106</v>
      </c>
      <c r="C4008" s="1" t="n">
        <v>45706</v>
      </c>
      <c r="D4008" t="inlineStr">
        <is>
          <t>UPPSALA LÄN</t>
        </is>
      </c>
      <c r="E4008" t="inlineStr">
        <is>
          <t>HEBY</t>
        </is>
      </c>
      <c r="F4008" t="inlineStr">
        <is>
          <t>Bergvik skog öst AB</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29533-2023</t>
        </is>
      </c>
      <c r="B4009" s="1" t="n">
        <v>45106</v>
      </c>
      <c r="C4009" s="1" t="n">
        <v>45706</v>
      </c>
      <c r="D4009" t="inlineStr">
        <is>
          <t>UPPSALA LÄN</t>
        </is>
      </c>
      <c r="E4009" t="inlineStr">
        <is>
          <t>HEBY</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29564-2023</t>
        </is>
      </c>
      <c r="B4010" s="1" t="n">
        <v>45106</v>
      </c>
      <c r="C4010" s="1" t="n">
        <v>45706</v>
      </c>
      <c r="D4010" t="inlineStr">
        <is>
          <t>UPPSALA LÄN</t>
        </is>
      </c>
      <c r="E4010" t="inlineStr">
        <is>
          <t>ÖSTHAMMAR</t>
        </is>
      </c>
      <c r="F4010" t="inlineStr">
        <is>
          <t>Naturvårdsverket</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29815-2023</t>
        </is>
      </c>
      <c r="B4011" s="1" t="n">
        <v>45107</v>
      </c>
      <c r="C4011" s="1" t="n">
        <v>45706</v>
      </c>
      <c r="D4011" t="inlineStr">
        <is>
          <t>UPPSALA LÄN</t>
        </is>
      </c>
      <c r="E4011" t="inlineStr">
        <is>
          <t>UPPSALA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29873-2023</t>
        </is>
      </c>
      <c r="B4012" s="1" t="n">
        <v>45107</v>
      </c>
      <c r="C4012" s="1" t="n">
        <v>45706</v>
      </c>
      <c r="D4012" t="inlineStr">
        <is>
          <t>UPPSALA LÄN</t>
        </is>
      </c>
      <c r="E4012" t="inlineStr">
        <is>
          <t>ÖSTHAMMAR</t>
        </is>
      </c>
      <c r="F4012" t="inlineStr">
        <is>
          <t>Naturvårdsverket</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29901-2023</t>
        </is>
      </c>
      <c r="B4013" s="1" t="n">
        <v>45107</v>
      </c>
      <c r="C4013" s="1" t="n">
        <v>45706</v>
      </c>
      <c r="D4013" t="inlineStr">
        <is>
          <t>UPPSALA LÄN</t>
        </is>
      </c>
      <c r="E4013" t="inlineStr">
        <is>
          <t>UPPSALA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29868-2023</t>
        </is>
      </c>
      <c r="B4014" s="1" t="n">
        <v>45107</v>
      </c>
      <c r="C4014" s="1" t="n">
        <v>45706</v>
      </c>
      <c r="D4014" t="inlineStr">
        <is>
          <t>UPPSALA LÄN</t>
        </is>
      </c>
      <c r="E4014" t="inlineStr">
        <is>
          <t>UPPSALA</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29799-2023</t>
        </is>
      </c>
      <c r="B4015" s="1" t="n">
        <v>45107</v>
      </c>
      <c r="C4015" s="1" t="n">
        <v>45706</v>
      </c>
      <c r="D4015" t="inlineStr">
        <is>
          <t>UPPSALA LÄN</t>
        </is>
      </c>
      <c r="E4015" t="inlineStr">
        <is>
          <t>UPPSALA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29808-2023</t>
        </is>
      </c>
      <c r="B4016" s="1" t="n">
        <v>45107</v>
      </c>
      <c r="C4016" s="1" t="n">
        <v>45706</v>
      </c>
      <c r="D4016" t="inlineStr">
        <is>
          <t>UPPSALA LÄN</t>
        </is>
      </c>
      <c r="E4016" t="inlineStr">
        <is>
          <t>UPPSALA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29824-2023</t>
        </is>
      </c>
      <c r="B4017" s="1" t="n">
        <v>45107</v>
      </c>
      <c r="C4017" s="1" t="n">
        <v>45706</v>
      </c>
      <c r="D4017" t="inlineStr">
        <is>
          <t>UPPSALA LÄN</t>
        </is>
      </c>
      <c r="E4017" t="inlineStr">
        <is>
          <t>ÖSTHAMMAR</t>
        </is>
      </c>
      <c r="F4017" t="inlineStr">
        <is>
          <t>Naturvårdsverket</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29902-2023</t>
        </is>
      </c>
      <c r="B4018" s="1" t="n">
        <v>45107</v>
      </c>
      <c r="C4018" s="1" t="n">
        <v>45706</v>
      </c>
      <c r="D4018" t="inlineStr">
        <is>
          <t>UPPSALA LÄN</t>
        </is>
      </c>
      <c r="E4018" t="inlineStr">
        <is>
          <t>UPPSALA</t>
        </is>
      </c>
      <c r="F4018" t="inlineStr">
        <is>
          <t>Kyrkan</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29926-2023</t>
        </is>
      </c>
      <c r="B4019" s="1" t="n">
        <v>45107</v>
      </c>
      <c r="C4019" s="1" t="n">
        <v>45706</v>
      </c>
      <c r="D4019" t="inlineStr">
        <is>
          <t>UPPSALA LÄN</t>
        </is>
      </c>
      <c r="E4019" t="inlineStr">
        <is>
          <t>UPPSALA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29927-2023</t>
        </is>
      </c>
      <c r="B4020" s="1" t="n">
        <v>45107</v>
      </c>
      <c r="C4020" s="1" t="n">
        <v>45706</v>
      </c>
      <c r="D4020" t="inlineStr">
        <is>
          <t>UPPSALA LÄN</t>
        </is>
      </c>
      <c r="E4020" t="inlineStr">
        <is>
          <t>UPPSALA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30058-2023</t>
        </is>
      </c>
      <c r="B4021" s="1" t="n">
        <v>45110</v>
      </c>
      <c r="C4021" s="1" t="n">
        <v>45706</v>
      </c>
      <c r="D4021" t="inlineStr">
        <is>
          <t>UPPSALA LÄN</t>
        </is>
      </c>
      <c r="E4021" t="inlineStr">
        <is>
          <t>HEBY</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30086-2023</t>
        </is>
      </c>
      <c r="B4022" s="1" t="n">
        <v>45110</v>
      </c>
      <c r="C4022" s="1" t="n">
        <v>45706</v>
      </c>
      <c r="D4022" t="inlineStr">
        <is>
          <t>UPPSALA LÄN</t>
        </is>
      </c>
      <c r="E4022" t="inlineStr">
        <is>
          <t>ÖSTHAMMAR</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30111-2023</t>
        </is>
      </c>
      <c r="B4023" s="1" t="n">
        <v>45110</v>
      </c>
      <c r="C4023" s="1" t="n">
        <v>45706</v>
      </c>
      <c r="D4023" t="inlineStr">
        <is>
          <t>UPPSALA LÄN</t>
        </is>
      </c>
      <c r="E4023" t="inlineStr">
        <is>
          <t>KNIVSTA</t>
        </is>
      </c>
      <c r="F4023" t="inlineStr">
        <is>
          <t>Holmen skog AB</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30128-2023</t>
        </is>
      </c>
      <c r="B4024" s="1" t="n">
        <v>45110</v>
      </c>
      <c r="C4024" s="1" t="n">
        <v>45706</v>
      </c>
      <c r="D4024" t="inlineStr">
        <is>
          <t>UPPSALA LÄN</t>
        </is>
      </c>
      <c r="E4024" t="inlineStr">
        <is>
          <t>KNIVSTA</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30167-2023</t>
        </is>
      </c>
      <c r="B4025" s="1" t="n">
        <v>45110</v>
      </c>
      <c r="C4025" s="1" t="n">
        <v>45706</v>
      </c>
      <c r="D4025" t="inlineStr">
        <is>
          <t>UPPSALA LÄN</t>
        </is>
      </c>
      <c r="E4025" t="inlineStr">
        <is>
          <t>KNIVSTA</t>
        </is>
      </c>
      <c r="F4025" t="inlineStr">
        <is>
          <t>Holmen skog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30178-2023</t>
        </is>
      </c>
      <c r="B4026" s="1" t="n">
        <v>45110</v>
      </c>
      <c r="C4026" s="1" t="n">
        <v>45706</v>
      </c>
      <c r="D4026" t="inlineStr">
        <is>
          <t>UPPSALA LÄN</t>
        </is>
      </c>
      <c r="E4026" t="inlineStr">
        <is>
          <t>KNIVSTA</t>
        </is>
      </c>
      <c r="F4026" t="inlineStr">
        <is>
          <t>Holmen skog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32428-2023</t>
        </is>
      </c>
      <c r="B4027" s="1" t="n">
        <v>45110</v>
      </c>
      <c r="C4027" s="1" t="n">
        <v>45706</v>
      </c>
      <c r="D4027" t="inlineStr">
        <is>
          <t>UPPSALA LÄN</t>
        </is>
      </c>
      <c r="E4027" t="inlineStr">
        <is>
          <t>UPPSALA</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30470-2023</t>
        </is>
      </c>
      <c r="B4028" s="1" t="n">
        <v>45111</v>
      </c>
      <c r="C4028" s="1" t="n">
        <v>45706</v>
      </c>
      <c r="D4028" t="inlineStr">
        <is>
          <t>UPPSALA LÄN</t>
        </is>
      </c>
      <c r="E4028" t="inlineStr">
        <is>
          <t>ÖSTHAMMAR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30498-2023</t>
        </is>
      </c>
      <c r="B4029" s="1" t="n">
        <v>45111</v>
      </c>
      <c r="C4029" s="1" t="n">
        <v>45706</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30433-2023</t>
        </is>
      </c>
      <c r="B4030" s="1" t="n">
        <v>45111</v>
      </c>
      <c r="C4030" s="1" t="n">
        <v>45706</v>
      </c>
      <c r="D4030" t="inlineStr">
        <is>
          <t>UPPSALA LÄN</t>
        </is>
      </c>
      <c r="E4030" t="inlineStr">
        <is>
          <t>HEBY</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30693-2023</t>
        </is>
      </c>
      <c r="B4031" s="1" t="n">
        <v>45112</v>
      </c>
      <c r="C4031" s="1" t="n">
        <v>45706</v>
      </c>
      <c r="D4031" t="inlineStr">
        <is>
          <t>UPPSALA LÄN</t>
        </is>
      </c>
      <c r="E4031" t="inlineStr">
        <is>
          <t>KNIVSTA</t>
        </is>
      </c>
      <c r="F4031" t="inlineStr">
        <is>
          <t>Holmen skog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30719-2023</t>
        </is>
      </c>
      <c r="B4032" s="1" t="n">
        <v>45112</v>
      </c>
      <c r="C4032" s="1" t="n">
        <v>45706</v>
      </c>
      <c r="D4032" t="inlineStr">
        <is>
          <t>UPPSALA LÄN</t>
        </is>
      </c>
      <c r="E4032" t="inlineStr">
        <is>
          <t>KNIVSTA</t>
        </is>
      </c>
      <c r="F4032" t="inlineStr">
        <is>
          <t>Holmen skog AB</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30629-2023</t>
        </is>
      </c>
      <c r="B4033" s="1" t="n">
        <v>45112</v>
      </c>
      <c r="C4033" s="1" t="n">
        <v>45706</v>
      </c>
      <c r="D4033" t="inlineStr">
        <is>
          <t>UPPSALA LÄN</t>
        </is>
      </c>
      <c r="E4033" t="inlineStr">
        <is>
          <t>UPPSALA</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30809-2023</t>
        </is>
      </c>
      <c r="B4034" s="1" t="n">
        <v>45112</v>
      </c>
      <c r="C4034" s="1" t="n">
        <v>45706</v>
      </c>
      <c r="D4034" t="inlineStr">
        <is>
          <t>UPPSALA LÄN</t>
        </is>
      </c>
      <c r="E4034" t="inlineStr">
        <is>
          <t>ÖSTHAMMAR</t>
        </is>
      </c>
      <c r="F4034" t="inlineStr">
        <is>
          <t>Bergvik skog öst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30808-2023</t>
        </is>
      </c>
      <c r="B4035" s="1" t="n">
        <v>45112</v>
      </c>
      <c r="C4035" s="1" t="n">
        <v>45706</v>
      </c>
      <c r="D4035" t="inlineStr">
        <is>
          <t>UPPSALA LÄN</t>
        </is>
      </c>
      <c r="E4035" t="inlineStr">
        <is>
          <t>ÖSTHAMMAR</t>
        </is>
      </c>
      <c r="F4035" t="inlineStr">
        <is>
          <t>Bergvik skog öst AB</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30812-2023</t>
        </is>
      </c>
      <c r="B4036" s="1" t="n">
        <v>45112</v>
      </c>
      <c r="C4036" s="1" t="n">
        <v>45706</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30627-2023</t>
        </is>
      </c>
      <c r="B4037" s="1" t="n">
        <v>45112</v>
      </c>
      <c r="C4037" s="1" t="n">
        <v>45706</v>
      </c>
      <c r="D4037" t="inlineStr">
        <is>
          <t>UPPSALA LÄN</t>
        </is>
      </c>
      <c r="E4037" t="inlineStr">
        <is>
          <t>KNIVSTA</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30764-2023</t>
        </is>
      </c>
      <c r="B4038" s="1" t="n">
        <v>45112</v>
      </c>
      <c r="C4038" s="1" t="n">
        <v>45706</v>
      </c>
      <c r="D4038" t="inlineStr">
        <is>
          <t>UPPSALA LÄN</t>
        </is>
      </c>
      <c r="E4038" t="inlineStr">
        <is>
          <t>KNIVSTA</t>
        </is>
      </c>
      <c r="F4038" t="inlineStr">
        <is>
          <t>Holmen skog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30810-2023</t>
        </is>
      </c>
      <c r="B4039" s="1" t="n">
        <v>45112</v>
      </c>
      <c r="C4039" s="1" t="n">
        <v>45706</v>
      </c>
      <c r="D4039" t="inlineStr">
        <is>
          <t>UPPSALA LÄN</t>
        </is>
      </c>
      <c r="E4039" t="inlineStr">
        <is>
          <t>ÖSTHAMMAR</t>
        </is>
      </c>
      <c r="F4039" t="inlineStr">
        <is>
          <t>Bergvik skog öst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30811-2023</t>
        </is>
      </c>
      <c r="B4040" s="1" t="n">
        <v>45112</v>
      </c>
      <c r="C4040" s="1" t="n">
        <v>45706</v>
      </c>
      <c r="D4040" t="inlineStr">
        <is>
          <t>UPPSALA LÄN</t>
        </is>
      </c>
      <c r="E4040" t="inlineStr">
        <is>
          <t>ÖSTHAMMAR</t>
        </is>
      </c>
      <c r="F4040" t="inlineStr">
        <is>
          <t>Bergvik skog öst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32689-2023</t>
        </is>
      </c>
      <c r="B4041" s="1" t="n">
        <v>45112</v>
      </c>
      <c r="C4041" s="1" t="n">
        <v>45706</v>
      </c>
      <c r="D4041" t="inlineStr">
        <is>
          <t>UPPSALA LÄN</t>
        </is>
      </c>
      <c r="E4041" t="inlineStr">
        <is>
          <t>UPPSALA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32867-2023</t>
        </is>
      </c>
      <c r="B4042" s="1" t="n">
        <v>45112</v>
      </c>
      <c r="C4042" s="1" t="n">
        <v>45706</v>
      </c>
      <c r="D4042" t="inlineStr">
        <is>
          <t>UPPSALA LÄN</t>
        </is>
      </c>
      <c r="E4042" t="inlineStr">
        <is>
          <t>HEBY</t>
        </is>
      </c>
      <c r="F4042" t="inlineStr">
        <is>
          <t>Bergvik skog väst AB</t>
        </is>
      </c>
      <c r="G4042" t="n">
        <v>12.3</v>
      </c>
      <c r="H4042" t="n">
        <v>0</v>
      </c>
      <c r="I4042" t="n">
        <v>0</v>
      </c>
      <c r="J4042" t="n">
        <v>0</v>
      </c>
      <c r="K4042" t="n">
        <v>0</v>
      </c>
      <c r="L4042" t="n">
        <v>0</v>
      </c>
      <c r="M4042" t="n">
        <v>0</v>
      </c>
      <c r="N4042" t="n">
        <v>0</v>
      </c>
      <c r="O4042" t="n">
        <v>0</v>
      </c>
      <c r="P4042" t="n">
        <v>0</v>
      </c>
      <c r="Q4042" t="n">
        <v>0</v>
      </c>
      <c r="R4042" s="2" t="inlineStr"/>
    </row>
    <row r="4043" ht="15" customHeight="1">
      <c r="A4043" t="inlineStr">
        <is>
          <t>A 30891-2023</t>
        </is>
      </c>
      <c r="B4043" s="1" t="n">
        <v>45113</v>
      </c>
      <c r="C4043" s="1" t="n">
        <v>45706</v>
      </c>
      <c r="D4043" t="inlineStr">
        <is>
          <t>UPPSALA LÄN</t>
        </is>
      </c>
      <c r="E4043" t="inlineStr">
        <is>
          <t>HEBY</t>
        </is>
      </c>
      <c r="F4043" t="inlineStr">
        <is>
          <t>Övriga Aktiebolag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30950-2023</t>
        </is>
      </c>
      <c r="B4044" s="1" t="n">
        <v>45113</v>
      </c>
      <c r="C4044" s="1" t="n">
        <v>45706</v>
      </c>
      <c r="D4044" t="inlineStr">
        <is>
          <t>UPPSALA LÄN</t>
        </is>
      </c>
      <c r="E4044" t="inlineStr">
        <is>
          <t>ENKÖPING</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30897-2023</t>
        </is>
      </c>
      <c r="B4045" s="1" t="n">
        <v>45113</v>
      </c>
      <c r="C4045" s="1" t="n">
        <v>45706</v>
      </c>
      <c r="D4045" t="inlineStr">
        <is>
          <t>UPPSALA LÄN</t>
        </is>
      </c>
      <c r="E4045" t="inlineStr">
        <is>
          <t>HEBY</t>
        </is>
      </c>
      <c r="F4045" t="inlineStr">
        <is>
          <t>Övriga Aktiebolag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30901-2023</t>
        </is>
      </c>
      <c r="B4046" s="1" t="n">
        <v>45113</v>
      </c>
      <c r="C4046" s="1" t="n">
        <v>45706</v>
      </c>
      <c r="D4046" t="inlineStr">
        <is>
          <t>UPPSALA LÄN</t>
        </is>
      </c>
      <c r="E4046" t="inlineStr">
        <is>
          <t>HEBY</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31157-2023</t>
        </is>
      </c>
      <c r="B4047" s="1" t="n">
        <v>45113</v>
      </c>
      <c r="C4047" s="1" t="n">
        <v>45706</v>
      </c>
      <c r="D4047" t="inlineStr">
        <is>
          <t>UPPSALA LÄN</t>
        </is>
      </c>
      <c r="E4047" t="inlineStr">
        <is>
          <t>UPPSALA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31163-2023</t>
        </is>
      </c>
      <c r="B4048" s="1" t="n">
        <v>45113</v>
      </c>
      <c r="C4048" s="1" t="n">
        <v>45706</v>
      </c>
      <c r="D4048" t="inlineStr">
        <is>
          <t>UPPSALA LÄN</t>
        </is>
      </c>
      <c r="E4048" t="inlineStr">
        <is>
          <t>ENKÖPING</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31161-2023</t>
        </is>
      </c>
      <c r="B4049" s="1" t="n">
        <v>45113</v>
      </c>
      <c r="C4049" s="1" t="n">
        <v>45706</v>
      </c>
      <c r="D4049" t="inlineStr">
        <is>
          <t>UPPSALA LÄN</t>
        </is>
      </c>
      <c r="E4049" t="inlineStr">
        <is>
          <t>UPPSALA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31279-2023</t>
        </is>
      </c>
      <c r="B4050" s="1" t="n">
        <v>45114</v>
      </c>
      <c r="C4050" s="1" t="n">
        <v>45706</v>
      </c>
      <c r="D4050" t="inlineStr">
        <is>
          <t>UPPSALA LÄN</t>
        </is>
      </c>
      <c r="E4050" t="inlineStr">
        <is>
          <t>TIERP</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31407-2023</t>
        </is>
      </c>
      <c r="B4051" s="1" t="n">
        <v>45114</v>
      </c>
      <c r="C4051" s="1" t="n">
        <v>45706</v>
      </c>
      <c r="D4051" t="inlineStr">
        <is>
          <t>UPPSALA LÄN</t>
        </is>
      </c>
      <c r="E4051" t="inlineStr">
        <is>
          <t>HEBY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31273-2023</t>
        </is>
      </c>
      <c r="B4052" s="1" t="n">
        <v>45114</v>
      </c>
      <c r="C4052" s="1" t="n">
        <v>45706</v>
      </c>
      <c r="D4052" t="inlineStr">
        <is>
          <t>UPPSALA LÄN</t>
        </is>
      </c>
      <c r="E4052" t="inlineStr">
        <is>
          <t>TIERP</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31480-2023</t>
        </is>
      </c>
      <c r="B4053" s="1" t="n">
        <v>45114</v>
      </c>
      <c r="C4053" s="1" t="n">
        <v>45706</v>
      </c>
      <c r="D4053" t="inlineStr">
        <is>
          <t>UPPSALA LÄN</t>
        </is>
      </c>
      <c r="E4053" t="inlineStr">
        <is>
          <t>ÖSTHAMMAR</t>
        </is>
      </c>
      <c r="F4053" t="inlineStr">
        <is>
          <t>Bergvik skog öst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31484-2023</t>
        </is>
      </c>
      <c r="B4054" s="1" t="n">
        <v>45114</v>
      </c>
      <c r="C4054" s="1" t="n">
        <v>45706</v>
      </c>
      <c r="D4054" t="inlineStr">
        <is>
          <t>UPPSALA LÄN</t>
        </is>
      </c>
      <c r="E4054" t="inlineStr">
        <is>
          <t>ÖSTHAMMAR</t>
        </is>
      </c>
      <c r="F4054" t="inlineStr">
        <is>
          <t>Bergvik skog öst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31479-2023</t>
        </is>
      </c>
      <c r="B4055" s="1" t="n">
        <v>45114</v>
      </c>
      <c r="C4055" s="1" t="n">
        <v>45706</v>
      </c>
      <c r="D4055" t="inlineStr">
        <is>
          <t>UPPSALA LÄN</t>
        </is>
      </c>
      <c r="E4055" t="inlineStr">
        <is>
          <t>ÖSTHAMMAR</t>
        </is>
      </c>
      <c r="F4055" t="inlineStr">
        <is>
          <t>Bergvik skog öst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31483-2023</t>
        </is>
      </c>
      <c r="B4056" s="1" t="n">
        <v>45114</v>
      </c>
      <c r="C4056" s="1" t="n">
        <v>45706</v>
      </c>
      <c r="D4056" t="inlineStr">
        <is>
          <t>UPPSALA LÄN</t>
        </is>
      </c>
      <c r="E4056" t="inlineStr">
        <is>
          <t>ÖSTHAMMAR</t>
        </is>
      </c>
      <c r="F4056" t="inlineStr">
        <is>
          <t>Bergvik skog öst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31482-2023</t>
        </is>
      </c>
      <c r="B4057" s="1" t="n">
        <v>45114</v>
      </c>
      <c r="C4057" s="1" t="n">
        <v>45706</v>
      </c>
      <c r="D4057" t="inlineStr">
        <is>
          <t>UPPSALA LÄN</t>
        </is>
      </c>
      <c r="E4057" t="inlineStr">
        <is>
          <t>ÖSTHAMMAR</t>
        </is>
      </c>
      <c r="F4057" t="inlineStr">
        <is>
          <t>Bergvik skog öst AB</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31486-2023</t>
        </is>
      </c>
      <c r="B4058" s="1" t="n">
        <v>45114</v>
      </c>
      <c r="C4058" s="1" t="n">
        <v>45706</v>
      </c>
      <c r="D4058" t="inlineStr">
        <is>
          <t>UPPSALA LÄN</t>
        </is>
      </c>
      <c r="E4058" t="inlineStr">
        <is>
          <t>ÖSTHAMMAR</t>
        </is>
      </c>
      <c r="F4058" t="inlineStr">
        <is>
          <t>Bergvik skog öst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31481-2023</t>
        </is>
      </c>
      <c r="B4059" s="1" t="n">
        <v>45114</v>
      </c>
      <c r="C4059" s="1" t="n">
        <v>45706</v>
      </c>
      <c r="D4059" t="inlineStr">
        <is>
          <t>UPPSALA LÄN</t>
        </is>
      </c>
      <c r="E4059" t="inlineStr">
        <is>
          <t>ÖSTHAMMAR</t>
        </is>
      </c>
      <c r="F4059" t="inlineStr">
        <is>
          <t>Bergvik skog öst AB</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31485-2023</t>
        </is>
      </c>
      <c r="B4060" s="1" t="n">
        <v>45114</v>
      </c>
      <c r="C4060" s="1" t="n">
        <v>45706</v>
      </c>
      <c r="D4060" t="inlineStr">
        <is>
          <t>UPPSALA LÄN</t>
        </is>
      </c>
      <c r="E4060" t="inlineStr">
        <is>
          <t>ÖSTHAMMAR</t>
        </is>
      </c>
      <c r="F4060" t="inlineStr">
        <is>
          <t>Bergvik skog öst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31557-2023</t>
        </is>
      </c>
      <c r="B4061" s="1" t="n">
        <v>45117</v>
      </c>
      <c r="C4061" s="1" t="n">
        <v>45706</v>
      </c>
      <c r="D4061" t="inlineStr">
        <is>
          <t>UPPSALA LÄN</t>
        </is>
      </c>
      <c r="E4061" t="inlineStr">
        <is>
          <t>ENKÖPING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31567-2023</t>
        </is>
      </c>
      <c r="B4062" s="1" t="n">
        <v>45117</v>
      </c>
      <c r="C4062" s="1" t="n">
        <v>45706</v>
      </c>
      <c r="D4062" t="inlineStr">
        <is>
          <t>UPPSALA LÄN</t>
        </is>
      </c>
      <c r="E4062" t="inlineStr">
        <is>
          <t>HEBY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31559-2023</t>
        </is>
      </c>
      <c r="B4063" s="1" t="n">
        <v>45117</v>
      </c>
      <c r="C4063" s="1" t="n">
        <v>45706</v>
      </c>
      <c r="D4063" t="inlineStr">
        <is>
          <t>UPPSALA LÄN</t>
        </is>
      </c>
      <c r="E4063" t="inlineStr">
        <is>
          <t>ENKÖPING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31564-2023</t>
        </is>
      </c>
      <c r="B4064" s="1" t="n">
        <v>45117</v>
      </c>
      <c r="C4064" s="1" t="n">
        <v>45706</v>
      </c>
      <c r="D4064" t="inlineStr">
        <is>
          <t>UPPSALA LÄN</t>
        </is>
      </c>
      <c r="E4064" t="inlineStr">
        <is>
          <t>HEBY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31586-2023</t>
        </is>
      </c>
      <c r="B4065" s="1" t="n">
        <v>45117</v>
      </c>
      <c r="C4065" s="1" t="n">
        <v>45706</v>
      </c>
      <c r="D4065" t="inlineStr">
        <is>
          <t>UPPSALA LÄN</t>
        </is>
      </c>
      <c r="E4065" t="inlineStr">
        <is>
          <t>HEBY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31604-2023</t>
        </is>
      </c>
      <c r="B4066" s="1" t="n">
        <v>45117</v>
      </c>
      <c r="C4066" s="1" t="n">
        <v>45706</v>
      </c>
      <c r="D4066" t="inlineStr">
        <is>
          <t>UPPSALA LÄN</t>
        </is>
      </c>
      <c r="E4066" t="inlineStr">
        <is>
          <t>ENKÖPING</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31636-2023</t>
        </is>
      </c>
      <c r="B4067" s="1" t="n">
        <v>45117</v>
      </c>
      <c r="C4067" s="1" t="n">
        <v>45706</v>
      </c>
      <c r="D4067" t="inlineStr">
        <is>
          <t>UPPSALA LÄN</t>
        </is>
      </c>
      <c r="E4067" t="inlineStr">
        <is>
          <t>ENKÖPING</t>
        </is>
      </c>
      <c r="G4067" t="n">
        <v>22.1</v>
      </c>
      <c r="H4067" t="n">
        <v>0</v>
      </c>
      <c r="I4067" t="n">
        <v>0</v>
      </c>
      <c r="J4067" t="n">
        <v>0</v>
      </c>
      <c r="K4067" t="n">
        <v>0</v>
      </c>
      <c r="L4067" t="n">
        <v>0</v>
      </c>
      <c r="M4067" t="n">
        <v>0</v>
      </c>
      <c r="N4067" t="n">
        <v>0</v>
      </c>
      <c r="O4067" t="n">
        <v>0</v>
      </c>
      <c r="P4067" t="n">
        <v>0</v>
      </c>
      <c r="Q4067" t="n">
        <v>0</v>
      </c>
      <c r="R4067" s="2" t="inlineStr"/>
    </row>
    <row r="4068" ht="15" customHeight="1">
      <c r="A4068" t="inlineStr">
        <is>
          <t>A 31560-2023</t>
        </is>
      </c>
      <c r="B4068" s="1" t="n">
        <v>45117</v>
      </c>
      <c r="C4068" s="1" t="n">
        <v>45706</v>
      </c>
      <c r="D4068" t="inlineStr">
        <is>
          <t>UPPSALA LÄN</t>
        </is>
      </c>
      <c r="E4068" t="inlineStr">
        <is>
          <t>HEBY</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31569-2023</t>
        </is>
      </c>
      <c r="B4069" s="1" t="n">
        <v>45117</v>
      </c>
      <c r="C4069" s="1" t="n">
        <v>45706</v>
      </c>
      <c r="D4069" t="inlineStr">
        <is>
          <t>UPPSALA LÄN</t>
        </is>
      </c>
      <c r="E4069" t="inlineStr">
        <is>
          <t>HEBY</t>
        </is>
      </c>
      <c r="G4069" t="n">
        <v>2.5</v>
      </c>
      <c r="H4069" t="n">
        <v>0</v>
      </c>
      <c r="I4069" t="n">
        <v>0</v>
      </c>
      <c r="J4069" t="n">
        <v>0</v>
      </c>
      <c r="K4069" t="n">
        <v>0</v>
      </c>
      <c r="L4069" t="n">
        <v>0</v>
      </c>
      <c r="M4069" t="n">
        <v>0</v>
      </c>
      <c r="N4069" t="n">
        <v>0</v>
      </c>
      <c r="O4069" t="n">
        <v>0</v>
      </c>
      <c r="P4069" t="n">
        <v>0</v>
      </c>
      <c r="Q4069" t="n">
        <v>0</v>
      </c>
      <c r="R4069" s="2" t="inlineStr"/>
      <c r="U4069">
        <f>HYPERLINK("https://klasma.github.io/Logging_0331/knärot/A 31569-2023 karta knärot.png", "A 31569-2023")</f>
        <v/>
      </c>
      <c r="V4069">
        <f>HYPERLINK("https://klasma.github.io/Logging_0331/klagomål/A 31569-2023 FSC-klagomål.docx", "A 31569-2023")</f>
        <v/>
      </c>
      <c r="W4069">
        <f>HYPERLINK("https://klasma.github.io/Logging_0331/klagomålsmail/A 31569-2023 FSC-klagomål mail.docx", "A 31569-2023")</f>
        <v/>
      </c>
      <c r="X4069">
        <f>HYPERLINK("https://klasma.github.io/Logging_0331/tillsyn/A 31569-2023 tillsynsbegäran.docx", "A 31569-2023")</f>
        <v/>
      </c>
      <c r="Y4069">
        <f>HYPERLINK("https://klasma.github.io/Logging_0331/tillsynsmail/A 31569-2023 tillsynsbegäran mail.docx", "A 31569-2023")</f>
        <v/>
      </c>
    </row>
    <row r="4070" ht="15" customHeight="1">
      <c r="A4070" t="inlineStr">
        <is>
          <t>A 31575-2023</t>
        </is>
      </c>
      <c r="B4070" s="1" t="n">
        <v>45117</v>
      </c>
      <c r="C4070" s="1" t="n">
        <v>45706</v>
      </c>
      <c r="D4070" t="inlineStr">
        <is>
          <t>UPPSALA LÄN</t>
        </is>
      </c>
      <c r="E4070" t="inlineStr">
        <is>
          <t>HEBY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31642-2023</t>
        </is>
      </c>
      <c r="B4071" s="1" t="n">
        <v>45117</v>
      </c>
      <c r="C4071" s="1" t="n">
        <v>45706</v>
      </c>
      <c r="D4071" t="inlineStr">
        <is>
          <t>UPPSALA LÄN</t>
        </is>
      </c>
      <c r="E4071" t="inlineStr">
        <is>
          <t>ENKÖPING</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31566-2023</t>
        </is>
      </c>
      <c r="B4072" s="1" t="n">
        <v>45117</v>
      </c>
      <c r="C4072" s="1" t="n">
        <v>45706</v>
      </c>
      <c r="D4072" t="inlineStr">
        <is>
          <t>UPPSALA LÄN</t>
        </is>
      </c>
      <c r="E4072" t="inlineStr">
        <is>
          <t>HEBY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31648-2023</t>
        </is>
      </c>
      <c r="B4073" s="1" t="n">
        <v>45117</v>
      </c>
      <c r="C4073" s="1" t="n">
        <v>45706</v>
      </c>
      <c r="D4073" t="inlineStr">
        <is>
          <t>UPPSALA LÄN</t>
        </is>
      </c>
      <c r="E4073" t="inlineStr">
        <is>
          <t>ENKÖPING</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31688-2023</t>
        </is>
      </c>
      <c r="B4074" s="1" t="n">
        <v>45117</v>
      </c>
      <c r="C4074" s="1" t="n">
        <v>45706</v>
      </c>
      <c r="D4074" t="inlineStr">
        <is>
          <t>UPPSALA LÄN</t>
        </is>
      </c>
      <c r="E4074" t="inlineStr">
        <is>
          <t>ÖSTHAMMAR</t>
        </is>
      </c>
      <c r="F4074" t="inlineStr">
        <is>
          <t>Bergvik skog öst AB</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31903-2023</t>
        </is>
      </c>
      <c r="B4075" s="1" t="n">
        <v>45118</v>
      </c>
      <c r="C4075" s="1" t="n">
        <v>45706</v>
      </c>
      <c r="D4075" t="inlineStr">
        <is>
          <t>UPPSALA LÄN</t>
        </is>
      </c>
      <c r="E4075" t="inlineStr">
        <is>
          <t>HEBY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32023-2023</t>
        </is>
      </c>
      <c r="B4076" s="1" t="n">
        <v>45119</v>
      </c>
      <c r="C4076" s="1" t="n">
        <v>45706</v>
      </c>
      <c r="D4076" t="inlineStr">
        <is>
          <t>UPPSALA LÄN</t>
        </is>
      </c>
      <c r="E4076" t="inlineStr">
        <is>
          <t>HÅBO</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32194-2023</t>
        </is>
      </c>
      <c r="B4077" s="1" t="n">
        <v>45119</v>
      </c>
      <c r="C4077" s="1" t="n">
        <v>45706</v>
      </c>
      <c r="D4077" t="inlineStr">
        <is>
          <t>UPPSALA LÄN</t>
        </is>
      </c>
      <c r="E4077" t="inlineStr">
        <is>
          <t>ÖSTHAMMAR</t>
        </is>
      </c>
      <c r="F4077" t="inlineStr">
        <is>
          <t>Bergvik skog öst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32195-2023</t>
        </is>
      </c>
      <c r="B4078" s="1" t="n">
        <v>45119</v>
      </c>
      <c r="C4078" s="1" t="n">
        <v>45706</v>
      </c>
      <c r="D4078" t="inlineStr">
        <is>
          <t>UPPSALA LÄN</t>
        </is>
      </c>
      <c r="E4078" t="inlineStr">
        <is>
          <t>ÖSTHAMMAR</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32197-2023</t>
        </is>
      </c>
      <c r="B4079" s="1" t="n">
        <v>45119</v>
      </c>
      <c r="C4079" s="1" t="n">
        <v>45706</v>
      </c>
      <c r="D4079" t="inlineStr">
        <is>
          <t>UPPSALA LÄN</t>
        </is>
      </c>
      <c r="E4079" t="inlineStr">
        <is>
          <t>ÖSTHAMMAR</t>
        </is>
      </c>
      <c r="F4079" t="inlineStr">
        <is>
          <t>Bergvik skog öst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32196-2023</t>
        </is>
      </c>
      <c r="B4080" s="1" t="n">
        <v>45119</v>
      </c>
      <c r="C4080" s="1" t="n">
        <v>45706</v>
      </c>
      <c r="D4080" t="inlineStr">
        <is>
          <t>UPPSALA LÄN</t>
        </is>
      </c>
      <c r="E4080" t="inlineStr">
        <is>
          <t>ÖSTHAMMAR</t>
        </is>
      </c>
      <c r="F4080" t="inlineStr">
        <is>
          <t>Bergvik skog öst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33689-2023</t>
        </is>
      </c>
      <c r="B4081" s="1" t="n">
        <v>45119</v>
      </c>
      <c r="C4081" s="1" t="n">
        <v>45706</v>
      </c>
      <c r="D4081" t="inlineStr">
        <is>
          <t>UPPSALA LÄN</t>
        </is>
      </c>
      <c r="E4081" t="inlineStr">
        <is>
          <t>UPPSALA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33677-2023</t>
        </is>
      </c>
      <c r="B4082" s="1" t="n">
        <v>45119</v>
      </c>
      <c r="C4082" s="1" t="n">
        <v>45706</v>
      </c>
      <c r="D4082" t="inlineStr">
        <is>
          <t>UPPSALA LÄN</t>
        </is>
      </c>
      <c r="E4082" t="inlineStr">
        <is>
          <t>TIERP</t>
        </is>
      </c>
      <c r="F4082" t="inlineStr">
        <is>
          <t>Bergvik skog väst AB</t>
        </is>
      </c>
      <c r="G4082" t="n">
        <v>57.7</v>
      </c>
      <c r="H4082" t="n">
        <v>0</v>
      </c>
      <c r="I4082" t="n">
        <v>0</v>
      </c>
      <c r="J4082" t="n">
        <v>0</v>
      </c>
      <c r="K4082" t="n">
        <v>0</v>
      </c>
      <c r="L4082" t="n">
        <v>0</v>
      </c>
      <c r="M4082" t="n">
        <v>0</v>
      </c>
      <c r="N4082" t="n">
        <v>0</v>
      </c>
      <c r="O4082" t="n">
        <v>0</v>
      </c>
      <c r="P4082" t="n">
        <v>0</v>
      </c>
      <c r="Q4082" t="n">
        <v>0</v>
      </c>
      <c r="R4082" s="2" t="inlineStr"/>
    </row>
    <row r="4083" ht="15" customHeight="1">
      <c r="A4083" t="inlineStr">
        <is>
          <t>A 33680-2023</t>
        </is>
      </c>
      <c r="B4083" s="1" t="n">
        <v>45119</v>
      </c>
      <c r="C4083" s="1" t="n">
        <v>45706</v>
      </c>
      <c r="D4083" t="inlineStr">
        <is>
          <t>UPPSALA LÄN</t>
        </is>
      </c>
      <c r="E4083" t="inlineStr">
        <is>
          <t>HEBY</t>
        </is>
      </c>
      <c r="F4083" t="inlineStr">
        <is>
          <t>Bergvik skog väst AB</t>
        </is>
      </c>
      <c r="G4083" t="n">
        <v>66.90000000000001</v>
      </c>
      <c r="H4083" t="n">
        <v>0</v>
      </c>
      <c r="I4083" t="n">
        <v>0</v>
      </c>
      <c r="J4083" t="n">
        <v>0</v>
      </c>
      <c r="K4083" t="n">
        <v>0</v>
      </c>
      <c r="L4083" t="n">
        <v>0</v>
      </c>
      <c r="M4083" t="n">
        <v>0</v>
      </c>
      <c r="N4083" t="n">
        <v>0</v>
      </c>
      <c r="O4083" t="n">
        <v>0</v>
      </c>
      <c r="P4083" t="n">
        <v>0</v>
      </c>
      <c r="Q4083" t="n">
        <v>0</v>
      </c>
      <c r="R4083" s="2" t="inlineStr"/>
    </row>
    <row r="4084" ht="15" customHeight="1">
      <c r="A4084" t="inlineStr">
        <is>
          <t>A 32295-2023</t>
        </is>
      </c>
      <c r="B4084" s="1" t="n">
        <v>45120</v>
      </c>
      <c r="C4084" s="1" t="n">
        <v>45706</v>
      </c>
      <c r="D4084" t="inlineStr">
        <is>
          <t>UPPSALA LÄN</t>
        </is>
      </c>
      <c r="E4084" t="inlineStr">
        <is>
          <t>HEBY</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32390-2023</t>
        </is>
      </c>
      <c r="B4085" s="1" t="n">
        <v>45120</v>
      </c>
      <c r="C4085" s="1" t="n">
        <v>45706</v>
      </c>
      <c r="D4085" t="inlineStr">
        <is>
          <t>UPPSALA LÄN</t>
        </is>
      </c>
      <c r="E4085" t="inlineStr">
        <is>
          <t>ÖSTHAMMAR</t>
        </is>
      </c>
      <c r="F4085" t="inlineStr">
        <is>
          <t>Övriga Aktiebolag</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32399-2023</t>
        </is>
      </c>
      <c r="B4086" s="1" t="n">
        <v>45120</v>
      </c>
      <c r="C4086" s="1" t="n">
        <v>45706</v>
      </c>
      <c r="D4086" t="inlineStr">
        <is>
          <t>UPPSALA LÄN</t>
        </is>
      </c>
      <c r="E4086" t="inlineStr">
        <is>
          <t>HEBY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32290-2023</t>
        </is>
      </c>
      <c r="B4087" s="1" t="n">
        <v>45120</v>
      </c>
      <c r="C4087" s="1" t="n">
        <v>45706</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32413-2023</t>
        </is>
      </c>
      <c r="B4088" s="1" t="n">
        <v>45120</v>
      </c>
      <c r="C4088" s="1" t="n">
        <v>45706</v>
      </c>
      <c r="D4088" t="inlineStr">
        <is>
          <t>UPPSALA LÄN</t>
        </is>
      </c>
      <c r="E4088" t="inlineStr">
        <is>
          <t>UPPSALA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32640-2023</t>
        </is>
      </c>
      <c r="B4089" s="1" t="n">
        <v>45121</v>
      </c>
      <c r="C4089" s="1" t="n">
        <v>45706</v>
      </c>
      <c r="D4089" t="inlineStr">
        <is>
          <t>UPPSALA LÄN</t>
        </is>
      </c>
      <c r="E4089" t="inlineStr">
        <is>
          <t>UPPSALA</t>
        </is>
      </c>
      <c r="F4089" t="inlineStr">
        <is>
          <t>Holmen skog AB</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32665-2023</t>
        </is>
      </c>
      <c r="B4090" s="1" t="n">
        <v>45121</v>
      </c>
      <c r="C4090" s="1" t="n">
        <v>45706</v>
      </c>
      <c r="D4090" t="inlineStr">
        <is>
          <t>UPPSALA LÄN</t>
        </is>
      </c>
      <c r="E4090" t="inlineStr">
        <is>
          <t>TIERP</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32674-2023</t>
        </is>
      </c>
      <c r="B4091" s="1" t="n">
        <v>45121</v>
      </c>
      <c r="C4091" s="1" t="n">
        <v>45706</v>
      </c>
      <c r="D4091" t="inlineStr">
        <is>
          <t>UPPSALA LÄN</t>
        </is>
      </c>
      <c r="E4091" t="inlineStr">
        <is>
          <t>UPPSALA</t>
        </is>
      </c>
      <c r="F4091" t="inlineStr">
        <is>
          <t>Holmen skog AB</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32688-2023</t>
        </is>
      </c>
      <c r="B4092" s="1" t="n">
        <v>45121</v>
      </c>
      <c r="C4092" s="1" t="n">
        <v>45706</v>
      </c>
      <c r="D4092" t="inlineStr">
        <is>
          <t>UPPSALA LÄN</t>
        </is>
      </c>
      <c r="E4092" t="inlineStr">
        <is>
          <t>UPPSALA</t>
        </is>
      </c>
      <c r="F4092" t="inlineStr">
        <is>
          <t>Holmen skog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32693-2023</t>
        </is>
      </c>
      <c r="B4093" s="1" t="n">
        <v>45121</v>
      </c>
      <c r="C4093" s="1" t="n">
        <v>45706</v>
      </c>
      <c r="D4093" t="inlineStr">
        <is>
          <t>UPPSALA LÄN</t>
        </is>
      </c>
      <c r="E4093" t="inlineStr">
        <is>
          <t>ÖSTHAMMAR</t>
        </is>
      </c>
      <c r="F4093" t="inlineStr">
        <is>
          <t>Bergvik skog öst AB</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32654-2023</t>
        </is>
      </c>
      <c r="B4094" s="1" t="n">
        <v>45121</v>
      </c>
      <c r="C4094" s="1" t="n">
        <v>45706</v>
      </c>
      <c r="D4094" t="inlineStr">
        <is>
          <t>UPPSALA LÄN</t>
        </is>
      </c>
      <c r="E4094" t="inlineStr">
        <is>
          <t>KNIVSTA</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32658-2023</t>
        </is>
      </c>
      <c r="B4095" s="1" t="n">
        <v>45121</v>
      </c>
      <c r="C4095" s="1" t="n">
        <v>45706</v>
      </c>
      <c r="D4095" t="inlineStr">
        <is>
          <t>UPPSALA LÄN</t>
        </is>
      </c>
      <c r="E4095" t="inlineStr">
        <is>
          <t>KNIVSTA</t>
        </is>
      </c>
      <c r="F4095" t="inlineStr">
        <is>
          <t>Holmen skog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32663-2023</t>
        </is>
      </c>
      <c r="B4096" s="1" t="n">
        <v>45121</v>
      </c>
      <c r="C4096" s="1" t="n">
        <v>45706</v>
      </c>
      <c r="D4096" t="inlineStr">
        <is>
          <t>UPPSALA LÄN</t>
        </is>
      </c>
      <c r="E4096" t="inlineStr">
        <is>
          <t>KNIVSTA</t>
        </is>
      </c>
      <c r="F4096" t="inlineStr">
        <is>
          <t>Holmen skog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32691-2023</t>
        </is>
      </c>
      <c r="B4097" s="1" t="n">
        <v>45121</v>
      </c>
      <c r="C4097" s="1" t="n">
        <v>45706</v>
      </c>
      <c r="D4097" t="inlineStr">
        <is>
          <t>UPPSALA LÄN</t>
        </is>
      </c>
      <c r="E4097" t="inlineStr">
        <is>
          <t>ÖSTHAMMAR</t>
        </is>
      </c>
      <c r="F4097" t="inlineStr">
        <is>
          <t>Bergvik skog öst AB</t>
        </is>
      </c>
      <c r="G4097" t="n">
        <v>20.2</v>
      </c>
      <c r="H4097" t="n">
        <v>0</v>
      </c>
      <c r="I4097" t="n">
        <v>0</v>
      </c>
      <c r="J4097" t="n">
        <v>0</v>
      </c>
      <c r="K4097" t="n">
        <v>0</v>
      </c>
      <c r="L4097" t="n">
        <v>0</v>
      </c>
      <c r="M4097" t="n">
        <v>0</v>
      </c>
      <c r="N4097" t="n">
        <v>0</v>
      </c>
      <c r="O4097" t="n">
        <v>0</v>
      </c>
      <c r="P4097" t="n">
        <v>0</v>
      </c>
      <c r="Q4097" t="n">
        <v>0</v>
      </c>
      <c r="R4097" s="2" t="inlineStr"/>
    </row>
    <row r="4098" ht="15" customHeight="1">
      <c r="A4098" t="inlineStr">
        <is>
          <t>A 32752-2023</t>
        </is>
      </c>
      <c r="B4098" s="1" t="n">
        <v>45122</v>
      </c>
      <c r="C4098" s="1" t="n">
        <v>45706</v>
      </c>
      <c r="D4098" t="inlineStr">
        <is>
          <t>UPPSALA LÄN</t>
        </is>
      </c>
      <c r="E4098" t="inlineStr">
        <is>
          <t>ÖSTHAMMAR</t>
        </is>
      </c>
      <c r="F4098" t="inlineStr">
        <is>
          <t>Bergvik skog öst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32779-2023</t>
        </is>
      </c>
      <c r="B4099" s="1" t="n">
        <v>45123</v>
      </c>
      <c r="C4099" s="1" t="n">
        <v>45706</v>
      </c>
      <c r="D4099" t="inlineStr">
        <is>
          <t>UPPSALA LÄN</t>
        </is>
      </c>
      <c r="E4099" t="inlineStr">
        <is>
          <t>ÖSTHAMMAR</t>
        </is>
      </c>
      <c r="F4099" t="inlineStr">
        <is>
          <t>Bergvik skog öst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32778-2023</t>
        </is>
      </c>
      <c r="B4100" s="1" t="n">
        <v>45123</v>
      </c>
      <c r="C4100" s="1" t="n">
        <v>45706</v>
      </c>
      <c r="D4100" t="inlineStr">
        <is>
          <t>UPPSALA LÄN</t>
        </is>
      </c>
      <c r="E4100" t="inlineStr">
        <is>
          <t>ÖSTHAMMAR</t>
        </is>
      </c>
      <c r="F4100" t="inlineStr">
        <is>
          <t>Bergvik skog öst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32895-2023</t>
        </is>
      </c>
      <c r="B4101" s="1" t="n">
        <v>45124</v>
      </c>
      <c r="C4101" s="1" t="n">
        <v>45706</v>
      </c>
      <c r="D4101" t="inlineStr">
        <is>
          <t>UPPSALA LÄN</t>
        </is>
      </c>
      <c r="E4101" t="inlineStr">
        <is>
          <t>ÖSTHAMMAR</t>
        </is>
      </c>
      <c r="F4101" t="inlineStr">
        <is>
          <t>Bergvik skog öst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33162-2023</t>
        </is>
      </c>
      <c r="B4102" s="1" t="n">
        <v>45126</v>
      </c>
      <c r="C4102" s="1" t="n">
        <v>45706</v>
      </c>
      <c r="D4102" t="inlineStr">
        <is>
          <t>UPPSALA LÄN</t>
        </is>
      </c>
      <c r="E4102" t="inlineStr">
        <is>
          <t>HEBY</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33191-2023</t>
        </is>
      </c>
      <c r="B4103" s="1" t="n">
        <v>45127</v>
      </c>
      <c r="C4103" s="1" t="n">
        <v>45706</v>
      </c>
      <c r="D4103" t="inlineStr">
        <is>
          <t>UPPSALA LÄN</t>
        </is>
      </c>
      <c r="E4103" t="inlineStr">
        <is>
          <t>UPPSALA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33189-2023</t>
        </is>
      </c>
      <c r="B4104" s="1" t="n">
        <v>45127</v>
      </c>
      <c r="C4104" s="1" t="n">
        <v>45706</v>
      </c>
      <c r="D4104" t="inlineStr">
        <is>
          <t>UPPSALA LÄN</t>
        </is>
      </c>
      <c r="E4104" t="inlineStr">
        <is>
          <t>UPPSALA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33307-2023</t>
        </is>
      </c>
      <c r="B4105" s="1" t="n">
        <v>45127</v>
      </c>
      <c r="C4105" s="1" t="n">
        <v>45706</v>
      </c>
      <c r="D4105" t="inlineStr">
        <is>
          <t>UPPSALA LÄN</t>
        </is>
      </c>
      <c r="E4105" t="inlineStr">
        <is>
          <t>TIERP</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33339-2023</t>
        </is>
      </c>
      <c r="B4106" s="1" t="n">
        <v>45128</v>
      </c>
      <c r="C4106" s="1" t="n">
        <v>45706</v>
      </c>
      <c r="D4106" t="inlineStr">
        <is>
          <t>UPPSALA LÄN</t>
        </is>
      </c>
      <c r="E4106" t="inlineStr">
        <is>
          <t>TIERP</t>
        </is>
      </c>
      <c r="F4106" t="inlineStr">
        <is>
          <t>Bergvik skog öst AB</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33389-2023</t>
        </is>
      </c>
      <c r="B4107" s="1" t="n">
        <v>45128</v>
      </c>
      <c r="C4107" s="1" t="n">
        <v>45706</v>
      </c>
      <c r="D4107" t="inlineStr">
        <is>
          <t>UPPSALA LÄN</t>
        </is>
      </c>
      <c r="E4107" t="inlineStr">
        <is>
          <t>HEBY</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33338-2023</t>
        </is>
      </c>
      <c r="B4108" s="1" t="n">
        <v>45128</v>
      </c>
      <c r="C4108" s="1" t="n">
        <v>45706</v>
      </c>
      <c r="D4108" t="inlineStr">
        <is>
          <t>UPPSALA LÄN</t>
        </is>
      </c>
      <c r="E4108" t="inlineStr">
        <is>
          <t>TIERP</t>
        </is>
      </c>
      <c r="F4108" t="inlineStr">
        <is>
          <t>Bergvik skog öst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33385-2023</t>
        </is>
      </c>
      <c r="B4109" s="1" t="n">
        <v>45128</v>
      </c>
      <c r="C4109" s="1" t="n">
        <v>45706</v>
      </c>
      <c r="D4109" t="inlineStr">
        <is>
          <t>UPPSALA LÄN</t>
        </is>
      </c>
      <c r="E4109" t="inlineStr">
        <is>
          <t>HEBY</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34282-2023</t>
        </is>
      </c>
      <c r="B4110" s="1" t="n">
        <v>45128</v>
      </c>
      <c r="C4110" s="1" t="n">
        <v>45706</v>
      </c>
      <c r="D4110" t="inlineStr">
        <is>
          <t>UPPSALA LÄN</t>
        </is>
      </c>
      <c r="E4110" t="inlineStr">
        <is>
          <t>UPPSALA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33451-2023</t>
        </is>
      </c>
      <c r="B4111" s="1" t="n">
        <v>45130</v>
      </c>
      <c r="C4111" s="1" t="n">
        <v>45706</v>
      </c>
      <c r="D4111" t="inlineStr">
        <is>
          <t>UPPSALA LÄN</t>
        </is>
      </c>
      <c r="E4111" t="inlineStr">
        <is>
          <t>TIERP</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33530-2023</t>
        </is>
      </c>
      <c r="B4112" s="1" t="n">
        <v>45131</v>
      </c>
      <c r="C4112" s="1" t="n">
        <v>45706</v>
      </c>
      <c r="D4112" t="inlineStr">
        <is>
          <t>UPPSALA LÄN</t>
        </is>
      </c>
      <c r="E4112" t="inlineStr">
        <is>
          <t>HEBY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33562-2023</t>
        </is>
      </c>
      <c r="B4113" s="1" t="n">
        <v>45131</v>
      </c>
      <c r="C4113" s="1" t="n">
        <v>45706</v>
      </c>
      <c r="D4113" t="inlineStr">
        <is>
          <t>UPPSALA LÄN</t>
        </is>
      </c>
      <c r="E4113" t="inlineStr">
        <is>
          <t>UPPSALA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33581-2023</t>
        </is>
      </c>
      <c r="B4114" s="1" t="n">
        <v>45131</v>
      </c>
      <c r="C4114" s="1" t="n">
        <v>45706</v>
      </c>
      <c r="D4114" t="inlineStr">
        <is>
          <t>UPPSALA LÄN</t>
        </is>
      </c>
      <c r="E4114" t="inlineStr">
        <is>
          <t>ENKÖPING</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33703-2023</t>
        </is>
      </c>
      <c r="B4115" s="1" t="n">
        <v>45132</v>
      </c>
      <c r="C4115" s="1" t="n">
        <v>45706</v>
      </c>
      <c r="D4115" t="inlineStr">
        <is>
          <t>UPPSALA LÄN</t>
        </is>
      </c>
      <c r="E4115" t="inlineStr">
        <is>
          <t>HEBY</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33707-2023</t>
        </is>
      </c>
      <c r="B4116" s="1" t="n">
        <v>45132</v>
      </c>
      <c r="C4116" s="1" t="n">
        <v>45706</v>
      </c>
      <c r="D4116" t="inlineStr">
        <is>
          <t>UPPSALA LÄN</t>
        </is>
      </c>
      <c r="E4116" t="inlineStr">
        <is>
          <t>HEBY</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33706-2023</t>
        </is>
      </c>
      <c r="B4117" s="1" t="n">
        <v>45132</v>
      </c>
      <c r="C4117" s="1" t="n">
        <v>45706</v>
      </c>
      <c r="D4117" t="inlineStr">
        <is>
          <t>UPPSALA LÄN</t>
        </is>
      </c>
      <c r="E4117" t="inlineStr">
        <is>
          <t>HEBY</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33700-2023</t>
        </is>
      </c>
      <c r="B4118" s="1" t="n">
        <v>45132</v>
      </c>
      <c r="C4118" s="1" t="n">
        <v>45706</v>
      </c>
      <c r="D4118" t="inlineStr">
        <is>
          <t>UPPSALA LÄN</t>
        </is>
      </c>
      <c r="E4118" t="inlineStr">
        <is>
          <t>UPPSALA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33705-2023</t>
        </is>
      </c>
      <c r="B4119" s="1" t="n">
        <v>45132</v>
      </c>
      <c r="C4119" s="1" t="n">
        <v>45706</v>
      </c>
      <c r="D4119" t="inlineStr">
        <is>
          <t>UPPSALA LÄN</t>
        </is>
      </c>
      <c r="E4119" t="inlineStr">
        <is>
          <t>HEBY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33797-2023</t>
        </is>
      </c>
      <c r="B4120" s="1" t="n">
        <v>45133</v>
      </c>
      <c r="C4120" s="1" t="n">
        <v>45706</v>
      </c>
      <c r="D4120" t="inlineStr">
        <is>
          <t>UPPSALA LÄN</t>
        </is>
      </c>
      <c r="E4120" t="inlineStr">
        <is>
          <t>TIERP</t>
        </is>
      </c>
      <c r="F4120" t="inlineStr">
        <is>
          <t>Bergvik skog öst AB</t>
        </is>
      </c>
      <c r="G4120" t="n">
        <v>0.4</v>
      </c>
      <c r="H4120" t="n">
        <v>0</v>
      </c>
      <c r="I4120" t="n">
        <v>0</v>
      </c>
      <c r="J4120" t="n">
        <v>0</v>
      </c>
      <c r="K4120" t="n">
        <v>0</v>
      </c>
      <c r="L4120" t="n">
        <v>0</v>
      </c>
      <c r="M4120" t="n">
        <v>0</v>
      </c>
      <c r="N4120" t="n">
        <v>0</v>
      </c>
      <c r="O4120" t="n">
        <v>0</v>
      </c>
      <c r="P4120" t="n">
        <v>0</v>
      </c>
      <c r="Q4120" t="n">
        <v>0</v>
      </c>
      <c r="R4120" s="2" t="inlineStr"/>
      <c r="U4120">
        <f>HYPERLINK("https://klasma.github.io/Logging_0360/knärot/A 33797-2023 karta knärot.png", "A 33797-2023")</f>
        <v/>
      </c>
      <c r="V4120">
        <f>HYPERLINK("https://klasma.github.io/Logging_0360/klagomål/A 33797-2023 FSC-klagomål.docx", "A 33797-2023")</f>
        <v/>
      </c>
      <c r="W4120">
        <f>HYPERLINK("https://klasma.github.io/Logging_0360/klagomålsmail/A 33797-2023 FSC-klagomål mail.docx", "A 33797-2023")</f>
        <v/>
      </c>
      <c r="X4120">
        <f>HYPERLINK("https://klasma.github.io/Logging_0360/tillsyn/A 33797-2023 tillsynsbegäran.docx", "A 33797-2023")</f>
        <v/>
      </c>
      <c r="Y4120">
        <f>HYPERLINK("https://klasma.github.io/Logging_0360/tillsynsmail/A 33797-2023 tillsynsbegäran mail.docx", "A 33797-2023")</f>
        <v/>
      </c>
    </row>
    <row r="4121" ht="15" customHeight="1">
      <c r="A4121" t="inlineStr">
        <is>
          <t>A 33860-2023</t>
        </is>
      </c>
      <c r="B4121" s="1" t="n">
        <v>45133</v>
      </c>
      <c r="C4121" s="1" t="n">
        <v>45706</v>
      </c>
      <c r="D4121" t="inlineStr">
        <is>
          <t>UPPSALA LÄN</t>
        </is>
      </c>
      <c r="E4121" t="inlineStr">
        <is>
          <t>HEBY</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33729-2023</t>
        </is>
      </c>
      <c r="B4122" s="1" t="n">
        <v>45133</v>
      </c>
      <c r="C4122" s="1" t="n">
        <v>45706</v>
      </c>
      <c r="D4122" t="inlineStr">
        <is>
          <t>UPPSALA LÄN</t>
        </is>
      </c>
      <c r="E4122" t="inlineStr">
        <is>
          <t>HEBY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33807-2023</t>
        </is>
      </c>
      <c r="B4123" s="1" t="n">
        <v>45133</v>
      </c>
      <c r="C4123" s="1" t="n">
        <v>45706</v>
      </c>
      <c r="D4123" t="inlineStr">
        <is>
          <t>UPPSALA LÄN</t>
        </is>
      </c>
      <c r="E4123" t="inlineStr">
        <is>
          <t>HEBY</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33734-2023</t>
        </is>
      </c>
      <c r="B4124" s="1" t="n">
        <v>45133</v>
      </c>
      <c r="C4124" s="1" t="n">
        <v>45706</v>
      </c>
      <c r="D4124" t="inlineStr">
        <is>
          <t>UPPSALA LÄN</t>
        </is>
      </c>
      <c r="E4124" t="inlineStr">
        <is>
          <t>HEBY</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33776-2023</t>
        </is>
      </c>
      <c r="B4125" s="1" t="n">
        <v>45133</v>
      </c>
      <c r="C4125" s="1" t="n">
        <v>45706</v>
      </c>
      <c r="D4125" t="inlineStr">
        <is>
          <t>UPPSALA LÄN</t>
        </is>
      </c>
      <c r="E4125" t="inlineStr">
        <is>
          <t>KNIVSTA</t>
        </is>
      </c>
      <c r="F4125" t="inlineStr">
        <is>
          <t>Holmen skog AB</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33861-2023</t>
        </is>
      </c>
      <c r="B4126" s="1" t="n">
        <v>45133</v>
      </c>
      <c r="C4126" s="1" t="n">
        <v>45706</v>
      </c>
      <c r="D4126" t="inlineStr">
        <is>
          <t>UPPSALA LÄN</t>
        </is>
      </c>
      <c r="E4126" t="inlineStr">
        <is>
          <t>HEBY</t>
        </is>
      </c>
      <c r="G4126" t="n">
        <v>17.6</v>
      </c>
      <c r="H4126" t="n">
        <v>0</v>
      </c>
      <c r="I4126" t="n">
        <v>0</v>
      </c>
      <c r="J4126" t="n">
        <v>0</v>
      </c>
      <c r="K4126" t="n">
        <v>0</v>
      </c>
      <c r="L4126" t="n">
        <v>0</v>
      </c>
      <c r="M4126" t="n">
        <v>0</v>
      </c>
      <c r="N4126" t="n">
        <v>0</v>
      </c>
      <c r="O4126" t="n">
        <v>0</v>
      </c>
      <c r="P4126" t="n">
        <v>0</v>
      </c>
      <c r="Q4126" t="n">
        <v>0</v>
      </c>
      <c r="R4126" s="2" t="inlineStr"/>
    </row>
    <row r="4127" ht="15" customHeight="1">
      <c r="A4127" t="inlineStr">
        <is>
          <t>A 33859-2023</t>
        </is>
      </c>
      <c r="B4127" s="1" t="n">
        <v>45133</v>
      </c>
      <c r="C4127" s="1" t="n">
        <v>45706</v>
      </c>
      <c r="D4127" t="inlineStr">
        <is>
          <t>UPPSALA LÄN</t>
        </is>
      </c>
      <c r="E4127" t="inlineStr">
        <is>
          <t>HEBY</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33777-2023</t>
        </is>
      </c>
      <c r="B4128" s="1" t="n">
        <v>45133</v>
      </c>
      <c r="C4128" s="1" t="n">
        <v>45706</v>
      </c>
      <c r="D4128" t="inlineStr">
        <is>
          <t>UPPSALA LÄN</t>
        </is>
      </c>
      <c r="E4128" t="inlineStr">
        <is>
          <t>KNIVSTA</t>
        </is>
      </c>
      <c r="F4128" t="inlineStr">
        <is>
          <t>Holmen skog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34509-2023</t>
        </is>
      </c>
      <c r="B4129" s="1" t="n">
        <v>45133</v>
      </c>
      <c r="C4129" s="1" t="n">
        <v>45706</v>
      </c>
      <c r="D4129" t="inlineStr">
        <is>
          <t>UPPSALA LÄN</t>
        </is>
      </c>
      <c r="E4129" t="inlineStr">
        <is>
          <t>UPPSALA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33941-2023</t>
        </is>
      </c>
      <c r="B4130" s="1" t="n">
        <v>45134</v>
      </c>
      <c r="C4130" s="1" t="n">
        <v>45706</v>
      </c>
      <c r="D4130" t="inlineStr">
        <is>
          <t>UPPSALA LÄN</t>
        </is>
      </c>
      <c r="E4130" t="inlineStr">
        <is>
          <t>UPPSALA</t>
        </is>
      </c>
      <c r="F4130" t="inlineStr">
        <is>
          <t>Holmen skog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33982-2023</t>
        </is>
      </c>
      <c r="B4131" s="1" t="n">
        <v>45134</v>
      </c>
      <c r="C4131" s="1" t="n">
        <v>45706</v>
      </c>
      <c r="D4131" t="inlineStr">
        <is>
          <t>UPPSALA LÄN</t>
        </is>
      </c>
      <c r="E4131" t="inlineStr">
        <is>
          <t>UPPSALA</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34082-2023</t>
        </is>
      </c>
      <c r="B4132" s="1" t="n">
        <v>45135</v>
      </c>
      <c r="C4132" s="1" t="n">
        <v>45706</v>
      </c>
      <c r="D4132" t="inlineStr">
        <is>
          <t>UPPSALA LÄN</t>
        </is>
      </c>
      <c r="E4132" t="inlineStr">
        <is>
          <t>TIERP</t>
        </is>
      </c>
      <c r="F4132" t="inlineStr">
        <is>
          <t>Bergvik skog öst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34079-2023</t>
        </is>
      </c>
      <c r="B4133" s="1" t="n">
        <v>45135</v>
      </c>
      <c r="C4133" s="1" t="n">
        <v>45706</v>
      </c>
      <c r="D4133" t="inlineStr">
        <is>
          <t>UPPSALA LÄN</t>
        </is>
      </c>
      <c r="E4133" t="inlineStr">
        <is>
          <t>TIERP</t>
        </is>
      </c>
      <c r="F4133" t="inlineStr">
        <is>
          <t>Bergvik skog öst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34027-2023</t>
        </is>
      </c>
      <c r="B4134" s="1" t="n">
        <v>45135</v>
      </c>
      <c r="C4134" s="1" t="n">
        <v>45706</v>
      </c>
      <c r="D4134" t="inlineStr">
        <is>
          <t>UPPSALA LÄN</t>
        </is>
      </c>
      <c r="E4134" t="inlineStr">
        <is>
          <t>TIERP</t>
        </is>
      </c>
      <c r="F4134" t="inlineStr">
        <is>
          <t>Bergvik skog öst AB</t>
        </is>
      </c>
      <c r="G4134" t="n">
        <v>18.1</v>
      </c>
      <c r="H4134" t="n">
        <v>0</v>
      </c>
      <c r="I4134" t="n">
        <v>0</v>
      </c>
      <c r="J4134" t="n">
        <v>0</v>
      </c>
      <c r="K4134" t="n">
        <v>0</v>
      </c>
      <c r="L4134" t="n">
        <v>0</v>
      </c>
      <c r="M4134" t="n">
        <v>0</v>
      </c>
      <c r="N4134" t="n">
        <v>0</v>
      </c>
      <c r="O4134" t="n">
        <v>0</v>
      </c>
      <c r="P4134" t="n">
        <v>0</v>
      </c>
      <c r="Q4134" t="n">
        <v>0</v>
      </c>
      <c r="R4134" s="2" t="inlineStr"/>
    </row>
    <row r="4135" ht="15" customHeight="1">
      <c r="A4135" t="inlineStr">
        <is>
          <t>A 34140-2023</t>
        </is>
      </c>
      <c r="B4135" s="1" t="n">
        <v>45135</v>
      </c>
      <c r="C4135" s="1" t="n">
        <v>45706</v>
      </c>
      <c r="D4135" t="inlineStr">
        <is>
          <t>UPPSALA LÄN</t>
        </is>
      </c>
      <c r="E4135" t="inlineStr">
        <is>
          <t>HEBY</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34108-2023</t>
        </is>
      </c>
      <c r="B4136" s="1" t="n">
        <v>45135</v>
      </c>
      <c r="C4136" s="1" t="n">
        <v>45706</v>
      </c>
      <c r="D4136" t="inlineStr">
        <is>
          <t>UPPSALA LÄN</t>
        </is>
      </c>
      <c r="E4136" t="inlineStr">
        <is>
          <t>ÖSTHAMMAR</t>
        </is>
      </c>
      <c r="F4136" t="inlineStr">
        <is>
          <t>Bergvik skog öst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34198-2023</t>
        </is>
      </c>
      <c r="B4137" s="1" t="n">
        <v>45138</v>
      </c>
      <c r="C4137" s="1" t="n">
        <v>45706</v>
      </c>
      <c r="D4137" t="inlineStr">
        <is>
          <t>UPPSALA LÄN</t>
        </is>
      </c>
      <c r="E4137" t="inlineStr">
        <is>
          <t>TIERP</t>
        </is>
      </c>
      <c r="F4137" t="inlineStr">
        <is>
          <t>Bergvik skog öst AB</t>
        </is>
      </c>
      <c r="G4137" t="n">
        <v>11.5</v>
      </c>
      <c r="H4137" t="n">
        <v>0</v>
      </c>
      <c r="I4137" t="n">
        <v>0</v>
      </c>
      <c r="J4137" t="n">
        <v>0</v>
      </c>
      <c r="K4137" t="n">
        <v>0</v>
      </c>
      <c r="L4137" t="n">
        <v>0</v>
      </c>
      <c r="M4137" t="n">
        <v>0</v>
      </c>
      <c r="N4137" t="n">
        <v>0</v>
      </c>
      <c r="O4137" t="n">
        <v>0</v>
      </c>
      <c r="P4137" t="n">
        <v>0</v>
      </c>
      <c r="Q4137" t="n">
        <v>0</v>
      </c>
      <c r="R4137" s="2" t="inlineStr"/>
    </row>
    <row r="4138" ht="15" customHeight="1">
      <c r="A4138" t="inlineStr">
        <is>
          <t>A 34607-2023</t>
        </is>
      </c>
      <c r="B4138" s="1" t="n">
        <v>45138</v>
      </c>
      <c r="C4138" s="1" t="n">
        <v>45706</v>
      </c>
      <c r="D4138" t="inlineStr">
        <is>
          <t>UPPSALA LÄN</t>
        </is>
      </c>
      <c r="E4138" t="inlineStr">
        <is>
          <t>ÖSTHAMMAR</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34593-2023</t>
        </is>
      </c>
      <c r="B4139" s="1" t="n">
        <v>45138</v>
      </c>
      <c r="C4139" s="1" t="n">
        <v>45706</v>
      </c>
      <c r="D4139" t="inlineStr">
        <is>
          <t>UPPSALA LÄN</t>
        </is>
      </c>
      <c r="E4139" t="inlineStr">
        <is>
          <t>HEBY</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34412-2023</t>
        </is>
      </c>
      <c r="B4140" s="1" t="n">
        <v>45139</v>
      </c>
      <c r="C4140" s="1" t="n">
        <v>45706</v>
      </c>
      <c r="D4140" t="inlineStr">
        <is>
          <t>UPPSALA LÄN</t>
        </is>
      </c>
      <c r="E4140" t="inlineStr">
        <is>
          <t>ÖSTHAMMAR</t>
        </is>
      </c>
      <c r="F4140" t="inlineStr">
        <is>
          <t>Bergvik skog öst AB</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34471-2023</t>
        </is>
      </c>
      <c r="B4141" s="1" t="n">
        <v>45139</v>
      </c>
      <c r="C4141" s="1" t="n">
        <v>45706</v>
      </c>
      <c r="D4141" t="inlineStr">
        <is>
          <t>UPPSALA LÄN</t>
        </is>
      </c>
      <c r="E4141" t="inlineStr">
        <is>
          <t>ÖSTHAMMAR</t>
        </is>
      </c>
      <c r="F4141" t="inlineStr">
        <is>
          <t>Bergvik skog öst AB</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34735-2023</t>
        </is>
      </c>
      <c r="B4142" s="1" t="n">
        <v>45139</v>
      </c>
      <c r="C4142" s="1" t="n">
        <v>45706</v>
      </c>
      <c r="D4142" t="inlineStr">
        <is>
          <t>UPPSALA LÄN</t>
        </is>
      </c>
      <c r="E4142" t="inlineStr">
        <is>
          <t>ENKÖPING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34743-2023</t>
        </is>
      </c>
      <c r="B4143" s="1" t="n">
        <v>45141</v>
      </c>
      <c r="C4143" s="1" t="n">
        <v>45706</v>
      </c>
      <c r="D4143" t="inlineStr">
        <is>
          <t>UPPSALA LÄN</t>
        </is>
      </c>
      <c r="E4143" t="inlineStr">
        <is>
          <t>ENKÖPING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34920-2023</t>
        </is>
      </c>
      <c r="B4144" s="1" t="n">
        <v>45142</v>
      </c>
      <c r="C4144" s="1" t="n">
        <v>45706</v>
      </c>
      <c r="D4144" t="inlineStr">
        <is>
          <t>UPPSALA LÄN</t>
        </is>
      </c>
      <c r="E4144" t="inlineStr">
        <is>
          <t>ÖSTHAMMAR</t>
        </is>
      </c>
      <c r="F4144" t="inlineStr">
        <is>
          <t>Bergvik skog öst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34923-2023</t>
        </is>
      </c>
      <c r="B4145" s="1" t="n">
        <v>45142</v>
      </c>
      <c r="C4145" s="1" t="n">
        <v>45706</v>
      </c>
      <c r="D4145" t="inlineStr">
        <is>
          <t>UPPSALA LÄN</t>
        </is>
      </c>
      <c r="E4145" t="inlineStr">
        <is>
          <t>ÖSTHAMMAR</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34951-2023</t>
        </is>
      </c>
      <c r="B4146" s="1" t="n">
        <v>45142</v>
      </c>
      <c r="C4146" s="1" t="n">
        <v>45706</v>
      </c>
      <c r="D4146" t="inlineStr">
        <is>
          <t>UPPSALA LÄN</t>
        </is>
      </c>
      <c r="E4146" t="inlineStr">
        <is>
          <t>ÖSTHAMMAR</t>
        </is>
      </c>
      <c r="F4146" t="inlineStr">
        <is>
          <t>Naturvårdsverket</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34961-2023</t>
        </is>
      </c>
      <c r="B4147" s="1" t="n">
        <v>45142</v>
      </c>
      <c r="C4147" s="1" t="n">
        <v>45706</v>
      </c>
      <c r="D4147" t="inlineStr">
        <is>
          <t>UPPSALA LÄN</t>
        </is>
      </c>
      <c r="E4147" t="inlineStr">
        <is>
          <t>ENKÖPING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34922-2023</t>
        </is>
      </c>
      <c r="B4148" s="1" t="n">
        <v>45142</v>
      </c>
      <c r="C4148" s="1" t="n">
        <v>45706</v>
      </c>
      <c r="D4148" t="inlineStr">
        <is>
          <t>UPPSALA LÄN</t>
        </is>
      </c>
      <c r="E4148" t="inlineStr">
        <is>
          <t>ÖSTHAMMAR</t>
        </is>
      </c>
      <c r="F4148" t="inlineStr">
        <is>
          <t>Bergvik skog öst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34960-2023</t>
        </is>
      </c>
      <c r="B4149" s="1" t="n">
        <v>45142</v>
      </c>
      <c r="C4149" s="1" t="n">
        <v>45706</v>
      </c>
      <c r="D4149" t="inlineStr">
        <is>
          <t>UPPSALA LÄN</t>
        </is>
      </c>
      <c r="E4149" t="inlineStr">
        <is>
          <t>ENKÖPING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35142-2023</t>
        </is>
      </c>
      <c r="B4150" s="1" t="n">
        <v>45145</v>
      </c>
      <c r="C4150" s="1" t="n">
        <v>45706</v>
      </c>
      <c r="D4150" t="inlineStr">
        <is>
          <t>UPPSALA LÄN</t>
        </is>
      </c>
      <c r="E4150" t="inlineStr">
        <is>
          <t>UPPSALA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35246-2023</t>
        </is>
      </c>
      <c r="B4151" s="1" t="n">
        <v>45145</v>
      </c>
      <c r="C4151" s="1" t="n">
        <v>45706</v>
      </c>
      <c r="D4151" t="inlineStr">
        <is>
          <t>UPPSALA LÄN</t>
        </is>
      </c>
      <c r="E4151" t="inlineStr">
        <is>
          <t>HEBY</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35403-2023</t>
        </is>
      </c>
      <c r="B4152" s="1" t="n">
        <v>45146</v>
      </c>
      <c r="C4152" s="1" t="n">
        <v>45706</v>
      </c>
      <c r="D4152" t="inlineStr">
        <is>
          <t>UPPSALA LÄN</t>
        </is>
      </c>
      <c r="E4152" t="inlineStr">
        <is>
          <t>ÖSTHAMMAR</t>
        </is>
      </c>
      <c r="F4152" t="inlineStr">
        <is>
          <t>Bergvik skog öst AB</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35375-2023</t>
        </is>
      </c>
      <c r="B4153" s="1" t="n">
        <v>45146</v>
      </c>
      <c r="C4153" s="1" t="n">
        <v>45706</v>
      </c>
      <c r="D4153" t="inlineStr">
        <is>
          <t>UPPSALA LÄN</t>
        </is>
      </c>
      <c r="E4153" t="inlineStr">
        <is>
          <t>TIERP</t>
        </is>
      </c>
      <c r="F4153" t="inlineStr">
        <is>
          <t>Bergvik skog öst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35309-2023</t>
        </is>
      </c>
      <c r="B4154" s="1" t="n">
        <v>45146</v>
      </c>
      <c r="C4154" s="1" t="n">
        <v>45706</v>
      </c>
      <c r="D4154" t="inlineStr">
        <is>
          <t>UPPSALA LÄN</t>
        </is>
      </c>
      <c r="E4154" t="inlineStr">
        <is>
          <t>ÖSTHAMMAR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35413-2023</t>
        </is>
      </c>
      <c r="B4155" s="1" t="n">
        <v>45146</v>
      </c>
      <c r="C4155" s="1" t="n">
        <v>45706</v>
      </c>
      <c r="D4155" t="inlineStr">
        <is>
          <t>UPPSALA LÄN</t>
        </is>
      </c>
      <c r="E4155" t="inlineStr">
        <is>
          <t>ÖSTHAMMAR</t>
        </is>
      </c>
      <c r="F4155" t="inlineStr">
        <is>
          <t>Bergvik skog öst AB</t>
        </is>
      </c>
      <c r="G4155" t="n">
        <v>26.1</v>
      </c>
      <c r="H4155" t="n">
        <v>0</v>
      </c>
      <c r="I4155" t="n">
        <v>0</v>
      </c>
      <c r="J4155" t="n">
        <v>0</v>
      </c>
      <c r="K4155" t="n">
        <v>0</v>
      </c>
      <c r="L4155" t="n">
        <v>0</v>
      </c>
      <c r="M4155" t="n">
        <v>0</v>
      </c>
      <c r="N4155" t="n">
        <v>0</v>
      </c>
      <c r="O4155" t="n">
        <v>0</v>
      </c>
      <c r="P4155" t="n">
        <v>0</v>
      </c>
      <c r="Q4155" t="n">
        <v>0</v>
      </c>
      <c r="R4155" s="2" t="inlineStr"/>
    </row>
    <row r="4156" ht="15" customHeight="1">
      <c r="A4156" t="inlineStr">
        <is>
          <t>A 35367-2023</t>
        </is>
      </c>
      <c r="B4156" s="1" t="n">
        <v>45146</v>
      </c>
      <c r="C4156" s="1" t="n">
        <v>45706</v>
      </c>
      <c r="D4156" t="inlineStr">
        <is>
          <t>UPPSALA LÄN</t>
        </is>
      </c>
      <c r="E4156" t="inlineStr">
        <is>
          <t>ENKÖPING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35406-2023</t>
        </is>
      </c>
      <c r="B4157" s="1" t="n">
        <v>45146</v>
      </c>
      <c r="C4157" s="1" t="n">
        <v>45706</v>
      </c>
      <c r="D4157" t="inlineStr">
        <is>
          <t>UPPSALA LÄN</t>
        </is>
      </c>
      <c r="E4157" t="inlineStr">
        <is>
          <t>ÖSTHAMMAR</t>
        </is>
      </c>
      <c r="F4157" t="inlineStr">
        <is>
          <t>Bergvik skog öst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35410-2023</t>
        </is>
      </c>
      <c r="B4158" s="1" t="n">
        <v>45146</v>
      </c>
      <c r="C4158" s="1" t="n">
        <v>45706</v>
      </c>
      <c r="D4158" t="inlineStr">
        <is>
          <t>UPPSALA LÄN</t>
        </is>
      </c>
      <c r="E4158" t="inlineStr">
        <is>
          <t>ÖSTHAMMAR</t>
        </is>
      </c>
      <c r="F4158" t="inlineStr">
        <is>
          <t>Bergvik skog öst AB</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35471-2023</t>
        </is>
      </c>
      <c r="B4159" s="1" t="n">
        <v>45146</v>
      </c>
      <c r="C4159" s="1" t="n">
        <v>45706</v>
      </c>
      <c r="D4159" t="inlineStr">
        <is>
          <t>UPPSALA LÄN</t>
        </is>
      </c>
      <c r="E4159" t="inlineStr">
        <is>
          <t>UPPSALA</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35474-2023</t>
        </is>
      </c>
      <c r="B4160" s="1" t="n">
        <v>45146</v>
      </c>
      <c r="C4160" s="1" t="n">
        <v>45706</v>
      </c>
      <c r="D4160" t="inlineStr">
        <is>
          <t>UPPSALA LÄN</t>
        </is>
      </c>
      <c r="E4160" t="inlineStr">
        <is>
          <t>ÖSTHAMMAR</t>
        </is>
      </c>
      <c r="F4160" t="inlineStr">
        <is>
          <t>Sveaskog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35482-2023</t>
        </is>
      </c>
      <c r="B4161" s="1" t="n">
        <v>45146</v>
      </c>
      <c r="C4161" s="1" t="n">
        <v>45706</v>
      </c>
      <c r="D4161" t="inlineStr">
        <is>
          <t>UPPSALA LÄN</t>
        </is>
      </c>
      <c r="E4161" t="inlineStr">
        <is>
          <t>HEBY</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35472-2023</t>
        </is>
      </c>
      <c r="B4162" s="1" t="n">
        <v>45146</v>
      </c>
      <c r="C4162" s="1" t="n">
        <v>45706</v>
      </c>
      <c r="D4162" t="inlineStr">
        <is>
          <t>UPPSALA LÄN</t>
        </is>
      </c>
      <c r="E4162" t="inlineStr">
        <is>
          <t>UPPSALA</t>
        </is>
      </c>
      <c r="F4162" t="inlineStr">
        <is>
          <t>Sveaskog</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35476-2023</t>
        </is>
      </c>
      <c r="B4163" s="1" t="n">
        <v>45146</v>
      </c>
      <c r="C4163" s="1" t="n">
        <v>45706</v>
      </c>
      <c r="D4163" t="inlineStr">
        <is>
          <t>UPPSALA LÄN</t>
        </is>
      </c>
      <c r="E4163" t="inlineStr">
        <is>
          <t>ÖSTHAMMAR</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35473-2023</t>
        </is>
      </c>
      <c r="B4164" s="1" t="n">
        <v>45146</v>
      </c>
      <c r="C4164" s="1" t="n">
        <v>45706</v>
      </c>
      <c r="D4164" t="inlineStr">
        <is>
          <t>UPPSALA LÄN</t>
        </is>
      </c>
      <c r="E4164" t="inlineStr">
        <is>
          <t>UPPSALA</t>
        </is>
      </c>
      <c r="F4164" t="inlineStr">
        <is>
          <t>Sveaskog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35539-2023</t>
        </is>
      </c>
      <c r="B4165" s="1" t="n">
        <v>45147</v>
      </c>
      <c r="C4165" s="1" t="n">
        <v>45706</v>
      </c>
      <c r="D4165" t="inlineStr">
        <is>
          <t>UPPSALA LÄN</t>
        </is>
      </c>
      <c r="E4165" t="inlineStr">
        <is>
          <t>ÖSTHAMMAR</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35549-2023</t>
        </is>
      </c>
      <c r="B4166" s="1" t="n">
        <v>45147</v>
      </c>
      <c r="C4166" s="1" t="n">
        <v>45706</v>
      </c>
      <c r="D4166" t="inlineStr">
        <is>
          <t>UPPSALA LÄN</t>
        </is>
      </c>
      <c r="E4166" t="inlineStr">
        <is>
          <t>UPPSALA</t>
        </is>
      </c>
      <c r="F4166" t="inlineStr">
        <is>
          <t>Allmännings- och besparingsskogar</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35684-2023</t>
        </is>
      </c>
      <c r="B4167" s="1" t="n">
        <v>45147</v>
      </c>
      <c r="C4167" s="1" t="n">
        <v>45706</v>
      </c>
      <c r="D4167" t="inlineStr">
        <is>
          <t>UPPSALA LÄN</t>
        </is>
      </c>
      <c r="E4167" t="inlineStr">
        <is>
          <t>ENKÖPING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35902-2023</t>
        </is>
      </c>
      <c r="B4168" s="1" t="n">
        <v>45148</v>
      </c>
      <c r="C4168" s="1" t="n">
        <v>45706</v>
      </c>
      <c r="D4168" t="inlineStr">
        <is>
          <t>UPPSALA LÄN</t>
        </is>
      </c>
      <c r="E4168" t="inlineStr">
        <is>
          <t>UPPSALA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35906-2023</t>
        </is>
      </c>
      <c r="B4169" s="1" t="n">
        <v>45148</v>
      </c>
      <c r="C4169" s="1" t="n">
        <v>45706</v>
      </c>
      <c r="D4169" t="inlineStr">
        <is>
          <t>UPPSALA LÄN</t>
        </is>
      </c>
      <c r="E4169" t="inlineStr">
        <is>
          <t>UPPSALA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35914-2023</t>
        </is>
      </c>
      <c r="B4170" s="1" t="n">
        <v>45148</v>
      </c>
      <c r="C4170" s="1" t="n">
        <v>45706</v>
      </c>
      <c r="D4170" t="inlineStr">
        <is>
          <t>UPPSALA LÄN</t>
        </is>
      </c>
      <c r="E4170" t="inlineStr">
        <is>
          <t>UPPSALA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35918-2023</t>
        </is>
      </c>
      <c r="B4171" s="1" t="n">
        <v>45148</v>
      </c>
      <c r="C4171" s="1" t="n">
        <v>45706</v>
      </c>
      <c r="D4171" t="inlineStr">
        <is>
          <t>UPPSALA LÄN</t>
        </is>
      </c>
      <c r="E4171" t="inlineStr">
        <is>
          <t>ÖSTHAMMAR</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35922-2023</t>
        </is>
      </c>
      <c r="B4172" s="1" t="n">
        <v>45148</v>
      </c>
      <c r="C4172" s="1" t="n">
        <v>45706</v>
      </c>
      <c r="D4172" t="inlineStr">
        <is>
          <t>UPPSALA LÄN</t>
        </is>
      </c>
      <c r="E4172" t="inlineStr">
        <is>
          <t>UPPSALA</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35916-2023</t>
        </is>
      </c>
      <c r="B4173" s="1" t="n">
        <v>45148</v>
      </c>
      <c r="C4173" s="1" t="n">
        <v>45706</v>
      </c>
      <c r="D4173" t="inlineStr">
        <is>
          <t>UPPSALA LÄN</t>
        </is>
      </c>
      <c r="E4173" t="inlineStr">
        <is>
          <t>UPPSALA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35926-2023</t>
        </is>
      </c>
      <c r="B4174" s="1" t="n">
        <v>45148</v>
      </c>
      <c r="C4174" s="1" t="n">
        <v>45706</v>
      </c>
      <c r="D4174" t="inlineStr">
        <is>
          <t>UPPSALA LÄN</t>
        </is>
      </c>
      <c r="E4174" t="inlineStr">
        <is>
          <t>TIERP</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36020-2023</t>
        </is>
      </c>
      <c r="B4175" s="1" t="n">
        <v>45149</v>
      </c>
      <c r="C4175" s="1" t="n">
        <v>45706</v>
      </c>
      <c r="D4175" t="inlineStr">
        <is>
          <t>UPPSALA LÄN</t>
        </is>
      </c>
      <c r="E4175" t="inlineStr">
        <is>
          <t>ÖSTHAMMAR</t>
        </is>
      </c>
      <c r="F4175" t="inlineStr">
        <is>
          <t>Bergvik skog öst AB</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36028-2023</t>
        </is>
      </c>
      <c r="B4176" s="1" t="n">
        <v>45149</v>
      </c>
      <c r="C4176" s="1" t="n">
        <v>45706</v>
      </c>
      <c r="D4176" t="inlineStr">
        <is>
          <t>UPPSALA LÄN</t>
        </is>
      </c>
      <c r="E4176" t="inlineStr">
        <is>
          <t>UPPSALA</t>
        </is>
      </c>
      <c r="F4176" t="inlineStr">
        <is>
          <t>Allmännings- och besparingsskogar</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36123-2023</t>
        </is>
      </c>
      <c r="B4177" s="1" t="n">
        <v>45149</v>
      </c>
      <c r="C4177" s="1" t="n">
        <v>45706</v>
      </c>
      <c r="D4177" t="inlineStr">
        <is>
          <t>UPPSALA LÄN</t>
        </is>
      </c>
      <c r="E4177" t="inlineStr">
        <is>
          <t>UPPSALA</t>
        </is>
      </c>
      <c r="F4177" t="inlineStr">
        <is>
          <t>Allmännings- och besparingsskogar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36159-2023</t>
        </is>
      </c>
      <c r="B4178" s="1" t="n">
        <v>45149</v>
      </c>
      <c r="C4178" s="1" t="n">
        <v>45706</v>
      </c>
      <c r="D4178" t="inlineStr">
        <is>
          <t>UPPSALA LÄN</t>
        </is>
      </c>
      <c r="E4178" t="inlineStr">
        <is>
          <t>UPPSALA</t>
        </is>
      </c>
      <c r="F4178" t="inlineStr">
        <is>
          <t>Övriga statliga verk och myndigheter</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36388-2023</t>
        </is>
      </c>
      <c r="B4179" s="1" t="n">
        <v>45152</v>
      </c>
      <c r="C4179" s="1" t="n">
        <v>45706</v>
      </c>
      <c r="D4179" t="inlineStr">
        <is>
          <t>UPPSALA LÄN</t>
        </is>
      </c>
      <c r="E4179" t="inlineStr">
        <is>
          <t>UPPSALA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36392-2023</t>
        </is>
      </c>
      <c r="B4180" s="1" t="n">
        <v>45152</v>
      </c>
      <c r="C4180" s="1" t="n">
        <v>45706</v>
      </c>
      <c r="D4180" t="inlineStr">
        <is>
          <t>UPPSALA LÄN</t>
        </is>
      </c>
      <c r="E4180" t="inlineStr">
        <is>
          <t>UPPSALA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36301-2023</t>
        </is>
      </c>
      <c r="B4181" s="1" t="n">
        <v>45152</v>
      </c>
      <c r="C4181" s="1" t="n">
        <v>45706</v>
      </c>
      <c r="D4181" t="inlineStr">
        <is>
          <t>UPPSALA LÄN</t>
        </is>
      </c>
      <c r="E4181" t="inlineStr">
        <is>
          <t>ÖSTHAMMAR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36479-2023</t>
        </is>
      </c>
      <c r="B4182" s="1" t="n">
        <v>45152</v>
      </c>
      <c r="C4182" s="1" t="n">
        <v>45706</v>
      </c>
      <c r="D4182" t="inlineStr">
        <is>
          <t>UPPSALA LÄN</t>
        </is>
      </c>
      <c r="E4182" t="inlineStr">
        <is>
          <t>UPPSALA</t>
        </is>
      </c>
      <c r="F4182" t="inlineStr">
        <is>
          <t>Allmännings- och besparingsskogar</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36478-2023</t>
        </is>
      </c>
      <c r="B4183" s="1" t="n">
        <v>45152</v>
      </c>
      <c r="C4183" s="1" t="n">
        <v>45706</v>
      </c>
      <c r="D4183" t="inlineStr">
        <is>
          <t>UPPSALA LÄN</t>
        </is>
      </c>
      <c r="E4183" t="inlineStr">
        <is>
          <t>UPPSALA</t>
        </is>
      </c>
      <c r="F4183" t="inlineStr">
        <is>
          <t>Allmännings- och besparingsskogar</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36438-2023</t>
        </is>
      </c>
      <c r="B4184" s="1" t="n">
        <v>45152</v>
      </c>
      <c r="C4184" s="1" t="n">
        <v>45706</v>
      </c>
      <c r="D4184" t="inlineStr">
        <is>
          <t>UPPSALA LÄN</t>
        </is>
      </c>
      <c r="E4184" t="inlineStr">
        <is>
          <t>UPPSALA</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36447-2023</t>
        </is>
      </c>
      <c r="B4185" s="1" t="n">
        <v>45152</v>
      </c>
      <c r="C4185" s="1" t="n">
        <v>45706</v>
      </c>
      <c r="D4185" t="inlineStr">
        <is>
          <t>UPPSALA LÄN</t>
        </is>
      </c>
      <c r="E4185" t="inlineStr">
        <is>
          <t>ÖSTHAMMAR</t>
        </is>
      </c>
      <c r="F4185" t="inlineStr">
        <is>
          <t>Bergvik skog öst AB</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36544-2023</t>
        </is>
      </c>
      <c r="B4186" s="1" t="n">
        <v>45153</v>
      </c>
      <c r="C4186" s="1" t="n">
        <v>45706</v>
      </c>
      <c r="D4186" t="inlineStr">
        <is>
          <t>UPPSALA LÄN</t>
        </is>
      </c>
      <c r="E4186" t="inlineStr">
        <is>
          <t>TIERP</t>
        </is>
      </c>
      <c r="F4186" t="inlineStr">
        <is>
          <t>Bergvik skog öst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36738-2023</t>
        </is>
      </c>
      <c r="B4187" s="1" t="n">
        <v>45153</v>
      </c>
      <c r="C4187" s="1" t="n">
        <v>45706</v>
      </c>
      <c r="D4187" t="inlineStr">
        <is>
          <t>UPPSALA LÄN</t>
        </is>
      </c>
      <c r="E4187" t="inlineStr">
        <is>
          <t>UPPSALA</t>
        </is>
      </c>
      <c r="F4187" t="inlineStr">
        <is>
          <t>Allmännings- och besparingsskogar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36739-2023</t>
        </is>
      </c>
      <c r="B4188" s="1" t="n">
        <v>45153</v>
      </c>
      <c r="C4188" s="1" t="n">
        <v>45706</v>
      </c>
      <c r="D4188" t="inlineStr">
        <is>
          <t>UPPSALA LÄN</t>
        </is>
      </c>
      <c r="E4188" t="inlineStr">
        <is>
          <t>UPPSALA</t>
        </is>
      </c>
      <c r="F4188" t="inlineStr">
        <is>
          <t>Allmännings- och besparingsskogar</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36781-2023</t>
        </is>
      </c>
      <c r="B4189" s="1" t="n">
        <v>45154</v>
      </c>
      <c r="C4189" s="1" t="n">
        <v>45706</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36782-2023</t>
        </is>
      </c>
      <c r="B4190" s="1" t="n">
        <v>45154</v>
      </c>
      <c r="C4190" s="1" t="n">
        <v>45706</v>
      </c>
      <c r="D4190" t="inlineStr">
        <is>
          <t>UPPSALA LÄN</t>
        </is>
      </c>
      <c r="E4190" t="inlineStr">
        <is>
          <t>UPPSALA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36860-2023</t>
        </is>
      </c>
      <c r="B4191" s="1" t="n">
        <v>45154</v>
      </c>
      <c r="C4191" s="1" t="n">
        <v>45706</v>
      </c>
      <c r="D4191" t="inlineStr">
        <is>
          <t>UPPSALA LÄN</t>
        </is>
      </c>
      <c r="E4191" t="inlineStr">
        <is>
          <t>UPPSALA</t>
        </is>
      </c>
      <c r="F4191" t="inlineStr">
        <is>
          <t>Allmännings- och besparingsskogar</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36861-2023</t>
        </is>
      </c>
      <c r="B4192" s="1" t="n">
        <v>45154</v>
      </c>
      <c r="C4192" s="1" t="n">
        <v>45706</v>
      </c>
      <c r="D4192" t="inlineStr">
        <is>
          <t>UPPSALA LÄN</t>
        </is>
      </c>
      <c r="E4192" t="inlineStr">
        <is>
          <t>ÖSTHAMMAR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36857-2023</t>
        </is>
      </c>
      <c r="B4193" s="1" t="n">
        <v>45154</v>
      </c>
      <c r="C4193" s="1" t="n">
        <v>45706</v>
      </c>
      <c r="D4193" t="inlineStr">
        <is>
          <t>UPPSALA LÄN</t>
        </is>
      </c>
      <c r="E4193" t="inlineStr">
        <is>
          <t>ÖSTHAMMAR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36904-2023</t>
        </is>
      </c>
      <c r="B4194" s="1" t="n">
        <v>45154</v>
      </c>
      <c r="C4194" s="1" t="n">
        <v>45706</v>
      </c>
      <c r="D4194" t="inlineStr">
        <is>
          <t>UPPSALA LÄN</t>
        </is>
      </c>
      <c r="E4194" t="inlineStr">
        <is>
          <t>ÖSTHAMMAR</t>
        </is>
      </c>
      <c r="F4194" t="inlineStr">
        <is>
          <t>Övriga Aktiebolag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37021-2023</t>
        </is>
      </c>
      <c r="B4195" s="1" t="n">
        <v>45155</v>
      </c>
      <c r="C4195" s="1" t="n">
        <v>45706</v>
      </c>
      <c r="D4195" t="inlineStr">
        <is>
          <t>UPPSALA LÄN</t>
        </is>
      </c>
      <c r="E4195" t="inlineStr">
        <is>
          <t>ÖSTHAMMAR</t>
        </is>
      </c>
      <c r="F4195" t="inlineStr">
        <is>
          <t>Övriga Aktiebolag</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37032-2023</t>
        </is>
      </c>
      <c r="B4196" s="1" t="n">
        <v>45155</v>
      </c>
      <c r="C4196" s="1" t="n">
        <v>45706</v>
      </c>
      <c r="D4196" t="inlineStr">
        <is>
          <t>UPPSALA LÄN</t>
        </is>
      </c>
      <c r="E4196" t="inlineStr">
        <is>
          <t>ENKÖPING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37035-2023</t>
        </is>
      </c>
      <c r="B4197" s="1" t="n">
        <v>45155</v>
      </c>
      <c r="C4197" s="1" t="n">
        <v>45706</v>
      </c>
      <c r="D4197" t="inlineStr">
        <is>
          <t>UPPSALA LÄN</t>
        </is>
      </c>
      <c r="E4197" t="inlineStr">
        <is>
          <t>ENKÖPING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37417-2023</t>
        </is>
      </c>
      <c r="B4198" s="1" t="n">
        <v>45155</v>
      </c>
      <c r="C4198" s="1" t="n">
        <v>45706</v>
      </c>
      <c r="D4198" t="inlineStr">
        <is>
          <t>UPPSALA LÄN</t>
        </is>
      </c>
      <c r="E4198" t="inlineStr">
        <is>
          <t>HÅBO</t>
        </is>
      </c>
      <c r="G4198" t="n">
        <v>12.9</v>
      </c>
      <c r="H4198" t="n">
        <v>0</v>
      </c>
      <c r="I4198" t="n">
        <v>0</v>
      </c>
      <c r="J4198" t="n">
        <v>0</v>
      </c>
      <c r="K4198" t="n">
        <v>0</v>
      </c>
      <c r="L4198" t="n">
        <v>0</v>
      </c>
      <c r="M4198" t="n">
        <v>0</v>
      </c>
      <c r="N4198" t="n">
        <v>0</v>
      </c>
      <c r="O4198" t="n">
        <v>0</v>
      </c>
      <c r="P4198" t="n">
        <v>0</v>
      </c>
      <c r="Q4198" t="n">
        <v>0</v>
      </c>
      <c r="R4198" s="2" t="inlineStr"/>
    </row>
    <row r="4199" ht="15" customHeight="1">
      <c r="A4199" t="inlineStr">
        <is>
          <t>A 37410-2023</t>
        </is>
      </c>
      <c r="B4199" s="1" t="n">
        <v>45155</v>
      </c>
      <c r="C4199" s="1" t="n">
        <v>45706</v>
      </c>
      <c r="D4199" t="inlineStr">
        <is>
          <t>UPPSALA LÄN</t>
        </is>
      </c>
      <c r="E4199" t="inlineStr">
        <is>
          <t>HÅBO</t>
        </is>
      </c>
      <c r="G4199" t="n">
        <v>20.9</v>
      </c>
      <c r="H4199" t="n">
        <v>0</v>
      </c>
      <c r="I4199" t="n">
        <v>0</v>
      </c>
      <c r="J4199" t="n">
        <v>0</v>
      </c>
      <c r="K4199" t="n">
        <v>0</v>
      </c>
      <c r="L4199" t="n">
        <v>0</v>
      </c>
      <c r="M4199" t="n">
        <v>0</v>
      </c>
      <c r="N4199" t="n">
        <v>0</v>
      </c>
      <c r="O4199" t="n">
        <v>0</v>
      </c>
      <c r="P4199" t="n">
        <v>0</v>
      </c>
      <c r="Q4199" t="n">
        <v>0</v>
      </c>
      <c r="R4199" s="2" t="inlineStr"/>
    </row>
    <row r="4200" ht="15" customHeight="1">
      <c r="A4200" t="inlineStr">
        <is>
          <t>A 37415-2023</t>
        </is>
      </c>
      <c r="B4200" s="1" t="n">
        <v>45155</v>
      </c>
      <c r="C4200" s="1" t="n">
        <v>45706</v>
      </c>
      <c r="D4200" t="inlineStr">
        <is>
          <t>UPPSALA LÄN</t>
        </is>
      </c>
      <c r="E4200" t="inlineStr">
        <is>
          <t>HÅBO</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37296-2023</t>
        </is>
      </c>
      <c r="B4201" s="1" t="n">
        <v>45156</v>
      </c>
      <c r="C4201" s="1" t="n">
        <v>45706</v>
      </c>
      <c r="D4201" t="inlineStr">
        <is>
          <t>UPPSALA LÄN</t>
        </is>
      </c>
      <c r="E4201" t="inlineStr">
        <is>
          <t>ÖSTHAMMAR</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37350-2023</t>
        </is>
      </c>
      <c r="B4202" s="1" t="n">
        <v>45156</v>
      </c>
      <c r="C4202" s="1" t="n">
        <v>45706</v>
      </c>
      <c r="D4202" t="inlineStr">
        <is>
          <t>UPPSALA LÄN</t>
        </is>
      </c>
      <c r="E4202" t="inlineStr">
        <is>
          <t>ENKÖPING</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37353-2023</t>
        </is>
      </c>
      <c r="B4203" s="1" t="n">
        <v>45156</v>
      </c>
      <c r="C4203" s="1" t="n">
        <v>45706</v>
      </c>
      <c r="D4203" t="inlineStr">
        <is>
          <t>UPPSALA LÄN</t>
        </is>
      </c>
      <c r="E4203" t="inlineStr">
        <is>
          <t>ENKÖPING</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37478-2023</t>
        </is>
      </c>
      <c r="B4204" s="1" t="n">
        <v>45157</v>
      </c>
      <c r="C4204" s="1" t="n">
        <v>45706</v>
      </c>
      <c r="D4204" t="inlineStr">
        <is>
          <t>UPPSALA LÄN</t>
        </is>
      </c>
      <c r="E4204" t="inlineStr">
        <is>
          <t>ÖSTHAMMAR</t>
        </is>
      </c>
      <c r="F4204" t="inlineStr">
        <is>
          <t>Bergvik skog öst AB</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37493-2023</t>
        </is>
      </c>
      <c r="B4205" s="1" t="n">
        <v>45157</v>
      </c>
      <c r="C4205" s="1" t="n">
        <v>45706</v>
      </c>
      <c r="D4205" t="inlineStr">
        <is>
          <t>UPPSALA LÄN</t>
        </is>
      </c>
      <c r="E4205" t="inlineStr">
        <is>
          <t>ÖSTHAMMAR</t>
        </is>
      </c>
      <c r="F4205" t="inlineStr">
        <is>
          <t>Bergvik skog öst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37494-2023</t>
        </is>
      </c>
      <c r="B4206" s="1" t="n">
        <v>45157</v>
      </c>
      <c r="C4206" s="1" t="n">
        <v>45706</v>
      </c>
      <c r="D4206" t="inlineStr">
        <is>
          <t>UPPSALA LÄN</t>
        </is>
      </c>
      <c r="E4206" t="inlineStr">
        <is>
          <t>ÖSTHAMMAR</t>
        </is>
      </c>
      <c r="F4206" t="inlineStr">
        <is>
          <t>Bergvik skog öst AB</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37347-2023</t>
        </is>
      </c>
      <c r="B4207" s="1" t="n">
        <v>45156</v>
      </c>
      <c r="C4207" s="1" t="n">
        <v>45706</v>
      </c>
      <c r="D4207" t="inlineStr">
        <is>
          <t>UPPSALA LÄN</t>
        </is>
      </c>
      <c r="E4207" t="inlineStr">
        <is>
          <t>ENKÖPING</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37850-2023</t>
        </is>
      </c>
      <c r="B4208" s="1" t="n">
        <v>45156</v>
      </c>
      <c r="C4208" s="1" t="n">
        <v>45706</v>
      </c>
      <c r="D4208" t="inlineStr">
        <is>
          <t>UPPSALA LÄN</t>
        </is>
      </c>
      <c r="E4208" t="inlineStr">
        <is>
          <t>HEBY</t>
        </is>
      </c>
      <c r="F4208" t="inlineStr">
        <is>
          <t>Bergvik skog väst AB</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37626-2023</t>
        </is>
      </c>
      <c r="B4209" s="1" t="n">
        <v>45159</v>
      </c>
      <c r="C4209" s="1" t="n">
        <v>45706</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37618-2023</t>
        </is>
      </c>
      <c r="B4210" s="1" t="n">
        <v>45159</v>
      </c>
      <c r="C4210" s="1" t="n">
        <v>45706</v>
      </c>
      <c r="D4210" t="inlineStr">
        <is>
          <t>UPPSALA LÄN</t>
        </is>
      </c>
      <c r="E4210" t="inlineStr">
        <is>
          <t>UPPSALA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37866-2023</t>
        </is>
      </c>
      <c r="B4211" s="1" t="n">
        <v>45160</v>
      </c>
      <c r="C4211" s="1" t="n">
        <v>45706</v>
      </c>
      <c r="D4211" t="inlineStr">
        <is>
          <t>UPPSALA LÄN</t>
        </is>
      </c>
      <c r="E4211" t="inlineStr">
        <is>
          <t>ENKÖPING</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37870-2023</t>
        </is>
      </c>
      <c r="B4212" s="1" t="n">
        <v>45160</v>
      </c>
      <c r="C4212" s="1" t="n">
        <v>45706</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37863-2023</t>
        </is>
      </c>
      <c r="B4213" s="1" t="n">
        <v>45160</v>
      </c>
      <c r="C4213" s="1" t="n">
        <v>45706</v>
      </c>
      <c r="D4213" t="inlineStr">
        <is>
          <t>UPPSALA LÄN</t>
        </is>
      </c>
      <c r="E4213" t="inlineStr">
        <is>
          <t>ÖSTHAMMAR</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37865-2023</t>
        </is>
      </c>
      <c r="B4214" s="1" t="n">
        <v>45160</v>
      </c>
      <c r="C4214" s="1" t="n">
        <v>45706</v>
      </c>
      <c r="D4214" t="inlineStr">
        <is>
          <t>UPPSALA LÄN</t>
        </is>
      </c>
      <c r="E4214" t="inlineStr">
        <is>
          <t>ÖSTHAMMAR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38039-2023</t>
        </is>
      </c>
      <c r="B4215" s="1" t="n">
        <v>45160</v>
      </c>
      <c r="C4215" s="1" t="n">
        <v>45706</v>
      </c>
      <c r="D4215" t="inlineStr">
        <is>
          <t>UPPSALA LÄN</t>
        </is>
      </c>
      <c r="E4215" t="inlineStr">
        <is>
          <t>ÖSTHAMMAR</t>
        </is>
      </c>
      <c r="F4215" t="inlineStr">
        <is>
          <t>Bergvik skog öst AB</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38016-2023</t>
        </is>
      </c>
      <c r="B4216" s="1" t="n">
        <v>45160</v>
      </c>
      <c r="C4216" s="1" t="n">
        <v>45706</v>
      </c>
      <c r="D4216" t="inlineStr">
        <is>
          <t>UPPSALA LÄN</t>
        </is>
      </c>
      <c r="E4216" t="inlineStr">
        <is>
          <t>UPPSALA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38228-2023</t>
        </is>
      </c>
      <c r="B4217" s="1" t="n">
        <v>45160</v>
      </c>
      <c r="C4217" s="1" t="n">
        <v>45706</v>
      </c>
      <c r="D4217" t="inlineStr">
        <is>
          <t>UPPSALA LÄN</t>
        </is>
      </c>
      <c r="E4217" t="inlineStr">
        <is>
          <t>ÖSTHAMMAR</t>
        </is>
      </c>
      <c r="G4217" t="n">
        <v>19.2</v>
      </c>
      <c r="H4217" t="n">
        <v>0</v>
      </c>
      <c r="I4217" t="n">
        <v>0</v>
      </c>
      <c r="J4217" t="n">
        <v>0</v>
      </c>
      <c r="K4217" t="n">
        <v>0</v>
      </c>
      <c r="L4217" t="n">
        <v>0</v>
      </c>
      <c r="M4217" t="n">
        <v>0</v>
      </c>
      <c r="N4217" t="n">
        <v>0</v>
      </c>
      <c r="O4217" t="n">
        <v>0</v>
      </c>
      <c r="P4217" t="n">
        <v>0</v>
      </c>
      <c r="Q4217" t="n">
        <v>0</v>
      </c>
      <c r="R4217" s="2" t="inlineStr"/>
    </row>
    <row r="4218" ht="15" customHeight="1">
      <c r="A4218" t="inlineStr">
        <is>
          <t>A 38127-2023</t>
        </is>
      </c>
      <c r="B4218" s="1" t="n">
        <v>45161</v>
      </c>
      <c r="C4218" s="1" t="n">
        <v>45706</v>
      </c>
      <c r="D4218" t="inlineStr">
        <is>
          <t>UPPSALA LÄN</t>
        </is>
      </c>
      <c r="E4218" t="inlineStr">
        <is>
          <t>ÖSTHAMMAR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38162-2023</t>
        </is>
      </c>
      <c r="B4219" s="1" t="n">
        <v>45161</v>
      </c>
      <c r="C4219" s="1" t="n">
        <v>45706</v>
      </c>
      <c r="D4219" t="inlineStr">
        <is>
          <t>UPPSALA LÄN</t>
        </is>
      </c>
      <c r="E4219" t="inlineStr">
        <is>
          <t>ÖSTHAMMAR</t>
        </is>
      </c>
      <c r="F4219" t="inlineStr">
        <is>
          <t>Övriga Aktiebolag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38128-2023</t>
        </is>
      </c>
      <c r="B4220" s="1" t="n">
        <v>45161</v>
      </c>
      <c r="C4220" s="1" t="n">
        <v>45706</v>
      </c>
      <c r="D4220" t="inlineStr">
        <is>
          <t>UPPSALA LÄN</t>
        </is>
      </c>
      <c r="E4220" t="inlineStr">
        <is>
          <t>ÖSTHAMMAR</t>
        </is>
      </c>
      <c r="F4220" t="inlineStr">
        <is>
          <t>Övriga Aktiebolag</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38190-2023</t>
        </is>
      </c>
      <c r="B4221" s="1" t="n">
        <v>45161</v>
      </c>
      <c r="C4221" s="1" t="n">
        <v>45706</v>
      </c>
      <c r="D4221" t="inlineStr">
        <is>
          <t>UPPSALA LÄN</t>
        </is>
      </c>
      <c r="E4221" t="inlineStr">
        <is>
          <t>UPPSALA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38306-2023</t>
        </is>
      </c>
      <c r="B4222" s="1" t="n">
        <v>45161</v>
      </c>
      <c r="C4222" s="1" t="n">
        <v>45706</v>
      </c>
      <c r="D4222" t="inlineStr">
        <is>
          <t>UPPSALA LÄN</t>
        </is>
      </c>
      <c r="E4222" t="inlineStr">
        <is>
          <t>ÄLVKARLEBY</t>
        </is>
      </c>
      <c r="F4222" t="inlineStr">
        <is>
          <t>Bergvik skog väst AB</t>
        </is>
      </c>
      <c r="G4222" t="n">
        <v>18.6</v>
      </c>
      <c r="H4222" t="n">
        <v>0</v>
      </c>
      <c r="I4222" t="n">
        <v>0</v>
      </c>
      <c r="J4222" t="n">
        <v>0</v>
      </c>
      <c r="K4222" t="n">
        <v>0</v>
      </c>
      <c r="L4222" t="n">
        <v>0</v>
      </c>
      <c r="M4222" t="n">
        <v>0</v>
      </c>
      <c r="N4222" t="n">
        <v>0</v>
      </c>
      <c r="O4222" t="n">
        <v>0</v>
      </c>
      <c r="P4222" t="n">
        <v>0</v>
      </c>
      <c r="Q4222" t="n">
        <v>0</v>
      </c>
      <c r="R4222" s="2" t="inlineStr"/>
    </row>
    <row r="4223" ht="15" customHeight="1">
      <c r="A4223" t="inlineStr">
        <is>
          <t>A 38297-2023</t>
        </is>
      </c>
      <c r="B4223" s="1" t="n">
        <v>45161</v>
      </c>
      <c r="C4223" s="1" t="n">
        <v>45706</v>
      </c>
      <c r="D4223" t="inlineStr">
        <is>
          <t>UPPSALA LÄN</t>
        </is>
      </c>
      <c r="E4223" t="inlineStr">
        <is>
          <t>TIERP</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38226-2023</t>
        </is>
      </c>
      <c r="B4224" s="1" t="n">
        <v>45161</v>
      </c>
      <c r="C4224" s="1" t="n">
        <v>45706</v>
      </c>
      <c r="D4224" t="inlineStr">
        <is>
          <t>UPPSALA LÄN</t>
        </is>
      </c>
      <c r="E4224" t="inlineStr">
        <is>
          <t>ÄLVKARLEBY</t>
        </is>
      </c>
      <c r="F4224" t="inlineStr">
        <is>
          <t>Bergvik skog väst AB</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38105-2023</t>
        </is>
      </c>
      <c r="B4225" s="1" t="n">
        <v>45161</v>
      </c>
      <c r="C4225" s="1" t="n">
        <v>45706</v>
      </c>
      <c r="D4225" t="inlineStr">
        <is>
          <t>UPPSALA LÄN</t>
        </is>
      </c>
      <c r="E4225" t="inlineStr">
        <is>
          <t>TIERP</t>
        </is>
      </c>
      <c r="F4225" t="inlineStr">
        <is>
          <t>Bergvik skog öst AB</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38109-2023</t>
        </is>
      </c>
      <c r="B4226" s="1" t="n">
        <v>45161</v>
      </c>
      <c r="C4226" s="1" t="n">
        <v>45706</v>
      </c>
      <c r="D4226" t="inlineStr">
        <is>
          <t>UPPSALA LÄN</t>
        </is>
      </c>
      <c r="E4226" t="inlineStr">
        <is>
          <t>TIERP</t>
        </is>
      </c>
      <c r="F4226" t="inlineStr">
        <is>
          <t>Bergvik skog öst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38298-2023</t>
        </is>
      </c>
      <c r="B4227" s="1" t="n">
        <v>45161</v>
      </c>
      <c r="C4227" s="1" t="n">
        <v>45706</v>
      </c>
      <c r="D4227" t="inlineStr">
        <is>
          <t>UPPSALA LÄN</t>
        </is>
      </c>
      <c r="E4227" t="inlineStr">
        <is>
          <t>TIERP</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38464-2023</t>
        </is>
      </c>
      <c r="B4228" s="1" t="n">
        <v>45162</v>
      </c>
      <c r="C4228" s="1" t="n">
        <v>45706</v>
      </c>
      <c r="D4228" t="inlineStr">
        <is>
          <t>UPPSALA LÄN</t>
        </is>
      </c>
      <c r="E4228" t="inlineStr">
        <is>
          <t>TIERP</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38524-2023</t>
        </is>
      </c>
      <c r="B4229" s="1" t="n">
        <v>45162</v>
      </c>
      <c r="C4229" s="1" t="n">
        <v>45706</v>
      </c>
      <c r="D4229" t="inlineStr">
        <is>
          <t>UPPSALA LÄN</t>
        </is>
      </c>
      <c r="E4229" t="inlineStr">
        <is>
          <t>TIERP</t>
        </is>
      </c>
      <c r="F4229" t="inlineStr">
        <is>
          <t>Bergvik skog väst AB</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38454-2023</t>
        </is>
      </c>
      <c r="B4230" s="1" t="n">
        <v>45162</v>
      </c>
      <c r="C4230" s="1" t="n">
        <v>45706</v>
      </c>
      <c r="D4230" t="inlineStr">
        <is>
          <t>UPPSALA LÄN</t>
        </is>
      </c>
      <c r="E4230" t="inlineStr">
        <is>
          <t>ÄLVKARLEBY</t>
        </is>
      </c>
      <c r="F4230" t="inlineStr">
        <is>
          <t>Bergvik skog väst AB</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38499-2023</t>
        </is>
      </c>
      <c r="B4231" s="1" t="n">
        <v>45162</v>
      </c>
      <c r="C4231" s="1" t="n">
        <v>45706</v>
      </c>
      <c r="D4231" t="inlineStr">
        <is>
          <t>UPPSALA LÄN</t>
        </is>
      </c>
      <c r="E4231" t="inlineStr">
        <is>
          <t>HEBY</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38453-2023</t>
        </is>
      </c>
      <c r="B4232" s="1" t="n">
        <v>45162</v>
      </c>
      <c r="C4232" s="1" t="n">
        <v>45706</v>
      </c>
      <c r="D4232" t="inlineStr">
        <is>
          <t>UPPSALA LÄN</t>
        </is>
      </c>
      <c r="E4232" t="inlineStr">
        <is>
          <t>ÄLVKARLEBY</t>
        </is>
      </c>
      <c r="F4232" t="inlineStr">
        <is>
          <t>Bergvik skog väst AB</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38461-2023</t>
        </is>
      </c>
      <c r="B4233" s="1" t="n">
        <v>45162</v>
      </c>
      <c r="C4233" s="1" t="n">
        <v>45706</v>
      </c>
      <c r="D4233" t="inlineStr">
        <is>
          <t>UPPSALA LÄN</t>
        </is>
      </c>
      <c r="E4233" t="inlineStr">
        <is>
          <t>ÄLVKARLEBY</t>
        </is>
      </c>
      <c r="F4233" t="inlineStr">
        <is>
          <t>Bergvik skog väst AB</t>
        </is>
      </c>
      <c r="G4233" t="n">
        <v>17.8</v>
      </c>
      <c r="H4233" t="n">
        <v>0</v>
      </c>
      <c r="I4233" t="n">
        <v>0</v>
      </c>
      <c r="J4233" t="n">
        <v>0</v>
      </c>
      <c r="K4233" t="n">
        <v>0</v>
      </c>
      <c r="L4233" t="n">
        <v>0</v>
      </c>
      <c r="M4233" t="n">
        <v>0</v>
      </c>
      <c r="N4233" t="n">
        <v>0</v>
      </c>
      <c r="O4233" t="n">
        <v>0</v>
      </c>
      <c r="P4233" t="n">
        <v>0</v>
      </c>
      <c r="Q4233" t="n">
        <v>0</v>
      </c>
      <c r="R4233" s="2" t="inlineStr"/>
    </row>
    <row r="4234" ht="15" customHeight="1">
      <c r="A4234" t="inlineStr">
        <is>
          <t>A 38493-2023</t>
        </is>
      </c>
      <c r="B4234" s="1" t="n">
        <v>45162</v>
      </c>
      <c r="C4234" s="1" t="n">
        <v>45706</v>
      </c>
      <c r="D4234" t="inlineStr">
        <is>
          <t>UPPSALA LÄN</t>
        </is>
      </c>
      <c r="E4234" t="inlineStr">
        <is>
          <t>UPPSALA</t>
        </is>
      </c>
      <c r="F4234" t="inlineStr">
        <is>
          <t>Allmännings- och besparingsskogar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38584-2023</t>
        </is>
      </c>
      <c r="B4235" s="1" t="n">
        <v>45162</v>
      </c>
      <c r="C4235" s="1" t="n">
        <v>45706</v>
      </c>
      <c r="D4235" t="inlineStr">
        <is>
          <t>UPPSALA LÄN</t>
        </is>
      </c>
      <c r="E4235" t="inlineStr">
        <is>
          <t>KNIVSTA</t>
        </is>
      </c>
      <c r="F4235" t="inlineStr">
        <is>
          <t>Holmen skog AB</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38600-2023</t>
        </is>
      </c>
      <c r="B4236" s="1" t="n">
        <v>45162</v>
      </c>
      <c r="C4236" s="1" t="n">
        <v>45706</v>
      </c>
      <c r="D4236" t="inlineStr">
        <is>
          <t>UPPSALA LÄN</t>
        </is>
      </c>
      <c r="E4236" t="inlineStr">
        <is>
          <t>ÖSTHAMMAR</t>
        </is>
      </c>
      <c r="F4236" t="inlineStr">
        <is>
          <t>Bergvik skog väst AB</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38644-2023</t>
        </is>
      </c>
      <c r="B4237" s="1" t="n">
        <v>45162</v>
      </c>
      <c r="C4237" s="1" t="n">
        <v>45706</v>
      </c>
      <c r="D4237" t="inlineStr">
        <is>
          <t>UPPSALA LÄN</t>
        </is>
      </c>
      <c r="E4237" t="inlineStr">
        <is>
          <t>UPPSALA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38645-2023</t>
        </is>
      </c>
      <c r="B4238" s="1" t="n">
        <v>45162</v>
      </c>
      <c r="C4238" s="1" t="n">
        <v>45706</v>
      </c>
      <c r="D4238" t="inlineStr">
        <is>
          <t>UPPSALA LÄN</t>
        </is>
      </c>
      <c r="E4238" t="inlineStr">
        <is>
          <t>UPPSALA</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38664-2023</t>
        </is>
      </c>
      <c r="B4239" s="1" t="n">
        <v>45162</v>
      </c>
      <c r="C4239" s="1" t="n">
        <v>45706</v>
      </c>
      <c r="D4239" t="inlineStr">
        <is>
          <t>UPPSALA LÄN</t>
        </is>
      </c>
      <c r="E4239" t="inlineStr">
        <is>
          <t>UPPSALA</t>
        </is>
      </c>
      <c r="F4239" t="inlineStr">
        <is>
          <t>Bergvik skog öst AB</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38663-2023</t>
        </is>
      </c>
      <c r="B4240" s="1" t="n">
        <v>45162</v>
      </c>
      <c r="C4240" s="1" t="n">
        <v>45706</v>
      </c>
      <c r="D4240" t="inlineStr">
        <is>
          <t>UPPSALA LÄN</t>
        </is>
      </c>
      <c r="E4240" t="inlineStr">
        <is>
          <t>UPPSALA</t>
        </is>
      </c>
      <c r="F4240" t="inlineStr">
        <is>
          <t>Bergvik skog öst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38610-2023</t>
        </is>
      </c>
      <c r="B4241" s="1" t="n">
        <v>45162</v>
      </c>
      <c r="C4241" s="1" t="n">
        <v>45706</v>
      </c>
      <c r="D4241" t="inlineStr">
        <is>
          <t>UPPSALA LÄN</t>
        </is>
      </c>
      <c r="E4241" t="inlineStr">
        <is>
          <t>ÖSTHAMMAR</t>
        </is>
      </c>
      <c r="F4241" t="inlineStr">
        <is>
          <t>Bergvik skog öst AB</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38665-2023</t>
        </is>
      </c>
      <c r="B4242" s="1" t="n">
        <v>45162</v>
      </c>
      <c r="C4242" s="1" t="n">
        <v>45706</v>
      </c>
      <c r="D4242" t="inlineStr">
        <is>
          <t>UPPSALA LÄN</t>
        </is>
      </c>
      <c r="E4242" t="inlineStr">
        <is>
          <t>UPPSALA</t>
        </is>
      </c>
      <c r="F4242" t="inlineStr">
        <is>
          <t>Bergvik skog öst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38661-2023</t>
        </is>
      </c>
      <c r="B4243" s="1" t="n">
        <v>45162</v>
      </c>
      <c r="C4243" s="1" t="n">
        <v>45706</v>
      </c>
      <c r="D4243" t="inlineStr">
        <is>
          <t>UPPSALA LÄN</t>
        </is>
      </c>
      <c r="E4243" t="inlineStr">
        <is>
          <t>UPPSALA</t>
        </is>
      </c>
      <c r="F4243" t="inlineStr">
        <is>
          <t>Bergvik skog öst AB</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38571-2023</t>
        </is>
      </c>
      <c r="B4244" s="1" t="n">
        <v>45162</v>
      </c>
      <c r="C4244" s="1" t="n">
        <v>45706</v>
      </c>
      <c r="D4244" t="inlineStr">
        <is>
          <t>UPPSALA LÄN</t>
        </is>
      </c>
      <c r="E4244" t="inlineStr">
        <is>
          <t>ÖSTHAMMAR</t>
        </is>
      </c>
      <c r="F4244" t="inlineStr">
        <is>
          <t>Bergvik skog öst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38643-2023</t>
        </is>
      </c>
      <c r="B4245" s="1" t="n">
        <v>45162</v>
      </c>
      <c r="C4245" s="1" t="n">
        <v>45706</v>
      </c>
      <c r="D4245" t="inlineStr">
        <is>
          <t>UPPSALA LÄN</t>
        </is>
      </c>
      <c r="E4245" t="inlineStr">
        <is>
          <t>UPPSALA</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38934-2023</t>
        </is>
      </c>
      <c r="B4246" s="1" t="n">
        <v>45163</v>
      </c>
      <c r="C4246" s="1" t="n">
        <v>45706</v>
      </c>
      <c r="D4246" t="inlineStr">
        <is>
          <t>UPPSALA LÄN</t>
        </is>
      </c>
      <c r="E4246" t="inlineStr">
        <is>
          <t>UPPSALA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38875-2023</t>
        </is>
      </c>
      <c r="B4247" s="1" t="n">
        <v>45163</v>
      </c>
      <c r="C4247" s="1" t="n">
        <v>45706</v>
      </c>
      <c r="D4247" t="inlineStr">
        <is>
          <t>UPPSALA LÄN</t>
        </is>
      </c>
      <c r="E4247" t="inlineStr">
        <is>
          <t>TIERP</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38702-2023</t>
        </is>
      </c>
      <c r="B4248" s="1" t="n">
        <v>45163</v>
      </c>
      <c r="C4248" s="1" t="n">
        <v>45706</v>
      </c>
      <c r="D4248" t="inlineStr">
        <is>
          <t>UPPSALA LÄN</t>
        </is>
      </c>
      <c r="E4248" t="inlineStr">
        <is>
          <t>TIERP</t>
        </is>
      </c>
      <c r="F4248" t="inlineStr">
        <is>
          <t>Bergvik skog öst AB</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38711-2023</t>
        </is>
      </c>
      <c r="B4249" s="1" t="n">
        <v>45163</v>
      </c>
      <c r="C4249" s="1" t="n">
        <v>45706</v>
      </c>
      <c r="D4249" t="inlineStr">
        <is>
          <t>UPPSALA LÄN</t>
        </is>
      </c>
      <c r="E4249" t="inlineStr">
        <is>
          <t>ÖSTHAMMAR</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38807-2023</t>
        </is>
      </c>
      <c r="B4250" s="1" t="n">
        <v>45163</v>
      </c>
      <c r="C4250" s="1" t="n">
        <v>45706</v>
      </c>
      <c r="D4250" t="inlineStr">
        <is>
          <t>UPPSALA LÄN</t>
        </is>
      </c>
      <c r="E4250" t="inlineStr">
        <is>
          <t>TIERP</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39108-2023</t>
        </is>
      </c>
      <c r="B4251" s="1" t="n">
        <v>45164</v>
      </c>
      <c r="C4251" s="1" t="n">
        <v>45706</v>
      </c>
      <c r="D4251" t="inlineStr">
        <is>
          <t>UPPSALA LÄN</t>
        </is>
      </c>
      <c r="E4251" t="inlineStr">
        <is>
          <t>UPPSALA</t>
        </is>
      </c>
      <c r="F4251" t="inlineStr">
        <is>
          <t>Bergvik skog öst AB</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39624-2023</t>
        </is>
      </c>
      <c r="B4252" s="1" t="n">
        <v>45164</v>
      </c>
      <c r="C4252" s="1" t="n">
        <v>45706</v>
      </c>
      <c r="D4252" t="inlineStr">
        <is>
          <t>UPPSALA LÄN</t>
        </is>
      </c>
      <c r="E4252" t="inlineStr">
        <is>
          <t>ENKÖPING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39107-2023</t>
        </is>
      </c>
      <c r="B4253" s="1" t="n">
        <v>45164</v>
      </c>
      <c r="C4253" s="1" t="n">
        <v>45706</v>
      </c>
      <c r="D4253" t="inlineStr">
        <is>
          <t>UPPSALA LÄN</t>
        </is>
      </c>
      <c r="E4253" t="inlineStr">
        <is>
          <t>UPPSALA</t>
        </is>
      </c>
      <c r="F4253" t="inlineStr">
        <is>
          <t>Bergvik skog öst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39154-2023</t>
        </is>
      </c>
      <c r="B4254" s="1" t="n">
        <v>45166</v>
      </c>
      <c r="C4254" s="1" t="n">
        <v>45706</v>
      </c>
      <c r="D4254" t="inlineStr">
        <is>
          <t>UPPSALA LÄN</t>
        </is>
      </c>
      <c r="E4254" t="inlineStr">
        <is>
          <t>HEBY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39259-2023</t>
        </is>
      </c>
      <c r="B4255" s="1" t="n">
        <v>45166</v>
      </c>
      <c r="C4255" s="1" t="n">
        <v>45706</v>
      </c>
      <c r="D4255" t="inlineStr">
        <is>
          <t>UPPSALA LÄN</t>
        </is>
      </c>
      <c r="E4255" t="inlineStr">
        <is>
          <t>TIERP</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39157-2023</t>
        </is>
      </c>
      <c r="B4256" s="1" t="n">
        <v>45166</v>
      </c>
      <c r="C4256" s="1" t="n">
        <v>45706</v>
      </c>
      <c r="D4256" t="inlineStr">
        <is>
          <t>UPPSALA LÄN</t>
        </is>
      </c>
      <c r="E4256" t="inlineStr">
        <is>
          <t>HEBY</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39403-2023</t>
        </is>
      </c>
      <c r="B4257" s="1" t="n">
        <v>45166</v>
      </c>
      <c r="C4257" s="1" t="n">
        <v>45706</v>
      </c>
      <c r="D4257" t="inlineStr">
        <is>
          <t>UPPSALA LÄN</t>
        </is>
      </c>
      <c r="E4257" t="inlineStr">
        <is>
          <t>TIERP</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39421-2023</t>
        </is>
      </c>
      <c r="B4258" s="1" t="n">
        <v>45166</v>
      </c>
      <c r="C4258" s="1" t="n">
        <v>45706</v>
      </c>
      <c r="D4258" t="inlineStr">
        <is>
          <t>UPPSALA LÄN</t>
        </is>
      </c>
      <c r="E4258" t="inlineStr">
        <is>
          <t>TIERP</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39411-2023</t>
        </is>
      </c>
      <c r="B4259" s="1" t="n">
        <v>45166</v>
      </c>
      <c r="C4259" s="1" t="n">
        <v>45706</v>
      </c>
      <c r="D4259" t="inlineStr">
        <is>
          <t>UPPSALA LÄN</t>
        </is>
      </c>
      <c r="E4259" t="inlineStr">
        <is>
          <t>TIERP</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39938-2023</t>
        </is>
      </c>
      <c r="B4260" s="1" t="n">
        <v>45166</v>
      </c>
      <c r="C4260" s="1" t="n">
        <v>45706</v>
      </c>
      <c r="D4260" t="inlineStr">
        <is>
          <t>UPPSALA LÄN</t>
        </is>
      </c>
      <c r="E4260" t="inlineStr">
        <is>
          <t>TIERP</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39548-2023</t>
        </is>
      </c>
      <c r="B4261" s="1" t="n">
        <v>45167</v>
      </c>
      <c r="C4261" s="1" t="n">
        <v>45706</v>
      </c>
      <c r="D4261" t="inlineStr">
        <is>
          <t>UPPSALA LÄN</t>
        </is>
      </c>
      <c r="E4261" t="inlineStr">
        <is>
          <t>UPPSALA</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39592-2023</t>
        </is>
      </c>
      <c r="B4262" s="1" t="n">
        <v>45167</v>
      </c>
      <c r="C4262" s="1" t="n">
        <v>45706</v>
      </c>
      <c r="D4262" t="inlineStr">
        <is>
          <t>UPPSALA LÄN</t>
        </is>
      </c>
      <c r="E4262" t="inlineStr">
        <is>
          <t>UPPSALA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40024-2023</t>
        </is>
      </c>
      <c r="B4263" s="1" t="n">
        <v>45167</v>
      </c>
      <c r="C4263" s="1" t="n">
        <v>45706</v>
      </c>
      <c r="D4263" t="inlineStr">
        <is>
          <t>UPPSALA LÄN</t>
        </is>
      </c>
      <c r="E4263" t="inlineStr">
        <is>
          <t>KNIVSTA</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39928-2023</t>
        </is>
      </c>
      <c r="B4264" s="1" t="n">
        <v>45167</v>
      </c>
      <c r="C4264" s="1" t="n">
        <v>45706</v>
      </c>
      <c r="D4264" t="inlineStr">
        <is>
          <t>UPPSALA LÄN</t>
        </is>
      </c>
      <c r="E4264" t="inlineStr">
        <is>
          <t>TIERP</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39739-2023</t>
        </is>
      </c>
      <c r="B4265" s="1" t="n">
        <v>45167</v>
      </c>
      <c r="C4265" s="1" t="n">
        <v>45706</v>
      </c>
      <c r="D4265" t="inlineStr">
        <is>
          <t>UPPSALA LÄN</t>
        </is>
      </c>
      <c r="E4265" t="inlineStr">
        <is>
          <t>UPPSALA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39836-2023</t>
        </is>
      </c>
      <c r="B4266" s="1" t="n">
        <v>45168</v>
      </c>
      <c r="C4266" s="1" t="n">
        <v>45706</v>
      </c>
      <c r="D4266" t="inlineStr">
        <is>
          <t>UPPSALA LÄN</t>
        </is>
      </c>
      <c r="E4266" t="inlineStr">
        <is>
          <t>HEBY</t>
        </is>
      </c>
      <c r="F4266" t="inlineStr">
        <is>
          <t>Övriga Aktiebolag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39926-2023</t>
        </is>
      </c>
      <c r="B4267" s="1" t="n">
        <v>45168</v>
      </c>
      <c r="C4267" s="1" t="n">
        <v>45706</v>
      </c>
      <c r="D4267" t="inlineStr">
        <is>
          <t>UPPSALA LÄN</t>
        </is>
      </c>
      <c r="E4267" t="inlineStr">
        <is>
          <t>UPPSALA</t>
        </is>
      </c>
      <c r="F4267" t="inlineStr">
        <is>
          <t>Holmen skog AB</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39834-2023</t>
        </is>
      </c>
      <c r="B4268" s="1" t="n">
        <v>45168</v>
      </c>
      <c r="C4268" s="1" t="n">
        <v>45706</v>
      </c>
      <c r="D4268" t="inlineStr">
        <is>
          <t>UPPSALA LÄN</t>
        </is>
      </c>
      <c r="E4268" t="inlineStr">
        <is>
          <t>HEBY</t>
        </is>
      </c>
      <c r="F4268" t="inlineStr">
        <is>
          <t>Övriga Aktiebolag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39829-2023</t>
        </is>
      </c>
      <c r="B4269" s="1" t="n">
        <v>45168</v>
      </c>
      <c r="C4269" s="1" t="n">
        <v>45706</v>
      </c>
      <c r="D4269" t="inlineStr">
        <is>
          <t>UPPSALA LÄN</t>
        </is>
      </c>
      <c r="E4269" t="inlineStr">
        <is>
          <t>HEBY</t>
        </is>
      </c>
      <c r="F4269" t="inlineStr">
        <is>
          <t>Övriga Aktiebolag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39918-2023</t>
        </is>
      </c>
      <c r="B4270" s="1" t="n">
        <v>45168</v>
      </c>
      <c r="C4270" s="1" t="n">
        <v>45706</v>
      </c>
      <c r="D4270" t="inlineStr">
        <is>
          <t>UPPSALA LÄN</t>
        </is>
      </c>
      <c r="E4270" t="inlineStr">
        <is>
          <t>UPPSALA</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39927-2023</t>
        </is>
      </c>
      <c r="B4271" s="1" t="n">
        <v>45168</v>
      </c>
      <c r="C4271" s="1" t="n">
        <v>45706</v>
      </c>
      <c r="D4271" t="inlineStr">
        <is>
          <t>UPPSALA LÄN</t>
        </is>
      </c>
      <c r="E4271" t="inlineStr">
        <is>
          <t>TIERP</t>
        </is>
      </c>
      <c r="F4271" t="inlineStr">
        <is>
          <t>Bergvik skog öst AB</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40176-2023</t>
        </is>
      </c>
      <c r="B4272" s="1" t="n">
        <v>45169</v>
      </c>
      <c r="C4272" s="1" t="n">
        <v>45706</v>
      </c>
      <c r="D4272" t="inlineStr">
        <is>
          <t>UPPSALA LÄN</t>
        </is>
      </c>
      <c r="E4272" t="inlineStr">
        <is>
          <t>ÖSTHAMMAR</t>
        </is>
      </c>
      <c r="F4272" t="inlineStr">
        <is>
          <t>Bergvik skog öst AB</t>
        </is>
      </c>
      <c r="G4272" t="n">
        <v>29.9</v>
      </c>
      <c r="H4272" t="n">
        <v>0</v>
      </c>
      <c r="I4272" t="n">
        <v>0</v>
      </c>
      <c r="J4272" t="n">
        <v>0</v>
      </c>
      <c r="K4272" t="n">
        <v>0</v>
      </c>
      <c r="L4272" t="n">
        <v>0</v>
      </c>
      <c r="M4272" t="n">
        <v>0</v>
      </c>
      <c r="N4272" t="n">
        <v>0</v>
      </c>
      <c r="O4272" t="n">
        <v>0</v>
      </c>
      <c r="P4272" t="n">
        <v>0</v>
      </c>
      <c r="Q4272" t="n">
        <v>0</v>
      </c>
      <c r="R4272" s="2" t="inlineStr"/>
    </row>
    <row r="4273" ht="15" customHeight="1">
      <c r="A4273" t="inlineStr">
        <is>
          <t>A 40369-2023</t>
        </is>
      </c>
      <c r="B4273" s="1" t="n">
        <v>45169</v>
      </c>
      <c r="C4273" s="1" t="n">
        <v>45706</v>
      </c>
      <c r="D4273" t="inlineStr">
        <is>
          <t>UPPSALA LÄN</t>
        </is>
      </c>
      <c r="E4273" t="inlineStr">
        <is>
          <t>UPPSALA</t>
        </is>
      </c>
      <c r="F4273" t="inlineStr">
        <is>
          <t>Allmännings- och besparingsskogar</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40312-2023</t>
        </is>
      </c>
      <c r="B4274" s="1" t="n">
        <v>45169</v>
      </c>
      <c r="C4274" s="1" t="n">
        <v>45706</v>
      </c>
      <c r="D4274" t="inlineStr">
        <is>
          <t>UPPSALA LÄN</t>
        </is>
      </c>
      <c r="E4274" t="inlineStr">
        <is>
          <t>UPPSALA</t>
        </is>
      </c>
      <c r="F4274" t="inlineStr">
        <is>
          <t>Kommuner</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40124-2023</t>
        </is>
      </c>
      <c r="B4275" s="1" t="n">
        <v>45169</v>
      </c>
      <c r="C4275" s="1" t="n">
        <v>45706</v>
      </c>
      <c r="D4275" t="inlineStr">
        <is>
          <t>UPPSALA LÄN</t>
        </is>
      </c>
      <c r="E4275" t="inlineStr">
        <is>
          <t>UPPSALA</t>
        </is>
      </c>
      <c r="F4275" t="inlineStr">
        <is>
          <t>Allmännings- och besparingsskogar</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40266-2023</t>
        </is>
      </c>
      <c r="B4276" s="1" t="n">
        <v>45169</v>
      </c>
      <c r="C4276" s="1" t="n">
        <v>45706</v>
      </c>
      <c r="D4276" t="inlineStr">
        <is>
          <t>UPPSALA LÄN</t>
        </is>
      </c>
      <c r="E4276" t="inlineStr">
        <is>
          <t>HEBY</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40306-2023</t>
        </is>
      </c>
      <c r="B4277" s="1" t="n">
        <v>45169</v>
      </c>
      <c r="C4277" s="1" t="n">
        <v>45706</v>
      </c>
      <c r="D4277" t="inlineStr">
        <is>
          <t>UPPSALA LÄN</t>
        </is>
      </c>
      <c r="E4277" t="inlineStr">
        <is>
          <t>ENKÖPING</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40251-2023</t>
        </is>
      </c>
      <c r="B4278" s="1" t="n">
        <v>45169</v>
      </c>
      <c r="C4278" s="1" t="n">
        <v>45706</v>
      </c>
      <c r="D4278" t="inlineStr">
        <is>
          <t>UPPSALA LÄN</t>
        </is>
      </c>
      <c r="E4278" t="inlineStr">
        <is>
          <t>HEBY</t>
        </is>
      </c>
      <c r="F4278" t="inlineStr">
        <is>
          <t>Kyrkan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40303-2023</t>
        </is>
      </c>
      <c r="B4279" s="1" t="n">
        <v>45169</v>
      </c>
      <c r="C4279" s="1" t="n">
        <v>45706</v>
      </c>
      <c r="D4279" t="inlineStr">
        <is>
          <t>UPPSALA LÄN</t>
        </is>
      </c>
      <c r="E4279" t="inlineStr">
        <is>
          <t>HEBY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40325-2023</t>
        </is>
      </c>
      <c r="B4280" s="1" t="n">
        <v>45169</v>
      </c>
      <c r="C4280" s="1" t="n">
        <v>45706</v>
      </c>
      <c r="D4280" t="inlineStr">
        <is>
          <t>UPPSALA LÄN</t>
        </is>
      </c>
      <c r="E4280" t="inlineStr">
        <is>
          <t>UPPSALA</t>
        </is>
      </c>
      <c r="F4280" t="inlineStr">
        <is>
          <t>Kommuner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40534-2023</t>
        </is>
      </c>
      <c r="B4281" s="1" t="n">
        <v>45170</v>
      </c>
      <c r="C4281" s="1" t="n">
        <v>45706</v>
      </c>
      <c r="D4281" t="inlineStr">
        <is>
          <t>UPPSALA LÄN</t>
        </is>
      </c>
      <c r="E4281" t="inlineStr">
        <is>
          <t>TIERP</t>
        </is>
      </c>
      <c r="F4281" t="inlineStr">
        <is>
          <t>Bergvik skog väst AB</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40624-2023</t>
        </is>
      </c>
      <c r="B4282" s="1" t="n">
        <v>45170</v>
      </c>
      <c r="C4282" s="1" t="n">
        <v>45706</v>
      </c>
      <c r="D4282" t="inlineStr">
        <is>
          <t>UPPSALA LÄN</t>
        </is>
      </c>
      <c r="E4282" t="inlineStr">
        <is>
          <t>TIERP</t>
        </is>
      </c>
      <c r="F4282" t="inlineStr">
        <is>
          <t>Bergvik skog väst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40547-2023</t>
        </is>
      </c>
      <c r="B4283" s="1" t="n">
        <v>45170</v>
      </c>
      <c r="C4283" s="1" t="n">
        <v>45706</v>
      </c>
      <c r="D4283" t="inlineStr">
        <is>
          <t>UPPSALA LÄN</t>
        </is>
      </c>
      <c r="E4283" t="inlineStr">
        <is>
          <t>ÖSTHAMMAR</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40837-2023</t>
        </is>
      </c>
      <c r="B4284" s="1" t="n">
        <v>45172</v>
      </c>
      <c r="C4284" s="1" t="n">
        <v>45706</v>
      </c>
      <c r="D4284" t="inlineStr">
        <is>
          <t>UPPSALA LÄN</t>
        </is>
      </c>
      <c r="E4284" t="inlineStr">
        <is>
          <t>ÖSTHAMMAR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40916-2023</t>
        </is>
      </c>
      <c r="B4285" s="1" t="n">
        <v>45173</v>
      </c>
      <c r="C4285" s="1" t="n">
        <v>45706</v>
      </c>
      <c r="D4285" t="inlineStr">
        <is>
          <t>UPPSALA LÄN</t>
        </is>
      </c>
      <c r="E4285" t="inlineStr">
        <is>
          <t>TIERP</t>
        </is>
      </c>
      <c r="F4285" t="inlineStr">
        <is>
          <t>Bergvik skog väst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40924-2023</t>
        </is>
      </c>
      <c r="B4286" s="1" t="n">
        <v>45173</v>
      </c>
      <c r="C4286" s="1" t="n">
        <v>45706</v>
      </c>
      <c r="D4286" t="inlineStr">
        <is>
          <t>UPPSALA LÄN</t>
        </is>
      </c>
      <c r="E4286" t="inlineStr">
        <is>
          <t>HEBY</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40938-2023</t>
        </is>
      </c>
      <c r="B4287" s="1" t="n">
        <v>45173</v>
      </c>
      <c r="C4287" s="1" t="n">
        <v>45706</v>
      </c>
      <c r="D4287" t="inlineStr">
        <is>
          <t>UPPSALA LÄN</t>
        </is>
      </c>
      <c r="E4287" t="inlineStr">
        <is>
          <t>ÖSTHAMMAR</t>
        </is>
      </c>
      <c r="F4287" t="inlineStr">
        <is>
          <t>Bergvik skog öst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40946-2023</t>
        </is>
      </c>
      <c r="B4288" s="1" t="n">
        <v>45173</v>
      </c>
      <c r="C4288" s="1" t="n">
        <v>45706</v>
      </c>
      <c r="D4288" t="inlineStr">
        <is>
          <t>UPPSALA LÄN</t>
        </is>
      </c>
      <c r="E4288" t="inlineStr">
        <is>
          <t>ÖSTHAMMAR</t>
        </is>
      </c>
      <c r="F4288" t="inlineStr">
        <is>
          <t>Bergvik skog öst AB</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41000-2023</t>
        </is>
      </c>
      <c r="B4289" s="1" t="n">
        <v>45173</v>
      </c>
      <c r="C4289" s="1" t="n">
        <v>45706</v>
      </c>
      <c r="D4289" t="inlineStr">
        <is>
          <t>UPPSALA LÄN</t>
        </is>
      </c>
      <c r="E4289" t="inlineStr">
        <is>
          <t>ÄLVKARLEBY</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40864-2023</t>
        </is>
      </c>
      <c r="B4290" s="1" t="n">
        <v>45173</v>
      </c>
      <c r="C4290" s="1" t="n">
        <v>45706</v>
      </c>
      <c r="D4290" t="inlineStr">
        <is>
          <t>UPPSALA LÄN</t>
        </is>
      </c>
      <c r="E4290" t="inlineStr">
        <is>
          <t>TIERP</t>
        </is>
      </c>
      <c r="F4290" t="inlineStr">
        <is>
          <t>Bergvik skog väst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40872-2023</t>
        </is>
      </c>
      <c r="B4291" s="1" t="n">
        <v>45173</v>
      </c>
      <c r="C4291" s="1" t="n">
        <v>45706</v>
      </c>
      <c r="D4291" t="inlineStr">
        <is>
          <t>UPPSALA LÄN</t>
        </is>
      </c>
      <c r="E4291" t="inlineStr">
        <is>
          <t>UPPSALA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40926-2023</t>
        </is>
      </c>
      <c r="B4292" s="1" t="n">
        <v>45173</v>
      </c>
      <c r="C4292" s="1" t="n">
        <v>45706</v>
      </c>
      <c r="D4292" t="inlineStr">
        <is>
          <t>UPPSALA LÄN</t>
        </is>
      </c>
      <c r="E4292" t="inlineStr">
        <is>
          <t>HEBY</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40913-2023</t>
        </is>
      </c>
      <c r="B4293" s="1" t="n">
        <v>45173</v>
      </c>
      <c r="C4293" s="1" t="n">
        <v>45706</v>
      </c>
      <c r="D4293" t="inlineStr">
        <is>
          <t>UPPSALA LÄN</t>
        </is>
      </c>
      <c r="E4293" t="inlineStr">
        <is>
          <t>TIERP</t>
        </is>
      </c>
      <c r="F4293" t="inlineStr">
        <is>
          <t>Bergvik skog väst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40952-2023</t>
        </is>
      </c>
      <c r="B4294" s="1" t="n">
        <v>45173</v>
      </c>
      <c r="C4294" s="1" t="n">
        <v>45706</v>
      </c>
      <c r="D4294" t="inlineStr">
        <is>
          <t>UPPSALA LÄN</t>
        </is>
      </c>
      <c r="E4294" t="inlineStr">
        <is>
          <t>ÖSTHAMMAR</t>
        </is>
      </c>
      <c r="F4294" t="inlineStr">
        <is>
          <t>Bergvik skog öst AB</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41002-2023</t>
        </is>
      </c>
      <c r="B4295" s="1" t="n">
        <v>45173</v>
      </c>
      <c r="C4295" s="1" t="n">
        <v>45706</v>
      </c>
      <c r="D4295" t="inlineStr">
        <is>
          <t>UPPSALA LÄN</t>
        </is>
      </c>
      <c r="E4295" t="inlineStr">
        <is>
          <t>UPPSALA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41478-2023</t>
        </is>
      </c>
      <c r="B4296" s="1" t="n">
        <v>45173</v>
      </c>
      <c r="C4296" s="1" t="n">
        <v>45706</v>
      </c>
      <c r="D4296" t="inlineStr">
        <is>
          <t>UPPSALA LÄN</t>
        </is>
      </c>
      <c r="E4296" t="inlineStr">
        <is>
          <t>ENKÖPING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41549-2023</t>
        </is>
      </c>
      <c r="B4297" s="1" t="n">
        <v>45173</v>
      </c>
      <c r="C4297" s="1" t="n">
        <v>45706</v>
      </c>
      <c r="D4297" t="inlineStr">
        <is>
          <t>UPPSALA LÄN</t>
        </is>
      </c>
      <c r="E4297" t="inlineStr">
        <is>
          <t>ENKÖPING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41225-2023</t>
        </is>
      </c>
      <c r="B4298" s="1" t="n">
        <v>45174</v>
      </c>
      <c r="C4298" s="1" t="n">
        <v>45706</v>
      </c>
      <c r="D4298" t="inlineStr">
        <is>
          <t>UPPSALA LÄN</t>
        </is>
      </c>
      <c r="E4298" t="inlineStr">
        <is>
          <t>TIERP</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41223-2023</t>
        </is>
      </c>
      <c r="B4299" s="1" t="n">
        <v>45174</v>
      </c>
      <c r="C4299" s="1" t="n">
        <v>45706</v>
      </c>
      <c r="D4299" t="inlineStr">
        <is>
          <t>UPPSALA LÄN</t>
        </is>
      </c>
      <c r="E4299" t="inlineStr">
        <is>
          <t>TIERP</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41349-2023</t>
        </is>
      </c>
      <c r="B4300" s="1" t="n">
        <v>45174</v>
      </c>
      <c r="C4300" s="1" t="n">
        <v>45706</v>
      </c>
      <c r="D4300" t="inlineStr">
        <is>
          <t>UPPSALA LÄN</t>
        </is>
      </c>
      <c r="E4300" t="inlineStr">
        <is>
          <t>UPPSALA</t>
        </is>
      </c>
      <c r="F4300" t="inlineStr">
        <is>
          <t>Allmännings- och besparingsskogar</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41263-2023</t>
        </is>
      </c>
      <c r="B4301" s="1" t="n">
        <v>45174</v>
      </c>
      <c r="C4301" s="1" t="n">
        <v>45706</v>
      </c>
      <c r="D4301" t="inlineStr">
        <is>
          <t>UPPSALA LÄN</t>
        </is>
      </c>
      <c r="E4301" t="inlineStr">
        <is>
          <t>ÄLVKARLEBY</t>
        </is>
      </c>
      <c r="F4301" t="inlineStr">
        <is>
          <t>Bergvik skog väst AB</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41272-2023</t>
        </is>
      </c>
      <c r="B4302" s="1" t="n">
        <v>45174</v>
      </c>
      <c r="C4302" s="1" t="n">
        <v>45706</v>
      </c>
      <c r="D4302" t="inlineStr">
        <is>
          <t>UPPSALA LÄN</t>
        </is>
      </c>
      <c r="E4302" t="inlineStr">
        <is>
          <t>ÄLVKARLEBY</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41276-2023</t>
        </is>
      </c>
      <c r="B4303" s="1" t="n">
        <v>45174</v>
      </c>
      <c r="C4303" s="1" t="n">
        <v>45706</v>
      </c>
      <c r="D4303" t="inlineStr">
        <is>
          <t>UPPSALA LÄN</t>
        </is>
      </c>
      <c r="E4303" t="inlineStr">
        <is>
          <t>ÄLVKARLEBY</t>
        </is>
      </c>
      <c r="F4303" t="inlineStr">
        <is>
          <t>Bergvik skog väst AB</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41308-2023</t>
        </is>
      </c>
      <c r="B4304" s="1" t="n">
        <v>45174</v>
      </c>
      <c r="C4304" s="1" t="n">
        <v>45706</v>
      </c>
      <c r="D4304" t="inlineStr">
        <is>
          <t>UPPSALA LÄN</t>
        </is>
      </c>
      <c r="E4304" t="inlineStr">
        <is>
          <t>ÖSTHAMMAR</t>
        </is>
      </c>
      <c r="F4304" t="inlineStr">
        <is>
          <t>Övriga Aktiebolag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41346-2023</t>
        </is>
      </c>
      <c r="B4305" s="1" t="n">
        <v>45174</v>
      </c>
      <c r="C4305" s="1" t="n">
        <v>45706</v>
      </c>
      <c r="D4305" t="inlineStr">
        <is>
          <t>UPPSALA LÄN</t>
        </is>
      </c>
      <c r="E4305" t="inlineStr">
        <is>
          <t>UPPSALA</t>
        </is>
      </c>
      <c r="F4305" t="inlineStr">
        <is>
          <t>Allmännings- och besparingsskogar</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41182-2023</t>
        </is>
      </c>
      <c r="B4306" s="1" t="n">
        <v>45174</v>
      </c>
      <c r="C4306" s="1" t="n">
        <v>45706</v>
      </c>
      <c r="D4306" t="inlineStr">
        <is>
          <t>UPPSALA LÄN</t>
        </is>
      </c>
      <c r="E4306" t="inlineStr">
        <is>
          <t>TIERP</t>
        </is>
      </c>
      <c r="F4306" t="inlineStr">
        <is>
          <t>Bergvik skog öst AB</t>
        </is>
      </c>
      <c r="G4306" t="n">
        <v>14.8</v>
      </c>
      <c r="H4306" t="n">
        <v>0</v>
      </c>
      <c r="I4306" t="n">
        <v>0</v>
      </c>
      <c r="J4306" t="n">
        <v>0</v>
      </c>
      <c r="K4306" t="n">
        <v>0</v>
      </c>
      <c r="L4306" t="n">
        <v>0</v>
      </c>
      <c r="M4306" t="n">
        <v>0</v>
      </c>
      <c r="N4306" t="n">
        <v>0</v>
      </c>
      <c r="O4306" t="n">
        <v>0</v>
      </c>
      <c r="P4306" t="n">
        <v>0</v>
      </c>
      <c r="Q4306" t="n">
        <v>0</v>
      </c>
      <c r="R4306" s="2" t="inlineStr"/>
    </row>
    <row r="4307" ht="15" customHeight="1">
      <c r="A4307" t="inlineStr">
        <is>
          <t>A 41506-2023</t>
        </is>
      </c>
      <c r="B4307" s="1" t="n">
        <v>45175</v>
      </c>
      <c r="C4307" s="1" t="n">
        <v>45706</v>
      </c>
      <c r="D4307" t="inlineStr">
        <is>
          <t>UPPSALA LÄN</t>
        </is>
      </c>
      <c r="E4307" t="inlineStr">
        <is>
          <t>UPPSALA</t>
        </is>
      </c>
      <c r="F4307" t="inlineStr">
        <is>
          <t>Kyrkan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41541-2023</t>
        </is>
      </c>
      <c r="B4308" s="1" t="n">
        <v>45175</v>
      </c>
      <c r="C4308" s="1" t="n">
        <v>45706</v>
      </c>
      <c r="D4308" t="inlineStr">
        <is>
          <t>UPPSALA LÄN</t>
        </is>
      </c>
      <c r="E4308" t="inlineStr">
        <is>
          <t>UPPSALA</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41546-2023</t>
        </is>
      </c>
      <c r="B4309" s="1" t="n">
        <v>45175</v>
      </c>
      <c r="C4309" s="1" t="n">
        <v>45706</v>
      </c>
      <c r="D4309" t="inlineStr">
        <is>
          <t>UPPSALA LÄN</t>
        </is>
      </c>
      <c r="E4309" t="inlineStr">
        <is>
          <t>HEBY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41575-2023</t>
        </is>
      </c>
      <c r="B4310" s="1" t="n">
        <v>45175</v>
      </c>
      <c r="C4310" s="1" t="n">
        <v>45706</v>
      </c>
      <c r="D4310" t="inlineStr">
        <is>
          <t>UPPSALA LÄN</t>
        </is>
      </c>
      <c r="E4310" t="inlineStr">
        <is>
          <t>HEBY</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41545-2023</t>
        </is>
      </c>
      <c r="B4311" s="1" t="n">
        <v>45175</v>
      </c>
      <c r="C4311" s="1" t="n">
        <v>45706</v>
      </c>
      <c r="D4311" t="inlineStr">
        <is>
          <t>UPPSALA LÄN</t>
        </is>
      </c>
      <c r="E4311" t="inlineStr">
        <is>
          <t>UPPSALA</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41422-2023</t>
        </is>
      </c>
      <c r="B4312" s="1" t="n">
        <v>45175</v>
      </c>
      <c r="C4312" s="1" t="n">
        <v>45706</v>
      </c>
      <c r="D4312" t="inlineStr">
        <is>
          <t>UPPSALA LÄN</t>
        </is>
      </c>
      <c r="E4312" t="inlineStr">
        <is>
          <t>UPPSALA</t>
        </is>
      </c>
      <c r="F4312" t="inlineStr">
        <is>
          <t>Kyrkan</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41489-2023</t>
        </is>
      </c>
      <c r="B4313" s="1" t="n">
        <v>45175</v>
      </c>
      <c r="C4313" s="1" t="n">
        <v>45706</v>
      </c>
      <c r="D4313" t="inlineStr">
        <is>
          <t>UPPSALA LÄN</t>
        </is>
      </c>
      <c r="E4313" t="inlineStr">
        <is>
          <t>ÖSTHAMMAR</t>
        </is>
      </c>
      <c r="F4313" t="inlineStr">
        <is>
          <t>Bergvik skog öst AB</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41538-2023</t>
        </is>
      </c>
      <c r="B4314" s="1" t="n">
        <v>45175</v>
      </c>
      <c r="C4314" s="1" t="n">
        <v>45706</v>
      </c>
      <c r="D4314" t="inlineStr">
        <is>
          <t>UPPSALA LÄN</t>
        </is>
      </c>
      <c r="E4314" t="inlineStr">
        <is>
          <t>UPPSALA</t>
        </is>
      </c>
      <c r="G4314" t="n">
        <v>11.8</v>
      </c>
      <c r="H4314" t="n">
        <v>0</v>
      </c>
      <c r="I4314" t="n">
        <v>0</v>
      </c>
      <c r="J4314" t="n">
        <v>0</v>
      </c>
      <c r="K4314" t="n">
        <v>0</v>
      </c>
      <c r="L4314" t="n">
        <v>0</v>
      </c>
      <c r="M4314" t="n">
        <v>0</v>
      </c>
      <c r="N4314" t="n">
        <v>0</v>
      </c>
      <c r="O4314" t="n">
        <v>0</v>
      </c>
      <c r="P4314" t="n">
        <v>0</v>
      </c>
      <c r="Q4314" t="n">
        <v>0</v>
      </c>
      <c r="R4314" s="2" t="inlineStr"/>
    </row>
    <row r="4315" ht="15" customHeight="1">
      <c r="A4315" t="inlineStr">
        <is>
          <t>A 41556-2023</t>
        </is>
      </c>
      <c r="B4315" s="1" t="n">
        <v>45175</v>
      </c>
      <c r="C4315" s="1" t="n">
        <v>45706</v>
      </c>
      <c r="D4315" t="inlineStr">
        <is>
          <t>UPPSALA LÄN</t>
        </is>
      </c>
      <c r="E4315" t="inlineStr">
        <is>
          <t>HEBY</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41599-2023</t>
        </is>
      </c>
      <c r="B4316" s="1" t="n">
        <v>45175</v>
      </c>
      <c r="C4316" s="1" t="n">
        <v>45706</v>
      </c>
      <c r="D4316" t="inlineStr">
        <is>
          <t>UPPSALA LÄN</t>
        </is>
      </c>
      <c r="E4316" t="inlineStr">
        <is>
          <t>HEBY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42283-2023</t>
        </is>
      </c>
      <c r="B4317" s="1" t="n">
        <v>45175</v>
      </c>
      <c r="C4317" s="1" t="n">
        <v>45706</v>
      </c>
      <c r="D4317" t="inlineStr">
        <is>
          <t>UPPSALA LÄN</t>
        </is>
      </c>
      <c r="E4317" t="inlineStr">
        <is>
          <t>UPPSALA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41669-2023</t>
        </is>
      </c>
      <c r="B4318" s="1" t="n">
        <v>45176</v>
      </c>
      <c r="C4318" s="1" t="n">
        <v>45706</v>
      </c>
      <c r="D4318" t="inlineStr">
        <is>
          <t>UPPSALA LÄN</t>
        </is>
      </c>
      <c r="E4318" t="inlineStr">
        <is>
          <t>UPPSALA</t>
        </is>
      </c>
      <c r="F4318" t="inlineStr">
        <is>
          <t>Övriga Aktiebolag</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41821-2023</t>
        </is>
      </c>
      <c r="B4319" s="1" t="n">
        <v>45176</v>
      </c>
      <c r="C4319" s="1" t="n">
        <v>45706</v>
      </c>
      <c r="D4319" t="inlineStr">
        <is>
          <t>UPPSALA LÄN</t>
        </is>
      </c>
      <c r="E4319" t="inlineStr">
        <is>
          <t>ÖSTHAMMAR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41802-2023</t>
        </is>
      </c>
      <c r="B4320" s="1" t="n">
        <v>45176</v>
      </c>
      <c r="C4320" s="1" t="n">
        <v>45706</v>
      </c>
      <c r="D4320" t="inlineStr">
        <is>
          <t>UPPSALA LÄN</t>
        </is>
      </c>
      <c r="E4320" t="inlineStr">
        <is>
          <t>UPPSALA</t>
        </is>
      </c>
      <c r="G4320" t="n">
        <v>23.9</v>
      </c>
      <c r="H4320" t="n">
        <v>0</v>
      </c>
      <c r="I4320" t="n">
        <v>0</v>
      </c>
      <c r="J4320" t="n">
        <v>0</v>
      </c>
      <c r="K4320" t="n">
        <v>0</v>
      </c>
      <c r="L4320" t="n">
        <v>0</v>
      </c>
      <c r="M4320" t="n">
        <v>0</v>
      </c>
      <c r="N4320" t="n">
        <v>0</v>
      </c>
      <c r="O4320" t="n">
        <v>0</v>
      </c>
      <c r="P4320" t="n">
        <v>0</v>
      </c>
      <c r="Q4320" t="n">
        <v>0</v>
      </c>
      <c r="R4320" s="2" t="inlineStr"/>
    </row>
    <row r="4321" ht="15" customHeight="1">
      <c r="A4321" t="inlineStr">
        <is>
          <t>A 41816-2023</t>
        </is>
      </c>
      <c r="B4321" s="1" t="n">
        <v>45176</v>
      </c>
      <c r="C4321" s="1" t="n">
        <v>45706</v>
      </c>
      <c r="D4321" t="inlineStr">
        <is>
          <t>UPPSALA LÄN</t>
        </is>
      </c>
      <c r="E4321" t="inlineStr">
        <is>
          <t>UPPSALA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41829-2023</t>
        </is>
      </c>
      <c r="B4322" s="1" t="n">
        <v>45176</v>
      </c>
      <c r="C4322" s="1" t="n">
        <v>45706</v>
      </c>
      <c r="D4322" t="inlineStr">
        <is>
          <t>UPPSALA LÄN</t>
        </is>
      </c>
      <c r="E4322" t="inlineStr">
        <is>
          <t>ÖSTHAMMAR</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41726-2023</t>
        </is>
      </c>
      <c r="B4323" s="1" t="n">
        <v>45176</v>
      </c>
      <c r="C4323" s="1" t="n">
        <v>45706</v>
      </c>
      <c r="D4323" t="inlineStr">
        <is>
          <t>UPPSALA LÄN</t>
        </is>
      </c>
      <c r="E4323" t="inlineStr">
        <is>
          <t>TIERP</t>
        </is>
      </c>
      <c r="F4323" t="inlineStr">
        <is>
          <t>Bergvik skog väst AB</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42083-2023</t>
        </is>
      </c>
      <c r="B4324" s="1" t="n">
        <v>45176</v>
      </c>
      <c r="C4324" s="1" t="n">
        <v>45706</v>
      </c>
      <c r="D4324" t="inlineStr">
        <is>
          <t>UPPSALA LÄN</t>
        </is>
      </c>
      <c r="E4324" t="inlineStr">
        <is>
          <t>TIERP</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41945-2023</t>
        </is>
      </c>
      <c r="B4325" s="1" t="n">
        <v>45177</v>
      </c>
      <c r="C4325" s="1" t="n">
        <v>45706</v>
      </c>
      <c r="D4325" t="inlineStr">
        <is>
          <t>UPPSALA LÄN</t>
        </is>
      </c>
      <c r="E4325" t="inlineStr">
        <is>
          <t>ENKÖPING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41950-2023</t>
        </is>
      </c>
      <c r="B4326" s="1" t="n">
        <v>45177</v>
      </c>
      <c r="C4326" s="1" t="n">
        <v>45706</v>
      </c>
      <c r="D4326" t="inlineStr">
        <is>
          <t>UPPSALA LÄN</t>
        </is>
      </c>
      <c r="E4326" t="inlineStr">
        <is>
          <t>UPPSALA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42134-2023</t>
        </is>
      </c>
      <c r="B4327" s="1" t="n">
        <v>45177</v>
      </c>
      <c r="C4327" s="1" t="n">
        <v>45706</v>
      </c>
      <c r="D4327" t="inlineStr">
        <is>
          <t>UPPSALA LÄN</t>
        </is>
      </c>
      <c r="E4327" t="inlineStr">
        <is>
          <t>UPPSALA</t>
        </is>
      </c>
      <c r="F4327" t="inlineStr">
        <is>
          <t>Allmännings- och besparingsskogar</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42063-2023</t>
        </is>
      </c>
      <c r="B4328" s="1" t="n">
        <v>45177</v>
      </c>
      <c r="C4328" s="1" t="n">
        <v>45706</v>
      </c>
      <c r="D4328" t="inlineStr">
        <is>
          <t>UPPSALA LÄN</t>
        </is>
      </c>
      <c r="E4328" t="inlineStr">
        <is>
          <t>UPPSALA</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42131-2023</t>
        </is>
      </c>
      <c r="B4329" s="1" t="n">
        <v>45177</v>
      </c>
      <c r="C4329" s="1" t="n">
        <v>45706</v>
      </c>
      <c r="D4329" t="inlineStr">
        <is>
          <t>UPPSALA LÄN</t>
        </is>
      </c>
      <c r="E4329" t="inlineStr">
        <is>
          <t>UPPSALA</t>
        </is>
      </c>
      <c r="F4329" t="inlineStr">
        <is>
          <t>Allmännings- och besparingsskogar</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42273-2023</t>
        </is>
      </c>
      <c r="B4330" s="1" t="n">
        <v>45180</v>
      </c>
      <c r="C4330" s="1" t="n">
        <v>45706</v>
      </c>
      <c r="D4330" t="inlineStr">
        <is>
          <t>UPPSALA LÄN</t>
        </is>
      </c>
      <c r="E4330" t="inlineStr">
        <is>
          <t>UPPSALA</t>
        </is>
      </c>
      <c r="F4330" t="inlineStr">
        <is>
          <t>Bergvik skog öst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42436-2023</t>
        </is>
      </c>
      <c r="B4331" s="1" t="n">
        <v>45180</v>
      </c>
      <c r="C4331" s="1" t="n">
        <v>45706</v>
      </c>
      <c r="D4331" t="inlineStr">
        <is>
          <t>UPPSALA LÄN</t>
        </is>
      </c>
      <c r="E4331" t="inlineStr">
        <is>
          <t>UPPSALA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42282-2023</t>
        </is>
      </c>
      <c r="B4332" s="1" t="n">
        <v>45180</v>
      </c>
      <c r="C4332" s="1" t="n">
        <v>45706</v>
      </c>
      <c r="D4332" t="inlineStr">
        <is>
          <t>UPPSALA LÄN</t>
        </is>
      </c>
      <c r="E4332" t="inlineStr">
        <is>
          <t>UPPSALA</t>
        </is>
      </c>
      <c r="F4332" t="inlineStr">
        <is>
          <t>Bergvik skog öst AB</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42274-2023</t>
        </is>
      </c>
      <c r="B4333" s="1" t="n">
        <v>45180</v>
      </c>
      <c r="C4333" s="1" t="n">
        <v>45706</v>
      </c>
      <c r="D4333" t="inlineStr">
        <is>
          <t>UPPSALA LÄN</t>
        </is>
      </c>
      <c r="E4333" t="inlineStr">
        <is>
          <t>UPPSALA</t>
        </is>
      </c>
      <c r="F4333" t="inlineStr">
        <is>
          <t>Bergvik skog öst AB</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42285-2023</t>
        </is>
      </c>
      <c r="B4334" s="1" t="n">
        <v>45180</v>
      </c>
      <c r="C4334" s="1" t="n">
        <v>45706</v>
      </c>
      <c r="D4334" t="inlineStr">
        <is>
          <t>UPPSALA LÄN</t>
        </is>
      </c>
      <c r="E4334" t="inlineStr">
        <is>
          <t>UPPSALA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42376-2023</t>
        </is>
      </c>
      <c r="B4335" s="1" t="n">
        <v>45180</v>
      </c>
      <c r="C4335" s="1" t="n">
        <v>45706</v>
      </c>
      <c r="D4335" t="inlineStr">
        <is>
          <t>UPPSALA LÄN</t>
        </is>
      </c>
      <c r="E4335" t="inlineStr">
        <is>
          <t>UPPSALA</t>
        </is>
      </c>
      <c r="F4335" t="inlineStr">
        <is>
          <t>Bergvik skog öst AB</t>
        </is>
      </c>
      <c r="G4335" t="n">
        <v>9.199999999999999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42495-2023</t>
        </is>
      </c>
      <c r="B4336" s="1" t="n">
        <v>45180</v>
      </c>
      <c r="C4336" s="1" t="n">
        <v>45706</v>
      </c>
      <c r="D4336" t="inlineStr">
        <is>
          <t>UPPSALA LÄN</t>
        </is>
      </c>
      <c r="E4336" t="inlineStr">
        <is>
          <t>UPPSALA</t>
        </is>
      </c>
      <c r="F4336" t="inlineStr">
        <is>
          <t>Allmännings- och besparingsskogar</t>
        </is>
      </c>
      <c r="G4336" t="n">
        <v>13.7</v>
      </c>
      <c r="H4336" t="n">
        <v>0</v>
      </c>
      <c r="I4336" t="n">
        <v>0</v>
      </c>
      <c r="J4336" t="n">
        <v>0</v>
      </c>
      <c r="K4336" t="n">
        <v>0</v>
      </c>
      <c r="L4336" t="n">
        <v>0</v>
      </c>
      <c r="M4336" t="n">
        <v>0</v>
      </c>
      <c r="N4336" t="n">
        <v>0</v>
      </c>
      <c r="O4336" t="n">
        <v>0</v>
      </c>
      <c r="P4336" t="n">
        <v>0</v>
      </c>
      <c r="Q4336" t="n">
        <v>0</v>
      </c>
      <c r="R4336" s="2" t="inlineStr"/>
    </row>
    <row r="4337" ht="15" customHeight="1">
      <c r="A4337" t="inlineStr">
        <is>
          <t>A 42270-2023</t>
        </is>
      </c>
      <c r="B4337" s="1" t="n">
        <v>45180</v>
      </c>
      <c r="C4337" s="1" t="n">
        <v>45706</v>
      </c>
      <c r="D4337" t="inlineStr">
        <is>
          <t>UPPSALA LÄN</t>
        </is>
      </c>
      <c r="E4337" t="inlineStr">
        <is>
          <t>TIERP</t>
        </is>
      </c>
      <c r="F4337" t="inlineStr">
        <is>
          <t>Bergvik skog väst AB</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42379-2023</t>
        </is>
      </c>
      <c r="B4338" s="1" t="n">
        <v>45180</v>
      </c>
      <c r="C4338" s="1" t="n">
        <v>45706</v>
      </c>
      <c r="D4338" t="inlineStr">
        <is>
          <t>UPPSALA LÄN</t>
        </is>
      </c>
      <c r="E4338" t="inlineStr">
        <is>
          <t>UPPSALA</t>
        </is>
      </c>
      <c r="F4338" t="inlineStr">
        <is>
          <t>Bergvik skog öst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43494-2023</t>
        </is>
      </c>
      <c r="B4339" s="1" t="n">
        <v>45181</v>
      </c>
      <c r="C4339" s="1" t="n">
        <v>45706</v>
      </c>
      <c r="D4339" t="inlineStr">
        <is>
          <t>UPPSALA LÄN</t>
        </is>
      </c>
      <c r="E4339" t="inlineStr">
        <is>
          <t>ENKÖPING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43510-2023</t>
        </is>
      </c>
      <c r="B4340" s="1" t="n">
        <v>45181</v>
      </c>
      <c r="C4340" s="1" t="n">
        <v>45706</v>
      </c>
      <c r="D4340" t="inlineStr">
        <is>
          <t>UPPSALA LÄN</t>
        </is>
      </c>
      <c r="E4340" t="inlineStr">
        <is>
          <t>ENKÖPING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43506-2023</t>
        </is>
      </c>
      <c r="B4341" s="1" t="n">
        <v>45181</v>
      </c>
      <c r="C4341" s="1" t="n">
        <v>45706</v>
      </c>
      <c r="D4341" t="inlineStr">
        <is>
          <t>UPPSALA LÄN</t>
        </is>
      </c>
      <c r="E4341" t="inlineStr">
        <is>
          <t>ENKÖPING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43488-2023</t>
        </is>
      </c>
      <c r="B4342" s="1" t="n">
        <v>45181</v>
      </c>
      <c r="C4342" s="1" t="n">
        <v>45706</v>
      </c>
      <c r="D4342" t="inlineStr">
        <is>
          <t>UPPSALA LÄN</t>
        </is>
      </c>
      <c r="E4342" t="inlineStr">
        <is>
          <t>ENKÖPING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43492-2023</t>
        </is>
      </c>
      <c r="B4343" s="1" t="n">
        <v>45181</v>
      </c>
      <c r="C4343" s="1" t="n">
        <v>45706</v>
      </c>
      <c r="D4343" t="inlineStr">
        <is>
          <t>UPPSALA LÄN</t>
        </is>
      </c>
      <c r="E4343" t="inlineStr">
        <is>
          <t>ENKÖPING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43499-2023</t>
        </is>
      </c>
      <c r="B4344" s="1" t="n">
        <v>45181</v>
      </c>
      <c r="C4344" s="1" t="n">
        <v>45706</v>
      </c>
      <c r="D4344" t="inlineStr">
        <is>
          <t>UPPSALA LÄN</t>
        </is>
      </c>
      <c r="E4344" t="inlineStr">
        <is>
          <t>ENKÖPING</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42528-2023</t>
        </is>
      </c>
      <c r="B4345" s="1" t="n">
        <v>45181</v>
      </c>
      <c r="C4345" s="1" t="n">
        <v>45706</v>
      </c>
      <c r="D4345" t="inlineStr">
        <is>
          <t>UPPSALA LÄN</t>
        </is>
      </c>
      <c r="E4345" t="inlineStr">
        <is>
          <t>UPPSALA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43605-2023</t>
        </is>
      </c>
      <c r="B4346" s="1" t="n">
        <v>45181</v>
      </c>
      <c r="C4346" s="1" t="n">
        <v>45706</v>
      </c>
      <c r="D4346" t="inlineStr">
        <is>
          <t>UPPSALA LÄN</t>
        </is>
      </c>
      <c r="E4346" t="inlineStr">
        <is>
          <t>TIERP</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42630-2023</t>
        </is>
      </c>
      <c r="B4347" s="1" t="n">
        <v>45181</v>
      </c>
      <c r="C4347" s="1" t="n">
        <v>45706</v>
      </c>
      <c r="D4347" t="inlineStr">
        <is>
          <t>UPPSALA LÄN</t>
        </is>
      </c>
      <c r="E4347" t="inlineStr">
        <is>
          <t>UPPSALA</t>
        </is>
      </c>
      <c r="F4347" t="inlineStr">
        <is>
          <t>Holmen skog AB</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42681-2023</t>
        </is>
      </c>
      <c r="B4348" s="1" t="n">
        <v>45181</v>
      </c>
      <c r="C4348" s="1" t="n">
        <v>45706</v>
      </c>
      <c r="D4348" t="inlineStr">
        <is>
          <t>UPPSALA LÄN</t>
        </is>
      </c>
      <c r="E4348" t="inlineStr">
        <is>
          <t>UPPSALA</t>
        </is>
      </c>
      <c r="F4348" t="inlineStr">
        <is>
          <t>Bergvik skog öst AB</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42691-2023</t>
        </is>
      </c>
      <c r="B4349" s="1" t="n">
        <v>45181</v>
      </c>
      <c r="C4349" s="1" t="n">
        <v>45706</v>
      </c>
      <c r="D4349" t="inlineStr">
        <is>
          <t>UPPSALA LÄN</t>
        </is>
      </c>
      <c r="E4349" t="inlineStr">
        <is>
          <t>HEBY</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42543-2023</t>
        </is>
      </c>
      <c r="B4350" s="1" t="n">
        <v>45181</v>
      </c>
      <c r="C4350" s="1" t="n">
        <v>45706</v>
      </c>
      <c r="D4350" t="inlineStr">
        <is>
          <t>UPPSALA LÄN</t>
        </is>
      </c>
      <c r="E4350" t="inlineStr">
        <is>
          <t>UPPSALA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42730-2023</t>
        </is>
      </c>
      <c r="B4351" s="1" t="n">
        <v>45181</v>
      </c>
      <c r="C4351" s="1" t="n">
        <v>45706</v>
      </c>
      <c r="D4351" t="inlineStr">
        <is>
          <t>UPPSALA LÄN</t>
        </is>
      </c>
      <c r="E4351" t="inlineStr">
        <is>
          <t>UPPSALA</t>
        </is>
      </c>
      <c r="F4351" t="inlineStr">
        <is>
          <t>Holmen skog AB</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42734-2023</t>
        </is>
      </c>
      <c r="B4352" s="1" t="n">
        <v>45181</v>
      </c>
      <c r="C4352" s="1" t="n">
        <v>45706</v>
      </c>
      <c r="D4352" t="inlineStr">
        <is>
          <t>UPPSALA LÄN</t>
        </is>
      </c>
      <c r="E4352" t="inlineStr">
        <is>
          <t>UPPSALA</t>
        </is>
      </c>
      <c r="F4352" t="inlineStr">
        <is>
          <t>Bergvik skog öst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42682-2023</t>
        </is>
      </c>
      <c r="B4353" s="1" t="n">
        <v>45181</v>
      </c>
      <c r="C4353" s="1" t="n">
        <v>45706</v>
      </c>
      <c r="D4353" t="inlineStr">
        <is>
          <t>UPPSALA LÄN</t>
        </is>
      </c>
      <c r="E4353" t="inlineStr">
        <is>
          <t>UPPSALA</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42714-2023</t>
        </is>
      </c>
      <c r="B4354" s="1" t="n">
        <v>45181</v>
      </c>
      <c r="C4354" s="1" t="n">
        <v>45706</v>
      </c>
      <c r="D4354" t="inlineStr">
        <is>
          <t>UPPSALA LÄN</t>
        </is>
      </c>
      <c r="E4354" t="inlineStr">
        <is>
          <t>HEBY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42725-2023</t>
        </is>
      </c>
      <c r="B4355" s="1" t="n">
        <v>45181</v>
      </c>
      <c r="C4355" s="1" t="n">
        <v>45706</v>
      </c>
      <c r="D4355" t="inlineStr">
        <is>
          <t>UPPSALA LÄN</t>
        </is>
      </c>
      <c r="E4355" t="inlineStr">
        <is>
          <t>HEBY</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42600-2023</t>
        </is>
      </c>
      <c r="B4356" s="1" t="n">
        <v>45181</v>
      </c>
      <c r="C4356" s="1" t="n">
        <v>45706</v>
      </c>
      <c r="D4356" t="inlineStr">
        <is>
          <t>UPPSALA LÄN</t>
        </is>
      </c>
      <c r="E4356" t="inlineStr">
        <is>
          <t>ÄLVKARLEBY</t>
        </is>
      </c>
      <c r="G4356" t="n">
        <v>1.7</v>
      </c>
      <c r="H4356" t="n">
        <v>0</v>
      </c>
      <c r="I4356" t="n">
        <v>0</v>
      </c>
      <c r="J4356" t="n">
        <v>0</v>
      </c>
      <c r="K4356" t="n">
        <v>0</v>
      </c>
      <c r="L4356" t="n">
        <v>0</v>
      </c>
      <c r="M4356" t="n">
        <v>0</v>
      </c>
      <c r="N4356" t="n">
        <v>0</v>
      </c>
      <c r="O4356" t="n">
        <v>0</v>
      </c>
      <c r="P4356" t="n">
        <v>0</v>
      </c>
      <c r="Q4356" t="n">
        <v>0</v>
      </c>
      <c r="R4356" s="2" t="inlineStr"/>
      <c r="U4356">
        <f>HYPERLINK("https://klasma.github.io/Logging_0319/knärot/A 42600-2023 karta knärot.png", "A 42600-2023")</f>
        <v/>
      </c>
      <c r="V4356">
        <f>HYPERLINK("https://klasma.github.io/Logging_0319/klagomål/A 42600-2023 FSC-klagomål.docx", "A 42600-2023")</f>
        <v/>
      </c>
      <c r="W4356">
        <f>HYPERLINK("https://klasma.github.io/Logging_0319/klagomålsmail/A 42600-2023 FSC-klagomål mail.docx", "A 42600-2023")</f>
        <v/>
      </c>
      <c r="X4356">
        <f>HYPERLINK("https://klasma.github.io/Logging_0319/tillsyn/A 42600-2023 tillsynsbegäran.docx", "A 42600-2023")</f>
        <v/>
      </c>
      <c r="Y4356">
        <f>HYPERLINK("https://klasma.github.io/Logging_0319/tillsynsmail/A 42600-2023 tillsynsbegäran mail.docx", "A 42600-2023")</f>
        <v/>
      </c>
    </row>
    <row r="4357" ht="15" customHeight="1">
      <c r="A4357" t="inlineStr">
        <is>
          <t>A 42642-2023</t>
        </is>
      </c>
      <c r="B4357" s="1" t="n">
        <v>45181</v>
      </c>
      <c r="C4357" s="1" t="n">
        <v>45706</v>
      </c>
      <c r="D4357" t="inlineStr">
        <is>
          <t>UPPSALA LÄN</t>
        </is>
      </c>
      <c r="E4357" t="inlineStr">
        <is>
          <t>TIERP</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42722-2023</t>
        </is>
      </c>
      <c r="B4358" s="1" t="n">
        <v>45181</v>
      </c>
      <c r="C4358" s="1" t="n">
        <v>45706</v>
      </c>
      <c r="D4358" t="inlineStr">
        <is>
          <t>UPPSALA LÄN</t>
        </is>
      </c>
      <c r="E4358" t="inlineStr">
        <is>
          <t>UPPSALA</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42731-2023</t>
        </is>
      </c>
      <c r="B4359" s="1" t="n">
        <v>45181</v>
      </c>
      <c r="C4359" s="1" t="n">
        <v>45706</v>
      </c>
      <c r="D4359" t="inlineStr">
        <is>
          <t>UPPSALA LÄN</t>
        </is>
      </c>
      <c r="E4359" t="inlineStr">
        <is>
          <t>HEBY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42756-2023</t>
        </is>
      </c>
      <c r="B4360" s="1" t="n">
        <v>45181</v>
      </c>
      <c r="C4360" s="1" t="n">
        <v>45706</v>
      </c>
      <c r="D4360" t="inlineStr">
        <is>
          <t>UPPSALA LÄN</t>
        </is>
      </c>
      <c r="E4360" t="inlineStr">
        <is>
          <t>UPPSALA</t>
        </is>
      </c>
      <c r="F4360" t="inlineStr">
        <is>
          <t>Holmen skog AB</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42971-2023</t>
        </is>
      </c>
      <c r="B4361" s="1" t="n">
        <v>45182</v>
      </c>
      <c r="C4361" s="1" t="n">
        <v>45706</v>
      </c>
      <c r="D4361" t="inlineStr">
        <is>
          <t>UPPSALA LÄN</t>
        </is>
      </c>
      <c r="E4361" t="inlineStr">
        <is>
          <t>UPPSALA</t>
        </is>
      </c>
      <c r="F4361" t="inlineStr">
        <is>
          <t>Sveaskog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43026-2023</t>
        </is>
      </c>
      <c r="B4362" s="1" t="n">
        <v>45182</v>
      </c>
      <c r="C4362" s="1" t="n">
        <v>45706</v>
      </c>
      <c r="D4362" t="inlineStr">
        <is>
          <t>UPPSALA LÄN</t>
        </is>
      </c>
      <c r="E4362" t="inlineStr">
        <is>
          <t>UPPSALA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42914-2023</t>
        </is>
      </c>
      <c r="B4363" s="1" t="n">
        <v>45182</v>
      </c>
      <c r="C4363" s="1" t="n">
        <v>45706</v>
      </c>
      <c r="D4363" t="inlineStr">
        <is>
          <t>UPPSALA LÄN</t>
        </is>
      </c>
      <c r="E4363" t="inlineStr">
        <is>
          <t>HEBY</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42877-2023</t>
        </is>
      </c>
      <c r="B4364" s="1" t="n">
        <v>45182</v>
      </c>
      <c r="C4364" s="1" t="n">
        <v>45706</v>
      </c>
      <c r="D4364" t="inlineStr">
        <is>
          <t>UPPSALA LÄN</t>
        </is>
      </c>
      <c r="E4364" t="inlineStr">
        <is>
          <t>TIERP</t>
        </is>
      </c>
      <c r="F4364" t="inlineStr">
        <is>
          <t>Bergvik skog väst AB</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42958-2023</t>
        </is>
      </c>
      <c r="B4365" s="1" t="n">
        <v>45182</v>
      </c>
      <c r="C4365" s="1" t="n">
        <v>45706</v>
      </c>
      <c r="D4365" t="inlineStr">
        <is>
          <t>UPPSALA LÄN</t>
        </is>
      </c>
      <c r="E4365" t="inlineStr">
        <is>
          <t>HEBY</t>
        </is>
      </c>
      <c r="G4365" t="n">
        <v>12.6</v>
      </c>
      <c r="H4365" t="n">
        <v>0</v>
      </c>
      <c r="I4365" t="n">
        <v>0</v>
      </c>
      <c r="J4365" t="n">
        <v>0</v>
      </c>
      <c r="K4365" t="n">
        <v>0</v>
      </c>
      <c r="L4365" t="n">
        <v>0</v>
      </c>
      <c r="M4365" t="n">
        <v>0</v>
      </c>
      <c r="N4365" t="n">
        <v>0</v>
      </c>
      <c r="O4365" t="n">
        <v>0</v>
      </c>
      <c r="P4365" t="n">
        <v>0</v>
      </c>
      <c r="Q4365" t="n">
        <v>0</v>
      </c>
      <c r="R4365" s="2" t="inlineStr"/>
    </row>
    <row r="4366" ht="15" customHeight="1">
      <c r="A4366" t="inlineStr">
        <is>
          <t>A 42963-2023</t>
        </is>
      </c>
      <c r="B4366" s="1" t="n">
        <v>45182</v>
      </c>
      <c r="C4366" s="1" t="n">
        <v>45706</v>
      </c>
      <c r="D4366" t="inlineStr">
        <is>
          <t>UPPSALA LÄN</t>
        </is>
      </c>
      <c r="E4366" t="inlineStr">
        <is>
          <t>UPPSALA</t>
        </is>
      </c>
      <c r="F4366" t="inlineStr">
        <is>
          <t>Sveaskog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42967-2023</t>
        </is>
      </c>
      <c r="B4367" s="1" t="n">
        <v>45182</v>
      </c>
      <c r="C4367" s="1" t="n">
        <v>45706</v>
      </c>
      <c r="D4367" t="inlineStr">
        <is>
          <t>UPPSALA LÄN</t>
        </is>
      </c>
      <c r="E4367" t="inlineStr">
        <is>
          <t>UPPSALA</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43031-2023</t>
        </is>
      </c>
      <c r="B4368" s="1" t="n">
        <v>45182</v>
      </c>
      <c r="C4368" s="1" t="n">
        <v>45706</v>
      </c>
      <c r="D4368" t="inlineStr">
        <is>
          <t>UPPSALA LÄN</t>
        </is>
      </c>
      <c r="E4368" t="inlineStr">
        <is>
          <t>UPPSALA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43035-2023</t>
        </is>
      </c>
      <c r="B4369" s="1" t="n">
        <v>45182</v>
      </c>
      <c r="C4369" s="1" t="n">
        <v>45706</v>
      </c>
      <c r="D4369" t="inlineStr">
        <is>
          <t>UPPSALA LÄN</t>
        </is>
      </c>
      <c r="E4369" t="inlineStr">
        <is>
          <t>UPPSALA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42873-2023</t>
        </is>
      </c>
      <c r="B4370" s="1" t="n">
        <v>45182</v>
      </c>
      <c r="C4370" s="1" t="n">
        <v>45706</v>
      </c>
      <c r="D4370" t="inlineStr">
        <is>
          <t>UPPSALA LÄN</t>
        </is>
      </c>
      <c r="E4370" t="inlineStr">
        <is>
          <t>TIERP</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43049-2023</t>
        </is>
      </c>
      <c r="B4371" s="1" t="n">
        <v>45182</v>
      </c>
      <c r="C4371" s="1" t="n">
        <v>45706</v>
      </c>
      <c r="D4371" t="inlineStr">
        <is>
          <t>UPPSALA LÄN</t>
        </is>
      </c>
      <c r="E4371" t="inlineStr">
        <is>
          <t>UPPSALA</t>
        </is>
      </c>
      <c r="F4371" t="inlineStr">
        <is>
          <t>Allmännings- och besparingsskogar</t>
        </is>
      </c>
      <c r="G4371" t="n">
        <v>14.5</v>
      </c>
      <c r="H4371" t="n">
        <v>0</v>
      </c>
      <c r="I4371" t="n">
        <v>0</v>
      </c>
      <c r="J4371" t="n">
        <v>0</v>
      </c>
      <c r="K4371" t="n">
        <v>0</v>
      </c>
      <c r="L4371" t="n">
        <v>0</v>
      </c>
      <c r="M4371" t="n">
        <v>0</v>
      </c>
      <c r="N4371" t="n">
        <v>0</v>
      </c>
      <c r="O4371" t="n">
        <v>0</v>
      </c>
      <c r="P4371" t="n">
        <v>0</v>
      </c>
      <c r="Q4371" t="n">
        <v>0</v>
      </c>
      <c r="R4371" s="2" t="inlineStr"/>
    </row>
    <row r="4372" ht="15" customHeight="1">
      <c r="A4372" t="inlineStr">
        <is>
          <t>A 42974-2023</t>
        </is>
      </c>
      <c r="B4372" s="1" t="n">
        <v>45182</v>
      </c>
      <c r="C4372" s="1" t="n">
        <v>45706</v>
      </c>
      <c r="D4372" t="inlineStr">
        <is>
          <t>UPPSALA LÄN</t>
        </is>
      </c>
      <c r="E4372" t="inlineStr">
        <is>
          <t>UPPSALA</t>
        </is>
      </c>
      <c r="F4372" t="inlineStr">
        <is>
          <t>Sveaskog</t>
        </is>
      </c>
      <c r="G4372" t="n">
        <v>3.7</v>
      </c>
      <c r="H4372" t="n">
        <v>0</v>
      </c>
      <c r="I4372" t="n">
        <v>0</v>
      </c>
      <c r="J4372" t="n">
        <v>0</v>
      </c>
      <c r="K4372" t="n">
        <v>0</v>
      </c>
      <c r="L4372" t="n">
        <v>0</v>
      </c>
      <c r="M4372" t="n">
        <v>0</v>
      </c>
      <c r="N4372" t="n">
        <v>0</v>
      </c>
      <c r="O4372" t="n">
        <v>0</v>
      </c>
      <c r="P4372" t="n">
        <v>0</v>
      </c>
      <c r="Q4372" t="n">
        <v>0</v>
      </c>
      <c r="R4372" s="2" t="inlineStr"/>
      <c r="U4372">
        <f>HYPERLINK("https://klasma.github.io/Logging_0380/knärot/A 42974-2023 karta knärot.png", "A 42974-2023")</f>
        <v/>
      </c>
      <c r="V4372">
        <f>HYPERLINK("https://klasma.github.io/Logging_0380/klagomål/A 42974-2023 FSC-klagomål.docx", "A 42974-2023")</f>
        <v/>
      </c>
      <c r="W4372">
        <f>HYPERLINK("https://klasma.github.io/Logging_0380/klagomålsmail/A 42974-2023 FSC-klagomål mail.docx", "A 42974-2023")</f>
        <v/>
      </c>
      <c r="X4372">
        <f>HYPERLINK("https://klasma.github.io/Logging_0380/tillsyn/A 42974-2023 tillsynsbegäran.docx", "A 42974-2023")</f>
        <v/>
      </c>
      <c r="Y4372">
        <f>HYPERLINK("https://klasma.github.io/Logging_0380/tillsynsmail/A 42974-2023 tillsynsbegäran mail.docx", "A 42974-2023")</f>
        <v/>
      </c>
    </row>
    <row r="4373" ht="15" customHeight="1">
      <c r="A4373" t="inlineStr">
        <is>
          <t>A 42978-2023</t>
        </is>
      </c>
      <c r="B4373" s="1" t="n">
        <v>45182</v>
      </c>
      <c r="C4373" s="1" t="n">
        <v>45706</v>
      </c>
      <c r="D4373" t="inlineStr">
        <is>
          <t>UPPSALA LÄN</t>
        </is>
      </c>
      <c r="E4373" t="inlineStr">
        <is>
          <t>UPPSALA</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43029-2023</t>
        </is>
      </c>
      <c r="B4374" s="1" t="n">
        <v>45182</v>
      </c>
      <c r="C4374" s="1" t="n">
        <v>45706</v>
      </c>
      <c r="D4374" t="inlineStr">
        <is>
          <t>UPPSALA LÄN</t>
        </is>
      </c>
      <c r="E4374" t="inlineStr">
        <is>
          <t>UPPSALA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43818-2023</t>
        </is>
      </c>
      <c r="B4375" s="1" t="n">
        <v>45182</v>
      </c>
      <c r="C4375" s="1" t="n">
        <v>45706</v>
      </c>
      <c r="D4375" t="inlineStr">
        <is>
          <t>UPPSALA LÄN</t>
        </is>
      </c>
      <c r="E4375" t="inlineStr">
        <is>
          <t>UPPSALA</t>
        </is>
      </c>
      <c r="G4375" t="n">
        <v>10.8</v>
      </c>
      <c r="H4375" t="n">
        <v>0</v>
      </c>
      <c r="I4375" t="n">
        <v>0</v>
      </c>
      <c r="J4375" t="n">
        <v>0</v>
      </c>
      <c r="K4375" t="n">
        <v>0</v>
      </c>
      <c r="L4375" t="n">
        <v>0</v>
      </c>
      <c r="M4375" t="n">
        <v>0</v>
      </c>
      <c r="N4375" t="n">
        <v>0</v>
      </c>
      <c r="O4375" t="n">
        <v>0</v>
      </c>
      <c r="P4375" t="n">
        <v>0</v>
      </c>
      <c r="Q4375" t="n">
        <v>0</v>
      </c>
      <c r="R4375" s="2" t="inlineStr"/>
    </row>
    <row r="4376" ht="15" customHeight="1">
      <c r="A4376" t="inlineStr">
        <is>
          <t>A 43795-2023</t>
        </is>
      </c>
      <c r="B4376" s="1" t="n">
        <v>45182</v>
      </c>
      <c r="C4376" s="1" t="n">
        <v>45706</v>
      </c>
      <c r="D4376" t="inlineStr">
        <is>
          <t>UPPSALA LÄN</t>
        </is>
      </c>
      <c r="E4376" t="inlineStr">
        <is>
          <t>UPPSALA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43230-2023</t>
        </is>
      </c>
      <c r="B4377" s="1" t="n">
        <v>45183</v>
      </c>
      <c r="C4377" s="1" t="n">
        <v>45706</v>
      </c>
      <c r="D4377" t="inlineStr">
        <is>
          <t>UPPSALA LÄN</t>
        </is>
      </c>
      <c r="E4377" t="inlineStr">
        <is>
          <t>ENKÖPING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43285-2023</t>
        </is>
      </c>
      <c r="B4378" s="1" t="n">
        <v>45183</v>
      </c>
      <c r="C4378" s="1" t="n">
        <v>45706</v>
      </c>
      <c r="D4378" t="inlineStr">
        <is>
          <t>UPPSALA LÄN</t>
        </is>
      </c>
      <c r="E4378" t="inlineStr">
        <is>
          <t>ÄLVKARLEBY</t>
        </is>
      </c>
      <c r="F4378" t="inlineStr">
        <is>
          <t>Bergvik skog väst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43288-2023</t>
        </is>
      </c>
      <c r="B4379" s="1" t="n">
        <v>45183</v>
      </c>
      <c r="C4379" s="1" t="n">
        <v>45706</v>
      </c>
      <c r="D4379" t="inlineStr">
        <is>
          <t>UPPSALA LÄN</t>
        </is>
      </c>
      <c r="E4379" t="inlineStr">
        <is>
          <t>ÄLVKARLEBY</t>
        </is>
      </c>
      <c r="F4379" t="inlineStr">
        <is>
          <t>Bergvik skog väst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43316-2023</t>
        </is>
      </c>
      <c r="B4380" s="1" t="n">
        <v>45183</v>
      </c>
      <c r="C4380" s="1" t="n">
        <v>45706</v>
      </c>
      <c r="D4380" t="inlineStr">
        <is>
          <t>UPPSALA LÄN</t>
        </is>
      </c>
      <c r="E4380" t="inlineStr">
        <is>
          <t>UPPSALA</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43451-2023</t>
        </is>
      </c>
      <c r="B4381" s="1" t="n">
        <v>45184</v>
      </c>
      <c r="C4381" s="1" t="n">
        <v>45706</v>
      </c>
      <c r="D4381" t="inlineStr">
        <is>
          <t>UPPSALA LÄN</t>
        </is>
      </c>
      <c r="E4381" t="inlineStr">
        <is>
          <t>HEBY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43450-2023</t>
        </is>
      </c>
      <c r="B4382" s="1" t="n">
        <v>45184</v>
      </c>
      <c r="C4382" s="1" t="n">
        <v>45706</v>
      </c>
      <c r="D4382" t="inlineStr">
        <is>
          <t>UPPSALA LÄN</t>
        </is>
      </c>
      <c r="E4382" t="inlineStr">
        <is>
          <t>HEBY</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43732-2023</t>
        </is>
      </c>
      <c r="B4383" s="1" t="n">
        <v>45187</v>
      </c>
      <c r="C4383" s="1" t="n">
        <v>45706</v>
      </c>
      <c r="D4383" t="inlineStr">
        <is>
          <t>UPPSALA LÄN</t>
        </is>
      </c>
      <c r="E4383" t="inlineStr">
        <is>
          <t>ÖSTHAMMAR</t>
        </is>
      </c>
      <c r="F4383" t="inlineStr">
        <is>
          <t>Övriga Aktiebolag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43925-2023</t>
        </is>
      </c>
      <c r="B4384" s="1" t="n">
        <v>45187</v>
      </c>
      <c r="C4384" s="1" t="n">
        <v>45706</v>
      </c>
      <c r="D4384" t="inlineStr">
        <is>
          <t>UPPSALA LÄN</t>
        </is>
      </c>
      <c r="E4384" t="inlineStr">
        <is>
          <t>ÖSTHAMMAR</t>
        </is>
      </c>
      <c r="F4384" t="inlineStr">
        <is>
          <t>Allmännings- och besparingsskogar</t>
        </is>
      </c>
      <c r="G4384" t="n">
        <v>20.8</v>
      </c>
      <c r="H4384" t="n">
        <v>0</v>
      </c>
      <c r="I4384" t="n">
        <v>0</v>
      </c>
      <c r="J4384" t="n">
        <v>0</v>
      </c>
      <c r="K4384" t="n">
        <v>0</v>
      </c>
      <c r="L4384" t="n">
        <v>0</v>
      </c>
      <c r="M4384" t="n">
        <v>0</v>
      </c>
      <c r="N4384" t="n">
        <v>0</v>
      </c>
      <c r="O4384" t="n">
        <v>0</v>
      </c>
      <c r="P4384" t="n">
        <v>0</v>
      </c>
      <c r="Q4384" t="n">
        <v>0</v>
      </c>
      <c r="R4384" s="2" t="inlineStr"/>
    </row>
    <row r="4385" ht="15" customHeight="1">
      <c r="A4385" t="inlineStr">
        <is>
          <t>A 43944-2023</t>
        </is>
      </c>
      <c r="B4385" s="1" t="n">
        <v>45187</v>
      </c>
      <c r="C4385" s="1" t="n">
        <v>45706</v>
      </c>
      <c r="D4385" t="inlineStr">
        <is>
          <t>UPPSALA LÄN</t>
        </is>
      </c>
      <c r="E4385" t="inlineStr">
        <is>
          <t>UPPSALA</t>
        </is>
      </c>
      <c r="G4385" t="n">
        <v>16.1</v>
      </c>
      <c r="H4385" t="n">
        <v>0</v>
      </c>
      <c r="I4385" t="n">
        <v>0</v>
      </c>
      <c r="J4385" t="n">
        <v>0</v>
      </c>
      <c r="K4385" t="n">
        <v>0</v>
      </c>
      <c r="L4385" t="n">
        <v>0</v>
      </c>
      <c r="M4385" t="n">
        <v>0</v>
      </c>
      <c r="N4385" t="n">
        <v>0</v>
      </c>
      <c r="O4385" t="n">
        <v>0</v>
      </c>
      <c r="P4385" t="n">
        <v>0</v>
      </c>
      <c r="Q4385" t="n">
        <v>0</v>
      </c>
      <c r="R4385" s="2" t="inlineStr"/>
    </row>
    <row r="4386" ht="15" customHeight="1">
      <c r="A4386" t="inlineStr">
        <is>
          <t>A 43775-2023</t>
        </is>
      </c>
      <c r="B4386" s="1" t="n">
        <v>45187</v>
      </c>
      <c r="C4386" s="1" t="n">
        <v>45706</v>
      </c>
      <c r="D4386" t="inlineStr">
        <is>
          <t>UPPSALA LÄN</t>
        </is>
      </c>
      <c r="E4386" t="inlineStr">
        <is>
          <t>UPPSALA</t>
        </is>
      </c>
      <c r="F4386" t="inlineStr">
        <is>
          <t>Bergvik skog öst AB</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43779-2023</t>
        </is>
      </c>
      <c r="B4387" s="1" t="n">
        <v>45187</v>
      </c>
      <c r="C4387" s="1" t="n">
        <v>45706</v>
      </c>
      <c r="D4387" t="inlineStr">
        <is>
          <t>UPPSALA LÄN</t>
        </is>
      </c>
      <c r="E4387" t="inlineStr">
        <is>
          <t>UPPSALA</t>
        </is>
      </c>
      <c r="F4387" t="inlineStr">
        <is>
          <t>Bergvik skog öst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43776-2023</t>
        </is>
      </c>
      <c r="B4388" s="1" t="n">
        <v>45187</v>
      </c>
      <c r="C4388" s="1" t="n">
        <v>45706</v>
      </c>
      <c r="D4388" t="inlineStr">
        <is>
          <t>UPPSALA LÄN</t>
        </is>
      </c>
      <c r="E4388" t="inlineStr">
        <is>
          <t>UPPSALA</t>
        </is>
      </c>
      <c r="F4388" t="inlineStr">
        <is>
          <t>Bergvik skog öst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43855-2023</t>
        </is>
      </c>
      <c r="B4389" s="1" t="n">
        <v>45187</v>
      </c>
      <c r="C4389" s="1" t="n">
        <v>45706</v>
      </c>
      <c r="D4389" t="inlineStr">
        <is>
          <t>UPPSALA LÄN</t>
        </is>
      </c>
      <c r="E4389" t="inlineStr">
        <is>
          <t>UPPSALA</t>
        </is>
      </c>
      <c r="F4389" t="inlineStr">
        <is>
          <t>Bergvik skog öst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43840-2023</t>
        </is>
      </c>
      <c r="B4390" s="1" t="n">
        <v>45187</v>
      </c>
      <c r="C4390" s="1" t="n">
        <v>45706</v>
      </c>
      <c r="D4390" t="inlineStr">
        <is>
          <t>UPPSALA LÄN</t>
        </is>
      </c>
      <c r="E4390" t="inlineStr">
        <is>
          <t>HEBY</t>
        </is>
      </c>
      <c r="G4390" t="n">
        <v>23.9</v>
      </c>
      <c r="H4390" t="n">
        <v>0</v>
      </c>
      <c r="I4390" t="n">
        <v>0</v>
      </c>
      <c r="J4390" t="n">
        <v>0</v>
      </c>
      <c r="K4390" t="n">
        <v>0</v>
      </c>
      <c r="L4390" t="n">
        <v>0</v>
      </c>
      <c r="M4390" t="n">
        <v>0</v>
      </c>
      <c r="N4390" t="n">
        <v>0</v>
      </c>
      <c r="O4390" t="n">
        <v>0</v>
      </c>
      <c r="P4390" t="n">
        <v>0</v>
      </c>
      <c r="Q4390" t="n">
        <v>0</v>
      </c>
      <c r="R4390" s="2" t="inlineStr"/>
    </row>
    <row r="4391" ht="15" customHeight="1">
      <c r="A4391" t="inlineStr">
        <is>
          <t>A 43905-2023</t>
        </is>
      </c>
      <c r="B4391" s="1" t="n">
        <v>45187</v>
      </c>
      <c r="C4391" s="1" t="n">
        <v>45706</v>
      </c>
      <c r="D4391" t="inlineStr">
        <is>
          <t>UPPSALA LÄN</t>
        </is>
      </c>
      <c r="E4391" t="inlineStr">
        <is>
          <t>KNIVSTA</t>
        </is>
      </c>
      <c r="F4391" t="inlineStr">
        <is>
          <t>Kyrkan</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43915-2023</t>
        </is>
      </c>
      <c r="B4392" s="1" t="n">
        <v>45187</v>
      </c>
      <c r="C4392" s="1" t="n">
        <v>45706</v>
      </c>
      <c r="D4392" t="inlineStr">
        <is>
          <t>UPPSALA LÄN</t>
        </is>
      </c>
      <c r="E4392" t="inlineStr">
        <is>
          <t>ÖSTHAMMAR</t>
        </is>
      </c>
      <c r="F4392" t="inlineStr">
        <is>
          <t>Bergvik skog öst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43722-2023</t>
        </is>
      </c>
      <c r="B4393" s="1" t="n">
        <v>45187</v>
      </c>
      <c r="C4393" s="1" t="n">
        <v>45706</v>
      </c>
      <c r="D4393" t="inlineStr">
        <is>
          <t>UPPSALA LÄN</t>
        </is>
      </c>
      <c r="E4393" t="inlineStr">
        <is>
          <t>TIERP</t>
        </is>
      </c>
      <c r="F4393" t="inlineStr">
        <is>
          <t>Bergvik skog öst AB</t>
        </is>
      </c>
      <c r="G4393" t="n">
        <v>26.7</v>
      </c>
      <c r="H4393" t="n">
        <v>0</v>
      </c>
      <c r="I4393" t="n">
        <v>0</v>
      </c>
      <c r="J4393" t="n">
        <v>0</v>
      </c>
      <c r="K4393" t="n">
        <v>0</v>
      </c>
      <c r="L4393" t="n">
        <v>0</v>
      </c>
      <c r="M4393" t="n">
        <v>0</v>
      </c>
      <c r="N4393" t="n">
        <v>0</v>
      </c>
      <c r="O4393" t="n">
        <v>0</v>
      </c>
      <c r="P4393" t="n">
        <v>0</v>
      </c>
      <c r="Q4393" t="n">
        <v>0</v>
      </c>
      <c r="R4393" s="2" t="inlineStr"/>
    </row>
    <row r="4394" ht="15" customHeight="1">
      <c r="A4394" t="inlineStr">
        <is>
          <t>A 43778-2023</t>
        </is>
      </c>
      <c r="B4394" s="1" t="n">
        <v>45187</v>
      </c>
      <c r="C4394" s="1" t="n">
        <v>45706</v>
      </c>
      <c r="D4394" t="inlineStr">
        <is>
          <t>UPPSALA LÄN</t>
        </is>
      </c>
      <c r="E4394" t="inlineStr">
        <is>
          <t>UPPSALA</t>
        </is>
      </c>
      <c r="F4394" t="inlineStr">
        <is>
          <t>Bergvik skog öst AB</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43838-2023</t>
        </is>
      </c>
      <c r="B4395" s="1" t="n">
        <v>45187</v>
      </c>
      <c r="C4395" s="1" t="n">
        <v>45706</v>
      </c>
      <c r="D4395" t="inlineStr">
        <is>
          <t>UPPSALA LÄN</t>
        </is>
      </c>
      <c r="E4395" t="inlineStr">
        <is>
          <t>ÖSTHAMMAR</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43908-2023</t>
        </is>
      </c>
      <c r="B4396" s="1" t="n">
        <v>45187</v>
      </c>
      <c r="C4396" s="1" t="n">
        <v>45706</v>
      </c>
      <c r="D4396" t="inlineStr">
        <is>
          <t>UPPSALA LÄN</t>
        </is>
      </c>
      <c r="E4396" t="inlineStr">
        <is>
          <t>KNIVSTA</t>
        </is>
      </c>
      <c r="F4396" t="inlineStr">
        <is>
          <t>Kyrkan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44875-2023</t>
        </is>
      </c>
      <c r="B4397" s="1" t="n">
        <v>45187</v>
      </c>
      <c r="C4397" s="1" t="n">
        <v>45706</v>
      </c>
      <c r="D4397" t="inlineStr">
        <is>
          <t>UPPSALA LÄN</t>
        </is>
      </c>
      <c r="E4397" t="inlineStr">
        <is>
          <t>UPPSALA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44080-2023</t>
        </is>
      </c>
      <c r="B4398" s="1" t="n">
        <v>45188</v>
      </c>
      <c r="C4398" s="1" t="n">
        <v>45706</v>
      </c>
      <c r="D4398" t="inlineStr">
        <is>
          <t>UPPSALA LÄN</t>
        </is>
      </c>
      <c r="E4398" t="inlineStr">
        <is>
          <t>UPPSALA</t>
        </is>
      </c>
      <c r="G4398" t="n">
        <v>13.3</v>
      </c>
      <c r="H4398" t="n">
        <v>0</v>
      </c>
      <c r="I4398" t="n">
        <v>0</v>
      </c>
      <c r="J4398" t="n">
        <v>0</v>
      </c>
      <c r="K4398" t="n">
        <v>0</v>
      </c>
      <c r="L4398" t="n">
        <v>0</v>
      </c>
      <c r="M4398" t="n">
        <v>0</v>
      </c>
      <c r="N4398" t="n">
        <v>0</v>
      </c>
      <c r="O4398" t="n">
        <v>0</v>
      </c>
      <c r="P4398" t="n">
        <v>0</v>
      </c>
      <c r="Q4398" t="n">
        <v>0</v>
      </c>
      <c r="R4398" s="2" t="inlineStr"/>
    </row>
    <row r="4399" ht="15" customHeight="1">
      <c r="A4399" t="inlineStr">
        <is>
          <t>A 44115-2023</t>
        </is>
      </c>
      <c r="B4399" s="1" t="n">
        <v>45188</v>
      </c>
      <c r="C4399" s="1" t="n">
        <v>45706</v>
      </c>
      <c r="D4399" t="inlineStr">
        <is>
          <t>UPPSALA LÄN</t>
        </is>
      </c>
      <c r="E4399" t="inlineStr">
        <is>
          <t>UPPSALA</t>
        </is>
      </c>
      <c r="F4399" t="inlineStr">
        <is>
          <t>Holmen skog AB</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44228-2023</t>
        </is>
      </c>
      <c r="B4400" s="1" t="n">
        <v>45188</v>
      </c>
      <c r="C4400" s="1" t="n">
        <v>45706</v>
      </c>
      <c r="D4400" t="inlineStr">
        <is>
          <t>UPPSALA LÄN</t>
        </is>
      </c>
      <c r="E4400" t="inlineStr">
        <is>
          <t>TIERP</t>
        </is>
      </c>
      <c r="F4400" t="inlineStr">
        <is>
          <t>Bergvik skog öst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44232-2023</t>
        </is>
      </c>
      <c r="B4401" s="1" t="n">
        <v>45188</v>
      </c>
      <c r="C4401" s="1" t="n">
        <v>45706</v>
      </c>
      <c r="D4401" t="inlineStr">
        <is>
          <t>UPPSALA LÄN</t>
        </is>
      </c>
      <c r="E4401" t="inlineStr">
        <is>
          <t>UPPSALA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44105-2023</t>
        </is>
      </c>
      <c r="B4402" s="1" t="n">
        <v>45188</v>
      </c>
      <c r="C4402" s="1" t="n">
        <v>45706</v>
      </c>
      <c r="D4402" t="inlineStr">
        <is>
          <t>UPPSALA LÄN</t>
        </is>
      </c>
      <c r="E4402" t="inlineStr">
        <is>
          <t>UPPSALA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44131-2023</t>
        </is>
      </c>
      <c r="B4403" s="1" t="n">
        <v>45188</v>
      </c>
      <c r="C4403" s="1" t="n">
        <v>45706</v>
      </c>
      <c r="D4403" t="inlineStr">
        <is>
          <t>UPPSALA LÄN</t>
        </is>
      </c>
      <c r="E4403" t="inlineStr">
        <is>
          <t>ENKÖPING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44333-2023</t>
        </is>
      </c>
      <c r="B4404" s="1" t="n">
        <v>45188</v>
      </c>
      <c r="C4404" s="1" t="n">
        <v>45706</v>
      </c>
      <c r="D4404" t="inlineStr">
        <is>
          <t>UPPSALA LÄN</t>
        </is>
      </c>
      <c r="E4404" t="inlineStr">
        <is>
          <t>UPPSALA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44337-2023</t>
        </is>
      </c>
      <c r="B4405" s="1" t="n">
        <v>45188</v>
      </c>
      <c r="C4405" s="1" t="n">
        <v>45706</v>
      </c>
      <c r="D4405" t="inlineStr">
        <is>
          <t>UPPSALA LÄN</t>
        </is>
      </c>
      <c r="E4405" t="inlineStr">
        <is>
          <t>UPPSALA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44257-2023</t>
        </is>
      </c>
      <c r="B4406" s="1" t="n">
        <v>45188</v>
      </c>
      <c r="C4406" s="1" t="n">
        <v>45706</v>
      </c>
      <c r="D4406" t="inlineStr">
        <is>
          <t>UPPSALA LÄN</t>
        </is>
      </c>
      <c r="E4406" t="inlineStr">
        <is>
          <t>UPPSALA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44326-2023</t>
        </is>
      </c>
      <c r="B4407" s="1" t="n">
        <v>45188</v>
      </c>
      <c r="C4407" s="1" t="n">
        <v>45706</v>
      </c>
      <c r="D4407" t="inlineStr">
        <is>
          <t>UPPSALA LÄN</t>
        </is>
      </c>
      <c r="E4407" t="inlineStr">
        <is>
          <t>ENKÖPING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45642-2023</t>
        </is>
      </c>
      <c r="B4408" s="1" t="n">
        <v>45188</v>
      </c>
      <c r="C4408" s="1" t="n">
        <v>45706</v>
      </c>
      <c r="D4408" t="inlineStr">
        <is>
          <t>UPPSALA LÄN</t>
        </is>
      </c>
      <c r="E4408" t="inlineStr">
        <is>
          <t>HEBY</t>
        </is>
      </c>
      <c r="F4408" t="inlineStr">
        <is>
          <t>Bergvik skog väst AB</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44438-2023</t>
        </is>
      </c>
      <c r="B4409" s="1" t="n">
        <v>45189</v>
      </c>
      <c r="C4409" s="1" t="n">
        <v>45706</v>
      </c>
      <c r="D4409" t="inlineStr">
        <is>
          <t>UPPSALA LÄN</t>
        </is>
      </c>
      <c r="E4409" t="inlineStr">
        <is>
          <t>TIERP</t>
        </is>
      </c>
      <c r="F4409" t="inlineStr">
        <is>
          <t>Bergvik skog öst AB</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44430-2023</t>
        </is>
      </c>
      <c r="B4410" s="1" t="n">
        <v>45189</v>
      </c>
      <c r="C4410" s="1" t="n">
        <v>45706</v>
      </c>
      <c r="D4410" t="inlineStr">
        <is>
          <t>UPPSALA LÄN</t>
        </is>
      </c>
      <c r="E4410" t="inlineStr">
        <is>
          <t>TIERP</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44636-2023</t>
        </is>
      </c>
      <c r="B4411" s="1" t="n">
        <v>45189</v>
      </c>
      <c r="C4411" s="1" t="n">
        <v>45706</v>
      </c>
      <c r="D4411" t="inlineStr">
        <is>
          <t>UPPSALA LÄN</t>
        </is>
      </c>
      <c r="E4411" t="inlineStr">
        <is>
          <t>ÖSTHAMMAR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44614-2023</t>
        </is>
      </c>
      <c r="B4412" s="1" t="n">
        <v>45189</v>
      </c>
      <c r="C4412" s="1" t="n">
        <v>45706</v>
      </c>
      <c r="D4412" t="inlineStr">
        <is>
          <t>UPPSALA LÄN</t>
        </is>
      </c>
      <c r="E4412" t="inlineStr">
        <is>
          <t>ÖSTHAMMAR</t>
        </is>
      </c>
      <c r="F4412" t="inlineStr">
        <is>
          <t>Övriga Aktiebolag</t>
        </is>
      </c>
      <c r="G4412" t="n">
        <v>17.8</v>
      </c>
      <c r="H4412" t="n">
        <v>0</v>
      </c>
      <c r="I4412" t="n">
        <v>0</v>
      </c>
      <c r="J4412" t="n">
        <v>0</v>
      </c>
      <c r="K4412" t="n">
        <v>0</v>
      </c>
      <c r="L4412" t="n">
        <v>0</v>
      </c>
      <c r="M4412" t="n">
        <v>0</v>
      </c>
      <c r="N4412" t="n">
        <v>0</v>
      </c>
      <c r="O4412" t="n">
        <v>0</v>
      </c>
      <c r="P4412" t="n">
        <v>0</v>
      </c>
      <c r="Q4412" t="n">
        <v>0</v>
      </c>
      <c r="R4412" s="2" t="inlineStr"/>
    </row>
    <row r="4413" ht="15" customHeight="1">
      <c r="A4413" t="inlineStr">
        <is>
          <t>A 44739-2023</t>
        </is>
      </c>
      <c r="B4413" s="1" t="n">
        <v>45190</v>
      </c>
      <c r="C4413" s="1" t="n">
        <v>45706</v>
      </c>
      <c r="D4413" t="inlineStr">
        <is>
          <t>UPPSALA LÄN</t>
        </is>
      </c>
      <c r="E4413" t="inlineStr">
        <is>
          <t>TIERP</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44756-2023</t>
        </is>
      </c>
      <c r="B4414" s="1" t="n">
        <v>45190</v>
      </c>
      <c r="C4414" s="1" t="n">
        <v>45706</v>
      </c>
      <c r="D4414" t="inlineStr">
        <is>
          <t>UPPSALA LÄN</t>
        </is>
      </c>
      <c r="E4414" t="inlineStr">
        <is>
          <t>TIERP</t>
        </is>
      </c>
      <c r="G4414" t="n">
        <v>18.1</v>
      </c>
      <c r="H4414" t="n">
        <v>0</v>
      </c>
      <c r="I4414" t="n">
        <v>0</v>
      </c>
      <c r="J4414" t="n">
        <v>0</v>
      </c>
      <c r="K4414" t="n">
        <v>0</v>
      </c>
      <c r="L4414" t="n">
        <v>0</v>
      </c>
      <c r="M4414" t="n">
        <v>0</v>
      </c>
      <c r="N4414" t="n">
        <v>0</v>
      </c>
      <c r="O4414" t="n">
        <v>0</v>
      </c>
      <c r="P4414" t="n">
        <v>0</v>
      </c>
      <c r="Q4414" t="n">
        <v>0</v>
      </c>
      <c r="R4414" s="2" t="inlineStr"/>
    </row>
    <row r="4415" ht="15" customHeight="1">
      <c r="A4415" t="inlineStr">
        <is>
          <t>A 44762-2023</t>
        </is>
      </c>
      <c r="B4415" s="1" t="n">
        <v>45190</v>
      </c>
      <c r="C4415" s="1" t="n">
        <v>45706</v>
      </c>
      <c r="D4415" t="inlineStr">
        <is>
          <t>UPPSALA LÄN</t>
        </is>
      </c>
      <c r="E4415" t="inlineStr">
        <is>
          <t>TIERP</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44815-2023</t>
        </is>
      </c>
      <c r="B4416" s="1" t="n">
        <v>45190</v>
      </c>
      <c r="C4416" s="1" t="n">
        <v>45706</v>
      </c>
      <c r="D4416" t="inlineStr">
        <is>
          <t>UPPSALA LÄN</t>
        </is>
      </c>
      <c r="E4416" t="inlineStr">
        <is>
          <t>UPPSALA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44830-2023</t>
        </is>
      </c>
      <c r="B4417" s="1" t="n">
        <v>45190</v>
      </c>
      <c r="C4417" s="1" t="n">
        <v>45706</v>
      </c>
      <c r="D4417" t="inlineStr">
        <is>
          <t>UPPSALA LÄN</t>
        </is>
      </c>
      <c r="E4417" t="inlineStr">
        <is>
          <t>UPPSALA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44785-2023</t>
        </is>
      </c>
      <c r="B4418" s="1" t="n">
        <v>45190</v>
      </c>
      <c r="C4418" s="1" t="n">
        <v>45706</v>
      </c>
      <c r="D4418" t="inlineStr">
        <is>
          <t>UPPSALA LÄN</t>
        </is>
      </c>
      <c r="E4418" t="inlineStr">
        <is>
          <t>UPPSALA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44831-2023</t>
        </is>
      </c>
      <c r="B4419" s="1" t="n">
        <v>45190</v>
      </c>
      <c r="C4419" s="1" t="n">
        <v>45706</v>
      </c>
      <c r="D4419" t="inlineStr">
        <is>
          <t>UPPSALA LÄN</t>
        </is>
      </c>
      <c r="E4419" t="inlineStr">
        <is>
          <t>TIERP</t>
        </is>
      </c>
      <c r="F4419" t="inlineStr">
        <is>
          <t>Bergvik skog öst AB</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46103-2023</t>
        </is>
      </c>
      <c r="B4420" s="1" t="n">
        <v>45190</v>
      </c>
      <c r="C4420" s="1" t="n">
        <v>45706</v>
      </c>
      <c r="D4420" t="inlineStr">
        <is>
          <t>UPPSALA LÄN</t>
        </is>
      </c>
      <c r="E4420" t="inlineStr">
        <is>
          <t>ENKÖPING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46188-2023</t>
        </is>
      </c>
      <c r="B4421" s="1" t="n">
        <v>45190</v>
      </c>
      <c r="C4421" s="1" t="n">
        <v>45706</v>
      </c>
      <c r="D4421" t="inlineStr">
        <is>
          <t>UPPSALA LÄN</t>
        </is>
      </c>
      <c r="E4421" t="inlineStr">
        <is>
          <t>TIERP</t>
        </is>
      </c>
      <c r="F4421" t="inlineStr">
        <is>
          <t>Bergvik skog väst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45058-2023</t>
        </is>
      </c>
      <c r="B4422" s="1" t="n">
        <v>45191</v>
      </c>
      <c r="C4422" s="1" t="n">
        <v>45706</v>
      </c>
      <c r="D4422" t="inlineStr">
        <is>
          <t>UPPSALA LÄN</t>
        </is>
      </c>
      <c r="E4422" t="inlineStr">
        <is>
          <t>ENKÖPING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45142-2023</t>
        </is>
      </c>
      <c r="B4423" s="1" t="n">
        <v>45191</v>
      </c>
      <c r="C4423" s="1" t="n">
        <v>45706</v>
      </c>
      <c r="D4423" t="inlineStr">
        <is>
          <t>UPPSALA LÄN</t>
        </is>
      </c>
      <c r="E4423" t="inlineStr">
        <is>
          <t>ENKÖPING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45095-2023</t>
        </is>
      </c>
      <c r="B4424" s="1" t="n">
        <v>45191</v>
      </c>
      <c r="C4424" s="1" t="n">
        <v>45706</v>
      </c>
      <c r="D4424" t="inlineStr">
        <is>
          <t>UPPSALA LÄN</t>
        </is>
      </c>
      <c r="E4424" t="inlineStr">
        <is>
          <t>ENKÖPING</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45208-2023</t>
        </is>
      </c>
      <c r="B4425" s="1" t="n">
        <v>45191</v>
      </c>
      <c r="C4425" s="1" t="n">
        <v>45706</v>
      </c>
      <c r="D4425" t="inlineStr">
        <is>
          <t>UPPSALA LÄN</t>
        </is>
      </c>
      <c r="E4425" t="inlineStr">
        <is>
          <t>ENKÖPING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45244-2023</t>
        </is>
      </c>
      <c r="B4426" s="1" t="n">
        <v>45191</v>
      </c>
      <c r="C4426" s="1" t="n">
        <v>45706</v>
      </c>
      <c r="D4426" t="inlineStr">
        <is>
          <t>UPPSALA LÄN</t>
        </is>
      </c>
      <c r="E4426" t="inlineStr">
        <is>
          <t>UPPSALA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45307-2023</t>
        </is>
      </c>
      <c r="B4427" s="1" t="n">
        <v>45191</v>
      </c>
      <c r="C4427" s="1" t="n">
        <v>45706</v>
      </c>
      <c r="D4427" t="inlineStr">
        <is>
          <t>UPPSALA LÄN</t>
        </is>
      </c>
      <c r="E4427" t="inlineStr">
        <is>
          <t>ÖSTHAMMAR</t>
        </is>
      </c>
      <c r="F4427" t="inlineStr">
        <is>
          <t>Bergvik skog öst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45080-2023</t>
        </is>
      </c>
      <c r="B4428" s="1" t="n">
        <v>45191</v>
      </c>
      <c r="C4428" s="1" t="n">
        <v>45706</v>
      </c>
      <c r="D4428" t="inlineStr">
        <is>
          <t>UPPSALA LÄN</t>
        </is>
      </c>
      <c r="E4428" t="inlineStr">
        <is>
          <t>TIERP</t>
        </is>
      </c>
      <c r="F4428" t="inlineStr">
        <is>
          <t>Bergvik skog öst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45141-2023</t>
        </is>
      </c>
      <c r="B4429" s="1" t="n">
        <v>45191</v>
      </c>
      <c r="C4429" s="1" t="n">
        <v>45706</v>
      </c>
      <c r="D4429" t="inlineStr">
        <is>
          <t>UPPSALA LÄN</t>
        </is>
      </c>
      <c r="E4429" t="inlineStr">
        <is>
          <t>TIERP</t>
        </is>
      </c>
      <c r="F4429" t="inlineStr">
        <is>
          <t>Kyrkan</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45223-2023</t>
        </is>
      </c>
      <c r="B4430" s="1" t="n">
        <v>45191</v>
      </c>
      <c r="C4430" s="1" t="n">
        <v>45706</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45489-2023</t>
        </is>
      </c>
      <c r="B4431" s="1" t="n">
        <v>45194</v>
      </c>
      <c r="C4431" s="1" t="n">
        <v>45706</v>
      </c>
      <c r="D4431" t="inlineStr">
        <is>
          <t>UPPSALA LÄN</t>
        </is>
      </c>
      <c r="E4431" t="inlineStr">
        <is>
          <t>UPPSALA</t>
        </is>
      </c>
      <c r="F4431" t="inlineStr">
        <is>
          <t>Allmännings- och besparingsskogar</t>
        </is>
      </c>
      <c r="G4431" t="n">
        <v>15.8</v>
      </c>
      <c r="H4431" t="n">
        <v>0</v>
      </c>
      <c r="I4431" t="n">
        <v>0</v>
      </c>
      <c r="J4431" t="n">
        <v>0</v>
      </c>
      <c r="K4431" t="n">
        <v>0</v>
      </c>
      <c r="L4431" t="n">
        <v>0</v>
      </c>
      <c r="M4431" t="n">
        <v>0</v>
      </c>
      <c r="N4431" t="n">
        <v>0</v>
      </c>
      <c r="O4431" t="n">
        <v>0</v>
      </c>
      <c r="P4431" t="n">
        <v>0</v>
      </c>
      <c r="Q4431" t="n">
        <v>0</v>
      </c>
      <c r="R4431" s="2" t="inlineStr"/>
    </row>
    <row r="4432" ht="15" customHeight="1">
      <c r="A4432" t="inlineStr">
        <is>
          <t>A 45527-2023</t>
        </is>
      </c>
      <c r="B4432" s="1" t="n">
        <v>45194</v>
      </c>
      <c r="C4432" s="1" t="n">
        <v>45706</v>
      </c>
      <c r="D4432" t="inlineStr">
        <is>
          <t>UPPSALA LÄN</t>
        </is>
      </c>
      <c r="E4432" t="inlineStr">
        <is>
          <t>ÄLVKARLEBY</t>
        </is>
      </c>
      <c r="F4432" t="inlineStr">
        <is>
          <t>Bergvik skog väst AB</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45525-2023</t>
        </is>
      </c>
      <c r="B4433" s="1" t="n">
        <v>45194</v>
      </c>
      <c r="C4433" s="1" t="n">
        <v>45706</v>
      </c>
      <c r="D4433" t="inlineStr">
        <is>
          <t>UPPSALA LÄN</t>
        </is>
      </c>
      <c r="E4433" t="inlineStr">
        <is>
          <t>KNIVSTA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45529-2023</t>
        </is>
      </c>
      <c r="B4434" s="1" t="n">
        <v>45194</v>
      </c>
      <c r="C4434" s="1" t="n">
        <v>45706</v>
      </c>
      <c r="D4434" t="inlineStr">
        <is>
          <t>UPPSALA LÄN</t>
        </is>
      </c>
      <c r="E4434" t="inlineStr">
        <is>
          <t>ÄLVKARLEBY</t>
        </is>
      </c>
      <c r="F4434" t="inlineStr">
        <is>
          <t>Bergvik skog väst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45550-2023</t>
        </is>
      </c>
      <c r="B4435" s="1" t="n">
        <v>45194</v>
      </c>
      <c r="C4435" s="1" t="n">
        <v>45706</v>
      </c>
      <c r="D4435" t="inlineStr">
        <is>
          <t>UPPSALA LÄN</t>
        </is>
      </c>
      <c r="E4435" t="inlineStr">
        <is>
          <t>ÖSTHAMMAR</t>
        </is>
      </c>
      <c r="F4435" t="inlineStr">
        <is>
          <t>Bergvik skog öst AB</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45575-2023</t>
        </is>
      </c>
      <c r="B4436" s="1" t="n">
        <v>45194</v>
      </c>
      <c r="C4436" s="1" t="n">
        <v>45706</v>
      </c>
      <c r="D4436" t="inlineStr">
        <is>
          <t>UPPSALA LÄN</t>
        </is>
      </c>
      <c r="E4436" t="inlineStr">
        <is>
          <t>UPPSALA</t>
        </is>
      </c>
      <c r="F4436" t="inlineStr">
        <is>
          <t>Bergvik skog öst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45580-2023</t>
        </is>
      </c>
      <c r="B4437" s="1" t="n">
        <v>45194</v>
      </c>
      <c r="C4437" s="1" t="n">
        <v>45706</v>
      </c>
      <c r="D4437" t="inlineStr">
        <is>
          <t>UPPSALA LÄN</t>
        </is>
      </c>
      <c r="E4437" t="inlineStr">
        <is>
          <t>ÖSTHAMMAR</t>
        </is>
      </c>
      <c r="F4437" t="inlineStr">
        <is>
          <t>Bergvik skog öst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45578-2023</t>
        </is>
      </c>
      <c r="B4438" s="1" t="n">
        <v>45194</v>
      </c>
      <c r="C4438" s="1" t="n">
        <v>45706</v>
      </c>
      <c r="D4438" t="inlineStr">
        <is>
          <t>UPPSALA LÄN</t>
        </is>
      </c>
      <c r="E4438" t="inlineStr">
        <is>
          <t>UPPSALA</t>
        </is>
      </c>
      <c r="F4438" t="inlineStr">
        <is>
          <t>Bergvik skog öst AB</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45592-2023</t>
        </is>
      </c>
      <c r="B4439" s="1" t="n">
        <v>45194</v>
      </c>
      <c r="C4439" s="1" t="n">
        <v>45706</v>
      </c>
      <c r="D4439" t="inlineStr">
        <is>
          <t>UPPSALA LÄN</t>
        </is>
      </c>
      <c r="E4439" t="inlineStr">
        <is>
          <t>UPPSALA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45655-2023</t>
        </is>
      </c>
      <c r="B4440" s="1" t="n">
        <v>45194</v>
      </c>
      <c r="C4440" s="1" t="n">
        <v>45706</v>
      </c>
      <c r="D4440" t="inlineStr">
        <is>
          <t>UPPSALA LÄN</t>
        </is>
      </c>
      <c r="E4440" t="inlineStr">
        <is>
          <t>ÖSTHAMMAR</t>
        </is>
      </c>
      <c r="F4440" t="inlineStr">
        <is>
          <t>Bergvik skog öst AB</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45662-2023</t>
        </is>
      </c>
      <c r="B4441" s="1" t="n">
        <v>45194</v>
      </c>
      <c r="C4441" s="1" t="n">
        <v>45706</v>
      </c>
      <c r="D4441" t="inlineStr">
        <is>
          <t>UPPSALA LÄN</t>
        </is>
      </c>
      <c r="E4441" t="inlineStr">
        <is>
          <t>UPPSALA</t>
        </is>
      </c>
      <c r="F4441" t="inlineStr">
        <is>
          <t>Bergvik skog öst AB</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46495-2023</t>
        </is>
      </c>
      <c r="B4442" s="1" t="n">
        <v>45194</v>
      </c>
      <c r="C4442" s="1" t="n">
        <v>45706</v>
      </c>
      <c r="D4442" t="inlineStr">
        <is>
          <t>UPPSALA LÄN</t>
        </is>
      </c>
      <c r="E4442" t="inlineStr">
        <is>
          <t>TIERP</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45561-2023</t>
        </is>
      </c>
      <c r="B4443" s="1" t="n">
        <v>45194</v>
      </c>
      <c r="C4443" s="1" t="n">
        <v>45706</v>
      </c>
      <c r="D4443" t="inlineStr">
        <is>
          <t>UPPSALA LÄN</t>
        </is>
      </c>
      <c r="E4443" t="inlineStr">
        <is>
          <t>ÖSTHAMMAR</t>
        </is>
      </c>
      <c r="F4443" t="inlineStr">
        <is>
          <t>Bergvik skog öst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45618-2023</t>
        </is>
      </c>
      <c r="B4444" s="1" t="n">
        <v>45194</v>
      </c>
      <c r="C4444" s="1" t="n">
        <v>45706</v>
      </c>
      <c r="D4444" t="inlineStr">
        <is>
          <t>UPPSALA LÄN</t>
        </is>
      </c>
      <c r="E4444" t="inlineStr">
        <is>
          <t>ÖSTHAMMAR</t>
        </is>
      </c>
      <c r="F4444" t="inlineStr">
        <is>
          <t>Bergvik skog öst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45661-2023</t>
        </is>
      </c>
      <c r="B4445" s="1" t="n">
        <v>45194</v>
      </c>
      <c r="C4445" s="1" t="n">
        <v>45706</v>
      </c>
      <c r="D4445" t="inlineStr">
        <is>
          <t>UPPSALA LÄN</t>
        </is>
      </c>
      <c r="E4445" t="inlineStr">
        <is>
          <t>UPPSALA</t>
        </is>
      </c>
      <c r="F4445" t="inlineStr">
        <is>
          <t>Bergvik skog öst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45528-2023</t>
        </is>
      </c>
      <c r="B4446" s="1" t="n">
        <v>45194</v>
      </c>
      <c r="C4446" s="1" t="n">
        <v>45706</v>
      </c>
      <c r="D4446" t="inlineStr">
        <is>
          <t>UPPSALA LÄN</t>
        </is>
      </c>
      <c r="E4446" t="inlineStr">
        <is>
          <t>ÄLVKARLEBY</t>
        </is>
      </c>
      <c r="F4446" t="inlineStr">
        <is>
          <t>Bergvik skog väst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45635-2023</t>
        </is>
      </c>
      <c r="B4447" s="1" t="n">
        <v>45194</v>
      </c>
      <c r="C4447" s="1" t="n">
        <v>45706</v>
      </c>
      <c r="D4447" t="inlineStr">
        <is>
          <t>UPPSALA LÄN</t>
        </is>
      </c>
      <c r="E4447" t="inlineStr">
        <is>
          <t>ÖSTHAMMAR</t>
        </is>
      </c>
      <c r="F4447" t="inlineStr">
        <is>
          <t>Bergvik skog öst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45646-2023</t>
        </is>
      </c>
      <c r="B4448" s="1" t="n">
        <v>45194</v>
      </c>
      <c r="C4448" s="1" t="n">
        <v>45706</v>
      </c>
      <c r="D4448" t="inlineStr">
        <is>
          <t>UPPSALA LÄN</t>
        </is>
      </c>
      <c r="E4448" t="inlineStr">
        <is>
          <t>ÖSTHAMMAR</t>
        </is>
      </c>
      <c r="F4448" t="inlineStr">
        <is>
          <t>Bergvik skog öst AB</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46485-2023</t>
        </is>
      </c>
      <c r="B4449" s="1" t="n">
        <v>45194</v>
      </c>
      <c r="C4449" s="1" t="n">
        <v>45706</v>
      </c>
      <c r="D4449" t="inlineStr">
        <is>
          <t>UPPSALA LÄN</t>
        </is>
      </c>
      <c r="E4449" t="inlineStr">
        <is>
          <t>ÖSTHAMMAR</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45795-2023</t>
        </is>
      </c>
      <c r="B4450" s="1" t="n">
        <v>45195</v>
      </c>
      <c r="C4450" s="1" t="n">
        <v>45706</v>
      </c>
      <c r="D4450" t="inlineStr">
        <is>
          <t>UPPSALA LÄN</t>
        </is>
      </c>
      <c r="E4450" t="inlineStr">
        <is>
          <t>ÖSTHAMMAR</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45892-2023</t>
        </is>
      </c>
      <c r="B4451" s="1" t="n">
        <v>45195</v>
      </c>
      <c r="C4451" s="1" t="n">
        <v>45706</v>
      </c>
      <c r="D4451" t="inlineStr">
        <is>
          <t>UPPSALA LÄN</t>
        </is>
      </c>
      <c r="E4451" t="inlineStr">
        <is>
          <t>UPPSALA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45917-2023</t>
        </is>
      </c>
      <c r="B4452" s="1" t="n">
        <v>45195</v>
      </c>
      <c r="C4452" s="1" t="n">
        <v>45706</v>
      </c>
      <c r="D4452" t="inlineStr">
        <is>
          <t>UPPSALA LÄN</t>
        </is>
      </c>
      <c r="E4452" t="inlineStr">
        <is>
          <t>HEBY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45885-2023</t>
        </is>
      </c>
      <c r="B4453" s="1" t="n">
        <v>45195</v>
      </c>
      <c r="C4453" s="1" t="n">
        <v>45706</v>
      </c>
      <c r="D4453" t="inlineStr">
        <is>
          <t>UPPSALA LÄN</t>
        </is>
      </c>
      <c r="E4453" t="inlineStr">
        <is>
          <t>UPPSALA</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45916-2023</t>
        </is>
      </c>
      <c r="B4454" s="1" t="n">
        <v>45195</v>
      </c>
      <c r="C4454" s="1" t="n">
        <v>45706</v>
      </c>
      <c r="D4454" t="inlineStr">
        <is>
          <t>UPPSALA LÄN</t>
        </is>
      </c>
      <c r="E4454" t="inlineStr">
        <is>
          <t>HEBY</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45821-2023</t>
        </is>
      </c>
      <c r="B4455" s="1" t="n">
        <v>45195</v>
      </c>
      <c r="C4455" s="1" t="n">
        <v>45706</v>
      </c>
      <c r="D4455" t="inlineStr">
        <is>
          <t>UPPSALA LÄN</t>
        </is>
      </c>
      <c r="E4455" t="inlineStr">
        <is>
          <t>HEBY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45871-2023</t>
        </is>
      </c>
      <c r="B4456" s="1" t="n">
        <v>45195</v>
      </c>
      <c r="C4456" s="1" t="n">
        <v>45706</v>
      </c>
      <c r="D4456" t="inlineStr">
        <is>
          <t>UPPSALA LÄN</t>
        </is>
      </c>
      <c r="E4456" t="inlineStr">
        <is>
          <t>ÄLVKARLEBY</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46113-2023</t>
        </is>
      </c>
      <c r="B4457" s="1" t="n">
        <v>45196</v>
      </c>
      <c r="C4457" s="1" t="n">
        <v>45706</v>
      </c>
      <c r="D4457" t="inlineStr">
        <is>
          <t>UPPSALA LÄN</t>
        </is>
      </c>
      <c r="E4457" t="inlineStr">
        <is>
          <t>ÄLVKARLEBY</t>
        </is>
      </c>
      <c r="F4457" t="inlineStr">
        <is>
          <t>Bergvik skog väst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46005-2023</t>
        </is>
      </c>
      <c r="B4458" s="1" t="n">
        <v>45196</v>
      </c>
      <c r="C4458" s="1" t="n">
        <v>45706</v>
      </c>
      <c r="D4458" t="inlineStr">
        <is>
          <t>UPPSALA LÄN</t>
        </is>
      </c>
      <c r="E4458" t="inlineStr">
        <is>
          <t>ÖSTHAMMAR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46186-2023</t>
        </is>
      </c>
      <c r="B4459" s="1" t="n">
        <v>45196</v>
      </c>
      <c r="C4459" s="1" t="n">
        <v>45706</v>
      </c>
      <c r="D4459" t="inlineStr">
        <is>
          <t>UPPSALA LÄN</t>
        </is>
      </c>
      <c r="E4459" t="inlineStr">
        <is>
          <t>ENKÖPING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46157-2023</t>
        </is>
      </c>
      <c r="B4460" s="1" t="n">
        <v>45196</v>
      </c>
      <c r="C4460" s="1" t="n">
        <v>45706</v>
      </c>
      <c r="D4460" t="inlineStr">
        <is>
          <t>UPPSALA LÄN</t>
        </is>
      </c>
      <c r="E4460" t="inlineStr">
        <is>
          <t>ÖSTHAMMAR</t>
        </is>
      </c>
      <c r="F4460" t="inlineStr">
        <is>
          <t>Övriga Aktiebolag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46106-2023</t>
        </is>
      </c>
      <c r="B4461" s="1" t="n">
        <v>45196</v>
      </c>
      <c r="C4461" s="1" t="n">
        <v>45706</v>
      </c>
      <c r="D4461" t="inlineStr">
        <is>
          <t>UPPSALA LÄN</t>
        </is>
      </c>
      <c r="E4461" t="inlineStr">
        <is>
          <t>ÄLVKARLEBY</t>
        </is>
      </c>
      <c r="F4461" t="inlineStr">
        <is>
          <t>Bergvik skog väst AB</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46160-2023</t>
        </is>
      </c>
      <c r="B4462" s="1" t="n">
        <v>45196</v>
      </c>
      <c r="C4462" s="1" t="n">
        <v>45706</v>
      </c>
      <c r="D4462" t="inlineStr">
        <is>
          <t>UPPSALA LÄN</t>
        </is>
      </c>
      <c r="E4462" t="inlineStr">
        <is>
          <t>KNIVSTA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46429-2023</t>
        </is>
      </c>
      <c r="B4463" s="1" t="n">
        <v>45197</v>
      </c>
      <c r="C4463" s="1" t="n">
        <v>45706</v>
      </c>
      <c r="D4463" t="inlineStr">
        <is>
          <t>UPPSALA LÄN</t>
        </is>
      </c>
      <c r="E4463" t="inlineStr">
        <is>
          <t>ÄLVKARLEBY</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46436-2023</t>
        </is>
      </c>
      <c r="B4464" s="1" t="n">
        <v>45197</v>
      </c>
      <c r="C4464" s="1" t="n">
        <v>45706</v>
      </c>
      <c r="D4464" t="inlineStr">
        <is>
          <t>UPPSALA LÄN</t>
        </is>
      </c>
      <c r="E4464" t="inlineStr">
        <is>
          <t>ÄLVKARLEBY</t>
        </is>
      </c>
      <c r="F4464" t="inlineStr">
        <is>
          <t>Bergvik skog väst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46477-2023</t>
        </is>
      </c>
      <c r="B4465" s="1" t="n">
        <v>45197</v>
      </c>
      <c r="C4465" s="1" t="n">
        <v>45706</v>
      </c>
      <c r="D4465" t="inlineStr">
        <is>
          <t>UPPSALA LÄN</t>
        </is>
      </c>
      <c r="E4465" t="inlineStr">
        <is>
          <t>ÄLVKARLEBY</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46335-2023</t>
        </is>
      </c>
      <c r="B4466" s="1" t="n">
        <v>45197</v>
      </c>
      <c r="C4466" s="1" t="n">
        <v>45706</v>
      </c>
      <c r="D4466" t="inlineStr">
        <is>
          <t>UPPSALA LÄN</t>
        </is>
      </c>
      <c r="E4466" t="inlineStr">
        <is>
          <t>UPPSALA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46399-2023</t>
        </is>
      </c>
      <c r="B4467" s="1" t="n">
        <v>45197</v>
      </c>
      <c r="C4467" s="1" t="n">
        <v>45706</v>
      </c>
      <c r="D4467" t="inlineStr">
        <is>
          <t>UPPSALA LÄN</t>
        </is>
      </c>
      <c r="E4467" t="inlineStr">
        <is>
          <t>ÖSTHAMMAR</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46430-2023</t>
        </is>
      </c>
      <c r="B4468" s="1" t="n">
        <v>45197</v>
      </c>
      <c r="C4468" s="1" t="n">
        <v>45706</v>
      </c>
      <c r="D4468" t="inlineStr">
        <is>
          <t>UPPSALA LÄN</t>
        </is>
      </c>
      <c r="E4468" t="inlineStr">
        <is>
          <t>HEBY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46522-2023</t>
        </is>
      </c>
      <c r="B4469" s="1" t="n">
        <v>45197</v>
      </c>
      <c r="C4469" s="1" t="n">
        <v>45706</v>
      </c>
      <c r="D4469" t="inlineStr">
        <is>
          <t>UPPSALA LÄN</t>
        </is>
      </c>
      <c r="E4469" t="inlineStr">
        <is>
          <t>TIERP</t>
        </is>
      </c>
      <c r="G4469" t="n">
        <v>16.1</v>
      </c>
      <c r="H4469" t="n">
        <v>0</v>
      </c>
      <c r="I4469" t="n">
        <v>0</v>
      </c>
      <c r="J4469" t="n">
        <v>0</v>
      </c>
      <c r="K4469" t="n">
        <v>0</v>
      </c>
      <c r="L4469" t="n">
        <v>0</v>
      </c>
      <c r="M4469" t="n">
        <v>0</v>
      </c>
      <c r="N4469" t="n">
        <v>0</v>
      </c>
      <c r="O4469" t="n">
        <v>0</v>
      </c>
      <c r="P4469" t="n">
        <v>0</v>
      </c>
      <c r="Q4469" t="n">
        <v>0</v>
      </c>
      <c r="R4469" s="2" t="inlineStr"/>
    </row>
    <row r="4470" ht="15" customHeight="1">
      <c r="A4470" t="inlineStr">
        <is>
          <t>A 46785-2023</t>
        </is>
      </c>
      <c r="B4470" s="1" t="n">
        <v>45198</v>
      </c>
      <c r="C4470" s="1" t="n">
        <v>45706</v>
      </c>
      <c r="D4470" t="inlineStr">
        <is>
          <t>UPPSALA LÄN</t>
        </is>
      </c>
      <c r="E4470" t="inlineStr">
        <is>
          <t>ÖSTHAMMAR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46730-2023</t>
        </is>
      </c>
      <c r="B4471" s="1" t="n">
        <v>45198</v>
      </c>
      <c r="C4471" s="1" t="n">
        <v>45706</v>
      </c>
      <c r="D4471" t="inlineStr">
        <is>
          <t>UPPSALA LÄN</t>
        </is>
      </c>
      <c r="E4471" t="inlineStr">
        <is>
          <t>TIERP</t>
        </is>
      </c>
      <c r="F4471" t="inlineStr">
        <is>
          <t>Bergvik skog öst AB</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46869-2023</t>
        </is>
      </c>
      <c r="B4472" s="1" t="n">
        <v>45200</v>
      </c>
      <c r="C4472" s="1" t="n">
        <v>45706</v>
      </c>
      <c r="D4472" t="inlineStr">
        <is>
          <t>UPPSALA LÄN</t>
        </is>
      </c>
      <c r="E4472" t="inlineStr">
        <is>
          <t>UPPSALA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47114-2023</t>
        </is>
      </c>
      <c r="B4473" s="1" t="n">
        <v>45201</v>
      </c>
      <c r="C4473" s="1" t="n">
        <v>45706</v>
      </c>
      <c r="D4473" t="inlineStr">
        <is>
          <t>UPPSALA LÄN</t>
        </is>
      </c>
      <c r="E4473" t="inlineStr">
        <is>
          <t>ÖSTHAMMAR</t>
        </is>
      </c>
      <c r="F4473" t="inlineStr">
        <is>
          <t>Bergvik skog öst AB</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47034-2023</t>
        </is>
      </c>
      <c r="B4474" s="1" t="n">
        <v>45201</v>
      </c>
      <c r="C4474" s="1" t="n">
        <v>45706</v>
      </c>
      <c r="D4474" t="inlineStr">
        <is>
          <t>UPPSALA LÄN</t>
        </is>
      </c>
      <c r="E4474" t="inlineStr">
        <is>
          <t>TIERP</t>
        </is>
      </c>
      <c r="F4474" t="inlineStr">
        <is>
          <t>Bergvik skog öst AB</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46995-2023</t>
        </is>
      </c>
      <c r="B4475" s="1" t="n">
        <v>45201</v>
      </c>
      <c r="C4475" s="1" t="n">
        <v>45706</v>
      </c>
      <c r="D4475" t="inlineStr">
        <is>
          <t>UPPSALA LÄN</t>
        </is>
      </c>
      <c r="E4475" t="inlineStr">
        <is>
          <t>UPPSALA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47083-2023</t>
        </is>
      </c>
      <c r="B4476" s="1" t="n">
        <v>45201</v>
      </c>
      <c r="C4476" s="1" t="n">
        <v>45706</v>
      </c>
      <c r="D4476" t="inlineStr">
        <is>
          <t>UPPSALA LÄN</t>
        </is>
      </c>
      <c r="E4476" t="inlineStr">
        <is>
          <t>UPPSALA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48515-2023</t>
        </is>
      </c>
      <c r="B4477" s="1" t="n">
        <v>45201</v>
      </c>
      <c r="C4477" s="1" t="n">
        <v>45706</v>
      </c>
      <c r="D4477" t="inlineStr">
        <is>
          <t>UPPSALA LÄN</t>
        </is>
      </c>
      <c r="E4477" t="inlineStr">
        <is>
          <t>ÖSTHAMMAR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47221-2023</t>
        </is>
      </c>
      <c r="B4478" s="1" t="n">
        <v>45202</v>
      </c>
      <c r="C4478" s="1" t="n">
        <v>45706</v>
      </c>
      <c r="D4478" t="inlineStr">
        <is>
          <t>UPPSALA LÄN</t>
        </is>
      </c>
      <c r="E4478" t="inlineStr">
        <is>
          <t>UPPSALA</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47390-2023</t>
        </is>
      </c>
      <c r="B4479" s="1" t="n">
        <v>45202</v>
      </c>
      <c r="C4479" s="1" t="n">
        <v>45706</v>
      </c>
      <c r="D4479" t="inlineStr">
        <is>
          <t>UPPSALA LÄN</t>
        </is>
      </c>
      <c r="E4479" t="inlineStr">
        <is>
          <t>ÖSTHAMMAR</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47314-2023</t>
        </is>
      </c>
      <c r="B4480" s="1" t="n">
        <v>45202</v>
      </c>
      <c r="C4480" s="1" t="n">
        <v>45706</v>
      </c>
      <c r="D4480" t="inlineStr">
        <is>
          <t>UPPSALA LÄN</t>
        </is>
      </c>
      <c r="E4480" t="inlineStr">
        <is>
          <t>UPPSALA</t>
        </is>
      </c>
      <c r="F4480" t="inlineStr">
        <is>
          <t>Bergvik skog öst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47428-2023</t>
        </is>
      </c>
      <c r="B4481" s="1" t="n">
        <v>45202</v>
      </c>
      <c r="C4481" s="1" t="n">
        <v>45706</v>
      </c>
      <c r="D4481" t="inlineStr">
        <is>
          <t>UPPSALA LÄN</t>
        </is>
      </c>
      <c r="E4481" t="inlineStr">
        <is>
          <t>ENKÖPING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47374-2023</t>
        </is>
      </c>
      <c r="B4482" s="1" t="n">
        <v>45202</v>
      </c>
      <c r="C4482" s="1" t="n">
        <v>45706</v>
      </c>
      <c r="D4482" t="inlineStr">
        <is>
          <t>UPPSALA LÄN</t>
        </is>
      </c>
      <c r="E4482" t="inlineStr">
        <is>
          <t>ÖSTHAMMAR</t>
        </is>
      </c>
      <c r="F4482" t="inlineStr">
        <is>
          <t>Bergvik skog öst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47287-2023</t>
        </is>
      </c>
      <c r="B4483" s="1" t="n">
        <v>45202</v>
      </c>
      <c r="C4483" s="1" t="n">
        <v>45706</v>
      </c>
      <c r="D4483" t="inlineStr">
        <is>
          <t>UPPSALA LÄN</t>
        </is>
      </c>
      <c r="E4483" t="inlineStr">
        <is>
          <t>UPPSALA</t>
        </is>
      </c>
      <c r="F4483" t="inlineStr">
        <is>
          <t>Holmen skog AB</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47316-2023</t>
        </is>
      </c>
      <c r="B4484" s="1" t="n">
        <v>45202</v>
      </c>
      <c r="C4484" s="1" t="n">
        <v>45706</v>
      </c>
      <c r="D4484" t="inlineStr">
        <is>
          <t>UPPSALA LÄN</t>
        </is>
      </c>
      <c r="E4484" t="inlineStr">
        <is>
          <t>UPPSALA</t>
        </is>
      </c>
      <c r="F4484" t="inlineStr">
        <is>
          <t>Bergvik skog öst AB</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47341-2023</t>
        </is>
      </c>
      <c r="B4485" s="1" t="n">
        <v>45202</v>
      </c>
      <c r="C4485" s="1" t="n">
        <v>45706</v>
      </c>
      <c r="D4485" t="inlineStr">
        <is>
          <t>UPPSALA LÄN</t>
        </is>
      </c>
      <c r="E4485" t="inlineStr">
        <is>
          <t>ÖSTHAMMAR</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47421-2023</t>
        </is>
      </c>
      <c r="B4486" s="1" t="n">
        <v>45202</v>
      </c>
      <c r="C4486" s="1" t="n">
        <v>45706</v>
      </c>
      <c r="D4486" t="inlineStr">
        <is>
          <t>UPPSALA LÄN</t>
        </is>
      </c>
      <c r="E4486" t="inlineStr">
        <is>
          <t>HEBY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47548-2023</t>
        </is>
      </c>
      <c r="B4487" s="1" t="n">
        <v>45203</v>
      </c>
      <c r="C4487" s="1" t="n">
        <v>45706</v>
      </c>
      <c r="D4487" t="inlineStr">
        <is>
          <t>UPPSALA LÄN</t>
        </is>
      </c>
      <c r="E4487" t="inlineStr">
        <is>
          <t>ÄLVKARLEBY</t>
        </is>
      </c>
      <c r="F4487" t="inlineStr">
        <is>
          <t>Bergvik skog väst AB</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47570-2023</t>
        </is>
      </c>
      <c r="B4488" s="1" t="n">
        <v>45203</v>
      </c>
      <c r="C4488" s="1" t="n">
        <v>45706</v>
      </c>
      <c r="D4488" t="inlineStr">
        <is>
          <t>UPPSALA LÄN</t>
        </is>
      </c>
      <c r="E4488" t="inlineStr">
        <is>
          <t>ÄLVKARLEBY</t>
        </is>
      </c>
      <c r="F4488" t="inlineStr">
        <is>
          <t>Bergvik skog väst AB</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47522-2023</t>
        </is>
      </c>
      <c r="B4489" s="1" t="n">
        <v>45203</v>
      </c>
      <c r="C4489" s="1" t="n">
        <v>45706</v>
      </c>
      <c r="D4489" t="inlineStr">
        <is>
          <t>UPPSALA LÄN</t>
        </is>
      </c>
      <c r="E4489" t="inlineStr">
        <is>
          <t>ÖSTHAMMAR</t>
        </is>
      </c>
      <c r="F4489" t="inlineStr">
        <is>
          <t>Bergvik skog öst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47554-2023</t>
        </is>
      </c>
      <c r="B4490" s="1" t="n">
        <v>45203</v>
      </c>
      <c r="C4490" s="1" t="n">
        <v>45706</v>
      </c>
      <c r="D4490" t="inlineStr">
        <is>
          <t>UPPSALA LÄN</t>
        </is>
      </c>
      <c r="E4490" t="inlineStr">
        <is>
          <t>ÄLVKARLEBY</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47559-2023</t>
        </is>
      </c>
      <c r="B4491" s="1" t="n">
        <v>45203</v>
      </c>
      <c r="C4491" s="1" t="n">
        <v>45706</v>
      </c>
      <c r="D4491" t="inlineStr">
        <is>
          <t>UPPSALA LÄN</t>
        </is>
      </c>
      <c r="E4491" t="inlineStr">
        <is>
          <t>ÄLVKARLEBY</t>
        </is>
      </c>
      <c r="F4491" t="inlineStr">
        <is>
          <t>Bergvik skog väst AB</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47553-2023</t>
        </is>
      </c>
      <c r="B4492" s="1" t="n">
        <v>45203</v>
      </c>
      <c r="C4492" s="1" t="n">
        <v>45706</v>
      </c>
      <c r="D4492" t="inlineStr">
        <is>
          <t>UPPSALA LÄN</t>
        </is>
      </c>
      <c r="E4492" t="inlineStr">
        <is>
          <t>ENKÖPING</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47618-2023</t>
        </is>
      </c>
      <c r="B4493" s="1" t="n">
        <v>45203</v>
      </c>
      <c r="C4493" s="1" t="n">
        <v>45706</v>
      </c>
      <c r="D4493" t="inlineStr">
        <is>
          <t>UPPSALA LÄN</t>
        </is>
      </c>
      <c r="E4493" t="inlineStr">
        <is>
          <t>UPPSALA</t>
        </is>
      </c>
      <c r="F4493" t="inlineStr">
        <is>
          <t>Bergvik skog öst AB</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48736-2023</t>
        </is>
      </c>
      <c r="B4494" s="1" t="n">
        <v>45203</v>
      </c>
      <c r="C4494" s="1" t="n">
        <v>45706</v>
      </c>
      <c r="D4494" t="inlineStr">
        <is>
          <t>UPPSALA LÄN</t>
        </is>
      </c>
      <c r="E4494" t="inlineStr">
        <is>
          <t>TIERP</t>
        </is>
      </c>
      <c r="F4494" t="inlineStr">
        <is>
          <t>Bergvik skog väst AB</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48735-2023</t>
        </is>
      </c>
      <c r="B4495" s="1" t="n">
        <v>45203</v>
      </c>
      <c r="C4495" s="1" t="n">
        <v>45706</v>
      </c>
      <c r="D4495" t="inlineStr">
        <is>
          <t>UPPSALA LÄN</t>
        </is>
      </c>
      <c r="E4495" t="inlineStr">
        <is>
          <t>TIERP</t>
        </is>
      </c>
      <c r="F4495" t="inlineStr">
        <is>
          <t>Bergvik skog väst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47960-2023</t>
        </is>
      </c>
      <c r="B4496" s="1" t="n">
        <v>45204</v>
      </c>
      <c r="C4496" s="1" t="n">
        <v>45706</v>
      </c>
      <c r="D4496" t="inlineStr">
        <is>
          <t>UPPSALA LÄN</t>
        </is>
      </c>
      <c r="E4496" t="inlineStr">
        <is>
          <t>TIERP</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47977-2023</t>
        </is>
      </c>
      <c r="B4497" s="1" t="n">
        <v>45204</v>
      </c>
      <c r="C4497" s="1" t="n">
        <v>45706</v>
      </c>
      <c r="D4497" t="inlineStr">
        <is>
          <t>UPPSALA LÄN</t>
        </is>
      </c>
      <c r="E4497" t="inlineStr">
        <is>
          <t>TIERP</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47968-2023</t>
        </is>
      </c>
      <c r="B4498" s="1" t="n">
        <v>45204</v>
      </c>
      <c r="C4498" s="1" t="n">
        <v>45706</v>
      </c>
      <c r="D4498" t="inlineStr">
        <is>
          <t>UPPSALA LÄN</t>
        </is>
      </c>
      <c r="E4498" t="inlineStr">
        <is>
          <t>TIERP</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48032-2023</t>
        </is>
      </c>
      <c r="B4499" s="1" t="n">
        <v>45204</v>
      </c>
      <c r="C4499" s="1" t="n">
        <v>45706</v>
      </c>
      <c r="D4499" t="inlineStr">
        <is>
          <t>UPPSALA LÄN</t>
        </is>
      </c>
      <c r="E4499" t="inlineStr">
        <is>
          <t>ÖSTHAMMAR</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48171-2023</t>
        </is>
      </c>
      <c r="B4500" s="1" t="n">
        <v>45205</v>
      </c>
      <c r="C4500" s="1" t="n">
        <v>45706</v>
      </c>
      <c r="D4500" t="inlineStr">
        <is>
          <t>UPPSALA LÄN</t>
        </is>
      </c>
      <c r="E4500" t="inlineStr">
        <is>
          <t>ÖSTHAMMAR</t>
        </is>
      </c>
      <c r="F4500" t="inlineStr">
        <is>
          <t>Bergvik skog öst AB</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48562-2023</t>
        </is>
      </c>
      <c r="B4501" s="1" t="n">
        <v>45208</v>
      </c>
      <c r="C4501" s="1" t="n">
        <v>45706</v>
      </c>
      <c r="D4501" t="inlineStr">
        <is>
          <t>UPPSALA LÄN</t>
        </is>
      </c>
      <c r="E4501" t="inlineStr">
        <is>
          <t>UPPSALA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48564-2023</t>
        </is>
      </c>
      <c r="B4502" s="1" t="n">
        <v>45208</v>
      </c>
      <c r="C4502" s="1" t="n">
        <v>45706</v>
      </c>
      <c r="D4502" t="inlineStr">
        <is>
          <t>UPPSALA LÄN</t>
        </is>
      </c>
      <c r="E4502" t="inlineStr">
        <is>
          <t>UPPSALA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48571-2023</t>
        </is>
      </c>
      <c r="B4503" s="1" t="n">
        <v>45208</v>
      </c>
      <c r="C4503" s="1" t="n">
        <v>45706</v>
      </c>
      <c r="D4503" t="inlineStr">
        <is>
          <t>UPPSALA LÄN</t>
        </is>
      </c>
      <c r="E4503" t="inlineStr">
        <is>
          <t>UPPSALA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48584-2023</t>
        </is>
      </c>
      <c r="B4504" s="1" t="n">
        <v>45208</v>
      </c>
      <c r="C4504" s="1" t="n">
        <v>45706</v>
      </c>
      <c r="D4504" t="inlineStr">
        <is>
          <t>UPPSALA LÄN</t>
        </is>
      </c>
      <c r="E4504" t="inlineStr">
        <is>
          <t>UPPSALA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48614-2023</t>
        </is>
      </c>
      <c r="B4505" s="1" t="n">
        <v>45208</v>
      </c>
      <c r="C4505" s="1" t="n">
        <v>45706</v>
      </c>
      <c r="D4505" t="inlineStr">
        <is>
          <t>UPPSALA LÄN</t>
        </is>
      </c>
      <c r="E4505" t="inlineStr">
        <is>
          <t>ÄLVKARLEBY</t>
        </is>
      </c>
      <c r="F4505" t="inlineStr">
        <is>
          <t>Bergvik skog öst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48620-2023</t>
        </is>
      </c>
      <c r="B4506" s="1" t="n">
        <v>45208</v>
      </c>
      <c r="C4506" s="1" t="n">
        <v>45706</v>
      </c>
      <c r="D4506" t="inlineStr">
        <is>
          <t>UPPSALA LÄN</t>
        </is>
      </c>
      <c r="E4506" t="inlineStr">
        <is>
          <t>ÄLVKARLEBY</t>
        </is>
      </c>
      <c r="F4506" t="inlineStr">
        <is>
          <t>Bergvik skog öst AB</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48719-2023</t>
        </is>
      </c>
      <c r="B4507" s="1" t="n">
        <v>45208</v>
      </c>
      <c r="C4507" s="1" t="n">
        <v>45706</v>
      </c>
      <c r="D4507" t="inlineStr">
        <is>
          <t>UPPSALA LÄN</t>
        </is>
      </c>
      <c r="E4507" t="inlineStr">
        <is>
          <t>ÖSTHAMMAR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48674-2023</t>
        </is>
      </c>
      <c r="B4508" s="1" t="n">
        <v>45208</v>
      </c>
      <c r="C4508" s="1" t="n">
        <v>45706</v>
      </c>
      <c r="D4508" t="inlineStr">
        <is>
          <t>UPPSALA LÄN</t>
        </is>
      </c>
      <c r="E4508" t="inlineStr">
        <is>
          <t>ÄLVKARLEBY</t>
        </is>
      </c>
      <c r="F4508" t="inlineStr">
        <is>
          <t>Bergvik skog öst AB</t>
        </is>
      </c>
      <c r="G4508" t="n">
        <v>15.5</v>
      </c>
      <c r="H4508" t="n">
        <v>0</v>
      </c>
      <c r="I4508" t="n">
        <v>0</v>
      </c>
      <c r="J4508" t="n">
        <v>0</v>
      </c>
      <c r="K4508" t="n">
        <v>0</v>
      </c>
      <c r="L4508" t="n">
        <v>0</v>
      </c>
      <c r="M4508" t="n">
        <v>0</v>
      </c>
      <c r="N4508" t="n">
        <v>0</v>
      </c>
      <c r="O4508" t="n">
        <v>0</v>
      </c>
      <c r="P4508" t="n">
        <v>0</v>
      </c>
      <c r="Q4508" t="n">
        <v>0</v>
      </c>
      <c r="R4508" s="2" t="inlineStr"/>
    </row>
    <row r="4509" ht="15" customHeight="1">
      <c r="A4509" t="inlineStr">
        <is>
          <t>A 49707-2023</t>
        </is>
      </c>
      <c r="B4509" s="1" t="n">
        <v>45208</v>
      </c>
      <c r="C4509" s="1" t="n">
        <v>45706</v>
      </c>
      <c r="D4509" t="inlineStr">
        <is>
          <t>UPPSALA LÄN</t>
        </is>
      </c>
      <c r="E4509" t="inlineStr">
        <is>
          <t>HEBY</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48843-2023</t>
        </is>
      </c>
      <c r="B4510" s="1" t="n">
        <v>45209</v>
      </c>
      <c r="C4510" s="1" t="n">
        <v>45706</v>
      </c>
      <c r="D4510" t="inlineStr">
        <is>
          <t>UPPSALA LÄN</t>
        </is>
      </c>
      <c r="E4510" t="inlineStr">
        <is>
          <t>ENKÖPING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48905-2023</t>
        </is>
      </c>
      <c r="B4511" s="1" t="n">
        <v>45209</v>
      </c>
      <c r="C4511" s="1" t="n">
        <v>45706</v>
      </c>
      <c r="D4511" t="inlineStr">
        <is>
          <t>UPPSALA LÄN</t>
        </is>
      </c>
      <c r="E4511" t="inlineStr">
        <is>
          <t>TIERP</t>
        </is>
      </c>
      <c r="F4511" t="inlineStr">
        <is>
          <t>Bergvik skog öst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48960-2023</t>
        </is>
      </c>
      <c r="B4512" s="1" t="n">
        <v>45209</v>
      </c>
      <c r="C4512" s="1" t="n">
        <v>45706</v>
      </c>
      <c r="D4512" t="inlineStr">
        <is>
          <t>UPPSALA LÄN</t>
        </is>
      </c>
      <c r="E4512" t="inlineStr">
        <is>
          <t>HEBY</t>
        </is>
      </c>
      <c r="F4512" t="inlineStr">
        <is>
          <t>Bergvik skog öst AB</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48948-2023</t>
        </is>
      </c>
      <c r="B4513" s="1" t="n">
        <v>45209</v>
      </c>
      <c r="C4513" s="1" t="n">
        <v>45706</v>
      </c>
      <c r="D4513" t="inlineStr">
        <is>
          <t>UPPSALA LÄN</t>
        </is>
      </c>
      <c r="E4513" t="inlineStr">
        <is>
          <t>HEBY</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48956-2023</t>
        </is>
      </c>
      <c r="B4514" s="1" t="n">
        <v>45209</v>
      </c>
      <c r="C4514" s="1" t="n">
        <v>45706</v>
      </c>
      <c r="D4514" t="inlineStr">
        <is>
          <t>UPPSALA LÄN</t>
        </is>
      </c>
      <c r="E4514" t="inlineStr">
        <is>
          <t>HEBY</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48939-2023</t>
        </is>
      </c>
      <c r="B4515" s="1" t="n">
        <v>45209</v>
      </c>
      <c r="C4515" s="1" t="n">
        <v>45706</v>
      </c>
      <c r="D4515" t="inlineStr">
        <is>
          <t>UPPSALA LÄN</t>
        </is>
      </c>
      <c r="E4515" t="inlineStr">
        <is>
          <t>HEBY</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48958-2023</t>
        </is>
      </c>
      <c r="B4516" s="1" t="n">
        <v>45209</v>
      </c>
      <c r="C4516" s="1" t="n">
        <v>45706</v>
      </c>
      <c r="D4516" t="inlineStr">
        <is>
          <t>UPPSALA LÄN</t>
        </is>
      </c>
      <c r="E4516" t="inlineStr">
        <is>
          <t>TIERP</t>
        </is>
      </c>
      <c r="F4516" t="inlineStr">
        <is>
          <t>Bergvik skog öst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48989-2023</t>
        </is>
      </c>
      <c r="B4517" s="1" t="n">
        <v>45209</v>
      </c>
      <c r="C4517" s="1" t="n">
        <v>45706</v>
      </c>
      <c r="D4517" t="inlineStr">
        <is>
          <t>UPPSALA LÄN</t>
        </is>
      </c>
      <c r="E4517" t="inlineStr">
        <is>
          <t>ÖSTHAMMAR</t>
        </is>
      </c>
      <c r="F4517" t="inlineStr">
        <is>
          <t>Övriga Aktiebolag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49189-2023</t>
        </is>
      </c>
      <c r="B4518" s="1" t="n">
        <v>45210</v>
      </c>
      <c r="C4518" s="1" t="n">
        <v>45706</v>
      </c>
      <c r="D4518" t="inlineStr">
        <is>
          <t>UPPSALA LÄN</t>
        </is>
      </c>
      <c r="E4518" t="inlineStr">
        <is>
          <t>UPPSALA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49248-2023</t>
        </is>
      </c>
      <c r="B4519" s="1" t="n">
        <v>45210</v>
      </c>
      <c r="C4519" s="1" t="n">
        <v>45706</v>
      </c>
      <c r="D4519" t="inlineStr">
        <is>
          <t>UPPSALA LÄN</t>
        </is>
      </c>
      <c r="E4519" t="inlineStr">
        <is>
          <t>ÖSTHAMMAR</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49066-2023</t>
        </is>
      </c>
      <c r="B4520" s="1" t="n">
        <v>45210</v>
      </c>
      <c r="C4520" s="1" t="n">
        <v>45706</v>
      </c>
      <c r="D4520" t="inlineStr">
        <is>
          <t>UPPSALA LÄN</t>
        </is>
      </c>
      <c r="E4520" t="inlineStr">
        <is>
          <t>ÖSTHAMMAR</t>
        </is>
      </c>
      <c r="F4520" t="inlineStr">
        <is>
          <t>Bergvik skog öst AB</t>
        </is>
      </c>
      <c r="G4520" t="n">
        <v>13.1</v>
      </c>
      <c r="H4520" t="n">
        <v>0</v>
      </c>
      <c r="I4520" t="n">
        <v>0</v>
      </c>
      <c r="J4520" t="n">
        <v>0</v>
      </c>
      <c r="K4520" t="n">
        <v>0</v>
      </c>
      <c r="L4520" t="n">
        <v>0</v>
      </c>
      <c r="M4520" t="n">
        <v>0</v>
      </c>
      <c r="N4520" t="n">
        <v>0</v>
      </c>
      <c r="O4520" t="n">
        <v>0</v>
      </c>
      <c r="P4520" t="n">
        <v>0</v>
      </c>
      <c r="Q4520" t="n">
        <v>0</v>
      </c>
      <c r="R4520" s="2" t="inlineStr"/>
    </row>
    <row r="4521" ht="15" customHeight="1">
      <c r="A4521" t="inlineStr">
        <is>
          <t>A 49088-2023</t>
        </is>
      </c>
      <c r="B4521" s="1" t="n">
        <v>45210</v>
      </c>
      <c r="C4521" s="1" t="n">
        <v>45706</v>
      </c>
      <c r="D4521" t="inlineStr">
        <is>
          <t>UPPSALA LÄN</t>
        </is>
      </c>
      <c r="E4521" t="inlineStr">
        <is>
          <t>HEBY</t>
        </is>
      </c>
      <c r="F4521" t="inlineStr">
        <is>
          <t>Bergvik skog öst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49172-2023</t>
        </is>
      </c>
      <c r="B4522" s="1" t="n">
        <v>45210</v>
      </c>
      <c r="C4522" s="1" t="n">
        <v>45706</v>
      </c>
      <c r="D4522" t="inlineStr">
        <is>
          <t>UPPSALA LÄN</t>
        </is>
      </c>
      <c r="E4522" t="inlineStr">
        <is>
          <t>ÖSTHAMMAR</t>
        </is>
      </c>
      <c r="F4522" t="inlineStr">
        <is>
          <t>Övriga Aktiebolag</t>
        </is>
      </c>
      <c r="G4522" t="n">
        <v>13.1</v>
      </c>
      <c r="H4522" t="n">
        <v>0</v>
      </c>
      <c r="I4522" t="n">
        <v>0</v>
      </c>
      <c r="J4522" t="n">
        <v>0</v>
      </c>
      <c r="K4522" t="n">
        <v>0</v>
      </c>
      <c r="L4522" t="n">
        <v>0</v>
      </c>
      <c r="M4522" t="n">
        <v>0</v>
      </c>
      <c r="N4522" t="n">
        <v>0</v>
      </c>
      <c r="O4522" t="n">
        <v>0</v>
      </c>
      <c r="P4522" t="n">
        <v>0</v>
      </c>
      <c r="Q4522" t="n">
        <v>0</v>
      </c>
      <c r="R4522" s="2" t="inlineStr"/>
    </row>
    <row r="4523" ht="15" customHeight="1">
      <c r="A4523" t="inlineStr">
        <is>
          <t>A 49201-2023</t>
        </is>
      </c>
      <c r="B4523" s="1" t="n">
        <v>45210</v>
      </c>
      <c r="C4523" s="1" t="n">
        <v>45706</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49138-2023</t>
        </is>
      </c>
      <c r="B4524" s="1" t="n">
        <v>45210</v>
      </c>
      <c r="C4524" s="1" t="n">
        <v>45706</v>
      </c>
      <c r="D4524" t="inlineStr">
        <is>
          <t>UPPSALA LÄN</t>
        </is>
      </c>
      <c r="E4524" t="inlineStr">
        <is>
          <t>HEBY</t>
        </is>
      </c>
      <c r="F4524" t="inlineStr">
        <is>
          <t>Bergvik skog öst AB</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49266-2023</t>
        </is>
      </c>
      <c r="B4525" s="1" t="n">
        <v>45210</v>
      </c>
      <c r="C4525" s="1" t="n">
        <v>45706</v>
      </c>
      <c r="D4525" t="inlineStr">
        <is>
          <t>UPPSALA LÄN</t>
        </is>
      </c>
      <c r="E4525" t="inlineStr">
        <is>
          <t>ÖSTHAMMAR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49432-2023</t>
        </is>
      </c>
      <c r="B4526" s="1" t="n">
        <v>45211</v>
      </c>
      <c r="C4526" s="1" t="n">
        <v>45706</v>
      </c>
      <c r="D4526" t="inlineStr">
        <is>
          <t>UPPSALA LÄN</t>
        </is>
      </c>
      <c r="E4526" t="inlineStr">
        <is>
          <t>ÄLVKARLEBY</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49682-2023</t>
        </is>
      </c>
      <c r="B4527" s="1" t="n">
        <v>45212</v>
      </c>
      <c r="C4527" s="1" t="n">
        <v>45706</v>
      </c>
      <c r="D4527" t="inlineStr">
        <is>
          <t>UPPSALA LÄN</t>
        </is>
      </c>
      <c r="E4527" t="inlineStr">
        <is>
          <t>UPPSALA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49829-2023</t>
        </is>
      </c>
      <c r="B4528" s="1" t="n">
        <v>45212</v>
      </c>
      <c r="C4528" s="1" t="n">
        <v>45706</v>
      </c>
      <c r="D4528" t="inlineStr">
        <is>
          <t>UPPSALA LÄN</t>
        </is>
      </c>
      <c r="E4528" t="inlineStr">
        <is>
          <t>ÖSTHAMMAR</t>
        </is>
      </c>
      <c r="F4528" t="inlineStr">
        <is>
          <t>Bergvik skog öst AB</t>
        </is>
      </c>
      <c r="G4528" t="n">
        <v>13.8</v>
      </c>
      <c r="H4528" t="n">
        <v>0</v>
      </c>
      <c r="I4528" t="n">
        <v>0</v>
      </c>
      <c r="J4528" t="n">
        <v>0</v>
      </c>
      <c r="K4528" t="n">
        <v>0</v>
      </c>
      <c r="L4528" t="n">
        <v>0</v>
      </c>
      <c r="M4528" t="n">
        <v>0</v>
      </c>
      <c r="N4528" t="n">
        <v>0</v>
      </c>
      <c r="O4528" t="n">
        <v>0</v>
      </c>
      <c r="P4528" t="n">
        <v>0</v>
      </c>
      <c r="Q4528" t="n">
        <v>0</v>
      </c>
      <c r="R4528" s="2" t="inlineStr"/>
    </row>
    <row r="4529" ht="15" customHeight="1">
      <c r="A4529" t="inlineStr">
        <is>
          <t>A 49833-2023</t>
        </is>
      </c>
      <c r="B4529" s="1" t="n">
        <v>45212</v>
      </c>
      <c r="C4529" s="1" t="n">
        <v>45706</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49831-2023</t>
        </is>
      </c>
      <c r="B4530" s="1" t="n">
        <v>45212</v>
      </c>
      <c r="C4530" s="1" t="n">
        <v>45706</v>
      </c>
      <c r="D4530" t="inlineStr">
        <is>
          <t>UPPSALA LÄN</t>
        </is>
      </c>
      <c r="E4530" t="inlineStr">
        <is>
          <t>ÖSTHAMMAR</t>
        </is>
      </c>
      <c r="F4530" t="inlineStr">
        <is>
          <t>Bergvik skog öst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49897-2023</t>
        </is>
      </c>
      <c r="B4531" s="1" t="n">
        <v>45213</v>
      </c>
      <c r="C4531" s="1" t="n">
        <v>45706</v>
      </c>
      <c r="D4531" t="inlineStr">
        <is>
          <t>UPPSALA LÄN</t>
        </is>
      </c>
      <c r="E4531" t="inlineStr">
        <is>
          <t>ÖSTHAMMAR</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49899-2023</t>
        </is>
      </c>
      <c r="B4532" s="1" t="n">
        <v>45213</v>
      </c>
      <c r="C4532" s="1" t="n">
        <v>45706</v>
      </c>
      <c r="D4532" t="inlineStr">
        <is>
          <t>UPPSALA LÄN</t>
        </is>
      </c>
      <c r="E4532" t="inlineStr">
        <is>
          <t>ÖSTHAMMAR</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49892-2023</t>
        </is>
      </c>
      <c r="B4533" s="1" t="n">
        <v>45213</v>
      </c>
      <c r="C4533" s="1" t="n">
        <v>45706</v>
      </c>
      <c r="D4533" t="inlineStr">
        <is>
          <t>UPPSALA LÄN</t>
        </is>
      </c>
      <c r="E4533" t="inlineStr">
        <is>
          <t>ÖSTHAMMAR</t>
        </is>
      </c>
      <c r="F4533" t="inlineStr">
        <is>
          <t>Bergvik skog öst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49996-2023</t>
        </is>
      </c>
      <c r="B4534" s="1" t="n">
        <v>45215</v>
      </c>
      <c r="C4534" s="1" t="n">
        <v>45706</v>
      </c>
      <c r="D4534" t="inlineStr">
        <is>
          <t>UPPSALA LÄN</t>
        </is>
      </c>
      <c r="E4534" t="inlineStr">
        <is>
          <t>UPPSALA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50048-2023</t>
        </is>
      </c>
      <c r="B4535" s="1" t="n">
        <v>45215</v>
      </c>
      <c r="C4535" s="1" t="n">
        <v>45706</v>
      </c>
      <c r="D4535" t="inlineStr">
        <is>
          <t>UPPSALA LÄN</t>
        </is>
      </c>
      <c r="E4535" t="inlineStr">
        <is>
          <t>ÄLVKARLEBY</t>
        </is>
      </c>
      <c r="F4535" t="inlineStr">
        <is>
          <t>Bergvik skog väst AB</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50006-2023</t>
        </is>
      </c>
      <c r="B4536" s="1" t="n">
        <v>45215</v>
      </c>
      <c r="C4536" s="1" t="n">
        <v>45706</v>
      </c>
      <c r="D4536" t="inlineStr">
        <is>
          <t>UPPSALA LÄN</t>
        </is>
      </c>
      <c r="E4536" t="inlineStr">
        <is>
          <t>ENKÖPING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50118-2023</t>
        </is>
      </c>
      <c r="B4537" s="1" t="n">
        <v>45215</v>
      </c>
      <c r="C4537" s="1" t="n">
        <v>45706</v>
      </c>
      <c r="D4537" t="inlineStr">
        <is>
          <t>UPPSALA LÄN</t>
        </is>
      </c>
      <c r="E4537" t="inlineStr">
        <is>
          <t>UPPSALA</t>
        </is>
      </c>
      <c r="G4537" t="n">
        <v>12.7</v>
      </c>
      <c r="H4537" t="n">
        <v>0</v>
      </c>
      <c r="I4537" t="n">
        <v>0</v>
      </c>
      <c r="J4537" t="n">
        <v>0</v>
      </c>
      <c r="K4537" t="n">
        <v>0</v>
      </c>
      <c r="L4537" t="n">
        <v>0</v>
      </c>
      <c r="M4537" t="n">
        <v>0</v>
      </c>
      <c r="N4537" t="n">
        <v>0</v>
      </c>
      <c r="O4537" t="n">
        <v>0</v>
      </c>
      <c r="P4537" t="n">
        <v>0</v>
      </c>
      <c r="Q4537" t="n">
        <v>0</v>
      </c>
      <c r="R4537" s="2" t="inlineStr"/>
    </row>
    <row r="4538" ht="15" customHeight="1">
      <c r="A4538" t="inlineStr">
        <is>
          <t>A 50128-2023</t>
        </is>
      </c>
      <c r="B4538" s="1" t="n">
        <v>45215</v>
      </c>
      <c r="C4538" s="1" t="n">
        <v>45706</v>
      </c>
      <c r="D4538" t="inlineStr">
        <is>
          <t>UPPSALA LÄN</t>
        </is>
      </c>
      <c r="E4538" t="inlineStr">
        <is>
          <t>ÖSTHAMMAR</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50189-2023</t>
        </is>
      </c>
      <c r="B4539" s="1" t="n">
        <v>45215</v>
      </c>
      <c r="C4539" s="1" t="n">
        <v>45706</v>
      </c>
      <c r="D4539" t="inlineStr">
        <is>
          <t>UPPSALA LÄN</t>
        </is>
      </c>
      <c r="E4539" t="inlineStr">
        <is>
          <t>ÖSTHAMMAR</t>
        </is>
      </c>
      <c r="F4539" t="inlineStr">
        <is>
          <t>Bergvik skog öst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50116-2023</t>
        </is>
      </c>
      <c r="B4540" s="1" t="n">
        <v>45215</v>
      </c>
      <c r="C4540" s="1" t="n">
        <v>45706</v>
      </c>
      <c r="D4540" t="inlineStr">
        <is>
          <t>UPPSALA LÄN</t>
        </is>
      </c>
      <c r="E4540" t="inlineStr">
        <is>
          <t>HEBY</t>
        </is>
      </c>
      <c r="F4540" t="inlineStr">
        <is>
          <t>Kyrkan</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50120-2023</t>
        </is>
      </c>
      <c r="B4541" s="1" t="n">
        <v>45215</v>
      </c>
      <c r="C4541" s="1" t="n">
        <v>45706</v>
      </c>
      <c r="D4541" t="inlineStr">
        <is>
          <t>UPPSALA LÄN</t>
        </is>
      </c>
      <c r="E4541" t="inlineStr">
        <is>
          <t>ÖSTHAMMAR</t>
        </is>
      </c>
      <c r="F4541" t="inlineStr">
        <is>
          <t>Övriga Aktiebolag</t>
        </is>
      </c>
      <c r="G4541" t="n">
        <v>14.2</v>
      </c>
      <c r="H4541" t="n">
        <v>0</v>
      </c>
      <c r="I4541" t="n">
        <v>0</v>
      </c>
      <c r="J4541" t="n">
        <v>0</v>
      </c>
      <c r="K4541" t="n">
        <v>0</v>
      </c>
      <c r="L4541" t="n">
        <v>0</v>
      </c>
      <c r="M4541" t="n">
        <v>0</v>
      </c>
      <c r="N4541" t="n">
        <v>0</v>
      </c>
      <c r="O4541" t="n">
        <v>0</v>
      </c>
      <c r="P4541" t="n">
        <v>0</v>
      </c>
      <c r="Q4541" t="n">
        <v>0</v>
      </c>
      <c r="R4541" s="2" t="inlineStr"/>
    </row>
    <row r="4542" ht="15" customHeight="1">
      <c r="A4542" t="inlineStr">
        <is>
          <t>A 50188-2023</t>
        </is>
      </c>
      <c r="B4542" s="1" t="n">
        <v>45215</v>
      </c>
      <c r="C4542" s="1" t="n">
        <v>45706</v>
      </c>
      <c r="D4542" t="inlineStr">
        <is>
          <t>UPPSALA LÄN</t>
        </is>
      </c>
      <c r="E4542" t="inlineStr">
        <is>
          <t>ÖSTHAMMAR</t>
        </is>
      </c>
      <c r="F4542" t="inlineStr">
        <is>
          <t>Bergvik skog öst AB</t>
        </is>
      </c>
      <c r="G4542" t="n">
        <v>8.4</v>
      </c>
      <c r="H4542" t="n">
        <v>0</v>
      </c>
      <c r="I4542" t="n">
        <v>0</v>
      </c>
      <c r="J4542" t="n">
        <v>0</v>
      </c>
      <c r="K4542" t="n">
        <v>0</v>
      </c>
      <c r="L4542" t="n">
        <v>0</v>
      </c>
      <c r="M4542" t="n">
        <v>0</v>
      </c>
      <c r="N4542" t="n">
        <v>0</v>
      </c>
      <c r="O4542" t="n">
        <v>0</v>
      </c>
      <c r="P4542" t="n">
        <v>0</v>
      </c>
      <c r="Q4542" t="n">
        <v>0</v>
      </c>
      <c r="R4542" s="2" t="inlineStr"/>
    </row>
    <row r="4543" ht="15" customHeight="1">
      <c r="A4543" t="inlineStr">
        <is>
          <t>A 51521-2023</t>
        </is>
      </c>
      <c r="B4543" s="1" t="n">
        <v>45215</v>
      </c>
      <c r="C4543" s="1" t="n">
        <v>45706</v>
      </c>
      <c r="D4543" t="inlineStr">
        <is>
          <t>UPPSALA LÄN</t>
        </is>
      </c>
      <c r="E4543" t="inlineStr">
        <is>
          <t>HEBY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51843-2023</t>
        </is>
      </c>
      <c r="B4544" s="1" t="n">
        <v>45215</v>
      </c>
      <c r="C4544" s="1" t="n">
        <v>45706</v>
      </c>
      <c r="D4544" t="inlineStr">
        <is>
          <t>UPPSALA LÄN</t>
        </is>
      </c>
      <c r="E4544" t="inlineStr">
        <is>
          <t>UPPSALA</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50267-2023</t>
        </is>
      </c>
      <c r="B4545" s="1" t="n">
        <v>45216</v>
      </c>
      <c r="C4545" s="1" t="n">
        <v>45706</v>
      </c>
      <c r="D4545" t="inlineStr">
        <is>
          <t>UPPSALA LÄN</t>
        </is>
      </c>
      <c r="E4545" t="inlineStr">
        <is>
          <t>UPPSALA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50281-2023</t>
        </is>
      </c>
      <c r="B4546" s="1" t="n">
        <v>45216</v>
      </c>
      <c r="C4546" s="1" t="n">
        <v>45706</v>
      </c>
      <c r="D4546" t="inlineStr">
        <is>
          <t>UPPSALA LÄN</t>
        </is>
      </c>
      <c r="E4546" t="inlineStr">
        <is>
          <t>HEBY</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50442-2023</t>
        </is>
      </c>
      <c r="B4547" s="1" t="n">
        <v>45216</v>
      </c>
      <c r="C4547" s="1" t="n">
        <v>45706</v>
      </c>
      <c r="D4547" t="inlineStr">
        <is>
          <t>UPPSALA LÄN</t>
        </is>
      </c>
      <c r="E4547" t="inlineStr">
        <is>
          <t>HEBY</t>
        </is>
      </c>
      <c r="F4547" t="inlineStr">
        <is>
          <t>Kyrkan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50473-2023</t>
        </is>
      </c>
      <c r="B4548" s="1" t="n">
        <v>45216</v>
      </c>
      <c r="C4548" s="1" t="n">
        <v>45706</v>
      </c>
      <c r="D4548" t="inlineStr">
        <is>
          <t>UPPSALA LÄN</t>
        </is>
      </c>
      <c r="E4548" t="inlineStr">
        <is>
          <t>UPPSALA</t>
        </is>
      </c>
      <c r="F4548" t="inlineStr">
        <is>
          <t>Allmännings- och besparingsskogar</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50419-2023</t>
        </is>
      </c>
      <c r="B4549" s="1" t="n">
        <v>45216</v>
      </c>
      <c r="C4549" s="1" t="n">
        <v>45706</v>
      </c>
      <c r="D4549" t="inlineStr">
        <is>
          <t>UPPSALA LÄN</t>
        </is>
      </c>
      <c r="E4549" t="inlineStr">
        <is>
          <t>ENKÖPING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50395-2023</t>
        </is>
      </c>
      <c r="B4550" s="1" t="n">
        <v>45216</v>
      </c>
      <c r="C4550" s="1" t="n">
        <v>45706</v>
      </c>
      <c r="D4550" t="inlineStr">
        <is>
          <t>UPPSALA LÄN</t>
        </is>
      </c>
      <c r="E4550" t="inlineStr">
        <is>
          <t>UPPSALA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50644-2023</t>
        </is>
      </c>
      <c r="B4551" s="1" t="n">
        <v>45217</v>
      </c>
      <c r="C4551" s="1" t="n">
        <v>45706</v>
      </c>
      <c r="D4551" t="inlineStr">
        <is>
          <t>UPPSALA LÄN</t>
        </is>
      </c>
      <c r="E4551" t="inlineStr">
        <is>
          <t>TIERP</t>
        </is>
      </c>
      <c r="F4551" t="inlineStr">
        <is>
          <t>Bergvik skog väst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50683-2023</t>
        </is>
      </c>
      <c r="B4552" s="1" t="n">
        <v>45217</v>
      </c>
      <c r="C4552" s="1" t="n">
        <v>45706</v>
      </c>
      <c r="D4552" t="inlineStr">
        <is>
          <t>UPPSALA LÄN</t>
        </is>
      </c>
      <c r="E4552" t="inlineStr">
        <is>
          <t>TIERP</t>
        </is>
      </c>
      <c r="F4552" t="inlineStr">
        <is>
          <t>Övriga Aktiebolag</t>
        </is>
      </c>
      <c r="G4552" t="n">
        <v>28.8</v>
      </c>
      <c r="H4552" t="n">
        <v>0</v>
      </c>
      <c r="I4552" t="n">
        <v>0</v>
      </c>
      <c r="J4552" t="n">
        <v>0</v>
      </c>
      <c r="K4552" t="n">
        <v>0</v>
      </c>
      <c r="L4552" t="n">
        <v>0</v>
      </c>
      <c r="M4552" t="n">
        <v>0</v>
      </c>
      <c r="N4552" t="n">
        <v>0</v>
      </c>
      <c r="O4552" t="n">
        <v>0</v>
      </c>
      <c r="P4552" t="n">
        <v>0</v>
      </c>
      <c r="Q4552" t="n">
        <v>0</v>
      </c>
      <c r="R4552" s="2" t="inlineStr"/>
    </row>
    <row r="4553" ht="15" customHeight="1">
      <c r="A4553" t="inlineStr">
        <is>
          <t>A 50574-2023</t>
        </is>
      </c>
      <c r="B4553" s="1" t="n">
        <v>45217</v>
      </c>
      <c r="C4553" s="1" t="n">
        <v>45706</v>
      </c>
      <c r="D4553" t="inlineStr">
        <is>
          <t>UPPSALA LÄN</t>
        </is>
      </c>
      <c r="E4553" t="inlineStr">
        <is>
          <t>TIERP</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50656-2023</t>
        </is>
      </c>
      <c r="B4554" s="1" t="n">
        <v>45217</v>
      </c>
      <c r="C4554" s="1" t="n">
        <v>45706</v>
      </c>
      <c r="D4554" t="inlineStr">
        <is>
          <t>UPPSALA LÄN</t>
        </is>
      </c>
      <c r="E4554" t="inlineStr">
        <is>
          <t>TIERP</t>
        </is>
      </c>
      <c r="F4554" t="inlineStr">
        <is>
          <t>Bergvik skog väst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50998-2023</t>
        </is>
      </c>
      <c r="B4555" s="1" t="n">
        <v>45218</v>
      </c>
      <c r="C4555" s="1" t="n">
        <v>45706</v>
      </c>
      <c r="D4555" t="inlineStr">
        <is>
          <t>UPPSALA LÄN</t>
        </is>
      </c>
      <c r="E4555" t="inlineStr">
        <is>
          <t>ÖSTHAMMAR</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51016-2023</t>
        </is>
      </c>
      <c r="B4556" s="1" t="n">
        <v>45218</v>
      </c>
      <c r="C4556" s="1" t="n">
        <v>45706</v>
      </c>
      <c r="D4556" t="inlineStr">
        <is>
          <t>UPPSALA LÄN</t>
        </is>
      </c>
      <c r="E4556" t="inlineStr">
        <is>
          <t>UPPSALA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51091-2023</t>
        </is>
      </c>
      <c r="B4557" s="1" t="n">
        <v>45218</v>
      </c>
      <c r="C4557" s="1" t="n">
        <v>45706</v>
      </c>
      <c r="D4557" t="inlineStr">
        <is>
          <t>UPPSALA LÄN</t>
        </is>
      </c>
      <c r="E4557" t="inlineStr">
        <is>
          <t>HEBY</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51082-2023</t>
        </is>
      </c>
      <c r="B4558" s="1" t="n">
        <v>45218</v>
      </c>
      <c r="C4558" s="1" t="n">
        <v>45706</v>
      </c>
      <c r="D4558" t="inlineStr">
        <is>
          <t>UPPSALA LÄN</t>
        </is>
      </c>
      <c r="E4558" t="inlineStr">
        <is>
          <t>HEBY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51080-2023</t>
        </is>
      </c>
      <c r="B4559" s="1" t="n">
        <v>45218</v>
      </c>
      <c r="C4559" s="1" t="n">
        <v>45706</v>
      </c>
      <c r="D4559" t="inlineStr">
        <is>
          <t>UPPSALA LÄN</t>
        </is>
      </c>
      <c r="E4559" t="inlineStr">
        <is>
          <t>HEBY</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51006-2023</t>
        </is>
      </c>
      <c r="B4560" s="1" t="n">
        <v>45218</v>
      </c>
      <c r="C4560" s="1" t="n">
        <v>45706</v>
      </c>
      <c r="D4560" t="inlineStr">
        <is>
          <t>UPPSALA LÄN</t>
        </is>
      </c>
      <c r="E4560" t="inlineStr">
        <is>
          <t>UPPSALA</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51030-2023</t>
        </is>
      </c>
      <c r="B4561" s="1" t="n">
        <v>45218</v>
      </c>
      <c r="C4561" s="1" t="n">
        <v>45706</v>
      </c>
      <c r="D4561" t="inlineStr">
        <is>
          <t>UPPSALA LÄN</t>
        </is>
      </c>
      <c r="E4561" t="inlineStr">
        <is>
          <t>TIERP</t>
        </is>
      </c>
      <c r="F4561" t="inlineStr">
        <is>
          <t>Bergvik skog öst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51085-2023</t>
        </is>
      </c>
      <c r="B4562" s="1" t="n">
        <v>45218</v>
      </c>
      <c r="C4562" s="1" t="n">
        <v>45706</v>
      </c>
      <c r="D4562" t="inlineStr">
        <is>
          <t>UPPSALA LÄN</t>
        </is>
      </c>
      <c r="E4562" t="inlineStr">
        <is>
          <t>HEBY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51120-2023</t>
        </is>
      </c>
      <c r="B4563" s="1" t="n">
        <v>45219</v>
      </c>
      <c r="C4563" s="1" t="n">
        <v>45706</v>
      </c>
      <c r="D4563" t="inlineStr">
        <is>
          <t>UPPSALA LÄN</t>
        </is>
      </c>
      <c r="E4563" t="inlineStr">
        <is>
          <t>ENKÖPING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51354-2023</t>
        </is>
      </c>
      <c r="B4564" s="1" t="n">
        <v>45219</v>
      </c>
      <c r="C4564" s="1" t="n">
        <v>45706</v>
      </c>
      <c r="D4564" t="inlineStr">
        <is>
          <t>UPPSALA LÄN</t>
        </is>
      </c>
      <c r="E4564" t="inlineStr">
        <is>
          <t>HEBY</t>
        </is>
      </c>
      <c r="F4564" t="inlineStr">
        <is>
          <t>Bergvik skog väst AB</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51361-2023</t>
        </is>
      </c>
      <c r="B4565" s="1" t="n">
        <v>45219</v>
      </c>
      <c r="C4565" s="1" t="n">
        <v>45706</v>
      </c>
      <c r="D4565" t="inlineStr">
        <is>
          <t>UPPSALA LÄN</t>
        </is>
      </c>
      <c r="E4565" t="inlineStr">
        <is>
          <t>TIERP</t>
        </is>
      </c>
      <c r="F4565" t="inlineStr">
        <is>
          <t>Bergvik skog väst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51313-2023</t>
        </is>
      </c>
      <c r="B4566" s="1" t="n">
        <v>45219</v>
      </c>
      <c r="C4566" s="1" t="n">
        <v>45706</v>
      </c>
      <c r="D4566" t="inlineStr">
        <is>
          <t>UPPSALA LÄN</t>
        </is>
      </c>
      <c r="E4566" t="inlineStr">
        <is>
          <t>ENKÖPING</t>
        </is>
      </c>
      <c r="F4566" t="inlineStr">
        <is>
          <t>Allmännings- och besparingsskogar</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51364-2023</t>
        </is>
      </c>
      <c r="B4567" s="1" t="n">
        <v>45219</v>
      </c>
      <c r="C4567" s="1" t="n">
        <v>45706</v>
      </c>
      <c r="D4567" t="inlineStr">
        <is>
          <t>UPPSALA LÄN</t>
        </is>
      </c>
      <c r="E4567" t="inlineStr">
        <is>
          <t>TIERP</t>
        </is>
      </c>
      <c r="F4567" t="inlineStr">
        <is>
          <t>Bergvik skog väst AB</t>
        </is>
      </c>
      <c r="G4567" t="n">
        <v>9.699999999999999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51542-2023</t>
        </is>
      </c>
      <c r="B4568" s="1" t="n">
        <v>45222</v>
      </c>
      <c r="C4568" s="1" t="n">
        <v>45706</v>
      </c>
      <c r="D4568" t="inlineStr">
        <is>
          <t>UPPSALA LÄN</t>
        </is>
      </c>
      <c r="E4568" t="inlineStr">
        <is>
          <t>UPPSALA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51622-2023</t>
        </is>
      </c>
      <c r="B4569" s="1" t="n">
        <v>45222</v>
      </c>
      <c r="C4569" s="1" t="n">
        <v>45706</v>
      </c>
      <c r="D4569" t="inlineStr">
        <is>
          <t>UPPSALA LÄN</t>
        </is>
      </c>
      <c r="E4569" t="inlineStr">
        <is>
          <t>KNIVSTA</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51688-2023</t>
        </is>
      </c>
      <c r="B4570" s="1" t="n">
        <v>45222</v>
      </c>
      <c r="C4570" s="1" t="n">
        <v>45706</v>
      </c>
      <c r="D4570" t="inlineStr">
        <is>
          <t>UPPSALA LÄN</t>
        </is>
      </c>
      <c r="E4570" t="inlineStr">
        <is>
          <t>ENKÖPING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51707-2023</t>
        </is>
      </c>
      <c r="B4571" s="1" t="n">
        <v>45222</v>
      </c>
      <c r="C4571" s="1" t="n">
        <v>45706</v>
      </c>
      <c r="D4571" t="inlineStr">
        <is>
          <t>UPPSALA LÄN</t>
        </is>
      </c>
      <c r="E4571" t="inlineStr">
        <is>
          <t>TIERP</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51716-2023</t>
        </is>
      </c>
      <c r="B4572" s="1" t="n">
        <v>45222</v>
      </c>
      <c r="C4572" s="1" t="n">
        <v>45706</v>
      </c>
      <c r="D4572" t="inlineStr">
        <is>
          <t>UPPSALA LÄN</t>
        </is>
      </c>
      <c r="E4572" t="inlineStr">
        <is>
          <t>TIERP</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51734-2023</t>
        </is>
      </c>
      <c r="B4573" s="1" t="n">
        <v>45222</v>
      </c>
      <c r="C4573" s="1" t="n">
        <v>45706</v>
      </c>
      <c r="D4573" t="inlineStr">
        <is>
          <t>UPPSALA LÄN</t>
        </is>
      </c>
      <c r="E4573" t="inlineStr">
        <is>
          <t>UPPSALA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51755-2023</t>
        </is>
      </c>
      <c r="B4574" s="1" t="n">
        <v>45222</v>
      </c>
      <c r="C4574" s="1" t="n">
        <v>45706</v>
      </c>
      <c r="D4574" t="inlineStr">
        <is>
          <t>UPPSALA LÄN</t>
        </is>
      </c>
      <c r="E4574" t="inlineStr">
        <is>
          <t>TIERP</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51767-2023</t>
        </is>
      </c>
      <c r="B4575" s="1" t="n">
        <v>45222</v>
      </c>
      <c r="C4575" s="1" t="n">
        <v>45706</v>
      </c>
      <c r="D4575" t="inlineStr">
        <is>
          <t>UPPSALA LÄN</t>
        </is>
      </c>
      <c r="E4575" t="inlineStr">
        <is>
          <t>TIERP</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51731-2023</t>
        </is>
      </c>
      <c r="B4576" s="1" t="n">
        <v>45222</v>
      </c>
      <c r="C4576" s="1" t="n">
        <v>45706</v>
      </c>
      <c r="D4576" t="inlineStr">
        <is>
          <t>UPPSALA LÄN</t>
        </is>
      </c>
      <c r="E4576" t="inlineStr">
        <is>
          <t>UPPSALA</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51756-2023</t>
        </is>
      </c>
      <c r="B4577" s="1" t="n">
        <v>45222</v>
      </c>
      <c r="C4577" s="1" t="n">
        <v>45706</v>
      </c>
      <c r="D4577" t="inlineStr">
        <is>
          <t>UPPSALA LÄN</t>
        </is>
      </c>
      <c r="E4577" t="inlineStr">
        <is>
          <t>TIERP</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51633-2023</t>
        </is>
      </c>
      <c r="B4578" s="1" t="n">
        <v>45222</v>
      </c>
      <c r="C4578" s="1" t="n">
        <v>45706</v>
      </c>
      <c r="D4578" t="inlineStr">
        <is>
          <t>UPPSALA LÄN</t>
        </is>
      </c>
      <c r="E4578" t="inlineStr">
        <is>
          <t>KNIVSTA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51741-2023</t>
        </is>
      </c>
      <c r="B4579" s="1" t="n">
        <v>45222</v>
      </c>
      <c r="C4579" s="1" t="n">
        <v>45706</v>
      </c>
      <c r="D4579" t="inlineStr">
        <is>
          <t>UPPSALA LÄN</t>
        </is>
      </c>
      <c r="E4579" t="inlineStr">
        <is>
          <t>TIERP</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51769-2023</t>
        </is>
      </c>
      <c r="B4580" s="1" t="n">
        <v>45222</v>
      </c>
      <c r="C4580" s="1" t="n">
        <v>45706</v>
      </c>
      <c r="D4580" t="inlineStr">
        <is>
          <t>UPPSALA LÄN</t>
        </is>
      </c>
      <c r="E4580" t="inlineStr">
        <is>
          <t>TIERP</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51576-2023</t>
        </is>
      </c>
      <c r="B4581" s="1" t="n">
        <v>45222</v>
      </c>
      <c r="C4581" s="1" t="n">
        <v>45706</v>
      </c>
      <c r="D4581" t="inlineStr">
        <is>
          <t>UPPSALA LÄN</t>
        </is>
      </c>
      <c r="E4581" t="inlineStr">
        <is>
          <t>UPPSALA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51697-2023</t>
        </is>
      </c>
      <c r="B4582" s="1" t="n">
        <v>45222</v>
      </c>
      <c r="C4582" s="1" t="n">
        <v>45706</v>
      </c>
      <c r="D4582" t="inlineStr">
        <is>
          <t>UPPSALA LÄN</t>
        </is>
      </c>
      <c r="E4582" t="inlineStr">
        <is>
          <t>UPPSALA</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51706-2023</t>
        </is>
      </c>
      <c r="B4583" s="1" t="n">
        <v>45222</v>
      </c>
      <c r="C4583" s="1" t="n">
        <v>45706</v>
      </c>
      <c r="D4583" t="inlineStr">
        <is>
          <t>UPPSALA LÄN</t>
        </is>
      </c>
      <c r="E4583" t="inlineStr">
        <is>
          <t>TIERP</t>
        </is>
      </c>
      <c r="F4583" t="inlineStr">
        <is>
          <t>Bergvik skog öst AB</t>
        </is>
      </c>
      <c r="G4583" t="n">
        <v>20.4</v>
      </c>
      <c r="H4583" t="n">
        <v>0</v>
      </c>
      <c r="I4583" t="n">
        <v>0</v>
      </c>
      <c r="J4583" t="n">
        <v>0</v>
      </c>
      <c r="K4583" t="n">
        <v>0</v>
      </c>
      <c r="L4583" t="n">
        <v>0</v>
      </c>
      <c r="M4583" t="n">
        <v>0</v>
      </c>
      <c r="N4583" t="n">
        <v>0</v>
      </c>
      <c r="O4583" t="n">
        <v>0</v>
      </c>
      <c r="P4583" t="n">
        <v>0</v>
      </c>
      <c r="Q4583" t="n">
        <v>0</v>
      </c>
      <c r="R4583" s="2" t="inlineStr"/>
    </row>
    <row r="4584" ht="15" customHeight="1">
      <c r="A4584" t="inlineStr">
        <is>
          <t>A 51738-2023</t>
        </is>
      </c>
      <c r="B4584" s="1" t="n">
        <v>45222</v>
      </c>
      <c r="C4584" s="1" t="n">
        <v>45706</v>
      </c>
      <c r="D4584" t="inlineStr">
        <is>
          <t>UPPSALA LÄN</t>
        </is>
      </c>
      <c r="E4584" t="inlineStr">
        <is>
          <t>TIERP</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51944-2023</t>
        </is>
      </c>
      <c r="B4585" s="1" t="n">
        <v>45223</v>
      </c>
      <c r="C4585" s="1" t="n">
        <v>45706</v>
      </c>
      <c r="D4585" t="inlineStr">
        <is>
          <t>UPPSALA LÄN</t>
        </is>
      </c>
      <c r="E4585" t="inlineStr">
        <is>
          <t>HEBY</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51974-2023</t>
        </is>
      </c>
      <c r="B4586" s="1" t="n">
        <v>45223</v>
      </c>
      <c r="C4586" s="1" t="n">
        <v>45706</v>
      </c>
      <c r="D4586" t="inlineStr">
        <is>
          <t>UPPSALA LÄN</t>
        </is>
      </c>
      <c r="E4586" t="inlineStr">
        <is>
          <t>TIERP</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51835-2023</t>
        </is>
      </c>
      <c r="B4587" s="1" t="n">
        <v>45223</v>
      </c>
      <c r="C4587" s="1" t="n">
        <v>45706</v>
      </c>
      <c r="D4587" t="inlineStr">
        <is>
          <t>UPPSALA LÄN</t>
        </is>
      </c>
      <c r="E4587" t="inlineStr">
        <is>
          <t>ENKÖPING</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51849-2023</t>
        </is>
      </c>
      <c r="B4588" s="1" t="n">
        <v>45223</v>
      </c>
      <c r="C4588" s="1" t="n">
        <v>45706</v>
      </c>
      <c r="D4588" t="inlineStr">
        <is>
          <t>UPPSALA LÄN</t>
        </is>
      </c>
      <c r="E4588" t="inlineStr">
        <is>
          <t>KNIVSTA</t>
        </is>
      </c>
      <c r="G4588" t="n">
        <v>16.3</v>
      </c>
      <c r="H4588" t="n">
        <v>0</v>
      </c>
      <c r="I4588" t="n">
        <v>0</v>
      </c>
      <c r="J4588" t="n">
        <v>0</v>
      </c>
      <c r="K4588" t="n">
        <v>0</v>
      </c>
      <c r="L4588" t="n">
        <v>0</v>
      </c>
      <c r="M4588" t="n">
        <v>0</v>
      </c>
      <c r="N4588" t="n">
        <v>0</v>
      </c>
      <c r="O4588" t="n">
        <v>0</v>
      </c>
      <c r="P4588" t="n">
        <v>0</v>
      </c>
      <c r="Q4588" t="n">
        <v>0</v>
      </c>
      <c r="R4588" s="2" t="inlineStr"/>
    </row>
    <row r="4589" ht="15" customHeight="1">
      <c r="A4589" t="inlineStr">
        <is>
          <t>A 51885-2023</t>
        </is>
      </c>
      <c r="B4589" s="1" t="n">
        <v>45223</v>
      </c>
      <c r="C4589" s="1" t="n">
        <v>45706</v>
      </c>
      <c r="D4589" t="inlineStr">
        <is>
          <t>UPPSALA LÄN</t>
        </is>
      </c>
      <c r="E4589" t="inlineStr">
        <is>
          <t>HEBY</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51984-2023</t>
        </is>
      </c>
      <c r="B4590" s="1" t="n">
        <v>45223</v>
      </c>
      <c r="C4590" s="1" t="n">
        <v>45706</v>
      </c>
      <c r="D4590" t="inlineStr">
        <is>
          <t>UPPSALA LÄN</t>
        </is>
      </c>
      <c r="E4590" t="inlineStr">
        <is>
          <t>TIERP</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51935-2023</t>
        </is>
      </c>
      <c r="B4591" s="1" t="n">
        <v>45223</v>
      </c>
      <c r="C4591" s="1" t="n">
        <v>45706</v>
      </c>
      <c r="D4591" t="inlineStr">
        <is>
          <t>UPPSALA LÄN</t>
        </is>
      </c>
      <c r="E4591" t="inlineStr">
        <is>
          <t>UPPSALA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53595-2023</t>
        </is>
      </c>
      <c r="B4592" s="1" t="n">
        <v>45223</v>
      </c>
      <c r="C4592" s="1" t="n">
        <v>45706</v>
      </c>
      <c r="D4592" t="inlineStr">
        <is>
          <t>UPPSALA LÄN</t>
        </is>
      </c>
      <c r="E4592" t="inlineStr">
        <is>
          <t>ENKÖPING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52273-2023</t>
        </is>
      </c>
      <c r="B4593" s="1" t="n">
        <v>45224</v>
      </c>
      <c r="C4593" s="1" t="n">
        <v>45706</v>
      </c>
      <c r="D4593" t="inlineStr">
        <is>
          <t>UPPSALA LÄN</t>
        </is>
      </c>
      <c r="E4593" t="inlineStr">
        <is>
          <t>UPPSALA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52299-2023</t>
        </is>
      </c>
      <c r="B4594" s="1" t="n">
        <v>45224</v>
      </c>
      <c r="C4594" s="1" t="n">
        <v>45706</v>
      </c>
      <c r="D4594" t="inlineStr">
        <is>
          <t>UPPSALA LÄN</t>
        </is>
      </c>
      <c r="E4594" t="inlineStr">
        <is>
          <t>ENKÖPING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52380-2023</t>
        </is>
      </c>
      <c r="B4595" s="1" t="n">
        <v>45224</v>
      </c>
      <c r="C4595" s="1" t="n">
        <v>45706</v>
      </c>
      <c r="D4595" t="inlineStr">
        <is>
          <t>UPPSALA LÄN</t>
        </is>
      </c>
      <c r="E4595" t="inlineStr">
        <is>
          <t>TIERP</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52366-2023</t>
        </is>
      </c>
      <c r="B4596" s="1" t="n">
        <v>45224</v>
      </c>
      <c r="C4596" s="1" t="n">
        <v>45706</v>
      </c>
      <c r="D4596" t="inlineStr">
        <is>
          <t>UPPSALA LÄN</t>
        </is>
      </c>
      <c r="E4596" t="inlineStr">
        <is>
          <t>ENKÖPING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52492-2023</t>
        </is>
      </c>
      <c r="B4597" s="1" t="n">
        <v>45225</v>
      </c>
      <c r="C4597" s="1" t="n">
        <v>45706</v>
      </c>
      <c r="D4597" t="inlineStr">
        <is>
          <t>UPPSALA LÄN</t>
        </is>
      </c>
      <c r="E4597" t="inlineStr">
        <is>
          <t>UPPSALA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52503-2023</t>
        </is>
      </c>
      <c r="B4598" s="1" t="n">
        <v>45225</v>
      </c>
      <c r="C4598" s="1" t="n">
        <v>45706</v>
      </c>
      <c r="D4598" t="inlineStr">
        <is>
          <t>UPPSALA LÄN</t>
        </is>
      </c>
      <c r="E4598" t="inlineStr">
        <is>
          <t>UPPSALA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52518-2023</t>
        </is>
      </c>
      <c r="B4599" s="1" t="n">
        <v>45225</v>
      </c>
      <c r="C4599" s="1" t="n">
        <v>45706</v>
      </c>
      <c r="D4599" t="inlineStr">
        <is>
          <t>UPPSALA LÄN</t>
        </is>
      </c>
      <c r="E4599" t="inlineStr">
        <is>
          <t>UPPSALA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52495-2023</t>
        </is>
      </c>
      <c r="B4600" s="1" t="n">
        <v>45225</v>
      </c>
      <c r="C4600" s="1" t="n">
        <v>45706</v>
      </c>
      <c r="D4600" t="inlineStr">
        <is>
          <t>UPPSALA LÄN</t>
        </is>
      </c>
      <c r="E4600" t="inlineStr">
        <is>
          <t>HEBY</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52670-2023</t>
        </is>
      </c>
      <c r="B4601" s="1" t="n">
        <v>45225</v>
      </c>
      <c r="C4601" s="1" t="n">
        <v>45706</v>
      </c>
      <c r="D4601" t="inlineStr">
        <is>
          <t>UPPSALA LÄN</t>
        </is>
      </c>
      <c r="E4601" t="inlineStr">
        <is>
          <t>HEBY</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52695-2023</t>
        </is>
      </c>
      <c r="B4602" s="1" t="n">
        <v>45225</v>
      </c>
      <c r="C4602" s="1" t="n">
        <v>45706</v>
      </c>
      <c r="D4602" t="inlineStr">
        <is>
          <t>UPPSALA LÄN</t>
        </is>
      </c>
      <c r="E4602" t="inlineStr">
        <is>
          <t>ÖSTHAMMAR</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52629-2023</t>
        </is>
      </c>
      <c r="B4603" s="1" t="n">
        <v>45225</v>
      </c>
      <c r="C4603" s="1" t="n">
        <v>45706</v>
      </c>
      <c r="D4603" t="inlineStr">
        <is>
          <t>UPPSALA LÄN</t>
        </is>
      </c>
      <c r="E4603" t="inlineStr">
        <is>
          <t>ÖSTHAMMAR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52698-2023</t>
        </is>
      </c>
      <c r="B4604" s="1" t="n">
        <v>45225</v>
      </c>
      <c r="C4604" s="1" t="n">
        <v>45706</v>
      </c>
      <c r="D4604" t="inlineStr">
        <is>
          <t>UPPSALA LÄN</t>
        </is>
      </c>
      <c r="E4604" t="inlineStr">
        <is>
          <t>ÖSTHAMMAR</t>
        </is>
      </c>
      <c r="F4604" t="inlineStr">
        <is>
          <t>Bergvik skog öst AB</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52694-2023</t>
        </is>
      </c>
      <c r="B4605" s="1" t="n">
        <v>45225</v>
      </c>
      <c r="C4605" s="1" t="n">
        <v>45706</v>
      </c>
      <c r="D4605" t="inlineStr">
        <is>
          <t>UPPSALA LÄN</t>
        </is>
      </c>
      <c r="E4605" t="inlineStr">
        <is>
          <t>ÖSTHAMMAR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52699-2023</t>
        </is>
      </c>
      <c r="B4606" s="1" t="n">
        <v>45225</v>
      </c>
      <c r="C4606" s="1" t="n">
        <v>45706</v>
      </c>
      <c r="D4606" t="inlineStr">
        <is>
          <t>UPPSALA LÄN</t>
        </is>
      </c>
      <c r="E4606" t="inlineStr">
        <is>
          <t>ÖSTHAMMAR</t>
        </is>
      </c>
      <c r="F4606" t="inlineStr">
        <is>
          <t>Bergvik skog öst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54314-2023</t>
        </is>
      </c>
      <c r="B4607" s="1" t="n">
        <v>45225</v>
      </c>
      <c r="C4607" s="1" t="n">
        <v>45706</v>
      </c>
      <c r="D4607" t="inlineStr">
        <is>
          <t>UPPSALA LÄN</t>
        </is>
      </c>
      <c r="E4607" t="inlineStr">
        <is>
          <t>ÖSTHAMMAR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54356-2023</t>
        </is>
      </c>
      <c r="B4608" s="1" t="n">
        <v>45225</v>
      </c>
      <c r="C4608" s="1" t="n">
        <v>45706</v>
      </c>
      <c r="D4608" t="inlineStr">
        <is>
          <t>UPPSALA LÄN</t>
        </is>
      </c>
      <c r="E4608" t="inlineStr">
        <is>
          <t>ENKÖPING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54357-2023</t>
        </is>
      </c>
      <c r="B4609" s="1" t="n">
        <v>45225</v>
      </c>
      <c r="C4609" s="1" t="n">
        <v>45706</v>
      </c>
      <c r="D4609" t="inlineStr">
        <is>
          <t>UPPSALA LÄN</t>
        </is>
      </c>
      <c r="E4609" t="inlineStr">
        <is>
          <t>ENKÖPING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52969-2023</t>
        </is>
      </c>
      <c r="B4610" s="1" t="n">
        <v>45226</v>
      </c>
      <c r="C4610" s="1" t="n">
        <v>45706</v>
      </c>
      <c r="D4610" t="inlineStr">
        <is>
          <t>UPPSALA LÄN</t>
        </is>
      </c>
      <c r="E4610" t="inlineStr">
        <is>
          <t>TIERP</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53208-2023</t>
        </is>
      </c>
      <c r="B4611" s="1" t="n">
        <v>45226</v>
      </c>
      <c r="C4611" s="1" t="n">
        <v>45706</v>
      </c>
      <c r="D4611" t="inlineStr">
        <is>
          <t>UPPSALA LÄN</t>
        </is>
      </c>
      <c r="E4611" t="inlineStr">
        <is>
          <t>ENKÖPING</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52966-2023</t>
        </is>
      </c>
      <c r="B4612" s="1" t="n">
        <v>45226</v>
      </c>
      <c r="C4612" s="1" t="n">
        <v>45706</v>
      </c>
      <c r="D4612" t="inlineStr">
        <is>
          <t>UPPSALA LÄN</t>
        </is>
      </c>
      <c r="E4612" t="inlineStr">
        <is>
          <t>TIERP</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53467-2023</t>
        </is>
      </c>
      <c r="B4613" s="1" t="n">
        <v>45229</v>
      </c>
      <c r="C4613" s="1" t="n">
        <v>45706</v>
      </c>
      <c r="D4613" t="inlineStr">
        <is>
          <t>UPPSALA LÄN</t>
        </is>
      </c>
      <c r="E4613" t="inlineStr">
        <is>
          <t>ÖSTHAMMAR</t>
        </is>
      </c>
      <c r="G4613" t="n">
        <v>26.1</v>
      </c>
      <c r="H4613" t="n">
        <v>0</v>
      </c>
      <c r="I4613" t="n">
        <v>0</v>
      </c>
      <c r="J4613" t="n">
        <v>0</v>
      </c>
      <c r="K4613" t="n">
        <v>0</v>
      </c>
      <c r="L4613" t="n">
        <v>0</v>
      </c>
      <c r="M4613" t="n">
        <v>0</v>
      </c>
      <c r="N4613" t="n">
        <v>0</v>
      </c>
      <c r="O4613" t="n">
        <v>0</v>
      </c>
      <c r="P4613" t="n">
        <v>0</v>
      </c>
      <c r="Q4613" t="n">
        <v>0</v>
      </c>
      <c r="R4613" s="2" t="inlineStr"/>
    </row>
    <row r="4614" ht="15" customHeight="1">
      <c r="A4614" t="inlineStr">
        <is>
          <t>A 53333-2023</t>
        </is>
      </c>
      <c r="B4614" s="1" t="n">
        <v>45229</v>
      </c>
      <c r="C4614" s="1" t="n">
        <v>45706</v>
      </c>
      <c r="D4614" t="inlineStr">
        <is>
          <t>UPPSALA LÄN</t>
        </is>
      </c>
      <c r="E4614" t="inlineStr">
        <is>
          <t>ENKÖPING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53338-2023</t>
        </is>
      </c>
      <c r="B4615" s="1" t="n">
        <v>45229</v>
      </c>
      <c r="C4615" s="1" t="n">
        <v>45706</v>
      </c>
      <c r="D4615" t="inlineStr">
        <is>
          <t>UPPSALA LÄN</t>
        </is>
      </c>
      <c r="E4615" t="inlineStr">
        <is>
          <t>ENKÖPING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53360-2023</t>
        </is>
      </c>
      <c r="B4616" s="1" t="n">
        <v>45229</v>
      </c>
      <c r="C4616" s="1" t="n">
        <v>45706</v>
      </c>
      <c r="D4616" t="inlineStr">
        <is>
          <t>UPPSALA LÄN</t>
        </is>
      </c>
      <c r="E4616" t="inlineStr">
        <is>
          <t>ÖSTHAMMAR</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53490-2023</t>
        </is>
      </c>
      <c r="B4617" s="1" t="n">
        <v>45229</v>
      </c>
      <c r="C4617" s="1" t="n">
        <v>45706</v>
      </c>
      <c r="D4617" t="inlineStr">
        <is>
          <t>UPPSALA LÄN</t>
        </is>
      </c>
      <c r="E4617" t="inlineStr">
        <is>
          <t>TIERP</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54737-2023</t>
        </is>
      </c>
      <c r="B4618" s="1" t="n">
        <v>45229</v>
      </c>
      <c r="C4618" s="1" t="n">
        <v>45706</v>
      </c>
      <c r="D4618" t="inlineStr">
        <is>
          <t>UPPSALA LÄN</t>
        </is>
      </c>
      <c r="E4618" t="inlineStr">
        <is>
          <t>TIERP</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53735-2023</t>
        </is>
      </c>
      <c r="B4619" s="1" t="n">
        <v>45230</v>
      </c>
      <c r="C4619" s="1" t="n">
        <v>45706</v>
      </c>
      <c r="D4619" t="inlineStr">
        <is>
          <t>UPPSALA LÄN</t>
        </is>
      </c>
      <c r="E4619" t="inlineStr">
        <is>
          <t>ÖSTHAMMAR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53732-2023</t>
        </is>
      </c>
      <c r="B4620" s="1" t="n">
        <v>45230</v>
      </c>
      <c r="C4620" s="1" t="n">
        <v>45706</v>
      </c>
      <c r="D4620" t="inlineStr">
        <is>
          <t>UPPSALA LÄN</t>
        </is>
      </c>
      <c r="E4620" t="inlineStr">
        <is>
          <t>ÖSTHAMMAR</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53670-2023</t>
        </is>
      </c>
      <c r="B4621" s="1" t="n">
        <v>45230</v>
      </c>
      <c r="C4621" s="1" t="n">
        <v>45706</v>
      </c>
      <c r="D4621" t="inlineStr">
        <is>
          <t>UPPSALA LÄN</t>
        </is>
      </c>
      <c r="E4621" t="inlineStr">
        <is>
          <t>ÖSTHAMMAR</t>
        </is>
      </c>
      <c r="F4621" t="inlineStr">
        <is>
          <t>Bergvik skog öst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53607-2023</t>
        </is>
      </c>
      <c r="B4622" s="1" t="n">
        <v>45230</v>
      </c>
      <c r="C4622" s="1" t="n">
        <v>45706</v>
      </c>
      <c r="D4622" t="inlineStr">
        <is>
          <t>UPPSALA LÄN</t>
        </is>
      </c>
      <c r="E4622" t="inlineStr">
        <is>
          <t>ENKÖPING</t>
        </is>
      </c>
      <c r="F4622" t="inlineStr">
        <is>
          <t>Allmännings- och besparingsskogar</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53646-2023</t>
        </is>
      </c>
      <c r="B4623" s="1" t="n">
        <v>45230</v>
      </c>
      <c r="C4623" s="1" t="n">
        <v>45706</v>
      </c>
      <c r="D4623" t="inlineStr">
        <is>
          <t>UPPSALA LÄN</t>
        </is>
      </c>
      <c r="E4623" t="inlineStr">
        <is>
          <t>TIERP</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53733-2023</t>
        </is>
      </c>
      <c r="B4624" s="1" t="n">
        <v>45230</v>
      </c>
      <c r="C4624" s="1" t="n">
        <v>45706</v>
      </c>
      <c r="D4624" t="inlineStr">
        <is>
          <t>UPPSALA LÄN</t>
        </is>
      </c>
      <c r="E4624" t="inlineStr">
        <is>
          <t>ÖSTHAMMAR</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53737-2023</t>
        </is>
      </c>
      <c r="B4625" s="1" t="n">
        <v>45230</v>
      </c>
      <c r="C4625" s="1" t="n">
        <v>45706</v>
      </c>
      <c r="D4625" t="inlineStr">
        <is>
          <t>UPPSALA LÄN</t>
        </is>
      </c>
      <c r="E4625" t="inlineStr">
        <is>
          <t>ÖSTHAMMAR</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53702-2023</t>
        </is>
      </c>
      <c r="B4626" s="1" t="n">
        <v>45230</v>
      </c>
      <c r="C4626" s="1" t="n">
        <v>45706</v>
      </c>
      <c r="D4626" t="inlineStr">
        <is>
          <t>UPPSALA LÄN</t>
        </is>
      </c>
      <c r="E4626" t="inlineStr">
        <is>
          <t>ÖSTHAMMAR</t>
        </is>
      </c>
      <c r="F4626" t="inlineStr">
        <is>
          <t>Övriga Aktiebolag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53676-2023</t>
        </is>
      </c>
      <c r="B4627" s="1" t="n">
        <v>45230</v>
      </c>
      <c r="C4627" s="1" t="n">
        <v>45706</v>
      </c>
      <c r="D4627" t="inlineStr">
        <is>
          <t>UPPSALA LÄN</t>
        </is>
      </c>
      <c r="E4627" t="inlineStr">
        <is>
          <t>ÖSTHAMMAR</t>
        </is>
      </c>
      <c r="F4627" t="inlineStr">
        <is>
          <t>Bergvik skog öst AB</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53893-2023</t>
        </is>
      </c>
      <c r="B4628" s="1" t="n">
        <v>45231</v>
      </c>
      <c r="C4628" s="1" t="n">
        <v>45706</v>
      </c>
      <c r="D4628" t="inlineStr">
        <is>
          <t>UPPSALA LÄN</t>
        </is>
      </c>
      <c r="E4628" t="inlineStr">
        <is>
          <t>UPPSALA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53911-2023</t>
        </is>
      </c>
      <c r="B4629" s="1" t="n">
        <v>45231</v>
      </c>
      <c r="C4629" s="1" t="n">
        <v>45706</v>
      </c>
      <c r="D4629" t="inlineStr">
        <is>
          <t>UPPSALA LÄN</t>
        </is>
      </c>
      <c r="E4629" t="inlineStr">
        <is>
          <t>HEBY</t>
        </is>
      </c>
      <c r="G4629" t="n">
        <v>10.3</v>
      </c>
      <c r="H4629" t="n">
        <v>0</v>
      </c>
      <c r="I4629" t="n">
        <v>0</v>
      </c>
      <c r="J4629" t="n">
        <v>0</v>
      </c>
      <c r="K4629" t="n">
        <v>0</v>
      </c>
      <c r="L4629" t="n">
        <v>0</v>
      </c>
      <c r="M4629" t="n">
        <v>0</v>
      </c>
      <c r="N4629" t="n">
        <v>0</v>
      </c>
      <c r="O4629" t="n">
        <v>0</v>
      </c>
      <c r="P4629" t="n">
        <v>0</v>
      </c>
      <c r="Q4629" t="n">
        <v>0</v>
      </c>
      <c r="R4629" s="2" t="inlineStr"/>
    </row>
    <row r="4630" ht="15" customHeight="1">
      <c r="A4630" t="inlineStr">
        <is>
          <t>A 53919-2023</t>
        </is>
      </c>
      <c r="B4630" s="1" t="n">
        <v>45231</v>
      </c>
      <c r="C4630" s="1" t="n">
        <v>45706</v>
      </c>
      <c r="D4630" t="inlineStr">
        <is>
          <t>UPPSALA LÄN</t>
        </is>
      </c>
      <c r="E4630" t="inlineStr">
        <is>
          <t>UPPSALA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53982-2023</t>
        </is>
      </c>
      <c r="B4631" s="1" t="n">
        <v>45231</v>
      </c>
      <c r="C4631" s="1" t="n">
        <v>45706</v>
      </c>
      <c r="D4631" t="inlineStr">
        <is>
          <t>UPPSALA LÄN</t>
        </is>
      </c>
      <c r="E4631" t="inlineStr">
        <is>
          <t>UPPSALA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53824-2023</t>
        </is>
      </c>
      <c r="B4632" s="1" t="n">
        <v>45231</v>
      </c>
      <c r="C4632" s="1" t="n">
        <v>45706</v>
      </c>
      <c r="D4632" t="inlineStr">
        <is>
          <t>UPPSALA LÄN</t>
        </is>
      </c>
      <c r="E4632" t="inlineStr">
        <is>
          <t>HEBY</t>
        </is>
      </c>
      <c r="G4632" t="n">
        <v>15.6</v>
      </c>
      <c r="H4632" t="n">
        <v>0</v>
      </c>
      <c r="I4632" t="n">
        <v>0</v>
      </c>
      <c r="J4632" t="n">
        <v>0</v>
      </c>
      <c r="K4632" t="n">
        <v>0</v>
      </c>
      <c r="L4632" t="n">
        <v>0</v>
      </c>
      <c r="M4632" t="n">
        <v>0</v>
      </c>
      <c r="N4632" t="n">
        <v>0</v>
      </c>
      <c r="O4632" t="n">
        <v>0</v>
      </c>
      <c r="P4632" t="n">
        <v>0</v>
      </c>
      <c r="Q4632" t="n">
        <v>0</v>
      </c>
      <c r="R4632" s="2" t="inlineStr"/>
    </row>
    <row r="4633" ht="15" customHeight="1">
      <c r="A4633" t="inlineStr">
        <is>
          <t>A 53882-2023</t>
        </is>
      </c>
      <c r="B4633" s="1" t="n">
        <v>45231</v>
      </c>
      <c r="C4633" s="1" t="n">
        <v>45706</v>
      </c>
      <c r="D4633" t="inlineStr">
        <is>
          <t>UPPSALA LÄN</t>
        </is>
      </c>
      <c r="E4633" t="inlineStr">
        <is>
          <t>UPPSALA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53900-2023</t>
        </is>
      </c>
      <c r="B4634" s="1" t="n">
        <v>45231</v>
      </c>
      <c r="C4634" s="1" t="n">
        <v>45706</v>
      </c>
      <c r="D4634" t="inlineStr">
        <is>
          <t>UPPSALA LÄN</t>
        </is>
      </c>
      <c r="E4634" t="inlineStr">
        <is>
          <t>UPPSALA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53963-2023</t>
        </is>
      </c>
      <c r="B4635" s="1" t="n">
        <v>45231</v>
      </c>
      <c r="C4635" s="1" t="n">
        <v>45706</v>
      </c>
      <c r="D4635" t="inlineStr">
        <is>
          <t>UPPSALA LÄN</t>
        </is>
      </c>
      <c r="E4635" t="inlineStr">
        <is>
          <t>UPPSALA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53967-2023</t>
        </is>
      </c>
      <c r="B4636" s="1" t="n">
        <v>45231</v>
      </c>
      <c r="C4636" s="1" t="n">
        <v>45706</v>
      </c>
      <c r="D4636" t="inlineStr">
        <is>
          <t>UPPSALA LÄN</t>
        </is>
      </c>
      <c r="E4636" t="inlineStr">
        <is>
          <t>UPPSALA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53803-2023</t>
        </is>
      </c>
      <c r="B4637" s="1" t="n">
        <v>45231</v>
      </c>
      <c r="C4637" s="1" t="n">
        <v>45706</v>
      </c>
      <c r="D4637" t="inlineStr">
        <is>
          <t>UPPSALA LÄN</t>
        </is>
      </c>
      <c r="E4637" t="inlineStr">
        <is>
          <t>UPPSALA</t>
        </is>
      </c>
      <c r="G4637" t="n">
        <v>17.6</v>
      </c>
      <c r="H4637" t="n">
        <v>0</v>
      </c>
      <c r="I4637" t="n">
        <v>0</v>
      </c>
      <c r="J4637" t="n">
        <v>0</v>
      </c>
      <c r="K4637" t="n">
        <v>0</v>
      </c>
      <c r="L4637" t="n">
        <v>0</v>
      </c>
      <c r="M4637" t="n">
        <v>0</v>
      </c>
      <c r="N4637" t="n">
        <v>0</v>
      </c>
      <c r="O4637" t="n">
        <v>0</v>
      </c>
      <c r="P4637" t="n">
        <v>0</v>
      </c>
      <c r="Q4637" t="n">
        <v>0</v>
      </c>
      <c r="R4637" s="2" t="inlineStr"/>
    </row>
    <row r="4638" ht="15" customHeight="1">
      <c r="A4638" t="inlineStr">
        <is>
          <t>A 53906-2023</t>
        </is>
      </c>
      <c r="B4638" s="1" t="n">
        <v>45231</v>
      </c>
      <c r="C4638" s="1" t="n">
        <v>45706</v>
      </c>
      <c r="D4638" t="inlineStr">
        <is>
          <t>UPPSALA LÄN</t>
        </is>
      </c>
      <c r="E4638" t="inlineStr">
        <is>
          <t>UPPSALA</t>
        </is>
      </c>
      <c r="G4638" t="n">
        <v>13.2</v>
      </c>
      <c r="H4638" t="n">
        <v>0</v>
      </c>
      <c r="I4638" t="n">
        <v>0</v>
      </c>
      <c r="J4638" t="n">
        <v>0</v>
      </c>
      <c r="K4638" t="n">
        <v>0</v>
      </c>
      <c r="L4638" t="n">
        <v>0</v>
      </c>
      <c r="M4638" t="n">
        <v>0</v>
      </c>
      <c r="N4638" t="n">
        <v>0</v>
      </c>
      <c r="O4638" t="n">
        <v>0</v>
      </c>
      <c r="P4638" t="n">
        <v>0</v>
      </c>
      <c r="Q4638" t="n">
        <v>0</v>
      </c>
      <c r="R4638" s="2" t="inlineStr"/>
    </row>
    <row r="4639" ht="15" customHeight="1">
      <c r="A4639" t="inlineStr">
        <is>
          <t>A 54018-2023</t>
        </is>
      </c>
      <c r="B4639" s="1" t="n">
        <v>45231</v>
      </c>
      <c r="C4639" s="1" t="n">
        <v>45706</v>
      </c>
      <c r="D4639" t="inlineStr">
        <is>
          <t>UPPSALA LÄN</t>
        </is>
      </c>
      <c r="E4639" t="inlineStr">
        <is>
          <t>HEBY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54104-2023</t>
        </is>
      </c>
      <c r="B4640" s="1" t="n">
        <v>45232</v>
      </c>
      <c r="C4640" s="1" t="n">
        <v>45706</v>
      </c>
      <c r="D4640" t="inlineStr">
        <is>
          <t>UPPSALA LÄN</t>
        </is>
      </c>
      <c r="E4640" t="inlineStr">
        <is>
          <t>TIERP</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54208-2023</t>
        </is>
      </c>
      <c r="B4641" s="1" t="n">
        <v>45232</v>
      </c>
      <c r="C4641" s="1" t="n">
        <v>45706</v>
      </c>
      <c r="D4641" t="inlineStr">
        <is>
          <t>UPPSALA LÄN</t>
        </is>
      </c>
      <c r="E4641" t="inlineStr">
        <is>
          <t>ENKÖPING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54231-2023</t>
        </is>
      </c>
      <c r="B4642" s="1" t="n">
        <v>45232</v>
      </c>
      <c r="C4642" s="1" t="n">
        <v>45706</v>
      </c>
      <c r="D4642" t="inlineStr">
        <is>
          <t>UPPSALA LÄN</t>
        </is>
      </c>
      <c r="E4642" t="inlineStr">
        <is>
          <t>UPPSALA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54224-2023</t>
        </is>
      </c>
      <c r="B4643" s="1" t="n">
        <v>45232</v>
      </c>
      <c r="C4643" s="1" t="n">
        <v>45706</v>
      </c>
      <c r="D4643" t="inlineStr">
        <is>
          <t>UPPSALA LÄN</t>
        </is>
      </c>
      <c r="E4643" t="inlineStr">
        <is>
          <t>ENKÖPING</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54228-2023</t>
        </is>
      </c>
      <c r="B4644" s="1" t="n">
        <v>45232</v>
      </c>
      <c r="C4644" s="1" t="n">
        <v>45706</v>
      </c>
      <c r="D4644" t="inlineStr">
        <is>
          <t>UPPSALA LÄN</t>
        </is>
      </c>
      <c r="E4644" t="inlineStr">
        <is>
          <t>ÖSTHAMMAR</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55529-2023</t>
        </is>
      </c>
      <c r="B4645" s="1" t="n">
        <v>45232</v>
      </c>
      <c r="C4645" s="1" t="n">
        <v>45706</v>
      </c>
      <c r="D4645" t="inlineStr">
        <is>
          <t>UPPSALA LÄN</t>
        </is>
      </c>
      <c r="E4645" t="inlineStr">
        <is>
          <t>UPPSALA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54375-2023</t>
        </is>
      </c>
      <c r="B4646" s="1" t="n">
        <v>45233</v>
      </c>
      <c r="C4646" s="1" t="n">
        <v>45706</v>
      </c>
      <c r="D4646" t="inlineStr">
        <is>
          <t>UPPSALA LÄN</t>
        </is>
      </c>
      <c r="E4646" t="inlineStr">
        <is>
          <t>UPPSALA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54366-2023</t>
        </is>
      </c>
      <c r="B4647" s="1" t="n">
        <v>45233</v>
      </c>
      <c r="C4647" s="1" t="n">
        <v>45706</v>
      </c>
      <c r="D4647" t="inlineStr">
        <is>
          <t>UPPSALA LÄN</t>
        </is>
      </c>
      <c r="E4647" t="inlineStr">
        <is>
          <t>ÖSTHAMMAR</t>
        </is>
      </c>
      <c r="F4647" t="inlineStr">
        <is>
          <t>Bergvik skog öst AB</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54474-2023</t>
        </is>
      </c>
      <c r="B4648" s="1" t="n">
        <v>45233</v>
      </c>
      <c r="C4648" s="1" t="n">
        <v>45706</v>
      </c>
      <c r="D4648" t="inlineStr">
        <is>
          <t>UPPSALA LÄN</t>
        </is>
      </c>
      <c r="E4648" t="inlineStr">
        <is>
          <t>UPPSALA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54461-2023</t>
        </is>
      </c>
      <c r="B4649" s="1" t="n">
        <v>45233</v>
      </c>
      <c r="C4649" s="1" t="n">
        <v>45706</v>
      </c>
      <c r="D4649" t="inlineStr">
        <is>
          <t>UPPSALA LÄN</t>
        </is>
      </c>
      <c r="E4649" t="inlineStr">
        <is>
          <t>UPPSALA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54369-2023</t>
        </is>
      </c>
      <c r="B4650" s="1" t="n">
        <v>45233</v>
      </c>
      <c r="C4650" s="1" t="n">
        <v>45706</v>
      </c>
      <c r="D4650" t="inlineStr">
        <is>
          <t>UPPSALA LÄN</t>
        </is>
      </c>
      <c r="E4650" t="inlineStr">
        <is>
          <t>ÖSTHAMMAR</t>
        </is>
      </c>
      <c r="F4650" t="inlineStr">
        <is>
          <t>Bergvik skog öst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54368-2023</t>
        </is>
      </c>
      <c r="B4651" s="1" t="n">
        <v>45233</v>
      </c>
      <c r="C4651" s="1" t="n">
        <v>45706</v>
      </c>
      <c r="D4651" t="inlineStr">
        <is>
          <t>UPPSALA LÄN</t>
        </is>
      </c>
      <c r="E4651" t="inlineStr">
        <is>
          <t>ÖSTHAMMAR</t>
        </is>
      </c>
      <c r="F4651" t="inlineStr">
        <is>
          <t>Bergvik skog öst AB</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54808-2023</t>
        </is>
      </c>
      <c r="B4652" s="1" t="n">
        <v>45236</v>
      </c>
      <c r="C4652" s="1" t="n">
        <v>45706</v>
      </c>
      <c r="D4652" t="inlineStr">
        <is>
          <t>UPPSALA LÄN</t>
        </is>
      </c>
      <c r="E4652" t="inlineStr">
        <is>
          <t>UPPSALA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54704-2023</t>
        </is>
      </c>
      <c r="B4653" s="1" t="n">
        <v>45236</v>
      </c>
      <c r="C4653" s="1" t="n">
        <v>45706</v>
      </c>
      <c r="D4653" t="inlineStr">
        <is>
          <t>UPPSALA LÄN</t>
        </is>
      </c>
      <c r="E4653" t="inlineStr">
        <is>
          <t>UPPSALA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54783-2023</t>
        </is>
      </c>
      <c r="B4654" s="1" t="n">
        <v>45236</v>
      </c>
      <c r="C4654" s="1" t="n">
        <v>45706</v>
      </c>
      <c r="D4654" t="inlineStr">
        <is>
          <t>UPPSALA LÄN</t>
        </is>
      </c>
      <c r="E4654" t="inlineStr">
        <is>
          <t>UPPSALA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54858-2023</t>
        </is>
      </c>
      <c r="B4655" s="1" t="n">
        <v>45236</v>
      </c>
      <c r="C4655" s="1" t="n">
        <v>45706</v>
      </c>
      <c r="D4655" t="inlineStr">
        <is>
          <t>UPPSALA LÄN</t>
        </is>
      </c>
      <c r="E4655" t="inlineStr">
        <is>
          <t>ÄLVKARLEBY</t>
        </is>
      </c>
      <c r="F4655" t="inlineStr">
        <is>
          <t>Bergvik skog öst AB</t>
        </is>
      </c>
      <c r="G4655" t="n">
        <v>13.3</v>
      </c>
      <c r="H4655" t="n">
        <v>0</v>
      </c>
      <c r="I4655" t="n">
        <v>0</v>
      </c>
      <c r="J4655" t="n">
        <v>0</v>
      </c>
      <c r="K4655" t="n">
        <v>0</v>
      </c>
      <c r="L4655" t="n">
        <v>0</v>
      </c>
      <c r="M4655" t="n">
        <v>0</v>
      </c>
      <c r="N4655" t="n">
        <v>0</v>
      </c>
      <c r="O4655" t="n">
        <v>0</v>
      </c>
      <c r="P4655" t="n">
        <v>0</v>
      </c>
      <c r="Q4655" t="n">
        <v>0</v>
      </c>
      <c r="R4655" s="2" t="inlineStr"/>
    </row>
    <row r="4656" ht="15" customHeight="1">
      <c r="A4656" t="inlineStr">
        <is>
          <t>A 56364-2023</t>
        </is>
      </c>
      <c r="B4656" s="1" t="n">
        <v>45236</v>
      </c>
      <c r="C4656" s="1" t="n">
        <v>45706</v>
      </c>
      <c r="D4656" t="inlineStr">
        <is>
          <t>UPPSALA LÄN</t>
        </is>
      </c>
      <c r="E4656" t="inlineStr">
        <is>
          <t>KNIVSTA</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55230-2023</t>
        </is>
      </c>
      <c r="B4657" s="1" t="n">
        <v>45237</v>
      </c>
      <c r="C4657" s="1" t="n">
        <v>45706</v>
      </c>
      <c r="D4657" t="inlineStr">
        <is>
          <t>UPPSALA LÄN</t>
        </is>
      </c>
      <c r="E4657" t="inlineStr">
        <is>
          <t>ÖSTHAMMAR</t>
        </is>
      </c>
      <c r="F4657" t="inlineStr">
        <is>
          <t>Övriga Aktiebolag</t>
        </is>
      </c>
      <c r="G4657" t="n">
        <v>19.7</v>
      </c>
      <c r="H4657" t="n">
        <v>0</v>
      </c>
      <c r="I4657" t="n">
        <v>0</v>
      </c>
      <c r="J4657" t="n">
        <v>0</v>
      </c>
      <c r="K4657" t="n">
        <v>0</v>
      </c>
      <c r="L4657" t="n">
        <v>0</v>
      </c>
      <c r="M4657" t="n">
        <v>0</v>
      </c>
      <c r="N4657" t="n">
        <v>0</v>
      </c>
      <c r="O4657" t="n">
        <v>0</v>
      </c>
      <c r="P4657" t="n">
        <v>0</v>
      </c>
      <c r="Q4657" t="n">
        <v>0</v>
      </c>
      <c r="R4657" s="2" t="inlineStr"/>
    </row>
    <row r="4658" ht="15" customHeight="1">
      <c r="A4658" t="inlineStr">
        <is>
          <t>A 55252-2023</t>
        </is>
      </c>
      <c r="B4658" s="1" t="n">
        <v>45237</v>
      </c>
      <c r="C4658" s="1" t="n">
        <v>45706</v>
      </c>
      <c r="D4658" t="inlineStr">
        <is>
          <t>UPPSALA LÄN</t>
        </is>
      </c>
      <c r="E4658" t="inlineStr">
        <is>
          <t>TIERP</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55387-2023</t>
        </is>
      </c>
      <c r="B4659" s="1" t="n">
        <v>45238</v>
      </c>
      <c r="C4659" s="1" t="n">
        <v>45706</v>
      </c>
      <c r="D4659" t="inlineStr">
        <is>
          <t>UPPSALA LÄN</t>
        </is>
      </c>
      <c r="E4659" t="inlineStr">
        <is>
          <t>ÖSTHAMMAR</t>
        </is>
      </c>
      <c r="F4659" t="inlineStr">
        <is>
          <t>Bergvik skog öst AB</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55598-2023</t>
        </is>
      </c>
      <c r="B4660" s="1" t="n">
        <v>45238</v>
      </c>
      <c r="C4660" s="1" t="n">
        <v>45706</v>
      </c>
      <c r="D4660" t="inlineStr">
        <is>
          <t>UPPSALA LÄN</t>
        </is>
      </c>
      <c r="E4660" t="inlineStr">
        <is>
          <t>UPPSALA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55609-2023</t>
        </is>
      </c>
      <c r="B4661" s="1" t="n">
        <v>45238</v>
      </c>
      <c r="C4661" s="1" t="n">
        <v>45706</v>
      </c>
      <c r="D4661" t="inlineStr">
        <is>
          <t>UPPSALA LÄN</t>
        </is>
      </c>
      <c r="E4661" t="inlineStr">
        <is>
          <t>ENKÖPING</t>
        </is>
      </c>
      <c r="F4661" t="inlineStr">
        <is>
          <t>Allmännings- och besparingsskogar</t>
        </is>
      </c>
      <c r="G4661" t="n">
        <v>13.3</v>
      </c>
      <c r="H4661" t="n">
        <v>0</v>
      </c>
      <c r="I4661" t="n">
        <v>0</v>
      </c>
      <c r="J4661" t="n">
        <v>0</v>
      </c>
      <c r="K4661" t="n">
        <v>0</v>
      </c>
      <c r="L4661" t="n">
        <v>0</v>
      </c>
      <c r="M4661" t="n">
        <v>0</v>
      </c>
      <c r="N4661" t="n">
        <v>0</v>
      </c>
      <c r="O4661" t="n">
        <v>0</v>
      </c>
      <c r="P4661" t="n">
        <v>0</v>
      </c>
      <c r="Q4661" t="n">
        <v>0</v>
      </c>
      <c r="R4661" s="2" t="inlineStr"/>
    </row>
    <row r="4662" ht="15" customHeight="1">
      <c r="A4662" t="inlineStr">
        <is>
          <t>A 55530-2023</t>
        </is>
      </c>
      <c r="B4662" s="1" t="n">
        <v>45238</v>
      </c>
      <c r="C4662" s="1" t="n">
        <v>45706</v>
      </c>
      <c r="D4662" t="inlineStr">
        <is>
          <t>UPPSALA LÄN</t>
        </is>
      </c>
      <c r="E4662" t="inlineStr">
        <is>
          <t>TIERP</t>
        </is>
      </c>
      <c r="F4662" t="inlineStr">
        <is>
          <t>Bergvik skog väst AB</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55711-2023</t>
        </is>
      </c>
      <c r="B4663" s="1" t="n">
        <v>45239</v>
      </c>
      <c r="C4663" s="1" t="n">
        <v>45706</v>
      </c>
      <c r="D4663" t="inlineStr">
        <is>
          <t>UPPSALA LÄN</t>
        </is>
      </c>
      <c r="E4663" t="inlineStr">
        <is>
          <t>TIERP</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55807-2023</t>
        </is>
      </c>
      <c r="B4664" s="1" t="n">
        <v>45239</v>
      </c>
      <c r="C4664" s="1" t="n">
        <v>45706</v>
      </c>
      <c r="D4664" t="inlineStr">
        <is>
          <t>UPPSALA LÄN</t>
        </is>
      </c>
      <c r="E4664" t="inlineStr">
        <is>
          <t>TIERP</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55837-2023</t>
        </is>
      </c>
      <c r="B4665" s="1" t="n">
        <v>45239</v>
      </c>
      <c r="C4665" s="1" t="n">
        <v>45706</v>
      </c>
      <c r="D4665" t="inlineStr">
        <is>
          <t>UPPSALA LÄN</t>
        </is>
      </c>
      <c r="E4665" t="inlineStr">
        <is>
          <t>ÖSTHAMMAR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56886-2023</t>
        </is>
      </c>
      <c r="B4666" s="1" t="n">
        <v>45239</v>
      </c>
      <c r="C4666" s="1" t="n">
        <v>45706</v>
      </c>
      <c r="D4666" t="inlineStr">
        <is>
          <t>UPPSALA LÄN</t>
        </is>
      </c>
      <c r="E4666" t="inlineStr">
        <is>
          <t>ENKÖPING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57201-2023</t>
        </is>
      </c>
      <c r="B4667" s="1" t="n">
        <v>45239</v>
      </c>
      <c r="C4667" s="1" t="n">
        <v>45706</v>
      </c>
      <c r="D4667" t="inlineStr">
        <is>
          <t>UPPSALA LÄN</t>
        </is>
      </c>
      <c r="E4667" t="inlineStr">
        <is>
          <t>TIERP</t>
        </is>
      </c>
      <c r="F4667" t="inlineStr">
        <is>
          <t>Bergvik skog väst AB</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55818-2023</t>
        </is>
      </c>
      <c r="B4668" s="1" t="n">
        <v>45239</v>
      </c>
      <c r="C4668" s="1" t="n">
        <v>45706</v>
      </c>
      <c r="D4668" t="inlineStr">
        <is>
          <t>UPPSALA LÄN</t>
        </is>
      </c>
      <c r="E4668" t="inlineStr">
        <is>
          <t>TIERP</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56084-2023</t>
        </is>
      </c>
      <c r="B4669" s="1" t="n">
        <v>45240</v>
      </c>
      <c r="C4669" s="1" t="n">
        <v>45706</v>
      </c>
      <c r="D4669" t="inlineStr">
        <is>
          <t>UPPSALA LÄN</t>
        </is>
      </c>
      <c r="E4669" t="inlineStr">
        <is>
          <t>UPPSALA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56082-2023</t>
        </is>
      </c>
      <c r="B4670" s="1" t="n">
        <v>45240</v>
      </c>
      <c r="C4670" s="1" t="n">
        <v>45706</v>
      </c>
      <c r="D4670" t="inlineStr">
        <is>
          <t>UPPSALA LÄN</t>
        </is>
      </c>
      <c r="E4670" t="inlineStr">
        <is>
          <t>UPPSALA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55962-2023</t>
        </is>
      </c>
      <c r="B4671" s="1" t="n">
        <v>45240</v>
      </c>
      <c r="C4671" s="1" t="n">
        <v>45706</v>
      </c>
      <c r="D4671" t="inlineStr">
        <is>
          <t>UPPSALA LÄN</t>
        </is>
      </c>
      <c r="E4671" t="inlineStr">
        <is>
          <t>HÅBO</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56105-2023</t>
        </is>
      </c>
      <c r="B4672" s="1" t="n">
        <v>45240</v>
      </c>
      <c r="C4672" s="1" t="n">
        <v>45706</v>
      </c>
      <c r="D4672" t="inlineStr">
        <is>
          <t>UPPSALA LÄN</t>
        </is>
      </c>
      <c r="E4672" t="inlineStr">
        <is>
          <t>UPPSALA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55970-2023</t>
        </is>
      </c>
      <c r="B4673" s="1" t="n">
        <v>45240</v>
      </c>
      <c r="C4673" s="1" t="n">
        <v>45706</v>
      </c>
      <c r="D4673" t="inlineStr">
        <is>
          <t>UPPSALA LÄN</t>
        </is>
      </c>
      <c r="E4673" t="inlineStr">
        <is>
          <t>HEBY</t>
        </is>
      </c>
      <c r="G4673" t="n">
        <v>6.2</v>
      </c>
      <c r="H4673" t="n">
        <v>0</v>
      </c>
      <c r="I4673" t="n">
        <v>0</v>
      </c>
      <c r="J4673" t="n">
        <v>0</v>
      </c>
      <c r="K4673" t="n">
        <v>0</v>
      </c>
      <c r="L4673" t="n">
        <v>0</v>
      </c>
      <c r="M4673" t="n">
        <v>0</v>
      </c>
      <c r="N4673" t="n">
        <v>0</v>
      </c>
      <c r="O4673" t="n">
        <v>0</v>
      </c>
      <c r="P4673" t="n">
        <v>0</v>
      </c>
      <c r="Q4673" t="n">
        <v>0</v>
      </c>
      <c r="R4673" s="2" t="inlineStr"/>
      <c r="U4673">
        <f>HYPERLINK("https://klasma.github.io/Logging_0331/knärot/A 55970-2023 karta knärot.png", "A 55970-2023")</f>
        <v/>
      </c>
      <c r="V4673">
        <f>HYPERLINK("https://klasma.github.io/Logging_0331/klagomål/A 55970-2023 FSC-klagomål.docx", "A 55970-2023")</f>
        <v/>
      </c>
      <c r="W4673">
        <f>HYPERLINK("https://klasma.github.io/Logging_0331/klagomålsmail/A 55970-2023 FSC-klagomål mail.docx", "A 55970-2023")</f>
        <v/>
      </c>
      <c r="X4673">
        <f>HYPERLINK("https://klasma.github.io/Logging_0331/tillsyn/A 55970-2023 tillsynsbegäran.docx", "A 55970-2023")</f>
        <v/>
      </c>
      <c r="Y4673">
        <f>HYPERLINK("https://klasma.github.io/Logging_0331/tillsynsmail/A 55970-2023 tillsynsbegäran mail.docx", "A 55970-2023")</f>
        <v/>
      </c>
    </row>
    <row r="4674" ht="15" customHeight="1">
      <c r="A4674" t="inlineStr">
        <is>
          <t>A 56102-2023</t>
        </is>
      </c>
      <c r="B4674" s="1" t="n">
        <v>45240</v>
      </c>
      <c r="C4674" s="1" t="n">
        <v>45706</v>
      </c>
      <c r="D4674" t="inlineStr">
        <is>
          <t>UPPSALA LÄN</t>
        </is>
      </c>
      <c r="E4674" t="inlineStr">
        <is>
          <t>ÖSTHAMMAR</t>
        </is>
      </c>
      <c r="F4674" t="inlineStr">
        <is>
          <t>Bergvik skog öst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56077-2023</t>
        </is>
      </c>
      <c r="B4675" s="1" t="n">
        <v>45240</v>
      </c>
      <c r="C4675" s="1" t="n">
        <v>45706</v>
      </c>
      <c r="D4675" t="inlineStr">
        <is>
          <t>UPPSALA LÄN</t>
        </is>
      </c>
      <c r="E4675" t="inlineStr">
        <is>
          <t>UPPSALA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56278-2023</t>
        </is>
      </c>
      <c r="B4676" s="1" t="n">
        <v>45241</v>
      </c>
      <c r="C4676" s="1" t="n">
        <v>45706</v>
      </c>
      <c r="D4676" t="inlineStr">
        <is>
          <t>UPPSALA LÄN</t>
        </is>
      </c>
      <c r="E4676" t="inlineStr">
        <is>
          <t>UPPSALA</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56292-2023</t>
        </is>
      </c>
      <c r="B4677" s="1" t="n">
        <v>45242</v>
      </c>
      <c r="C4677" s="1" t="n">
        <v>45706</v>
      </c>
      <c r="D4677" t="inlineStr">
        <is>
          <t>UPPSALA LÄN</t>
        </is>
      </c>
      <c r="E4677" t="inlineStr">
        <is>
          <t>TIERP</t>
        </is>
      </c>
      <c r="G4677" t="n">
        <v>11.5</v>
      </c>
      <c r="H4677" t="n">
        <v>0</v>
      </c>
      <c r="I4677" t="n">
        <v>0</v>
      </c>
      <c r="J4677" t="n">
        <v>0</v>
      </c>
      <c r="K4677" t="n">
        <v>0</v>
      </c>
      <c r="L4677" t="n">
        <v>0</v>
      </c>
      <c r="M4677" t="n">
        <v>0</v>
      </c>
      <c r="N4677" t="n">
        <v>0</v>
      </c>
      <c r="O4677" t="n">
        <v>0</v>
      </c>
      <c r="P4677" t="n">
        <v>0</v>
      </c>
      <c r="Q4677" t="n">
        <v>0</v>
      </c>
      <c r="R4677" s="2" t="inlineStr"/>
    </row>
    <row r="4678" ht="15" customHeight="1">
      <c r="A4678" t="inlineStr">
        <is>
          <t>A 56642-2023</t>
        </is>
      </c>
      <c r="B4678" s="1" t="n">
        <v>45243</v>
      </c>
      <c r="C4678" s="1" t="n">
        <v>45706</v>
      </c>
      <c r="D4678" t="inlineStr">
        <is>
          <t>UPPSALA LÄN</t>
        </is>
      </c>
      <c r="E4678" t="inlineStr">
        <is>
          <t>UPPSALA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56398-2023</t>
        </is>
      </c>
      <c r="B4679" s="1" t="n">
        <v>45243</v>
      </c>
      <c r="C4679" s="1" t="n">
        <v>45706</v>
      </c>
      <c r="D4679" t="inlineStr">
        <is>
          <t>UPPSALA LÄN</t>
        </is>
      </c>
      <c r="E4679" t="inlineStr">
        <is>
          <t>HEBY</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56418-2023</t>
        </is>
      </c>
      <c r="B4680" s="1" t="n">
        <v>45243</v>
      </c>
      <c r="C4680" s="1" t="n">
        <v>45706</v>
      </c>
      <c r="D4680" t="inlineStr">
        <is>
          <t>UPPSALA LÄN</t>
        </is>
      </c>
      <c r="E4680" t="inlineStr">
        <is>
          <t>ÖSTHAMMAR</t>
        </is>
      </c>
      <c r="F4680" t="inlineStr">
        <is>
          <t>Bergvik skog öst AB</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56497-2023</t>
        </is>
      </c>
      <c r="B4681" s="1" t="n">
        <v>45243</v>
      </c>
      <c r="C4681" s="1" t="n">
        <v>45706</v>
      </c>
      <c r="D4681" t="inlineStr">
        <is>
          <t>UPPSALA LÄN</t>
        </is>
      </c>
      <c r="E4681" t="inlineStr">
        <is>
          <t>TIERP</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56620-2023</t>
        </is>
      </c>
      <c r="B4682" s="1" t="n">
        <v>45243</v>
      </c>
      <c r="C4682" s="1" t="n">
        <v>45706</v>
      </c>
      <c r="D4682" t="inlineStr">
        <is>
          <t>UPPSALA LÄN</t>
        </is>
      </c>
      <c r="E4682" t="inlineStr">
        <is>
          <t>HEBY</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56434-2023</t>
        </is>
      </c>
      <c r="B4683" s="1" t="n">
        <v>45243</v>
      </c>
      <c r="C4683" s="1" t="n">
        <v>45706</v>
      </c>
      <c r="D4683" t="inlineStr">
        <is>
          <t>UPPSALA LÄN</t>
        </is>
      </c>
      <c r="E4683" t="inlineStr">
        <is>
          <t>ÖSTHAMMAR</t>
        </is>
      </c>
      <c r="F4683" t="inlineStr">
        <is>
          <t>Bergvik skog öst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56623-2023</t>
        </is>
      </c>
      <c r="B4684" s="1" t="n">
        <v>45243</v>
      </c>
      <c r="C4684" s="1" t="n">
        <v>45706</v>
      </c>
      <c r="D4684" t="inlineStr">
        <is>
          <t>UPPSALA LÄN</t>
        </is>
      </c>
      <c r="E4684" t="inlineStr">
        <is>
          <t>HEBY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56583-2023</t>
        </is>
      </c>
      <c r="B4685" s="1" t="n">
        <v>45243</v>
      </c>
      <c r="C4685" s="1" t="n">
        <v>45706</v>
      </c>
      <c r="D4685" t="inlineStr">
        <is>
          <t>UPPSALA LÄN</t>
        </is>
      </c>
      <c r="E4685" t="inlineStr">
        <is>
          <t>TIERP</t>
        </is>
      </c>
      <c r="F4685" t="inlineStr">
        <is>
          <t>Bergvik skog väst AB</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56616-2023</t>
        </is>
      </c>
      <c r="B4686" s="1" t="n">
        <v>45243</v>
      </c>
      <c r="C4686" s="1" t="n">
        <v>45706</v>
      </c>
      <c r="D4686" t="inlineStr">
        <is>
          <t>UPPSALA LÄN</t>
        </is>
      </c>
      <c r="E4686" t="inlineStr">
        <is>
          <t>HEBY</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56790-2023</t>
        </is>
      </c>
      <c r="B4687" s="1" t="n">
        <v>45244</v>
      </c>
      <c r="C4687" s="1" t="n">
        <v>45706</v>
      </c>
      <c r="D4687" t="inlineStr">
        <is>
          <t>UPPSALA LÄN</t>
        </is>
      </c>
      <c r="E4687" t="inlineStr">
        <is>
          <t>ÖSTHAMMAR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56798-2023</t>
        </is>
      </c>
      <c r="B4688" s="1" t="n">
        <v>45244</v>
      </c>
      <c r="C4688" s="1" t="n">
        <v>45706</v>
      </c>
      <c r="D4688" t="inlineStr">
        <is>
          <t>UPPSALA LÄN</t>
        </is>
      </c>
      <c r="E4688" t="inlineStr">
        <is>
          <t>ÖSTHAMMAR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56834-2023</t>
        </is>
      </c>
      <c r="B4689" s="1" t="n">
        <v>45244</v>
      </c>
      <c r="C4689" s="1" t="n">
        <v>45706</v>
      </c>
      <c r="D4689" t="inlineStr">
        <is>
          <t>UPPSALA LÄN</t>
        </is>
      </c>
      <c r="E4689" t="inlineStr">
        <is>
          <t>HEBY</t>
        </is>
      </c>
      <c r="F4689" t="inlineStr">
        <is>
          <t>Kyrkan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56852-2023</t>
        </is>
      </c>
      <c r="B4690" s="1" t="n">
        <v>45244</v>
      </c>
      <c r="C4690" s="1" t="n">
        <v>45706</v>
      </c>
      <c r="D4690" t="inlineStr">
        <is>
          <t>UPPSALA LÄN</t>
        </is>
      </c>
      <c r="E4690" t="inlineStr">
        <is>
          <t>UPPSALA</t>
        </is>
      </c>
      <c r="F4690" t="inlineStr">
        <is>
          <t>Holmen skog AB</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56872-2023</t>
        </is>
      </c>
      <c r="B4691" s="1" t="n">
        <v>45244</v>
      </c>
      <c r="C4691" s="1" t="n">
        <v>45706</v>
      </c>
      <c r="D4691" t="inlineStr">
        <is>
          <t>UPPSALA LÄN</t>
        </is>
      </c>
      <c r="E4691" t="inlineStr">
        <is>
          <t>UPPSALA</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57018-2023</t>
        </is>
      </c>
      <c r="B4692" s="1" t="n">
        <v>45244</v>
      </c>
      <c r="C4692" s="1" t="n">
        <v>45706</v>
      </c>
      <c r="D4692" t="inlineStr">
        <is>
          <t>UPPSALA LÄN</t>
        </is>
      </c>
      <c r="E4692" t="inlineStr">
        <is>
          <t>ENKÖPING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56903-2023</t>
        </is>
      </c>
      <c r="B4693" s="1" t="n">
        <v>45244</v>
      </c>
      <c r="C4693" s="1" t="n">
        <v>45706</v>
      </c>
      <c r="D4693" t="inlineStr">
        <is>
          <t>UPPSALA LÄN</t>
        </is>
      </c>
      <c r="E4693" t="inlineStr">
        <is>
          <t>ÖSTHAMMAR</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56939-2023</t>
        </is>
      </c>
      <c r="B4694" s="1" t="n">
        <v>45244</v>
      </c>
      <c r="C4694" s="1" t="n">
        <v>45706</v>
      </c>
      <c r="D4694" t="inlineStr">
        <is>
          <t>UPPSALA LÄN</t>
        </is>
      </c>
      <c r="E4694" t="inlineStr">
        <is>
          <t>TIERP</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56920-2023</t>
        </is>
      </c>
      <c r="B4695" s="1" t="n">
        <v>45244</v>
      </c>
      <c r="C4695" s="1" t="n">
        <v>45706</v>
      </c>
      <c r="D4695" t="inlineStr">
        <is>
          <t>UPPSALA LÄN</t>
        </is>
      </c>
      <c r="E4695" t="inlineStr">
        <is>
          <t>ÖSTHAMMAR</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56946-2023</t>
        </is>
      </c>
      <c r="B4696" s="1" t="n">
        <v>45244</v>
      </c>
      <c r="C4696" s="1" t="n">
        <v>45706</v>
      </c>
      <c r="D4696" t="inlineStr">
        <is>
          <t>UPPSALA LÄN</t>
        </is>
      </c>
      <c r="E4696" t="inlineStr">
        <is>
          <t>TIERP</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56959-2023</t>
        </is>
      </c>
      <c r="B4697" s="1" t="n">
        <v>45244</v>
      </c>
      <c r="C4697" s="1" t="n">
        <v>45706</v>
      </c>
      <c r="D4697" t="inlineStr">
        <is>
          <t>UPPSALA LÄN</t>
        </is>
      </c>
      <c r="E4697" t="inlineStr">
        <is>
          <t>ÖSTHAMMAR</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56971-2023</t>
        </is>
      </c>
      <c r="B4698" s="1" t="n">
        <v>45244</v>
      </c>
      <c r="C4698" s="1" t="n">
        <v>45706</v>
      </c>
      <c r="D4698" t="inlineStr">
        <is>
          <t>UPPSALA LÄN</t>
        </is>
      </c>
      <c r="E4698" t="inlineStr">
        <is>
          <t>TIERP</t>
        </is>
      </c>
      <c r="F4698" t="inlineStr">
        <is>
          <t>Bergvik skog öst AB</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57351-2023</t>
        </is>
      </c>
      <c r="B4699" s="1" t="n">
        <v>45245</v>
      </c>
      <c r="C4699" s="1" t="n">
        <v>45706</v>
      </c>
      <c r="D4699" t="inlineStr">
        <is>
          <t>UPPSALA LÄN</t>
        </is>
      </c>
      <c r="E4699" t="inlineStr">
        <is>
          <t>KNIVSTA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57142-2023</t>
        </is>
      </c>
      <c r="B4700" s="1" t="n">
        <v>45245</v>
      </c>
      <c r="C4700" s="1" t="n">
        <v>45706</v>
      </c>
      <c r="D4700" t="inlineStr">
        <is>
          <t>UPPSALA LÄN</t>
        </is>
      </c>
      <c r="E4700" t="inlineStr">
        <is>
          <t>TIERP</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57144-2023</t>
        </is>
      </c>
      <c r="B4701" s="1" t="n">
        <v>45245</v>
      </c>
      <c r="C4701" s="1" t="n">
        <v>45706</v>
      </c>
      <c r="D4701" t="inlineStr">
        <is>
          <t>UPPSALA LÄN</t>
        </is>
      </c>
      <c r="E4701" t="inlineStr">
        <is>
          <t>TIERP</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57186-2023</t>
        </is>
      </c>
      <c r="B4702" s="1" t="n">
        <v>45245</v>
      </c>
      <c r="C4702" s="1" t="n">
        <v>45706</v>
      </c>
      <c r="D4702" t="inlineStr">
        <is>
          <t>UPPSALA LÄN</t>
        </is>
      </c>
      <c r="E4702" t="inlineStr">
        <is>
          <t>UPPSALA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57182-2023</t>
        </is>
      </c>
      <c r="B4703" s="1" t="n">
        <v>45245</v>
      </c>
      <c r="C4703" s="1" t="n">
        <v>45706</v>
      </c>
      <c r="D4703" t="inlineStr">
        <is>
          <t>UPPSALA LÄN</t>
        </is>
      </c>
      <c r="E4703" t="inlineStr">
        <is>
          <t>UPPSALA</t>
        </is>
      </c>
      <c r="F4703" t="inlineStr">
        <is>
          <t>Övriga Aktiebolag</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57358-2023</t>
        </is>
      </c>
      <c r="B4704" s="1" t="n">
        <v>45245</v>
      </c>
      <c r="C4704" s="1" t="n">
        <v>45706</v>
      </c>
      <c r="D4704" t="inlineStr">
        <is>
          <t>UPPSALA LÄN</t>
        </is>
      </c>
      <c r="E4704" t="inlineStr">
        <is>
          <t>TIERP</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57502-2023</t>
        </is>
      </c>
      <c r="B4705" s="1" t="n">
        <v>45246</v>
      </c>
      <c r="C4705" s="1" t="n">
        <v>45706</v>
      </c>
      <c r="D4705" t="inlineStr">
        <is>
          <t>UPPSALA LÄN</t>
        </is>
      </c>
      <c r="E4705" t="inlineStr">
        <is>
          <t>TIERP</t>
        </is>
      </c>
      <c r="F4705" t="inlineStr">
        <is>
          <t>Kyrkan</t>
        </is>
      </c>
      <c r="G4705" t="n">
        <v>15.9</v>
      </c>
      <c r="H4705" t="n">
        <v>0</v>
      </c>
      <c r="I4705" t="n">
        <v>0</v>
      </c>
      <c r="J4705" t="n">
        <v>0</v>
      </c>
      <c r="K4705" t="n">
        <v>0</v>
      </c>
      <c r="L4705" t="n">
        <v>0</v>
      </c>
      <c r="M4705" t="n">
        <v>0</v>
      </c>
      <c r="N4705" t="n">
        <v>0</v>
      </c>
      <c r="O4705" t="n">
        <v>0</v>
      </c>
      <c r="P4705" t="n">
        <v>0</v>
      </c>
      <c r="Q4705" t="n">
        <v>0</v>
      </c>
      <c r="R4705" s="2" t="inlineStr"/>
    </row>
    <row r="4706" ht="15" customHeight="1">
      <c r="A4706" t="inlineStr">
        <is>
          <t>A 57526-2023</t>
        </is>
      </c>
      <c r="B4706" s="1" t="n">
        <v>45246</v>
      </c>
      <c r="C4706" s="1" t="n">
        <v>45706</v>
      </c>
      <c r="D4706" t="inlineStr">
        <is>
          <t>UPPSALA LÄN</t>
        </is>
      </c>
      <c r="E4706" t="inlineStr">
        <is>
          <t>TIERP</t>
        </is>
      </c>
      <c r="F4706" t="inlineStr">
        <is>
          <t>Kyrkan</t>
        </is>
      </c>
      <c r="G4706" t="n">
        <v>8.699999999999999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57662-2023</t>
        </is>
      </c>
      <c r="B4707" s="1" t="n">
        <v>45246</v>
      </c>
      <c r="C4707" s="1" t="n">
        <v>45706</v>
      </c>
      <c r="D4707" t="inlineStr">
        <is>
          <t>UPPSALA LÄN</t>
        </is>
      </c>
      <c r="E4707" t="inlineStr">
        <is>
          <t>ENKÖPING</t>
        </is>
      </c>
      <c r="G4707" t="n">
        <v>10.9</v>
      </c>
      <c r="H4707" t="n">
        <v>0</v>
      </c>
      <c r="I4707" t="n">
        <v>0</v>
      </c>
      <c r="J4707" t="n">
        <v>0</v>
      </c>
      <c r="K4707" t="n">
        <v>0</v>
      </c>
      <c r="L4707" t="n">
        <v>0</v>
      </c>
      <c r="M4707" t="n">
        <v>0</v>
      </c>
      <c r="N4707" t="n">
        <v>0</v>
      </c>
      <c r="O4707" t="n">
        <v>0</v>
      </c>
      <c r="P4707" t="n">
        <v>0</v>
      </c>
      <c r="Q4707" t="n">
        <v>0</v>
      </c>
      <c r="R4707" s="2" t="inlineStr"/>
    </row>
    <row r="4708" ht="15" customHeight="1">
      <c r="A4708" t="inlineStr">
        <is>
          <t>A 57959-2023</t>
        </is>
      </c>
      <c r="B4708" s="1" t="n">
        <v>45247</v>
      </c>
      <c r="C4708" s="1" t="n">
        <v>45706</v>
      </c>
      <c r="D4708" t="inlineStr">
        <is>
          <t>UPPSALA LÄN</t>
        </is>
      </c>
      <c r="E4708" t="inlineStr">
        <is>
          <t>TIERP</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57826-2023</t>
        </is>
      </c>
      <c r="B4709" s="1" t="n">
        <v>45247</v>
      </c>
      <c r="C4709" s="1" t="n">
        <v>45706</v>
      </c>
      <c r="D4709" t="inlineStr">
        <is>
          <t>UPPSALA LÄN</t>
        </is>
      </c>
      <c r="E4709" t="inlineStr">
        <is>
          <t>TIERP</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57969-2023</t>
        </is>
      </c>
      <c r="B4710" s="1" t="n">
        <v>45247</v>
      </c>
      <c r="C4710" s="1" t="n">
        <v>45706</v>
      </c>
      <c r="D4710" t="inlineStr">
        <is>
          <t>UPPSALA LÄN</t>
        </is>
      </c>
      <c r="E4710" t="inlineStr">
        <is>
          <t>TIERP</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58042-2023</t>
        </is>
      </c>
      <c r="B4711" s="1" t="n">
        <v>45247</v>
      </c>
      <c r="C4711" s="1" t="n">
        <v>45706</v>
      </c>
      <c r="D4711" t="inlineStr">
        <is>
          <t>UPPSALA LÄN</t>
        </is>
      </c>
      <c r="E4711" t="inlineStr">
        <is>
          <t>TIERP</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58034-2023</t>
        </is>
      </c>
      <c r="B4712" s="1" t="n">
        <v>45247</v>
      </c>
      <c r="C4712" s="1" t="n">
        <v>45706</v>
      </c>
      <c r="D4712" t="inlineStr">
        <is>
          <t>UPPSALA LÄN</t>
        </is>
      </c>
      <c r="E4712" t="inlineStr">
        <is>
          <t>TIERP</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57828-2023</t>
        </is>
      </c>
      <c r="B4713" s="1" t="n">
        <v>45247</v>
      </c>
      <c r="C4713" s="1" t="n">
        <v>45706</v>
      </c>
      <c r="D4713" t="inlineStr">
        <is>
          <t>UPPSALA LÄN</t>
        </is>
      </c>
      <c r="E4713" t="inlineStr">
        <is>
          <t>TIERP</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58114-2023</t>
        </is>
      </c>
      <c r="B4714" s="1" t="n">
        <v>45249</v>
      </c>
      <c r="C4714" s="1" t="n">
        <v>45706</v>
      </c>
      <c r="D4714" t="inlineStr">
        <is>
          <t>UPPSALA LÄN</t>
        </is>
      </c>
      <c r="E4714" t="inlineStr">
        <is>
          <t>ENKÖPING</t>
        </is>
      </c>
      <c r="G4714" t="n">
        <v>15.4</v>
      </c>
      <c r="H4714" t="n">
        <v>0</v>
      </c>
      <c r="I4714" t="n">
        <v>0</v>
      </c>
      <c r="J4714" t="n">
        <v>0</v>
      </c>
      <c r="K4714" t="n">
        <v>0</v>
      </c>
      <c r="L4714" t="n">
        <v>0</v>
      </c>
      <c r="M4714" t="n">
        <v>0</v>
      </c>
      <c r="N4714" t="n">
        <v>0</v>
      </c>
      <c r="O4714" t="n">
        <v>0</v>
      </c>
      <c r="P4714" t="n">
        <v>0</v>
      </c>
      <c r="Q4714" t="n">
        <v>0</v>
      </c>
      <c r="R4714" s="2" t="inlineStr"/>
    </row>
    <row r="4715" ht="15" customHeight="1">
      <c r="A4715" t="inlineStr">
        <is>
          <t>A 58176-2023</t>
        </is>
      </c>
      <c r="B4715" s="1" t="n">
        <v>45250</v>
      </c>
      <c r="C4715" s="1" t="n">
        <v>45706</v>
      </c>
      <c r="D4715" t="inlineStr">
        <is>
          <t>UPPSALA LÄN</t>
        </is>
      </c>
      <c r="E4715" t="inlineStr">
        <is>
          <t>ÖSTHAMMAR</t>
        </is>
      </c>
      <c r="F4715" t="inlineStr">
        <is>
          <t>Allmännings- och besparingsskogar</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58295-2023</t>
        </is>
      </c>
      <c r="B4716" s="1" t="n">
        <v>45250</v>
      </c>
      <c r="C4716" s="1" t="n">
        <v>45706</v>
      </c>
      <c r="D4716" t="inlineStr">
        <is>
          <t>UPPSALA LÄN</t>
        </is>
      </c>
      <c r="E4716" t="inlineStr">
        <is>
          <t>ÖSTHAMMAR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58270-2023</t>
        </is>
      </c>
      <c r="B4717" s="1" t="n">
        <v>45250</v>
      </c>
      <c r="C4717" s="1" t="n">
        <v>45706</v>
      </c>
      <c r="D4717" t="inlineStr">
        <is>
          <t>UPPSALA LÄN</t>
        </is>
      </c>
      <c r="E4717" t="inlineStr">
        <is>
          <t>ÖSTHAMMAR</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58301-2023</t>
        </is>
      </c>
      <c r="B4718" s="1" t="n">
        <v>45250</v>
      </c>
      <c r="C4718" s="1" t="n">
        <v>45706</v>
      </c>
      <c r="D4718" t="inlineStr">
        <is>
          <t>UPPSALA LÄN</t>
        </is>
      </c>
      <c r="E4718" t="inlineStr">
        <is>
          <t>ÖSTHAMMAR</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58324-2023</t>
        </is>
      </c>
      <c r="B4719" s="1" t="n">
        <v>45250</v>
      </c>
      <c r="C4719" s="1" t="n">
        <v>45706</v>
      </c>
      <c r="D4719" t="inlineStr">
        <is>
          <t>UPPSALA LÄN</t>
        </is>
      </c>
      <c r="E4719" t="inlineStr">
        <is>
          <t>ÖSTHAMMAR</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58914-2023</t>
        </is>
      </c>
      <c r="B4720" s="1" t="n">
        <v>45250</v>
      </c>
      <c r="C4720" s="1" t="n">
        <v>45706</v>
      </c>
      <c r="D4720" t="inlineStr">
        <is>
          <t>UPPSALA LÄN</t>
        </is>
      </c>
      <c r="E4720" t="inlineStr">
        <is>
          <t>HEBY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58332-2023</t>
        </is>
      </c>
      <c r="B4721" s="1" t="n">
        <v>45250</v>
      </c>
      <c r="C4721" s="1" t="n">
        <v>45706</v>
      </c>
      <c r="D4721" t="inlineStr">
        <is>
          <t>UPPSALA LÄN</t>
        </is>
      </c>
      <c r="E4721" t="inlineStr">
        <is>
          <t>HEBY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58913-2023</t>
        </is>
      </c>
      <c r="B4722" s="1" t="n">
        <v>45250</v>
      </c>
      <c r="C4722" s="1" t="n">
        <v>45706</v>
      </c>
      <c r="D4722" t="inlineStr">
        <is>
          <t>UPPSALA LÄN</t>
        </is>
      </c>
      <c r="E4722" t="inlineStr">
        <is>
          <t>HEBY</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58431-2023</t>
        </is>
      </c>
      <c r="B4723" s="1" t="n">
        <v>45250</v>
      </c>
      <c r="C4723" s="1" t="n">
        <v>45706</v>
      </c>
      <c r="D4723" t="inlineStr">
        <is>
          <t>UPPSALA LÄN</t>
        </is>
      </c>
      <c r="E4723" t="inlineStr">
        <is>
          <t>ÖSTHAMMAR</t>
        </is>
      </c>
      <c r="F4723" t="inlineStr">
        <is>
          <t>Bergvik skog öst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58492-2023</t>
        </is>
      </c>
      <c r="B4724" s="1" t="n">
        <v>45251</v>
      </c>
      <c r="C4724" s="1" t="n">
        <v>45706</v>
      </c>
      <c r="D4724" t="inlineStr">
        <is>
          <t>UPPSALA LÄN</t>
        </is>
      </c>
      <c r="E4724" t="inlineStr">
        <is>
          <t>TIERP</t>
        </is>
      </c>
      <c r="F4724" t="inlineStr">
        <is>
          <t>Bergvik skog väst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58596-2023</t>
        </is>
      </c>
      <c r="B4725" s="1" t="n">
        <v>45251</v>
      </c>
      <c r="C4725" s="1" t="n">
        <v>45706</v>
      </c>
      <c r="D4725" t="inlineStr">
        <is>
          <t>UPPSALA LÄN</t>
        </is>
      </c>
      <c r="E4725" t="inlineStr">
        <is>
          <t>HEBY</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59169-2023</t>
        </is>
      </c>
      <c r="B4726" s="1" t="n">
        <v>45251</v>
      </c>
      <c r="C4726" s="1" t="n">
        <v>45706</v>
      </c>
      <c r="D4726" t="inlineStr">
        <is>
          <t>UPPSALA LÄN</t>
        </is>
      </c>
      <c r="E4726" t="inlineStr">
        <is>
          <t>HÅBO</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58855-2023</t>
        </is>
      </c>
      <c r="B4727" s="1" t="n">
        <v>45252</v>
      </c>
      <c r="C4727" s="1" t="n">
        <v>45706</v>
      </c>
      <c r="D4727" t="inlineStr">
        <is>
          <t>UPPSALA LÄN</t>
        </is>
      </c>
      <c r="E4727" t="inlineStr">
        <is>
          <t>ÖSTHAMMAR</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58947-2023</t>
        </is>
      </c>
      <c r="B4728" s="1" t="n">
        <v>45252</v>
      </c>
      <c r="C4728" s="1" t="n">
        <v>45706</v>
      </c>
      <c r="D4728" t="inlineStr">
        <is>
          <t>UPPSALA LÄN</t>
        </is>
      </c>
      <c r="E4728" t="inlineStr">
        <is>
          <t>TIERP</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58854-2023</t>
        </is>
      </c>
      <c r="B4729" s="1" t="n">
        <v>45252</v>
      </c>
      <c r="C4729" s="1" t="n">
        <v>45706</v>
      </c>
      <c r="D4729" t="inlineStr">
        <is>
          <t>UPPSALA LÄN</t>
        </is>
      </c>
      <c r="E4729" t="inlineStr">
        <is>
          <t>ÖSTHAMMAR</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58900-2023</t>
        </is>
      </c>
      <c r="B4730" s="1" t="n">
        <v>45252</v>
      </c>
      <c r="C4730" s="1" t="n">
        <v>45706</v>
      </c>
      <c r="D4730" t="inlineStr">
        <is>
          <t>UPPSALA LÄN</t>
        </is>
      </c>
      <c r="E4730" t="inlineStr">
        <is>
          <t>TIERP</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59004-2023</t>
        </is>
      </c>
      <c r="B4731" s="1" t="n">
        <v>45252</v>
      </c>
      <c r="C4731" s="1" t="n">
        <v>45706</v>
      </c>
      <c r="D4731" t="inlineStr">
        <is>
          <t>UPPSALA LÄN</t>
        </is>
      </c>
      <c r="E4731" t="inlineStr">
        <is>
          <t>ÄLVKARLEBY</t>
        </is>
      </c>
      <c r="F4731" t="inlineStr">
        <is>
          <t>Bergvik skog öst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58859-2023</t>
        </is>
      </c>
      <c r="B4732" s="1" t="n">
        <v>45252</v>
      </c>
      <c r="C4732" s="1" t="n">
        <v>45706</v>
      </c>
      <c r="D4732" t="inlineStr">
        <is>
          <t>UPPSALA LÄN</t>
        </is>
      </c>
      <c r="E4732" t="inlineStr">
        <is>
          <t>ÖSTHAMMAR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58931-2023</t>
        </is>
      </c>
      <c r="B4733" s="1" t="n">
        <v>45252</v>
      </c>
      <c r="C4733" s="1" t="n">
        <v>45706</v>
      </c>
      <c r="D4733" t="inlineStr">
        <is>
          <t>UPPSALA LÄN</t>
        </is>
      </c>
      <c r="E4733" t="inlineStr">
        <is>
          <t>TIERP</t>
        </is>
      </c>
      <c r="F4733" t="inlineStr">
        <is>
          <t>Bergvik skog öst AB</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59207-2023</t>
        </is>
      </c>
      <c r="B4734" s="1" t="n">
        <v>45252</v>
      </c>
      <c r="C4734" s="1" t="n">
        <v>45706</v>
      </c>
      <c r="D4734" t="inlineStr">
        <is>
          <t>UPPSALA LÄN</t>
        </is>
      </c>
      <c r="E4734" t="inlineStr">
        <is>
          <t>HEBY</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59218-2023</t>
        </is>
      </c>
      <c r="B4735" s="1" t="n">
        <v>45252</v>
      </c>
      <c r="C4735" s="1" t="n">
        <v>45706</v>
      </c>
      <c r="D4735" t="inlineStr">
        <is>
          <t>UPPSALA LÄN</t>
        </is>
      </c>
      <c r="E4735" t="inlineStr">
        <is>
          <t>HEBY</t>
        </is>
      </c>
      <c r="F4735" t="inlineStr">
        <is>
          <t>Bergvik skog väst AB</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59112-2023</t>
        </is>
      </c>
      <c r="B4736" s="1" t="n">
        <v>45253</v>
      </c>
      <c r="C4736" s="1" t="n">
        <v>45706</v>
      </c>
      <c r="D4736" t="inlineStr">
        <is>
          <t>UPPSALA LÄN</t>
        </is>
      </c>
      <c r="E4736" t="inlineStr">
        <is>
          <t>HEBY</t>
        </is>
      </c>
      <c r="F4736" t="inlineStr">
        <is>
          <t>Bergvik skog öst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59176-2023</t>
        </is>
      </c>
      <c r="B4737" s="1" t="n">
        <v>45253</v>
      </c>
      <c r="C4737" s="1" t="n">
        <v>45706</v>
      </c>
      <c r="D4737" t="inlineStr">
        <is>
          <t>UPPSALA LÄN</t>
        </is>
      </c>
      <c r="E4737" t="inlineStr">
        <is>
          <t>HEBY</t>
        </is>
      </c>
      <c r="F4737" t="inlineStr">
        <is>
          <t>Kyrkan</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59244-2023</t>
        </is>
      </c>
      <c r="B4738" s="1" t="n">
        <v>45253</v>
      </c>
      <c r="C4738" s="1" t="n">
        <v>45706</v>
      </c>
      <c r="D4738" t="inlineStr">
        <is>
          <t>UPPSALA LÄN</t>
        </is>
      </c>
      <c r="E4738" t="inlineStr">
        <is>
          <t>ÖSTHAMMAR</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59288-2023</t>
        </is>
      </c>
      <c r="B4739" s="1" t="n">
        <v>45253</v>
      </c>
      <c r="C4739" s="1" t="n">
        <v>45706</v>
      </c>
      <c r="D4739" t="inlineStr">
        <is>
          <t>UPPSALA LÄN</t>
        </is>
      </c>
      <c r="E4739" t="inlineStr">
        <is>
          <t>ÖSTHAMMAR</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59314-2023</t>
        </is>
      </c>
      <c r="B4740" s="1" t="n">
        <v>45253</v>
      </c>
      <c r="C4740" s="1" t="n">
        <v>45706</v>
      </c>
      <c r="D4740" t="inlineStr">
        <is>
          <t>UPPSALA LÄN</t>
        </is>
      </c>
      <c r="E4740" t="inlineStr">
        <is>
          <t>ÖSTHAMMAR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59318-2023</t>
        </is>
      </c>
      <c r="B4741" s="1" t="n">
        <v>45253</v>
      </c>
      <c r="C4741" s="1" t="n">
        <v>45706</v>
      </c>
      <c r="D4741" t="inlineStr">
        <is>
          <t>UPPSALA LÄN</t>
        </is>
      </c>
      <c r="E4741" t="inlineStr">
        <is>
          <t>ÖSTHAMMAR</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59327-2023</t>
        </is>
      </c>
      <c r="B4742" s="1" t="n">
        <v>45253</v>
      </c>
      <c r="C4742" s="1" t="n">
        <v>45706</v>
      </c>
      <c r="D4742" t="inlineStr">
        <is>
          <t>UPPSALA LÄN</t>
        </is>
      </c>
      <c r="E4742" t="inlineStr">
        <is>
          <t>ÖSTHAMMAR</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59105-2023</t>
        </is>
      </c>
      <c r="B4743" s="1" t="n">
        <v>45253</v>
      </c>
      <c r="C4743" s="1" t="n">
        <v>45706</v>
      </c>
      <c r="D4743" t="inlineStr">
        <is>
          <t>UPPSALA LÄN</t>
        </is>
      </c>
      <c r="E4743" t="inlineStr">
        <is>
          <t>HEBY</t>
        </is>
      </c>
      <c r="F4743" t="inlineStr">
        <is>
          <t>Bergvik skog öst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59240-2023</t>
        </is>
      </c>
      <c r="B4744" s="1" t="n">
        <v>45253</v>
      </c>
      <c r="C4744" s="1" t="n">
        <v>45706</v>
      </c>
      <c r="D4744" t="inlineStr">
        <is>
          <t>UPPSALA LÄN</t>
        </is>
      </c>
      <c r="E4744" t="inlineStr">
        <is>
          <t>UPPSALA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59291-2023</t>
        </is>
      </c>
      <c r="B4745" s="1" t="n">
        <v>45253</v>
      </c>
      <c r="C4745" s="1" t="n">
        <v>45706</v>
      </c>
      <c r="D4745" t="inlineStr">
        <is>
          <t>UPPSALA LÄN</t>
        </is>
      </c>
      <c r="E4745" t="inlineStr">
        <is>
          <t>ÖSTHAMMAR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59473-2023</t>
        </is>
      </c>
      <c r="B4746" s="1" t="n">
        <v>45253</v>
      </c>
      <c r="C4746" s="1" t="n">
        <v>45706</v>
      </c>
      <c r="D4746" t="inlineStr">
        <is>
          <t>UPPSALA LÄN</t>
        </is>
      </c>
      <c r="E4746" t="inlineStr">
        <is>
          <t>TIERP</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59493-2023</t>
        </is>
      </c>
      <c r="B4747" s="1" t="n">
        <v>45253</v>
      </c>
      <c r="C4747" s="1" t="n">
        <v>45706</v>
      </c>
      <c r="D4747" t="inlineStr">
        <is>
          <t>UPPSALA LÄN</t>
        </is>
      </c>
      <c r="E4747" t="inlineStr">
        <is>
          <t>TIERP</t>
        </is>
      </c>
      <c r="G4747" t="n">
        <v>14.9</v>
      </c>
      <c r="H4747" t="n">
        <v>0</v>
      </c>
      <c r="I4747" t="n">
        <v>0</v>
      </c>
      <c r="J4747" t="n">
        <v>0</v>
      </c>
      <c r="K4747" t="n">
        <v>0</v>
      </c>
      <c r="L4747" t="n">
        <v>0</v>
      </c>
      <c r="M4747" t="n">
        <v>0</v>
      </c>
      <c r="N4747" t="n">
        <v>0</v>
      </c>
      <c r="O4747" t="n">
        <v>0</v>
      </c>
      <c r="P4747" t="n">
        <v>0</v>
      </c>
      <c r="Q4747" t="n">
        <v>0</v>
      </c>
      <c r="R4747" s="2" t="inlineStr"/>
    </row>
    <row r="4748" ht="15" customHeight="1">
      <c r="A4748" t="inlineStr">
        <is>
          <t>A 59482-2023</t>
        </is>
      </c>
      <c r="B4748" s="1" t="n">
        <v>45253</v>
      </c>
      <c r="C4748" s="1" t="n">
        <v>45706</v>
      </c>
      <c r="D4748" t="inlineStr">
        <is>
          <t>UPPSALA LÄN</t>
        </is>
      </c>
      <c r="E4748" t="inlineStr">
        <is>
          <t>TIERP</t>
        </is>
      </c>
      <c r="G4748" t="n">
        <v>11.3</v>
      </c>
      <c r="H4748" t="n">
        <v>0</v>
      </c>
      <c r="I4748" t="n">
        <v>0</v>
      </c>
      <c r="J4748" t="n">
        <v>0</v>
      </c>
      <c r="K4748" t="n">
        <v>0</v>
      </c>
      <c r="L4748" t="n">
        <v>0</v>
      </c>
      <c r="M4748" t="n">
        <v>0</v>
      </c>
      <c r="N4748" t="n">
        <v>0</v>
      </c>
      <c r="O4748" t="n">
        <v>0</v>
      </c>
      <c r="P4748" t="n">
        <v>0</v>
      </c>
      <c r="Q4748" t="n">
        <v>0</v>
      </c>
      <c r="R4748" s="2" t="inlineStr"/>
    </row>
    <row r="4749" ht="15" customHeight="1">
      <c r="A4749" t="inlineStr">
        <is>
          <t>A 59511-2023</t>
        </is>
      </c>
      <c r="B4749" s="1" t="n">
        <v>45254</v>
      </c>
      <c r="C4749" s="1" t="n">
        <v>45706</v>
      </c>
      <c r="D4749" t="inlineStr">
        <is>
          <t>UPPSALA LÄN</t>
        </is>
      </c>
      <c r="E4749" t="inlineStr">
        <is>
          <t>UPPSALA</t>
        </is>
      </c>
      <c r="G4749" t="n">
        <v>14.6</v>
      </c>
      <c r="H4749" t="n">
        <v>0</v>
      </c>
      <c r="I4749" t="n">
        <v>0</v>
      </c>
      <c r="J4749" t="n">
        <v>0</v>
      </c>
      <c r="K4749" t="n">
        <v>0</v>
      </c>
      <c r="L4749" t="n">
        <v>0</v>
      </c>
      <c r="M4749" t="n">
        <v>0</v>
      </c>
      <c r="N4749" t="n">
        <v>0</v>
      </c>
      <c r="O4749" t="n">
        <v>0</v>
      </c>
      <c r="P4749" t="n">
        <v>0</v>
      </c>
      <c r="Q4749" t="n">
        <v>0</v>
      </c>
      <c r="R4749" s="2" t="inlineStr"/>
    </row>
    <row r="4750" ht="15" customHeight="1">
      <c r="A4750" t="inlineStr">
        <is>
          <t>A 59521-2023</t>
        </is>
      </c>
      <c r="B4750" s="1" t="n">
        <v>45254</v>
      </c>
      <c r="C4750" s="1" t="n">
        <v>45706</v>
      </c>
      <c r="D4750" t="inlineStr">
        <is>
          <t>UPPSALA LÄN</t>
        </is>
      </c>
      <c r="E4750" t="inlineStr">
        <is>
          <t>UPPSALA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59564-2023</t>
        </is>
      </c>
      <c r="B4751" s="1" t="n">
        <v>45254</v>
      </c>
      <c r="C4751" s="1" t="n">
        <v>45706</v>
      </c>
      <c r="D4751" t="inlineStr">
        <is>
          <t>UPPSALA LÄN</t>
        </is>
      </c>
      <c r="E4751" t="inlineStr">
        <is>
          <t>UPPSALA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59570-2023</t>
        </is>
      </c>
      <c r="B4752" s="1" t="n">
        <v>45254</v>
      </c>
      <c r="C4752" s="1" t="n">
        <v>45706</v>
      </c>
      <c r="D4752" t="inlineStr">
        <is>
          <t>UPPSALA LÄN</t>
        </is>
      </c>
      <c r="E4752" t="inlineStr">
        <is>
          <t>UPPSALA</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59585-2023</t>
        </is>
      </c>
      <c r="B4753" s="1" t="n">
        <v>45254</v>
      </c>
      <c r="C4753" s="1" t="n">
        <v>45706</v>
      </c>
      <c r="D4753" t="inlineStr">
        <is>
          <t>UPPSALA LÄN</t>
        </is>
      </c>
      <c r="E4753" t="inlineStr">
        <is>
          <t>UPPSALA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59489-2023</t>
        </is>
      </c>
      <c r="B4754" s="1" t="n">
        <v>45254</v>
      </c>
      <c r="C4754" s="1" t="n">
        <v>45706</v>
      </c>
      <c r="D4754" t="inlineStr">
        <is>
          <t>UPPSALA LÄN</t>
        </is>
      </c>
      <c r="E4754" t="inlineStr">
        <is>
          <t>UPPSALA</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59706-2023</t>
        </is>
      </c>
      <c r="B4755" s="1" t="n">
        <v>45256</v>
      </c>
      <c r="C4755" s="1" t="n">
        <v>45706</v>
      </c>
      <c r="D4755" t="inlineStr">
        <is>
          <t>UPPSALA LÄN</t>
        </is>
      </c>
      <c r="E4755" t="inlineStr">
        <is>
          <t>HEBY</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59702-2023</t>
        </is>
      </c>
      <c r="B4756" s="1" t="n">
        <v>45256</v>
      </c>
      <c r="C4756" s="1" t="n">
        <v>45706</v>
      </c>
      <c r="D4756" t="inlineStr">
        <is>
          <t>UPPSALA LÄN</t>
        </is>
      </c>
      <c r="E4756" t="inlineStr">
        <is>
          <t>HEBY</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59856-2023</t>
        </is>
      </c>
      <c r="B4757" s="1" t="n">
        <v>45257</v>
      </c>
      <c r="C4757" s="1" t="n">
        <v>45706</v>
      </c>
      <c r="D4757" t="inlineStr">
        <is>
          <t>UPPSALA LÄN</t>
        </is>
      </c>
      <c r="E4757" t="inlineStr">
        <is>
          <t>UPPSALA</t>
        </is>
      </c>
      <c r="F4757" t="inlineStr">
        <is>
          <t>Allmännings- och besparingsskogar</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59810-2023</t>
        </is>
      </c>
      <c r="B4758" s="1" t="n">
        <v>45257</v>
      </c>
      <c r="C4758" s="1" t="n">
        <v>45706</v>
      </c>
      <c r="D4758" t="inlineStr">
        <is>
          <t>UPPSALA LÄN</t>
        </is>
      </c>
      <c r="E4758" t="inlineStr">
        <is>
          <t>UPPSALA</t>
        </is>
      </c>
      <c r="F4758" t="inlineStr">
        <is>
          <t>Allmännings- och besparingsskogar</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59961-2023</t>
        </is>
      </c>
      <c r="B4759" s="1" t="n">
        <v>45257</v>
      </c>
      <c r="C4759" s="1" t="n">
        <v>45706</v>
      </c>
      <c r="D4759" t="inlineStr">
        <is>
          <t>UPPSALA LÄN</t>
        </is>
      </c>
      <c r="E4759" t="inlineStr">
        <is>
          <t>TIERP</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59731-2023</t>
        </is>
      </c>
      <c r="B4760" s="1" t="n">
        <v>45257</v>
      </c>
      <c r="C4760" s="1" t="n">
        <v>45706</v>
      </c>
      <c r="D4760" t="inlineStr">
        <is>
          <t>UPPSALA LÄN</t>
        </is>
      </c>
      <c r="E4760" t="inlineStr">
        <is>
          <t>ÖSTHAMMAR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59866-2023</t>
        </is>
      </c>
      <c r="B4761" s="1" t="n">
        <v>45257</v>
      </c>
      <c r="C4761" s="1" t="n">
        <v>45706</v>
      </c>
      <c r="D4761" t="inlineStr">
        <is>
          <t>UPPSALA LÄN</t>
        </is>
      </c>
      <c r="E4761" t="inlineStr">
        <is>
          <t>ENKÖPING</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59923-2023</t>
        </is>
      </c>
      <c r="B4762" s="1" t="n">
        <v>45257</v>
      </c>
      <c r="C4762" s="1" t="n">
        <v>45706</v>
      </c>
      <c r="D4762" t="inlineStr">
        <is>
          <t>UPPSALA LÄN</t>
        </is>
      </c>
      <c r="E4762" t="inlineStr">
        <is>
          <t>TIERP</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59942-2023</t>
        </is>
      </c>
      <c r="B4763" s="1" t="n">
        <v>45257</v>
      </c>
      <c r="C4763" s="1" t="n">
        <v>45706</v>
      </c>
      <c r="D4763" t="inlineStr">
        <is>
          <t>UPPSALA LÄN</t>
        </is>
      </c>
      <c r="E4763" t="inlineStr">
        <is>
          <t>TIERP</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60079-2023</t>
        </is>
      </c>
      <c r="B4764" s="1" t="n">
        <v>45258</v>
      </c>
      <c r="C4764" s="1" t="n">
        <v>45706</v>
      </c>
      <c r="D4764" t="inlineStr">
        <is>
          <t>UPPSALA LÄN</t>
        </is>
      </c>
      <c r="E4764" t="inlineStr">
        <is>
          <t>TIERP</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60151-2023</t>
        </is>
      </c>
      <c r="B4765" s="1" t="n">
        <v>45258</v>
      </c>
      <c r="C4765" s="1" t="n">
        <v>45706</v>
      </c>
      <c r="D4765" t="inlineStr">
        <is>
          <t>UPPSALA LÄN</t>
        </is>
      </c>
      <c r="E4765" t="inlineStr">
        <is>
          <t>ÄLVKARLEBY</t>
        </is>
      </c>
      <c r="F4765" t="inlineStr">
        <is>
          <t>Bergvik skog väst AB</t>
        </is>
      </c>
      <c r="G4765" t="n">
        <v>32.2</v>
      </c>
      <c r="H4765" t="n">
        <v>0</v>
      </c>
      <c r="I4765" t="n">
        <v>0</v>
      </c>
      <c r="J4765" t="n">
        <v>0</v>
      </c>
      <c r="K4765" t="n">
        <v>0</v>
      </c>
      <c r="L4765" t="n">
        <v>0</v>
      </c>
      <c r="M4765" t="n">
        <v>0</v>
      </c>
      <c r="N4765" t="n">
        <v>0</v>
      </c>
      <c r="O4765" t="n">
        <v>0</v>
      </c>
      <c r="P4765" t="n">
        <v>0</v>
      </c>
      <c r="Q4765" t="n">
        <v>0</v>
      </c>
      <c r="R4765" s="2" t="inlineStr"/>
    </row>
    <row r="4766" ht="15" customHeight="1">
      <c r="A4766" t="inlineStr">
        <is>
          <t>A 60203-2023</t>
        </is>
      </c>
      <c r="B4766" s="1" t="n">
        <v>45258</v>
      </c>
      <c r="C4766" s="1" t="n">
        <v>45706</v>
      </c>
      <c r="D4766" t="inlineStr">
        <is>
          <t>UPPSALA LÄN</t>
        </is>
      </c>
      <c r="E4766" t="inlineStr">
        <is>
          <t>HEBY</t>
        </is>
      </c>
      <c r="F4766" t="inlineStr">
        <is>
          <t>Bergvik skog öst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60200-2023</t>
        </is>
      </c>
      <c r="B4767" s="1" t="n">
        <v>45258</v>
      </c>
      <c r="C4767" s="1" t="n">
        <v>45706</v>
      </c>
      <c r="D4767" t="inlineStr">
        <is>
          <t>UPPSALA LÄN</t>
        </is>
      </c>
      <c r="E4767" t="inlineStr">
        <is>
          <t>ENKÖPING</t>
        </is>
      </c>
      <c r="F4767" t="inlineStr">
        <is>
          <t>Allmännings- och besparingsskogar</t>
        </is>
      </c>
      <c r="G4767" t="n">
        <v>9.4</v>
      </c>
      <c r="H4767" t="n">
        <v>0</v>
      </c>
      <c r="I4767" t="n">
        <v>0</v>
      </c>
      <c r="J4767" t="n">
        <v>0</v>
      </c>
      <c r="K4767" t="n">
        <v>0</v>
      </c>
      <c r="L4767" t="n">
        <v>0</v>
      </c>
      <c r="M4767" t="n">
        <v>0</v>
      </c>
      <c r="N4767" t="n">
        <v>0</v>
      </c>
      <c r="O4767" t="n">
        <v>0</v>
      </c>
      <c r="P4767" t="n">
        <v>0</v>
      </c>
      <c r="Q4767" t="n">
        <v>0</v>
      </c>
      <c r="R4767" s="2" t="inlineStr"/>
    </row>
    <row r="4768" ht="15" customHeight="1">
      <c r="A4768" t="inlineStr">
        <is>
          <t>A 60212-2023</t>
        </is>
      </c>
      <c r="B4768" s="1" t="n">
        <v>45258</v>
      </c>
      <c r="C4768" s="1" t="n">
        <v>45706</v>
      </c>
      <c r="D4768" t="inlineStr">
        <is>
          <t>UPPSALA LÄN</t>
        </is>
      </c>
      <c r="E4768" t="inlineStr">
        <is>
          <t>TIERP</t>
        </is>
      </c>
      <c r="F4768" t="inlineStr">
        <is>
          <t>Bergvik skog väst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60243-2023</t>
        </is>
      </c>
      <c r="B4769" s="1" t="n">
        <v>45258</v>
      </c>
      <c r="C4769" s="1" t="n">
        <v>45706</v>
      </c>
      <c r="D4769" t="inlineStr">
        <is>
          <t>UPPSALA LÄN</t>
        </is>
      </c>
      <c r="E4769" t="inlineStr">
        <is>
          <t>HEBY</t>
        </is>
      </c>
      <c r="F4769" t="inlineStr">
        <is>
          <t>Bergvik skog öst AB</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60303-2023</t>
        </is>
      </c>
      <c r="B4770" s="1" t="n">
        <v>45258</v>
      </c>
      <c r="C4770" s="1" t="n">
        <v>45706</v>
      </c>
      <c r="D4770" t="inlineStr">
        <is>
          <t>UPPSALA LÄN</t>
        </is>
      </c>
      <c r="E4770" t="inlineStr">
        <is>
          <t>ÖSTHAMMAR</t>
        </is>
      </c>
      <c r="F4770" t="inlineStr">
        <is>
          <t>Bergvik skog öst AB</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60444-2023</t>
        </is>
      </c>
      <c r="B4771" s="1" t="n">
        <v>45259</v>
      </c>
      <c r="C4771" s="1" t="n">
        <v>45706</v>
      </c>
      <c r="D4771" t="inlineStr">
        <is>
          <t>UPPSALA LÄN</t>
        </is>
      </c>
      <c r="E4771" t="inlineStr">
        <is>
          <t>UPPSALA</t>
        </is>
      </c>
      <c r="F4771" t="inlineStr">
        <is>
          <t>Bergvik skog öst AB</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60455-2023</t>
        </is>
      </c>
      <c r="B4772" s="1" t="n">
        <v>45259</v>
      </c>
      <c r="C4772" s="1" t="n">
        <v>45706</v>
      </c>
      <c r="D4772" t="inlineStr">
        <is>
          <t>UPPSALA LÄN</t>
        </is>
      </c>
      <c r="E4772" t="inlineStr">
        <is>
          <t>ÄLVKARLEBY</t>
        </is>
      </c>
      <c r="F4772" t="inlineStr">
        <is>
          <t>Bergvik skog öst AB</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60447-2023</t>
        </is>
      </c>
      <c r="B4773" s="1" t="n">
        <v>45259</v>
      </c>
      <c r="C4773" s="1" t="n">
        <v>45706</v>
      </c>
      <c r="D4773" t="inlineStr">
        <is>
          <t>UPPSALA LÄN</t>
        </is>
      </c>
      <c r="E4773" t="inlineStr">
        <is>
          <t>UPPSALA</t>
        </is>
      </c>
      <c r="F4773" t="inlineStr">
        <is>
          <t>Bergvik skog öst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60555-2023</t>
        </is>
      </c>
      <c r="B4774" s="1" t="n">
        <v>45259</v>
      </c>
      <c r="C4774" s="1" t="n">
        <v>45706</v>
      </c>
      <c r="D4774" t="inlineStr">
        <is>
          <t>UPPSALA LÄN</t>
        </is>
      </c>
      <c r="E4774" t="inlineStr">
        <is>
          <t>ÖSTHAMMAR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60714-2023</t>
        </is>
      </c>
      <c r="B4775" s="1" t="n">
        <v>45259</v>
      </c>
      <c r="C4775" s="1" t="n">
        <v>45706</v>
      </c>
      <c r="D4775" t="inlineStr">
        <is>
          <t>UPPSALA LÄN</t>
        </is>
      </c>
      <c r="E4775" t="inlineStr">
        <is>
          <t>UPPSALA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60814-2023</t>
        </is>
      </c>
      <c r="B4776" s="1" t="n">
        <v>45259</v>
      </c>
      <c r="C4776" s="1" t="n">
        <v>45706</v>
      </c>
      <c r="D4776" t="inlineStr">
        <is>
          <t>UPPSALA LÄN</t>
        </is>
      </c>
      <c r="E4776" t="inlineStr">
        <is>
          <t>UPPSALA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60781-2023</t>
        </is>
      </c>
      <c r="B4777" s="1" t="n">
        <v>45259</v>
      </c>
      <c r="C4777" s="1" t="n">
        <v>45706</v>
      </c>
      <c r="D4777" t="inlineStr">
        <is>
          <t>UPPSALA LÄN</t>
        </is>
      </c>
      <c r="E4777" t="inlineStr">
        <is>
          <t>UPPSALA</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60989-2023</t>
        </is>
      </c>
      <c r="B4778" s="1" t="n">
        <v>45259</v>
      </c>
      <c r="C4778" s="1" t="n">
        <v>45706</v>
      </c>
      <c r="D4778" t="inlineStr">
        <is>
          <t>UPPSALA LÄN</t>
        </is>
      </c>
      <c r="E4778" t="inlineStr">
        <is>
          <t>TIERP</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61062-2023</t>
        </is>
      </c>
      <c r="B4779" s="1" t="n">
        <v>45259</v>
      </c>
      <c r="C4779" s="1" t="n">
        <v>45706</v>
      </c>
      <c r="D4779" t="inlineStr">
        <is>
          <t>UPPSALA LÄN</t>
        </is>
      </c>
      <c r="E4779" t="inlineStr">
        <is>
          <t>ÖSTHAMMAR</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61067-2023</t>
        </is>
      </c>
      <c r="B4780" s="1" t="n">
        <v>45259</v>
      </c>
      <c r="C4780" s="1" t="n">
        <v>45706</v>
      </c>
      <c r="D4780" t="inlineStr">
        <is>
          <t>UPPSALA LÄN</t>
        </is>
      </c>
      <c r="E4780" t="inlineStr">
        <is>
          <t>UPPSALA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61063-2023</t>
        </is>
      </c>
      <c r="B4781" s="1" t="n">
        <v>45259</v>
      </c>
      <c r="C4781" s="1" t="n">
        <v>45706</v>
      </c>
      <c r="D4781" t="inlineStr">
        <is>
          <t>UPPSALA LÄN</t>
        </is>
      </c>
      <c r="E4781" t="inlineStr">
        <is>
          <t>ÖSTHAMMAR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60993-2023</t>
        </is>
      </c>
      <c r="B4782" s="1" t="n">
        <v>45259</v>
      </c>
      <c r="C4782" s="1" t="n">
        <v>45706</v>
      </c>
      <c r="D4782" t="inlineStr">
        <is>
          <t>UPPSALA LÄN</t>
        </is>
      </c>
      <c r="E4782" t="inlineStr">
        <is>
          <t>TIERP</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60707-2023</t>
        </is>
      </c>
      <c r="B4783" s="1" t="n">
        <v>45260</v>
      </c>
      <c r="C4783" s="1" t="n">
        <v>45706</v>
      </c>
      <c r="D4783" t="inlineStr">
        <is>
          <t>UPPSALA LÄN</t>
        </is>
      </c>
      <c r="E4783" t="inlineStr">
        <is>
          <t>UPPSALA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60702-2023</t>
        </is>
      </c>
      <c r="B4784" s="1" t="n">
        <v>45260</v>
      </c>
      <c r="C4784" s="1" t="n">
        <v>45706</v>
      </c>
      <c r="D4784" t="inlineStr">
        <is>
          <t>UPPSALA LÄN</t>
        </is>
      </c>
      <c r="E4784" t="inlineStr">
        <is>
          <t>HEBY</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60722-2023</t>
        </is>
      </c>
      <c r="B4785" s="1" t="n">
        <v>45260</v>
      </c>
      <c r="C4785" s="1" t="n">
        <v>45706</v>
      </c>
      <c r="D4785" t="inlineStr">
        <is>
          <t>UPPSALA LÄN</t>
        </is>
      </c>
      <c r="E4785" t="inlineStr">
        <is>
          <t>ÖSTHAMMAR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60784-2023</t>
        </is>
      </c>
      <c r="B4786" s="1" t="n">
        <v>45260</v>
      </c>
      <c r="C4786" s="1" t="n">
        <v>45706</v>
      </c>
      <c r="D4786" t="inlineStr">
        <is>
          <t>UPPSALA LÄN</t>
        </is>
      </c>
      <c r="E4786" t="inlineStr">
        <is>
          <t>HEBY</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60641-2023</t>
        </is>
      </c>
      <c r="B4787" s="1" t="n">
        <v>45260</v>
      </c>
      <c r="C4787" s="1" t="n">
        <v>45706</v>
      </c>
      <c r="D4787" t="inlineStr">
        <is>
          <t>UPPSALA LÄN</t>
        </is>
      </c>
      <c r="E4787" t="inlineStr">
        <is>
          <t>ENKÖPING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60787-2023</t>
        </is>
      </c>
      <c r="B4788" s="1" t="n">
        <v>45260</v>
      </c>
      <c r="C4788" s="1" t="n">
        <v>45706</v>
      </c>
      <c r="D4788" t="inlineStr">
        <is>
          <t>UPPSALA LÄN</t>
        </is>
      </c>
      <c r="E4788" t="inlineStr">
        <is>
          <t>HEBY</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60792-2023</t>
        </is>
      </c>
      <c r="B4789" s="1" t="n">
        <v>45260</v>
      </c>
      <c r="C4789" s="1" t="n">
        <v>45706</v>
      </c>
      <c r="D4789" t="inlineStr">
        <is>
          <t>UPPSALA LÄN</t>
        </is>
      </c>
      <c r="E4789" t="inlineStr">
        <is>
          <t>HEBY</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61040-2023</t>
        </is>
      </c>
      <c r="B4790" s="1" t="n">
        <v>45260</v>
      </c>
      <c r="C4790" s="1" t="n">
        <v>45706</v>
      </c>
      <c r="D4790" t="inlineStr">
        <is>
          <t>UPPSALA LÄN</t>
        </is>
      </c>
      <c r="E4790" t="inlineStr">
        <is>
          <t>ENKÖPING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60874-2023</t>
        </is>
      </c>
      <c r="B4791" s="1" t="n">
        <v>45261</v>
      </c>
      <c r="C4791" s="1" t="n">
        <v>45706</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60924-2023</t>
        </is>
      </c>
      <c r="B4792" s="1" t="n">
        <v>45261</v>
      </c>
      <c r="C4792" s="1" t="n">
        <v>45706</v>
      </c>
      <c r="D4792" t="inlineStr">
        <is>
          <t>UPPSALA LÄN</t>
        </is>
      </c>
      <c r="E4792" t="inlineStr">
        <is>
          <t>TIERP</t>
        </is>
      </c>
      <c r="F4792" t="inlineStr">
        <is>
          <t>Bergvik skog öst AB</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61109-2023</t>
        </is>
      </c>
      <c r="B4793" s="1" t="n">
        <v>45261</v>
      </c>
      <c r="C4793" s="1" t="n">
        <v>45706</v>
      </c>
      <c r="D4793" t="inlineStr">
        <is>
          <t>UPPSALA LÄN</t>
        </is>
      </c>
      <c r="E4793" t="inlineStr">
        <is>
          <t>ÖSTHAMMAR</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61246-2023</t>
        </is>
      </c>
      <c r="B4794" s="1" t="n">
        <v>45264</v>
      </c>
      <c r="C4794" s="1" t="n">
        <v>45706</v>
      </c>
      <c r="D4794" t="inlineStr">
        <is>
          <t>UPPSALA LÄN</t>
        </is>
      </c>
      <c r="E4794" t="inlineStr">
        <is>
          <t>ÖSTHAMMAR</t>
        </is>
      </c>
      <c r="F4794" t="inlineStr">
        <is>
          <t>Allmännings- och besparingsskogar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61207-2023</t>
        </is>
      </c>
      <c r="B4795" s="1" t="n">
        <v>45264</v>
      </c>
      <c r="C4795" s="1" t="n">
        <v>45706</v>
      </c>
      <c r="D4795" t="inlineStr">
        <is>
          <t>UPPSALA LÄN</t>
        </is>
      </c>
      <c r="E4795" t="inlineStr">
        <is>
          <t>ENKÖPING</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61428-2023</t>
        </is>
      </c>
      <c r="B4796" s="1" t="n">
        <v>45264</v>
      </c>
      <c r="C4796" s="1" t="n">
        <v>45706</v>
      </c>
      <c r="D4796" t="inlineStr">
        <is>
          <t>UPPSALA LÄN</t>
        </is>
      </c>
      <c r="E4796" t="inlineStr">
        <is>
          <t>ÖSTHAMMAR</t>
        </is>
      </c>
      <c r="F4796" t="inlineStr">
        <is>
          <t>Allmännings- och besparingsskogar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61724-2023</t>
        </is>
      </c>
      <c r="B4797" s="1" t="n">
        <v>45264</v>
      </c>
      <c r="C4797" s="1" t="n">
        <v>45706</v>
      </c>
      <c r="D4797" t="inlineStr">
        <is>
          <t>UPPSALA LÄN</t>
        </is>
      </c>
      <c r="E4797" t="inlineStr">
        <is>
          <t>KNIVSTA</t>
        </is>
      </c>
      <c r="G4797" t="n">
        <v>8.699999999999999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61710-2023</t>
        </is>
      </c>
      <c r="B4798" s="1" t="n">
        <v>45265</v>
      </c>
      <c r="C4798" s="1" t="n">
        <v>45706</v>
      </c>
      <c r="D4798" t="inlineStr">
        <is>
          <t>UPPSALA LÄN</t>
        </is>
      </c>
      <c r="E4798" t="inlineStr">
        <is>
          <t>ENKÖPING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61612-2023</t>
        </is>
      </c>
      <c r="B4799" s="1" t="n">
        <v>45265</v>
      </c>
      <c r="C4799" s="1" t="n">
        <v>45706</v>
      </c>
      <c r="D4799" t="inlineStr">
        <is>
          <t>UPPSALA LÄN</t>
        </is>
      </c>
      <c r="E4799" t="inlineStr">
        <is>
          <t>TIERP</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61640-2023</t>
        </is>
      </c>
      <c r="B4800" s="1" t="n">
        <v>45265</v>
      </c>
      <c r="C4800" s="1" t="n">
        <v>45706</v>
      </c>
      <c r="D4800" t="inlineStr">
        <is>
          <t>UPPSALA LÄN</t>
        </is>
      </c>
      <c r="E4800" t="inlineStr">
        <is>
          <t>TIERP</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61677-2023</t>
        </is>
      </c>
      <c r="B4801" s="1" t="n">
        <v>45265</v>
      </c>
      <c r="C4801" s="1" t="n">
        <v>45706</v>
      </c>
      <c r="D4801" t="inlineStr">
        <is>
          <t>UPPSALA LÄN</t>
        </is>
      </c>
      <c r="E4801" t="inlineStr">
        <is>
          <t>TIERP</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61913-2023</t>
        </is>
      </c>
      <c r="B4802" s="1" t="n">
        <v>45266</v>
      </c>
      <c r="C4802" s="1" t="n">
        <v>45706</v>
      </c>
      <c r="D4802" t="inlineStr">
        <is>
          <t>UPPSALA LÄN</t>
        </is>
      </c>
      <c r="E4802" t="inlineStr">
        <is>
          <t>HEBY</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61916-2023</t>
        </is>
      </c>
      <c r="B4803" s="1" t="n">
        <v>45266</v>
      </c>
      <c r="C4803" s="1" t="n">
        <v>45706</v>
      </c>
      <c r="D4803" t="inlineStr">
        <is>
          <t>UPPSALA LÄN</t>
        </is>
      </c>
      <c r="E4803" t="inlineStr">
        <is>
          <t>HEBY</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61931-2023</t>
        </is>
      </c>
      <c r="B4804" s="1" t="n">
        <v>45266</v>
      </c>
      <c r="C4804" s="1" t="n">
        <v>45706</v>
      </c>
      <c r="D4804" t="inlineStr">
        <is>
          <t>UPPSALA LÄN</t>
        </is>
      </c>
      <c r="E4804" t="inlineStr">
        <is>
          <t>HEBY</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61947-2023</t>
        </is>
      </c>
      <c r="B4805" s="1" t="n">
        <v>45266</v>
      </c>
      <c r="C4805" s="1" t="n">
        <v>45706</v>
      </c>
      <c r="D4805" t="inlineStr">
        <is>
          <t>UPPSALA LÄN</t>
        </is>
      </c>
      <c r="E4805" t="inlineStr">
        <is>
          <t>UPPSALA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61959-2023</t>
        </is>
      </c>
      <c r="B4806" s="1" t="n">
        <v>45266</v>
      </c>
      <c r="C4806" s="1" t="n">
        <v>45706</v>
      </c>
      <c r="D4806" t="inlineStr">
        <is>
          <t>UPPSALA LÄN</t>
        </is>
      </c>
      <c r="E4806" t="inlineStr">
        <is>
          <t>HEBY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62004-2023</t>
        </is>
      </c>
      <c r="B4807" s="1" t="n">
        <v>45266</v>
      </c>
      <c r="C4807" s="1" t="n">
        <v>45706</v>
      </c>
      <c r="D4807" t="inlineStr">
        <is>
          <t>UPPSALA LÄN</t>
        </is>
      </c>
      <c r="E4807" t="inlineStr">
        <is>
          <t>HEBY</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61917-2023</t>
        </is>
      </c>
      <c r="B4808" s="1" t="n">
        <v>45266</v>
      </c>
      <c r="C4808" s="1" t="n">
        <v>45706</v>
      </c>
      <c r="D4808" t="inlineStr">
        <is>
          <t>UPPSALA LÄN</t>
        </is>
      </c>
      <c r="E4808" t="inlineStr">
        <is>
          <t>HEBY</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61960-2023</t>
        </is>
      </c>
      <c r="B4809" s="1" t="n">
        <v>45266</v>
      </c>
      <c r="C4809" s="1" t="n">
        <v>45706</v>
      </c>
      <c r="D4809" t="inlineStr">
        <is>
          <t>UPPSALA LÄN</t>
        </is>
      </c>
      <c r="E4809" t="inlineStr">
        <is>
          <t>HEBY</t>
        </is>
      </c>
      <c r="F4809" t="inlineStr">
        <is>
          <t>Kyrkan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62086-2023</t>
        </is>
      </c>
      <c r="B4810" s="1" t="n">
        <v>45266</v>
      </c>
      <c r="C4810" s="1" t="n">
        <v>45706</v>
      </c>
      <c r="D4810" t="inlineStr">
        <is>
          <t>UPPSALA LÄN</t>
        </is>
      </c>
      <c r="E4810" t="inlineStr">
        <is>
          <t>HEBY</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62083-2023</t>
        </is>
      </c>
      <c r="B4811" s="1" t="n">
        <v>45266</v>
      </c>
      <c r="C4811" s="1" t="n">
        <v>45706</v>
      </c>
      <c r="D4811" t="inlineStr">
        <is>
          <t>UPPSALA LÄN</t>
        </is>
      </c>
      <c r="E4811" t="inlineStr">
        <is>
          <t>HEBY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62084-2023</t>
        </is>
      </c>
      <c r="B4812" s="1" t="n">
        <v>45266</v>
      </c>
      <c r="C4812" s="1" t="n">
        <v>45706</v>
      </c>
      <c r="D4812" t="inlineStr">
        <is>
          <t>UPPSALA LÄN</t>
        </is>
      </c>
      <c r="E4812" t="inlineStr">
        <is>
          <t>HEBY</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62085-2023</t>
        </is>
      </c>
      <c r="B4813" s="1" t="n">
        <v>45266</v>
      </c>
      <c r="C4813" s="1" t="n">
        <v>45706</v>
      </c>
      <c r="D4813" t="inlineStr">
        <is>
          <t>UPPSALA LÄN</t>
        </is>
      </c>
      <c r="E4813" t="inlineStr">
        <is>
          <t>HEBY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62158-2023</t>
        </is>
      </c>
      <c r="B4814" s="1" t="n">
        <v>45267</v>
      </c>
      <c r="C4814" s="1" t="n">
        <v>45706</v>
      </c>
      <c r="D4814" t="inlineStr">
        <is>
          <t>UPPSALA LÄN</t>
        </is>
      </c>
      <c r="E4814" t="inlineStr">
        <is>
          <t>ENKÖPING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62287-2023</t>
        </is>
      </c>
      <c r="B4815" s="1" t="n">
        <v>45267</v>
      </c>
      <c r="C4815" s="1" t="n">
        <v>45706</v>
      </c>
      <c r="D4815" t="inlineStr">
        <is>
          <t>UPPSALA LÄN</t>
        </is>
      </c>
      <c r="E4815" t="inlineStr">
        <is>
          <t>UPPSALA</t>
        </is>
      </c>
      <c r="F4815" t="inlineStr">
        <is>
          <t>Allmännings- och besparingsskogar</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62310-2023</t>
        </is>
      </c>
      <c r="B4816" s="1" t="n">
        <v>45267</v>
      </c>
      <c r="C4816" s="1" t="n">
        <v>45706</v>
      </c>
      <c r="D4816" t="inlineStr">
        <is>
          <t>UPPSALA LÄN</t>
        </is>
      </c>
      <c r="E4816" t="inlineStr">
        <is>
          <t>HEBY</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62265-2023</t>
        </is>
      </c>
      <c r="B4817" s="1" t="n">
        <v>45267</v>
      </c>
      <c r="C4817" s="1" t="n">
        <v>45706</v>
      </c>
      <c r="D4817" t="inlineStr">
        <is>
          <t>UPPSALA LÄN</t>
        </is>
      </c>
      <c r="E4817" t="inlineStr">
        <is>
          <t>ENKÖPING</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62627-2023</t>
        </is>
      </c>
      <c r="B4818" s="1" t="n">
        <v>45268</v>
      </c>
      <c r="C4818" s="1" t="n">
        <v>45706</v>
      </c>
      <c r="D4818" t="inlineStr">
        <is>
          <t>UPPSALA LÄN</t>
        </is>
      </c>
      <c r="E4818" t="inlineStr">
        <is>
          <t>UPPSALA</t>
        </is>
      </c>
      <c r="G4818" t="n">
        <v>7.6</v>
      </c>
      <c r="H4818" t="n">
        <v>0</v>
      </c>
      <c r="I4818" t="n">
        <v>0</v>
      </c>
      <c r="J4818" t="n">
        <v>0</v>
      </c>
      <c r="K4818" t="n">
        <v>0</v>
      </c>
      <c r="L4818" t="n">
        <v>0</v>
      </c>
      <c r="M4818" t="n">
        <v>0</v>
      </c>
      <c r="N4818" t="n">
        <v>0</v>
      </c>
      <c r="O4818" t="n">
        <v>0</v>
      </c>
      <c r="P4818" t="n">
        <v>0</v>
      </c>
      <c r="Q4818" t="n">
        <v>0</v>
      </c>
      <c r="R4818" s="2" t="inlineStr"/>
      <c r="U4818">
        <f>HYPERLINK("https://klasma.github.io/Logging_0380/knärot/A 62627-2023 karta knärot.png", "A 62627-2023")</f>
        <v/>
      </c>
      <c r="V4818">
        <f>HYPERLINK("https://klasma.github.io/Logging_0380/klagomål/A 62627-2023 FSC-klagomål.docx", "A 62627-2023")</f>
        <v/>
      </c>
      <c r="W4818">
        <f>HYPERLINK("https://klasma.github.io/Logging_0380/klagomålsmail/A 62627-2023 FSC-klagomål mail.docx", "A 62627-2023")</f>
        <v/>
      </c>
      <c r="X4818">
        <f>HYPERLINK("https://klasma.github.io/Logging_0380/tillsyn/A 62627-2023 tillsynsbegäran.docx", "A 62627-2023")</f>
        <v/>
      </c>
      <c r="Y4818">
        <f>HYPERLINK("https://klasma.github.io/Logging_0380/tillsynsmail/A 62627-2023 tillsynsbegäran mail.docx", "A 62627-2023")</f>
        <v/>
      </c>
    </row>
    <row r="4819" ht="15" customHeight="1">
      <c r="A4819" t="inlineStr">
        <is>
          <t>A 62636-2023</t>
        </is>
      </c>
      <c r="B4819" s="1" t="n">
        <v>45268</v>
      </c>
      <c r="C4819" s="1" t="n">
        <v>45706</v>
      </c>
      <c r="D4819" t="inlineStr">
        <is>
          <t>UPPSALA LÄN</t>
        </is>
      </c>
      <c r="E4819" t="inlineStr">
        <is>
          <t>UPPSALA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62691-2023</t>
        </is>
      </c>
      <c r="B4820" s="1" t="n">
        <v>45268</v>
      </c>
      <c r="C4820" s="1" t="n">
        <v>45706</v>
      </c>
      <c r="D4820" t="inlineStr">
        <is>
          <t>UPPSALA LÄN</t>
        </is>
      </c>
      <c r="E4820" t="inlineStr">
        <is>
          <t>UPPSALA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62694-2023</t>
        </is>
      </c>
      <c r="B4821" s="1" t="n">
        <v>45268</v>
      </c>
      <c r="C4821" s="1" t="n">
        <v>45706</v>
      </c>
      <c r="D4821" t="inlineStr">
        <is>
          <t>UPPSALA LÄN</t>
        </is>
      </c>
      <c r="E4821" t="inlineStr">
        <is>
          <t>UPPSALA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62695-2023</t>
        </is>
      </c>
      <c r="B4822" s="1" t="n">
        <v>45271</v>
      </c>
      <c r="C4822" s="1" t="n">
        <v>45706</v>
      </c>
      <c r="D4822" t="inlineStr">
        <is>
          <t>UPPSALA LÄN</t>
        </is>
      </c>
      <c r="E4822" t="inlineStr">
        <is>
          <t>ÖSTHAMMAR</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62714-2023</t>
        </is>
      </c>
      <c r="B4823" s="1" t="n">
        <v>45271</v>
      </c>
      <c r="C4823" s="1" t="n">
        <v>45706</v>
      </c>
      <c r="D4823" t="inlineStr">
        <is>
          <t>UPPSALA LÄN</t>
        </is>
      </c>
      <c r="E4823" t="inlineStr">
        <is>
          <t>UPPSALA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62973-2023</t>
        </is>
      </c>
      <c r="B4824" s="1" t="n">
        <v>45272</v>
      </c>
      <c r="C4824" s="1" t="n">
        <v>45706</v>
      </c>
      <c r="D4824" t="inlineStr">
        <is>
          <t>UPPSALA LÄN</t>
        </is>
      </c>
      <c r="E4824" t="inlineStr">
        <is>
          <t>HEBY</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62872-2023</t>
        </is>
      </c>
      <c r="B4825" s="1" t="n">
        <v>45272</v>
      </c>
      <c r="C4825" s="1" t="n">
        <v>45706</v>
      </c>
      <c r="D4825" t="inlineStr">
        <is>
          <t>UPPSALA LÄN</t>
        </is>
      </c>
      <c r="E4825" t="inlineStr">
        <is>
          <t>HEBY</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62974-2023</t>
        </is>
      </c>
      <c r="B4826" s="1" t="n">
        <v>45272</v>
      </c>
      <c r="C4826" s="1" t="n">
        <v>45706</v>
      </c>
      <c r="D4826" t="inlineStr">
        <is>
          <t>UPPSALA LÄN</t>
        </is>
      </c>
      <c r="E4826" t="inlineStr">
        <is>
          <t>HEBY</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63037-2023</t>
        </is>
      </c>
      <c r="B4827" s="1" t="n">
        <v>45272</v>
      </c>
      <c r="C4827" s="1" t="n">
        <v>45706</v>
      </c>
      <c r="D4827" t="inlineStr">
        <is>
          <t>UPPSALA LÄN</t>
        </is>
      </c>
      <c r="E4827" t="inlineStr">
        <is>
          <t>HEBY</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63112-2023</t>
        </is>
      </c>
      <c r="B4828" s="1" t="n">
        <v>45273</v>
      </c>
      <c r="C4828" s="1" t="n">
        <v>45706</v>
      </c>
      <c r="D4828" t="inlineStr">
        <is>
          <t>UPPSALA LÄN</t>
        </is>
      </c>
      <c r="E4828" t="inlineStr">
        <is>
          <t>HEBY</t>
        </is>
      </c>
      <c r="G4828" t="n">
        <v>10.8</v>
      </c>
      <c r="H4828" t="n">
        <v>0</v>
      </c>
      <c r="I4828" t="n">
        <v>0</v>
      </c>
      <c r="J4828" t="n">
        <v>0</v>
      </c>
      <c r="K4828" t="n">
        <v>0</v>
      </c>
      <c r="L4828" t="n">
        <v>0</v>
      </c>
      <c r="M4828" t="n">
        <v>0</v>
      </c>
      <c r="N4828" t="n">
        <v>0</v>
      </c>
      <c r="O4828" t="n">
        <v>0</v>
      </c>
      <c r="P4828" t="n">
        <v>0</v>
      </c>
      <c r="Q4828" t="n">
        <v>0</v>
      </c>
      <c r="R4828" s="2" t="inlineStr"/>
    </row>
    <row r="4829" ht="15" customHeight="1">
      <c r="A4829" t="inlineStr">
        <is>
          <t>A 63163-2023</t>
        </is>
      </c>
      <c r="B4829" s="1" t="n">
        <v>45273</v>
      </c>
      <c r="C4829" s="1" t="n">
        <v>45706</v>
      </c>
      <c r="D4829" t="inlineStr">
        <is>
          <t>UPPSALA LÄN</t>
        </is>
      </c>
      <c r="E4829" t="inlineStr">
        <is>
          <t>UPPSALA</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63474-2023</t>
        </is>
      </c>
      <c r="B4830" s="1" t="n">
        <v>45273</v>
      </c>
      <c r="C4830" s="1" t="n">
        <v>45706</v>
      </c>
      <c r="D4830" t="inlineStr">
        <is>
          <t>UPPSALA LÄN</t>
        </is>
      </c>
      <c r="E4830" t="inlineStr">
        <is>
          <t>HÅBO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63431-2023</t>
        </is>
      </c>
      <c r="B4831" s="1" t="n">
        <v>45274</v>
      </c>
      <c r="C4831" s="1" t="n">
        <v>45706</v>
      </c>
      <c r="D4831" t="inlineStr">
        <is>
          <t>UPPSALA LÄN</t>
        </is>
      </c>
      <c r="E4831" t="inlineStr">
        <is>
          <t>ENKÖPING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63404-2023</t>
        </is>
      </c>
      <c r="B4832" s="1" t="n">
        <v>45274</v>
      </c>
      <c r="C4832" s="1" t="n">
        <v>45706</v>
      </c>
      <c r="D4832" t="inlineStr">
        <is>
          <t>UPPSALA LÄN</t>
        </is>
      </c>
      <c r="E4832" t="inlineStr">
        <is>
          <t>ENKÖPING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63402-2023</t>
        </is>
      </c>
      <c r="B4833" s="1" t="n">
        <v>45274</v>
      </c>
      <c r="C4833" s="1" t="n">
        <v>45706</v>
      </c>
      <c r="D4833" t="inlineStr">
        <is>
          <t>UPPSALA LÄN</t>
        </is>
      </c>
      <c r="E4833" t="inlineStr">
        <is>
          <t>ENKÖPING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63406-2023</t>
        </is>
      </c>
      <c r="B4834" s="1" t="n">
        <v>45274</v>
      </c>
      <c r="C4834" s="1" t="n">
        <v>45706</v>
      </c>
      <c r="D4834" t="inlineStr">
        <is>
          <t>UPPSALA LÄN</t>
        </is>
      </c>
      <c r="E4834" t="inlineStr">
        <is>
          <t>ENKÖPING</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63578-2023</t>
        </is>
      </c>
      <c r="B4835" s="1" t="n">
        <v>45275</v>
      </c>
      <c r="C4835" s="1" t="n">
        <v>45706</v>
      </c>
      <c r="D4835" t="inlineStr">
        <is>
          <t>UPPSALA LÄN</t>
        </is>
      </c>
      <c r="E4835" t="inlineStr">
        <is>
          <t>UPPSALA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63646-2023</t>
        </is>
      </c>
      <c r="B4836" s="1" t="n">
        <v>45275</v>
      </c>
      <c r="C4836" s="1" t="n">
        <v>45706</v>
      </c>
      <c r="D4836" t="inlineStr">
        <is>
          <t>UPPSALA LÄN</t>
        </is>
      </c>
      <c r="E4836" t="inlineStr">
        <is>
          <t>TIERP</t>
        </is>
      </c>
      <c r="F4836" t="inlineStr">
        <is>
          <t>Övriga Aktiebolag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63579-2023</t>
        </is>
      </c>
      <c r="B4837" s="1" t="n">
        <v>45275</v>
      </c>
      <c r="C4837" s="1" t="n">
        <v>45706</v>
      </c>
      <c r="D4837" t="inlineStr">
        <is>
          <t>UPPSALA LÄN</t>
        </is>
      </c>
      <c r="E4837" t="inlineStr">
        <is>
          <t>UPPSALA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63663-2023</t>
        </is>
      </c>
      <c r="B4838" s="1" t="n">
        <v>45275</v>
      </c>
      <c r="C4838" s="1" t="n">
        <v>45706</v>
      </c>
      <c r="D4838" t="inlineStr">
        <is>
          <t>UPPSALA LÄN</t>
        </is>
      </c>
      <c r="E4838" t="inlineStr">
        <is>
          <t>TIERP</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63641-2023</t>
        </is>
      </c>
      <c r="B4839" s="1" t="n">
        <v>45275</v>
      </c>
      <c r="C4839" s="1" t="n">
        <v>45706</v>
      </c>
      <c r="D4839" t="inlineStr">
        <is>
          <t>UPPSALA LÄN</t>
        </is>
      </c>
      <c r="E4839" t="inlineStr">
        <is>
          <t>TIERP</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63649-2023</t>
        </is>
      </c>
      <c r="B4840" s="1" t="n">
        <v>45275</v>
      </c>
      <c r="C4840" s="1" t="n">
        <v>45706</v>
      </c>
      <c r="D4840" t="inlineStr">
        <is>
          <t>UPPSALA LÄN</t>
        </is>
      </c>
      <c r="E4840" t="inlineStr">
        <is>
          <t>TIERP</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63576-2023</t>
        </is>
      </c>
      <c r="B4841" s="1" t="n">
        <v>45275</v>
      </c>
      <c r="C4841" s="1" t="n">
        <v>45706</v>
      </c>
      <c r="D4841" t="inlineStr">
        <is>
          <t>UPPSALA LÄN</t>
        </is>
      </c>
      <c r="E4841" t="inlineStr">
        <is>
          <t>UPPSALA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63588-2023</t>
        </is>
      </c>
      <c r="B4842" s="1" t="n">
        <v>45275</v>
      </c>
      <c r="C4842" s="1" t="n">
        <v>45706</v>
      </c>
      <c r="D4842" t="inlineStr">
        <is>
          <t>UPPSALA LÄN</t>
        </is>
      </c>
      <c r="E4842" t="inlineStr">
        <is>
          <t>UPPSALA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63698-2023</t>
        </is>
      </c>
      <c r="B4843" s="1" t="n">
        <v>45275</v>
      </c>
      <c r="C4843" s="1" t="n">
        <v>45706</v>
      </c>
      <c r="D4843" t="inlineStr">
        <is>
          <t>UPPSALA LÄN</t>
        </is>
      </c>
      <c r="E4843" t="inlineStr">
        <is>
          <t>UPPSALA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63940-2023</t>
        </is>
      </c>
      <c r="B4844" s="1" t="n">
        <v>45278</v>
      </c>
      <c r="C4844" s="1" t="n">
        <v>45706</v>
      </c>
      <c r="D4844" t="inlineStr">
        <is>
          <t>UPPSALA LÄN</t>
        </is>
      </c>
      <c r="E4844" t="inlineStr">
        <is>
          <t>HEBY</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63982-2023</t>
        </is>
      </c>
      <c r="B4845" s="1" t="n">
        <v>45278</v>
      </c>
      <c r="C4845" s="1" t="n">
        <v>45706</v>
      </c>
      <c r="D4845" t="inlineStr">
        <is>
          <t>UPPSALA LÄN</t>
        </is>
      </c>
      <c r="E4845" t="inlineStr">
        <is>
          <t>HEBY</t>
        </is>
      </c>
      <c r="F4845" t="inlineStr">
        <is>
          <t>Kyrkan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63980-2023</t>
        </is>
      </c>
      <c r="B4846" s="1" t="n">
        <v>45278</v>
      </c>
      <c r="C4846" s="1" t="n">
        <v>45706</v>
      </c>
      <c r="D4846" t="inlineStr">
        <is>
          <t>UPPSALA LÄN</t>
        </is>
      </c>
      <c r="E4846" t="inlineStr">
        <is>
          <t>HEBY</t>
        </is>
      </c>
      <c r="F4846" t="inlineStr">
        <is>
          <t>Kyrkan</t>
        </is>
      </c>
      <c r="G4846" t="n">
        <v>16.3</v>
      </c>
      <c r="H4846" t="n">
        <v>0</v>
      </c>
      <c r="I4846" t="n">
        <v>0</v>
      </c>
      <c r="J4846" t="n">
        <v>0</v>
      </c>
      <c r="K4846" t="n">
        <v>0</v>
      </c>
      <c r="L4846" t="n">
        <v>0</v>
      </c>
      <c r="M4846" t="n">
        <v>0</v>
      </c>
      <c r="N4846" t="n">
        <v>0</v>
      </c>
      <c r="O4846" t="n">
        <v>0</v>
      </c>
      <c r="P4846" t="n">
        <v>0</v>
      </c>
      <c r="Q4846" t="n">
        <v>0</v>
      </c>
      <c r="R4846" s="2" t="inlineStr"/>
    </row>
    <row r="4847" ht="15" customHeight="1">
      <c r="A4847" t="inlineStr">
        <is>
          <t>A 63983-2023</t>
        </is>
      </c>
      <c r="B4847" s="1" t="n">
        <v>45278</v>
      </c>
      <c r="C4847" s="1" t="n">
        <v>45706</v>
      </c>
      <c r="D4847" t="inlineStr">
        <is>
          <t>UPPSALA LÄN</t>
        </is>
      </c>
      <c r="E4847" t="inlineStr">
        <is>
          <t>HEBY</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64079-2023</t>
        </is>
      </c>
      <c r="B4848" s="1" t="n">
        <v>45279</v>
      </c>
      <c r="C4848" s="1" t="n">
        <v>45706</v>
      </c>
      <c r="D4848" t="inlineStr">
        <is>
          <t>UPPSALA LÄN</t>
        </is>
      </c>
      <c r="E4848" t="inlineStr">
        <is>
          <t>UPPSALA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64128-2023</t>
        </is>
      </c>
      <c r="B4849" s="1" t="n">
        <v>45279</v>
      </c>
      <c r="C4849" s="1" t="n">
        <v>45706</v>
      </c>
      <c r="D4849" t="inlineStr">
        <is>
          <t>UPPSALA LÄN</t>
        </is>
      </c>
      <c r="E4849" t="inlineStr">
        <is>
          <t>TIERP</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64132-2023</t>
        </is>
      </c>
      <c r="B4850" s="1" t="n">
        <v>45279</v>
      </c>
      <c r="C4850" s="1" t="n">
        <v>45706</v>
      </c>
      <c r="D4850" t="inlineStr">
        <is>
          <t>UPPSALA LÄN</t>
        </is>
      </c>
      <c r="E4850" t="inlineStr">
        <is>
          <t>TIERP</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64129-2023</t>
        </is>
      </c>
      <c r="B4851" s="1" t="n">
        <v>45279</v>
      </c>
      <c r="C4851" s="1" t="n">
        <v>45706</v>
      </c>
      <c r="D4851" t="inlineStr">
        <is>
          <t>UPPSALA LÄN</t>
        </is>
      </c>
      <c r="E4851" t="inlineStr">
        <is>
          <t>TIERP</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64135-2023</t>
        </is>
      </c>
      <c r="B4852" s="1" t="n">
        <v>45279</v>
      </c>
      <c r="C4852" s="1" t="n">
        <v>45706</v>
      </c>
      <c r="D4852" t="inlineStr">
        <is>
          <t>UPPSALA LÄN</t>
        </is>
      </c>
      <c r="E4852" t="inlineStr">
        <is>
          <t>TIERP</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64180-2023</t>
        </is>
      </c>
      <c r="B4853" s="1" t="n">
        <v>45279</v>
      </c>
      <c r="C4853" s="1" t="n">
        <v>45706</v>
      </c>
      <c r="D4853" t="inlineStr">
        <is>
          <t>UPPSALA LÄN</t>
        </is>
      </c>
      <c r="E4853" t="inlineStr">
        <is>
          <t>TIERP</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64191-2023</t>
        </is>
      </c>
      <c r="B4854" s="1" t="n">
        <v>45279</v>
      </c>
      <c r="C4854" s="1" t="n">
        <v>45706</v>
      </c>
      <c r="D4854" t="inlineStr">
        <is>
          <t>UPPSALA LÄN</t>
        </is>
      </c>
      <c r="E4854" t="inlineStr">
        <is>
          <t>HEBY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64540-2023</t>
        </is>
      </c>
      <c r="B4855" s="1" t="n">
        <v>45281</v>
      </c>
      <c r="C4855" s="1" t="n">
        <v>45706</v>
      </c>
      <c r="D4855" t="inlineStr">
        <is>
          <t>UPPSALA LÄN</t>
        </is>
      </c>
      <c r="E4855" t="inlineStr">
        <is>
          <t>TIERP</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64557-2023</t>
        </is>
      </c>
      <c r="B4856" s="1" t="n">
        <v>45281</v>
      </c>
      <c r="C4856" s="1" t="n">
        <v>45706</v>
      </c>
      <c r="D4856" t="inlineStr">
        <is>
          <t>UPPSALA LÄN</t>
        </is>
      </c>
      <c r="E4856" t="inlineStr">
        <is>
          <t>TIERP</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64624-2023</t>
        </is>
      </c>
      <c r="B4857" s="1" t="n">
        <v>45281</v>
      </c>
      <c r="C4857" s="1" t="n">
        <v>45706</v>
      </c>
      <c r="D4857" t="inlineStr">
        <is>
          <t>UPPSALA LÄN</t>
        </is>
      </c>
      <c r="E4857" t="inlineStr">
        <is>
          <t>TIERP</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64628-2023</t>
        </is>
      </c>
      <c r="B4858" s="1" t="n">
        <v>45281</v>
      </c>
      <c r="C4858" s="1" t="n">
        <v>45706</v>
      </c>
      <c r="D4858" t="inlineStr">
        <is>
          <t>UPPSALA LÄN</t>
        </is>
      </c>
      <c r="E4858" t="inlineStr">
        <is>
          <t>TIERP</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64782-2023</t>
        </is>
      </c>
      <c r="B4859" s="1" t="n">
        <v>45282</v>
      </c>
      <c r="C4859" s="1" t="n">
        <v>45706</v>
      </c>
      <c r="D4859" t="inlineStr">
        <is>
          <t>UPPSALA LÄN</t>
        </is>
      </c>
      <c r="E4859" t="inlineStr">
        <is>
          <t>TIERP</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64774-2023</t>
        </is>
      </c>
      <c r="B4860" s="1" t="n">
        <v>45282</v>
      </c>
      <c r="C4860" s="1" t="n">
        <v>45706</v>
      </c>
      <c r="D4860" t="inlineStr">
        <is>
          <t>UPPSALA LÄN</t>
        </is>
      </c>
      <c r="E4860" t="inlineStr">
        <is>
          <t>ÖSTHAMMAR</t>
        </is>
      </c>
      <c r="F4860" t="inlineStr">
        <is>
          <t>Övriga Aktiebolag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64800-2023</t>
        </is>
      </c>
      <c r="B4861" s="1" t="n">
        <v>45282</v>
      </c>
      <c r="C4861" s="1" t="n">
        <v>45706</v>
      </c>
      <c r="D4861" t="inlineStr">
        <is>
          <t>UPPSALA LÄN</t>
        </is>
      </c>
      <c r="E4861" t="inlineStr">
        <is>
          <t>ENKÖPING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64806-2023</t>
        </is>
      </c>
      <c r="B4862" s="1" t="n">
        <v>45282</v>
      </c>
      <c r="C4862" s="1" t="n">
        <v>45706</v>
      </c>
      <c r="D4862" t="inlineStr">
        <is>
          <t>UPPSALA LÄN</t>
        </is>
      </c>
      <c r="E4862" t="inlineStr">
        <is>
          <t>UPPSALA</t>
        </is>
      </c>
      <c r="F4862" t="inlineStr">
        <is>
          <t>Kyrkan</t>
        </is>
      </c>
      <c r="G4862" t="n">
        <v>19.3</v>
      </c>
      <c r="H4862" t="n">
        <v>0</v>
      </c>
      <c r="I4862" t="n">
        <v>0</v>
      </c>
      <c r="J4862" t="n">
        <v>0</v>
      </c>
      <c r="K4862" t="n">
        <v>0</v>
      </c>
      <c r="L4862" t="n">
        <v>0</v>
      </c>
      <c r="M4862" t="n">
        <v>0</v>
      </c>
      <c r="N4862" t="n">
        <v>0</v>
      </c>
      <c r="O4862" t="n">
        <v>0</v>
      </c>
      <c r="P4862" t="n">
        <v>0</v>
      </c>
      <c r="Q4862" t="n">
        <v>0</v>
      </c>
      <c r="R4862" s="2" t="inlineStr"/>
    </row>
    <row r="4863" ht="15" customHeight="1">
      <c r="A4863" t="inlineStr">
        <is>
          <t>A 64880-2023</t>
        </is>
      </c>
      <c r="B4863" s="1" t="n">
        <v>45282</v>
      </c>
      <c r="C4863" s="1" t="n">
        <v>45706</v>
      </c>
      <c r="D4863" t="inlineStr">
        <is>
          <t>UPPSALA LÄN</t>
        </is>
      </c>
      <c r="E4863" t="inlineStr">
        <is>
          <t>UPPSALA</t>
        </is>
      </c>
      <c r="F4863" t="inlineStr">
        <is>
          <t>Kommuner</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64888-2023</t>
        </is>
      </c>
      <c r="B4864" s="1" t="n">
        <v>45282</v>
      </c>
      <c r="C4864" s="1" t="n">
        <v>45706</v>
      </c>
      <c r="D4864" t="inlineStr">
        <is>
          <t>UPPSALA LÄN</t>
        </is>
      </c>
      <c r="E4864" t="inlineStr">
        <is>
          <t>HEBY</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64914-2023</t>
        </is>
      </c>
      <c r="B4865" s="1" t="n">
        <v>45282</v>
      </c>
      <c r="C4865" s="1" t="n">
        <v>45706</v>
      </c>
      <c r="D4865" t="inlineStr">
        <is>
          <t>UPPSALA LÄN</t>
        </is>
      </c>
      <c r="E4865" t="inlineStr">
        <is>
          <t>TIERP</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64911-2023</t>
        </is>
      </c>
      <c r="B4866" s="1" t="n">
        <v>45282</v>
      </c>
      <c r="C4866" s="1" t="n">
        <v>45706</v>
      </c>
      <c r="D4866" t="inlineStr">
        <is>
          <t>UPPSALA LÄN</t>
        </is>
      </c>
      <c r="E4866" t="inlineStr">
        <is>
          <t>TIERP</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65149-2023</t>
        </is>
      </c>
      <c r="B4867" s="1" t="n">
        <v>45288</v>
      </c>
      <c r="C4867" s="1" t="n">
        <v>45706</v>
      </c>
      <c r="D4867" t="inlineStr">
        <is>
          <t>UPPSALA LÄN</t>
        </is>
      </c>
      <c r="E4867" t="inlineStr">
        <is>
          <t>UPPSALA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17-2024</t>
        </is>
      </c>
      <c r="B4868" s="1" t="n">
        <v>45293</v>
      </c>
      <c r="C4868" s="1" t="n">
        <v>45706</v>
      </c>
      <c r="D4868" t="inlineStr">
        <is>
          <t>UPPSALA LÄN</t>
        </is>
      </c>
      <c r="E4868" t="inlineStr">
        <is>
          <t>HEBY</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15-2024</t>
        </is>
      </c>
      <c r="B4869" s="1" t="n">
        <v>45293</v>
      </c>
      <c r="C4869" s="1" t="n">
        <v>45706</v>
      </c>
      <c r="D4869" t="inlineStr">
        <is>
          <t>UPPSALA LÄN</t>
        </is>
      </c>
      <c r="E4869" t="inlineStr">
        <is>
          <t>HEBY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45-2024</t>
        </is>
      </c>
      <c r="B4870" s="1" t="n">
        <v>45293</v>
      </c>
      <c r="C4870" s="1" t="n">
        <v>45706</v>
      </c>
      <c r="D4870" t="inlineStr">
        <is>
          <t>UPPSALA LÄN</t>
        </is>
      </c>
      <c r="E4870" t="inlineStr">
        <is>
          <t>UPPSALA</t>
        </is>
      </c>
      <c r="G4870" t="n">
        <v>12.5</v>
      </c>
      <c r="H4870" t="n">
        <v>0</v>
      </c>
      <c r="I4870" t="n">
        <v>0</v>
      </c>
      <c r="J4870" t="n">
        <v>0</v>
      </c>
      <c r="K4870" t="n">
        <v>0</v>
      </c>
      <c r="L4870" t="n">
        <v>0</v>
      </c>
      <c r="M4870" t="n">
        <v>0</v>
      </c>
      <c r="N4870" t="n">
        <v>0</v>
      </c>
      <c r="O4870" t="n">
        <v>0</v>
      </c>
      <c r="P4870" t="n">
        <v>0</v>
      </c>
      <c r="Q4870" t="n">
        <v>0</v>
      </c>
      <c r="R4870" s="2" t="inlineStr"/>
    </row>
    <row r="4871" ht="15" customHeight="1">
      <c r="A4871" t="inlineStr">
        <is>
          <t>A 43-2024</t>
        </is>
      </c>
      <c r="B4871" s="1" t="n">
        <v>45293</v>
      </c>
      <c r="C4871" s="1" t="n">
        <v>45706</v>
      </c>
      <c r="D4871" t="inlineStr">
        <is>
          <t>UPPSALA LÄN</t>
        </is>
      </c>
      <c r="E4871" t="inlineStr">
        <is>
          <t>UPPSALA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179-2024</t>
        </is>
      </c>
      <c r="B4872" s="1" t="n">
        <v>45294</v>
      </c>
      <c r="C4872" s="1" t="n">
        <v>45706</v>
      </c>
      <c r="D4872" t="inlineStr">
        <is>
          <t>UPPSALA LÄN</t>
        </is>
      </c>
      <c r="E4872" t="inlineStr">
        <is>
          <t>UPPSALA</t>
        </is>
      </c>
      <c r="F4872" t="inlineStr">
        <is>
          <t>Bergvik skog öst AB</t>
        </is>
      </c>
      <c r="G4872" t="n">
        <v>12.7</v>
      </c>
      <c r="H4872" t="n">
        <v>0</v>
      </c>
      <c r="I4872" t="n">
        <v>0</v>
      </c>
      <c r="J4872" t="n">
        <v>0</v>
      </c>
      <c r="K4872" t="n">
        <v>0</v>
      </c>
      <c r="L4872" t="n">
        <v>0</v>
      </c>
      <c r="M4872" t="n">
        <v>0</v>
      </c>
      <c r="N4872" t="n">
        <v>0</v>
      </c>
      <c r="O4872" t="n">
        <v>0</v>
      </c>
      <c r="P4872" t="n">
        <v>0</v>
      </c>
      <c r="Q4872" t="n">
        <v>0</v>
      </c>
      <c r="R4872" s="2" t="inlineStr"/>
    </row>
    <row r="4873" ht="15" customHeight="1">
      <c r="A4873" t="inlineStr">
        <is>
          <t>A 191-2024</t>
        </is>
      </c>
      <c r="B4873" s="1" t="n">
        <v>45294</v>
      </c>
      <c r="C4873" s="1" t="n">
        <v>45706</v>
      </c>
      <c r="D4873" t="inlineStr">
        <is>
          <t>UPPSALA LÄN</t>
        </is>
      </c>
      <c r="E4873" t="inlineStr">
        <is>
          <t>HEBY</t>
        </is>
      </c>
      <c r="F4873" t="inlineStr">
        <is>
          <t>Kommuner</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189-2024</t>
        </is>
      </c>
      <c r="B4874" s="1" t="n">
        <v>45294</v>
      </c>
      <c r="C4874" s="1" t="n">
        <v>45706</v>
      </c>
      <c r="D4874" t="inlineStr">
        <is>
          <t>UPPSALA LÄN</t>
        </is>
      </c>
      <c r="E4874" t="inlineStr">
        <is>
          <t>HEBY</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193-2024</t>
        </is>
      </c>
      <c r="B4875" s="1" t="n">
        <v>45294</v>
      </c>
      <c r="C4875" s="1" t="n">
        <v>45706</v>
      </c>
      <c r="D4875" t="inlineStr">
        <is>
          <t>UPPSALA LÄN</t>
        </is>
      </c>
      <c r="E4875" t="inlineStr">
        <is>
          <t>HEBY</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206-2024</t>
        </is>
      </c>
      <c r="B4876" s="1" t="n">
        <v>45294</v>
      </c>
      <c r="C4876" s="1" t="n">
        <v>45706</v>
      </c>
      <c r="D4876" t="inlineStr">
        <is>
          <t>UPPSALA LÄN</t>
        </is>
      </c>
      <c r="E4876" t="inlineStr">
        <is>
          <t>HEBY</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203-2024</t>
        </is>
      </c>
      <c r="B4877" s="1" t="n">
        <v>45294</v>
      </c>
      <c r="C4877" s="1" t="n">
        <v>45706</v>
      </c>
      <c r="D4877" t="inlineStr">
        <is>
          <t>UPPSALA LÄN</t>
        </is>
      </c>
      <c r="E4877" t="inlineStr">
        <is>
          <t>HEBY</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351-2024</t>
        </is>
      </c>
      <c r="B4878" s="1" t="n">
        <v>45295</v>
      </c>
      <c r="C4878" s="1" t="n">
        <v>45706</v>
      </c>
      <c r="D4878" t="inlineStr">
        <is>
          <t>UPPSALA LÄN</t>
        </is>
      </c>
      <c r="E4878" t="inlineStr">
        <is>
          <t>ENKÖPING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337-2024</t>
        </is>
      </c>
      <c r="B4879" s="1" t="n">
        <v>45295</v>
      </c>
      <c r="C4879" s="1" t="n">
        <v>45706</v>
      </c>
      <c r="D4879" t="inlineStr">
        <is>
          <t>UPPSALA LÄN</t>
        </is>
      </c>
      <c r="E4879" t="inlineStr">
        <is>
          <t>HEBY</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341-2024</t>
        </is>
      </c>
      <c r="B4880" s="1" t="n">
        <v>45295</v>
      </c>
      <c r="C4880" s="1" t="n">
        <v>45706</v>
      </c>
      <c r="D4880" t="inlineStr">
        <is>
          <t>UPPSALA LÄN</t>
        </is>
      </c>
      <c r="E4880" t="inlineStr">
        <is>
          <t>UPPSALA</t>
        </is>
      </c>
      <c r="F4880" t="inlineStr">
        <is>
          <t>Allmännings- och besparingsskogar</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358-2024</t>
        </is>
      </c>
      <c r="B4881" s="1" t="n">
        <v>45295</v>
      </c>
      <c r="C4881" s="1" t="n">
        <v>45706</v>
      </c>
      <c r="D4881" t="inlineStr">
        <is>
          <t>UPPSALA LÄN</t>
        </is>
      </c>
      <c r="E4881" t="inlineStr">
        <is>
          <t>UPPSALA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352-2024</t>
        </is>
      </c>
      <c r="B4882" s="1" t="n">
        <v>45295</v>
      </c>
      <c r="C4882" s="1" t="n">
        <v>45706</v>
      </c>
      <c r="D4882" t="inlineStr">
        <is>
          <t>UPPSALA LÄN</t>
        </is>
      </c>
      <c r="E4882" t="inlineStr">
        <is>
          <t>ENKÖPING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353-2024</t>
        </is>
      </c>
      <c r="B4883" s="1" t="n">
        <v>45295</v>
      </c>
      <c r="C4883" s="1" t="n">
        <v>45706</v>
      </c>
      <c r="D4883" t="inlineStr">
        <is>
          <t>UPPSALA LÄN</t>
        </is>
      </c>
      <c r="E4883" t="inlineStr">
        <is>
          <t>ENKÖPING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422-2024</t>
        </is>
      </c>
      <c r="B4884" s="1" t="n">
        <v>45296</v>
      </c>
      <c r="C4884" s="1" t="n">
        <v>45706</v>
      </c>
      <c r="D4884" t="inlineStr">
        <is>
          <t>UPPSALA LÄN</t>
        </is>
      </c>
      <c r="E4884" t="inlineStr">
        <is>
          <t>ENKÖPING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446-2024</t>
        </is>
      </c>
      <c r="B4885" s="1" t="n">
        <v>45296</v>
      </c>
      <c r="C4885" s="1" t="n">
        <v>45706</v>
      </c>
      <c r="D4885" t="inlineStr">
        <is>
          <t>UPPSALA LÄN</t>
        </is>
      </c>
      <c r="E4885" t="inlineStr">
        <is>
          <t>UPPSALA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408-2024</t>
        </is>
      </c>
      <c r="B4886" s="1" t="n">
        <v>45296</v>
      </c>
      <c r="C4886" s="1" t="n">
        <v>45706</v>
      </c>
      <c r="D4886" t="inlineStr">
        <is>
          <t>UPPSALA LÄN</t>
        </is>
      </c>
      <c r="E4886" t="inlineStr">
        <is>
          <t>TIERP</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420-2024</t>
        </is>
      </c>
      <c r="B4887" s="1" t="n">
        <v>45296</v>
      </c>
      <c r="C4887" s="1" t="n">
        <v>45706</v>
      </c>
      <c r="D4887" t="inlineStr">
        <is>
          <t>UPPSALA LÄN</t>
        </is>
      </c>
      <c r="E4887" t="inlineStr">
        <is>
          <t>ENKÖPING</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429-2024</t>
        </is>
      </c>
      <c r="B4888" s="1" t="n">
        <v>45296</v>
      </c>
      <c r="C4888" s="1" t="n">
        <v>45706</v>
      </c>
      <c r="D4888" t="inlineStr">
        <is>
          <t>UPPSALA LÄN</t>
        </is>
      </c>
      <c r="E4888" t="inlineStr">
        <is>
          <t>TIERP</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449-2024</t>
        </is>
      </c>
      <c r="B4889" s="1" t="n">
        <v>45296</v>
      </c>
      <c r="C4889" s="1" t="n">
        <v>45706</v>
      </c>
      <c r="D4889" t="inlineStr">
        <is>
          <t>UPPSALA LÄN</t>
        </is>
      </c>
      <c r="E4889" t="inlineStr">
        <is>
          <t>UPPSALA</t>
        </is>
      </c>
      <c r="G4889" t="n">
        <v>1</v>
      </c>
      <c r="H4889" t="n">
        <v>0</v>
      </c>
      <c r="I4889" t="n">
        <v>0</v>
      </c>
      <c r="J4889" t="n">
        <v>0</v>
      </c>
      <c r="K4889" t="n">
        <v>0</v>
      </c>
      <c r="L4889" t="n">
        <v>0</v>
      </c>
      <c r="M4889" t="n">
        <v>0</v>
      </c>
      <c r="N4889" t="n">
        <v>0</v>
      </c>
      <c r="O4889" t="n">
        <v>0</v>
      </c>
      <c r="P4889" t="n">
        <v>0</v>
      </c>
      <c r="Q4889" t="n">
        <v>0</v>
      </c>
      <c r="R4889" s="2" t="inlineStr"/>
      <c r="U4889">
        <f>HYPERLINK("https://klasma.github.io/Logging_0380/knärot/A 449-2024 karta knärot.png", "A 449-2024")</f>
        <v/>
      </c>
      <c r="V4889">
        <f>HYPERLINK("https://klasma.github.io/Logging_0380/klagomål/A 449-2024 FSC-klagomål.docx", "A 449-2024")</f>
        <v/>
      </c>
      <c r="W4889">
        <f>HYPERLINK("https://klasma.github.io/Logging_0380/klagomålsmail/A 449-2024 FSC-klagomål mail.docx", "A 449-2024")</f>
        <v/>
      </c>
      <c r="X4889">
        <f>HYPERLINK("https://klasma.github.io/Logging_0380/tillsyn/A 449-2024 tillsynsbegäran.docx", "A 449-2024")</f>
        <v/>
      </c>
      <c r="Y4889">
        <f>HYPERLINK("https://klasma.github.io/Logging_0380/tillsynsmail/A 449-2024 tillsynsbegäran mail.docx", "A 449-2024")</f>
        <v/>
      </c>
    </row>
    <row r="4890" ht="15" customHeight="1">
      <c r="A4890" t="inlineStr">
        <is>
          <t>A 582-2024</t>
        </is>
      </c>
      <c r="B4890" s="1" t="n">
        <v>45299</v>
      </c>
      <c r="C4890" s="1" t="n">
        <v>45706</v>
      </c>
      <c r="D4890" t="inlineStr">
        <is>
          <t>UPPSALA LÄN</t>
        </is>
      </c>
      <c r="E4890" t="inlineStr">
        <is>
          <t>ENKÖPING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580-2024</t>
        </is>
      </c>
      <c r="B4891" s="1" t="n">
        <v>45299</v>
      </c>
      <c r="C4891" s="1" t="n">
        <v>45706</v>
      </c>
      <c r="D4891" t="inlineStr">
        <is>
          <t>UPPSALA LÄN</t>
        </is>
      </c>
      <c r="E4891" t="inlineStr">
        <is>
          <t>ENKÖPING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600-2024</t>
        </is>
      </c>
      <c r="B4892" s="1" t="n">
        <v>45299</v>
      </c>
      <c r="C4892" s="1" t="n">
        <v>45706</v>
      </c>
      <c r="D4892" t="inlineStr">
        <is>
          <t>UPPSALA LÄN</t>
        </is>
      </c>
      <c r="E4892" t="inlineStr">
        <is>
          <t>UPPSALA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787-2024</t>
        </is>
      </c>
      <c r="B4893" s="1" t="n">
        <v>45300</v>
      </c>
      <c r="C4893" s="1" t="n">
        <v>45706</v>
      </c>
      <c r="D4893" t="inlineStr">
        <is>
          <t>UPPSALA LÄN</t>
        </is>
      </c>
      <c r="E4893" t="inlineStr">
        <is>
          <t>UPPSALA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784-2024</t>
        </is>
      </c>
      <c r="B4894" s="1" t="n">
        <v>45300</v>
      </c>
      <c r="C4894" s="1" t="n">
        <v>45706</v>
      </c>
      <c r="D4894" t="inlineStr">
        <is>
          <t>UPPSALA LÄN</t>
        </is>
      </c>
      <c r="E4894" t="inlineStr">
        <is>
          <t>UPPSALA</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792-2024</t>
        </is>
      </c>
      <c r="B4895" s="1" t="n">
        <v>45300</v>
      </c>
      <c r="C4895" s="1" t="n">
        <v>45706</v>
      </c>
      <c r="D4895" t="inlineStr">
        <is>
          <t>UPPSALA LÄN</t>
        </is>
      </c>
      <c r="E4895" t="inlineStr">
        <is>
          <t>KNIVSTA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781-2024</t>
        </is>
      </c>
      <c r="B4896" s="1" t="n">
        <v>45300</v>
      </c>
      <c r="C4896" s="1" t="n">
        <v>45706</v>
      </c>
      <c r="D4896" t="inlineStr">
        <is>
          <t>UPPSALA LÄN</t>
        </is>
      </c>
      <c r="E4896" t="inlineStr">
        <is>
          <t>UPPSALA</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794-2024</t>
        </is>
      </c>
      <c r="B4897" s="1" t="n">
        <v>45300</v>
      </c>
      <c r="C4897" s="1" t="n">
        <v>45706</v>
      </c>
      <c r="D4897" t="inlineStr">
        <is>
          <t>UPPSALA LÄN</t>
        </is>
      </c>
      <c r="E4897" t="inlineStr">
        <is>
          <t>KNIVSTA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895-2024</t>
        </is>
      </c>
      <c r="B4898" s="1" t="n">
        <v>45301</v>
      </c>
      <c r="C4898" s="1" t="n">
        <v>45706</v>
      </c>
      <c r="D4898" t="inlineStr">
        <is>
          <t>UPPSALA LÄN</t>
        </is>
      </c>
      <c r="E4898" t="inlineStr">
        <is>
          <t>ÄLVKARLEBY</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967-2024</t>
        </is>
      </c>
      <c r="B4899" s="1" t="n">
        <v>45301</v>
      </c>
      <c r="C4899" s="1" t="n">
        <v>45706</v>
      </c>
      <c r="D4899" t="inlineStr">
        <is>
          <t>UPPSALA LÄN</t>
        </is>
      </c>
      <c r="E4899" t="inlineStr">
        <is>
          <t>TIERP</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953-2024</t>
        </is>
      </c>
      <c r="B4900" s="1" t="n">
        <v>45301</v>
      </c>
      <c r="C4900" s="1" t="n">
        <v>45706</v>
      </c>
      <c r="D4900" t="inlineStr">
        <is>
          <t>UPPSALA LÄN</t>
        </is>
      </c>
      <c r="E4900" t="inlineStr">
        <is>
          <t>TIERP</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986-2024</t>
        </is>
      </c>
      <c r="B4901" s="1" t="n">
        <v>45301</v>
      </c>
      <c r="C4901" s="1" t="n">
        <v>45706</v>
      </c>
      <c r="D4901" t="inlineStr">
        <is>
          <t>UPPSALA LÄN</t>
        </is>
      </c>
      <c r="E4901" t="inlineStr">
        <is>
          <t>TIERP</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996-2024</t>
        </is>
      </c>
      <c r="B4902" s="1" t="n">
        <v>45301</v>
      </c>
      <c r="C4902" s="1" t="n">
        <v>45706</v>
      </c>
      <c r="D4902" t="inlineStr">
        <is>
          <t>UPPSALA LÄN</t>
        </is>
      </c>
      <c r="E4902" t="inlineStr">
        <is>
          <t>ÄLVKARLEBY</t>
        </is>
      </c>
      <c r="F4902" t="inlineStr">
        <is>
          <t>Bergvik skog väst AB</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1160-2024</t>
        </is>
      </c>
      <c r="B4903" s="1" t="n">
        <v>45302</v>
      </c>
      <c r="C4903" s="1" t="n">
        <v>45706</v>
      </c>
      <c r="D4903" t="inlineStr">
        <is>
          <t>UPPSALA LÄN</t>
        </is>
      </c>
      <c r="E4903" t="inlineStr">
        <is>
          <t>HEBY</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1536-2024</t>
        </is>
      </c>
      <c r="B4904" s="1" t="n">
        <v>45306</v>
      </c>
      <c r="C4904" s="1" t="n">
        <v>45706</v>
      </c>
      <c r="D4904" t="inlineStr">
        <is>
          <t>UPPSALA LÄN</t>
        </is>
      </c>
      <c r="E4904" t="inlineStr">
        <is>
          <t>ENKÖPING</t>
        </is>
      </c>
      <c r="F4904" t="inlineStr">
        <is>
          <t>Kyrkan</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1629-2024</t>
        </is>
      </c>
      <c r="B4905" s="1" t="n">
        <v>45306</v>
      </c>
      <c r="C4905" s="1" t="n">
        <v>45706</v>
      </c>
      <c r="D4905" t="inlineStr">
        <is>
          <t>UPPSALA LÄN</t>
        </is>
      </c>
      <c r="E4905" t="inlineStr">
        <is>
          <t>KNIVSTA</t>
        </is>
      </c>
      <c r="F4905" t="inlineStr">
        <is>
          <t>Holmen skog AB</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1651-2024</t>
        </is>
      </c>
      <c r="B4906" s="1" t="n">
        <v>45306</v>
      </c>
      <c r="C4906" s="1" t="n">
        <v>45706</v>
      </c>
      <c r="D4906" t="inlineStr">
        <is>
          <t>UPPSALA LÄN</t>
        </is>
      </c>
      <c r="E4906" t="inlineStr">
        <is>
          <t>ENKÖPING</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1692-2024</t>
        </is>
      </c>
      <c r="B4907" s="1" t="n">
        <v>45307</v>
      </c>
      <c r="C4907" s="1" t="n">
        <v>45706</v>
      </c>
      <c r="D4907" t="inlineStr">
        <is>
          <t>UPPSALA LÄN</t>
        </is>
      </c>
      <c r="E4907" t="inlineStr">
        <is>
          <t>TIERP</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1825-2024</t>
        </is>
      </c>
      <c r="B4908" s="1" t="n">
        <v>45307</v>
      </c>
      <c r="C4908" s="1" t="n">
        <v>45706</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1806-2024</t>
        </is>
      </c>
      <c r="B4909" s="1" t="n">
        <v>45307</v>
      </c>
      <c r="C4909" s="1" t="n">
        <v>45706</v>
      </c>
      <c r="D4909" t="inlineStr">
        <is>
          <t>UPPSALA LÄN</t>
        </is>
      </c>
      <c r="E4909" t="inlineStr">
        <is>
          <t>UPPSALA</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1787-2024</t>
        </is>
      </c>
      <c r="B4910" s="1" t="n">
        <v>45307</v>
      </c>
      <c r="C4910" s="1" t="n">
        <v>45706</v>
      </c>
      <c r="D4910" t="inlineStr">
        <is>
          <t>UPPSALA LÄN</t>
        </is>
      </c>
      <c r="E4910" t="inlineStr">
        <is>
          <t>KNIVSTA</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1791-2024</t>
        </is>
      </c>
      <c r="B4911" s="1" t="n">
        <v>45307</v>
      </c>
      <c r="C4911" s="1" t="n">
        <v>45706</v>
      </c>
      <c r="D4911" t="inlineStr">
        <is>
          <t>UPPSALA LÄN</t>
        </is>
      </c>
      <c r="E4911" t="inlineStr">
        <is>
          <t>KNIVSTA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1793-2024</t>
        </is>
      </c>
      <c r="B4912" s="1" t="n">
        <v>45307</v>
      </c>
      <c r="C4912" s="1" t="n">
        <v>45706</v>
      </c>
      <c r="D4912" t="inlineStr">
        <is>
          <t>UPPSALA LÄN</t>
        </is>
      </c>
      <c r="E4912" t="inlineStr">
        <is>
          <t>HEBY</t>
        </is>
      </c>
      <c r="G4912" t="n">
        <v>7.5</v>
      </c>
      <c r="H4912" t="n">
        <v>0</v>
      </c>
      <c r="I4912" t="n">
        <v>0</v>
      </c>
      <c r="J4912" t="n">
        <v>0</v>
      </c>
      <c r="K4912" t="n">
        <v>0</v>
      </c>
      <c r="L4912" t="n">
        <v>0</v>
      </c>
      <c r="M4912" t="n">
        <v>0</v>
      </c>
      <c r="N4912" t="n">
        <v>0</v>
      </c>
      <c r="O4912" t="n">
        <v>0</v>
      </c>
      <c r="P4912" t="n">
        <v>0</v>
      </c>
      <c r="Q4912" t="n">
        <v>0</v>
      </c>
      <c r="R4912" s="2" t="inlineStr"/>
    </row>
    <row r="4913" ht="15" customHeight="1">
      <c r="A4913" t="inlineStr">
        <is>
          <t>A 1838-2024</t>
        </is>
      </c>
      <c r="B4913" s="1" t="n">
        <v>45307</v>
      </c>
      <c r="C4913" s="1" t="n">
        <v>45706</v>
      </c>
      <c r="D4913" t="inlineStr">
        <is>
          <t>UPPSALA LÄN</t>
        </is>
      </c>
      <c r="E4913" t="inlineStr">
        <is>
          <t>UPPSALA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1994-2024</t>
        </is>
      </c>
      <c r="B4914" s="1" t="n">
        <v>45308</v>
      </c>
      <c r="C4914" s="1" t="n">
        <v>45706</v>
      </c>
      <c r="D4914" t="inlineStr">
        <is>
          <t>UPPSALA LÄN</t>
        </is>
      </c>
      <c r="E4914" t="inlineStr">
        <is>
          <t>UPPSALA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1951-2024</t>
        </is>
      </c>
      <c r="B4915" s="1" t="n">
        <v>45308</v>
      </c>
      <c r="C4915" s="1" t="n">
        <v>45706</v>
      </c>
      <c r="D4915" t="inlineStr">
        <is>
          <t>UPPSALA LÄN</t>
        </is>
      </c>
      <c r="E4915" t="inlineStr">
        <is>
          <t>TIERP</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2007-2024</t>
        </is>
      </c>
      <c r="B4916" s="1" t="n">
        <v>45308</v>
      </c>
      <c r="C4916" s="1" t="n">
        <v>45706</v>
      </c>
      <c r="D4916" t="inlineStr">
        <is>
          <t>UPPSALA LÄN</t>
        </is>
      </c>
      <c r="E4916" t="inlineStr">
        <is>
          <t>HEBY</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2011-2024</t>
        </is>
      </c>
      <c r="B4917" s="1" t="n">
        <v>45308</v>
      </c>
      <c r="C4917" s="1" t="n">
        <v>45706</v>
      </c>
      <c r="D4917" t="inlineStr">
        <is>
          <t>UPPSALA LÄN</t>
        </is>
      </c>
      <c r="E4917" t="inlineStr">
        <is>
          <t>TIERP</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2182-2024</t>
        </is>
      </c>
      <c r="B4918" s="1" t="n">
        <v>45309</v>
      </c>
      <c r="C4918" s="1" t="n">
        <v>45706</v>
      </c>
      <c r="D4918" t="inlineStr">
        <is>
          <t>UPPSALA LÄN</t>
        </is>
      </c>
      <c r="E4918" t="inlineStr">
        <is>
          <t>KNIVSTA</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2190-2024</t>
        </is>
      </c>
      <c r="B4919" s="1" t="n">
        <v>45309</v>
      </c>
      <c r="C4919" s="1" t="n">
        <v>45706</v>
      </c>
      <c r="D4919" t="inlineStr">
        <is>
          <t>UPPSALA LÄN</t>
        </is>
      </c>
      <c r="E4919" t="inlineStr">
        <is>
          <t>KNIVSTA</t>
        </is>
      </c>
      <c r="F4919" t="inlineStr">
        <is>
          <t>Holmen skog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2171-2024</t>
        </is>
      </c>
      <c r="B4920" s="1" t="n">
        <v>45309</v>
      </c>
      <c r="C4920" s="1" t="n">
        <v>45706</v>
      </c>
      <c r="D4920" t="inlineStr">
        <is>
          <t>UPPSALA LÄN</t>
        </is>
      </c>
      <c r="E4920" t="inlineStr">
        <is>
          <t>KNIVSTA</t>
        </is>
      </c>
      <c r="F4920" t="inlineStr">
        <is>
          <t>Holmen skog AB</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2183-2024</t>
        </is>
      </c>
      <c r="B4921" s="1" t="n">
        <v>45309</v>
      </c>
      <c r="C4921" s="1" t="n">
        <v>45706</v>
      </c>
      <c r="D4921" t="inlineStr">
        <is>
          <t>UPPSALA LÄN</t>
        </is>
      </c>
      <c r="E4921" t="inlineStr">
        <is>
          <t>ÄLVKARLEBY</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2169-2024</t>
        </is>
      </c>
      <c r="B4922" s="1" t="n">
        <v>45309</v>
      </c>
      <c r="C4922" s="1" t="n">
        <v>45706</v>
      </c>
      <c r="D4922" t="inlineStr">
        <is>
          <t>UPPSALA LÄN</t>
        </is>
      </c>
      <c r="E4922" t="inlineStr">
        <is>
          <t>KNIVSTA</t>
        </is>
      </c>
      <c r="F4922" t="inlineStr">
        <is>
          <t>Holmen skog AB</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2184-2024</t>
        </is>
      </c>
      <c r="B4923" s="1" t="n">
        <v>45309</v>
      </c>
      <c r="C4923" s="1" t="n">
        <v>45706</v>
      </c>
      <c r="D4923" t="inlineStr">
        <is>
          <t>UPPSALA LÄN</t>
        </is>
      </c>
      <c r="E4923" t="inlineStr">
        <is>
          <t>ÄLVKARLEBY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2188-2024</t>
        </is>
      </c>
      <c r="B4924" s="1" t="n">
        <v>45309</v>
      </c>
      <c r="C4924" s="1" t="n">
        <v>45706</v>
      </c>
      <c r="D4924" t="inlineStr">
        <is>
          <t>UPPSALA LÄN</t>
        </is>
      </c>
      <c r="E4924" t="inlineStr">
        <is>
          <t>KNIVSTA</t>
        </is>
      </c>
      <c r="F4924" t="inlineStr">
        <is>
          <t>Holmen skog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2221-2024</t>
        </is>
      </c>
      <c r="B4925" s="1" t="n">
        <v>45309</v>
      </c>
      <c r="C4925" s="1" t="n">
        <v>45706</v>
      </c>
      <c r="D4925" t="inlineStr">
        <is>
          <t>UPPSALA LÄN</t>
        </is>
      </c>
      <c r="E4925" t="inlineStr">
        <is>
          <t>ENKÖPING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2322-2024</t>
        </is>
      </c>
      <c r="B4926" s="1" t="n">
        <v>45309</v>
      </c>
      <c r="C4926" s="1" t="n">
        <v>45706</v>
      </c>
      <c r="D4926" t="inlineStr">
        <is>
          <t>UPPSALA LÄN</t>
        </is>
      </c>
      <c r="E4926" t="inlineStr">
        <is>
          <t>ENKÖPING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2301-2024</t>
        </is>
      </c>
      <c r="B4927" s="1" t="n">
        <v>45310</v>
      </c>
      <c r="C4927" s="1" t="n">
        <v>45706</v>
      </c>
      <c r="D4927" t="inlineStr">
        <is>
          <t>UPPSALA LÄN</t>
        </is>
      </c>
      <c r="E4927" t="inlineStr">
        <is>
          <t>TIERP</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2294-2024</t>
        </is>
      </c>
      <c r="B4928" s="1" t="n">
        <v>45310</v>
      </c>
      <c r="C4928" s="1" t="n">
        <v>45706</v>
      </c>
      <c r="D4928" t="inlineStr">
        <is>
          <t>UPPSALA LÄN</t>
        </is>
      </c>
      <c r="E4928" t="inlineStr">
        <is>
          <t>UPPSALA</t>
        </is>
      </c>
      <c r="F4928" t="inlineStr">
        <is>
          <t>Allmännings- och besparingsskogar</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2327-2024</t>
        </is>
      </c>
      <c r="B4929" s="1" t="n">
        <v>45310</v>
      </c>
      <c r="C4929" s="1" t="n">
        <v>45706</v>
      </c>
      <c r="D4929" t="inlineStr">
        <is>
          <t>UPPSALA LÄN</t>
        </is>
      </c>
      <c r="E4929" t="inlineStr">
        <is>
          <t>UPPSALA</t>
        </is>
      </c>
      <c r="F4929" t="inlineStr">
        <is>
          <t>Kyrkan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2339-2024</t>
        </is>
      </c>
      <c r="B4930" s="1" t="n">
        <v>45310</v>
      </c>
      <c r="C4930" s="1" t="n">
        <v>45706</v>
      </c>
      <c r="D4930" t="inlineStr">
        <is>
          <t>UPPSALA LÄN</t>
        </is>
      </c>
      <c r="E4930" t="inlineStr">
        <is>
          <t>UPPSALA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2357-2024</t>
        </is>
      </c>
      <c r="B4931" s="1" t="n">
        <v>45310</v>
      </c>
      <c r="C4931" s="1" t="n">
        <v>45706</v>
      </c>
      <c r="D4931" t="inlineStr">
        <is>
          <t>UPPSALA LÄN</t>
        </is>
      </c>
      <c r="E4931" t="inlineStr">
        <is>
          <t>UPPSALA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2456-2024</t>
        </is>
      </c>
      <c r="B4932" s="1" t="n">
        <v>45312</v>
      </c>
      <c r="C4932" s="1" t="n">
        <v>45706</v>
      </c>
      <c r="D4932" t="inlineStr">
        <is>
          <t>UPPSALA LÄN</t>
        </is>
      </c>
      <c r="E4932" t="inlineStr">
        <is>
          <t>ENKÖPING</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2454-2024</t>
        </is>
      </c>
      <c r="B4933" s="1" t="n">
        <v>45312</v>
      </c>
      <c r="C4933" s="1" t="n">
        <v>45706</v>
      </c>
      <c r="D4933" t="inlineStr">
        <is>
          <t>UPPSALA LÄN</t>
        </is>
      </c>
      <c r="E4933" t="inlineStr">
        <is>
          <t>TIERP</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2462-2024</t>
        </is>
      </c>
      <c r="B4934" s="1" t="n">
        <v>45313</v>
      </c>
      <c r="C4934" s="1" t="n">
        <v>45706</v>
      </c>
      <c r="D4934" t="inlineStr">
        <is>
          <t>UPPSALA LÄN</t>
        </is>
      </c>
      <c r="E4934" t="inlineStr">
        <is>
          <t>ÖSTHAMMAR</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2723-2024</t>
        </is>
      </c>
      <c r="B4935" s="1" t="n">
        <v>45314</v>
      </c>
      <c r="C4935" s="1" t="n">
        <v>45706</v>
      </c>
      <c r="D4935" t="inlineStr">
        <is>
          <t>UPPSALA LÄN</t>
        </is>
      </c>
      <c r="E4935" t="inlineStr">
        <is>
          <t>HEBY</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2740-2024</t>
        </is>
      </c>
      <c r="B4936" s="1" t="n">
        <v>45314</v>
      </c>
      <c r="C4936" s="1" t="n">
        <v>45706</v>
      </c>
      <c r="D4936" t="inlineStr">
        <is>
          <t>UPPSALA LÄN</t>
        </is>
      </c>
      <c r="E4936" t="inlineStr">
        <is>
          <t>UPPSALA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2676-2024</t>
        </is>
      </c>
      <c r="B4937" s="1" t="n">
        <v>45314</v>
      </c>
      <c r="C4937" s="1" t="n">
        <v>45706</v>
      </c>
      <c r="D4937" t="inlineStr">
        <is>
          <t>UPPSALA LÄN</t>
        </is>
      </c>
      <c r="E4937" t="inlineStr">
        <is>
          <t>TIERP</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2735-2024</t>
        </is>
      </c>
      <c r="B4938" s="1" t="n">
        <v>45314</v>
      </c>
      <c r="C4938" s="1" t="n">
        <v>45706</v>
      </c>
      <c r="D4938" t="inlineStr">
        <is>
          <t>UPPSALA LÄN</t>
        </is>
      </c>
      <c r="E4938" t="inlineStr">
        <is>
          <t>UPPSALA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2769-2024</t>
        </is>
      </c>
      <c r="B4939" s="1" t="n">
        <v>45314</v>
      </c>
      <c r="C4939" s="1" t="n">
        <v>45706</v>
      </c>
      <c r="D4939" t="inlineStr">
        <is>
          <t>UPPSALA LÄN</t>
        </is>
      </c>
      <c r="E4939" t="inlineStr">
        <is>
          <t>UPPSALA</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2785-2024</t>
        </is>
      </c>
      <c r="B4940" s="1" t="n">
        <v>45314</v>
      </c>
      <c r="C4940" s="1" t="n">
        <v>45706</v>
      </c>
      <c r="D4940" t="inlineStr">
        <is>
          <t>UPPSALA LÄN</t>
        </is>
      </c>
      <c r="E4940" t="inlineStr">
        <is>
          <t>UPPSALA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2920-2024</t>
        </is>
      </c>
      <c r="B4941" s="1" t="n">
        <v>45315</v>
      </c>
      <c r="C4941" s="1" t="n">
        <v>45706</v>
      </c>
      <c r="D4941" t="inlineStr">
        <is>
          <t>UPPSALA LÄN</t>
        </is>
      </c>
      <c r="E4941" t="inlineStr">
        <is>
          <t>ÖSTHAMMAR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2983-2024</t>
        </is>
      </c>
      <c r="B4942" s="1" t="n">
        <v>45315</v>
      </c>
      <c r="C4942" s="1" t="n">
        <v>45706</v>
      </c>
      <c r="D4942" t="inlineStr">
        <is>
          <t>UPPSALA LÄN</t>
        </is>
      </c>
      <c r="E4942" t="inlineStr">
        <is>
          <t>ENKÖPING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3051-2024</t>
        </is>
      </c>
      <c r="B4943" s="1" t="n">
        <v>45316</v>
      </c>
      <c r="C4943" s="1" t="n">
        <v>45706</v>
      </c>
      <c r="D4943" t="inlineStr">
        <is>
          <t>UPPSALA LÄN</t>
        </is>
      </c>
      <c r="E4943" t="inlineStr">
        <is>
          <t>ENKÖPING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3130-2024</t>
        </is>
      </c>
      <c r="B4944" s="1" t="n">
        <v>45316</v>
      </c>
      <c r="C4944" s="1" t="n">
        <v>45706</v>
      </c>
      <c r="D4944" t="inlineStr">
        <is>
          <t>UPPSALA LÄN</t>
        </is>
      </c>
      <c r="E4944" t="inlineStr">
        <is>
          <t>ENKÖPING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3175-2024</t>
        </is>
      </c>
      <c r="B4945" s="1" t="n">
        <v>45316</v>
      </c>
      <c r="C4945" s="1" t="n">
        <v>45706</v>
      </c>
      <c r="D4945" t="inlineStr">
        <is>
          <t>UPPSALA LÄN</t>
        </is>
      </c>
      <c r="E4945" t="inlineStr">
        <is>
          <t>UPPSALA</t>
        </is>
      </c>
      <c r="F4945" t="inlineStr">
        <is>
          <t>Bergvik skog öst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3183-2024</t>
        </is>
      </c>
      <c r="B4946" s="1" t="n">
        <v>45316</v>
      </c>
      <c r="C4946" s="1" t="n">
        <v>45706</v>
      </c>
      <c r="D4946" t="inlineStr">
        <is>
          <t>UPPSALA LÄN</t>
        </is>
      </c>
      <c r="E4946" t="inlineStr">
        <is>
          <t>UPPSALA</t>
        </is>
      </c>
      <c r="F4946" t="inlineStr">
        <is>
          <t>Bergvik skog öst AB</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3191-2024</t>
        </is>
      </c>
      <c r="B4947" s="1" t="n">
        <v>45316</v>
      </c>
      <c r="C4947" s="1" t="n">
        <v>45706</v>
      </c>
      <c r="D4947" t="inlineStr">
        <is>
          <t>UPPSALA LÄN</t>
        </is>
      </c>
      <c r="E4947" t="inlineStr">
        <is>
          <t>KNIVSTA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3305-2024</t>
        </is>
      </c>
      <c r="B4948" s="1" t="n">
        <v>45316</v>
      </c>
      <c r="C4948" s="1" t="n">
        <v>45706</v>
      </c>
      <c r="D4948" t="inlineStr">
        <is>
          <t>UPPSALA LÄN</t>
        </is>
      </c>
      <c r="E4948" t="inlineStr">
        <is>
          <t>TIERP</t>
        </is>
      </c>
      <c r="G4948" t="n">
        <v>47.8</v>
      </c>
      <c r="H4948" t="n">
        <v>0</v>
      </c>
      <c r="I4948" t="n">
        <v>0</v>
      </c>
      <c r="J4948" t="n">
        <v>0</v>
      </c>
      <c r="K4948" t="n">
        <v>0</v>
      </c>
      <c r="L4948" t="n">
        <v>0</v>
      </c>
      <c r="M4948" t="n">
        <v>0</v>
      </c>
      <c r="N4948" t="n">
        <v>0</v>
      </c>
      <c r="O4948" t="n">
        <v>0</v>
      </c>
      <c r="P4948" t="n">
        <v>0</v>
      </c>
      <c r="Q4948" t="n">
        <v>0</v>
      </c>
      <c r="R4948" s="2" t="inlineStr"/>
    </row>
    <row r="4949" ht="15" customHeight="1">
      <c r="A4949" t="inlineStr">
        <is>
          <t>A 3261-2024</t>
        </is>
      </c>
      <c r="B4949" s="1" t="n">
        <v>45317</v>
      </c>
      <c r="C4949" s="1" t="n">
        <v>45706</v>
      </c>
      <c r="D4949" t="inlineStr">
        <is>
          <t>UPPSALA LÄN</t>
        </is>
      </c>
      <c r="E4949" t="inlineStr">
        <is>
          <t>UPPSALA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3260-2024</t>
        </is>
      </c>
      <c r="B4950" s="1" t="n">
        <v>45317</v>
      </c>
      <c r="C4950" s="1" t="n">
        <v>45706</v>
      </c>
      <c r="D4950" t="inlineStr">
        <is>
          <t>UPPSALA LÄN</t>
        </is>
      </c>
      <c r="E4950" t="inlineStr">
        <is>
          <t>UPPSALA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3355-2024</t>
        </is>
      </c>
      <c r="B4951" s="1" t="n">
        <v>45317</v>
      </c>
      <c r="C4951" s="1" t="n">
        <v>45706</v>
      </c>
      <c r="D4951" t="inlineStr">
        <is>
          <t>UPPSALA LÄN</t>
        </is>
      </c>
      <c r="E4951" t="inlineStr">
        <is>
          <t>HEBY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3371-2024</t>
        </is>
      </c>
      <c r="B4952" s="1" t="n">
        <v>45317</v>
      </c>
      <c r="C4952" s="1" t="n">
        <v>45706</v>
      </c>
      <c r="D4952" t="inlineStr">
        <is>
          <t>UPPSALA LÄN</t>
        </is>
      </c>
      <c r="E4952" t="inlineStr">
        <is>
          <t>HEBY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3374-2024</t>
        </is>
      </c>
      <c r="B4953" s="1" t="n">
        <v>45317</v>
      </c>
      <c r="C4953" s="1" t="n">
        <v>45706</v>
      </c>
      <c r="D4953" t="inlineStr">
        <is>
          <t>UPPSALA LÄN</t>
        </is>
      </c>
      <c r="E4953" t="inlineStr">
        <is>
          <t>HEBY</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3368-2024</t>
        </is>
      </c>
      <c r="B4954" s="1" t="n">
        <v>45317</v>
      </c>
      <c r="C4954" s="1" t="n">
        <v>45706</v>
      </c>
      <c r="D4954" t="inlineStr">
        <is>
          <t>UPPSALA LÄN</t>
        </is>
      </c>
      <c r="E4954" t="inlineStr">
        <is>
          <t>HEBY</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3376-2024</t>
        </is>
      </c>
      <c r="B4955" s="1" t="n">
        <v>45317</v>
      </c>
      <c r="C4955" s="1" t="n">
        <v>45706</v>
      </c>
      <c r="D4955" t="inlineStr">
        <is>
          <t>UPPSALA LÄN</t>
        </is>
      </c>
      <c r="E4955" t="inlineStr">
        <is>
          <t>HEBY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3377-2024</t>
        </is>
      </c>
      <c r="B4956" s="1" t="n">
        <v>45317</v>
      </c>
      <c r="C4956" s="1" t="n">
        <v>45706</v>
      </c>
      <c r="D4956" t="inlineStr">
        <is>
          <t>UPPSALA LÄN</t>
        </is>
      </c>
      <c r="E4956" t="inlineStr">
        <is>
          <t>HEBY</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3468-2024</t>
        </is>
      </c>
      <c r="B4957" s="1" t="n">
        <v>45320</v>
      </c>
      <c r="C4957" s="1" t="n">
        <v>45706</v>
      </c>
      <c r="D4957" t="inlineStr">
        <is>
          <t>UPPSALA LÄN</t>
        </is>
      </c>
      <c r="E4957" t="inlineStr">
        <is>
          <t>HEBY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3503-2024</t>
        </is>
      </c>
      <c r="B4958" s="1" t="n">
        <v>45320</v>
      </c>
      <c r="C4958" s="1" t="n">
        <v>45706</v>
      </c>
      <c r="D4958" t="inlineStr">
        <is>
          <t>UPPSALA LÄN</t>
        </is>
      </c>
      <c r="E4958" t="inlineStr">
        <is>
          <t>TIERP</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3771-2024</t>
        </is>
      </c>
      <c r="B4959" s="1" t="n">
        <v>45321</v>
      </c>
      <c r="C4959" s="1" t="n">
        <v>45706</v>
      </c>
      <c r="D4959" t="inlineStr">
        <is>
          <t>UPPSALA LÄN</t>
        </is>
      </c>
      <c r="E4959" t="inlineStr">
        <is>
          <t>HEBY</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3779-2024</t>
        </is>
      </c>
      <c r="B4960" s="1" t="n">
        <v>45321</v>
      </c>
      <c r="C4960" s="1" t="n">
        <v>45706</v>
      </c>
      <c r="D4960" t="inlineStr">
        <is>
          <t>UPPSALA LÄN</t>
        </is>
      </c>
      <c r="E4960" t="inlineStr">
        <is>
          <t>HEBY</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3813-2024</t>
        </is>
      </c>
      <c r="B4961" s="1" t="n">
        <v>45321</v>
      </c>
      <c r="C4961" s="1" t="n">
        <v>45706</v>
      </c>
      <c r="D4961" t="inlineStr">
        <is>
          <t>UPPSALA LÄN</t>
        </is>
      </c>
      <c r="E4961" t="inlineStr">
        <is>
          <t>UPPSALA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3977-2024</t>
        </is>
      </c>
      <c r="B4962" s="1" t="n">
        <v>45322</v>
      </c>
      <c r="C4962" s="1" t="n">
        <v>45706</v>
      </c>
      <c r="D4962" t="inlineStr">
        <is>
          <t>UPPSALA LÄN</t>
        </is>
      </c>
      <c r="E4962" t="inlineStr">
        <is>
          <t>ENKÖPING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4065-2024</t>
        </is>
      </c>
      <c r="B4963" s="1" t="n">
        <v>45323</v>
      </c>
      <c r="C4963" s="1" t="n">
        <v>45706</v>
      </c>
      <c r="D4963" t="inlineStr">
        <is>
          <t>UPPSALA LÄN</t>
        </is>
      </c>
      <c r="E4963" t="inlineStr">
        <is>
          <t>UPPSALA</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4040-2024</t>
        </is>
      </c>
      <c r="B4964" s="1" t="n">
        <v>45323</v>
      </c>
      <c r="C4964" s="1" t="n">
        <v>45706</v>
      </c>
      <c r="D4964" t="inlineStr">
        <is>
          <t>UPPSALA LÄN</t>
        </is>
      </c>
      <c r="E4964" t="inlineStr">
        <is>
          <t>HEBY</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4044-2024</t>
        </is>
      </c>
      <c r="B4965" s="1" t="n">
        <v>45323</v>
      </c>
      <c r="C4965" s="1" t="n">
        <v>45706</v>
      </c>
      <c r="D4965" t="inlineStr">
        <is>
          <t>UPPSALA LÄN</t>
        </is>
      </c>
      <c r="E4965" t="inlineStr">
        <is>
          <t>ENKÖPING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4216-2024</t>
        </is>
      </c>
      <c r="B4966" s="1" t="n">
        <v>45324</v>
      </c>
      <c r="C4966" s="1" t="n">
        <v>45706</v>
      </c>
      <c r="D4966" t="inlineStr">
        <is>
          <t>UPPSALA LÄN</t>
        </is>
      </c>
      <c r="E4966" t="inlineStr">
        <is>
          <t>UPPSALA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4412-2024</t>
        </is>
      </c>
      <c r="B4967" s="1" t="n">
        <v>45327</v>
      </c>
      <c r="C4967" s="1" t="n">
        <v>45706</v>
      </c>
      <c r="D4967" t="inlineStr">
        <is>
          <t>UPPSALA LÄN</t>
        </is>
      </c>
      <c r="E4967" t="inlineStr">
        <is>
          <t>UPPSALA</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4425-2024</t>
        </is>
      </c>
      <c r="B4968" s="1" t="n">
        <v>45327</v>
      </c>
      <c r="C4968" s="1" t="n">
        <v>45706</v>
      </c>
      <c r="D4968" t="inlineStr">
        <is>
          <t>UPPSALA LÄN</t>
        </is>
      </c>
      <c r="E4968" t="inlineStr">
        <is>
          <t>UPPSALA</t>
        </is>
      </c>
      <c r="F4968" t="inlineStr">
        <is>
          <t>Allmännings- och besparingsskogar</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4461-2024</t>
        </is>
      </c>
      <c r="B4969" s="1" t="n">
        <v>45327</v>
      </c>
      <c r="C4969" s="1" t="n">
        <v>45706</v>
      </c>
      <c r="D4969" t="inlineStr">
        <is>
          <t>UPPSALA LÄN</t>
        </is>
      </c>
      <c r="E4969" t="inlineStr">
        <is>
          <t>UPPSALA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4503-2024</t>
        </is>
      </c>
      <c r="B4970" s="1" t="n">
        <v>45327</v>
      </c>
      <c r="C4970" s="1" t="n">
        <v>45706</v>
      </c>
      <c r="D4970" t="inlineStr">
        <is>
          <t>UPPSALA LÄN</t>
        </is>
      </c>
      <c r="E4970" t="inlineStr">
        <is>
          <t>UPPSALA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4509-2024</t>
        </is>
      </c>
      <c r="B4971" s="1" t="n">
        <v>45327</v>
      </c>
      <c r="C4971" s="1" t="n">
        <v>45706</v>
      </c>
      <c r="D4971" t="inlineStr">
        <is>
          <t>UPPSALA LÄN</t>
        </is>
      </c>
      <c r="E4971" t="inlineStr">
        <is>
          <t>UPPSALA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4521-2024</t>
        </is>
      </c>
      <c r="B4972" s="1" t="n">
        <v>45327</v>
      </c>
      <c r="C4972" s="1" t="n">
        <v>45706</v>
      </c>
      <c r="D4972" t="inlineStr">
        <is>
          <t>UPPSALA LÄN</t>
        </is>
      </c>
      <c r="E4972" t="inlineStr">
        <is>
          <t>HÅBO</t>
        </is>
      </c>
      <c r="G4972" t="n">
        <v>17.4</v>
      </c>
      <c r="H4972" t="n">
        <v>0</v>
      </c>
      <c r="I4972" t="n">
        <v>0</v>
      </c>
      <c r="J4972" t="n">
        <v>0</v>
      </c>
      <c r="K4972" t="n">
        <v>0</v>
      </c>
      <c r="L4972" t="n">
        <v>0</v>
      </c>
      <c r="M4972" t="n">
        <v>0</v>
      </c>
      <c r="N4972" t="n">
        <v>0</v>
      </c>
      <c r="O4972" t="n">
        <v>0</v>
      </c>
      <c r="P4972" t="n">
        <v>0</v>
      </c>
      <c r="Q4972" t="n">
        <v>0</v>
      </c>
      <c r="R4972" s="2" t="inlineStr"/>
    </row>
    <row r="4973" ht="15" customHeight="1">
      <c r="A4973" t="inlineStr">
        <is>
          <t>A 4524-2024</t>
        </is>
      </c>
      <c r="B4973" s="1" t="n">
        <v>45327</v>
      </c>
      <c r="C4973" s="1" t="n">
        <v>45706</v>
      </c>
      <c r="D4973" t="inlineStr">
        <is>
          <t>UPPSALA LÄN</t>
        </is>
      </c>
      <c r="E4973" t="inlineStr">
        <is>
          <t>HÅBO</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4740-2024</t>
        </is>
      </c>
      <c r="B4974" s="1" t="n">
        <v>45328</v>
      </c>
      <c r="C4974" s="1" t="n">
        <v>45706</v>
      </c>
      <c r="D4974" t="inlineStr">
        <is>
          <t>UPPSALA LÄN</t>
        </is>
      </c>
      <c r="E4974" t="inlineStr">
        <is>
          <t>HEBY</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4893-2024</t>
        </is>
      </c>
      <c r="B4975" s="1" t="n">
        <v>45329</v>
      </c>
      <c r="C4975" s="1" t="n">
        <v>45706</v>
      </c>
      <c r="D4975" t="inlineStr">
        <is>
          <t>UPPSALA LÄN</t>
        </is>
      </c>
      <c r="E4975" t="inlineStr">
        <is>
          <t>HEBY</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4980-2024</t>
        </is>
      </c>
      <c r="B4976" s="1" t="n">
        <v>45329</v>
      </c>
      <c r="C4976" s="1" t="n">
        <v>45706</v>
      </c>
      <c r="D4976" t="inlineStr">
        <is>
          <t>UPPSALA LÄN</t>
        </is>
      </c>
      <c r="E4976" t="inlineStr">
        <is>
          <t>UPPSALA</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4984-2024</t>
        </is>
      </c>
      <c r="B4977" s="1" t="n">
        <v>45329</v>
      </c>
      <c r="C4977" s="1" t="n">
        <v>45706</v>
      </c>
      <c r="D4977" t="inlineStr">
        <is>
          <t>UPPSALA LÄN</t>
        </is>
      </c>
      <c r="E4977" t="inlineStr">
        <is>
          <t>ÖSTHAMMAR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5042-2024</t>
        </is>
      </c>
      <c r="B4978" s="1" t="n">
        <v>45329</v>
      </c>
      <c r="C4978" s="1" t="n">
        <v>45706</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5149-2024</t>
        </is>
      </c>
      <c r="B4979" s="1" t="n">
        <v>45330</v>
      </c>
      <c r="C4979" s="1" t="n">
        <v>45706</v>
      </c>
      <c r="D4979" t="inlineStr">
        <is>
          <t>UPPSALA LÄN</t>
        </is>
      </c>
      <c r="E4979" t="inlineStr">
        <is>
          <t>ÖSTHAMMAR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5198-2024</t>
        </is>
      </c>
      <c r="B4980" s="1" t="n">
        <v>45330</v>
      </c>
      <c r="C4980" s="1" t="n">
        <v>45706</v>
      </c>
      <c r="D4980" t="inlineStr">
        <is>
          <t>UPPSALA LÄN</t>
        </is>
      </c>
      <c r="E4980" t="inlineStr">
        <is>
          <t>ÖSTHAMMAR</t>
        </is>
      </c>
      <c r="F4980" t="inlineStr">
        <is>
          <t>Övriga Aktiebolag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5126-2024</t>
        </is>
      </c>
      <c r="B4981" s="1" t="n">
        <v>45330</v>
      </c>
      <c r="C4981" s="1" t="n">
        <v>45706</v>
      </c>
      <c r="D4981" t="inlineStr">
        <is>
          <t>UPPSALA LÄN</t>
        </is>
      </c>
      <c r="E4981" t="inlineStr">
        <is>
          <t>TIERP</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5212-2024</t>
        </is>
      </c>
      <c r="B4982" s="1" t="n">
        <v>45330</v>
      </c>
      <c r="C4982" s="1" t="n">
        <v>45706</v>
      </c>
      <c r="D4982" t="inlineStr">
        <is>
          <t>UPPSALA LÄN</t>
        </is>
      </c>
      <c r="E4982" t="inlineStr">
        <is>
          <t>HEBY</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5216-2024</t>
        </is>
      </c>
      <c r="B4983" s="1" t="n">
        <v>45330</v>
      </c>
      <c r="C4983" s="1" t="n">
        <v>45706</v>
      </c>
      <c r="D4983" t="inlineStr">
        <is>
          <t>UPPSALA LÄN</t>
        </is>
      </c>
      <c r="E4983" t="inlineStr">
        <is>
          <t>ÖSTHAMMAR</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5161-2024</t>
        </is>
      </c>
      <c r="B4984" s="1" t="n">
        <v>45330</v>
      </c>
      <c r="C4984" s="1" t="n">
        <v>45706</v>
      </c>
      <c r="D4984" t="inlineStr">
        <is>
          <t>UPPSALA LÄN</t>
        </is>
      </c>
      <c r="E4984" t="inlineStr">
        <is>
          <t>ÖSTHAMMAR</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5211-2024</t>
        </is>
      </c>
      <c r="B4985" s="1" t="n">
        <v>45330</v>
      </c>
      <c r="C4985" s="1" t="n">
        <v>45706</v>
      </c>
      <c r="D4985" t="inlineStr">
        <is>
          <t>UPPSALA LÄN</t>
        </is>
      </c>
      <c r="E4985" t="inlineStr">
        <is>
          <t>ENKÖPING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5223-2024</t>
        </is>
      </c>
      <c r="B4986" s="1" t="n">
        <v>45330</v>
      </c>
      <c r="C4986" s="1" t="n">
        <v>45706</v>
      </c>
      <c r="D4986" t="inlineStr">
        <is>
          <t>UPPSALA LÄN</t>
        </is>
      </c>
      <c r="E4986" t="inlineStr">
        <is>
          <t>ÖSTHAMMAR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5391-2024</t>
        </is>
      </c>
      <c r="B4987" s="1" t="n">
        <v>45331</v>
      </c>
      <c r="C4987" s="1" t="n">
        <v>45706</v>
      </c>
      <c r="D4987" t="inlineStr">
        <is>
          <t>UPPSALA LÄN</t>
        </is>
      </c>
      <c r="E4987" t="inlineStr">
        <is>
          <t>HEBY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5340-2024</t>
        </is>
      </c>
      <c r="B4988" s="1" t="n">
        <v>45331</v>
      </c>
      <c r="C4988" s="1" t="n">
        <v>45706</v>
      </c>
      <c r="D4988" t="inlineStr">
        <is>
          <t>UPPSALA LÄN</t>
        </is>
      </c>
      <c r="E4988" t="inlineStr">
        <is>
          <t>HEBY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5390-2024</t>
        </is>
      </c>
      <c r="B4989" s="1" t="n">
        <v>45331</v>
      </c>
      <c r="C4989" s="1" t="n">
        <v>45706</v>
      </c>
      <c r="D4989" t="inlineStr">
        <is>
          <t>UPPSALA LÄN</t>
        </is>
      </c>
      <c r="E4989" t="inlineStr">
        <is>
          <t>HEBY</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5475-2024</t>
        </is>
      </c>
      <c r="B4990" s="1" t="n">
        <v>45333</v>
      </c>
      <c r="C4990" s="1" t="n">
        <v>45706</v>
      </c>
      <c r="D4990" t="inlineStr">
        <is>
          <t>UPPSALA LÄN</t>
        </is>
      </c>
      <c r="E4990" t="inlineStr">
        <is>
          <t>UPPSALA</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5521-2024</t>
        </is>
      </c>
      <c r="B4991" s="1" t="n">
        <v>45334</v>
      </c>
      <c r="C4991" s="1" t="n">
        <v>45706</v>
      </c>
      <c r="D4991" t="inlineStr">
        <is>
          <t>UPPSALA LÄN</t>
        </is>
      </c>
      <c r="E4991" t="inlineStr">
        <is>
          <t>ENKÖPING</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5538-2024</t>
        </is>
      </c>
      <c r="B4992" s="1" t="n">
        <v>45334</v>
      </c>
      <c r="C4992" s="1" t="n">
        <v>45706</v>
      </c>
      <c r="D4992" t="inlineStr">
        <is>
          <t>UPPSALA LÄN</t>
        </is>
      </c>
      <c r="E4992" t="inlineStr">
        <is>
          <t>HEBY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5539-2024</t>
        </is>
      </c>
      <c r="B4993" s="1" t="n">
        <v>45334</v>
      </c>
      <c r="C4993" s="1" t="n">
        <v>45706</v>
      </c>
      <c r="D4993" t="inlineStr">
        <is>
          <t>UPPSALA LÄN</t>
        </is>
      </c>
      <c r="E4993" t="inlineStr">
        <is>
          <t>HEBY</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5537-2024</t>
        </is>
      </c>
      <c r="B4994" s="1" t="n">
        <v>45334</v>
      </c>
      <c r="C4994" s="1" t="n">
        <v>45706</v>
      </c>
      <c r="D4994" t="inlineStr">
        <is>
          <t>UPPSALA LÄN</t>
        </is>
      </c>
      <c r="E4994" t="inlineStr">
        <is>
          <t>HEBY</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5851-2024</t>
        </is>
      </c>
      <c r="B4995" s="1" t="n">
        <v>45335</v>
      </c>
      <c r="C4995" s="1" t="n">
        <v>45706</v>
      </c>
      <c r="D4995" t="inlineStr">
        <is>
          <t>UPPSALA LÄN</t>
        </is>
      </c>
      <c r="E4995" t="inlineStr">
        <is>
          <t>ÖSTHAMMAR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5848-2024</t>
        </is>
      </c>
      <c r="B4996" s="1" t="n">
        <v>45335</v>
      </c>
      <c r="C4996" s="1" t="n">
        <v>45706</v>
      </c>
      <c r="D4996" t="inlineStr">
        <is>
          <t>UPPSALA LÄN</t>
        </is>
      </c>
      <c r="E4996" t="inlineStr">
        <is>
          <t>UPPSALA</t>
        </is>
      </c>
      <c r="F4996" t="inlineStr">
        <is>
          <t>Kyrkan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5860-2024</t>
        </is>
      </c>
      <c r="B4997" s="1" t="n">
        <v>45335</v>
      </c>
      <c r="C4997" s="1" t="n">
        <v>45706</v>
      </c>
      <c r="D4997" t="inlineStr">
        <is>
          <t>UPPSALA LÄN</t>
        </is>
      </c>
      <c r="E4997" t="inlineStr">
        <is>
          <t>ÖSTHAMMAR</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5899-2024</t>
        </is>
      </c>
      <c r="B4998" s="1" t="n">
        <v>45335</v>
      </c>
      <c r="C4998" s="1" t="n">
        <v>45706</v>
      </c>
      <c r="D4998" t="inlineStr">
        <is>
          <t>UPPSALA LÄN</t>
        </is>
      </c>
      <c r="E4998" t="inlineStr">
        <is>
          <t>UPPSALA</t>
        </is>
      </c>
      <c r="F4998" t="inlineStr">
        <is>
          <t>Allmännings- och besparingsskogar</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5876-2024</t>
        </is>
      </c>
      <c r="B4999" s="1" t="n">
        <v>45335</v>
      </c>
      <c r="C4999" s="1" t="n">
        <v>45706</v>
      </c>
      <c r="D4999" t="inlineStr">
        <is>
          <t>UPPSALA LÄN</t>
        </is>
      </c>
      <c r="E4999" t="inlineStr">
        <is>
          <t>UPPSALA</t>
        </is>
      </c>
      <c r="F4999" t="inlineStr">
        <is>
          <t>Kyrkan</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5896-2024</t>
        </is>
      </c>
      <c r="B5000" s="1" t="n">
        <v>45335</v>
      </c>
      <c r="C5000" s="1" t="n">
        <v>45706</v>
      </c>
      <c r="D5000" t="inlineStr">
        <is>
          <t>UPPSALA LÄN</t>
        </is>
      </c>
      <c r="E5000" t="inlineStr">
        <is>
          <t>UPPSALA</t>
        </is>
      </c>
      <c r="F5000" t="inlineStr">
        <is>
          <t>Allmännings- och besparingsskogar</t>
        </is>
      </c>
      <c r="G5000" t="n">
        <v>6.9</v>
      </c>
      <c r="H5000" t="n">
        <v>0</v>
      </c>
      <c r="I5000" t="n">
        <v>0</v>
      </c>
      <c r="J5000" t="n">
        <v>0</v>
      </c>
      <c r="K5000" t="n">
        <v>0</v>
      </c>
      <c r="L5000" t="n">
        <v>0</v>
      </c>
      <c r="M5000" t="n">
        <v>0</v>
      </c>
      <c r="N5000" t="n">
        <v>0</v>
      </c>
      <c r="O5000" t="n">
        <v>0</v>
      </c>
      <c r="P5000" t="n">
        <v>0</v>
      </c>
      <c r="Q5000" t="n">
        <v>0</v>
      </c>
      <c r="R5000" s="2" t="inlineStr"/>
    </row>
    <row r="5001" ht="15" customHeight="1">
      <c r="A5001" t="inlineStr">
        <is>
          <t>A 5974-2024</t>
        </is>
      </c>
      <c r="B5001" s="1" t="n">
        <v>45336</v>
      </c>
      <c r="C5001" s="1" t="n">
        <v>45706</v>
      </c>
      <c r="D5001" t="inlineStr">
        <is>
          <t>UPPSALA LÄN</t>
        </is>
      </c>
      <c r="E5001" t="inlineStr">
        <is>
          <t>UPPSALA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5975-2024</t>
        </is>
      </c>
      <c r="B5002" s="1" t="n">
        <v>45336</v>
      </c>
      <c r="C5002" s="1" t="n">
        <v>45706</v>
      </c>
      <c r="D5002" t="inlineStr">
        <is>
          <t>UPPSALA LÄN</t>
        </is>
      </c>
      <c r="E5002" t="inlineStr">
        <is>
          <t>UPPSALA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6024-2024</t>
        </is>
      </c>
      <c r="B5003" s="1" t="n">
        <v>45336</v>
      </c>
      <c r="C5003" s="1" t="n">
        <v>45706</v>
      </c>
      <c r="D5003" t="inlineStr">
        <is>
          <t>UPPSALA LÄN</t>
        </is>
      </c>
      <c r="E5003" t="inlineStr">
        <is>
          <t>UPPSALA</t>
        </is>
      </c>
      <c r="F5003" t="inlineStr">
        <is>
          <t>Holmen skog AB</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6199-2024</t>
        </is>
      </c>
      <c r="B5004" s="1" t="n">
        <v>45337</v>
      </c>
      <c r="C5004" s="1" t="n">
        <v>45706</v>
      </c>
      <c r="D5004" t="inlineStr">
        <is>
          <t>UPPSALA LÄN</t>
        </is>
      </c>
      <c r="E5004" t="inlineStr">
        <is>
          <t>UPPSALA</t>
        </is>
      </c>
      <c r="F5004" t="inlineStr">
        <is>
          <t>Kyrkan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6211-2024</t>
        </is>
      </c>
      <c r="B5005" s="1" t="n">
        <v>45337</v>
      </c>
      <c r="C5005" s="1" t="n">
        <v>45706</v>
      </c>
      <c r="D5005" t="inlineStr">
        <is>
          <t>UPPSALA LÄN</t>
        </is>
      </c>
      <c r="E5005" t="inlineStr">
        <is>
          <t>UPPSALA</t>
        </is>
      </c>
      <c r="G5005" t="n">
        <v>14.8</v>
      </c>
      <c r="H5005" t="n">
        <v>0</v>
      </c>
      <c r="I5005" t="n">
        <v>0</v>
      </c>
      <c r="J5005" t="n">
        <v>0</v>
      </c>
      <c r="K5005" t="n">
        <v>0</v>
      </c>
      <c r="L5005" t="n">
        <v>0</v>
      </c>
      <c r="M5005" t="n">
        <v>0</v>
      </c>
      <c r="N5005" t="n">
        <v>0</v>
      </c>
      <c r="O5005" t="n">
        <v>0</v>
      </c>
      <c r="P5005" t="n">
        <v>0</v>
      </c>
      <c r="Q5005" t="n">
        <v>0</v>
      </c>
      <c r="R5005" s="2" t="inlineStr"/>
    </row>
    <row r="5006" ht="15" customHeight="1">
      <c r="A5006" t="inlineStr">
        <is>
          <t>A 6226-2024</t>
        </is>
      </c>
      <c r="B5006" s="1" t="n">
        <v>45337</v>
      </c>
      <c r="C5006" s="1" t="n">
        <v>45706</v>
      </c>
      <c r="D5006" t="inlineStr">
        <is>
          <t>UPPSALA LÄN</t>
        </is>
      </c>
      <c r="E5006" t="inlineStr">
        <is>
          <t>HEBY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6234-2024</t>
        </is>
      </c>
      <c r="B5007" s="1" t="n">
        <v>45337</v>
      </c>
      <c r="C5007" s="1" t="n">
        <v>45706</v>
      </c>
      <c r="D5007" t="inlineStr">
        <is>
          <t>UPPSALA LÄN</t>
        </is>
      </c>
      <c r="E5007" t="inlineStr">
        <is>
          <t>KNIVSTA</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6227-2024</t>
        </is>
      </c>
      <c r="B5008" s="1" t="n">
        <v>45337</v>
      </c>
      <c r="C5008" s="1" t="n">
        <v>45706</v>
      </c>
      <c r="D5008" t="inlineStr">
        <is>
          <t>UPPSALA LÄN</t>
        </is>
      </c>
      <c r="E5008" t="inlineStr">
        <is>
          <t>KNIVSTA</t>
        </is>
      </c>
      <c r="F5008" t="inlineStr">
        <is>
          <t>Holmen skog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6247-2024</t>
        </is>
      </c>
      <c r="B5009" s="1" t="n">
        <v>45337</v>
      </c>
      <c r="C5009" s="1" t="n">
        <v>45706</v>
      </c>
      <c r="D5009" t="inlineStr">
        <is>
          <t>UPPSALA LÄN</t>
        </is>
      </c>
      <c r="E5009" t="inlineStr">
        <is>
          <t>ENKÖPING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6120-2024</t>
        </is>
      </c>
      <c r="B5010" s="1" t="n">
        <v>45337</v>
      </c>
      <c r="C5010" s="1" t="n">
        <v>45706</v>
      </c>
      <c r="D5010" t="inlineStr">
        <is>
          <t>UPPSALA LÄN</t>
        </is>
      </c>
      <c r="E5010" t="inlineStr">
        <is>
          <t>ÖSTHAMMAR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6098-2024</t>
        </is>
      </c>
      <c r="B5011" s="1" t="n">
        <v>45337</v>
      </c>
      <c r="C5011" s="1" t="n">
        <v>45706</v>
      </c>
      <c r="D5011" t="inlineStr">
        <is>
          <t>UPPSALA LÄN</t>
        </is>
      </c>
      <c r="E5011" t="inlineStr">
        <is>
          <t>UPPSALA</t>
        </is>
      </c>
      <c r="F5011" t="inlineStr">
        <is>
          <t>Övriga Aktiebolag</t>
        </is>
      </c>
      <c r="G5011" t="n">
        <v>10.6</v>
      </c>
      <c r="H5011" t="n">
        <v>0</v>
      </c>
      <c r="I5011" t="n">
        <v>0</v>
      </c>
      <c r="J5011" t="n">
        <v>0</v>
      </c>
      <c r="K5011" t="n">
        <v>0</v>
      </c>
      <c r="L5011" t="n">
        <v>0</v>
      </c>
      <c r="M5011" t="n">
        <v>0</v>
      </c>
      <c r="N5011" t="n">
        <v>0</v>
      </c>
      <c r="O5011" t="n">
        <v>0</v>
      </c>
      <c r="P5011" t="n">
        <v>0</v>
      </c>
      <c r="Q5011" t="n">
        <v>0</v>
      </c>
      <c r="R5011" s="2" t="inlineStr"/>
    </row>
    <row r="5012" ht="15" customHeight="1">
      <c r="A5012" t="inlineStr">
        <is>
          <t>A 6102-2024</t>
        </is>
      </c>
      <c r="B5012" s="1" t="n">
        <v>45337</v>
      </c>
      <c r="C5012" s="1" t="n">
        <v>45706</v>
      </c>
      <c r="D5012" t="inlineStr">
        <is>
          <t>UPPSALA LÄN</t>
        </is>
      </c>
      <c r="E5012" t="inlineStr">
        <is>
          <t>ÖSTHAMMAR</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6106-2024</t>
        </is>
      </c>
      <c r="B5013" s="1" t="n">
        <v>45337</v>
      </c>
      <c r="C5013" s="1" t="n">
        <v>45706</v>
      </c>
      <c r="D5013" t="inlineStr">
        <is>
          <t>UPPSALA LÄN</t>
        </is>
      </c>
      <c r="E5013" t="inlineStr">
        <is>
          <t>ÖSTHAMMAR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6144-2024</t>
        </is>
      </c>
      <c r="B5014" s="1" t="n">
        <v>45337</v>
      </c>
      <c r="C5014" s="1" t="n">
        <v>45706</v>
      </c>
      <c r="D5014" t="inlineStr">
        <is>
          <t>UPPSALA LÄN</t>
        </is>
      </c>
      <c r="E5014" t="inlineStr">
        <is>
          <t>ENKÖPING</t>
        </is>
      </c>
      <c r="G5014" t="n">
        <v>13.8</v>
      </c>
      <c r="H5014" t="n">
        <v>0</v>
      </c>
      <c r="I5014" t="n">
        <v>0</v>
      </c>
      <c r="J5014" t="n">
        <v>0</v>
      </c>
      <c r="K5014" t="n">
        <v>0</v>
      </c>
      <c r="L5014" t="n">
        <v>0</v>
      </c>
      <c r="M5014" t="n">
        <v>0</v>
      </c>
      <c r="N5014" t="n">
        <v>0</v>
      </c>
      <c r="O5014" t="n">
        <v>0</v>
      </c>
      <c r="P5014" t="n">
        <v>0</v>
      </c>
      <c r="Q5014" t="n">
        <v>0</v>
      </c>
      <c r="R5014" s="2" t="inlineStr"/>
    </row>
    <row r="5015" ht="15" customHeight="1">
      <c r="A5015" t="inlineStr">
        <is>
          <t>A 6143-2024</t>
        </is>
      </c>
      <c r="B5015" s="1" t="n">
        <v>45337</v>
      </c>
      <c r="C5015" s="1" t="n">
        <v>45706</v>
      </c>
      <c r="D5015" t="inlineStr">
        <is>
          <t>UPPSALA LÄN</t>
        </is>
      </c>
      <c r="E5015" t="inlineStr">
        <is>
          <t>ÖSTHAMMAR</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6121-2024</t>
        </is>
      </c>
      <c r="B5016" s="1" t="n">
        <v>45337</v>
      </c>
      <c r="C5016" s="1" t="n">
        <v>45706</v>
      </c>
      <c r="D5016" t="inlineStr">
        <is>
          <t>UPPSALA LÄN</t>
        </is>
      </c>
      <c r="E5016" t="inlineStr">
        <is>
          <t>ÖSTHAMMAR</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6363-2024</t>
        </is>
      </c>
      <c r="B5017" s="1" t="n">
        <v>45338</v>
      </c>
      <c r="C5017" s="1" t="n">
        <v>45706</v>
      </c>
      <c r="D5017" t="inlineStr">
        <is>
          <t>UPPSALA LÄN</t>
        </is>
      </c>
      <c r="E5017" t="inlineStr">
        <is>
          <t>UPPSALA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6385-2024</t>
        </is>
      </c>
      <c r="B5018" s="1" t="n">
        <v>45338</v>
      </c>
      <c r="C5018" s="1" t="n">
        <v>45706</v>
      </c>
      <c r="D5018" t="inlineStr">
        <is>
          <t>UPPSALA LÄN</t>
        </is>
      </c>
      <c r="E5018" t="inlineStr">
        <is>
          <t>TIERP</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6395-2024</t>
        </is>
      </c>
      <c r="B5019" s="1" t="n">
        <v>45338</v>
      </c>
      <c r="C5019" s="1" t="n">
        <v>45706</v>
      </c>
      <c r="D5019" t="inlineStr">
        <is>
          <t>UPPSALA LÄN</t>
        </is>
      </c>
      <c r="E5019" t="inlineStr">
        <is>
          <t>TIERP</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6418-2024</t>
        </is>
      </c>
      <c r="B5020" s="1" t="n">
        <v>45338</v>
      </c>
      <c r="C5020" s="1" t="n">
        <v>45706</v>
      </c>
      <c r="D5020" t="inlineStr">
        <is>
          <t>UPPSALA LÄN</t>
        </is>
      </c>
      <c r="E5020" t="inlineStr">
        <is>
          <t>ÖSTHAMMAR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6497-2024</t>
        </is>
      </c>
      <c r="B5021" s="1" t="n">
        <v>45339</v>
      </c>
      <c r="C5021" s="1" t="n">
        <v>45706</v>
      </c>
      <c r="D5021" t="inlineStr">
        <is>
          <t>UPPSALA LÄN</t>
        </is>
      </c>
      <c r="E5021" t="inlineStr">
        <is>
          <t>HEBY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6501-2024</t>
        </is>
      </c>
      <c r="B5022" s="1" t="n">
        <v>45339</v>
      </c>
      <c r="C5022" s="1" t="n">
        <v>45706</v>
      </c>
      <c r="D5022" t="inlineStr">
        <is>
          <t>UPPSALA LÄN</t>
        </is>
      </c>
      <c r="E5022" t="inlineStr">
        <is>
          <t>UPPSALA</t>
        </is>
      </c>
      <c r="F5022" t="inlineStr">
        <is>
          <t>Bergvik skog öst AB</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6506-2024</t>
        </is>
      </c>
      <c r="B5023" s="1" t="n">
        <v>45339</v>
      </c>
      <c r="C5023" s="1" t="n">
        <v>45706</v>
      </c>
      <c r="D5023" t="inlineStr">
        <is>
          <t>UPPSALA LÄN</t>
        </is>
      </c>
      <c r="E5023" t="inlineStr">
        <is>
          <t>UPPSALA</t>
        </is>
      </c>
      <c r="F5023" t="inlineStr">
        <is>
          <t>Bergvik skog öst AB</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6505-2024</t>
        </is>
      </c>
      <c r="B5024" s="1" t="n">
        <v>45339</v>
      </c>
      <c r="C5024" s="1" t="n">
        <v>45706</v>
      </c>
      <c r="D5024" t="inlineStr">
        <is>
          <t>UPPSALA LÄN</t>
        </is>
      </c>
      <c r="E5024" t="inlineStr">
        <is>
          <t>UPPSALA</t>
        </is>
      </c>
      <c r="F5024" t="inlineStr">
        <is>
          <t>Bergvik skog öst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6500-2024</t>
        </is>
      </c>
      <c r="B5025" s="1" t="n">
        <v>45339</v>
      </c>
      <c r="C5025" s="1" t="n">
        <v>45706</v>
      </c>
      <c r="D5025" t="inlineStr">
        <is>
          <t>UPPSALA LÄN</t>
        </is>
      </c>
      <c r="E5025" t="inlineStr">
        <is>
          <t>UPPSALA</t>
        </is>
      </c>
      <c r="F5025" t="inlineStr">
        <is>
          <t>Bergvik skog öst AB</t>
        </is>
      </c>
      <c r="G5025" t="n">
        <v>23.7</v>
      </c>
      <c r="H5025" t="n">
        <v>0</v>
      </c>
      <c r="I5025" t="n">
        <v>0</v>
      </c>
      <c r="J5025" t="n">
        <v>0</v>
      </c>
      <c r="K5025" t="n">
        <v>0</v>
      </c>
      <c r="L5025" t="n">
        <v>0</v>
      </c>
      <c r="M5025" t="n">
        <v>0</v>
      </c>
      <c r="N5025" t="n">
        <v>0</v>
      </c>
      <c r="O5025" t="n">
        <v>0</v>
      </c>
      <c r="P5025" t="n">
        <v>0</v>
      </c>
      <c r="Q5025" t="n">
        <v>0</v>
      </c>
      <c r="R5025" s="2" t="inlineStr"/>
    </row>
    <row r="5026" ht="15" customHeight="1">
      <c r="A5026" t="inlineStr">
        <is>
          <t>A 6504-2024</t>
        </is>
      </c>
      <c r="B5026" s="1" t="n">
        <v>45339</v>
      </c>
      <c r="C5026" s="1" t="n">
        <v>45706</v>
      </c>
      <c r="D5026" t="inlineStr">
        <is>
          <t>UPPSALA LÄN</t>
        </is>
      </c>
      <c r="E5026" t="inlineStr">
        <is>
          <t>UPPSALA</t>
        </is>
      </c>
      <c r="F5026" t="inlineStr">
        <is>
          <t>Bergvik skog öst AB</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6503-2024</t>
        </is>
      </c>
      <c r="B5027" s="1" t="n">
        <v>45339</v>
      </c>
      <c r="C5027" s="1" t="n">
        <v>45706</v>
      </c>
      <c r="D5027" t="inlineStr">
        <is>
          <t>UPPSALA LÄN</t>
        </is>
      </c>
      <c r="E5027" t="inlineStr">
        <is>
          <t>UPPSALA</t>
        </is>
      </c>
      <c r="F5027" t="inlineStr">
        <is>
          <t>Bergvik skog öst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6507-2024</t>
        </is>
      </c>
      <c r="B5028" s="1" t="n">
        <v>45339</v>
      </c>
      <c r="C5028" s="1" t="n">
        <v>45706</v>
      </c>
      <c r="D5028" t="inlineStr">
        <is>
          <t>UPPSALA LÄN</t>
        </is>
      </c>
      <c r="E5028" t="inlineStr">
        <is>
          <t>UPPSALA</t>
        </is>
      </c>
      <c r="F5028" t="inlineStr">
        <is>
          <t>Bergvik skog öst AB</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6547-2024</t>
        </is>
      </c>
      <c r="B5029" s="1" t="n">
        <v>45341</v>
      </c>
      <c r="C5029" s="1" t="n">
        <v>45706</v>
      </c>
      <c r="D5029" t="inlineStr">
        <is>
          <t>UPPSALA LÄN</t>
        </is>
      </c>
      <c r="E5029" t="inlineStr">
        <is>
          <t>HEBY</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6555-2024</t>
        </is>
      </c>
      <c r="B5030" s="1" t="n">
        <v>45341</v>
      </c>
      <c r="C5030" s="1" t="n">
        <v>45706</v>
      </c>
      <c r="D5030" t="inlineStr">
        <is>
          <t>UPPSALA LÄN</t>
        </is>
      </c>
      <c r="E5030" t="inlineStr">
        <is>
          <t>HEBY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6554-2024</t>
        </is>
      </c>
      <c r="B5031" s="1" t="n">
        <v>45341</v>
      </c>
      <c r="C5031" s="1" t="n">
        <v>45706</v>
      </c>
      <c r="D5031" t="inlineStr">
        <is>
          <t>UPPSALA LÄN</t>
        </is>
      </c>
      <c r="E5031" t="inlineStr">
        <is>
          <t>HEBY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6628-2024</t>
        </is>
      </c>
      <c r="B5032" s="1" t="n">
        <v>45341</v>
      </c>
      <c r="C5032" s="1" t="n">
        <v>45706</v>
      </c>
      <c r="D5032" t="inlineStr">
        <is>
          <t>UPPSALA LÄN</t>
        </is>
      </c>
      <c r="E5032" t="inlineStr">
        <is>
          <t>UPPSALA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6630-2024</t>
        </is>
      </c>
      <c r="B5033" s="1" t="n">
        <v>45341</v>
      </c>
      <c r="C5033" s="1" t="n">
        <v>45706</v>
      </c>
      <c r="D5033" t="inlineStr">
        <is>
          <t>UPPSALA LÄN</t>
        </is>
      </c>
      <c r="E5033" t="inlineStr">
        <is>
          <t>UPPSALA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6650-2024</t>
        </is>
      </c>
      <c r="B5034" s="1" t="n">
        <v>45341</v>
      </c>
      <c r="C5034" s="1" t="n">
        <v>45706</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6656-2024</t>
        </is>
      </c>
      <c r="B5035" s="1" t="n">
        <v>45341</v>
      </c>
      <c r="C5035" s="1" t="n">
        <v>45706</v>
      </c>
      <c r="D5035" t="inlineStr">
        <is>
          <t>UPPSALA LÄN</t>
        </is>
      </c>
      <c r="E5035" t="inlineStr">
        <is>
          <t>ÖSTHAMMAR</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6676-2024</t>
        </is>
      </c>
      <c r="B5036" s="1" t="n">
        <v>45341</v>
      </c>
      <c r="C5036" s="1" t="n">
        <v>45706</v>
      </c>
      <c r="D5036" t="inlineStr">
        <is>
          <t>UPPSALA LÄN</t>
        </is>
      </c>
      <c r="E5036" t="inlineStr">
        <is>
          <t>UPPSALA</t>
        </is>
      </c>
      <c r="F5036" t="inlineStr">
        <is>
          <t>Bergvik skog öst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6609-2024</t>
        </is>
      </c>
      <c r="B5037" s="1" t="n">
        <v>45341</v>
      </c>
      <c r="C5037" s="1" t="n">
        <v>45706</v>
      </c>
      <c r="D5037" t="inlineStr">
        <is>
          <t>UPPSALA LÄN</t>
        </is>
      </c>
      <c r="E5037" t="inlineStr">
        <is>
          <t>UPPSALA</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6661-2024</t>
        </is>
      </c>
      <c r="B5038" s="1" t="n">
        <v>45341</v>
      </c>
      <c r="C5038" s="1" t="n">
        <v>45706</v>
      </c>
      <c r="D5038" t="inlineStr">
        <is>
          <t>UPPSALA LÄN</t>
        </is>
      </c>
      <c r="E5038" t="inlineStr">
        <is>
          <t>ÖSTHAMMAR</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6679-2024</t>
        </is>
      </c>
      <c r="B5039" s="1" t="n">
        <v>45341</v>
      </c>
      <c r="C5039" s="1" t="n">
        <v>45706</v>
      </c>
      <c r="D5039" t="inlineStr">
        <is>
          <t>UPPSALA LÄN</t>
        </is>
      </c>
      <c r="E5039" t="inlineStr">
        <is>
          <t>UPPSALA</t>
        </is>
      </c>
      <c r="F5039" t="inlineStr">
        <is>
          <t>Bergvik skog öst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6677-2024</t>
        </is>
      </c>
      <c r="B5040" s="1" t="n">
        <v>45341</v>
      </c>
      <c r="C5040" s="1" t="n">
        <v>45706</v>
      </c>
      <c r="D5040" t="inlineStr">
        <is>
          <t>UPPSALA LÄN</t>
        </is>
      </c>
      <c r="E5040" t="inlineStr">
        <is>
          <t>UPPSALA</t>
        </is>
      </c>
      <c r="F5040" t="inlineStr">
        <is>
          <t>Bergvik skog öst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6678-2024</t>
        </is>
      </c>
      <c r="B5041" s="1" t="n">
        <v>45341</v>
      </c>
      <c r="C5041" s="1" t="n">
        <v>45706</v>
      </c>
      <c r="D5041" t="inlineStr">
        <is>
          <t>UPPSALA LÄN</t>
        </is>
      </c>
      <c r="E5041" t="inlineStr">
        <is>
          <t>UPPSALA</t>
        </is>
      </c>
      <c r="F5041" t="inlineStr">
        <is>
          <t>Bergvik skog öst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6882-2024</t>
        </is>
      </c>
      <c r="B5042" s="1" t="n">
        <v>45342</v>
      </c>
      <c r="C5042" s="1" t="n">
        <v>45706</v>
      </c>
      <c r="D5042" t="inlineStr">
        <is>
          <t>UPPSALA LÄN</t>
        </is>
      </c>
      <c r="E5042" t="inlineStr">
        <is>
          <t>HEBY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6885-2024</t>
        </is>
      </c>
      <c r="B5043" s="1" t="n">
        <v>45342</v>
      </c>
      <c r="C5043" s="1" t="n">
        <v>45706</v>
      </c>
      <c r="D5043" t="inlineStr">
        <is>
          <t>UPPSALA LÄN</t>
        </is>
      </c>
      <c r="E5043" t="inlineStr">
        <is>
          <t>HEBY</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6966-2024</t>
        </is>
      </c>
      <c r="B5044" s="1" t="n">
        <v>45343</v>
      </c>
      <c r="C5044" s="1" t="n">
        <v>45706</v>
      </c>
      <c r="D5044" t="inlineStr">
        <is>
          <t>UPPSALA LÄN</t>
        </is>
      </c>
      <c r="E5044" t="inlineStr">
        <is>
          <t>UPPSALA</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7048-2024</t>
        </is>
      </c>
      <c r="B5045" s="1" t="n">
        <v>45343</v>
      </c>
      <c r="C5045" s="1" t="n">
        <v>45706</v>
      </c>
      <c r="D5045" t="inlineStr">
        <is>
          <t>UPPSALA LÄN</t>
        </is>
      </c>
      <c r="E5045" t="inlineStr">
        <is>
          <t>TIERP</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7065-2024</t>
        </is>
      </c>
      <c r="B5046" s="1" t="n">
        <v>45343</v>
      </c>
      <c r="C5046" s="1" t="n">
        <v>45706</v>
      </c>
      <c r="D5046" t="inlineStr">
        <is>
          <t>UPPSALA LÄN</t>
        </is>
      </c>
      <c r="E5046" t="inlineStr">
        <is>
          <t>TIERP</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7084-2024</t>
        </is>
      </c>
      <c r="B5047" s="1" t="n">
        <v>45343</v>
      </c>
      <c r="C5047" s="1" t="n">
        <v>45706</v>
      </c>
      <c r="D5047" t="inlineStr">
        <is>
          <t>UPPSALA LÄN</t>
        </is>
      </c>
      <c r="E5047" t="inlineStr">
        <is>
          <t>HEBY</t>
        </is>
      </c>
      <c r="F5047" t="inlineStr">
        <is>
          <t>Kyrkan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7088-2024</t>
        </is>
      </c>
      <c r="B5048" s="1" t="n">
        <v>45343</v>
      </c>
      <c r="C5048" s="1" t="n">
        <v>45706</v>
      </c>
      <c r="D5048" t="inlineStr">
        <is>
          <t>UPPSALA LÄN</t>
        </is>
      </c>
      <c r="E5048" t="inlineStr">
        <is>
          <t>HEBY</t>
        </is>
      </c>
      <c r="F5048" t="inlineStr">
        <is>
          <t>Kyrkan</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7169-2024</t>
        </is>
      </c>
      <c r="B5049" s="1" t="n">
        <v>45344</v>
      </c>
      <c r="C5049" s="1" t="n">
        <v>45706</v>
      </c>
      <c r="D5049" t="inlineStr">
        <is>
          <t>UPPSALA LÄN</t>
        </is>
      </c>
      <c r="E5049" t="inlineStr">
        <is>
          <t>HEBY</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7173-2024</t>
        </is>
      </c>
      <c r="B5050" s="1" t="n">
        <v>45344</v>
      </c>
      <c r="C5050" s="1" t="n">
        <v>45706</v>
      </c>
      <c r="D5050" t="inlineStr">
        <is>
          <t>UPPSALA LÄN</t>
        </is>
      </c>
      <c r="E5050" t="inlineStr">
        <is>
          <t>HEBY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7253-2024</t>
        </is>
      </c>
      <c r="B5051" s="1" t="n">
        <v>45344</v>
      </c>
      <c r="C5051" s="1" t="n">
        <v>45706</v>
      </c>
      <c r="D5051" t="inlineStr">
        <is>
          <t>UPPSALA LÄN</t>
        </is>
      </c>
      <c r="E5051" t="inlineStr">
        <is>
          <t>UPPSALA</t>
        </is>
      </c>
      <c r="F5051" t="inlineStr">
        <is>
          <t>Kyrkan</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7158-2024</t>
        </is>
      </c>
      <c r="B5052" s="1" t="n">
        <v>45344</v>
      </c>
      <c r="C5052" s="1" t="n">
        <v>45706</v>
      </c>
      <c r="D5052" t="inlineStr">
        <is>
          <t>UPPSALA LÄN</t>
        </is>
      </c>
      <c r="E5052" t="inlineStr">
        <is>
          <t>UPPSALA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7166-2024</t>
        </is>
      </c>
      <c r="B5053" s="1" t="n">
        <v>45344</v>
      </c>
      <c r="C5053" s="1" t="n">
        <v>45706</v>
      </c>
      <c r="D5053" t="inlineStr">
        <is>
          <t>UPPSALA LÄN</t>
        </is>
      </c>
      <c r="E5053" t="inlineStr">
        <is>
          <t>HEBY</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7175-2024</t>
        </is>
      </c>
      <c r="B5054" s="1" t="n">
        <v>45344</v>
      </c>
      <c r="C5054" s="1" t="n">
        <v>45706</v>
      </c>
      <c r="D5054" t="inlineStr">
        <is>
          <t>UPPSALA LÄN</t>
        </is>
      </c>
      <c r="E5054" t="inlineStr">
        <is>
          <t>UPPSALA</t>
        </is>
      </c>
      <c r="F5054" t="inlineStr">
        <is>
          <t>Kyrkan</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7127-2024</t>
        </is>
      </c>
      <c r="B5055" s="1" t="n">
        <v>45344</v>
      </c>
      <c r="C5055" s="1" t="n">
        <v>45706</v>
      </c>
      <c r="D5055" t="inlineStr">
        <is>
          <t>UPPSALA LÄN</t>
        </is>
      </c>
      <c r="E5055" t="inlineStr">
        <is>
          <t>TIERP</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7275-2024</t>
        </is>
      </c>
      <c r="B5056" s="1" t="n">
        <v>45344</v>
      </c>
      <c r="C5056" s="1" t="n">
        <v>45706</v>
      </c>
      <c r="D5056" t="inlineStr">
        <is>
          <t>UPPSALA LÄN</t>
        </is>
      </c>
      <c r="E5056" t="inlineStr">
        <is>
          <t>UPPSALA</t>
        </is>
      </c>
      <c r="F5056" t="inlineStr">
        <is>
          <t>Bergvik skog öst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7226-2024</t>
        </is>
      </c>
      <c r="B5057" s="1" t="n">
        <v>45344</v>
      </c>
      <c r="C5057" s="1" t="n">
        <v>45706</v>
      </c>
      <c r="D5057" t="inlineStr">
        <is>
          <t>UPPSALA LÄN</t>
        </is>
      </c>
      <c r="E5057" t="inlineStr">
        <is>
          <t>UPPSALA</t>
        </is>
      </c>
      <c r="F5057" t="inlineStr">
        <is>
          <t>Kyrkan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7274-2024</t>
        </is>
      </c>
      <c r="B5058" s="1" t="n">
        <v>45344</v>
      </c>
      <c r="C5058" s="1" t="n">
        <v>45706</v>
      </c>
      <c r="D5058" t="inlineStr">
        <is>
          <t>UPPSALA LÄN</t>
        </is>
      </c>
      <c r="E5058" t="inlineStr">
        <is>
          <t>UPPSALA</t>
        </is>
      </c>
      <c r="F5058" t="inlineStr">
        <is>
          <t>Bergvik skog öst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7278-2024</t>
        </is>
      </c>
      <c r="B5059" s="1" t="n">
        <v>45344</v>
      </c>
      <c r="C5059" s="1" t="n">
        <v>45706</v>
      </c>
      <c r="D5059" t="inlineStr">
        <is>
          <t>UPPSALA LÄN</t>
        </is>
      </c>
      <c r="E5059" t="inlineStr">
        <is>
          <t>UPPSALA</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7160-2024</t>
        </is>
      </c>
      <c r="B5060" s="1" t="n">
        <v>45344</v>
      </c>
      <c r="C5060" s="1" t="n">
        <v>45706</v>
      </c>
      <c r="D5060" t="inlineStr">
        <is>
          <t>UPPSALA LÄN</t>
        </is>
      </c>
      <c r="E5060" t="inlineStr">
        <is>
          <t>HEBY</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7276-2024</t>
        </is>
      </c>
      <c r="B5061" s="1" t="n">
        <v>45344</v>
      </c>
      <c r="C5061" s="1" t="n">
        <v>45706</v>
      </c>
      <c r="D5061" t="inlineStr">
        <is>
          <t>UPPSALA LÄN</t>
        </is>
      </c>
      <c r="E5061" t="inlineStr">
        <is>
          <t>UPPSALA</t>
        </is>
      </c>
      <c r="F5061" t="inlineStr">
        <is>
          <t>Bergvik skog öst AB</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7389-2024</t>
        </is>
      </c>
      <c r="B5062" s="1" t="n">
        <v>45345</v>
      </c>
      <c r="C5062" s="1" t="n">
        <v>45706</v>
      </c>
      <c r="D5062" t="inlineStr">
        <is>
          <t>UPPSALA LÄN</t>
        </is>
      </c>
      <c r="E5062" t="inlineStr">
        <is>
          <t>UPPSALA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7390-2024</t>
        </is>
      </c>
      <c r="B5063" s="1" t="n">
        <v>45345</v>
      </c>
      <c r="C5063" s="1" t="n">
        <v>45706</v>
      </c>
      <c r="D5063" t="inlineStr">
        <is>
          <t>UPPSALA LÄN</t>
        </is>
      </c>
      <c r="E5063" t="inlineStr">
        <is>
          <t>UPPSALA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7400-2024</t>
        </is>
      </c>
      <c r="B5064" s="1" t="n">
        <v>45345</v>
      </c>
      <c r="C5064" s="1" t="n">
        <v>45706</v>
      </c>
      <c r="D5064" t="inlineStr">
        <is>
          <t>UPPSALA LÄN</t>
        </is>
      </c>
      <c r="E5064" t="inlineStr">
        <is>
          <t>UPPSALA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7388-2024</t>
        </is>
      </c>
      <c r="B5065" s="1" t="n">
        <v>45345</v>
      </c>
      <c r="C5065" s="1" t="n">
        <v>45706</v>
      </c>
      <c r="D5065" t="inlineStr">
        <is>
          <t>UPPSALA LÄN</t>
        </is>
      </c>
      <c r="E5065" t="inlineStr">
        <is>
          <t>UPPSALA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7407-2024</t>
        </is>
      </c>
      <c r="B5066" s="1" t="n">
        <v>45345</v>
      </c>
      <c r="C5066" s="1" t="n">
        <v>45706</v>
      </c>
      <c r="D5066" t="inlineStr">
        <is>
          <t>UPPSALA LÄN</t>
        </is>
      </c>
      <c r="E5066" t="inlineStr">
        <is>
          <t>UPPSALA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7403-2024</t>
        </is>
      </c>
      <c r="B5067" s="1" t="n">
        <v>45345</v>
      </c>
      <c r="C5067" s="1" t="n">
        <v>45706</v>
      </c>
      <c r="D5067" t="inlineStr">
        <is>
          <t>UPPSALA LÄN</t>
        </is>
      </c>
      <c r="E5067" t="inlineStr">
        <is>
          <t>UPPSALA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7649-2024</t>
        </is>
      </c>
      <c r="B5068" s="1" t="n">
        <v>45348</v>
      </c>
      <c r="C5068" s="1" t="n">
        <v>45706</v>
      </c>
      <c r="D5068" t="inlineStr">
        <is>
          <t>UPPSALA LÄN</t>
        </is>
      </c>
      <c r="E5068" t="inlineStr">
        <is>
          <t>UPPSALA</t>
        </is>
      </c>
      <c r="F5068" t="inlineStr">
        <is>
          <t>Kyrkan</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7654-2024</t>
        </is>
      </c>
      <c r="B5069" s="1" t="n">
        <v>45348</v>
      </c>
      <c r="C5069" s="1" t="n">
        <v>45706</v>
      </c>
      <c r="D5069" t="inlineStr">
        <is>
          <t>UPPSALA LÄN</t>
        </is>
      </c>
      <c r="E5069" t="inlineStr">
        <is>
          <t>UPPSALA</t>
        </is>
      </c>
      <c r="F5069" t="inlineStr">
        <is>
          <t>Kyrkan</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7732-2024</t>
        </is>
      </c>
      <c r="B5070" s="1" t="n">
        <v>45349</v>
      </c>
      <c r="C5070" s="1" t="n">
        <v>45706</v>
      </c>
      <c r="D5070" t="inlineStr">
        <is>
          <t>UPPSALA LÄN</t>
        </is>
      </c>
      <c r="E5070" t="inlineStr">
        <is>
          <t>UPPSALA</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7727-2024</t>
        </is>
      </c>
      <c r="B5071" s="1" t="n">
        <v>45349</v>
      </c>
      <c r="C5071" s="1" t="n">
        <v>45706</v>
      </c>
      <c r="D5071" t="inlineStr">
        <is>
          <t>UPPSALA LÄN</t>
        </is>
      </c>
      <c r="E5071" t="inlineStr">
        <is>
          <t>UPPSALA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7750-2024</t>
        </is>
      </c>
      <c r="B5072" s="1" t="n">
        <v>45349</v>
      </c>
      <c r="C5072" s="1" t="n">
        <v>45706</v>
      </c>
      <c r="D5072" t="inlineStr">
        <is>
          <t>UPPSALA LÄN</t>
        </is>
      </c>
      <c r="E5072" t="inlineStr">
        <is>
          <t>UPPSALA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7868-2024</t>
        </is>
      </c>
      <c r="B5073" s="1" t="n">
        <v>45350</v>
      </c>
      <c r="C5073" s="1" t="n">
        <v>45706</v>
      </c>
      <c r="D5073" t="inlineStr">
        <is>
          <t>UPPSALA LÄN</t>
        </is>
      </c>
      <c r="E5073" t="inlineStr">
        <is>
          <t>ENKÖPING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7974-2024</t>
        </is>
      </c>
      <c r="B5074" s="1" t="n">
        <v>45350</v>
      </c>
      <c r="C5074" s="1" t="n">
        <v>45706</v>
      </c>
      <c r="D5074" t="inlineStr">
        <is>
          <t>UPPSALA LÄN</t>
        </is>
      </c>
      <c r="E5074" t="inlineStr">
        <is>
          <t>UPPSALA</t>
        </is>
      </c>
      <c r="F5074" t="inlineStr">
        <is>
          <t>Övriga Aktiebolag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7866-2024</t>
        </is>
      </c>
      <c r="B5075" s="1" t="n">
        <v>45350</v>
      </c>
      <c r="C5075" s="1" t="n">
        <v>45706</v>
      </c>
      <c r="D5075" t="inlineStr">
        <is>
          <t>UPPSALA LÄN</t>
        </is>
      </c>
      <c r="E5075" t="inlineStr">
        <is>
          <t>ENKÖPING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7870-2024</t>
        </is>
      </c>
      <c r="B5076" s="1" t="n">
        <v>45350</v>
      </c>
      <c r="C5076" s="1" t="n">
        <v>45706</v>
      </c>
      <c r="D5076" t="inlineStr">
        <is>
          <t>UPPSALA LÄN</t>
        </is>
      </c>
      <c r="E5076" t="inlineStr">
        <is>
          <t>ENKÖPING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8056-2024</t>
        </is>
      </c>
      <c r="B5077" s="1" t="n">
        <v>45351</v>
      </c>
      <c r="C5077" s="1" t="n">
        <v>45706</v>
      </c>
      <c r="D5077" t="inlineStr">
        <is>
          <t>UPPSALA LÄN</t>
        </is>
      </c>
      <c r="E5077" t="inlineStr">
        <is>
          <t>HEBY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8112-2024</t>
        </is>
      </c>
      <c r="B5078" s="1" t="n">
        <v>45351</v>
      </c>
      <c r="C5078" s="1" t="n">
        <v>45706</v>
      </c>
      <c r="D5078" t="inlineStr">
        <is>
          <t>UPPSALA LÄN</t>
        </is>
      </c>
      <c r="E5078" t="inlineStr">
        <is>
          <t>HEBY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8132-2024</t>
        </is>
      </c>
      <c r="B5079" s="1" t="n">
        <v>45351</v>
      </c>
      <c r="C5079" s="1" t="n">
        <v>45706</v>
      </c>
      <c r="D5079" t="inlineStr">
        <is>
          <t>UPPSALA LÄN</t>
        </is>
      </c>
      <c r="E5079" t="inlineStr">
        <is>
          <t>UPPSALA</t>
        </is>
      </c>
      <c r="F5079" t="inlineStr">
        <is>
          <t>Övriga Aktiebolag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8103-2024</t>
        </is>
      </c>
      <c r="B5080" s="1" t="n">
        <v>45351</v>
      </c>
      <c r="C5080" s="1" t="n">
        <v>45706</v>
      </c>
      <c r="D5080" t="inlineStr">
        <is>
          <t>UPPSALA LÄN</t>
        </is>
      </c>
      <c r="E5080" t="inlineStr">
        <is>
          <t>ENKÖPING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8137-2024</t>
        </is>
      </c>
      <c r="B5081" s="1" t="n">
        <v>45351</v>
      </c>
      <c r="C5081" s="1" t="n">
        <v>45706</v>
      </c>
      <c r="D5081" t="inlineStr">
        <is>
          <t>UPPSALA LÄN</t>
        </is>
      </c>
      <c r="E5081" t="inlineStr">
        <is>
          <t>HEBY</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8168-2024</t>
        </is>
      </c>
      <c r="B5082" s="1" t="n">
        <v>45351</v>
      </c>
      <c r="C5082" s="1" t="n">
        <v>45706</v>
      </c>
      <c r="D5082" t="inlineStr">
        <is>
          <t>UPPSALA LÄN</t>
        </is>
      </c>
      <c r="E5082" t="inlineStr">
        <is>
          <t>HEBY</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8109-2024</t>
        </is>
      </c>
      <c r="B5083" s="1" t="n">
        <v>45351</v>
      </c>
      <c r="C5083" s="1" t="n">
        <v>45706</v>
      </c>
      <c r="D5083" t="inlineStr">
        <is>
          <t>UPPSALA LÄN</t>
        </is>
      </c>
      <c r="E5083" t="inlineStr">
        <is>
          <t>UPPSALA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8139-2024</t>
        </is>
      </c>
      <c r="B5084" s="1" t="n">
        <v>45351</v>
      </c>
      <c r="C5084" s="1" t="n">
        <v>45706</v>
      </c>
      <c r="D5084" t="inlineStr">
        <is>
          <t>UPPSALA LÄN</t>
        </is>
      </c>
      <c r="E5084" t="inlineStr">
        <is>
          <t>HEBY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8155-2024</t>
        </is>
      </c>
      <c r="B5085" s="1" t="n">
        <v>45351</v>
      </c>
      <c r="C5085" s="1" t="n">
        <v>45706</v>
      </c>
      <c r="D5085" t="inlineStr">
        <is>
          <t>UPPSALA LÄN</t>
        </is>
      </c>
      <c r="E5085" t="inlineStr">
        <is>
          <t>HEBY</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8152-2024</t>
        </is>
      </c>
      <c r="B5086" s="1" t="n">
        <v>45351</v>
      </c>
      <c r="C5086" s="1" t="n">
        <v>45706</v>
      </c>
      <c r="D5086" t="inlineStr">
        <is>
          <t>UPPSALA LÄN</t>
        </is>
      </c>
      <c r="E5086" t="inlineStr">
        <is>
          <t>HEBY</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8217-2024</t>
        </is>
      </c>
      <c r="B5087" s="1" t="n">
        <v>45351</v>
      </c>
      <c r="C5087" s="1" t="n">
        <v>45706</v>
      </c>
      <c r="D5087" t="inlineStr">
        <is>
          <t>UPPSALA LÄN</t>
        </is>
      </c>
      <c r="E5087" t="inlineStr">
        <is>
          <t>ENKÖPING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8672-2024</t>
        </is>
      </c>
      <c r="B5088" s="1" t="n">
        <v>45352</v>
      </c>
      <c r="C5088" s="1" t="n">
        <v>45706</v>
      </c>
      <c r="D5088" t="inlineStr">
        <is>
          <t>UPPSALA LÄN</t>
        </is>
      </c>
      <c r="E5088" t="inlineStr">
        <is>
          <t>UPPSALA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8343-2024</t>
        </is>
      </c>
      <c r="B5089" s="1" t="n">
        <v>45352</v>
      </c>
      <c r="C5089" s="1" t="n">
        <v>45706</v>
      </c>
      <c r="D5089" t="inlineStr">
        <is>
          <t>UPPSALA LÄN</t>
        </is>
      </c>
      <c r="E5089" t="inlineStr">
        <is>
          <t>KNIVSTA</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8357-2024</t>
        </is>
      </c>
      <c r="B5090" s="1" t="n">
        <v>45352</v>
      </c>
      <c r="C5090" s="1" t="n">
        <v>45706</v>
      </c>
      <c r="D5090" t="inlineStr">
        <is>
          <t>UPPSALA LÄN</t>
        </is>
      </c>
      <c r="E5090" t="inlineStr">
        <is>
          <t>KNIVSTA</t>
        </is>
      </c>
      <c r="F5090" t="inlineStr">
        <is>
          <t>Holmen skog AB</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8338-2024</t>
        </is>
      </c>
      <c r="B5091" s="1" t="n">
        <v>45352</v>
      </c>
      <c r="C5091" s="1" t="n">
        <v>45706</v>
      </c>
      <c r="D5091" t="inlineStr">
        <is>
          <t>UPPSALA LÄN</t>
        </is>
      </c>
      <c r="E5091" t="inlineStr">
        <is>
          <t>UPPSALA</t>
        </is>
      </c>
      <c r="F5091" t="inlineStr">
        <is>
          <t>Kyrkan</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8473-2024</t>
        </is>
      </c>
      <c r="B5092" s="1" t="n">
        <v>45355</v>
      </c>
      <c r="C5092" s="1" t="n">
        <v>45706</v>
      </c>
      <c r="D5092" t="inlineStr">
        <is>
          <t>UPPSALA LÄN</t>
        </is>
      </c>
      <c r="E5092" t="inlineStr">
        <is>
          <t>HEBY</t>
        </is>
      </c>
      <c r="F5092" t="inlineStr">
        <is>
          <t>Kyrkan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8699-2024</t>
        </is>
      </c>
      <c r="B5093" s="1" t="n">
        <v>45355</v>
      </c>
      <c r="C5093" s="1" t="n">
        <v>45706</v>
      </c>
      <c r="D5093" t="inlineStr">
        <is>
          <t>UPPSALA LÄN</t>
        </is>
      </c>
      <c r="E5093" t="inlineStr">
        <is>
          <t>HEBY</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8702-2024</t>
        </is>
      </c>
      <c r="B5094" s="1" t="n">
        <v>45355</v>
      </c>
      <c r="C5094" s="1" t="n">
        <v>45706</v>
      </c>
      <c r="D5094" t="inlineStr">
        <is>
          <t>UPPSALA LÄN</t>
        </is>
      </c>
      <c r="E5094" t="inlineStr">
        <is>
          <t>HEBY</t>
        </is>
      </c>
      <c r="G5094" t="n">
        <v>12.6</v>
      </c>
      <c r="H5094" t="n">
        <v>0</v>
      </c>
      <c r="I5094" t="n">
        <v>0</v>
      </c>
      <c r="J5094" t="n">
        <v>0</v>
      </c>
      <c r="K5094" t="n">
        <v>0</v>
      </c>
      <c r="L5094" t="n">
        <v>0</v>
      </c>
      <c r="M5094" t="n">
        <v>0</v>
      </c>
      <c r="N5094" t="n">
        <v>0</v>
      </c>
      <c r="O5094" t="n">
        <v>0</v>
      </c>
      <c r="P5094" t="n">
        <v>0</v>
      </c>
      <c r="Q5094" t="n">
        <v>0</v>
      </c>
      <c r="R5094" s="2" t="inlineStr"/>
    </row>
    <row r="5095" ht="15" customHeight="1">
      <c r="A5095" t="inlineStr">
        <is>
          <t>A 8689-2024</t>
        </is>
      </c>
      <c r="B5095" s="1" t="n">
        <v>45355</v>
      </c>
      <c r="C5095" s="1" t="n">
        <v>45706</v>
      </c>
      <c r="D5095" t="inlineStr">
        <is>
          <t>UPPSALA LÄN</t>
        </is>
      </c>
      <c r="E5095" t="inlineStr">
        <is>
          <t>HEBY</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8673-2024</t>
        </is>
      </c>
      <c r="B5096" s="1" t="n">
        <v>45356</v>
      </c>
      <c r="C5096" s="1" t="n">
        <v>45706</v>
      </c>
      <c r="D5096" t="inlineStr">
        <is>
          <t>UPPSALA LÄN</t>
        </is>
      </c>
      <c r="E5096" t="inlineStr">
        <is>
          <t>ÖSTHAMMAR</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8906-2024</t>
        </is>
      </c>
      <c r="B5097" s="1" t="n">
        <v>45357</v>
      </c>
      <c r="C5097" s="1" t="n">
        <v>45706</v>
      </c>
      <c r="D5097" t="inlineStr">
        <is>
          <t>UPPSALA LÄN</t>
        </is>
      </c>
      <c r="E5097" t="inlineStr">
        <is>
          <t>HEBY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8958-2024</t>
        </is>
      </c>
      <c r="B5098" s="1" t="n">
        <v>45357</v>
      </c>
      <c r="C5098" s="1" t="n">
        <v>45706</v>
      </c>
      <c r="D5098" t="inlineStr">
        <is>
          <t>UPPSALA LÄN</t>
        </is>
      </c>
      <c r="E5098" t="inlineStr">
        <is>
          <t>TIERP</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8944-2024</t>
        </is>
      </c>
      <c r="B5099" s="1" t="n">
        <v>45357</v>
      </c>
      <c r="C5099" s="1" t="n">
        <v>45706</v>
      </c>
      <c r="D5099" t="inlineStr">
        <is>
          <t>UPPSALA LÄN</t>
        </is>
      </c>
      <c r="E5099" t="inlineStr">
        <is>
          <t>KNIVSTA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9235-2024</t>
        </is>
      </c>
      <c r="B5100" s="1" t="n">
        <v>45357</v>
      </c>
      <c r="C5100" s="1" t="n">
        <v>45706</v>
      </c>
      <c r="D5100" t="inlineStr">
        <is>
          <t>UPPSALA LÄN</t>
        </is>
      </c>
      <c r="E5100" t="inlineStr">
        <is>
          <t>UPPSALA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9185-2024</t>
        </is>
      </c>
      <c r="B5101" s="1" t="n">
        <v>45358</v>
      </c>
      <c r="C5101" s="1" t="n">
        <v>45706</v>
      </c>
      <c r="D5101" t="inlineStr">
        <is>
          <t>UPPSALA LÄN</t>
        </is>
      </c>
      <c r="E5101" t="inlineStr">
        <is>
          <t>ENKÖPING</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9201-2024</t>
        </is>
      </c>
      <c r="B5102" s="1" t="n">
        <v>45358</v>
      </c>
      <c r="C5102" s="1" t="n">
        <v>45706</v>
      </c>
      <c r="D5102" t="inlineStr">
        <is>
          <t>UPPSALA LÄN</t>
        </is>
      </c>
      <c r="E5102" t="inlineStr">
        <is>
          <t>UPPSALA</t>
        </is>
      </c>
      <c r="F5102" t="inlineStr">
        <is>
          <t>Allmännings- och besparingsskogar</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9130-2024</t>
        </is>
      </c>
      <c r="B5103" s="1" t="n">
        <v>45358</v>
      </c>
      <c r="C5103" s="1" t="n">
        <v>45706</v>
      </c>
      <c r="D5103" t="inlineStr">
        <is>
          <t>UPPSALA LÄN</t>
        </is>
      </c>
      <c r="E5103" t="inlineStr">
        <is>
          <t>TIERP</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9174-2024</t>
        </is>
      </c>
      <c r="B5104" s="1" t="n">
        <v>45358</v>
      </c>
      <c r="C5104" s="1" t="n">
        <v>45706</v>
      </c>
      <c r="D5104" t="inlineStr">
        <is>
          <t>UPPSALA LÄN</t>
        </is>
      </c>
      <c r="E5104" t="inlineStr">
        <is>
          <t>ENKÖPING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9195-2024</t>
        </is>
      </c>
      <c r="B5105" s="1" t="n">
        <v>45358</v>
      </c>
      <c r="C5105" s="1" t="n">
        <v>45706</v>
      </c>
      <c r="D5105" t="inlineStr">
        <is>
          <t>UPPSALA LÄN</t>
        </is>
      </c>
      <c r="E5105" t="inlineStr">
        <is>
          <t>UPPSALA</t>
        </is>
      </c>
      <c r="F5105" t="inlineStr">
        <is>
          <t>Allmännings- och besparingsskogar</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9264-2024</t>
        </is>
      </c>
      <c r="B5106" s="1" t="n">
        <v>45358</v>
      </c>
      <c r="C5106" s="1" t="n">
        <v>45706</v>
      </c>
      <c r="D5106" t="inlineStr">
        <is>
          <t>UPPSALA LÄN</t>
        </is>
      </c>
      <c r="E5106" t="inlineStr">
        <is>
          <t>ÖSTHAMMAR</t>
        </is>
      </c>
      <c r="F5106" t="inlineStr">
        <is>
          <t>Bergvik skog öst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9267-2024</t>
        </is>
      </c>
      <c r="B5107" s="1" t="n">
        <v>45358</v>
      </c>
      <c r="C5107" s="1" t="n">
        <v>45706</v>
      </c>
      <c r="D5107" t="inlineStr">
        <is>
          <t>UPPSALA LÄN</t>
        </is>
      </c>
      <c r="E5107" t="inlineStr">
        <is>
          <t>ÖSTHAMMAR</t>
        </is>
      </c>
      <c r="F5107" t="inlineStr">
        <is>
          <t>Bergvik skog öst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9291-2024</t>
        </is>
      </c>
      <c r="B5108" s="1" t="n">
        <v>45358</v>
      </c>
      <c r="C5108" s="1" t="n">
        <v>45706</v>
      </c>
      <c r="D5108" t="inlineStr">
        <is>
          <t>UPPSALA LÄN</t>
        </is>
      </c>
      <c r="E5108" t="inlineStr">
        <is>
          <t>ÖSTHAMMAR</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9171-2024</t>
        </is>
      </c>
      <c r="B5109" s="1" t="n">
        <v>45358</v>
      </c>
      <c r="C5109" s="1" t="n">
        <v>45706</v>
      </c>
      <c r="D5109" t="inlineStr">
        <is>
          <t>UPPSALA LÄN</t>
        </is>
      </c>
      <c r="E5109" t="inlineStr">
        <is>
          <t>ENKÖPING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9175-2024</t>
        </is>
      </c>
      <c r="B5110" s="1" t="n">
        <v>45358</v>
      </c>
      <c r="C5110" s="1" t="n">
        <v>45706</v>
      </c>
      <c r="D5110" t="inlineStr">
        <is>
          <t>UPPSALA LÄN</t>
        </is>
      </c>
      <c r="E5110" t="inlineStr">
        <is>
          <t>ENKÖPING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9192-2024</t>
        </is>
      </c>
      <c r="B5111" s="1" t="n">
        <v>45358</v>
      </c>
      <c r="C5111" s="1" t="n">
        <v>45706</v>
      </c>
      <c r="D5111" t="inlineStr">
        <is>
          <t>UPPSALA LÄN</t>
        </is>
      </c>
      <c r="E5111" t="inlineStr">
        <is>
          <t>ENKÖPING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9255-2024</t>
        </is>
      </c>
      <c r="B5112" s="1" t="n">
        <v>45358</v>
      </c>
      <c r="C5112" s="1" t="n">
        <v>45706</v>
      </c>
      <c r="D5112" t="inlineStr">
        <is>
          <t>UPPSALA LÄN</t>
        </is>
      </c>
      <c r="E5112" t="inlineStr">
        <is>
          <t>UPPSALA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9428-2024</t>
        </is>
      </c>
      <c r="B5113" s="1" t="n">
        <v>45359</v>
      </c>
      <c r="C5113" s="1" t="n">
        <v>45706</v>
      </c>
      <c r="D5113" t="inlineStr">
        <is>
          <t>UPPSALA LÄN</t>
        </is>
      </c>
      <c r="E5113" t="inlineStr">
        <is>
          <t>UPPSALA</t>
        </is>
      </c>
      <c r="F5113" t="inlineStr">
        <is>
          <t>Bergvik skog öst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9453-2024</t>
        </is>
      </c>
      <c r="B5114" s="1" t="n">
        <v>45359</v>
      </c>
      <c r="C5114" s="1" t="n">
        <v>45706</v>
      </c>
      <c r="D5114" t="inlineStr">
        <is>
          <t>UPPSALA LÄN</t>
        </is>
      </c>
      <c r="E5114" t="inlineStr">
        <is>
          <t>UPPSALA</t>
        </is>
      </c>
      <c r="F5114" t="inlineStr">
        <is>
          <t>Bergvik skog öst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9608-2024</t>
        </is>
      </c>
      <c r="B5115" s="1" t="n">
        <v>45361</v>
      </c>
      <c r="C5115" s="1" t="n">
        <v>45706</v>
      </c>
      <c r="D5115" t="inlineStr">
        <is>
          <t>UPPSALA LÄN</t>
        </is>
      </c>
      <c r="E5115" t="inlineStr">
        <is>
          <t>UPPSALA</t>
        </is>
      </c>
      <c r="F5115" t="inlineStr">
        <is>
          <t>Bergvik skog öst AB</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9609-2024</t>
        </is>
      </c>
      <c r="B5116" s="1" t="n">
        <v>45361</v>
      </c>
      <c r="C5116" s="1" t="n">
        <v>45706</v>
      </c>
      <c r="D5116" t="inlineStr">
        <is>
          <t>UPPSALA LÄN</t>
        </is>
      </c>
      <c r="E5116" t="inlineStr">
        <is>
          <t>UPPSALA</t>
        </is>
      </c>
      <c r="F5116" t="inlineStr">
        <is>
          <t>Bergvik skog öst AB</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9610-2024</t>
        </is>
      </c>
      <c r="B5117" s="1" t="n">
        <v>45361</v>
      </c>
      <c r="C5117" s="1" t="n">
        <v>45706</v>
      </c>
      <c r="D5117" t="inlineStr">
        <is>
          <t>UPPSALA LÄN</t>
        </is>
      </c>
      <c r="E5117" t="inlineStr">
        <is>
          <t>UPPSALA</t>
        </is>
      </c>
      <c r="F5117" t="inlineStr">
        <is>
          <t>Bergvik skog öst AB</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9625-2024</t>
        </is>
      </c>
      <c r="B5118" s="1" t="n">
        <v>45361</v>
      </c>
      <c r="C5118" s="1" t="n">
        <v>45706</v>
      </c>
      <c r="D5118" t="inlineStr">
        <is>
          <t>UPPSALA LÄN</t>
        </is>
      </c>
      <c r="E5118" t="inlineStr">
        <is>
          <t>UPPSALA</t>
        </is>
      </c>
      <c r="F5118" t="inlineStr">
        <is>
          <t>Bergvik skog öst AB</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9611-2024</t>
        </is>
      </c>
      <c r="B5119" s="1" t="n">
        <v>45361</v>
      </c>
      <c r="C5119" s="1" t="n">
        <v>45706</v>
      </c>
      <c r="D5119" t="inlineStr">
        <is>
          <t>UPPSALA LÄN</t>
        </is>
      </c>
      <c r="E5119" t="inlineStr">
        <is>
          <t>UPPSALA</t>
        </is>
      </c>
      <c r="F5119" t="inlineStr">
        <is>
          <t>Bergvik skog öst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9686-2024</t>
        </is>
      </c>
      <c r="B5120" s="1" t="n">
        <v>45362</v>
      </c>
      <c r="C5120" s="1" t="n">
        <v>45706</v>
      </c>
      <c r="D5120" t="inlineStr">
        <is>
          <t>UPPSALA LÄN</t>
        </is>
      </c>
      <c r="E5120" t="inlineStr">
        <is>
          <t>HEBY</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9681-2024</t>
        </is>
      </c>
      <c r="B5121" s="1" t="n">
        <v>45362</v>
      </c>
      <c r="C5121" s="1" t="n">
        <v>45706</v>
      </c>
      <c r="D5121" t="inlineStr">
        <is>
          <t>UPPSALA LÄN</t>
        </is>
      </c>
      <c r="E5121" t="inlineStr">
        <is>
          <t>HEBY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9735-2024</t>
        </is>
      </c>
      <c r="B5122" s="1" t="n">
        <v>45362</v>
      </c>
      <c r="C5122" s="1" t="n">
        <v>45706</v>
      </c>
      <c r="D5122" t="inlineStr">
        <is>
          <t>UPPSALA LÄN</t>
        </is>
      </c>
      <c r="E5122" t="inlineStr">
        <is>
          <t>UPPSALA</t>
        </is>
      </c>
      <c r="F5122" t="inlineStr">
        <is>
          <t>Bergvik skog öst AB</t>
        </is>
      </c>
      <c r="G5122" t="n">
        <v>13.6</v>
      </c>
      <c r="H5122" t="n">
        <v>0</v>
      </c>
      <c r="I5122" t="n">
        <v>0</v>
      </c>
      <c r="J5122" t="n">
        <v>0</v>
      </c>
      <c r="K5122" t="n">
        <v>0</v>
      </c>
      <c r="L5122" t="n">
        <v>0</v>
      </c>
      <c r="M5122" t="n">
        <v>0</v>
      </c>
      <c r="N5122" t="n">
        <v>0</v>
      </c>
      <c r="O5122" t="n">
        <v>0</v>
      </c>
      <c r="P5122" t="n">
        <v>0</v>
      </c>
      <c r="Q5122" t="n">
        <v>0</v>
      </c>
      <c r="R5122" s="2" t="inlineStr"/>
    </row>
    <row r="5123" ht="15" customHeight="1">
      <c r="A5123" t="inlineStr">
        <is>
          <t>A 9642-2024</t>
        </is>
      </c>
      <c r="B5123" s="1" t="n">
        <v>45362</v>
      </c>
      <c r="C5123" s="1" t="n">
        <v>45706</v>
      </c>
      <c r="D5123" t="inlineStr">
        <is>
          <t>UPPSALA LÄN</t>
        </is>
      </c>
      <c r="E5123" t="inlineStr">
        <is>
          <t>ÖSTHAMMAR</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9667-2024</t>
        </is>
      </c>
      <c r="B5124" s="1" t="n">
        <v>45362</v>
      </c>
      <c r="C5124" s="1" t="n">
        <v>45706</v>
      </c>
      <c r="D5124" t="inlineStr">
        <is>
          <t>UPPSALA LÄN</t>
        </is>
      </c>
      <c r="E5124" t="inlineStr">
        <is>
          <t>ENKÖPING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9675-2024</t>
        </is>
      </c>
      <c r="B5125" s="1" t="n">
        <v>45362</v>
      </c>
      <c r="C5125" s="1" t="n">
        <v>45706</v>
      </c>
      <c r="D5125" t="inlineStr">
        <is>
          <t>UPPSALA LÄN</t>
        </is>
      </c>
      <c r="E5125" t="inlineStr">
        <is>
          <t>UPPSALA</t>
        </is>
      </c>
      <c r="F5125" t="inlineStr">
        <is>
          <t>Bergvik skog öst AB</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9914-2024</t>
        </is>
      </c>
      <c r="B5126" s="1" t="n">
        <v>45363</v>
      </c>
      <c r="C5126" s="1" t="n">
        <v>45706</v>
      </c>
      <c r="D5126" t="inlineStr">
        <is>
          <t>UPPSALA LÄN</t>
        </is>
      </c>
      <c r="E5126" t="inlineStr">
        <is>
          <t>UPPSALA</t>
        </is>
      </c>
      <c r="F5126" t="inlineStr">
        <is>
          <t>Bergvik skog väst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9927-2024</t>
        </is>
      </c>
      <c r="B5127" s="1" t="n">
        <v>45363</v>
      </c>
      <c r="C5127" s="1" t="n">
        <v>45706</v>
      </c>
      <c r="D5127" t="inlineStr">
        <is>
          <t>UPPSALA LÄN</t>
        </is>
      </c>
      <c r="E5127" t="inlineStr">
        <is>
          <t>ÖSTHAMMAR</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9917-2024</t>
        </is>
      </c>
      <c r="B5128" s="1" t="n">
        <v>45363</v>
      </c>
      <c r="C5128" s="1" t="n">
        <v>45706</v>
      </c>
      <c r="D5128" t="inlineStr">
        <is>
          <t>UPPSALA LÄN</t>
        </is>
      </c>
      <c r="E5128" t="inlineStr">
        <is>
          <t>UPPSALA</t>
        </is>
      </c>
      <c r="F5128" t="inlineStr">
        <is>
          <t>Bergvik skog väst AB</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10015-2024</t>
        </is>
      </c>
      <c r="B5129" s="1" t="n">
        <v>45363</v>
      </c>
      <c r="C5129" s="1" t="n">
        <v>45706</v>
      </c>
      <c r="D5129" t="inlineStr">
        <is>
          <t>UPPSALA LÄN</t>
        </is>
      </c>
      <c r="E5129" t="inlineStr">
        <is>
          <t>HEBY</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9970-2024</t>
        </is>
      </c>
      <c r="B5130" s="1" t="n">
        <v>45363</v>
      </c>
      <c r="C5130" s="1" t="n">
        <v>45706</v>
      </c>
      <c r="D5130" t="inlineStr">
        <is>
          <t>UPPSALA LÄN</t>
        </is>
      </c>
      <c r="E5130" t="inlineStr">
        <is>
          <t>KNIVSTA</t>
        </is>
      </c>
      <c r="F5130" t="inlineStr">
        <is>
          <t>Holmen skog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10069-2024</t>
        </is>
      </c>
      <c r="B5131" s="1" t="n">
        <v>45364</v>
      </c>
      <c r="C5131" s="1" t="n">
        <v>45706</v>
      </c>
      <c r="D5131" t="inlineStr">
        <is>
          <t>UPPSALA LÄN</t>
        </is>
      </c>
      <c r="E5131" t="inlineStr">
        <is>
          <t>HEBY</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10066-2024</t>
        </is>
      </c>
      <c r="B5132" s="1" t="n">
        <v>45364</v>
      </c>
      <c r="C5132" s="1" t="n">
        <v>45706</v>
      </c>
      <c r="D5132" t="inlineStr">
        <is>
          <t>UPPSALA LÄN</t>
        </is>
      </c>
      <c r="E5132" t="inlineStr">
        <is>
          <t>HEBY</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10086-2024</t>
        </is>
      </c>
      <c r="B5133" s="1" t="n">
        <v>45364</v>
      </c>
      <c r="C5133" s="1" t="n">
        <v>45706</v>
      </c>
      <c r="D5133" t="inlineStr">
        <is>
          <t>UPPSALA LÄN</t>
        </is>
      </c>
      <c r="E5133" t="inlineStr">
        <is>
          <t>UPPSALA</t>
        </is>
      </c>
      <c r="F5133" t="inlineStr">
        <is>
          <t>Bergvik skog öst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10146-2024</t>
        </is>
      </c>
      <c r="B5134" s="1" t="n">
        <v>45364</v>
      </c>
      <c r="C5134" s="1" t="n">
        <v>45706</v>
      </c>
      <c r="D5134" t="inlineStr">
        <is>
          <t>UPPSALA LÄN</t>
        </is>
      </c>
      <c r="E5134" t="inlineStr">
        <is>
          <t>UPPSALA</t>
        </is>
      </c>
      <c r="F5134" t="inlineStr">
        <is>
          <t>Bergvik skog öst AB</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10072-2024</t>
        </is>
      </c>
      <c r="B5135" s="1" t="n">
        <v>45364</v>
      </c>
      <c r="C5135" s="1" t="n">
        <v>45706</v>
      </c>
      <c r="D5135" t="inlineStr">
        <is>
          <t>UPPSALA LÄN</t>
        </is>
      </c>
      <c r="E5135" t="inlineStr">
        <is>
          <t>HEBY</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10269-2024</t>
        </is>
      </c>
      <c r="B5136" s="1" t="n">
        <v>45365</v>
      </c>
      <c r="C5136" s="1" t="n">
        <v>45706</v>
      </c>
      <c r="D5136" t="inlineStr">
        <is>
          <t>UPPSALA LÄN</t>
        </is>
      </c>
      <c r="E5136" t="inlineStr">
        <is>
          <t>HEBY</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10430-2024</t>
        </is>
      </c>
      <c r="B5137" s="1" t="n">
        <v>45365</v>
      </c>
      <c r="C5137" s="1" t="n">
        <v>45706</v>
      </c>
      <c r="D5137" t="inlineStr">
        <is>
          <t>UPPSALA LÄN</t>
        </is>
      </c>
      <c r="E5137" t="inlineStr">
        <is>
          <t>ÖSTHAMMAR</t>
        </is>
      </c>
      <c r="F5137" t="inlineStr">
        <is>
          <t>Bergvik skog öst AB</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10429-2024</t>
        </is>
      </c>
      <c r="B5138" s="1" t="n">
        <v>45365</v>
      </c>
      <c r="C5138" s="1" t="n">
        <v>45706</v>
      </c>
      <c r="D5138" t="inlineStr">
        <is>
          <t>UPPSALA LÄN</t>
        </is>
      </c>
      <c r="E5138" t="inlineStr">
        <is>
          <t>ÖSTHAMMAR</t>
        </is>
      </c>
      <c r="F5138" t="inlineStr">
        <is>
          <t>Bergvik skog öst AB</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10431-2024</t>
        </is>
      </c>
      <c r="B5139" s="1" t="n">
        <v>45365</v>
      </c>
      <c r="C5139" s="1" t="n">
        <v>45706</v>
      </c>
      <c r="D5139" t="inlineStr">
        <is>
          <t>UPPSALA LÄN</t>
        </is>
      </c>
      <c r="E5139" t="inlineStr">
        <is>
          <t>ÖSTHAMMAR</t>
        </is>
      </c>
      <c r="F5139" t="inlineStr">
        <is>
          <t>Bergvik skog öst AB</t>
        </is>
      </c>
      <c r="G5139" t="n">
        <v>13.2</v>
      </c>
      <c r="H5139" t="n">
        <v>0</v>
      </c>
      <c r="I5139" t="n">
        <v>0</v>
      </c>
      <c r="J5139" t="n">
        <v>0</v>
      </c>
      <c r="K5139" t="n">
        <v>0</v>
      </c>
      <c r="L5139" t="n">
        <v>0</v>
      </c>
      <c r="M5139" t="n">
        <v>0</v>
      </c>
      <c r="N5139" t="n">
        <v>0</v>
      </c>
      <c r="O5139" t="n">
        <v>0</v>
      </c>
      <c r="P5139" t="n">
        <v>0</v>
      </c>
      <c r="Q5139" t="n">
        <v>0</v>
      </c>
      <c r="R5139" s="2" t="inlineStr"/>
    </row>
    <row r="5140" ht="15" customHeight="1">
      <c r="A5140" t="inlineStr">
        <is>
          <t>A 10477-2024</t>
        </is>
      </c>
      <c r="B5140" s="1" t="n">
        <v>45366</v>
      </c>
      <c r="C5140" s="1" t="n">
        <v>45706</v>
      </c>
      <c r="D5140" t="inlineStr">
        <is>
          <t>UPPSALA LÄN</t>
        </is>
      </c>
      <c r="E5140" t="inlineStr">
        <is>
          <t>UPPSALA</t>
        </is>
      </c>
      <c r="F5140" t="inlineStr">
        <is>
          <t>Holmen skog AB</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10534-2024</t>
        </is>
      </c>
      <c r="B5141" s="1" t="n">
        <v>45366</v>
      </c>
      <c r="C5141" s="1" t="n">
        <v>45706</v>
      </c>
      <c r="D5141" t="inlineStr">
        <is>
          <t>UPPSALA LÄN</t>
        </is>
      </c>
      <c r="E5141" t="inlineStr">
        <is>
          <t>HEBY</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10550-2024</t>
        </is>
      </c>
      <c r="B5142" s="1" t="n">
        <v>45366</v>
      </c>
      <c r="C5142" s="1" t="n">
        <v>45706</v>
      </c>
      <c r="D5142" t="inlineStr">
        <is>
          <t>UPPSALA LÄN</t>
        </is>
      </c>
      <c r="E5142" t="inlineStr">
        <is>
          <t>TIERP</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10474-2024</t>
        </is>
      </c>
      <c r="B5143" s="1" t="n">
        <v>45366</v>
      </c>
      <c r="C5143" s="1" t="n">
        <v>45706</v>
      </c>
      <c r="D5143" t="inlineStr">
        <is>
          <t>UPPSALA LÄN</t>
        </is>
      </c>
      <c r="E5143" t="inlineStr">
        <is>
          <t>UPPSALA</t>
        </is>
      </c>
      <c r="F5143" t="inlineStr">
        <is>
          <t>Holmen skog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10551-2024</t>
        </is>
      </c>
      <c r="B5144" s="1" t="n">
        <v>45366</v>
      </c>
      <c r="C5144" s="1" t="n">
        <v>45706</v>
      </c>
      <c r="D5144" t="inlineStr">
        <is>
          <t>UPPSALA LÄN</t>
        </is>
      </c>
      <c r="E5144" t="inlineStr">
        <is>
          <t>TIERP</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10638-2024</t>
        </is>
      </c>
      <c r="B5145" s="1" t="n">
        <v>45367</v>
      </c>
      <c r="C5145" s="1" t="n">
        <v>45706</v>
      </c>
      <c r="D5145" t="inlineStr">
        <is>
          <t>UPPSALA LÄN</t>
        </is>
      </c>
      <c r="E5145" t="inlineStr">
        <is>
          <t>ÖSTHAMMAR</t>
        </is>
      </c>
      <c r="F5145" t="inlineStr">
        <is>
          <t>Bergvik skog öst AB</t>
        </is>
      </c>
      <c r="G5145" t="n">
        <v>9.800000000000001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10650-2024</t>
        </is>
      </c>
      <c r="B5146" s="1" t="n">
        <v>45368</v>
      </c>
      <c r="C5146" s="1" t="n">
        <v>45706</v>
      </c>
      <c r="D5146" t="inlineStr">
        <is>
          <t>UPPSALA LÄN</t>
        </is>
      </c>
      <c r="E5146" t="inlineStr">
        <is>
          <t>UPPSALA</t>
        </is>
      </c>
      <c r="F5146" t="inlineStr">
        <is>
          <t>Bergvik skog öst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10651-2024</t>
        </is>
      </c>
      <c r="B5147" s="1" t="n">
        <v>45368</v>
      </c>
      <c r="C5147" s="1" t="n">
        <v>45706</v>
      </c>
      <c r="D5147" t="inlineStr">
        <is>
          <t>UPPSALA LÄN</t>
        </is>
      </c>
      <c r="E5147" t="inlineStr">
        <is>
          <t>UPPSALA</t>
        </is>
      </c>
      <c r="F5147" t="inlineStr">
        <is>
          <t>Bergvik skog öst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10653-2024</t>
        </is>
      </c>
      <c r="B5148" s="1" t="n">
        <v>45368</v>
      </c>
      <c r="C5148" s="1" t="n">
        <v>45706</v>
      </c>
      <c r="D5148" t="inlineStr">
        <is>
          <t>UPPSALA LÄN</t>
        </is>
      </c>
      <c r="E5148" t="inlineStr">
        <is>
          <t>UPPSALA</t>
        </is>
      </c>
      <c r="F5148" t="inlineStr">
        <is>
          <t>Bergvik skog öst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10652-2024</t>
        </is>
      </c>
      <c r="B5149" s="1" t="n">
        <v>45368</v>
      </c>
      <c r="C5149" s="1" t="n">
        <v>45706</v>
      </c>
      <c r="D5149" t="inlineStr">
        <is>
          <t>UPPSALA LÄN</t>
        </is>
      </c>
      <c r="E5149" t="inlineStr">
        <is>
          <t>UPPSALA</t>
        </is>
      </c>
      <c r="F5149" t="inlineStr">
        <is>
          <t>Bergvik skog öst AB</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10829-2024</t>
        </is>
      </c>
      <c r="B5150" s="1" t="n">
        <v>45369</v>
      </c>
      <c r="C5150" s="1" t="n">
        <v>45706</v>
      </c>
      <c r="D5150" t="inlineStr">
        <is>
          <t>UPPSALA LÄN</t>
        </is>
      </c>
      <c r="E5150" t="inlineStr">
        <is>
          <t>ENKÖPING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10756-2024</t>
        </is>
      </c>
      <c r="B5151" s="1" t="n">
        <v>45369</v>
      </c>
      <c r="C5151" s="1" t="n">
        <v>45706</v>
      </c>
      <c r="D5151" t="inlineStr">
        <is>
          <t>UPPSALA LÄN</t>
        </is>
      </c>
      <c r="E5151" t="inlineStr">
        <is>
          <t>ENKÖPING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10752-2024</t>
        </is>
      </c>
      <c r="B5152" s="1" t="n">
        <v>45369</v>
      </c>
      <c r="C5152" s="1" t="n">
        <v>45706</v>
      </c>
      <c r="D5152" t="inlineStr">
        <is>
          <t>UPPSALA LÄN</t>
        </is>
      </c>
      <c r="E5152" t="inlineStr">
        <is>
          <t>ENKÖPING</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10832-2024</t>
        </is>
      </c>
      <c r="B5153" s="1" t="n">
        <v>45369</v>
      </c>
      <c r="C5153" s="1" t="n">
        <v>45706</v>
      </c>
      <c r="D5153" t="inlineStr">
        <is>
          <t>UPPSALA LÄN</t>
        </is>
      </c>
      <c r="E5153" t="inlineStr">
        <is>
          <t>ENKÖPING</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10660-2024</t>
        </is>
      </c>
      <c r="B5154" s="1" t="n">
        <v>45369</v>
      </c>
      <c r="C5154" s="1" t="n">
        <v>45706</v>
      </c>
      <c r="D5154" t="inlineStr">
        <is>
          <t>UPPSALA LÄN</t>
        </is>
      </c>
      <c r="E5154" t="inlineStr">
        <is>
          <t>TIERP</t>
        </is>
      </c>
      <c r="G5154" t="n">
        <v>9.5</v>
      </c>
      <c r="H5154" t="n">
        <v>0</v>
      </c>
      <c r="I5154" t="n">
        <v>0</v>
      </c>
      <c r="J5154" t="n">
        <v>0</v>
      </c>
      <c r="K5154" t="n">
        <v>0</v>
      </c>
      <c r="L5154" t="n">
        <v>0</v>
      </c>
      <c r="M5154" t="n">
        <v>0</v>
      </c>
      <c r="N5154" t="n">
        <v>0</v>
      </c>
      <c r="O5154" t="n">
        <v>0</v>
      </c>
      <c r="P5154" t="n">
        <v>0</v>
      </c>
      <c r="Q5154" t="n">
        <v>0</v>
      </c>
      <c r="R5154" s="2" t="inlineStr"/>
    </row>
    <row r="5155" ht="15" customHeight="1">
      <c r="A5155" t="inlineStr">
        <is>
          <t>A 10827-2024</t>
        </is>
      </c>
      <c r="B5155" s="1" t="n">
        <v>45369</v>
      </c>
      <c r="C5155" s="1" t="n">
        <v>45706</v>
      </c>
      <c r="D5155" t="inlineStr">
        <is>
          <t>UPPSALA LÄN</t>
        </is>
      </c>
      <c r="E5155" t="inlineStr">
        <is>
          <t>UPPSALA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10831-2024</t>
        </is>
      </c>
      <c r="B5156" s="1" t="n">
        <v>45369</v>
      </c>
      <c r="C5156" s="1" t="n">
        <v>45706</v>
      </c>
      <c r="D5156" t="inlineStr">
        <is>
          <t>UPPSALA LÄN</t>
        </is>
      </c>
      <c r="E5156" t="inlineStr">
        <is>
          <t>ENKÖPING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10782-2024</t>
        </is>
      </c>
      <c r="B5157" s="1" t="n">
        <v>45369</v>
      </c>
      <c r="C5157" s="1" t="n">
        <v>45706</v>
      </c>
      <c r="D5157" t="inlineStr">
        <is>
          <t>UPPSALA LÄN</t>
        </is>
      </c>
      <c r="E5157" t="inlineStr">
        <is>
          <t>UPPSALA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10983-2024</t>
        </is>
      </c>
      <c r="B5158" s="1" t="n">
        <v>45370</v>
      </c>
      <c r="C5158" s="1" t="n">
        <v>45706</v>
      </c>
      <c r="D5158" t="inlineStr">
        <is>
          <t>UPPSALA LÄN</t>
        </is>
      </c>
      <c r="E5158" t="inlineStr">
        <is>
          <t>ÖSTHAMMAR</t>
        </is>
      </c>
      <c r="F5158" t="inlineStr">
        <is>
          <t>Bergvik skog öst AB</t>
        </is>
      </c>
      <c r="G5158" t="n">
        <v>13.2</v>
      </c>
      <c r="H5158" t="n">
        <v>0</v>
      </c>
      <c r="I5158" t="n">
        <v>0</v>
      </c>
      <c r="J5158" t="n">
        <v>0</v>
      </c>
      <c r="K5158" t="n">
        <v>0</v>
      </c>
      <c r="L5158" t="n">
        <v>0</v>
      </c>
      <c r="M5158" t="n">
        <v>0</v>
      </c>
      <c r="N5158" t="n">
        <v>0</v>
      </c>
      <c r="O5158" t="n">
        <v>0</v>
      </c>
      <c r="P5158" t="n">
        <v>0</v>
      </c>
      <c r="Q5158" t="n">
        <v>0</v>
      </c>
      <c r="R5158" s="2" t="inlineStr"/>
    </row>
    <row r="5159" ht="15" customHeight="1">
      <c r="A5159" t="inlineStr">
        <is>
          <t>A 11055-2024</t>
        </is>
      </c>
      <c r="B5159" s="1" t="n">
        <v>45370</v>
      </c>
      <c r="C5159" s="1" t="n">
        <v>45706</v>
      </c>
      <c r="D5159" t="inlineStr">
        <is>
          <t>UPPSALA LÄN</t>
        </is>
      </c>
      <c r="E5159" t="inlineStr">
        <is>
          <t>HEBY</t>
        </is>
      </c>
      <c r="F5159" t="inlineStr">
        <is>
          <t>Övriga Aktiebolag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11057-2024</t>
        </is>
      </c>
      <c r="B5160" s="1" t="n">
        <v>45370</v>
      </c>
      <c r="C5160" s="1" t="n">
        <v>45706</v>
      </c>
      <c r="D5160" t="inlineStr">
        <is>
          <t>UPPSALA LÄN</t>
        </is>
      </c>
      <c r="E5160" t="inlineStr">
        <is>
          <t>HEBY</t>
        </is>
      </c>
      <c r="F5160" t="inlineStr">
        <is>
          <t>Övriga Aktiebolag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10960-2024</t>
        </is>
      </c>
      <c r="B5161" s="1" t="n">
        <v>45370</v>
      </c>
      <c r="C5161" s="1" t="n">
        <v>45706</v>
      </c>
      <c r="D5161" t="inlineStr">
        <is>
          <t>UPPSALA LÄN</t>
        </is>
      </c>
      <c r="E5161" t="inlineStr">
        <is>
          <t>ÖSTHAMMAR</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11169-2024</t>
        </is>
      </c>
      <c r="B5162" s="1" t="n">
        <v>45371</v>
      </c>
      <c r="C5162" s="1" t="n">
        <v>45706</v>
      </c>
      <c r="D5162" t="inlineStr">
        <is>
          <t>UPPSALA LÄN</t>
        </is>
      </c>
      <c r="E5162" t="inlineStr">
        <is>
          <t>UPPSALA</t>
        </is>
      </c>
      <c r="F5162" t="inlineStr">
        <is>
          <t>Bergvik skog öst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11173-2024</t>
        </is>
      </c>
      <c r="B5163" s="1" t="n">
        <v>45371</v>
      </c>
      <c r="C5163" s="1" t="n">
        <v>45706</v>
      </c>
      <c r="D5163" t="inlineStr">
        <is>
          <t>UPPSALA LÄN</t>
        </is>
      </c>
      <c r="E5163" t="inlineStr">
        <is>
          <t>UPPSALA</t>
        </is>
      </c>
      <c r="F5163" t="inlineStr">
        <is>
          <t>Bergvik skog öst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11159-2024</t>
        </is>
      </c>
      <c r="B5164" s="1" t="n">
        <v>45371</v>
      </c>
      <c r="C5164" s="1" t="n">
        <v>45706</v>
      </c>
      <c r="D5164" t="inlineStr">
        <is>
          <t>UPPSALA LÄN</t>
        </is>
      </c>
      <c r="E5164" t="inlineStr">
        <is>
          <t>UPPSALA</t>
        </is>
      </c>
      <c r="F5164" t="inlineStr">
        <is>
          <t>Bergvik skog öst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11191-2024</t>
        </is>
      </c>
      <c r="B5165" s="1" t="n">
        <v>45371</v>
      </c>
      <c r="C5165" s="1" t="n">
        <v>45706</v>
      </c>
      <c r="D5165" t="inlineStr">
        <is>
          <t>UPPSALA LÄN</t>
        </is>
      </c>
      <c r="E5165" t="inlineStr">
        <is>
          <t>UPPSALA</t>
        </is>
      </c>
      <c r="F5165" t="inlineStr">
        <is>
          <t>Allmännings- och besparingsskogar</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11166-2024</t>
        </is>
      </c>
      <c r="B5166" s="1" t="n">
        <v>45371</v>
      </c>
      <c r="C5166" s="1" t="n">
        <v>45706</v>
      </c>
      <c r="D5166" t="inlineStr">
        <is>
          <t>UPPSALA LÄN</t>
        </is>
      </c>
      <c r="E5166" t="inlineStr">
        <is>
          <t>UPPSALA</t>
        </is>
      </c>
      <c r="F5166" t="inlineStr">
        <is>
          <t>Bergvik skog öst AB</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11201-2024</t>
        </is>
      </c>
      <c r="B5167" s="1" t="n">
        <v>45371</v>
      </c>
      <c r="C5167" s="1" t="n">
        <v>45706</v>
      </c>
      <c r="D5167" t="inlineStr">
        <is>
          <t>UPPSALA LÄN</t>
        </is>
      </c>
      <c r="E5167" t="inlineStr">
        <is>
          <t>UPPSALA</t>
        </is>
      </c>
      <c r="F5167" t="inlineStr">
        <is>
          <t>Kommuner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11277-2024</t>
        </is>
      </c>
      <c r="B5168" s="1" t="n">
        <v>45371</v>
      </c>
      <c r="C5168" s="1" t="n">
        <v>45706</v>
      </c>
      <c r="D5168" t="inlineStr">
        <is>
          <t>UPPSALA LÄN</t>
        </is>
      </c>
      <c r="E5168" t="inlineStr">
        <is>
          <t>UPPSALA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11289-2024</t>
        </is>
      </c>
      <c r="B5169" s="1" t="n">
        <v>45371</v>
      </c>
      <c r="C5169" s="1" t="n">
        <v>45706</v>
      </c>
      <c r="D5169" t="inlineStr">
        <is>
          <t>UPPSALA LÄN</t>
        </is>
      </c>
      <c r="E5169" t="inlineStr">
        <is>
          <t>UPPSALA</t>
        </is>
      </c>
      <c r="F5169" t="inlineStr">
        <is>
          <t>Allmännings- och besparingsskogar</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11200-2024</t>
        </is>
      </c>
      <c r="B5170" s="1" t="n">
        <v>45371</v>
      </c>
      <c r="C5170" s="1" t="n">
        <v>45706</v>
      </c>
      <c r="D5170" t="inlineStr">
        <is>
          <t>UPPSALA LÄN</t>
        </is>
      </c>
      <c r="E5170" t="inlineStr">
        <is>
          <t>UPPSALA</t>
        </is>
      </c>
      <c r="F5170" t="inlineStr">
        <is>
          <t>Allmännings- och besparingsskogar</t>
        </is>
      </c>
      <c r="G5170" t="n">
        <v>22.8</v>
      </c>
      <c r="H5170" t="n">
        <v>0</v>
      </c>
      <c r="I5170" t="n">
        <v>0</v>
      </c>
      <c r="J5170" t="n">
        <v>0</v>
      </c>
      <c r="K5170" t="n">
        <v>0</v>
      </c>
      <c r="L5170" t="n">
        <v>0</v>
      </c>
      <c r="M5170" t="n">
        <v>0</v>
      </c>
      <c r="N5170" t="n">
        <v>0</v>
      </c>
      <c r="O5170" t="n">
        <v>0</v>
      </c>
      <c r="P5170" t="n">
        <v>0</v>
      </c>
      <c r="Q5170" t="n">
        <v>0</v>
      </c>
      <c r="R5170" s="2" t="inlineStr"/>
    </row>
    <row r="5171" ht="15" customHeight="1">
      <c r="A5171" t="inlineStr">
        <is>
          <t>A 11260-2024</t>
        </is>
      </c>
      <c r="B5171" s="1" t="n">
        <v>45371</v>
      </c>
      <c r="C5171" s="1" t="n">
        <v>45706</v>
      </c>
      <c r="D5171" t="inlineStr">
        <is>
          <t>UPPSALA LÄN</t>
        </is>
      </c>
      <c r="E5171" t="inlineStr">
        <is>
          <t>UPPSALA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11367-2024</t>
        </is>
      </c>
      <c r="B5172" s="1" t="n">
        <v>45372</v>
      </c>
      <c r="C5172" s="1" t="n">
        <v>45706</v>
      </c>
      <c r="D5172" t="inlineStr">
        <is>
          <t>UPPSALA LÄN</t>
        </is>
      </c>
      <c r="E5172" t="inlineStr">
        <is>
          <t>ÖSTHAMMAR</t>
        </is>
      </c>
      <c r="F5172" t="inlineStr">
        <is>
          <t>Bergvik skog öst AB</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11385-2024</t>
        </is>
      </c>
      <c r="B5173" s="1" t="n">
        <v>45372</v>
      </c>
      <c r="C5173" s="1" t="n">
        <v>45706</v>
      </c>
      <c r="D5173" t="inlineStr">
        <is>
          <t>UPPSALA LÄN</t>
        </is>
      </c>
      <c r="E5173" t="inlineStr">
        <is>
          <t>ÖSTHAMMAR</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11445-2024</t>
        </is>
      </c>
      <c r="B5174" s="1" t="n">
        <v>45372</v>
      </c>
      <c r="C5174" s="1" t="n">
        <v>45706</v>
      </c>
      <c r="D5174" t="inlineStr">
        <is>
          <t>UPPSALA LÄN</t>
        </is>
      </c>
      <c r="E5174" t="inlineStr">
        <is>
          <t>TIERP</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11457-2024</t>
        </is>
      </c>
      <c r="B5175" s="1" t="n">
        <v>45372</v>
      </c>
      <c r="C5175" s="1" t="n">
        <v>45706</v>
      </c>
      <c r="D5175" t="inlineStr">
        <is>
          <t>UPPSALA LÄN</t>
        </is>
      </c>
      <c r="E5175" t="inlineStr">
        <is>
          <t>UPPSALA</t>
        </is>
      </c>
      <c r="F5175" t="inlineStr">
        <is>
          <t>Bergvik skog öst AB</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11447-2024</t>
        </is>
      </c>
      <c r="B5176" s="1" t="n">
        <v>45372</v>
      </c>
      <c r="C5176" s="1" t="n">
        <v>45706</v>
      </c>
      <c r="D5176" t="inlineStr">
        <is>
          <t>UPPSALA LÄN</t>
        </is>
      </c>
      <c r="E5176" t="inlineStr">
        <is>
          <t>TIERP</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11446-2024</t>
        </is>
      </c>
      <c r="B5177" s="1" t="n">
        <v>45372</v>
      </c>
      <c r="C5177" s="1" t="n">
        <v>45706</v>
      </c>
      <c r="D5177" t="inlineStr">
        <is>
          <t>UPPSALA LÄN</t>
        </is>
      </c>
      <c r="E5177" t="inlineStr">
        <is>
          <t>TIERP</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11448-2024</t>
        </is>
      </c>
      <c r="B5178" s="1" t="n">
        <v>45372</v>
      </c>
      <c r="C5178" s="1" t="n">
        <v>45706</v>
      </c>
      <c r="D5178" t="inlineStr">
        <is>
          <t>UPPSALA LÄN</t>
        </is>
      </c>
      <c r="E5178" t="inlineStr">
        <is>
          <t>TIERP</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11498-2024</t>
        </is>
      </c>
      <c r="B5179" s="1" t="n">
        <v>45372</v>
      </c>
      <c r="C5179" s="1" t="n">
        <v>45706</v>
      </c>
      <c r="D5179" t="inlineStr">
        <is>
          <t>UPPSALA LÄN</t>
        </is>
      </c>
      <c r="E5179" t="inlineStr">
        <is>
          <t>ÖSTHAMMAR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11472-2024</t>
        </is>
      </c>
      <c r="B5180" s="1" t="n">
        <v>45372</v>
      </c>
      <c r="C5180" s="1" t="n">
        <v>45706</v>
      </c>
      <c r="D5180" t="inlineStr">
        <is>
          <t>UPPSALA LÄN</t>
        </is>
      </c>
      <c r="E5180" t="inlineStr">
        <is>
          <t>ÖSTHAMMAR</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11503-2024</t>
        </is>
      </c>
      <c r="B5181" s="1" t="n">
        <v>45372</v>
      </c>
      <c r="C5181" s="1" t="n">
        <v>45706</v>
      </c>
      <c r="D5181" t="inlineStr">
        <is>
          <t>UPPSALA LÄN</t>
        </is>
      </c>
      <c r="E5181" t="inlineStr">
        <is>
          <t>ENKÖPING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11656-2024</t>
        </is>
      </c>
      <c r="B5182" s="1" t="n">
        <v>45373</v>
      </c>
      <c r="C5182" s="1" t="n">
        <v>45706</v>
      </c>
      <c r="D5182" t="inlineStr">
        <is>
          <t>UPPSALA LÄN</t>
        </is>
      </c>
      <c r="E5182" t="inlineStr">
        <is>
          <t>ÖSTHAMMAR</t>
        </is>
      </c>
      <c r="F5182" t="inlineStr">
        <is>
          <t>Övriga Aktiebolag</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11677-2024</t>
        </is>
      </c>
      <c r="B5183" s="1" t="n">
        <v>45373</v>
      </c>
      <c r="C5183" s="1" t="n">
        <v>45706</v>
      </c>
      <c r="D5183" t="inlineStr">
        <is>
          <t>UPPSALA LÄN</t>
        </is>
      </c>
      <c r="E5183" t="inlineStr">
        <is>
          <t>UPPSALA</t>
        </is>
      </c>
      <c r="F5183" t="inlineStr">
        <is>
          <t>Holmen skog AB</t>
        </is>
      </c>
      <c r="G5183" t="n">
        <v>14.4</v>
      </c>
      <c r="H5183" t="n">
        <v>0</v>
      </c>
      <c r="I5183" t="n">
        <v>0</v>
      </c>
      <c r="J5183" t="n">
        <v>0</v>
      </c>
      <c r="K5183" t="n">
        <v>0</v>
      </c>
      <c r="L5183" t="n">
        <v>0</v>
      </c>
      <c r="M5183" t="n">
        <v>0</v>
      </c>
      <c r="N5183" t="n">
        <v>0</v>
      </c>
      <c r="O5183" t="n">
        <v>0</v>
      </c>
      <c r="P5183" t="n">
        <v>0</v>
      </c>
      <c r="Q5183" t="n">
        <v>0</v>
      </c>
      <c r="R5183" s="2" t="inlineStr"/>
    </row>
    <row r="5184" ht="15" customHeight="1">
      <c r="A5184" t="inlineStr">
        <is>
          <t>A 11719-2024</t>
        </is>
      </c>
      <c r="B5184" s="1" t="n">
        <v>45373</v>
      </c>
      <c r="C5184" s="1" t="n">
        <v>45706</v>
      </c>
      <c r="D5184" t="inlineStr">
        <is>
          <t>UPPSALA LÄN</t>
        </is>
      </c>
      <c r="E5184" t="inlineStr">
        <is>
          <t>UPPSALA</t>
        </is>
      </c>
      <c r="F5184" t="inlineStr">
        <is>
          <t>Holmen skog AB</t>
        </is>
      </c>
      <c r="G5184" t="n">
        <v>18.3</v>
      </c>
      <c r="H5184" t="n">
        <v>0</v>
      </c>
      <c r="I5184" t="n">
        <v>0</v>
      </c>
      <c r="J5184" t="n">
        <v>0</v>
      </c>
      <c r="K5184" t="n">
        <v>0</v>
      </c>
      <c r="L5184" t="n">
        <v>0</v>
      </c>
      <c r="M5184" t="n">
        <v>0</v>
      </c>
      <c r="N5184" t="n">
        <v>0</v>
      </c>
      <c r="O5184" t="n">
        <v>0</v>
      </c>
      <c r="P5184" t="n">
        <v>0</v>
      </c>
      <c r="Q5184" t="n">
        <v>0</v>
      </c>
      <c r="R5184" s="2" t="inlineStr"/>
    </row>
    <row r="5185" ht="15" customHeight="1">
      <c r="A5185" t="inlineStr">
        <is>
          <t>A 11715-2024</t>
        </is>
      </c>
      <c r="B5185" s="1" t="n">
        <v>45373</v>
      </c>
      <c r="C5185" s="1" t="n">
        <v>45706</v>
      </c>
      <c r="D5185" t="inlineStr">
        <is>
          <t>UPPSALA LÄN</t>
        </is>
      </c>
      <c r="E5185" t="inlineStr">
        <is>
          <t>HEBY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11798-2024</t>
        </is>
      </c>
      <c r="B5186" s="1" t="n">
        <v>45375</v>
      </c>
      <c r="C5186" s="1" t="n">
        <v>45706</v>
      </c>
      <c r="D5186" t="inlineStr">
        <is>
          <t>UPPSALA LÄN</t>
        </is>
      </c>
      <c r="E5186" t="inlineStr">
        <is>
          <t>ÖSTHAMMAR</t>
        </is>
      </c>
      <c r="F5186" t="inlineStr">
        <is>
          <t>Bergvik skog öst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11799-2024</t>
        </is>
      </c>
      <c r="B5187" s="1" t="n">
        <v>45375</v>
      </c>
      <c r="C5187" s="1" t="n">
        <v>45706</v>
      </c>
      <c r="D5187" t="inlineStr">
        <is>
          <t>UPPSALA LÄN</t>
        </is>
      </c>
      <c r="E5187" t="inlineStr">
        <is>
          <t>ÖSTHAMMAR</t>
        </is>
      </c>
      <c r="F5187" t="inlineStr">
        <is>
          <t>Bergvik skog öst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11832-2024</t>
        </is>
      </c>
      <c r="B5188" s="1" t="n">
        <v>45376</v>
      </c>
      <c r="C5188" s="1" t="n">
        <v>45706</v>
      </c>
      <c r="D5188" t="inlineStr">
        <is>
          <t>UPPSALA LÄN</t>
        </is>
      </c>
      <c r="E5188" t="inlineStr">
        <is>
          <t>HEBY</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11908-2024</t>
        </is>
      </c>
      <c r="B5189" s="1" t="n">
        <v>45376</v>
      </c>
      <c r="C5189" s="1" t="n">
        <v>45706</v>
      </c>
      <c r="D5189" t="inlineStr">
        <is>
          <t>UPPSALA LÄN</t>
        </is>
      </c>
      <c r="E5189" t="inlineStr">
        <is>
          <t>ENKÖPING</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11957-2024</t>
        </is>
      </c>
      <c r="B5190" s="1" t="n">
        <v>45376</v>
      </c>
      <c r="C5190" s="1" t="n">
        <v>45706</v>
      </c>
      <c r="D5190" t="inlineStr">
        <is>
          <t>UPPSALA LÄN</t>
        </is>
      </c>
      <c r="E5190" t="inlineStr">
        <is>
          <t>HEBY</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11835-2024</t>
        </is>
      </c>
      <c r="B5191" s="1" t="n">
        <v>45376</v>
      </c>
      <c r="C5191" s="1" t="n">
        <v>45706</v>
      </c>
      <c r="D5191" t="inlineStr">
        <is>
          <t>UPPSALA LÄN</t>
        </is>
      </c>
      <c r="E5191" t="inlineStr">
        <is>
          <t>HEBY</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12129-2024</t>
        </is>
      </c>
      <c r="B5192" s="1" t="n">
        <v>45377</v>
      </c>
      <c r="C5192" s="1" t="n">
        <v>45706</v>
      </c>
      <c r="D5192" t="inlineStr">
        <is>
          <t>UPPSALA LÄN</t>
        </is>
      </c>
      <c r="E5192" t="inlineStr">
        <is>
          <t>TIERP</t>
        </is>
      </c>
      <c r="F5192" t="inlineStr">
        <is>
          <t>Bergvik skog väst AB</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12133-2024</t>
        </is>
      </c>
      <c r="B5193" s="1" t="n">
        <v>45377</v>
      </c>
      <c r="C5193" s="1" t="n">
        <v>45706</v>
      </c>
      <c r="D5193" t="inlineStr">
        <is>
          <t>UPPSALA LÄN</t>
        </is>
      </c>
      <c r="E5193" t="inlineStr">
        <is>
          <t>TIERP</t>
        </is>
      </c>
      <c r="F5193" t="inlineStr">
        <is>
          <t>Bergvik skog väst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12137-2024</t>
        </is>
      </c>
      <c r="B5194" s="1" t="n">
        <v>45377</v>
      </c>
      <c r="C5194" s="1" t="n">
        <v>45706</v>
      </c>
      <c r="D5194" t="inlineStr">
        <is>
          <t>UPPSALA LÄN</t>
        </is>
      </c>
      <c r="E5194" t="inlineStr">
        <is>
          <t>TIERP</t>
        </is>
      </c>
      <c r="F5194" t="inlineStr">
        <is>
          <t>Bergvik skog väst AB</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12077-2024</t>
        </is>
      </c>
      <c r="B5195" s="1" t="n">
        <v>45377</v>
      </c>
      <c r="C5195" s="1" t="n">
        <v>45706</v>
      </c>
      <c r="D5195" t="inlineStr">
        <is>
          <t>UPPSALA LÄN</t>
        </is>
      </c>
      <c r="E5195" t="inlineStr">
        <is>
          <t>HEBY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12028-2024</t>
        </is>
      </c>
      <c r="B5196" s="1" t="n">
        <v>45377</v>
      </c>
      <c r="C5196" s="1" t="n">
        <v>45706</v>
      </c>
      <c r="D5196" t="inlineStr">
        <is>
          <t>UPPSALA LÄN</t>
        </is>
      </c>
      <c r="E5196" t="inlineStr">
        <is>
          <t>ÖSTHAMMAR</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12020-2024</t>
        </is>
      </c>
      <c r="B5197" s="1" t="n">
        <v>45377</v>
      </c>
      <c r="C5197" s="1" t="n">
        <v>45706</v>
      </c>
      <c r="D5197" t="inlineStr">
        <is>
          <t>UPPSALA LÄN</t>
        </is>
      </c>
      <c r="E5197" t="inlineStr">
        <is>
          <t>ENKÖPING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12102-2024</t>
        </is>
      </c>
      <c r="B5198" s="1" t="n">
        <v>45377</v>
      </c>
      <c r="C5198" s="1" t="n">
        <v>45706</v>
      </c>
      <c r="D5198" t="inlineStr">
        <is>
          <t>UPPSALA LÄN</t>
        </is>
      </c>
      <c r="E5198" t="inlineStr">
        <is>
          <t>ENKÖPING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12071-2024</t>
        </is>
      </c>
      <c r="B5199" s="1" t="n">
        <v>45377</v>
      </c>
      <c r="C5199" s="1" t="n">
        <v>45706</v>
      </c>
      <c r="D5199" t="inlineStr">
        <is>
          <t>UPPSALA LÄN</t>
        </is>
      </c>
      <c r="E5199" t="inlineStr">
        <is>
          <t>HEBY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12278-2024</t>
        </is>
      </c>
      <c r="B5200" s="1" t="n">
        <v>45378</v>
      </c>
      <c r="C5200" s="1" t="n">
        <v>45706</v>
      </c>
      <c r="D5200" t="inlineStr">
        <is>
          <t>UPPSALA LÄN</t>
        </is>
      </c>
      <c r="E5200" t="inlineStr">
        <is>
          <t>ÖSTHAMMAR</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12345-2024</t>
        </is>
      </c>
      <c r="B5201" s="1" t="n">
        <v>45378</v>
      </c>
      <c r="C5201" s="1" t="n">
        <v>45706</v>
      </c>
      <c r="D5201" t="inlineStr">
        <is>
          <t>UPPSALA LÄN</t>
        </is>
      </c>
      <c r="E5201" t="inlineStr">
        <is>
          <t>UPPSALA</t>
        </is>
      </c>
      <c r="F5201" t="inlineStr">
        <is>
          <t>Bergvik skog öst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12225-2024</t>
        </is>
      </c>
      <c r="B5202" s="1" t="n">
        <v>45378</v>
      </c>
      <c r="C5202" s="1" t="n">
        <v>45706</v>
      </c>
      <c r="D5202" t="inlineStr">
        <is>
          <t>UPPSALA LÄN</t>
        </is>
      </c>
      <c r="E5202" t="inlineStr">
        <is>
          <t>TIERP</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12346-2024</t>
        </is>
      </c>
      <c r="B5203" s="1" t="n">
        <v>45378</v>
      </c>
      <c r="C5203" s="1" t="n">
        <v>45706</v>
      </c>
      <c r="D5203" t="inlineStr">
        <is>
          <t>UPPSALA LÄN</t>
        </is>
      </c>
      <c r="E5203" t="inlineStr">
        <is>
          <t>UPPSALA</t>
        </is>
      </c>
      <c r="F5203" t="inlineStr">
        <is>
          <t>Bergvik skog öst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12347-2024</t>
        </is>
      </c>
      <c r="B5204" s="1" t="n">
        <v>45378</v>
      </c>
      <c r="C5204" s="1" t="n">
        <v>45706</v>
      </c>
      <c r="D5204" t="inlineStr">
        <is>
          <t>UPPSALA LÄN</t>
        </is>
      </c>
      <c r="E5204" t="inlineStr">
        <is>
          <t>UPPSALA</t>
        </is>
      </c>
      <c r="F5204" t="inlineStr">
        <is>
          <t>Bergvik skog öst AB</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12507-2024</t>
        </is>
      </c>
      <c r="B5205" s="1" t="n">
        <v>45379</v>
      </c>
      <c r="C5205" s="1" t="n">
        <v>45706</v>
      </c>
      <c r="D5205" t="inlineStr">
        <is>
          <t>UPPSALA LÄN</t>
        </is>
      </c>
      <c r="E5205" t="inlineStr">
        <is>
          <t>UPPSALA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12487-2024</t>
        </is>
      </c>
      <c r="B5206" s="1" t="n">
        <v>45379</v>
      </c>
      <c r="C5206" s="1" t="n">
        <v>45706</v>
      </c>
      <c r="D5206" t="inlineStr">
        <is>
          <t>UPPSALA LÄN</t>
        </is>
      </c>
      <c r="E5206" t="inlineStr">
        <is>
          <t>ÖSTHAMMAR</t>
        </is>
      </c>
      <c r="F5206" t="inlineStr">
        <is>
          <t>Bergvik skog öst AB</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12486-2024</t>
        </is>
      </c>
      <c r="B5207" s="1" t="n">
        <v>45379</v>
      </c>
      <c r="C5207" s="1" t="n">
        <v>45706</v>
      </c>
      <c r="D5207" t="inlineStr">
        <is>
          <t>UPPSALA LÄN</t>
        </is>
      </c>
      <c r="E5207" t="inlineStr">
        <is>
          <t>ÖSTHAMMAR</t>
        </is>
      </c>
      <c r="F5207" t="inlineStr">
        <is>
          <t>Bergvik skog öst AB</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12498-2024</t>
        </is>
      </c>
      <c r="B5208" s="1" t="n">
        <v>45379</v>
      </c>
      <c r="C5208" s="1" t="n">
        <v>45706</v>
      </c>
      <c r="D5208" t="inlineStr">
        <is>
          <t>UPPSALA LÄN</t>
        </is>
      </c>
      <c r="E5208" t="inlineStr">
        <is>
          <t>ÖSTHAMMAR</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12489-2024</t>
        </is>
      </c>
      <c r="B5209" s="1" t="n">
        <v>45379</v>
      </c>
      <c r="C5209" s="1" t="n">
        <v>45706</v>
      </c>
      <c r="D5209" t="inlineStr">
        <is>
          <t>UPPSALA LÄN</t>
        </is>
      </c>
      <c r="E5209" t="inlineStr">
        <is>
          <t>HEBY</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12436-2024</t>
        </is>
      </c>
      <c r="B5210" s="1" t="n">
        <v>45379</v>
      </c>
      <c r="C5210" s="1" t="n">
        <v>45706</v>
      </c>
      <c r="D5210" t="inlineStr">
        <is>
          <t>UPPSALA LÄN</t>
        </is>
      </c>
      <c r="E5210" t="inlineStr">
        <is>
          <t>HEBY</t>
        </is>
      </c>
      <c r="F5210" t="inlineStr">
        <is>
          <t>Bergvik skog öst AB</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12534-2024</t>
        </is>
      </c>
      <c r="B5211" s="1" t="n">
        <v>45379</v>
      </c>
      <c r="C5211" s="1" t="n">
        <v>45706</v>
      </c>
      <c r="D5211" t="inlineStr">
        <is>
          <t>UPPSALA LÄN</t>
        </is>
      </c>
      <c r="E5211" t="inlineStr">
        <is>
          <t>ÖSTHAMMAR</t>
        </is>
      </c>
      <c r="F5211" t="inlineStr">
        <is>
          <t>Bergvik skog öst AB</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12424-2024</t>
        </is>
      </c>
      <c r="B5212" s="1" t="n">
        <v>45379</v>
      </c>
      <c r="C5212" s="1" t="n">
        <v>45706</v>
      </c>
      <c r="D5212" t="inlineStr">
        <is>
          <t>UPPSALA LÄN</t>
        </is>
      </c>
      <c r="E5212" t="inlineStr">
        <is>
          <t>TIERP</t>
        </is>
      </c>
      <c r="G5212" t="n">
        <v>11.6</v>
      </c>
      <c r="H5212" t="n">
        <v>0</v>
      </c>
      <c r="I5212" t="n">
        <v>0</v>
      </c>
      <c r="J5212" t="n">
        <v>0</v>
      </c>
      <c r="K5212" t="n">
        <v>0</v>
      </c>
      <c r="L5212" t="n">
        <v>0</v>
      </c>
      <c r="M5212" t="n">
        <v>0</v>
      </c>
      <c r="N5212" t="n">
        <v>0</v>
      </c>
      <c r="O5212" t="n">
        <v>0</v>
      </c>
      <c r="P5212" t="n">
        <v>0</v>
      </c>
      <c r="Q5212" t="n">
        <v>0</v>
      </c>
      <c r="R5212" s="2" t="inlineStr"/>
    </row>
    <row r="5213" ht="15" customHeight="1">
      <c r="A5213" t="inlineStr">
        <is>
          <t>A 12531-2024</t>
        </is>
      </c>
      <c r="B5213" s="1" t="n">
        <v>45379</v>
      </c>
      <c r="C5213" s="1" t="n">
        <v>45706</v>
      </c>
      <c r="D5213" t="inlineStr">
        <is>
          <t>UPPSALA LÄN</t>
        </is>
      </c>
      <c r="E5213" t="inlineStr">
        <is>
          <t>ÖSTHAMMAR</t>
        </is>
      </c>
      <c r="F5213" t="inlineStr">
        <is>
          <t>Bergvik skog öst AB</t>
        </is>
      </c>
      <c r="G5213" t="n">
        <v>17.3</v>
      </c>
      <c r="H5213" t="n">
        <v>0</v>
      </c>
      <c r="I5213" t="n">
        <v>0</v>
      </c>
      <c r="J5213" t="n">
        <v>0</v>
      </c>
      <c r="K5213" t="n">
        <v>0</v>
      </c>
      <c r="L5213" t="n">
        <v>0</v>
      </c>
      <c r="M5213" t="n">
        <v>0</v>
      </c>
      <c r="N5213" t="n">
        <v>0</v>
      </c>
      <c r="O5213" t="n">
        <v>0</v>
      </c>
      <c r="P5213" t="n">
        <v>0</v>
      </c>
      <c r="Q5213" t="n">
        <v>0</v>
      </c>
      <c r="R5213" s="2" t="inlineStr"/>
    </row>
    <row r="5214" ht="15" customHeight="1">
      <c r="A5214" t="inlineStr">
        <is>
          <t>A 12528-2024</t>
        </is>
      </c>
      <c r="B5214" s="1" t="n">
        <v>45379</v>
      </c>
      <c r="C5214" s="1" t="n">
        <v>45706</v>
      </c>
      <c r="D5214" t="inlineStr">
        <is>
          <t>UPPSALA LÄN</t>
        </is>
      </c>
      <c r="E5214" t="inlineStr">
        <is>
          <t>ÖSTHAMMAR</t>
        </is>
      </c>
      <c r="F5214" t="inlineStr">
        <is>
          <t>Bergvik skog öst AB</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12649-2024</t>
        </is>
      </c>
      <c r="B5215" s="1" t="n">
        <v>45384</v>
      </c>
      <c r="C5215" s="1" t="n">
        <v>45706</v>
      </c>
      <c r="D5215" t="inlineStr">
        <is>
          <t>UPPSALA LÄN</t>
        </is>
      </c>
      <c r="E5215" t="inlineStr">
        <is>
          <t>ÖSTHAMMAR</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12676-2024</t>
        </is>
      </c>
      <c r="B5216" s="1" t="n">
        <v>45384</v>
      </c>
      <c r="C5216" s="1" t="n">
        <v>45706</v>
      </c>
      <c r="D5216" t="inlineStr">
        <is>
          <t>UPPSALA LÄN</t>
        </is>
      </c>
      <c r="E5216" t="inlineStr">
        <is>
          <t>ÖSTHAMMAR</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12756-2024</t>
        </is>
      </c>
      <c r="B5217" s="1" t="n">
        <v>45384</v>
      </c>
      <c r="C5217" s="1" t="n">
        <v>45706</v>
      </c>
      <c r="D5217" t="inlineStr">
        <is>
          <t>UPPSALA LÄN</t>
        </is>
      </c>
      <c r="E5217" t="inlineStr">
        <is>
          <t>ÖSTHAMMAR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12741-2024</t>
        </is>
      </c>
      <c r="B5218" s="1" t="n">
        <v>45384</v>
      </c>
      <c r="C5218" s="1" t="n">
        <v>45706</v>
      </c>
      <c r="D5218" t="inlineStr">
        <is>
          <t>UPPSALA LÄN</t>
        </is>
      </c>
      <c r="E5218" t="inlineStr">
        <is>
          <t>TIERP</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12786-2024</t>
        </is>
      </c>
      <c r="B5219" s="1" t="n">
        <v>45384</v>
      </c>
      <c r="C5219" s="1" t="n">
        <v>45706</v>
      </c>
      <c r="D5219" t="inlineStr">
        <is>
          <t>UPPSALA LÄN</t>
        </is>
      </c>
      <c r="E5219" t="inlineStr">
        <is>
          <t>TIERP</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12812-2024</t>
        </is>
      </c>
      <c r="B5220" s="1" t="n">
        <v>45384</v>
      </c>
      <c r="C5220" s="1" t="n">
        <v>45706</v>
      </c>
      <c r="D5220" t="inlineStr">
        <is>
          <t>UPPSALA LÄN</t>
        </is>
      </c>
      <c r="E5220" t="inlineStr">
        <is>
          <t>ÖSTHAMMAR</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12751-2024</t>
        </is>
      </c>
      <c r="B5221" s="1" t="n">
        <v>45384</v>
      </c>
      <c r="C5221" s="1" t="n">
        <v>45706</v>
      </c>
      <c r="D5221" t="inlineStr">
        <is>
          <t>UPPSALA LÄN</t>
        </is>
      </c>
      <c r="E5221" t="inlineStr">
        <is>
          <t>ENKÖPING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12776-2024</t>
        </is>
      </c>
      <c r="B5222" s="1" t="n">
        <v>45384</v>
      </c>
      <c r="C5222" s="1" t="n">
        <v>45706</v>
      </c>
      <c r="D5222" t="inlineStr">
        <is>
          <t>UPPSALA LÄN</t>
        </is>
      </c>
      <c r="E5222" t="inlineStr">
        <is>
          <t>TIERP</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12958-2024</t>
        </is>
      </c>
      <c r="B5223" s="1" t="n">
        <v>45385</v>
      </c>
      <c r="C5223" s="1" t="n">
        <v>45706</v>
      </c>
      <c r="D5223" t="inlineStr">
        <is>
          <t>UPPSALA LÄN</t>
        </is>
      </c>
      <c r="E5223" t="inlineStr">
        <is>
          <t>ENKÖPING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12994-2024</t>
        </is>
      </c>
      <c r="B5224" s="1" t="n">
        <v>45385</v>
      </c>
      <c r="C5224" s="1" t="n">
        <v>45706</v>
      </c>
      <c r="D5224" t="inlineStr">
        <is>
          <t>UPPSALA LÄN</t>
        </is>
      </c>
      <c r="E5224" t="inlineStr">
        <is>
          <t>TIERP</t>
        </is>
      </c>
      <c r="F5224" t="inlineStr">
        <is>
          <t>Bergvik skog öst AB</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12885-2024</t>
        </is>
      </c>
      <c r="B5225" s="1" t="n">
        <v>45385</v>
      </c>
      <c r="C5225" s="1" t="n">
        <v>45706</v>
      </c>
      <c r="D5225" t="inlineStr">
        <is>
          <t>UPPSALA LÄN</t>
        </is>
      </c>
      <c r="E5225" t="inlineStr">
        <is>
          <t>TIERP</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12976-2024</t>
        </is>
      </c>
      <c r="B5226" s="1" t="n">
        <v>45385</v>
      </c>
      <c r="C5226" s="1" t="n">
        <v>45706</v>
      </c>
      <c r="D5226" t="inlineStr">
        <is>
          <t>UPPSALA LÄN</t>
        </is>
      </c>
      <c r="E5226" t="inlineStr">
        <is>
          <t>TIERP</t>
        </is>
      </c>
      <c r="F5226" t="inlineStr">
        <is>
          <t>Bergvik skog öst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13059-2024</t>
        </is>
      </c>
      <c r="B5227" s="1" t="n">
        <v>45385</v>
      </c>
      <c r="C5227" s="1" t="n">
        <v>45706</v>
      </c>
      <c r="D5227" t="inlineStr">
        <is>
          <t>UPPSALA LÄN</t>
        </is>
      </c>
      <c r="E5227" t="inlineStr">
        <is>
          <t>ÖSTHAMMAR</t>
        </is>
      </c>
      <c r="F5227" t="inlineStr">
        <is>
          <t>Bergvik skog öst AB</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13066-2024</t>
        </is>
      </c>
      <c r="B5228" s="1" t="n">
        <v>45385</v>
      </c>
      <c r="C5228" s="1" t="n">
        <v>45706</v>
      </c>
      <c r="D5228" t="inlineStr">
        <is>
          <t>UPPSALA LÄN</t>
        </is>
      </c>
      <c r="E5228" t="inlineStr">
        <is>
          <t>TIERP</t>
        </is>
      </c>
      <c r="F5228" t="inlineStr">
        <is>
          <t>Bergvik skog öst AB</t>
        </is>
      </c>
      <c r="G5228" t="n">
        <v>8.699999999999999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12947-2024</t>
        </is>
      </c>
      <c r="B5229" s="1" t="n">
        <v>45385</v>
      </c>
      <c r="C5229" s="1" t="n">
        <v>45706</v>
      </c>
      <c r="D5229" t="inlineStr">
        <is>
          <t>UPPSALA LÄN</t>
        </is>
      </c>
      <c r="E5229" t="inlineStr">
        <is>
          <t>ÖSTHAMMAR</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13113-2024</t>
        </is>
      </c>
      <c r="B5230" s="1" t="n">
        <v>45385</v>
      </c>
      <c r="C5230" s="1" t="n">
        <v>45706</v>
      </c>
      <c r="D5230" t="inlineStr">
        <is>
          <t>UPPSALA LÄN</t>
        </is>
      </c>
      <c r="E5230" t="inlineStr">
        <is>
          <t>ÖSTHAMMAR</t>
        </is>
      </c>
      <c r="F5230" t="inlineStr">
        <is>
          <t>Bergvik skog öst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13100-2024</t>
        </is>
      </c>
      <c r="B5231" s="1" t="n">
        <v>45385</v>
      </c>
      <c r="C5231" s="1" t="n">
        <v>45706</v>
      </c>
      <c r="D5231" t="inlineStr">
        <is>
          <t>UPPSALA LÄN</t>
        </is>
      </c>
      <c r="E5231" t="inlineStr">
        <is>
          <t>UPPSALA</t>
        </is>
      </c>
      <c r="F5231" t="inlineStr">
        <is>
          <t>Holmen skog AB</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13114-2024</t>
        </is>
      </c>
      <c r="B5232" s="1" t="n">
        <v>45385</v>
      </c>
      <c r="C5232" s="1" t="n">
        <v>45706</v>
      </c>
      <c r="D5232" t="inlineStr">
        <is>
          <t>UPPSALA LÄN</t>
        </is>
      </c>
      <c r="E5232" t="inlineStr">
        <is>
          <t>ÖSTHAMMAR</t>
        </is>
      </c>
      <c r="F5232" t="inlineStr">
        <is>
          <t>Bergvik skog öst AB</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13305-2024</t>
        </is>
      </c>
      <c r="B5233" s="1" t="n">
        <v>45386</v>
      </c>
      <c r="C5233" s="1" t="n">
        <v>45706</v>
      </c>
      <c r="D5233" t="inlineStr">
        <is>
          <t>UPPSALA LÄN</t>
        </is>
      </c>
      <c r="E5233" t="inlineStr">
        <is>
          <t>UPPSALA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13303-2024</t>
        </is>
      </c>
      <c r="B5234" s="1" t="n">
        <v>45386</v>
      </c>
      <c r="C5234" s="1" t="n">
        <v>45706</v>
      </c>
      <c r="D5234" t="inlineStr">
        <is>
          <t>UPPSALA LÄN</t>
        </is>
      </c>
      <c r="E5234" t="inlineStr">
        <is>
          <t>UPPSALA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13315-2024</t>
        </is>
      </c>
      <c r="B5235" s="1" t="n">
        <v>45386</v>
      </c>
      <c r="C5235" s="1" t="n">
        <v>45706</v>
      </c>
      <c r="D5235" t="inlineStr">
        <is>
          <t>UPPSALA LÄN</t>
        </is>
      </c>
      <c r="E5235" t="inlineStr">
        <is>
          <t>ÖSTHAMMAR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13182-2024</t>
        </is>
      </c>
      <c r="B5236" s="1" t="n">
        <v>45386</v>
      </c>
      <c r="C5236" s="1" t="n">
        <v>45706</v>
      </c>
      <c r="D5236" t="inlineStr">
        <is>
          <t>UPPSALA LÄN</t>
        </is>
      </c>
      <c r="E5236" t="inlineStr">
        <is>
          <t>TIERP</t>
        </is>
      </c>
      <c r="F5236" t="inlineStr">
        <is>
          <t>Bergvik skog öst AB</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13247-2024</t>
        </is>
      </c>
      <c r="B5237" s="1" t="n">
        <v>45386</v>
      </c>
      <c r="C5237" s="1" t="n">
        <v>45706</v>
      </c>
      <c r="D5237" t="inlineStr">
        <is>
          <t>UPPSALA LÄN</t>
        </is>
      </c>
      <c r="E5237" t="inlineStr">
        <is>
          <t>ENKÖPING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13312-2024</t>
        </is>
      </c>
      <c r="B5238" s="1" t="n">
        <v>45386</v>
      </c>
      <c r="C5238" s="1" t="n">
        <v>45706</v>
      </c>
      <c r="D5238" t="inlineStr">
        <is>
          <t>UPPSALA LÄN</t>
        </is>
      </c>
      <c r="E5238" t="inlineStr">
        <is>
          <t>ÖSTHAMMAR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13168-2024</t>
        </is>
      </c>
      <c r="B5239" s="1" t="n">
        <v>45386</v>
      </c>
      <c r="C5239" s="1" t="n">
        <v>45706</v>
      </c>
      <c r="D5239" t="inlineStr">
        <is>
          <t>UPPSALA LÄN</t>
        </is>
      </c>
      <c r="E5239" t="inlineStr">
        <is>
          <t>ENKÖPING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13302-2024</t>
        </is>
      </c>
      <c r="B5240" s="1" t="n">
        <v>45386</v>
      </c>
      <c r="C5240" s="1" t="n">
        <v>45706</v>
      </c>
      <c r="D5240" t="inlineStr">
        <is>
          <t>UPPSALA LÄN</t>
        </is>
      </c>
      <c r="E5240" t="inlineStr">
        <is>
          <t>UPPSALA</t>
        </is>
      </c>
      <c r="G5240" t="n">
        <v>15.6</v>
      </c>
      <c r="H5240" t="n">
        <v>0</v>
      </c>
      <c r="I5240" t="n">
        <v>0</v>
      </c>
      <c r="J5240" t="n">
        <v>0</v>
      </c>
      <c r="K5240" t="n">
        <v>0</v>
      </c>
      <c r="L5240" t="n">
        <v>0</v>
      </c>
      <c r="M5240" t="n">
        <v>0</v>
      </c>
      <c r="N5240" t="n">
        <v>0</v>
      </c>
      <c r="O5240" t="n">
        <v>0</v>
      </c>
      <c r="P5240" t="n">
        <v>0</v>
      </c>
      <c r="Q5240" t="n">
        <v>0</v>
      </c>
      <c r="R5240" s="2" t="inlineStr"/>
    </row>
    <row r="5241" ht="15" customHeight="1">
      <c r="A5241" t="inlineStr">
        <is>
          <t>A 13356-2024</t>
        </is>
      </c>
      <c r="B5241" s="1" t="n">
        <v>45387</v>
      </c>
      <c r="C5241" s="1" t="n">
        <v>45706</v>
      </c>
      <c r="D5241" t="inlineStr">
        <is>
          <t>UPPSALA LÄN</t>
        </is>
      </c>
      <c r="E5241" t="inlineStr">
        <is>
          <t>TIERP</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13530-2024</t>
        </is>
      </c>
      <c r="B5242" s="1" t="n">
        <v>45387</v>
      </c>
      <c r="C5242" s="1" t="n">
        <v>45706</v>
      </c>
      <c r="D5242" t="inlineStr">
        <is>
          <t>UPPSALA LÄN</t>
        </is>
      </c>
      <c r="E5242" t="inlineStr">
        <is>
          <t>ENKÖPING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13368-2024</t>
        </is>
      </c>
      <c r="B5243" s="1" t="n">
        <v>45387</v>
      </c>
      <c r="C5243" s="1" t="n">
        <v>45706</v>
      </c>
      <c r="D5243" t="inlineStr">
        <is>
          <t>UPPSALA LÄN</t>
        </is>
      </c>
      <c r="E5243" t="inlineStr">
        <is>
          <t>TIERP</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13729-2024</t>
        </is>
      </c>
      <c r="B5244" s="1" t="n">
        <v>45387</v>
      </c>
      <c r="C5244" s="1" t="n">
        <v>45706</v>
      </c>
      <c r="D5244" t="inlineStr">
        <is>
          <t>UPPSALA LÄN</t>
        </is>
      </c>
      <c r="E5244" t="inlineStr">
        <is>
          <t>ÖSTHAMMAR</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13528-2024</t>
        </is>
      </c>
      <c r="B5245" s="1" t="n">
        <v>45387</v>
      </c>
      <c r="C5245" s="1" t="n">
        <v>45706</v>
      </c>
      <c r="D5245" t="inlineStr">
        <is>
          <t>UPPSALA LÄN</t>
        </is>
      </c>
      <c r="E5245" t="inlineStr">
        <is>
          <t>ENKÖPING</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13488-2024</t>
        </is>
      </c>
      <c r="B5246" s="1" t="n">
        <v>45387</v>
      </c>
      <c r="C5246" s="1" t="n">
        <v>45706</v>
      </c>
      <c r="D5246" t="inlineStr">
        <is>
          <t>UPPSALA LÄN</t>
        </is>
      </c>
      <c r="E5246" t="inlineStr">
        <is>
          <t>HEBY</t>
        </is>
      </c>
      <c r="F5246" t="inlineStr">
        <is>
          <t>Bergvik skog öst AB</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13430-2024</t>
        </is>
      </c>
      <c r="B5247" s="1" t="n">
        <v>45387</v>
      </c>
      <c r="C5247" s="1" t="n">
        <v>45706</v>
      </c>
      <c r="D5247" t="inlineStr">
        <is>
          <t>UPPSALA LÄN</t>
        </is>
      </c>
      <c r="E5247" t="inlineStr">
        <is>
          <t>HEBY</t>
        </is>
      </c>
      <c r="F5247" t="inlineStr">
        <is>
          <t>Bergvik skog öst AB</t>
        </is>
      </c>
      <c r="G5247" t="n">
        <v>12.8</v>
      </c>
      <c r="H5247" t="n">
        <v>0</v>
      </c>
      <c r="I5247" t="n">
        <v>0</v>
      </c>
      <c r="J5247" t="n">
        <v>0</v>
      </c>
      <c r="K5247" t="n">
        <v>0</v>
      </c>
      <c r="L5247" t="n">
        <v>0</v>
      </c>
      <c r="M5247" t="n">
        <v>0</v>
      </c>
      <c r="N5247" t="n">
        <v>0</v>
      </c>
      <c r="O5247" t="n">
        <v>0</v>
      </c>
      <c r="P5247" t="n">
        <v>0</v>
      </c>
      <c r="Q5247" t="n">
        <v>0</v>
      </c>
      <c r="R5247" s="2" t="inlineStr"/>
    </row>
    <row r="5248" ht="15" customHeight="1">
      <c r="A5248" t="inlineStr">
        <is>
          <t>A 13358-2024</t>
        </is>
      </c>
      <c r="B5248" s="1" t="n">
        <v>45387</v>
      </c>
      <c r="C5248" s="1" t="n">
        <v>45706</v>
      </c>
      <c r="D5248" t="inlineStr">
        <is>
          <t>UPPSALA LÄN</t>
        </is>
      </c>
      <c r="E5248" t="inlineStr">
        <is>
          <t>ÖSTHAMMAR</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13354-2024</t>
        </is>
      </c>
      <c r="B5249" s="1" t="n">
        <v>45387</v>
      </c>
      <c r="C5249" s="1" t="n">
        <v>45706</v>
      </c>
      <c r="D5249" t="inlineStr">
        <is>
          <t>UPPSALA LÄN</t>
        </is>
      </c>
      <c r="E5249" t="inlineStr">
        <is>
          <t>TIERP</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13464-2024</t>
        </is>
      </c>
      <c r="B5250" s="1" t="n">
        <v>45387</v>
      </c>
      <c r="C5250" s="1" t="n">
        <v>45706</v>
      </c>
      <c r="D5250" t="inlineStr">
        <is>
          <t>UPPSALA LÄN</t>
        </is>
      </c>
      <c r="E5250" t="inlineStr">
        <is>
          <t>TIERP</t>
        </is>
      </c>
      <c r="F5250" t="inlineStr">
        <is>
          <t>Bergvik skog väst AB</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13460-2024</t>
        </is>
      </c>
      <c r="B5251" s="1" t="n">
        <v>45387</v>
      </c>
      <c r="C5251" s="1" t="n">
        <v>45706</v>
      </c>
      <c r="D5251" t="inlineStr">
        <is>
          <t>UPPSALA LÄN</t>
        </is>
      </c>
      <c r="E5251" t="inlineStr">
        <is>
          <t>TIERP</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13379-2024</t>
        </is>
      </c>
      <c r="B5252" s="1" t="n">
        <v>45387</v>
      </c>
      <c r="C5252" s="1" t="n">
        <v>45706</v>
      </c>
      <c r="D5252" t="inlineStr">
        <is>
          <t>UPPSALA LÄN</t>
        </is>
      </c>
      <c r="E5252" t="inlineStr">
        <is>
          <t>UPPSALA</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13393-2024</t>
        </is>
      </c>
      <c r="B5253" s="1" t="n">
        <v>45387</v>
      </c>
      <c r="C5253" s="1" t="n">
        <v>45706</v>
      </c>
      <c r="D5253" t="inlineStr">
        <is>
          <t>UPPSALA LÄN</t>
        </is>
      </c>
      <c r="E5253" t="inlineStr">
        <is>
          <t>ÖSTHAMMAR</t>
        </is>
      </c>
      <c r="F5253" t="inlineStr">
        <is>
          <t>Kyrkan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13601-2024</t>
        </is>
      </c>
      <c r="B5254" s="1" t="n">
        <v>45390</v>
      </c>
      <c r="C5254" s="1" t="n">
        <v>45706</v>
      </c>
      <c r="D5254" t="inlineStr">
        <is>
          <t>UPPSALA LÄN</t>
        </is>
      </c>
      <c r="E5254" t="inlineStr">
        <is>
          <t>HEBY</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13613-2024</t>
        </is>
      </c>
      <c r="B5255" s="1" t="n">
        <v>45390</v>
      </c>
      <c r="C5255" s="1" t="n">
        <v>45706</v>
      </c>
      <c r="D5255" t="inlineStr">
        <is>
          <t>UPPSALA LÄN</t>
        </is>
      </c>
      <c r="E5255" t="inlineStr">
        <is>
          <t>ÖSTHAMMAR</t>
        </is>
      </c>
      <c r="F5255" t="inlineStr">
        <is>
          <t>Övriga Aktiebolag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13678-2024</t>
        </is>
      </c>
      <c r="B5256" s="1" t="n">
        <v>45390</v>
      </c>
      <c r="C5256" s="1" t="n">
        <v>45706</v>
      </c>
      <c r="D5256" t="inlineStr">
        <is>
          <t>UPPSALA LÄN</t>
        </is>
      </c>
      <c r="E5256" t="inlineStr">
        <is>
          <t>KNIVSTA</t>
        </is>
      </c>
      <c r="F5256" t="inlineStr">
        <is>
          <t>Holmen skog AB</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13616-2024</t>
        </is>
      </c>
      <c r="B5257" s="1" t="n">
        <v>45390</v>
      </c>
      <c r="C5257" s="1" t="n">
        <v>45706</v>
      </c>
      <c r="D5257" t="inlineStr">
        <is>
          <t>UPPSALA LÄN</t>
        </is>
      </c>
      <c r="E5257" t="inlineStr">
        <is>
          <t>ÖSTHAMMAR</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13615-2024</t>
        </is>
      </c>
      <c r="B5258" s="1" t="n">
        <v>45390</v>
      </c>
      <c r="C5258" s="1" t="n">
        <v>45706</v>
      </c>
      <c r="D5258" t="inlineStr">
        <is>
          <t>UPPSALA LÄN</t>
        </is>
      </c>
      <c r="E5258" t="inlineStr">
        <is>
          <t>ÖSTHAMMAR</t>
        </is>
      </c>
      <c r="F5258" t="inlineStr">
        <is>
          <t>Övriga Aktiebolag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13681-2024</t>
        </is>
      </c>
      <c r="B5259" s="1" t="n">
        <v>45390</v>
      </c>
      <c r="C5259" s="1" t="n">
        <v>45706</v>
      </c>
      <c r="D5259" t="inlineStr">
        <is>
          <t>UPPSALA LÄN</t>
        </is>
      </c>
      <c r="E5259" t="inlineStr">
        <is>
          <t>TIERP</t>
        </is>
      </c>
      <c r="F5259" t="inlineStr">
        <is>
          <t>Bergvik skog väst AB</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13644-2024</t>
        </is>
      </c>
      <c r="B5260" s="1" t="n">
        <v>45390</v>
      </c>
      <c r="C5260" s="1" t="n">
        <v>45706</v>
      </c>
      <c r="D5260" t="inlineStr">
        <is>
          <t>UPPSALA LÄN</t>
        </is>
      </c>
      <c r="E5260" t="inlineStr">
        <is>
          <t>UPPSALA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13685-2024</t>
        </is>
      </c>
      <c r="B5261" s="1" t="n">
        <v>45390</v>
      </c>
      <c r="C5261" s="1" t="n">
        <v>45706</v>
      </c>
      <c r="D5261" t="inlineStr">
        <is>
          <t>UPPSALA LÄN</t>
        </is>
      </c>
      <c r="E5261" t="inlineStr">
        <is>
          <t>HEBY</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13697-2024</t>
        </is>
      </c>
      <c r="B5262" s="1" t="n">
        <v>45390</v>
      </c>
      <c r="C5262" s="1" t="n">
        <v>45706</v>
      </c>
      <c r="D5262" t="inlineStr">
        <is>
          <t>UPPSALA LÄN</t>
        </is>
      </c>
      <c r="E5262" t="inlineStr">
        <is>
          <t>KNIVSTA</t>
        </is>
      </c>
      <c r="F5262" t="inlineStr">
        <is>
          <t>Holmen skog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13676-2024</t>
        </is>
      </c>
      <c r="B5263" s="1" t="n">
        <v>45390</v>
      </c>
      <c r="C5263" s="1" t="n">
        <v>45706</v>
      </c>
      <c r="D5263" t="inlineStr">
        <is>
          <t>UPPSALA LÄN</t>
        </is>
      </c>
      <c r="E5263" t="inlineStr">
        <is>
          <t>HEBY</t>
        </is>
      </c>
      <c r="G5263" t="n">
        <v>15.8</v>
      </c>
      <c r="H5263" t="n">
        <v>0</v>
      </c>
      <c r="I5263" t="n">
        <v>0</v>
      </c>
      <c r="J5263" t="n">
        <v>0</v>
      </c>
      <c r="K5263" t="n">
        <v>0</v>
      </c>
      <c r="L5263" t="n">
        <v>0</v>
      </c>
      <c r="M5263" t="n">
        <v>0</v>
      </c>
      <c r="N5263" t="n">
        <v>0</v>
      </c>
      <c r="O5263" t="n">
        <v>0</v>
      </c>
      <c r="P5263" t="n">
        <v>0</v>
      </c>
      <c r="Q5263" t="n">
        <v>0</v>
      </c>
      <c r="R5263" s="2" t="inlineStr"/>
    </row>
    <row r="5264" ht="15" customHeight="1">
      <c r="A5264" t="inlineStr">
        <is>
          <t>A 13684-2024</t>
        </is>
      </c>
      <c r="B5264" s="1" t="n">
        <v>45390</v>
      </c>
      <c r="C5264" s="1" t="n">
        <v>45706</v>
      </c>
      <c r="D5264" t="inlineStr">
        <is>
          <t>UPPSALA LÄN</t>
        </is>
      </c>
      <c r="E5264" t="inlineStr">
        <is>
          <t>TIERP</t>
        </is>
      </c>
      <c r="F5264" t="inlineStr">
        <is>
          <t>Bergvik skog väst AB</t>
        </is>
      </c>
      <c r="G5264" t="n">
        <v>13.8</v>
      </c>
      <c r="H5264" t="n">
        <v>0</v>
      </c>
      <c r="I5264" t="n">
        <v>0</v>
      </c>
      <c r="J5264" t="n">
        <v>0</v>
      </c>
      <c r="K5264" t="n">
        <v>0</v>
      </c>
      <c r="L5264" t="n">
        <v>0</v>
      </c>
      <c r="M5264" t="n">
        <v>0</v>
      </c>
      <c r="N5264" t="n">
        <v>0</v>
      </c>
      <c r="O5264" t="n">
        <v>0</v>
      </c>
      <c r="P5264" t="n">
        <v>0</v>
      </c>
      <c r="Q5264" t="n">
        <v>0</v>
      </c>
      <c r="R5264" s="2" t="inlineStr"/>
    </row>
    <row r="5265" ht="15" customHeight="1">
      <c r="A5265" t="inlineStr">
        <is>
          <t>A 13688-2024</t>
        </is>
      </c>
      <c r="B5265" s="1" t="n">
        <v>45390</v>
      </c>
      <c r="C5265" s="1" t="n">
        <v>45706</v>
      </c>
      <c r="D5265" t="inlineStr">
        <is>
          <t>UPPSALA LÄN</t>
        </is>
      </c>
      <c r="E5265" t="inlineStr">
        <is>
          <t>HEBY</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13692-2024</t>
        </is>
      </c>
      <c r="B5266" s="1" t="n">
        <v>45390</v>
      </c>
      <c r="C5266" s="1" t="n">
        <v>45706</v>
      </c>
      <c r="D5266" t="inlineStr">
        <is>
          <t>UPPSALA LÄN</t>
        </is>
      </c>
      <c r="E5266" t="inlineStr">
        <is>
          <t>TIERP</t>
        </is>
      </c>
      <c r="F5266" t="inlineStr">
        <is>
          <t>Bergvik skog väst AB</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13618-2024</t>
        </is>
      </c>
      <c r="B5267" s="1" t="n">
        <v>45390</v>
      </c>
      <c r="C5267" s="1" t="n">
        <v>45706</v>
      </c>
      <c r="D5267" t="inlineStr">
        <is>
          <t>UPPSALA LÄN</t>
        </is>
      </c>
      <c r="E5267" t="inlineStr">
        <is>
          <t>ÖSTHAMMAR</t>
        </is>
      </c>
      <c r="F5267" t="inlineStr">
        <is>
          <t>Övriga Aktiebolag</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13679-2024</t>
        </is>
      </c>
      <c r="B5268" s="1" t="n">
        <v>45390</v>
      </c>
      <c r="C5268" s="1" t="n">
        <v>45706</v>
      </c>
      <c r="D5268" t="inlineStr">
        <is>
          <t>UPPSALA LÄN</t>
        </is>
      </c>
      <c r="E5268" t="inlineStr">
        <is>
          <t>HEBY</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13687-2024</t>
        </is>
      </c>
      <c r="B5269" s="1" t="n">
        <v>45390</v>
      </c>
      <c r="C5269" s="1" t="n">
        <v>45706</v>
      </c>
      <c r="D5269" t="inlineStr">
        <is>
          <t>UPPSALA LÄN</t>
        </is>
      </c>
      <c r="E5269" t="inlineStr">
        <is>
          <t>TIERP</t>
        </is>
      </c>
      <c r="F5269" t="inlineStr">
        <is>
          <t>Bergvik skog väst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13691-2024</t>
        </is>
      </c>
      <c r="B5270" s="1" t="n">
        <v>45390</v>
      </c>
      <c r="C5270" s="1" t="n">
        <v>45706</v>
      </c>
      <c r="D5270" t="inlineStr">
        <is>
          <t>UPPSALA LÄN</t>
        </is>
      </c>
      <c r="E5270" t="inlineStr">
        <is>
          <t>TIERP</t>
        </is>
      </c>
      <c r="F5270" t="inlineStr">
        <is>
          <t>Bergvik skog väst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13799-2024</t>
        </is>
      </c>
      <c r="B5271" s="1" t="n">
        <v>45391</v>
      </c>
      <c r="C5271" s="1" t="n">
        <v>45706</v>
      </c>
      <c r="D5271" t="inlineStr">
        <is>
          <t>UPPSALA LÄN</t>
        </is>
      </c>
      <c r="E5271" t="inlineStr">
        <is>
          <t>UPPSALA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13879-2024</t>
        </is>
      </c>
      <c r="B5272" s="1" t="n">
        <v>45391</v>
      </c>
      <c r="C5272" s="1" t="n">
        <v>45706</v>
      </c>
      <c r="D5272" t="inlineStr">
        <is>
          <t>UPPSALA LÄN</t>
        </is>
      </c>
      <c r="E5272" t="inlineStr">
        <is>
          <t>ÖSTHAMMAR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13779-2024</t>
        </is>
      </c>
      <c r="B5273" s="1" t="n">
        <v>45391</v>
      </c>
      <c r="C5273" s="1" t="n">
        <v>45706</v>
      </c>
      <c r="D5273" t="inlineStr">
        <is>
          <t>UPPSALA LÄN</t>
        </is>
      </c>
      <c r="E5273" t="inlineStr">
        <is>
          <t>ÖSTHAMMAR</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14108-2024</t>
        </is>
      </c>
      <c r="B5274" s="1" t="n">
        <v>45392</v>
      </c>
      <c r="C5274" s="1" t="n">
        <v>45706</v>
      </c>
      <c r="D5274" t="inlineStr">
        <is>
          <t>UPPSALA LÄN</t>
        </is>
      </c>
      <c r="E5274" t="inlineStr">
        <is>
          <t>TIERP</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14116-2024</t>
        </is>
      </c>
      <c r="B5275" s="1" t="n">
        <v>45392</v>
      </c>
      <c r="C5275" s="1" t="n">
        <v>45706</v>
      </c>
      <c r="D5275" t="inlineStr">
        <is>
          <t>UPPSALA LÄN</t>
        </is>
      </c>
      <c r="E5275" t="inlineStr">
        <is>
          <t>TIERP</t>
        </is>
      </c>
      <c r="F5275" t="inlineStr">
        <is>
          <t>Bergvik skog öst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14284-2024</t>
        </is>
      </c>
      <c r="B5276" s="1" t="n">
        <v>45393</v>
      </c>
      <c r="C5276" s="1" t="n">
        <v>45706</v>
      </c>
      <c r="D5276" t="inlineStr">
        <is>
          <t>UPPSALA LÄN</t>
        </is>
      </c>
      <c r="E5276" t="inlineStr">
        <is>
          <t>TIERP</t>
        </is>
      </c>
      <c r="F5276" t="inlineStr">
        <is>
          <t>Bergvik skog öst AB</t>
        </is>
      </c>
      <c r="G5276" t="n">
        <v>11.8</v>
      </c>
      <c r="H5276" t="n">
        <v>0</v>
      </c>
      <c r="I5276" t="n">
        <v>0</v>
      </c>
      <c r="J5276" t="n">
        <v>0</v>
      </c>
      <c r="K5276" t="n">
        <v>0</v>
      </c>
      <c r="L5276" t="n">
        <v>0</v>
      </c>
      <c r="M5276" t="n">
        <v>0</v>
      </c>
      <c r="N5276" t="n">
        <v>0</v>
      </c>
      <c r="O5276" t="n">
        <v>0</v>
      </c>
      <c r="P5276" t="n">
        <v>0</v>
      </c>
      <c r="Q5276" t="n">
        <v>0</v>
      </c>
      <c r="R5276" s="2" t="inlineStr"/>
    </row>
    <row r="5277" ht="15" customHeight="1">
      <c r="A5277" t="inlineStr">
        <is>
          <t>A 14334-2024</t>
        </is>
      </c>
      <c r="B5277" s="1" t="n">
        <v>45393</v>
      </c>
      <c r="C5277" s="1" t="n">
        <v>45706</v>
      </c>
      <c r="D5277" t="inlineStr">
        <is>
          <t>UPPSALA LÄN</t>
        </is>
      </c>
      <c r="E5277" t="inlineStr">
        <is>
          <t>ENKÖPING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14332-2024</t>
        </is>
      </c>
      <c r="B5278" s="1" t="n">
        <v>45393</v>
      </c>
      <c r="C5278" s="1" t="n">
        <v>45706</v>
      </c>
      <c r="D5278" t="inlineStr">
        <is>
          <t>UPPSALA LÄN</t>
        </is>
      </c>
      <c r="E5278" t="inlineStr">
        <is>
          <t>ENKÖPING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14241-2024</t>
        </is>
      </c>
      <c r="B5279" s="1" t="n">
        <v>45393</v>
      </c>
      <c r="C5279" s="1" t="n">
        <v>45706</v>
      </c>
      <c r="D5279" t="inlineStr">
        <is>
          <t>UPPSALA LÄN</t>
        </is>
      </c>
      <c r="E5279" t="inlineStr">
        <is>
          <t>TIERP</t>
        </is>
      </c>
      <c r="F5279" t="inlineStr">
        <is>
          <t>Bergvik skog öst AB</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14395-2024</t>
        </is>
      </c>
      <c r="B5280" s="1" t="n">
        <v>45394</v>
      </c>
      <c r="C5280" s="1" t="n">
        <v>45706</v>
      </c>
      <c r="D5280" t="inlineStr">
        <is>
          <t>UPPSALA LÄN</t>
        </is>
      </c>
      <c r="E5280" t="inlineStr">
        <is>
          <t>TIERP</t>
        </is>
      </c>
      <c r="F5280" t="inlineStr">
        <is>
          <t>Bergvik skog väst AB</t>
        </is>
      </c>
      <c r="G5280" t="n">
        <v>12.1</v>
      </c>
      <c r="H5280" t="n">
        <v>0</v>
      </c>
      <c r="I5280" t="n">
        <v>0</v>
      </c>
      <c r="J5280" t="n">
        <v>0</v>
      </c>
      <c r="K5280" t="n">
        <v>0</v>
      </c>
      <c r="L5280" t="n">
        <v>0</v>
      </c>
      <c r="M5280" t="n">
        <v>0</v>
      </c>
      <c r="N5280" t="n">
        <v>0</v>
      </c>
      <c r="O5280" t="n">
        <v>0</v>
      </c>
      <c r="P5280" t="n">
        <v>0</v>
      </c>
      <c r="Q5280" t="n">
        <v>0</v>
      </c>
      <c r="R5280" s="2" t="inlineStr"/>
    </row>
    <row r="5281" ht="15" customHeight="1">
      <c r="A5281" t="inlineStr">
        <is>
          <t>A 14437-2024</t>
        </is>
      </c>
      <c r="B5281" s="1" t="n">
        <v>45394</v>
      </c>
      <c r="C5281" s="1" t="n">
        <v>45706</v>
      </c>
      <c r="D5281" t="inlineStr">
        <is>
          <t>UPPSALA LÄN</t>
        </is>
      </c>
      <c r="E5281" t="inlineStr">
        <is>
          <t>HEBY</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14533-2024</t>
        </is>
      </c>
      <c r="B5282" s="1" t="n">
        <v>45394</v>
      </c>
      <c r="C5282" s="1" t="n">
        <v>45706</v>
      </c>
      <c r="D5282" t="inlineStr">
        <is>
          <t>UPPSALA LÄN</t>
        </is>
      </c>
      <c r="E5282" t="inlineStr">
        <is>
          <t>UPPSALA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14401-2024</t>
        </is>
      </c>
      <c r="B5283" s="1" t="n">
        <v>45394</v>
      </c>
      <c r="C5283" s="1" t="n">
        <v>45706</v>
      </c>
      <c r="D5283" t="inlineStr">
        <is>
          <t>UPPSALA LÄN</t>
        </is>
      </c>
      <c r="E5283" t="inlineStr">
        <is>
          <t>UPPSALA</t>
        </is>
      </c>
      <c r="F5283" t="inlineStr">
        <is>
          <t>Övriga statliga verk och myndigheter</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14516-2024</t>
        </is>
      </c>
      <c r="B5284" s="1" t="n">
        <v>45394</v>
      </c>
      <c r="C5284" s="1" t="n">
        <v>45706</v>
      </c>
      <c r="D5284" t="inlineStr">
        <is>
          <t>UPPSALA LÄN</t>
        </is>
      </c>
      <c r="E5284" t="inlineStr">
        <is>
          <t>ÖSTHAMMAR</t>
        </is>
      </c>
      <c r="F5284" t="inlineStr">
        <is>
          <t>Bergvik skog öst AB</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14528-2024</t>
        </is>
      </c>
      <c r="B5285" s="1" t="n">
        <v>45394</v>
      </c>
      <c r="C5285" s="1" t="n">
        <v>45706</v>
      </c>
      <c r="D5285" t="inlineStr">
        <is>
          <t>UPPSALA LÄN</t>
        </is>
      </c>
      <c r="E5285" t="inlineStr">
        <is>
          <t>UPPSALA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14404-2024</t>
        </is>
      </c>
      <c r="B5286" s="1" t="n">
        <v>45394</v>
      </c>
      <c r="C5286" s="1" t="n">
        <v>45706</v>
      </c>
      <c r="D5286" t="inlineStr">
        <is>
          <t>UPPSALA LÄN</t>
        </is>
      </c>
      <c r="E5286" t="inlineStr">
        <is>
          <t>UPPSALA</t>
        </is>
      </c>
      <c r="F5286" t="inlineStr">
        <is>
          <t>Övriga statliga verk och myndigheter</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14483-2024</t>
        </is>
      </c>
      <c r="B5287" s="1" t="n">
        <v>45394</v>
      </c>
      <c r="C5287" s="1" t="n">
        <v>45706</v>
      </c>
      <c r="D5287" t="inlineStr">
        <is>
          <t>UPPSALA LÄN</t>
        </is>
      </c>
      <c r="E5287" t="inlineStr">
        <is>
          <t>TIERP</t>
        </is>
      </c>
      <c r="F5287" t="inlineStr">
        <is>
          <t>Bergvik skog väst AB</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14523-2024</t>
        </is>
      </c>
      <c r="B5288" s="1" t="n">
        <v>45394</v>
      </c>
      <c r="C5288" s="1" t="n">
        <v>45706</v>
      </c>
      <c r="D5288" t="inlineStr">
        <is>
          <t>UPPSALA LÄN</t>
        </is>
      </c>
      <c r="E5288" t="inlineStr">
        <is>
          <t>UPPSALA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14509-2024</t>
        </is>
      </c>
      <c r="B5289" s="1" t="n">
        <v>45394</v>
      </c>
      <c r="C5289" s="1" t="n">
        <v>45706</v>
      </c>
      <c r="D5289" t="inlineStr">
        <is>
          <t>UPPSALA LÄN</t>
        </is>
      </c>
      <c r="E5289" t="inlineStr">
        <is>
          <t>ÖSTHAMMAR</t>
        </is>
      </c>
      <c r="F5289" t="inlineStr">
        <is>
          <t>Naturvårdsverket</t>
        </is>
      </c>
      <c r="G5289" t="n">
        <v>9.5</v>
      </c>
      <c r="H5289" t="n">
        <v>0</v>
      </c>
      <c r="I5289" t="n">
        <v>0</v>
      </c>
      <c r="J5289" t="n">
        <v>0</v>
      </c>
      <c r="K5289" t="n">
        <v>0</v>
      </c>
      <c r="L5289" t="n">
        <v>0</v>
      </c>
      <c r="M5289" t="n">
        <v>0</v>
      </c>
      <c r="N5289" t="n">
        <v>0</v>
      </c>
      <c r="O5289" t="n">
        <v>0</v>
      </c>
      <c r="P5289" t="n">
        <v>0</v>
      </c>
      <c r="Q5289" t="n">
        <v>0</v>
      </c>
      <c r="R5289" s="2" t="inlineStr"/>
    </row>
    <row r="5290" ht="15" customHeight="1">
      <c r="A5290" t="inlineStr">
        <is>
          <t>A 14433-2024</t>
        </is>
      </c>
      <c r="B5290" s="1" t="n">
        <v>45394</v>
      </c>
      <c r="C5290" s="1" t="n">
        <v>45706</v>
      </c>
      <c r="D5290" t="inlineStr">
        <is>
          <t>UPPSALA LÄN</t>
        </is>
      </c>
      <c r="E5290" t="inlineStr">
        <is>
          <t>ÖSTHAMMAR</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14771-2024</t>
        </is>
      </c>
      <c r="B5291" s="1" t="n">
        <v>45397</v>
      </c>
      <c r="C5291" s="1" t="n">
        <v>45706</v>
      </c>
      <c r="D5291" t="inlineStr">
        <is>
          <t>UPPSALA LÄN</t>
        </is>
      </c>
      <c r="E5291" t="inlineStr">
        <is>
          <t>HEBY</t>
        </is>
      </c>
      <c r="F5291" t="inlineStr">
        <is>
          <t>Bergvik skog väst AB</t>
        </is>
      </c>
      <c r="G5291" t="n">
        <v>10.5</v>
      </c>
      <c r="H5291" t="n">
        <v>0</v>
      </c>
      <c r="I5291" t="n">
        <v>0</v>
      </c>
      <c r="J5291" t="n">
        <v>0</v>
      </c>
      <c r="K5291" t="n">
        <v>0</v>
      </c>
      <c r="L5291" t="n">
        <v>0</v>
      </c>
      <c r="M5291" t="n">
        <v>0</v>
      </c>
      <c r="N5291" t="n">
        <v>0</v>
      </c>
      <c r="O5291" t="n">
        <v>0</v>
      </c>
      <c r="P5291" t="n">
        <v>0</v>
      </c>
      <c r="Q5291" t="n">
        <v>0</v>
      </c>
      <c r="R5291" s="2" t="inlineStr"/>
    </row>
    <row r="5292" ht="15" customHeight="1">
      <c r="A5292" t="inlineStr">
        <is>
          <t>A 14643-2024</t>
        </is>
      </c>
      <c r="B5292" s="1" t="n">
        <v>45397</v>
      </c>
      <c r="C5292" s="1" t="n">
        <v>45706</v>
      </c>
      <c r="D5292" t="inlineStr">
        <is>
          <t>UPPSALA LÄN</t>
        </is>
      </c>
      <c r="E5292" t="inlineStr">
        <is>
          <t>UPPSALA</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14696-2024</t>
        </is>
      </c>
      <c r="B5293" s="1" t="n">
        <v>45397</v>
      </c>
      <c r="C5293" s="1" t="n">
        <v>45706</v>
      </c>
      <c r="D5293" t="inlineStr">
        <is>
          <t>UPPSALA LÄN</t>
        </is>
      </c>
      <c r="E5293" t="inlineStr">
        <is>
          <t>HEBY</t>
        </is>
      </c>
      <c r="F5293" t="inlineStr">
        <is>
          <t>Bergvik skog väst AB</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14672-2024</t>
        </is>
      </c>
      <c r="B5294" s="1" t="n">
        <v>45397</v>
      </c>
      <c r="C5294" s="1" t="n">
        <v>45706</v>
      </c>
      <c r="D5294" t="inlineStr">
        <is>
          <t>UPPSALA LÄN</t>
        </is>
      </c>
      <c r="E5294" t="inlineStr">
        <is>
          <t>UPPSALA</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14745-2024</t>
        </is>
      </c>
      <c r="B5295" s="1" t="n">
        <v>45397</v>
      </c>
      <c r="C5295" s="1" t="n">
        <v>45706</v>
      </c>
      <c r="D5295" t="inlineStr">
        <is>
          <t>UPPSALA LÄN</t>
        </is>
      </c>
      <c r="E5295" t="inlineStr">
        <is>
          <t>TIERP</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14777-2024</t>
        </is>
      </c>
      <c r="B5296" s="1" t="n">
        <v>45397</v>
      </c>
      <c r="C5296" s="1" t="n">
        <v>45706</v>
      </c>
      <c r="D5296" t="inlineStr">
        <is>
          <t>UPPSALA LÄN</t>
        </is>
      </c>
      <c r="E5296" t="inlineStr">
        <is>
          <t>HEBY</t>
        </is>
      </c>
      <c r="F5296" t="inlineStr">
        <is>
          <t>Bergvik skog väst AB</t>
        </is>
      </c>
      <c r="G5296" t="n">
        <v>17.9</v>
      </c>
      <c r="H5296" t="n">
        <v>0</v>
      </c>
      <c r="I5296" t="n">
        <v>0</v>
      </c>
      <c r="J5296" t="n">
        <v>0</v>
      </c>
      <c r="K5296" t="n">
        <v>0</v>
      </c>
      <c r="L5296" t="n">
        <v>0</v>
      </c>
      <c r="M5296" t="n">
        <v>0</v>
      </c>
      <c r="N5296" t="n">
        <v>0</v>
      </c>
      <c r="O5296" t="n">
        <v>0</v>
      </c>
      <c r="P5296" t="n">
        <v>0</v>
      </c>
      <c r="Q5296" t="n">
        <v>0</v>
      </c>
      <c r="R5296" s="2" t="inlineStr"/>
    </row>
    <row r="5297" ht="15" customHeight="1">
      <c r="A5297" t="inlineStr">
        <is>
          <t>A 14909-2024</t>
        </is>
      </c>
      <c r="B5297" s="1" t="n">
        <v>45398</v>
      </c>
      <c r="C5297" s="1" t="n">
        <v>45706</v>
      </c>
      <c r="D5297" t="inlineStr">
        <is>
          <t>UPPSALA LÄN</t>
        </is>
      </c>
      <c r="E5297" t="inlineStr">
        <is>
          <t>TIERP</t>
        </is>
      </c>
      <c r="F5297" t="inlineStr">
        <is>
          <t>Bergvik skog öst AB</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14921-2024</t>
        </is>
      </c>
      <c r="B5298" s="1" t="n">
        <v>45398</v>
      </c>
      <c r="C5298" s="1" t="n">
        <v>45706</v>
      </c>
      <c r="D5298" t="inlineStr">
        <is>
          <t>UPPSALA LÄN</t>
        </is>
      </c>
      <c r="E5298" t="inlineStr">
        <is>
          <t>TIERP</t>
        </is>
      </c>
      <c r="F5298" t="inlineStr">
        <is>
          <t>Bergvik skog öst AB</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14884-2024</t>
        </is>
      </c>
      <c r="B5299" s="1" t="n">
        <v>45398</v>
      </c>
      <c r="C5299" s="1" t="n">
        <v>45706</v>
      </c>
      <c r="D5299" t="inlineStr">
        <is>
          <t>UPPSALA LÄN</t>
        </is>
      </c>
      <c r="E5299" t="inlineStr">
        <is>
          <t>HEBY</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14896-2024</t>
        </is>
      </c>
      <c r="B5300" s="1" t="n">
        <v>45398</v>
      </c>
      <c r="C5300" s="1" t="n">
        <v>45706</v>
      </c>
      <c r="D5300" t="inlineStr">
        <is>
          <t>UPPSALA LÄN</t>
        </is>
      </c>
      <c r="E5300" t="inlineStr">
        <is>
          <t>TIERP</t>
        </is>
      </c>
      <c r="F5300" t="inlineStr">
        <is>
          <t>Bergvik skog öst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14900-2024</t>
        </is>
      </c>
      <c r="B5301" s="1" t="n">
        <v>45398</v>
      </c>
      <c r="C5301" s="1" t="n">
        <v>45706</v>
      </c>
      <c r="D5301" t="inlineStr">
        <is>
          <t>UPPSALA LÄN</t>
        </is>
      </c>
      <c r="E5301" t="inlineStr">
        <is>
          <t>TIERP</t>
        </is>
      </c>
      <c r="F5301" t="inlineStr">
        <is>
          <t>Bergvik skog öst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14904-2024</t>
        </is>
      </c>
      <c r="B5302" s="1" t="n">
        <v>45398</v>
      </c>
      <c r="C5302" s="1" t="n">
        <v>45706</v>
      </c>
      <c r="D5302" t="inlineStr">
        <is>
          <t>UPPSALA LÄN</t>
        </is>
      </c>
      <c r="E5302" t="inlineStr">
        <is>
          <t>TIERP</t>
        </is>
      </c>
      <c r="F5302" t="inlineStr">
        <is>
          <t>Bergvik skog öst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14928-2024</t>
        </is>
      </c>
      <c r="B5303" s="1" t="n">
        <v>45398</v>
      </c>
      <c r="C5303" s="1" t="n">
        <v>45706</v>
      </c>
      <c r="D5303" t="inlineStr">
        <is>
          <t>UPPSALA LÄN</t>
        </is>
      </c>
      <c r="E5303" t="inlineStr">
        <is>
          <t>TIERP</t>
        </is>
      </c>
      <c r="F5303" t="inlineStr">
        <is>
          <t>Bergvik skog öst AB</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14902-2024</t>
        </is>
      </c>
      <c r="B5304" s="1" t="n">
        <v>45398</v>
      </c>
      <c r="C5304" s="1" t="n">
        <v>45706</v>
      </c>
      <c r="D5304" t="inlineStr">
        <is>
          <t>UPPSALA LÄN</t>
        </is>
      </c>
      <c r="E5304" t="inlineStr">
        <is>
          <t>TIERP</t>
        </is>
      </c>
      <c r="F5304" t="inlineStr">
        <is>
          <t>Bergvik skog öst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14947-2024</t>
        </is>
      </c>
      <c r="B5305" s="1" t="n">
        <v>45398</v>
      </c>
      <c r="C5305" s="1" t="n">
        <v>45706</v>
      </c>
      <c r="D5305" t="inlineStr">
        <is>
          <t>UPPSALA LÄN</t>
        </is>
      </c>
      <c r="E5305" t="inlineStr">
        <is>
          <t>TIERP</t>
        </is>
      </c>
      <c r="F5305" t="inlineStr">
        <is>
          <t>Bergvik skog öst AB</t>
        </is>
      </c>
      <c r="G5305" t="n">
        <v>13.6</v>
      </c>
      <c r="H5305" t="n">
        <v>0</v>
      </c>
      <c r="I5305" t="n">
        <v>0</v>
      </c>
      <c r="J5305" t="n">
        <v>0</v>
      </c>
      <c r="K5305" t="n">
        <v>0</v>
      </c>
      <c r="L5305" t="n">
        <v>0</v>
      </c>
      <c r="M5305" t="n">
        <v>0</v>
      </c>
      <c r="N5305" t="n">
        <v>0</v>
      </c>
      <c r="O5305" t="n">
        <v>0</v>
      </c>
      <c r="P5305" t="n">
        <v>0</v>
      </c>
      <c r="Q5305" t="n">
        <v>0</v>
      </c>
      <c r="R5305" s="2" t="inlineStr"/>
    </row>
    <row r="5306" ht="15" customHeight="1">
      <c r="A5306" t="inlineStr">
        <is>
          <t>A 14907-2024</t>
        </is>
      </c>
      <c r="B5306" s="1" t="n">
        <v>45398</v>
      </c>
      <c r="C5306" s="1" t="n">
        <v>45706</v>
      </c>
      <c r="D5306" t="inlineStr">
        <is>
          <t>UPPSALA LÄN</t>
        </is>
      </c>
      <c r="E5306" t="inlineStr">
        <is>
          <t>TIERP</t>
        </is>
      </c>
      <c r="F5306" t="inlineStr">
        <is>
          <t>Bergvik skog öst AB</t>
        </is>
      </c>
      <c r="G5306" t="n">
        <v>20.6</v>
      </c>
      <c r="H5306" t="n">
        <v>0</v>
      </c>
      <c r="I5306" t="n">
        <v>0</v>
      </c>
      <c r="J5306" t="n">
        <v>0</v>
      </c>
      <c r="K5306" t="n">
        <v>0</v>
      </c>
      <c r="L5306" t="n">
        <v>0</v>
      </c>
      <c r="M5306" t="n">
        <v>0</v>
      </c>
      <c r="N5306" t="n">
        <v>0</v>
      </c>
      <c r="O5306" t="n">
        <v>0</v>
      </c>
      <c r="P5306" t="n">
        <v>0</v>
      </c>
      <c r="Q5306" t="n">
        <v>0</v>
      </c>
      <c r="R5306" s="2" t="inlineStr"/>
    </row>
    <row r="5307" ht="15" customHeight="1">
      <c r="A5307" t="inlineStr">
        <is>
          <t>A 14911-2024</t>
        </is>
      </c>
      <c r="B5307" s="1" t="n">
        <v>45398</v>
      </c>
      <c r="C5307" s="1" t="n">
        <v>45706</v>
      </c>
      <c r="D5307" t="inlineStr">
        <is>
          <t>UPPSALA LÄN</t>
        </is>
      </c>
      <c r="E5307" t="inlineStr">
        <is>
          <t>TIERP</t>
        </is>
      </c>
      <c r="F5307" t="inlineStr">
        <is>
          <t>Bergvik skog öst AB</t>
        </is>
      </c>
      <c r="G5307" t="n">
        <v>7.8</v>
      </c>
      <c r="H5307" t="n">
        <v>0</v>
      </c>
      <c r="I5307" t="n">
        <v>0</v>
      </c>
      <c r="J5307" t="n">
        <v>0</v>
      </c>
      <c r="K5307" t="n">
        <v>0</v>
      </c>
      <c r="L5307" t="n">
        <v>0</v>
      </c>
      <c r="M5307" t="n">
        <v>0</v>
      </c>
      <c r="N5307" t="n">
        <v>0</v>
      </c>
      <c r="O5307" t="n">
        <v>0</v>
      </c>
      <c r="P5307" t="n">
        <v>0</v>
      </c>
      <c r="Q5307" t="n">
        <v>0</v>
      </c>
      <c r="R5307" s="2" t="inlineStr"/>
    </row>
    <row r="5308" ht="15" customHeight="1">
      <c r="A5308" t="inlineStr">
        <is>
          <t>A 15055-2024</t>
        </is>
      </c>
      <c r="B5308" s="1" t="n">
        <v>45399</v>
      </c>
      <c r="C5308" s="1" t="n">
        <v>45706</v>
      </c>
      <c r="D5308" t="inlineStr">
        <is>
          <t>UPPSALA LÄN</t>
        </is>
      </c>
      <c r="E5308" t="inlineStr">
        <is>
          <t>TIERP</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15010-2024</t>
        </is>
      </c>
      <c r="B5309" s="1" t="n">
        <v>45399</v>
      </c>
      <c r="C5309" s="1" t="n">
        <v>45706</v>
      </c>
      <c r="D5309" t="inlineStr">
        <is>
          <t>UPPSALA LÄN</t>
        </is>
      </c>
      <c r="E5309" t="inlineStr">
        <is>
          <t>HEBY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15076-2024</t>
        </is>
      </c>
      <c r="B5310" s="1" t="n">
        <v>45399</v>
      </c>
      <c r="C5310" s="1" t="n">
        <v>45706</v>
      </c>
      <c r="D5310" t="inlineStr">
        <is>
          <t>UPPSALA LÄN</t>
        </is>
      </c>
      <c r="E5310" t="inlineStr">
        <is>
          <t>TIERP</t>
        </is>
      </c>
      <c r="F5310" t="inlineStr">
        <is>
          <t>Bergvik skog öst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15093-2024</t>
        </is>
      </c>
      <c r="B5311" s="1" t="n">
        <v>45399</v>
      </c>
      <c r="C5311" s="1" t="n">
        <v>45706</v>
      </c>
      <c r="D5311" t="inlineStr">
        <is>
          <t>UPPSALA LÄN</t>
        </is>
      </c>
      <c r="E5311" t="inlineStr">
        <is>
          <t>TIERP</t>
        </is>
      </c>
      <c r="F5311" t="inlineStr">
        <is>
          <t>Bergvik skog öst AB</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15078-2024</t>
        </is>
      </c>
      <c r="B5312" s="1" t="n">
        <v>45399</v>
      </c>
      <c r="C5312" s="1" t="n">
        <v>45706</v>
      </c>
      <c r="D5312" t="inlineStr">
        <is>
          <t>UPPSALA LÄN</t>
        </is>
      </c>
      <c r="E5312" t="inlineStr">
        <is>
          <t>HEBY</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15135-2024</t>
        </is>
      </c>
      <c r="B5313" s="1" t="n">
        <v>45399</v>
      </c>
      <c r="C5313" s="1" t="n">
        <v>45706</v>
      </c>
      <c r="D5313" t="inlineStr">
        <is>
          <t>UPPSALA LÄN</t>
        </is>
      </c>
      <c r="E5313" t="inlineStr">
        <is>
          <t>TIERP</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15165-2024</t>
        </is>
      </c>
      <c r="B5314" s="1" t="n">
        <v>45400</v>
      </c>
      <c r="C5314" s="1" t="n">
        <v>45706</v>
      </c>
      <c r="D5314" t="inlineStr">
        <is>
          <t>UPPSALA LÄN</t>
        </is>
      </c>
      <c r="E5314" t="inlineStr">
        <is>
          <t>ÖSTHAMMAR</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15169-2024</t>
        </is>
      </c>
      <c r="B5315" s="1" t="n">
        <v>45400</v>
      </c>
      <c r="C5315" s="1" t="n">
        <v>45706</v>
      </c>
      <c r="D5315" t="inlineStr">
        <is>
          <t>UPPSALA LÄN</t>
        </is>
      </c>
      <c r="E5315" t="inlineStr">
        <is>
          <t>ÖSTHAMMAR</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15166-2024</t>
        </is>
      </c>
      <c r="B5316" s="1" t="n">
        <v>45400</v>
      </c>
      <c r="C5316" s="1" t="n">
        <v>45706</v>
      </c>
      <c r="D5316" t="inlineStr">
        <is>
          <t>UPPSALA LÄN</t>
        </is>
      </c>
      <c r="E5316" t="inlineStr">
        <is>
          <t>ÖSTHAMMAR</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15193-2024</t>
        </is>
      </c>
      <c r="B5317" s="1" t="n">
        <v>45400</v>
      </c>
      <c r="C5317" s="1" t="n">
        <v>45706</v>
      </c>
      <c r="D5317" t="inlineStr">
        <is>
          <t>UPPSALA LÄN</t>
        </is>
      </c>
      <c r="E5317" t="inlineStr">
        <is>
          <t>TIERP</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15254-2024</t>
        </is>
      </c>
      <c r="B5318" s="1" t="n">
        <v>45400</v>
      </c>
      <c r="C5318" s="1" t="n">
        <v>45706</v>
      </c>
      <c r="D5318" t="inlineStr">
        <is>
          <t>UPPSALA LÄN</t>
        </is>
      </c>
      <c r="E5318" t="inlineStr">
        <is>
          <t>UPPSALA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15304-2024</t>
        </is>
      </c>
      <c r="B5319" s="1" t="n">
        <v>45400</v>
      </c>
      <c r="C5319" s="1" t="n">
        <v>45706</v>
      </c>
      <c r="D5319" t="inlineStr">
        <is>
          <t>UPPSALA LÄN</t>
        </is>
      </c>
      <c r="E5319" t="inlineStr">
        <is>
          <t>KNIVSTA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15255-2024</t>
        </is>
      </c>
      <c r="B5320" s="1" t="n">
        <v>45400</v>
      </c>
      <c r="C5320" s="1" t="n">
        <v>45706</v>
      </c>
      <c r="D5320" t="inlineStr">
        <is>
          <t>UPPSALA LÄN</t>
        </is>
      </c>
      <c r="E5320" t="inlineStr">
        <is>
          <t>UPPSALA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15167-2024</t>
        </is>
      </c>
      <c r="B5321" s="1" t="n">
        <v>45400</v>
      </c>
      <c r="C5321" s="1" t="n">
        <v>45706</v>
      </c>
      <c r="D5321" t="inlineStr">
        <is>
          <t>UPPSALA LÄN</t>
        </is>
      </c>
      <c r="E5321" t="inlineStr">
        <is>
          <t>TIERP</t>
        </is>
      </c>
      <c r="F5321" t="inlineStr">
        <is>
          <t>Bergvik skog väst AB</t>
        </is>
      </c>
      <c r="G5321" t="n">
        <v>11.5</v>
      </c>
      <c r="H5321" t="n">
        <v>0</v>
      </c>
      <c r="I5321" t="n">
        <v>0</v>
      </c>
      <c r="J5321" t="n">
        <v>0</v>
      </c>
      <c r="K5321" t="n">
        <v>0</v>
      </c>
      <c r="L5321" t="n">
        <v>0</v>
      </c>
      <c r="M5321" t="n">
        <v>0</v>
      </c>
      <c r="N5321" t="n">
        <v>0</v>
      </c>
      <c r="O5321" t="n">
        <v>0</v>
      </c>
      <c r="P5321" t="n">
        <v>0</v>
      </c>
      <c r="Q5321" t="n">
        <v>0</v>
      </c>
      <c r="R5321" s="2" t="inlineStr"/>
    </row>
    <row r="5322" ht="15" customHeight="1">
      <c r="A5322" t="inlineStr">
        <is>
          <t>A 15195-2024</t>
        </is>
      </c>
      <c r="B5322" s="1" t="n">
        <v>45400</v>
      </c>
      <c r="C5322" s="1" t="n">
        <v>45706</v>
      </c>
      <c r="D5322" t="inlineStr">
        <is>
          <t>UPPSALA LÄN</t>
        </is>
      </c>
      <c r="E5322" t="inlineStr">
        <is>
          <t>TIERP</t>
        </is>
      </c>
      <c r="F5322" t="inlineStr">
        <is>
          <t>Bergvik skog väst AB</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15567-2024</t>
        </is>
      </c>
      <c r="B5323" s="1" t="n">
        <v>45401</v>
      </c>
      <c r="C5323" s="1" t="n">
        <v>45706</v>
      </c>
      <c r="D5323" t="inlineStr">
        <is>
          <t>UPPSALA LÄN</t>
        </is>
      </c>
      <c r="E5323" t="inlineStr">
        <is>
          <t>TIERP</t>
        </is>
      </c>
      <c r="F5323" t="inlineStr">
        <is>
          <t>Bergvik skog väst AB</t>
        </is>
      </c>
      <c r="G5323" t="n">
        <v>33.8</v>
      </c>
      <c r="H5323" t="n">
        <v>0</v>
      </c>
      <c r="I5323" t="n">
        <v>0</v>
      </c>
      <c r="J5323" t="n">
        <v>0</v>
      </c>
      <c r="K5323" t="n">
        <v>0</v>
      </c>
      <c r="L5323" t="n">
        <v>0</v>
      </c>
      <c r="M5323" t="n">
        <v>0</v>
      </c>
      <c r="N5323" t="n">
        <v>0</v>
      </c>
      <c r="O5323" t="n">
        <v>0</v>
      </c>
      <c r="P5323" t="n">
        <v>0</v>
      </c>
      <c r="Q5323" t="n">
        <v>0</v>
      </c>
      <c r="R5323" s="2" t="inlineStr"/>
    </row>
    <row r="5324" ht="15" customHeight="1">
      <c r="A5324" t="inlineStr">
        <is>
          <t>A 15575-2024</t>
        </is>
      </c>
      <c r="B5324" s="1" t="n">
        <v>45401</v>
      </c>
      <c r="C5324" s="1" t="n">
        <v>45706</v>
      </c>
      <c r="D5324" t="inlineStr">
        <is>
          <t>UPPSALA LÄN</t>
        </is>
      </c>
      <c r="E5324" t="inlineStr">
        <is>
          <t>ÖSTHAMMAR</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15579-2024</t>
        </is>
      </c>
      <c r="B5325" s="1" t="n">
        <v>45401</v>
      </c>
      <c r="C5325" s="1" t="n">
        <v>45706</v>
      </c>
      <c r="D5325" t="inlineStr">
        <is>
          <t>UPPSALA LÄN</t>
        </is>
      </c>
      <c r="E5325" t="inlineStr">
        <is>
          <t>TIERP</t>
        </is>
      </c>
      <c r="F5325" t="inlineStr">
        <is>
          <t>Bergvik skog väst AB</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15392-2024</t>
        </is>
      </c>
      <c r="B5326" s="1" t="n">
        <v>45401</v>
      </c>
      <c r="C5326" s="1" t="n">
        <v>45706</v>
      </c>
      <c r="D5326" t="inlineStr">
        <is>
          <t>UPPSALA LÄN</t>
        </is>
      </c>
      <c r="E5326" t="inlineStr">
        <is>
          <t>HEBY</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15574-2024</t>
        </is>
      </c>
      <c r="B5327" s="1" t="n">
        <v>45401</v>
      </c>
      <c r="C5327" s="1" t="n">
        <v>45706</v>
      </c>
      <c r="D5327" t="inlineStr">
        <is>
          <t>UPPSALA LÄN</t>
        </is>
      </c>
      <c r="E5327" t="inlineStr">
        <is>
          <t>TIERP</t>
        </is>
      </c>
      <c r="F5327" t="inlineStr">
        <is>
          <t>Bergvik skog väst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15618-2024</t>
        </is>
      </c>
      <c r="B5328" s="1" t="n">
        <v>45402</v>
      </c>
      <c r="C5328" s="1" t="n">
        <v>45706</v>
      </c>
      <c r="D5328" t="inlineStr">
        <is>
          <t>UPPSALA LÄN</t>
        </is>
      </c>
      <c r="E5328" t="inlineStr">
        <is>
          <t>HEBY</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15544-2024</t>
        </is>
      </c>
      <c r="B5329" s="1" t="n">
        <v>45401</v>
      </c>
      <c r="C5329" s="1" t="n">
        <v>45706</v>
      </c>
      <c r="D5329" t="inlineStr">
        <is>
          <t>UPPSALA LÄN</t>
        </is>
      </c>
      <c r="E5329" t="inlineStr">
        <is>
          <t>UPPSALA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15479-2024</t>
        </is>
      </c>
      <c r="B5330" s="1" t="n">
        <v>45401</v>
      </c>
      <c r="C5330" s="1" t="n">
        <v>45706</v>
      </c>
      <c r="D5330" t="inlineStr">
        <is>
          <t>UPPSALA LÄN</t>
        </is>
      </c>
      <c r="E5330" t="inlineStr">
        <is>
          <t>HEBY</t>
        </is>
      </c>
      <c r="F5330" t="inlineStr">
        <is>
          <t>Kyrkan</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15666-2024</t>
        </is>
      </c>
      <c r="B5331" s="1" t="n">
        <v>45404</v>
      </c>
      <c r="C5331" s="1" t="n">
        <v>45706</v>
      </c>
      <c r="D5331" t="inlineStr">
        <is>
          <t>UPPSALA LÄN</t>
        </is>
      </c>
      <c r="E5331" t="inlineStr">
        <is>
          <t>KNIVSTA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15823-2024</t>
        </is>
      </c>
      <c r="B5332" s="1" t="n">
        <v>45404</v>
      </c>
      <c r="C5332" s="1" t="n">
        <v>45706</v>
      </c>
      <c r="D5332" t="inlineStr">
        <is>
          <t>UPPSALA LÄN</t>
        </is>
      </c>
      <c r="E5332" t="inlineStr">
        <is>
          <t>ENKÖPING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15816-2024</t>
        </is>
      </c>
      <c r="B5333" s="1" t="n">
        <v>45404</v>
      </c>
      <c r="C5333" s="1" t="n">
        <v>45706</v>
      </c>
      <c r="D5333" t="inlineStr">
        <is>
          <t>UPPSALA LÄN</t>
        </is>
      </c>
      <c r="E5333" t="inlineStr">
        <is>
          <t>ENKÖPING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15824-2024</t>
        </is>
      </c>
      <c r="B5334" s="1" t="n">
        <v>45404</v>
      </c>
      <c r="C5334" s="1" t="n">
        <v>45706</v>
      </c>
      <c r="D5334" t="inlineStr">
        <is>
          <t>UPPSALA LÄN</t>
        </is>
      </c>
      <c r="E5334" t="inlineStr">
        <is>
          <t>ENKÖPING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15814-2024</t>
        </is>
      </c>
      <c r="B5335" s="1" t="n">
        <v>45404</v>
      </c>
      <c r="C5335" s="1" t="n">
        <v>45706</v>
      </c>
      <c r="D5335" t="inlineStr">
        <is>
          <t>UPPSALA LÄN</t>
        </is>
      </c>
      <c r="E5335" t="inlineStr">
        <is>
          <t>ENKÖPING</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15826-2024</t>
        </is>
      </c>
      <c r="B5336" s="1" t="n">
        <v>45404</v>
      </c>
      <c r="C5336" s="1" t="n">
        <v>45706</v>
      </c>
      <c r="D5336" t="inlineStr">
        <is>
          <t>UPPSALA LÄN</t>
        </is>
      </c>
      <c r="E5336" t="inlineStr">
        <is>
          <t>ENKÖPING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15813-2024</t>
        </is>
      </c>
      <c r="B5337" s="1" t="n">
        <v>45404</v>
      </c>
      <c r="C5337" s="1" t="n">
        <v>45706</v>
      </c>
      <c r="D5337" t="inlineStr">
        <is>
          <t>UPPSALA LÄN</t>
        </is>
      </c>
      <c r="E5337" t="inlineStr">
        <is>
          <t>ENKÖPING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15935-2024</t>
        </is>
      </c>
      <c r="B5338" s="1" t="n">
        <v>45405</v>
      </c>
      <c r="C5338" s="1" t="n">
        <v>45706</v>
      </c>
      <c r="D5338" t="inlineStr">
        <is>
          <t>UPPSALA LÄN</t>
        </is>
      </c>
      <c r="E5338" t="inlineStr">
        <is>
          <t>TIERP</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16022-2024</t>
        </is>
      </c>
      <c r="B5339" s="1" t="n">
        <v>45405</v>
      </c>
      <c r="C5339" s="1" t="n">
        <v>45706</v>
      </c>
      <c r="D5339" t="inlineStr">
        <is>
          <t>UPPSALA LÄN</t>
        </is>
      </c>
      <c r="E5339" t="inlineStr">
        <is>
          <t>TIERP</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15878-2024</t>
        </is>
      </c>
      <c r="B5340" s="1" t="n">
        <v>45405</v>
      </c>
      <c r="C5340" s="1" t="n">
        <v>45706</v>
      </c>
      <c r="D5340" t="inlineStr">
        <is>
          <t>UPPSALA LÄN</t>
        </is>
      </c>
      <c r="E5340" t="inlineStr">
        <is>
          <t>ENKÖPING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15893-2024</t>
        </is>
      </c>
      <c r="B5341" s="1" t="n">
        <v>45405</v>
      </c>
      <c r="C5341" s="1" t="n">
        <v>45706</v>
      </c>
      <c r="D5341" t="inlineStr">
        <is>
          <t>UPPSALA LÄN</t>
        </is>
      </c>
      <c r="E5341" t="inlineStr">
        <is>
          <t>ENKÖPING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16167-2024</t>
        </is>
      </c>
      <c r="B5342" s="1" t="n">
        <v>45406</v>
      </c>
      <c r="C5342" s="1" t="n">
        <v>45706</v>
      </c>
      <c r="D5342" t="inlineStr">
        <is>
          <t>UPPSALA LÄN</t>
        </is>
      </c>
      <c r="E5342" t="inlineStr">
        <is>
          <t>HEBY</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16345-2024</t>
        </is>
      </c>
      <c r="B5343" s="1" t="n">
        <v>45407</v>
      </c>
      <c r="C5343" s="1" t="n">
        <v>45706</v>
      </c>
      <c r="D5343" t="inlineStr">
        <is>
          <t>UPPSALA LÄN</t>
        </is>
      </c>
      <c r="E5343" t="inlineStr">
        <is>
          <t>TIERP</t>
        </is>
      </c>
      <c r="F5343" t="inlineStr">
        <is>
          <t>Bergvik skog öst AB</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16421-2024</t>
        </is>
      </c>
      <c r="B5344" s="1" t="n">
        <v>45407</v>
      </c>
      <c r="C5344" s="1" t="n">
        <v>45706</v>
      </c>
      <c r="D5344" t="inlineStr">
        <is>
          <t>UPPSALA LÄN</t>
        </is>
      </c>
      <c r="E5344" t="inlineStr">
        <is>
          <t>TIERP</t>
        </is>
      </c>
      <c r="F5344" t="inlineStr">
        <is>
          <t>Bergvik skog öst AB</t>
        </is>
      </c>
      <c r="G5344" t="n">
        <v>16.7</v>
      </c>
      <c r="H5344" t="n">
        <v>0</v>
      </c>
      <c r="I5344" t="n">
        <v>0</v>
      </c>
      <c r="J5344" t="n">
        <v>0</v>
      </c>
      <c r="K5344" t="n">
        <v>0</v>
      </c>
      <c r="L5344" t="n">
        <v>0</v>
      </c>
      <c r="M5344" t="n">
        <v>0</v>
      </c>
      <c r="N5344" t="n">
        <v>0</v>
      </c>
      <c r="O5344" t="n">
        <v>0</v>
      </c>
      <c r="P5344" t="n">
        <v>0</v>
      </c>
      <c r="Q5344" t="n">
        <v>0</v>
      </c>
      <c r="R5344" s="2" t="inlineStr"/>
    </row>
    <row r="5345" ht="15" customHeight="1">
      <c r="A5345" t="inlineStr">
        <is>
          <t>A 16434-2024</t>
        </is>
      </c>
      <c r="B5345" s="1" t="n">
        <v>45407</v>
      </c>
      <c r="C5345" s="1" t="n">
        <v>45706</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16324-2024</t>
        </is>
      </c>
      <c r="B5346" s="1" t="n">
        <v>45407</v>
      </c>
      <c r="C5346" s="1" t="n">
        <v>45706</v>
      </c>
      <c r="D5346" t="inlineStr">
        <is>
          <t>UPPSALA LÄN</t>
        </is>
      </c>
      <c r="E5346" t="inlineStr">
        <is>
          <t>UPPSALA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16489-2024</t>
        </is>
      </c>
      <c r="B5347" s="1" t="n">
        <v>45408</v>
      </c>
      <c r="C5347" s="1" t="n">
        <v>45706</v>
      </c>
      <c r="D5347" t="inlineStr">
        <is>
          <t>UPPSALA LÄN</t>
        </is>
      </c>
      <c r="E5347" t="inlineStr">
        <is>
          <t>TIERP</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16497-2024</t>
        </is>
      </c>
      <c r="B5348" s="1" t="n">
        <v>45408</v>
      </c>
      <c r="C5348" s="1" t="n">
        <v>45706</v>
      </c>
      <c r="D5348" t="inlineStr">
        <is>
          <t>UPPSALA LÄN</t>
        </is>
      </c>
      <c r="E5348" t="inlineStr">
        <is>
          <t>ÖSTHAMMAR</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16500-2024</t>
        </is>
      </c>
      <c r="B5349" s="1" t="n">
        <v>45408</v>
      </c>
      <c r="C5349" s="1" t="n">
        <v>45706</v>
      </c>
      <c r="D5349" t="inlineStr">
        <is>
          <t>UPPSALA LÄN</t>
        </is>
      </c>
      <c r="E5349" t="inlineStr">
        <is>
          <t>TIERP</t>
        </is>
      </c>
      <c r="F5349" t="inlineStr">
        <is>
          <t>Bergvik skog öst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16566-2024</t>
        </is>
      </c>
      <c r="B5350" s="1" t="n">
        <v>45408</v>
      </c>
      <c r="C5350" s="1" t="n">
        <v>45706</v>
      </c>
      <c r="D5350" t="inlineStr">
        <is>
          <t>UPPSALA LÄN</t>
        </is>
      </c>
      <c r="E5350" t="inlineStr">
        <is>
          <t>TIERP</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16736-2024</t>
        </is>
      </c>
      <c r="B5351" s="1" t="n">
        <v>45410</v>
      </c>
      <c r="C5351" s="1" t="n">
        <v>45706</v>
      </c>
      <c r="D5351" t="inlineStr">
        <is>
          <t>UPPSALA LÄN</t>
        </is>
      </c>
      <c r="E5351" t="inlineStr">
        <is>
          <t>ÖSTHAMMAR</t>
        </is>
      </c>
      <c r="F5351" t="inlineStr">
        <is>
          <t>Bergvik skog öst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16737-2024</t>
        </is>
      </c>
      <c r="B5352" s="1" t="n">
        <v>45410</v>
      </c>
      <c r="C5352" s="1" t="n">
        <v>45706</v>
      </c>
      <c r="D5352" t="inlineStr">
        <is>
          <t>UPPSALA LÄN</t>
        </is>
      </c>
      <c r="E5352" t="inlineStr">
        <is>
          <t>ÖSTHAMMAR</t>
        </is>
      </c>
      <c r="F5352" t="inlineStr">
        <is>
          <t>Bergvik skog öst AB</t>
        </is>
      </c>
      <c r="G5352" t="n">
        <v>13.2</v>
      </c>
      <c r="H5352" t="n">
        <v>0</v>
      </c>
      <c r="I5352" t="n">
        <v>0</v>
      </c>
      <c r="J5352" t="n">
        <v>0</v>
      </c>
      <c r="K5352" t="n">
        <v>0</v>
      </c>
      <c r="L5352" t="n">
        <v>0</v>
      </c>
      <c r="M5352" t="n">
        <v>0</v>
      </c>
      <c r="N5352" t="n">
        <v>0</v>
      </c>
      <c r="O5352" t="n">
        <v>0</v>
      </c>
      <c r="P5352" t="n">
        <v>0</v>
      </c>
      <c r="Q5352" t="n">
        <v>0</v>
      </c>
      <c r="R5352" s="2" t="inlineStr"/>
    </row>
    <row r="5353" ht="15" customHeight="1">
      <c r="A5353" t="inlineStr">
        <is>
          <t>A 16735-2024</t>
        </is>
      </c>
      <c r="B5353" s="1" t="n">
        <v>45410</v>
      </c>
      <c r="C5353" s="1" t="n">
        <v>45706</v>
      </c>
      <c r="D5353" t="inlineStr">
        <is>
          <t>UPPSALA LÄN</t>
        </is>
      </c>
      <c r="E5353" t="inlineStr">
        <is>
          <t>ÖSTHAMMAR</t>
        </is>
      </c>
      <c r="F5353" t="inlineStr">
        <is>
          <t>Bergvik skog öst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16734-2024</t>
        </is>
      </c>
      <c r="B5354" s="1" t="n">
        <v>45410</v>
      </c>
      <c r="C5354" s="1" t="n">
        <v>45706</v>
      </c>
      <c r="D5354" t="inlineStr">
        <is>
          <t>UPPSALA LÄN</t>
        </is>
      </c>
      <c r="E5354" t="inlineStr">
        <is>
          <t>ÖSTHAMMAR</t>
        </is>
      </c>
      <c r="F5354" t="inlineStr">
        <is>
          <t>Bergvik skog öst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16847-2024</t>
        </is>
      </c>
      <c r="B5355" s="1" t="n">
        <v>45411</v>
      </c>
      <c r="C5355" s="1" t="n">
        <v>45706</v>
      </c>
      <c r="D5355" t="inlineStr">
        <is>
          <t>UPPSALA LÄN</t>
        </is>
      </c>
      <c r="E5355" t="inlineStr">
        <is>
          <t>HEBY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16865-2024</t>
        </is>
      </c>
      <c r="B5356" s="1" t="n">
        <v>45411</v>
      </c>
      <c r="C5356" s="1" t="n">
        <v>45706</v>
      </c>
      <c r="D5356" t="inlineStr">
        <is>
          <t>UPPSALA LÄN</t>
        </is>
      </c>
      <c r="E5356" t="inlineStr">
        <is>
          <t>TIERP</t>
        </is>
      </c>
      <c r="F5356" t="inlineStr">
        <is>
          <t>Bergvik skog öst AB</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17094-2024</t>
        </is>
      </c>
      <c r="B5357" s="1" t="n">
        <v>45412</v>
      </c>
      <c r="C5357" s="1" t="n">
        <v>45706</v>
      </c>
      <c r="D5357" t="inlineStr">
        <is>
          <t>UPPSALA LÄN</t>
        </is>
      </c>
      <c r="E5357" t="inlineStr">
        <is>
          <t>TIERP</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17119-2024</t>
        </is>
      </c>
      <c r="B5358" s="1" t="n">
        <v>45412</v>
      </c>
      <c r="C5358" s="1" t="n">
        <v>45706</v>
      </c>
      <c r="D5358" t="inlineStr">
        <is>
          <t>UPPSALA LÄN</t>
        </is>
      </c>
      <c r="E5358" t="inlineStr">
        <is>
          <t>TIERP</t>
        </is>
      </c>
      <c r="F5358" t="inlineStr">
        <is>
          <t>Bergvik skog väst AB</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17148-2024</t>
        </is>
      </c>
      <c r="B5359" s="1" t="n">
        <v>45412</v>
      </c>
      <c r="C5359" s="1" t="n">
        <v>45706</v>
      </c>
      <c r="D5359" t="inlineStr">
        <is>
          <t>UPPSALA LÄN</t>
        </is>
      </c>
      <c r="E5359" t="inlineStr">
        <is>
          <t>HEBY</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17146-2024</t>
        </is>
      </c>
      <c r="B5360" s="1" t="n">
        <v>45412</v>
      </c>
      <c r="C5360" s="1" t="n">
        <v>45706</v>
      </c>
      <c r="D5360" t="inlineStr">
        <is>
          <t>UPPSALA LÄN</t>
        </is>
      </c>
      <c r="E5360" t="inlineStr">
        <is>
          <t>UPPSALA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16983-2024</t>
        </is>
      </c>
      <c r="B5361" s="1" t="n">
        <v>45412</v>
      </c>
      <c r="C5361" s="1" t="n">
        <v>45706</v>
      </c>
      <c r="D5361" t="inlineStr">
        <is>
          <t>UPPSALA LÄN</t>
        </is>
      </c>
      <c r="E5361" t="inlineStr">
        <is>
          <t>ÖSTHAMMAR</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17117-2024</t>
        </is>
      </c>
      <c r="B5362" s="1" t="n">
        <v>45412</v>
      </c>
      <c r="C5362" s="1" t="n">
        <v>45706</v>
      </c>
      <c r="D5362" t="inlineStr">
        <is>
          <t>UPPSALA LÄN</t>
        </is>
      </c>
      <c r="E5362" t="inlineStr">
        <is>
          <t>TIERP</t>
        </is>
      </c>
      <c r="F5362" t="inlineStr">
        <is>
          <t>Bergvik skog väst AB</t>
        </is>
      </c>
      <c r="G5362" t="n">
        <v>33.6</v>
      </c>
      <c r="H5362" t="n">
        <v>0</v>
      </c>
      <c r="I5362" t="n">
        <v>0</v>
      </c>
      <c r="J5362" t="n">
        <v>0</v>
      </c>
      <c r="K5362" t="n">
        <v>0</v>
      </c>
      <c r="L5362" t="n">
        <v>0</v>
      </c>
      <c r="M5362" t="n">
        <v>0</v>
      </c>
      <c r="N5362" t="n">
        <v>0</v>
      </c>
      <c r="O5362" t="n">
        <v>0</v>
      </c>
      <c r="P5362" t="n">
        <v>0</v>
      </c>
      <c r="Q5362" t="n">
        <v>0</v>
      </c>
      <c r="R5362" s="2" t="inlineStr"/>
    </row>
    <row r="5363" ht="15" customHeight="1">
      <c r="A5363" t="inlineStr">
        <is>
          <t>A 17287-2024</t>
        </is>
      </c>
      <c r="B5363" s="1" t="n">
        <v>45414</v>
      </c>
      <c r="C5363" s="1" t="n">
        <v>45706</v>
      </c>
      <c r="D5363" t="inlineStr">
        <is>
          <t>UPPSALA LÄN</t>
        </is>
      </c>
      <c r="E5363" t="inlineStr">
        <is>
          <t>UPPSALA</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17331-2024</t>
        </is>
      </c>
      <c r="B5364" s="1" t="n">
        <v>45414</v>
      </c>
      <c r="C5364" s="1" t="n">
        <v>45706</v>
      </c>
      <c r="D5364" t="inlineStr">
        <is>
          <t>UPPSALA LÄN</t>
        </is>
      </c>
      <c r="E5364" t="inlineStr">
        <is>
          <t>KNIVSTA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17333-2024</t>
        </is>
      </c>
      <c r="B5365" s="1" t="n">
        <v>45414</v>
      </c>
      <c r="C5365" s="1" t="n">
        <v>45706</v>
      </c>
      <c r="D5365" t="inlineStr">
        <is>
          <t>UPPSALA LÄN</t>
        </is>
      </c>
      <c r="E5365" t="inlineStr">
        <is>
          <t>KNIVSTA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17341-2024</t>
        </is>
      </c>
      <c r="B5366" s="1" t="n">
        <v>45414</v>
      </c>
      <c r="C5366" s="1" t="n">
        <v>45706</v>
      </c>
      <c r="D5366" t="inlineStr">
        <is>
          <t>UPPSALA LÄN</t>
        </is>
      </c>
      <c r="E5366" t="inlineStr">
        <is>
          <t>KNIVSTA</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17378-2024</t>
        </is>
      </c>
      <c r="B5367" s="1" t="n">
        <v>45414</v>
      </c>
      <c r="C5367" s="1" t="n">
        <v>45706</v>
      </c>
      <c r="D5367" t="inlineStr">
        <is>
          <t>UPPSALA LÄN</t>
        </is>
      </c>
      <c r="E5367" t="inlineStr">
        <is>
          <t>HEBY</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17683-2024</t>
        </is>
      </c>
      <c r="B5368" s="1" t="n">
        <v>45418</v>
      </c>
      <c r="C5368" s="1" t="n">
        <v>45706</v>
      </c>
      <c r="D5368" t="inlineStr">
        <is>
          <t>UPPSALA LÄN</t>
        </is>
      </c>
      <c r="E5368" t="inlineStr">
        <is>
          <t>HEBY</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17697-2024</t>
        </is>
      </c>
      <c r="B5369" s="1" t="n">
        <v>45418</v>
      </c>
      <c r="C5369" s="1" t="n">
        <v>45706</v>
      </c>
      <c r="D5369" t="inlineStr">
        <is>
          <t>UPPSALA LÄN</t>
        </is>
      </c>
      <c r="E5369" t="inlineStr">
        <is>
          <t>HEBY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17695-2024</t>
        </is>
      </c>
      <c r="B5370" s="1" t="n">
        <v>45418</v>
      </c>
      <c r="C5370" s="1" t="n">
        <v>45706</v>
      </c>
      <c r="D5370" t="inlineStr">
        <is>
          <t>UPPSALA LÄN</t>
        </is>
      </c>
      <c r="E5370" t="inlineStr">
        <is>
          <t>HEBY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17761-2024</t>
        </is>
      </c>
      <c r="B5371" s="1" t="n">
        <v>45418</v>
      </c>
      <c r="C5371" s="1" t="n">
        <v>45706</v>
      </c>
      <c r="D5371" t="inlineStr">
        <is>
          <t>UPPSALA LÄN</t>
        </is>
      </c>
      <c r="E5371" t="inlineStr">
        <is>
          <t>UPPSALA</t>
        </is>
      </c>
      <c r="F5371" t="inlineStr">
        <is>
          <t>Holmen skog AB</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17776-2024</t>
        </is>
      </c>
      <c r="B5372" s="1" t="n">
        <v>45418</v>
      </c>
      <c r="C5372" s="1" t="n">
        <v>45706</v>
      </c>
      <c r="D5372" t="inlineStr">
        <is>
          <t>UPPSALA LÄN</t>
        </is>
      </c>
      <c r="E5372" t="inlineStr">
        <is>
          <t>ÖSTHAMMAR</t>
        </is>
      </c>
      <c r="F5372" t="inlineStr">
        <is>
          <t>Bergvik skog öst AB</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17867-2024</t>
        </is>
      </c>
      <c r="B5373" s="1" t="n">
        <v>45419</v>
      </c>
      <c r="C5373" s="1" t="n">
        <v>45706</v>
      </c>
      <c r="D5373" t="inlineStr">
        <is>
          <t>UPPSALA LÄN</t>
        </is>
      </c>
      <c r="E5373" t="inlineStr">
        <is>
          <t>ÖSTHAMMAR</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17904-2024</t>
        </is>
      </c>
      <c r="B5374" s="1" t="n">
        <v>45419</v>
      </c>
      <c r="C5374" s="1" t="n">
        <v>45706</v>
      </c>
      <c r="D5374" t="inlineStr">
        <is>
          <t>UPPSALA LÄN</t>
        </is>
      </c>
      <c r="E5374" t="inlineStr">
        <is>
          <t>KNIVSTA</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18069-2024</t>
        </is>
      </c>
      <c r="B5375" s="1" t="n">
        <v>45420</v>
      </c>
      <c r="C5375" s="1" t="n">
        <v>45706</v>
      </c>
      <c r="D5375" t="inlineStr">
        <is>
          <t>UPPSALA LÄN</t>
        </is>
      </c>
      <c r="E5375" t="inlineStr">
        <is>
          <t>UPPSALA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18039-2024</t>
        </is>
      </c>
      <c r="B5376" s="1" t="n">
        <v>45420</v>
      </c>
      <c r="C5376" s="1" t="n">
        <v>45706</v>
      </c>
      <c r="D5376" t="inlineStr">
        <is>
          <t>UPPSALA LÄN</t>
        </is>
      </c>
      <c r="E5376" t="inlineStr">
        <is>
          <t>TIERP</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18354-2024</t>
        </is>
      </c>
      <c r="B5377" s="1" t="n">
        <v>45422</v>
      </c>
      <c r="C5377" s="1" t="n">
        <v>45706</v>
      </c>
      <c r="D5377" t="inlineStr">
        <is>
          <t>UPPSALA LÄN</t>
        </is>
      </c>
      <c r="E5377" t="inlineStr">
        <is>
          <t>UPPSALA</t>
        </is>
      </c>
      <c r="F5377" t="inlineStr">
        <is>
          <t>Holmen skog AB</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18359-2024</t>
        </is>
      </c>
      <c r="B5378" s="1" t="n">
        <v>45422</v>
      </c>
      <c r="C5378" s="1" t="n">
        <v>45706</v>
      </c>
      <c r="D5378" t="inlineStr">
        <is>
          <t>UPPSALA LÄN</t>
        </is>
      </c>
      <c r="E5378" t="inlineStr">
        <is>
          <t>HEBY</t>
        </is>
      </c>
      <c r="F5378" t="inlineStr">
        <is>
          <t>Bergvik skog väst AB</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18335-2024</t>
        </is>
      </c>
      <c r="B5379" s="1" t="n">
        <v>45422</v>
      </c>
      <c r="C5379" s="1" t="n">
        <v>45706</v>
      </c>
      <c r="D5379" t="inlineStr">
        <is>
          <t>UPPSALA LÄN</t>
        </is>
      </c>
      <c r="E5379" t="inlineStr">
        <is>
          <t>HEBY</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18278-2024</t>
        </is>
      </c>
      <c r="B5380" s="1" t="n">
        <v>45422</v>
      </c>
      <c r="C5380" s="1" t="n">
        <v>45706</v>
      </c>
      <c r="D5380" t="inlineStr">
        <is>
          <t>UPPSALA LÄN</t>
        </is>
      </c>
      <c r="E5380" t="inlineStr">
        <is>
          <t>HEBY</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18369-2024</t>
        </is>
      </c>
      <c r="B5381" s="1" t="n">
        <v>45422</v>
      </c>
      <c r="C5381" s="1" t="n">
        <v>45706</v>
      </c>
      <c r="D5381" t="inlineStr">
        <is>
          <t>UPPSALA LÄN</t>
        </is>
      </c>
      <c r="E5381" t="inlineStr">
        <is>
          <t>HEBY</t>
        </is>
      </c>
      <c r="F5381" t="inlineStr">
        <is>
          <t>Bergvik skog väst AB</t>
        </is>
      </c>
      <c r="G5381" t="n">
        <v>28.9</v>
      </c>
      <c r="H5381" t="n">
        <v>0</v>
      </c>
      <c r="I5381" t="n">
        <v>0</v>
      </c>
      <c r="J5381" t="n">
        <v>0</v>
      </c>
      <c r="K5381" t="n">
        <v>0</v>
      </c>
      <c r="L5381" t="n">
        <v>0</v>
      </c>
      <c r="M5381" t="n">
        <v>0</v>
      </c>
      <c r="N5381" t="n">
        <v>0</v>
      </c>
      <c r="O5381" t="n">
        <v>0</v>
      </c>
      <c r="P5381" t="n">
        <v>0</v>
      </c>
      <c r="Q5381" t="n">
        <v>0</v>
      </c>
      <c r="R5381" s="2" t="inlineStr"/>
    </row>
    <row r="5382" ht="15" customHeight="1">
      <c r="A5382" t="inlineStr">
        <is>
          <t>A 18394-2024</t>
        </is>
      </c>
      <c r="B5382" s="1" t="n">
        <v>45424</v>
      </c>
      <c r="C5382" s="1" t="n">
        <v>45706</v>
      </c>
      <c r="D5382" t="inlineStr">
        <is>
          <t>UPPSALA LÄN</t>
        </is>
      </c>
      <c r="E5382" t="inlineStr">
        <is>
          <t>TIERP</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18607-2024</t>
        </is>
      </c>
      <c r="B5383" s="1" t="n">
        <v>45426</v>
      </c>
      <c r="C5383" s="1" t="n">
        <v>45706</v>
      </c>
      <c r="D5383" t="inlineStr">
        <is>
          <t>UPPSALA LÄN</t>
        </is>
      </c>
      <c r="E5383" t="inlineStr">
        <is>
          <t>UPPSALA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18490-2024</t>
        </is>
      </c>
      <c r="B5384" s="1" t="n">
        <v>45425</v>
      </c>
      <c r="C5384" s="1" t="n">
        <v>45706</v>
      </c>
      <c r="D5384" t="inlineStr">
        <is>
          <t>UPPSALA LÄN</t>
        </is>
      </c>
      <c r="E5384" t="inlineStr">
        <is>
          <t>HEBY</t>
        </is>
      </c>
      <c r="F5384" t="inlineStr">
        <is>
          <t>Kommuner</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18677-2024</t>
        </is>
      </c>
      <c r="B5385" s="1" t="n">
        <v>45426</v>
      </c>
      <c r="C5385" s="1" t="n">
        <v>45706</v>
      </c>
      <c r="D5385" t="inlineStr">
        <is>
          <t>UPPSALA LÄN</t>
        </is>
      </c>
      <c r="E5385" t="inlineStr">
        <is>
          <t>UPPSALA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18667-2024</t>
        </is>
      </c>
      <c r="B5386" s="1" t="n">
        <v>45426</v>
      </c>
      <c r="C5386" s="1" t="n">
        <v>45706</v>
      </c>
      <c r="D5386" t="inlineStr">
        <is>
          <t>UPPSALA LÄN</t>
        </is>
      </c>
      <c r="E5386" t="inlineStr">
        <is>
          <t>UPPSALA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18693-2024</t>
        </is>
      </c>
      <c r="B5387" s="1" t="n">
        <v>45426</v>
      </c>
      <c r="C5387" s="1" t="n">
        <v>45706</v>
      </c>
      <c r="D5387" t="inlineStr">
        <is>
          <t>UPPSALA LÄN</t>
        </is>
      </c>
      <c r="E5387" t="inlineStr">
        <is>
          <t>ÖSTHAMMAR</t>
        </is>
      </c>
      <c r="F5387" t="inlineStr">
        <is>
          <t>Bergvik skog öst AB</t>
        </is>
      </c>
      <c r="G5387" t="n">
        <v>10.5</v>
      </c>
      <c r="H5387" t="n">
        <v>0</v>
      </c>
      <c r="I5387" t="n">
        <v>0</v>
      </c>
      <c r="J5387" t="n">
        <v>0</v>
      </c>
      <c r="K5387" t="n">
        <v>0</v>
      </c>
      <c r="L5387" t="n">
        <v>0</v>
      </c>
      <c r="M5387" t="n">
        <v>0</v>
      </c>
      <c r="N5387" t="n">
        <v>0</v>
      </c>
      <c r="O5387" t="n">
        <v>0</v>
      </c>
      <c r="P5387" t="n">
        <v>0</v>
      </c>
      <c r="Q5387" t="n">
        <v>0</v>
      </c>
      <c r="R5387" s="2" t="inlineStr"/>
    </row>
    <row r="5388" ht="15" customHeight="1">
      <c r="A5388" t="inlineStr">
        <is>
          <t>A 18691-2024</t>
        </is>
      </c>
      <c r="B5388" s="1" t="n">
        <v>45426</v>
      </c>
      <c r="C5388" s="1" t="n">
        <v>45706</v>
      </c>
      <c r="D5388" t="inlineStr">
        <is>
          <t>UPPSALA LÄN</t>
        </is>
      </c>
      <c r="E5388" t="inlineStr">
        <is>
          <t>ÖSTHAMMAR</t>
        </is>
      </c>
      <c r="F5388" t="inlineStr">
        <is>
          <t>Bergvik skog öst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18670-2024</t>
        </is>
      </c>
      <c r="B5389" s="1" t="n">
        <v>45426</v>
      </c>
      <c r="C5389" s="1" t="n">
        <v>45706</v>
      </c>
      <c r="D5389" t="inlineStr">
        <is>
          <t>UPPSALA LÄN</t>
        </is>
      </c>
      <c r="E5389" t="inlineStr">
        <is>
          <t>UPPSALA</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18675-2024</t>
        </is>
      </c>
      <c r="B5390" s="1" t="n">
        <v>45426</v>
      </c>
      <c r="C5390" s="1" t="n">
        <v>45706</v>
      </c>
      <c r="D5390" t="inlineStr">
        <is>
          <t>UPPSALA LÄN</t>
        </is>
      </c>
      <c r="E5390" t="inlineStr">
        <is>
          <t>UPPSALA</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18849-2024</t>
        </is>
      </c>
      <c r="B5391" s="1" t="n">
        <v>45426</v>
      </c>
      <c r="C5391" s="1" t="n">
        <v>45706</v>
      </c>
      <c r="D5391" t="inlineStr">
        <is>
          <t>UPPSALA LÄN</t>
        </is>
      </c>
      <c r="E5391" t="inlineStr">
        <is>
          <t>HEBY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18808-2024</t>
        </is>
      </c>
      <c r="B5392" s="1" t="n">
        <v>45426</v>
      </c>
      <c r="C5392" s="1" t="n">
        <v>45706</v>
      </c>
      <c r="D5392" t="inlineStr">
        <is>
          <t>UPPSALA LÄN</t>
        </is>
      </c>
      <c r="E5392" t="inlineStr">
        <is>
          <t>UPPSALA</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18668-2024</t>
        </is>
      </c>
      <c r="B5393" s="1" t="n">
        <v>45426</v>
      </c>
      <c r="C5393" s="1" t="n">
        <v>45706</v>
      </c>
      <c r="D5393" t="inlineStr">
        <is>
          <t>UPPSALA LÄN</t>
        </is>
      </c>
      <c r="E5393" t="inlineStr">
        <is>
          <t>UPPSALA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18705-2024</t>
        </is>
      </c>
      <c r="B5394" s="1" t="n">
        <v>45426</v>
      </c>
      <c r="C5394" s="1" t="n">
        <v>45706</v>
      </c>
      <c r="D5394" t="inlineStr">
        <is>
          <t>UPPSALA LÄN</t>
        </is>
      </c>
      <c r="E5394" t="inlineStr">
        <is>
          <t>ÖSTHAMMAR</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18929-2024</t>
        </is>
      </c>
      <c r="B5395" s="1" t="n">
        <v>45427</v>
      </c>
      <c r="C5395" s="1" t="n">
        <v>45706</v>
      </c>
      <c r="D5395" t="inlineStr">
        <is>
          <t>UPPSALA LÄN</t>
        </is>
      </c>
      <c r="E5395" t="inlineStr">
        <is>
          <t>TIERP</t>
        </is>
      </c>
      <c r="F5395" t="inlineStr">
        <is>
          <t>Bergvik skog öst AB</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19056-2024</t>
        </is>
      </c>
      <c r="B5396" s="1" t="n">
        <v>45427</v>
      </c>
      <c r="C5396" s="1" t="n">
        <v>45706</v>
      </c>
      <c r="D5396" t="inlineStr">
        <is>
          <t>UPPSALA LÄN</t>
        </is>
      </c>
      <c r="E5396" t="inlineStr">
        <is>
          <t>ÖSTHAMMAR</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18956-2024</t>
        </is>
      </c>
      <c r="B5397" s="1" t="n">
        <v>45427</v>
      </c>
      <c r="C5397" s="1" t="n">
        <v>45706</v>
      </c>
      <c r="D5397" t="inlineStr">
        <is>
          <t>UPPSALA LÄN</t>
        </is>
      </c>
      <c r="E5397" t="inlineStr">
        <is>
          <t>ÖSTHAMMAR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19164-2024</t>
        </is>
      </c>
      <c r="B5398" s="1" t="n">
        <v>45428</v>
      </c>
      <c r="C5398" s="1" t="n">
        <v>45706</v>
      </c>
      <c r="D5398" t="inlineStr">
        <is>
          <t>UPPSALA LÄN</t>
        </is>
      </c>
      <c r="E5398" t="inlineStr">
        <is>
          <t>UPPSALA</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19126-2024</t>
        </is>
      </c>
      <c r="B5399" s="1" t="n">
        <v>45428</v>
      </c>
      <c r="C5399" s="1" t="n">
        <v>45706</v>
      </c>
      <c r="D5399" t="inlineStr">
        <is>
          <t>UPPSALA LÄN</t>
        </is>
      </c>
      <c r="E5399" t="inlineStr">
        <is>
          <t>UPPSALA</t>
        </is>
      </c>
      <c r="F5399" t="inlineStr">
        <is>
          <t>Allmännings- och besparingsskogar</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19147-2024</t>
        </is>
      </c>
      <c r="B5400" s="1" t="n">
        <v>45428</v>
      </c>
      <c r="C5400" s="1" t="n">
        <v>45706</v>
      </c>
      <c r="D5400" t="inlineStr">
        <is>
          <t>UPPSALA LÄN</t>
        </is>
      </c>
      <c r="E5400" t="inlineStr">
        <is>
          <t>ENKÖPING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19151-2024</t>
        </is>
      </c>
      <c r="B5401" s="1" t="n">
        <v>45428</v>
      </c>
      <c r="C5401" s="1" t="n">
        <v>45706</v>
      </c>
      <c r="D5401" t="inlineStr">
        <is>
          <t>UPPSALA LÄN</t>
        </is>
      </c>
      <c r="E5401" t="inlineStr">
        <is>
          <t>HEBY</t>
        </is>
      </c>
      <c r="G5401" t="n">
        <v>15.1</v>
      </c>
      <c r="H5401" t="n">
        <v>0</v>
      </c>
      <c r="I5401" t="n">
        <v>0</v>
      </c>
      <c r="J5401" t="n">
        <v>0</v>
      </c>
      <c r="K5401" t="n">
        <v>0</v>
      </c>
      <c r="L5401" t="n">
        <v>0</v>
      </c>
      <c r="M5401" t="n">
        <v>0</v>
      </c>
      <c r="N5401" t="n">
        <v>0</v>
      </c>
      <c r="O5401" t="n">
        <v>0</v>
      </c>
      <c r="P5401" t="n">
        <v>0</v>
      </c>
      <c r="Q5401" t="n">
        <v>0</v>
      </c>
      <c r="R5401" s="2" t="inlineStr"/>
    </row>
    <row r="5402" ht="15" customHeight="1">
      <c r="A5402" t="inlineStr">
        <is>
          <t>A 19304-2024</t>
        </is>
      </c>
      <c r="B5402" s="1" t="n">
        <v>45428</v>
      </c>
      <c r="C5402" s="1" t="n">
        <v>45706</v>
      </c>
      <c r="D5402" t="inlineStr">
        <is>
          <t>UPPSALA LÄN</t>
        </is>
      </c>
      <c r="E5402" t="inlineStr">
        <is>
          <t>ÄLVKARLEBY</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19303-2024</t>
        </is>
      </c>
      <c r="B5403" s="1" t="n">
        <v>45428</v>
      </c>
      <c r="C5403" s="1" t="n">
        <v>45706</v>
      </c>
      <c r="D5403" t="inlineStr">
        <is>
          <t>UPPSALA LÄN</t>
        </is>
      </c>
      <c r="E5403" t="inlineStr">
        <is>
          <t>ÄLVKARLEBY</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19298-2024</t>
        </is>
      </c>
      <c r="B5404" s="1" t="n">
        <v>45428</v>
      </c>
      <c r="C5404" s="1" t="n">
        <v>45706</v>
      </c>
      <c r="D5404" t="inlineStr">
        <is>
          <t>UPPSALA LÄN</t>
        </is>
      </c>
      <c r="E5404" t="inlineStr">
        <is>
          <t>ÄLVKARLEBY</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19378-2024</t>
        </is>
      </c>
      <c r="B5405" s="1" t="n">
        <v>45429</v>
      </c>
      <c r="C5405" s="1" t="n">
        <v>45706</v>
      </c>
      <c r="D5405" t="inlineStr">
        <is>
          <t>UPPSALA LÄN</t>
        </is>
      </c>
      <c r="E5405" t="inlineStr">
        <is>
          <t>ENKÖPING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19375-2024</t>
        </is>
      </c>
      <c r="B5406" s="1" t="n">
        <v>45429</v>
      </c>
      <c r="C5406" s="1" t="n">
        <v>45706</v>
      </c>
      <c r="D5406" t="inlineStr">
        <is>
          <t>UPPSALA LÄN</t>
        </is>
      </c>
      <c r="E5406" t="inlineStr">
        <is>
          <t>ÖSTHAMMAR</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19485-2024</t>
        </is>
      </c>
      <c r="B5407" s="1" t="n">
        <v>45429</v>
      </c>
      <c r="C5407" s="1" t="n">
        <v>45706</v>
      </c>
      <c r="D5407" t="inlineStr">
        <is>
          <t>UPPSALA LÄN</t>
        </is>
      </c>
      <c r="E5407" t="inlineStr">
        <is>
          <t>HEBY</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19376-2024</t>
        </is>
      </c>
      <c r="B5408" s="1" t="n">
        <v>45429</v>
      </c>
      <c r="C5408" s="1" t="n">
        <v>45706</v>
      </c>
      <c r="D5408" t="inlineStr">
        <is>
          <t>UPPSALA LÄN</t>
        </is>
      </c>
      <c r="E5408" t="inlineStr">
        <is>
          <t>ENKÖPING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19414-2024</t>
        </is>
      </c>
      <c r="B5409" s="1" t="n">
        <v>45429</v>
      </c>
      <c r="C5409" s="1" t="n">
        <v>45706</v>
      </c>
      <c r="D5409" t="inlineStr">
        <is>
          <t>UPPSALA LÄN</t>
        </is>
      </c>
      <c r="E5409" t="inlineStr">
        <is>
          <t>UPPSALA</t>
        </is>
      </c>
      <c r="F5409" t="inlineStr">
        <is>
          <t>Kyrkan</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19539-2024</t>
        </is>
      </c>
      <c r="B5410" s="1" t="n">
        <v>45429</v>
      </c>
      <c r="C5410" s="1" t="n">
        <v>45706</v>
      </c>
      <c r="D5410" t="inlineStr">
        <is>
          <t>UPPSALA LÄN</t>
        </is>
      </c>
      <c r="E5410" t="inlineStr">
        <is>
          <t>UPPSALA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19662-2024</t>
        </is>
      </c>
      <c r="B5411" s="1" t="n">
        <v>45432</v>
      </c>
      <c r="C5411" s="1" t="n">
        <v>45706</v>
      </c>
      <c r="D5411" t="inlineStr">
        <is>
          <t>UPPSALA LÄN</t>
        </is>
      </c>
      <c r="E5411" t="inlineStr">
        <is>
          <t>ÖSTHAMMAR</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19667-2024</t>
        </is>
      </c>
      <c r="B5412" s="1" t="n">
        <v>45432</v>
      </c>
      <c r="C5412" s="1" t="n">
        <v>45706</v>
      </c>
      <c r="D5412" t="inlineStr">
        <is>
          <t>UPPSALA LÄN</t>
        </is>
      </c>
      <c r="E5412" t="inlineStr">
        <is>
          <t>ÖSTHAMMAR</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19758-2024</t>
        </is>
      </c>
      <c r="B5413" s="1" t="n">
        <v>45432</v>
      </c>
      <c r="C5413" s="1" t="n">
        <v>45706</v>
      </c>
      <c r="D5413" t="inlineStr">
        <is>
          <t>UPPSALA LÄN</t>
        </is>
      </c>
      <c r="E5413" t="inlineStr">
        <is>
          <t>TIERP</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19766-2024</t>
        </is>
      </c>
      <c r="B5414" s="1" t="n">
        <v>45432</v>
      </c>
      <c r="C5414" s="1" t="n">
        <v>45706</v>
      </c>
      <c r="D5414" t="inlineStr">
        <is>
          <t>UPPSALA LÄN</t>
        </is>
      </c>
      <c r="E5414" t="inlineStr">
        <is>
          <t>TIERP</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19908-2024</t>
        </is>
      </c>
      <c r="B5415" s="1" t="n">
        <v>45433</v>
      </c>
      <c r="C5415" s="1" t="n">
        <v>45706</v>
      </c>
      <c r="D5415" t="inlineStr">
        <is>
          <t>UPPSALA LÄN</t>
        </is>
      </c>
      <c r="E5415" t="inlineStr">
        <is>
          <t>ÖSTHAMMAR</t>
        </is>
      </c>
      <c r="F5415" t="inlineStr">
        <is>
          <t>Bergvik skog öst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19950-2024</t>
        </is>
      </c>
      <c r="B5416" s="1" t="n">
        <v>45433</v>
      </c>
      <c r="C5416" s="1" t="n">
        <v>45706</v>
      </c>
      <c r="D5416" t="inlineStr">
        <is>
          <t>UPPSALA LÄN</t>
        </is>
      </c>
      <c r="E5416" t="inlineStr">
        <is>
          <t>ÖSTHAMMAR</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19947-2024</t>
        </is>
      </c>
      <c r="B5417" s="1" t="n">
        <v>45433</v>
      </c>
      <c r="C5417" s="1" t="n">
        <v>45706</v>
      </c>
      <c r="D5417" t="inlineStr">
        <is>
          <t>UPPSALA LÄN</t>
        </is>
      </c>
      <c r="E5417" t="inlineStr">
        <is>
          <t>ÖSTHAMMAR</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19945-2024</t>
        </is>
      </c>
      <c r="B5418" s="1" t="n">
        <v>45433</v>
      </c>
      <c r="C5418" s="1" t="n">
        <v>45706</v>
      </c>
      <c r="D5418" t="inlineStr">
        <is>
          <t>UPPSALA LÄN</t>
        </is>
      </c>
      <c r="E5418" t="inlineStr">
        <is>
          <t>ÖSTHAMMAR</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20112-2024</t>
        </is>
      </c>
      <c r="B5419" s="1" t="n">
        <v>45434</v>
      </c>
      <c r="C5419" s="1" t="n">
        <v>45706</v>
      </c>
      <c r="D5419" t="inlineStr">
        <is>
          <t>UPPSALA LÄN</t>
        </is>
      </c>
      <c r="E5419" t="inlineStr">
        <is>
          <t>ENKÖPING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20105-2024</t>
        </is>
      </c>
      <c r="B5420" s="1" t="n">
        <v>45434</v>
      </c>
      <c r="C5420" s="1" t="n">
        <v>45706</v>
      </c>
      <c r="D5420" t="inlineStr">
        <is>
          <t>UPPSALA LÄN</t>
        </is>
      </c>
      <c r="E5420" t="inlineStr">
        <is>
          <t>ENKÖPING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20316-2024</t>
        </is>
      </c>
      <c r="B5421" s="1" t="n">
        <v>45435</v>
      </c>
      <c r="C5421" s="1" t="n">
        <v>45706</v>
      </c>
      <c r="D5421" t="inlineStr">
        <is>
          <t>UPPSALA LÄN</t>
        </is>
      </c>
      <c r="E5421" t="inlineStr">
        <is>
          <t>ÖSTHAMMAR</t>
        </is>
      </c>
      <c r="F5421" t="inlineStr">
        <is>
          <t>Bergvik skog öst AB</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20466-2024</t>
        </is>
      </c>
      <c r="B5422" s="1" t="n">
        <v>45435</v>
      </c>
      <c r="C5422" s="1" t="n">
        <v>45706</v>
      </c>
      <c r="D5422" t="inlineStr">
        <is>
          <t>UPPSALA LÄN</t>
        </is>
      </c>
      <c r="E5422" t="inlineStr">
        <is>
          <t>UPPSALA</t>
        </is>
      </c>
      <c r="F5422" t="inlineStr">
        <is>
          <t>Holmen skog AB</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20297-2024</t>
        </is>
      </c>
      <c r="B5423" s="1" t="n">
        <v>45435</v>
      </c>
      <c r="C5423" s="1" t="n">
        <v>45706</v>
      </c>
      <c r="D5423" t="inlineStr">
        <is>
          <t>UPPSALA LÄN</t>
        </is>
      </c>
      <c r="E5423" t="inlineStr">
        <is>
          <t>UPPSALA</t>
        </is>
      </c>
      <c r="F5423" t="inlineStr">
        <is>
          <t>Kyrkan</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20301-2024</t>
        </is>
      </c>
      <c r="B5424" s="1" t="n">
        <v>45435</v>
      </c>
      <c r="C5424" s="1" t="n">
        <v>45706</v>
      </c>
      <c r="D5424" t="inlineStr">
        <is>
          <t>UPPSALA LÄN</t>
        </is>
      </c>
      <c r="E5424" t="inlineStr">
        <is>
          <t>UPPSALA</t>
        </is>
      </c>
      <c r="F5424" t="inlineStr">
        <is>
          <t>Kyrkan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20375-2024</t>
        </is>
      </c>
      <c r="B5425" s="1" t="n">
        <v>45435</v>
      </c>
      <c r="C5425" s="1" t="n">
        <v>45706</v>
      </c>
      <c r="D5425" t="inlineStr">
        <is>
          <t>UPPSALA LÄN</t>
        </is>
      </c>
      <c r="E5425" t="inlineStr">
        <is>
          <t>UPPSALA</t>
        </is>
      </c>
      <c r="F5425" t="inlineStr">
        <is>
          <t>Holmen skog AB</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20326-2024</t>
        </is>
      </c>
      <c r="B5426" s="1" t="n">
        <v>45435</v>
      </c>
      <c r="C5426" s="1" t="n">
        <v>45706</v>
      </c>
      <c r="D5426" t="inlineStr">
        <is>
          <t>UPPSALA LÄN</t>
        </is>
      </c>
      <c r="E5426" t="inlineStr">
        <is>
          <t>TIERP</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20419-2024</t>
        </is>
      </c>
      <c r="B5427" s="1" t="n">
        <v>45435</v>
      </c>
      <c r="C5427" s="1" t="n">
        <v>45706</v>
      </c>
      <c r="D5427" t="inlineStr">
        <is>
          <t>UPPSALA LÄN</t>
        </is>
      </c>
      <c r="E5427" t="inlineStr">
        <is>
          <t>ÖSTHAMMAR</t>
        </is>
      </c>
      <c r="F5427" t="inlineStr">
        <is>
          <t>Bergvik skog öst AB</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20459-2024</t>
        </is>
      </c>
      <c r="B5428" s="1" t="n">
        <v>45435</v>
      </c>
      <c r="C5428" s="1" t="n">
        <v>45706</v>
      </c>
      <c r="D5428" t="inlineStr">
        <is>
          <t>UPPSALA LÄN</t>
        </is>
      </c>
      <c r="E5428" t="inlineStr">
        <is>
          <t>UPPSALA</t>
        </is>
      </c>
      <c r="F5428" t="inlineStr">
        <is>
          <t>Kyrkan</t>
        </is>
      </c>
      <c r="G5428" t="n">
        <v>15.8</v>
      </c>
      <c r="H5428" t="n">
        <v>0</v>
      </c>
      <c r="I5428" t="n">
        <v>0</v>
      </c>
      <c r="J5428" t="n">
        <v>0</v>
      </c>
      <c r="K5428" t="n">
        <v>0</v>
      </c>
      <c r="L5428" t="n">
        <v>0</v>
      </c>
      <c r="M5428" t="n">
        <v>0</v>
      </c>
      <c r="N5428" t="n">
        <v>0</v>
      </c>
      <c r="O5428" t="n">
        <v>0</v>
      </c>
      <c r="P5428" t="n">
        <v>0</v>
      </c>
      <c r="Q5428" t="n">
        <v>0</v>
      </c>
      <c r="R5428" s="2" t="inlineStr"/>
    </row>
    <row r="5429" ht="15" customHeight="1">
      <c r="A5429" t="inlineStr">
        <is>
          <t>A 20458-2024</t>
        </is>
      </c>
      <c r="B5429" s="1" t="n">
        <v>45435</v>
      </c>
      <c r="C5429" s="1" t="n">
        <v>45706</v>
      </c>
      <c r="D5429" t="inlineStr">
        <is>
          <t>UPPSALA LÄN</t>
        </is>
      </c>
      <c r="E5429" t="inlineStr">
        <is>
          <t>UPPSALA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20658-2024</t>
        </is>
      </c>
      <c r="B5430" s="1" t="n">
        <v>45436</v>
      </c>
      <c r="C5430" s="1" t="n">
        <v>45706</v>
      </c>
      <c r="D5430" t="inlineStr">
        <is>
          <t>UPPSALA LÄN</t>
        </is>
      </c>
      <c r="E5430" t="inlineStr">
        <is>
          <t>TIERP</t>
        </is>
      </c>
      <c r="F5430" t="inlineStr">
        <is>
          <t>Bergvik skog väst AB</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20634-2024</t>
        </is>
      </c>
      <c r="B5431" s="1" t="n">
        <v>45436</v>
      </c>
      <c r="C5431" s="1" t="n">
        <v>45706</v>
      </c>
      <c r="D5431" t="inlineStr">
        <is>
          <t>UPPSALA LÄN</t>
        </is>
      </c>
      <c r="E5431" t="inlineStr">
        <is>
          <t>ÖSTHAMMAR</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20711-2024</t>
        </is>
      </c>
      <c r="B5432" s="1" t="n">
        <v>45436</v>
      </c>
      <c r="C5432" s="1" t="n">
        <v>45706</v>
      </c>
      <c r="D5432" t="inlineStr">
        <is>
          <t>UPPSALA LÄN</t>
        </is>
      </c>
      <c r="E5432" t="inlineStr">
        <is>
          <t>UPPSALA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20565-2024</t>
        </is>
      </c>
      <c r="B5433" s="1" t="n">
        <v>45436</v>
      </c>
      <c r="C5433" s="1" t="n">
        <v>45706</v>
      </c>
      <c r="D5433" t="inlineStr">
        <is>
          <t>UPPSALA LÄN</t>
        </is>
      </c>
      <c r="E5433" t="inlineStr">
        <is>
          <t>TIERP</t>
        </is>
      </c>
      <c r="F5433" t="inlineStr">
        <is>
          <t>Bergvik skog väst AB</t>
        </is>
      </c>
      <c r="G5433" t="n">
        <v>15.6</v>
      </c>
      <c r="H5433" t="n">
        <v>0</v>
      </c>
      <c r="I5433" t="n">
        <v>0</v>
      </c>
      <c r="J5433" t="n">
        <v>0</v>
      </c>
      <c r="K5433" t="n">
        <v>0</v>
      </c>
      <c r="L5433" t="n">
        <v>0</v>
      </c>
      <c r="M5433" t="n">
        <v>0</v>
      </c>
      <c r="N5433" t="n">
        <v>0</v>
      </c>
      <c r="O5433" t="n">
        <v>0</v>
      </c>
      <c r="P5433" t="n">
        <v>0</v>
      </c>
      <c r="Q5433" t="n">
        <v>0</v>
      </c>
      <c r="R5433" s="2" t="inlineStr"/>
    </row>
    <row r="5434" ht="15" customHeight="1">
      <c r="A5434" t="inlineStr">
        <is>
          <t>A 20536-2024</t>
        </is>
      </c>
      <c r="B5434" s="1" t="n">
        <v>45436</v>
      </c>
      <c r="C5434" s="1" t="n">
        <v>45706</v>
      </c>
      <c r="D5434" t="inlineStr">
        <is>
          <t>UPPSALA LÄN</t>
        </is>
      </c>
      <c r="E5434" t="inlineStr">
        <is>
          <t>KNIVSTA</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20851-2024</t>
        </is>
      </c>
      <c r="B5435" s="1" t="n">
        <v>45439</v>
      </c>
      <c r="C5435" s="1" t="n">
        <v>45706</v>
      </c>
      <c r="D5435" t="inlineStr">
        <is>
          <t>UPPSALA LÄN</t>
        </is>
      </c>
      <c r="E5435" t="inlineStr">
        <is>
          <t>UPPSALA</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20887-2024</t>
        </is>
      </c>
      <c r="B5436" s="1" t="n">
        <v>45439</v>
      </c>
      <c r="C5436" s="1" t="n">
        <v>45706</v>
      </c>
      <c r="D5436" t="inlineStr">
        <is>
          <t>UPPSALA LÄN</t>
        </is>
      </c>
      <c r="E5436" t="inlineStr">
        <is>
          <t>HEBY</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20902-2024</t>
        </is>
      </c>
      <c r="B5437" s="1" t="n">
        <v>45439</v>
      </c>
      <c r="C5437" s="1" t="n">
        <v>45706</v>
      </c>
      <c r="D5437" t="inlineStr">
        <is>
          <t>UPPSALA LÄN</t>
        </is>
      </c>
      <c r="E5437" t="inlineStr">
        <is>
          <t>KNIVSTA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20935-2024</t>
        </is>
      </c>
      <c r="B5438" s="1" t="n">
        <v>45439</v>
      </c>
      <c r="C5438" s="1" t="n">
        <v>45706</v>
      </c>
      <c r="D5438" t="inlineStr">
        <is>
          <t>UPPSALA LÄN</t>
        </is>
      </c>
      <c r="E5438" t="inlineStr">
        <is>
          <t>HEBY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20864-2024</t>
        </is>
      </c>
      <c r="B5439" s="1" t="n">
        <v>45439</v>
      </c>
      <c r="C5439" s="1" t="n">
        <v>45706</v>
      </c>
      <c r="D5439" t="inlineStr">
        <is>
          <t>UPPSALA LÄN</t>
        </is>
      </c>
      <c r="E5439" t="inlineStr">
        <is>
          <t>HEBY</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20860-2024</t>
        </is>
      </c>
      <c r="B5440" s="1" t="n">
        <v>45439</v>
      </c>
      <c r="C5440" s="1" t="n">
        <v>45706</v>
      </c>
      <c r="D5440" t="inlineStr">
        <is>
          <t>UPPSALA LÄN</t>
        </is>
      </c>
      <c r="E5440" t="inlineStr">
        <is>
          <t>TIERP</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21015-2024</t>
        </is>
      </c>
      <c r="B5441" s="1" t="n">
        <v>45439</v>
      </c>
      <c r="C5441" s="1" t="n">
        <v>45706</v>
      </c>
      <c r="D5441" t="inlineStr">
        <is>
          <t>UPPSALA LÄN</t>
        </is>
      </c>
      <c r="E5441" t="inlineStr">
        <is>
          <t>UPPSALA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20857-2024</t>
        </is>
      </c>
      <c r="B5442" s="1" t="n">
        <v>45439</v>
      </c>
      <c r="C5442" s="1" t="n">
        <v>45706</v>
      </c>
      <c r="D5442" t="inlineStr">
        <is>
          <t>UPPSALA LÄN</t>
        </is>
      </c>
      <c r="E5442" t="inlineStr">
        <is>
          <t>TIERP</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20883-2024</t>
        </is>
      </c>
      <c r="B5443" s="1" t="n">
        <v>45439</v>
      </c>
      <c r="C5443" s="1" t="n">
        <v>45706</v>
      </c>
      <c r="D5443" t="inlineStr">
        <is>
          <t>UPPSALA LÄN</t>
        </is>
      </c>
      <c r="E5443" t="inlineStr">
        <is>
          <t>HEBY</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20903-2024</t>
        </is>
      </c>
      <c r="B5444" s="1" t="n">
        <v>45439</v>
      </c>
      <c r="C5444" s="1" t="n">
        <v>45706</v>
      </c>
      <c r="D5444" t="inlineStr">
        <is>
          <t>UPPSALA LÄN</t>
        </is>
      </c>
      <c r="E5444" t="inlineStr">
        <is>
          <t>UPPSALA</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20898-2024</t>
        </is>
      </c>
      <c r="B5445" s="1" t="n">
        <v>45439</v>
      </c>
      <c r="C5445" s="1" t="n">
        <v>45706</v>
      </c>
      <c r="D5445" t="inlineStr">
        <is>
          <t>UPPSALA LÄN</t>
        </is>
      </c>
      <c r="E5445" t="inlineStr">
        <is>
          <t>HEBY</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20894-2024</t>
        </is>
      </c>
      <c r="B5446" s="1" t="n">
        <v>45439</v>
      </c>
      <c r="C5446" s="1" t="n">
        <v>45706</v>
      </c>
      <c r="D5446" t="inlineStr">
        <is>
          <t>UPPSALA LÄN</t>
        </is>
      </c>
      <c r="E5446" t="inlineStr">
        <is>
          <t>HEBY</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20866-2024</t>
        </is>
      </c>
      <c r="B5447" s="1" t="n">
        <v>45439</v>
      </c>
      <c r="C5447" s="1" t="n">
        <v>45706</v>
      </c>
      <c r="D5447" t="inlineStr">
        <is>
          <t>UPPSALA LÄN</t>
        </is>
      </c>
      <c r="E5447" t="inlineStr">
        <is>
          <t>HEBY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20854-2024</t>
        </is>
      </c>
      <c r="B5448" s="1" t="n">
        <v>45439</v>
      </c>
      <c r="C5448" s="1" t="n">
        <v>45706</v>
      </c>
      <c r="D5448" t="inlineStr">
        <is>
          <t>UPPSALA LÄN</t>
        </is>
      </c>
      <c r="E5448" t="inlineStr">
        <is>
          <t>TIERP</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20850-2024</t>
        </is>
      </c>
      <c r="B5449" s="1" t="n">
        <v>45439</v>
      </c>
      <c r="C5449" s="1" t="n">
        <v>45706</v>
      </c>
      <c r="D5449" t="inlineStr">
        <is>
          <t>UPPSALA LÄN</t>
        </is>
      </c>
      <c r="E5449" t="inlineStr">
        <is>
          <t>TIERP</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20846-2024</t>
        </is>
      </c>
      <c r="B5450" s="1" t="n">
        <v>45439</v>
      </c>
      <c r="C5450" s="1" t="n">
        <v>45706</v>
      </c>
      <c r="D5450" t="inlineStr">
        <is>
          <t>UPPSALA LÄN</t>
        </is>
      </c>
      <c r="E5450" t="inlineStr">
        <is>
          <t>TIERP</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21182-2024</t>
        </is>
      </c>
      <c r="B5451" s="1" t="n">
        <v>45440</v>
      </c>
      <c r="C5451" s="1" t="n">
        <v>45706</v>
      </c>
      <c r="D5451" t="inlineStr">
        <is>
          <t>UPPSALA LÄN</t>
        </is>
      </c>
      <c r="E5451" t="inlineStr">
        <is>
          <t>UPPSALA</t>
        </is>
      </c>
      <c r="F5451" t="inlineStr">
        <is>
          <t>Holmen skog AB</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21231-2024</t>
        </is>
      </c>
      <c r="B5452" s="1" t="n">
        <v>45440</v>
      </c>
      <c r="C5452" s="1" t="n">
        <v>45706</v>
      </c>
      <c r="D5452" t="inlineStr">
        <is>
          <t>UPPSALA LÄN</t>
        </is>
      </c>
      <c r="E5452" t="inlineStr">
        <is>
          <t>ÖSTHAMMAR</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21139-2024</t>
        </is>
      </c>
      <c r="B5453" s="1" t="n">
        <v>45440</v>
      </c>
      <c r="C5453" s="1" t="n">
        <v>45706</v>
      </c>
      <c r="D5453" t="inlineStr">
        <is>
          <t>UPPSALA LÄN</t>
        </is>
      </c>
      <c r="E5453" t="inlineStr">
        <is>
          <t>TIERP</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21310-2024</t>
        </is>
      </c>
      <c r="B5454" s="1" t="n">
        <v>45440</v>
      </c>
      <c r="C5454" s="1" t="n">
        <v>45706</v>
      </c>
      <c r="D5454" t="inlineStr">
        <is>
          <t>UPPSALA LÄN</t>
        </is>
      </c>
      <c r="E5454" t="inlineStr">
        <is>
          <t>UPPSALA</t>
        </is>
      </c>
      <c r="F5454" t="inlineStr">
        <is>
          <t>Holmen skog AB</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21424-2024</t>
        </is>
      </c>
      <c r="B5455" s="1" t="n">
        <v>45441</v>
      </c>
      <c r="C5455" s="1" t="n">
        <v>45706</v>
      </c>
      <c r="D5455" t="inlineStr">
        <is>
          <t>UPPSALA LÄN</t>
        </is>
      </c>
      <c r="E5455" t="inlineStr">
        <is>
          <t>ÖSTHAMMAR</t>
        </is>
      </c>
      <c r="F5455" t="inlineStr">
        <is>
          <t>Bergvik skog öst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21526-2024</t>
        </is>
      </c>
      <c r="B5456" s="1" t="n">
        <v>45441</v>
      </c>
      <c r="C5456" s="1" t="n">
        <v>45706</v>
      </c>
      <c r="D5456" t="inlineStr">
        <is>
          <t>UPPSALA LÄN</t>
        </is>
      </c>
      <c r="E5456" t="inlineStr">
        <is>
          <t>UPPSALA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21435-2024</t>
        </is>
      </c>
      <c r="B5457" s="1" t="n">
        <v>45441</v>
      </c>
      <c r="C5457" s="1" t="n">
        <v>45706</v>
      </c>
      <c r="D5457" t="inlineStr">
        <is>
          <t>UPPSALA LÄN</t>
        </is>
      </c>
      <c r="E5457" t="inlineStr">
        <is>
          <t>ENKÖPING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21413-2024</t>
        </is>
      </c>
      <c r="B5458" s="1" t="n">
        <v>45441</v>
      </c>
      <c r="C5458" s="1" t="n">
        <v>45706</v>
      </c>
      <c r="D5458" t="inlineStr">
        <is>
          <t>UPPSALA LÄN</t>
        </is>
      </c>
      <c r="E5458" t="inlineStr">
        <is>
          <t>ÖSTHAMMAR</t>
        </is>
      </c>
      <c r="F5458" t="inlineStr">
        <is>
          <t>Bergvik skog öst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21547-2024</t>
        </is>
      </c>
      <c r="B5459" s="1" t="n">
        <v>45441</v>
      </c>
      <c r="C5459" s="1" t="n">
        <v>45706</v>
      </c>
      <c r="D5459" t="inlineStr">
        <is>
          <t>UPPSALA LÄN</t>
        </is>
      </c>
      <c r="E5459" t="inlineStr">
        <is>
          <t>ÖSTHAMMAR</t>
        </is>
      </c>
      <c r="F5459" t="inlineStr">
        <is>
          <t>Bergvik skog öst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21555-2024</t>
        </is>
      </c>
      <c r="B5460" s="1" t="n">
        <v>45441</v>
      </c>
      <c r="C5460" s="1" t="n">
        <v>45706</v>
      </c>
      <c r="D5460" t="inlineStr">
        <is>
          <t>UPPSALA LÄN</t>
        </is>
      </c>
      <c r="E5460" t="inlineStr">
        <is>
          <t>UPPSALA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21505-2024</t>
        </is>
      </c>
      <c r="B5461" s="1" t="n">
        <v>45441</v>
      </c>
      <c r="C5461" s="1" t="n">
        <v>45706</v>
      </c>
      <c r="D5461" t="inlineStr">
        <is>
          <t>UPPSALA LÄN</t>
        </is>
      </c>
      <c r="E5461" t="inlineStr">
        <is>
          <t>ÖSTHAMMAR</t>
        </is>
      </c>
      <c r="F5461" t="inlineStr">
        <is>
          <t>Bergvik skog öst AB</t>
        </is>
      </c>
      <c r="G5461" t="n">
        <v>21.7</v>
      </c>
      <c r="H5461" t="n">
        <v>0</v>
      </c>
      <c r="I5461" t="n">
        <v>0</v>
      </c>
      <c r="J5461" t="n">
        <v>0</v>
      </c>
      <c r="K5461" t="n">
        <v>0</v>
      </c>
      <c r="L5461" t="n">
        <v>0</v>
      </c>
      <c r="M5461" t="n">
        <v>0</v>
      </c>
      <c r="N5461" t="n">
        <v>0</v>
      </c>
      <c r="O5461" t="n">
        <v>0</v>
      </c>
      <c r="P5461" t="n">
        <v>0</v>
      </c>
      <c r="Q5461" t="n">
        <v>0</v>
      </c>
      <c r="R5461" s="2" t="inlineStr"/>
    </row>
    <row r="5462" ht="15" customHeight="1">
      <c r="A5462" t="inlineStr">
        <is>
          <t>A 21655-2024</t>
        </is>
      </c>
      <c r="B5462" s="1" t="n">
        <v>45442</v>
      </c>
      <c r="C5462" s="1" t="n">
        <v>45706</v>
      </c>
      <c r="D5462" t="inlineStr">
        <is>
          <t>UPPSALA LÄN</t>
        </is>
      </c>
      <c r="E5462" t="inlineStr">
        <is>
          <t>ÖSTHAMMAR</t>
        </is>
      </c>
      <c r="F5462" t="inlineStr">
        <is>
          <t>Bergvik skog öst AB</t>
        </is>
      </c>
      <c r="G5462" t="n">
        <v>15.2</v>
      </c>
      <c r="H5462" t="n">
        <v>0</v>
      </c>
      <c r="I5462" t="n">
        <v>0</v>
      </c>
      <c r="J5462" t="n">
        <v>0</v>
      </c>
      <c r="K5462" t="n">
        <v>0</v>
      </c>
      <c r="L5462" t="n">
        <v>0</v>
      </c>
      <c r="M5462" t="n">
        <v>0</v>
      </c>
      <c r="N5462" t="n">
        <v>0</v>
      </c>
      <c r="O5462" t="n">
        <v>0</v>
      </c>
      <c r="P5462" t="n">
        <v>0</v>
      </c>
      <c r="Q5462" t="n">
        <v>0</v>
      </c>
      <c r="R5462" s="2" t="inlineStr"/>
    </row>
    <row r="5463" ht="15" customHeight="1">
      <c r="A5463" t="inlineStr">
        <is>
          <t>A 21657-2024</t>
        </is>
      </c>
      <c r="B5463" s="1" t="n">
        <v>45442</v>
      </c>
      <c r="C5463" s="1" t="n">
        <v>45706</v>
      </c>
      <c r="D5463" t="inlineStr">
        <is>
          <t>UPPSALA LÄN</t>
        </is>
      </c>
      <c r="E5463" t="inlineStr">
        <is>
          <t>UPPSALA</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21786-2024</t>
        </is>
      </c>
      <c r="B5464" s="1" t="n">
        <v>45442</v>
      </c>
      <c r="C5464" s="1" t="n">
        <v>45706</v>
      </c>
      <c r="D5464" t="inlineStr">
        <is>
          <t>UPPSALA LÄN</t>
        </is>
      </c>
      <c r="E5464" t="inlineStr">
        <is>
          <t>UPPSALA</t>
        </is>
      </c>
      <c r="F5464" t="inlineStr">
        <is>
          <t>Allmännings- och besparingsskogar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21641-2024</t>
        </is>
      </c>
      <c r="B5465" s="1" t="n">
        <v>45442</v>
      </c>
      <c r="C5465" s="1" t="n">
        <v>45706</v>
      </c>
      <c r="D5465" t="inlineStr">
        <is>
          <t>UPPSALA LÄN</t>
        </is>
      </c>
      <c r="E5465" t="inlineStr">
        <is>
          <t>UPPSALA</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22057-2024</t>
        </is>
      </c>
      <c r="B5466" s="1" t="n">
        <v>45443</v>
      </c>
      <c r="C5466" s="1" t="n">
        <v>45706</v>
      </c>
      <c r="D5466" t="inlineStr">
        <is>
          <t>UPPSALA LÄN</t>
        </is>
      </c>
      <c r="E5466" t="inlineStr">
        <is>
          <t>ÖSTHAMMAR</t>
        </is>
      </c>
      <c r="F5466" t="inlineStr">
        <is>
          <t>Bergvik skog öst AB</t>
        </is>
      </c>
      <c r="G5466" t="n">
        <v>9</v>
      </c>
      <c r="H5466" t="n">
        <v>0</v>
      </c>
      <c r="I5466" t="n">
        <v>0</v>
      </c>
      <c r="J5466" t="n">
        <v>0</v>
      </c>
      <c r="K5466" t="n">
        <v>0</v>
      </c>
      <c r="L5466" t="n">
        <v>0</v>
      </c>
      <c r="M5466" t="n">
        <v>0</v>
      </c>
      <c r="N5466" t="n">
        <v>0</v>
      </c>
      <c r="O5466" t="n">
        <v>0</v>
      </c>
      <c r="P5466" t="n">
        <v>0</v>
      </c>
      <c r="Q5466" t="n">
        <v>0</v>
      </c>
      <c r="R5466" s="2" t="inlineStr"/>
    </row>
    <row r="5467" ht="15" customHeight="1">
      <c r="A5467" t="inlineStr">
        <is>
          <t>A 21859-2024</t>
        </is>
      </c>
      <c r="B5467" s="1" t="n">
        <v>45443</v>
      </c>
      <c r="C5467" s="1" t="n">
        <v>45706</v>
      </c>
      <c r="D5467" t="inlineStr">
        <is>
          <t>UPPSALA LÄN</t>
        </is>
      </c>
      <c r="E5467" t="inlineStr">
        <is>
          <t>UPPSALA</t>
        </is>
      </c>
      <c r="F5467" t="inlineStr">
        <is>
          <t>Kyrkan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21892-2024</t>
        </is>
      </c>
      <c r="B5468" s="1" t="n">
        <v>45443</v>
      </c>
      <c r="C5468" s="1" t="n">
        <v>45706</v>
      </c>
      <c r="D5468" t="inlineStr">
        <is>
          <t>UPPSALA LÄN</t>
        </is>
      </c>
      <c r="E5468" t="inlineStr">
        <is>
          <t>TIERP</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22212-2024</t>
        </is>
      </c>
      <c r="B5469" s="1" t="n">
        <v>45445</v>
      </c>
      <c r="C5469" s="1" t="n">
        <v>45706</v>
      </c>
      <c r="D5469" t="inlineStr">
        <is>
          <t>UPPSALA LÄN</t>
        </is>
      </c>
      <c r="E5469" t="inlineStr">
        <is>
          <t>HEBY</t>
        </is>
      </c>
      <c r="F5469" t="inlineStr">
        <is>
          <t>Bergvik skog väst AB</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22217-2024</t>
        </is>
      </c>
      <c r="B5470" s="1" t="n">
        <v>45446</v>
      </c>
      <c r="C5470" s="1" t="n">
        <v>45706</v>
      </c>
      <c r="D5470" t="inlineStr">
        <is>
          <t>UPPSALA LÄN</t>
        </is>
      </c>
      <c r="E5470" t="inlineStr">
        <is>
          <t>ÖSTHAMMAR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22372-2024</t>
        </is>
      </c>
      <c r="B5471" s="1" t="n">
        <v>45446</v>
      </c>
      <c r="C5471" s="1" t="n">
        <v>45706</v>
      </c>
      <c r="D5471" t="inlineStr">
        <is>
          <t>UPPSALA LÄN</t>
        </is>
      </c>
      <c r="E5471" t="inlineStr">
        <is>
          <t>ÖSTHAMMAR</t>
        </is>
      </c>
      <c r="F5471" t="inlineStr">
        <is>
          <t>Bergvik skog öst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22393-2024</t>
        </is>
      </c>
      <c r="B5472" s="1" t="n">
        <v>45446</v>
      </c>
      <c r="C5472" s="1" t="n">
        <v>45706</v>
      </c>
      <c r="D5472" t="inlineStr">
        <is>
          <t>UPPSALA LÄN</t>
        </is>
      </c>
      <c r="E5472" t="inlineStr">
        <is>
          <t>TIERP</t>
        </is>
      </c>
      <c r="F5472" t="inlineStr">
        <is>
          <t>Bergvik skog väst AB</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22373-2024</t>
        </is>
      </c>
      <c r="B5473" s="1" t="n">
        <v>45446</v>
      </c>
      <c r="C5473" s="1" t="n">
        <v>45706</v>
      </c>
      <c r="D5473" t="inlineStr">
        <is>
          <t>UPPSALA LÄN</t>
        </is>
      </c>
      <c r="E5473" t="inlineStr">
        <is>
          <t>ÖSTHAMMAR</t>
        </is>
      </c>
      <c r="F5473" t="inlineStr">
        <is>
          <t>Bergvik skog öst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22403-2024</t>
        </is>
      </c>
      <c r="B5474" s="1" t="n">
        <v>45446</v>
      </c>
      <c r="C5474" s="1" t="n">
        <v>45706</v>
      </c>
      <c r="D5474" t="inlineStr">
        <is>
          <t>UPPSALA LÄN</t>
        </is>
      </c>
      <c r="E5474" t="inlineStr">
        <is>
          <t>TIERP</t>
        </is>
      </c>
      <c r="F5474" t="inlineStr">
        <is>
          <t>Bergvik skog väst AB</t>
        </is>
      </c>
      <c r="G5474" t="n">
        <v>31.3</v>
      </c>
      <c r="H5474" t="n">
        <v>0</v>
      </c>
      <c r="I5474" t="n">
        <v>0</v>
      </c>
      <c r="J5474" t="n">
        <v>0</v>
      </c>
      <c r="K5474" t="n">
        <v>0</v>
      </c>
      <c r="L5474" t="n">
        <v>0</v>
      </c>
      <c r="M5474" t="n">
        <v>0</v>
      </c>
      <c r="N5474" t="n">
        <v>0</v>
      </c>
      <c r="O5474" t="n">
        <v>0</v>
      </c>
      <c r="P5474" t="n">
        <v>0</v>
      </c>
      <c r="Q5474" t="n">
        <v>0</v>
      </c>
      <c r="R5474" s="2" t="inlineStr"/>
    </row>
    <row r="5475" ht="15" customHeight="1">
      <c r="A5475" t="inlineStr">
        <is>
          <t>A 22431-2024</t>
        </is>
      </c>
      <c r="B5475" s="1" t="n">
        <v>45446</v>
      </c>
      <c r="C5475" s="1" t="n">
        <v>45706</v>
      </c>
      <c r="D5475" t="inlineStr">
        <is>
          <t>UPPSALA LÄN</t>
        </is>
      </c>
      <c r="E5475" t="inlineStr">
        <is>
          <t>UPPSALA</t>
        </is>
      </c>
      <c r="F5475" t="inlineStr">
        <is>
          <t>Bergvik skog öst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22320-2024</t>
        </is>
      </c>
      <c r="B5476" s="1" t="n">
        <v>45446</v>
      </c>
      <c r="C5476" s="1" t="n">
        <v>45706</v>
      </c>
      <c r="D5476" t="inlineStr">
        <is>
          <t>UPPSALA LÄN</t>
        </is>
      </c>
      <c r="E5476" t="inlineStr">
        <is>
          <t>TIERP</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22437-2024</t>
        </is>
      </c>
      <c r="B5477" s="1" t="n">
        <v>45446</v>
      </c>
      <c r="C5477" s="1" t="n">
        <v>45706</v>
      </c>
      <c r="D5477" t="inlineStr">
        <is>
          <t>UPPSALA LÄN</t>
        </is>
      </c>
      <c r="E5477" t="inlineStr">
        <is>
          <t>UPPSALA</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22433-2024</t>
        </is>
      </c>
      <c r="B5478" s="1" t="n">
        <v>45446</v>
      </c>
      <c r="C5478" s="1" t="n">
        <v>45706</v>
      </c>
      <c r="D5478" t="inlineStr">
        <is>
          <t>UPPSALA LÄN</t>
        </is>
      </c>
      <c r="E5478" t="inlineStr">
        <is>
          <t>UPPSALA</t>
        </is>
      </c>
      <c r="F5478" t="inlineStr">
        <is>
          <t>Bergvik skog öst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22359-2024</t>
        </is>
      </c>
      <c r="B5479" s="1" t="n">
        <v>45446</v>
      </c>
      <c r="C5479" s="1" t="n">
        <v>45706</v>
      </c>
      <c r="D5479" t="inlineStr">
        <is>
          <t>UPPSALA LÄN</t>
        </is>
      </c>
      <c r="E5479" t="inlineStr">
        <is>
          <t>HEBY</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22371-2024</t>
        </is>
      </c>
      <c r="B5480" s="1" t="n">
        <v>45446</v>
      </c>
      <c r="C5480" s="1" t="n">
        <v>45706</v>
      </c>
      <c r="D5480" t="inlineStr">
        <is>
          <t>UPPSALA LÄN</t>
        </is>
      </c>
      <c r="E5480" t="inlineStr">
        <is>
          <t>ÖSTHAMMAR</t>
        </is>
      </c>
      <c r="F5480" t="inlineStr">
        <is>
          <t>Bergvik skog öst AB</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22432-2024</t>
        </is>
      </c>
      <c r="B5481" s="1" t="n">
        <v>45446</v>
      </c>
      <c r="C5481" s="1" t="n">
        <v>45706</v>
      </c>
      <c r="D5481" t="inlineStr">
        <is>
          <t>UPPSALA LÄN</t>
        </is>
      </c>
      <c r="E5481" t="inlineStr">
        <is>
          <t>UPPSALA</t>
        </is>
      </c>
      <c r="F5481" t="inlineStr">
        <is>
          <t>Bergvik skog öst AB</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22636-2024</t>
        </is>
      </c>
      <c r="B5482" s="1" t="n">
        <v>45447</v>
      </c>
      <c r="C5482" s="1" t="n">
        <v>45706</v>
      </c>
      <c r="D5482" t="inlineStr">
        <is>
          <t>UPPSALA LÄN</t>
        </is>
      </c>
      <c r="E5482" t="inlineStr">
        <is>
          <t>TIERP</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22884-2024</t>
        </is>
      </c>
      <c r="B5483" s="1" t="n">
        <v>45448</v>
      </c>
      <c r="C5483" s="1" t="n">
        <v>45706</v>
      </c>
      <c r="D5483" t="inlineStr">
        <is>
          <t>UPPSALA LÄN</t>
        </is>
      </c>
      <c r="E5483" t="inlineStr">
        <is>
          <t>ÖSTHAMMAR</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22900-2024</t>
        </is>
      </c>
      <c r="B5484" s="1" t="n">
        <v>45448</v>
      </c>
      <c r="C5484" s="1" t="n">
        <v>45706</v>
      </c>
      <c r="D5484" t="inlineStr">
        <is>
          <t>UPPSALA LÄN</t>
        </is>
      </c>
      <c r="E5484" t="inlineStr">
        <is>
          <t>UPPSALA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22759-2024</t>
        </is>
      </c>
      <c r="B5485" s="1" t="n">
        <v>45448</v>
      </c>
      <c r="C5485" s="1" t="n">
        <v>45706</v>
      </c>
      <c r="D5485" t="inlineStr">
        <is>
          <t>UPPSALA LÄN</t>
        </is>
      </c>
      <c r="E5485" t="inlineStr">
        <is>
          <t>TIERP</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22725-2024</t>
        </is>
      </c>
      <c r="B5486" s="1" t="n">
        <v>45448</v>
      </c>
      <c r="C5486" s="1" t="n">
        <v>45706</v>
      </c>
      <c r="D5486" t="inlineStr">
        <is>
          <t>UPPSALA LÄN</t>
        </is>
      </c>
      <c r="E5486" t="inlineStr">
        <is>
          <t>ÖSTHAMMAR</t>
        </is>
      </c>
      <c r="F5486" t="inlineStr">
        <is>
          <t>Bergvik skog öst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22766-2024</t>
        </is>
      </c>
      <c r="B5487" s="1" t="n">
        <v>45448</v>
      </c>
      <c r="C5487" s="1" t="n">
        <v>45706</v>
      </c>
      <c r="D5487" t="inlineStr">
        <is>
          <t>UPPSALA LÄN</t>
        </is>
      </c>
      <c r="E5487" t="inlineStr">
        <is>
          <t>HEBY</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22912-2024</t>
        </is>
      </c>
      <c r="B5488" s="1" t="n">
        <v>45448</v>
      </c>
      <c r="C5488" s="1" t="n">
        <v>45706</v>
      </c>
      <c r="D5488" t="inlineStr">
        <is>
          <t>UPPSALA LÄN</t>
        </is>
      </c>
      <c r="E5488" t="inlineStr">
        <is>
          <t>ENKÖPING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22915-2024</t>
        </is>
      </c>
      <c r="B5489" s="1" t="n">
        <v>45448</v>
      </c>
      <c r="C5489" s="1" t="n">
        <v>45706</v>
      </c>
      <c r="D5489" t="inlineStr">
        <is>
          <t>UPPSALA LÄN</t>
        </is>
      </c>
      <c r="E5489" t="inlineStr">
        <is>
          <t>ÖSTHAMMAR</t>
        </is>
      </c>
      <c r="F5489" t="inlineStr">
        <is>
          <t>Bergvik skog öst AB</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22919-2024</t>
        </is>
      </c>
      <c r="B5490" s="1" t="n">
        <v>45448</v>
      </c>
      <c r="C5490" s="1" t="n">
        <v>45706</v>
      </c>
      <c r="D5490" t="inlineStr">
        <is>
          <t>UPPSALA LÄN</t>
        </is>
      </c>
      <c r="E5490" t="inlineStr">
        <is>
          <t>ÖSTHAMMAR</t>
        </is>
      </c>
      <c r="F5490" t="inlineStr">
        <is>
          <t>Bergvik skog öst AB</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23301-2024</t>
        </is>
      </c>
      <c r="B5491" s="1" t="n">
        <v>45453</v>
      </c>
      <c r="C5491" s="1" t="n">
        <v>45706</v>
      </c>
      <c r="D5491" t="inlineStr">
        <is>
          <t>UPPSALA LÄN</t>
        </is>
      </c>
      <c r="E5491" t="inlineStr">
        <is>
          <t>ENKÖPING</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23291-2024</t>
        </is>
      </c>
      <c r="B5492" s="1" t="n">
        <v>45453</v>
      </c>
      <c r="C5492" s="1" t="n">
        <v>45706</v>
      </c>
      <c r="D5492" t="inlineStr">
        <is>
          <t>UPPSALA LÄN</t>
        </is>
      </c>
      <c r="E5492" t="inlineStr">
        <is>
          <t>UPPSALA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23494-2024</t>
        </is>
      </c>
      <c r="B5493" s="1" t="n">
        <v>45453</v>
      </c>
      <c r="C5493" s="1" t="n">
        <v>45706</v>
      </c>
      <c r="D5493" t="inlineStr">
        <is>
          <t>UPPSALA LÄN</t>
        </is>
      </c>
      <c r="E5493" t="inlineStr">
        <is>
          <t>UPPSALA</t>
        </is>
      </c>
      <c r="F5493" t="inlineStr">
        <is>
          <t>Kyrkan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23410-2024</t>
        </is>
      </c>
      <c r="B5494" s="1" t="n">
        <v>45453</v>
      </c>
      <c r="C5494" s="1" t="n">
        <v>45706</v>
      </c>
      <c r="D5494" t="inlineStr">
        <is>
          <t>UPPSALA LÄN</t>
        </is>
      </c>
      <c r="E5494" t="inlineStr">
        <is>
          <t>HEBY</t>
        </is>
      </c>
      <c r="F5494" t="inlineStr">
        <is>
          <t>Bergvik skog väst AB</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23264-2024</t>
        </is>
      </c>
      <c r="B5495" s="1" t="n">
        <v>45453</v>
      </c>
      <c r="C5495" s="1" t="n">
        <v>45706</v>
      </c>
      <c r="D5495" t="inlineStr">
        <is>
          <t>UPPSALA LÄN</t>
        </is>
      </c>
      <c r="E5495" t="inlineStr">
        <is>
          <t>ENKÖPING</t>
        </is>
      </c>
      <c r="G5495" t="n">
        <v>9.4</v>
      </c>
      <c r="H5495" t="n">
        <v>0</v>
      </c>
      <c r="I5495" t="n">
        <v>0</v>
      </c>
      <c r="J5495" t="n">
        <v>0</v>
      </c>
      <c r="K5495" t="n">
        <v>0</v>
      </c>
      <c r="L5495" t="n">
        <v>0</v>
      </c>
      <c r="M5495" t="n">
        <v>0</v>
      </c>
      <c r="N5495" t="n">
        <v>0</v>
      </c>
      <c r="O5495" t="n">
        <v>0</v>
      </c>
      <c r="P5495" t="n">
        <v>0</v>
      </c>
      <c r="Q5495" t="n">
        <v>0</v>
      </c>
      <c r="R5495" s="2" t="inlineStr"/>
    </row>
    <row r="5496" ht="15" customHeight="1">
      <c r="A5496" t="inlineStr">
        <is>
          <t>A 23411-2024</t>
        </is>
      </c>
      <c r="B5496" s="1" t="n">
        <v>45453</v>
      </c>
      <c r="C5496" s="1" t="n">
        <v>45706</v>
      </c>
      <c r="D5496" t="inlineStr">
        <is>
          <t>UPPSALA LÄN</t>
        </is>
      </c>
      <c r="E5496" t="inlineStr">
        <is>
          <t>HEBY</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23671-2024</t>
        </is>
      </c>
      <c r="B5497" s="1" t="n">
        <v>45454</v>
      </c>
      <c r="C5497" s="1" t="n">
        <v>45706</v>
      </c>
      <c r="D5497" t="inlineStr">
        <is>
          <t>UPPSALA LÄN</t>
        </is>
      </c>
      <c r="E5497" t="inlineStr">
        <is>
          <t>HEBY</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23720-2024</t>
        </is>
      </c>
      <c r="B5498" s="1" t="n">
        <v>45454</v>
      </c>
      <c r="C5498" s="1" t="n">
        <v>45706</v>
      </c>
      <c r="D5498" t="inlineStr">
        <is>
          <t>UPPSALA LÄN</t>
        </is>
      </c>
      <c r="E5498" t="inlineStr">
        <is>
          <t>TIERP</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23652-2024</t>
        </is>
      </c>
      <c r="B5499" s="1" t="n">
        <v>45454</v>
      </c>
      <c r="C5499" s="1" t="n">
        <v>45706</v>
      </c>
      <c r="D5499" t="inlineStr">
        <is>
          <t>UPPSALA LÄN</t>
        </is>
      </c>
      <c r="E5499" t="inlineStr">
        <is>
          <t>ÖSTHAMMAR</t>
        </is>
      </c>
      <c r="F5499" t="inlineStr">
        <is>
          <t>Bergvik skog öst AB</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23759-2024</t>
        </is>
      </c>
      <c r="B5500" s="1" t="n">
        <v>45455</v>
      </c>
      <c r="C5500" s="1" t="n">
        <v>45706</v>
      </c>
      <c r="D5500" t="inlineStr">
        <is>
          <t>UPPSALA LÄN</t>
        </is>
      </c>
      <c r="E5500" t="inlineStr">
        <is>
          <t>TIERP</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23740-2024</t>
        </is>
      </c>
      <c r="B5501" s="1" t="n">
        <v>45455</v>
      </c>
      <c r="C5501" s="1" t="n">
        <v>45706</v>
      </c>
      <c r="D5501" t="inlineStr">
        <is>
          <t>UPPSALA LÄN</t>
        </is>
      </c>
      <c r="E5501" t="inlineStr">
        <is>
          <t>ÖSTHAMMAR</t>
        </is>
      </c>
      <c r="F5501" t="inlineStr">
        <is>
          <t>Bergvik skog öst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23836-2024</t>
        </is>
      </c>
      <c r="B5502" s="1" t="n">
        <v>45455</v>
      </c>
      <c r="C5502" s="1" t="n">
        <v>45706</v>
      </c>
      <c r="D5502" t="inlineStr">
        <is>
          <t>UPPSALA LÄN</t>
        </is>
      </c>
      <c r="E5502" t="inlineStr">
        <is>
          <t>HEBY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23742-2024</t>
        </is>
      </c>
      <c r="B5503" s="1" t="n">
        <v>45455</v>
      </c>
      <c r="C5503" s="1" t="n">
        <v>45706</v>
      </c>
      <c r="D5503" t="inlineStr">
        <is>
          <t>UPPSALA LÄN</t>
        </is>
      </c>
      <c r="E5503" t="inlineStr">
        <is>
          <t>ÖSTHAMMAR</t>
        </is>
      </c>
      <c r="F5503" t="inlineStr">
        <is>
          <t>Bergvik skog öst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23741-2024</t>
        </is>
      </c>
      <c r="B5504" s="1" t="n">
        <v>45455</v>
      </c>
      <c r="C5504" s="1" t="n">
        <v>45706</v>
      </c>
      <c r="D5504" t="inlineStr">
        <is>
          <t>UPPSALA LÄN</t>
        </is>
      </c>
      <c r="E5504" t="inlineStr">
        <is>
          <t>ÖSTHAMMAR</t>
        </is>
      </c>
      <c r="F5504" t="inlineStr">
        <is>
          <t>Bergvik skog öst AB</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24029-2024</t>
        </is>
      </c>
      <c r="B5505" s="1" t="n">
        <v>45456</v>
      </c>
      <c r="C5505" s="1" t="n">
        <v>45706</v>
      </c>
      <c r="D5505" t="inlineStr">
        <is>
          <t>UPPSALA LÄN</t>
        </is>
      </c>
      <c r="E5505" t="inlineStr">
        <is>
          <t>TIERP</t>
        </is>
      </c>
      <c r="F5505" t="inlineStr">
        <is>
          <t>Bergvik skog öst AB</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24098-2024</t>
        </is>
      </c>
      <c r="B5506" s="1" t="n">
        <v>45456</v>
      </c>
      <c r="C5506" s="1" t="n">
        <v>45706</v>
      </c>
      <c r="D5506" t="inlineStr">
        <is>
          <t>UPPSALA LÄN</t>
        </is>
      </c>
      <c r="E5506" t="inlineStr">
        <is>
          <t>UPPSALA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24160-2024</t>
        </is>
      </c>
      <c r="B5507" s="1" t="n">
        <v>45456</v>
      </c>
      <c r="C5507" s="1" t="n">
        <v>45706</v>
      </c>
      <c r="D5507" t="inlineStr">
        <is>
          <t>UPPSALA LÄN</t>
        </is>
      </c>
      <c r="E5507" t="inlineStr">
        <is>
          <t>ÖSTHAMMAR</t>
        </is>
      </c>
      <c r="F5507" t="inlineStr">
        <is>
          <t>Bergvik skog öst AB</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24161-2024</t>
        </is>
      </c>
      <c r="B5508" s="1" t="n">
        <v>45456</v>
      </c>
      <c r="C5508" s="1" t="n">
        <v>45706</v>
      </c>
      <c r="D5508" t="inlineStr">
        <is>
          <t>UPPSALA LÄN</t>
        </is>
      </c>
      <c r="E5508" t="inlineStr">
        <is>
          <t>ÖSTHAMMAR</t>
        </is>
      </c>
      <c r="F5508" t="inlineStr">
        <is>
          <t>Bergvik skog öst AB</t>
        </is>
      </c>
      <c r="G5508" t="n">
        <v>9.9</v>
      </c>
      <c r="H5508" t="n">
        <v>0</v>
      </c>
      <c r="I5508" t="n">
        <v>0</v>
      </c>
      <c r="J5508" t="n">
        <v>0</v>
      </c>
      <c r="K5508" t="n">
        <v>0</v>
      </c>
      <c r="L5508" t="n">
        <v>0</v>
      </c>
      <c r="M5508" t="n">
        <v>0</v>
      </c>
      <c r="N5508" t="n">
        <v>0</v>
      </c>
      <c r="O5508" t="n">
        <v>0</v>
      </c>
      <c r="P5508" t="n">
        <v>0</v>
      </c>
      <c r="Q5508" t="n">
        <v>0</v>
      </c>
      <c r="R5508" s="2" t="inlineStr"/>
    </row>
    <row r="5509" ht="15" customHeight="1">
      <c r="A5509" t="inlineStr">
        <is>
          <t>A 24091-2024</t>
        </is>
      </c>
      <c r="B5509" s="1" t="n">
        <v>45456</v>
      </c>
      <c r="C5509" s="1" t="n">
        <v>45706</v>
      </c>
      <c r="D5509" t="inlineStr">
        <is>
          <t>UPPSALA LÄN</t>
        </is>
      </c>
      <c r="E5509" t="inlineStr">
        <is>
          <t>UPPSALA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24180-2024</t>
        </is>
      </c>
      <c r="B5510" s="1" t="n">
        <v>45456</v>
      </c>
      <c r="C5510" s="1" t="n">
        <v>45706</v>
      </c>
      <c r="D5510" t="inlineStr">
        <is>
          <t>UPPSALA LÄN</t>
        </is>
      </c>
      <c r="E5510" t="inlineStr">
        <is>
          <t>HEBY</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24238-2024</t>
        </is>
      </c>
      <c r="B5511" s="1" t="n">
        <v>45457</v>
      </c>
      <c r="C5511" s="1" t="n">
        <v>45706</v>
      </c>
      <c r="D5511" t="inlineStr">
        <is>
          <t>UPPSALA LÄN</t>
        </is>
      </c>
      <c r="E5511" t="inlineStr">
        <is>
          <t>TIERP</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24306-2024</t>
        </is>
      </c>
      <c r="B5512" s="1" t="n">
        <v>45457</v>
      </c>
      <c r="C5512" s="1" t="n">
        <v>45706</v>
      </c>
      <c r="D5512" t="inlineStr">
        <is>
          <t>UPPSALA LÄN</t>
        </is>
      </c>
      <c r="E5512" t="inlineStr">
        <is>
          <t>ENKÖPING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24259-2024</t>
        </is>
      </c>
      <c r="B5513" s="1" t="n">
        <v>45457</v>
      </c>
      <c r="C5513" s="1" t="n">
        <v>45706</v>
      </c>
      <c r="D5513" t="inlineStr">
        <is>
          <t>UPPSALA LÄN</t>
        </is>
      </c>
      <c r="E5513" t="inlineStr">
        <is>
          <t>ENKÖPING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24291-2024</t>
        </is>
      </c>
      <c r="B5514" s="1" t="n">
        <v>45457</v>
      </c>
      <c r="C5514" s="1" t="n">
        <v>45706</v>
      </c>
      <c r="D5514" t="inlineStr">
        <is>
          <t>UPPSALA LÄN</t>
        </is>
      </c>
      <c r="E5514" t="inlineStr">
        <is>
          <t>ENKÖPING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24411-2024</t>
        </is>
      </c>
      <c r="B5515" s="1" t="n">
        <v>45457</v>
      </c>
      <c r="C5515" s="1" t="n">
        <v>45706</v>
      </c>
      <c r="D5515" t="inlineStr">
        <is>
          <t>UPPSALA LÄN</t>
        </is>
      </c>
      <c r="E5515" t="inlineStr">
        <is>
          <t>ENKÖPING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24472-2024</t>
        </is>
      </c>
      <c r="B5516" s="1" t="n">
        <v>45458</v>
      </c>
      <c r="C5516" s="1" t="n">
        <v>45706</v>
      </c>
      <c r="D5516" t="inlineStr">
        <is>
          <t>UPPSALA LÄN</t>
        </is>
      </c>
      <c r="E5516" t="inlineStr">
        <is>
          <t>ÖSTHAMMAR</t>
        </is>
      </c>
      <c r="F5516" t="inlineStr">
        <is>
          <t>Bergvik skog öst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24476-2024</t>
        </is>
      </c>
      <c r="B5517" s="1" t="n">
        <v>45458</v>
      </c>
      <c r="C5517" s="1" t="n">
        <v>45706</v>
      </c>
      <c r="D5517" t="inlineStr">
        <is>
          <t>UPPSALA LÄN</t>
        </is>
      </c>
      <c r="E5517" t="inlineStr">
        <is>
          <t>ÖSTHAMMAR</t>
        </is>
      </c>
      <c r="F5517" t="inlineStr">
        <is>
          <t>Bergvik skog öst AB</t>
        </is>
      </c>
      <c r="G5517" t="n">
        <v>7.8</v>
      </c>
      <c r="H5517" t="n">
        <v>0</v>
      </c>
      <c r="I5517" t="n">
        <v>0</v>
      </c>
      <c r="J5517" t="n">
        <v>0</v>
      </c>
      <c r="K5517" t="n">
        <v>0</v>
      </c>
      <c r="L5517" t="n">
        <v>0</v>
      </c>
      <c r="M5517" t="n">
        <v>0</v>
      </c>
      <c r="N5517" t="n">
        <v>0</v>
      </c>
      <c r="O5517" t="n">
        <v>0</v>
      </c>
      <c r="P5517" t="n">
        <v>0</v>
      </c>
      <c r="Q5517" t="n">
        <v>0</v>
      </c>
      <c r="R5517" s="2" t="inlineStr"/>
    </row>
    <row r="5518" ht="15" customHeight="1">
      <c r="A5518" t="inlineStr">
        <is>
          <t>A 24471-2024</t>
        </is>
      </c>
      <c r="B5518" s="1" t="n">
        <v>45458</v>
      </c>
      <c r="C5518" s="1" t="n">
        <v>45706</v>
      </c>
      <c r="D5518" t="inlineStr">
        <is>
          <t>UPPSALA LÄN</t>
        </is>
      </c>
      <c r="E5518" t="inlineStr">
        <is>
          <t>ÖSTHAMMAR</t>
        </is>
      </c>
      <c r="F5518" t="inlineStr">
        <is>
          <t>Bergvik skog öst AB</t>
        </is>
      </c>
      <c r="G5518" t="n">
        <v>22.7</v>
      </c>
      <c r="H5518" t="n">
        <v>0</v>
      </c>
      <c r="I5518" t="n">
        <v>0</v>
      </c>
      <c r="J5518" t="n">
        <v>0</v>
      </c>
      <c r="K5518" t="n">
        <v>0</v>
      </c>
      <c r="L5518" t="n">
        <v>0</v>
      </c>
      <c r="M5518" t="n">
        <v>0</v>
      </c>
      <c r="N5518" t="n">
        <v>0</v>
      </c>
      <c r="O5518" t="n">
        <v>0</v>
      </c>
      <c r="P5518" t="n">
        <v>0</v>
      </c>
      <c r="Q5518" t="n">
        <v>0</v>
      </c>
      <c r="R5518" s="2" t="inlineStr"/>
    </row>
    <row r="5519" ht="15" customHeight="1">
      <c r="A5519" t="inlineStr">
        <is>
          <t>A 24475-2024</t>
        </is>
      </c>
      <c r="B5519" s="1" t="n">
        <v>45458</v>
      </c>
      <c r="C5519" s="1" t="n">
        <v>45706</v>
      </c>
      <c r="D5519" t="inlineStr">
        <is>
          <t>UPPSALA LÄN</t>
        </is>
      </c>
      <c r="E5519" t="inlineStr">
        <is>
          <t>ÖSTHAMMAR</t>
        </is>
      </c>
      <c r="F5519" t="inlineStr">
        <is>
          <t>Bergvik skog öst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24770-2024</t>
        </is>
      </c>
      <c r="B5520" s="1" t="n">
        <v>45460</v>
      </c>
      <c r="C5520" s="1" t="n">
        <v>45706</v>
      </c>
      <c r="D5520" t="inlineStr">
        <is>
          <t>UPPSALA LÄN</t>
        </is>
      </c>
      <c r="E5520" t="inlineStr">
        <is>
          <t>ÖSTHAMMAR</t>
        </is>
      </c>
      <c r="F5520" t="inlineStr">
        <is>
          <t>Bergvik skog öst AB</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24747-2024</t>
        </is>
      </c>
      <c r="B5521" s="1" t="n">
        <v>45460</v>
      </c>
      <c r="C5521" s="1" t="n">
        <v>45706</v>
      </c>
      <c r="D5521" t="inlineStr">
        <is>
          <t>UPPSALA LÄN</t>
        </is>
      </c>
      <c r="E5521" t="inlineStr">
        <is>
          <t>ÖSTHAMMAR</t>
        </is>
      </c>
      <c r="F5521" t="inlineStr">
        <is>
          <t>Bergvik skog öst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24588-2024</t>
        </is>
      </c>
      <c r="B5522" s="1" t="n">
        <v>45460</v>
      </c>
      <c r="C5522" s="1" t="n">
        <v>45706</v>
      </c>
      <c r="D5522" t="inlineStr">
        <is>
          <t>UPPSALA LÄN</t>
        </is>
      </c>
      <c r="E5522" t="inlineStr">
        <is>
          <t>ÖSTHAMMAR</t>
        </is>
      </c>
      <c r="F5522" t="inlineStr">
        <is>
          <t>Bergvik skog öst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24606-2024</t>
        </is>
      </c>
      <c r="B5523" s="1" t="n">
        <v>45460</v>
      </c>
      <c r="C5523" s="1" t="n">
        <v>45706</v>
      </c>
      <c r="D5523" t="inlineStr">
        <is>
          <t>UPPSALA LÄN</t>
        </is>
      </c>
      <c r="E5523" t="inlineStr">
        <is>
          <t>ÖSTHAMMAR</t>
        </is>
      </c>
      <c r="F5523" t="inlineStr">
        <is>
          <t>Bergvik skog öst AB</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24787-2024</t>
        </is>
      </c>
      <c r="B5524" s="1" t="n">
        <v>45460</v>
      </c>
      <c r="C5524" s="1" t="n">
        <v>45706</v>
      </c>
      <c r="D5524" t="inlineStr">
        <is>
          <t>UPPSALA LÄN</t>
        </is>
      </c>
      <c r="E5524" t="inlineStr">
        <is>
          <t>UPPSALA</t>
        </is>
      </c>
      <c r="F5524" t="inlineStr">
        <is>
          <t>Övriga Aktiebolag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24560-2024</t>
        </is>
      </c>
      <c r="B5525" s="1" t="n">
        <v>45460</v>
      </c>
      <c r="C5525" s="1" t="n">
        <v>45706</v>
      </c>
      <c r="D5525" t="inlineStr">
        <is>
          <t>UPPSALA LÄN</t>
        </is>
      </c>
      <c r="E5525" t="inlineStr">
        <is>
          <t>ÖSTHAMMAR</t>
        </is>
      </c>
      <c r="F5525" t="inlineStr">
        <is>
          <t>Bergvik skog öst AB</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24589-2024</t>
        </is>
      </c>
      <c r="B5526" s="1" t="n">
        <v>45460</v>
      </c>
      <c r="C5526" s="1" t="n">
        <v>45706</v>
      </c>
      <c r="D5526" t="inlineStr">
        <is>
          <t>UPPSALA LÄN</t>
        </is>
      </c>
      <c r="E5526" t="inlineStr">
        <is>
          <t>ÖSTHAMMAR</t>
        </is>
      </c>
      <c r="F5526" t="inlineStr">
        <is>
          <t>Bergvik skog öst AB</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24853-2024</t>
        </is>
      </c>
      <c r="B5527" s="1" t="n">
        <v>45461</v>
      </c>
      <c r="C5527" s="1" t="n">
        <v>45706</v>
      </c>
      <c r="D5527" t="inlineStr">
        <is>
          <t>UPPSALA LÄN</t>
        </is>
      </c>
      <c r="E5527" t="inlineStr">
        <is>
          <t>ÖSTHAMMAR</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25289-2024</t>
        </is>
      </c>
      <c r="B5528" s="1" t="n">
        <v>45462</v>
      </c>
      <c r="C5528" s="1" t="n">
        <v>45706</v>
      </c>
      <c r="D5528" t="inlineStr">
        <is>
          <t>UPPSALA LÄN</t>
        </is>
      </c>
      <c r="E5528" t="inlineStr">
        <is>
          <t>ÖSTHAMMAR</t>
        </is>
      </c>
      <c r="F5528" t="inlineStr">
        <is>
          <t>Bergvik skog öst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25269-2024</t>
        </is>
      </c>
      <c r="B5529" s="1" t="n">
        <v>45462</v>
      </c>
      <c r="C5529" s="1" t="n">
        <v>45706</v>
      </c>
      <c r="D5529" t="inlineStr">
        <is>
          <t>UPPSALA LÄN</t>
        </is>
      </c>
      <c r="E5529" t="inlineStr">
        <is>
          <t>ÖSTHAMMAR</t>
        </is>
      </c>
      <c r="F5529" t="inlineStr">
        <is>
          <t>Bergvik skog öst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25252-2024</t>
        </is>
      </c>
      <c r="B5530" s="1" t="n">
        <v>45462</v>
      </c>
      <c r="C5530" s="1" t="n">
        <v>45706</v>
      </c>
      <c r="D5530" t="inlineStr">
        <is>
          <t>UPPSALA LÄN</t>
        </is>
      </c>
      <c r="E5530" t="inlineStr">
        <is>
          <t>ÖSTHAMMAR</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25188-2024</t>
        </is>
      </c>
      <c r="B5531" s="1" t="n">
        <v>45462</v>
      </c>
      <c r="C5531" s="1" t="n">
        <v>45706</v>
      </c>
      <c r="D5531" t="inlineStr">
        <is>
          <t>UPPSALA LÄN</t>
        </is>
      </c>
      <c r="E5531" t="inlineStr">
        <is>
          <t>TIERP</t>
        </is>
      </c>
      <c r="F5531" t="inlineStr">
        <is>
          <t>Bergvik skog öst AB</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25607-2024</t>
        </is>
      </c>
      <c r="B5532" s="1" t="n">
        <v>45463</v>
      </c>
      <c r="C5532" s="1" t="n">
        <v>45706</v>
      </c>
      <c r="D5532" t="inlineStr">
        <is>
          <t>UPPSALA LÄN</t>
        </is>
      </c>
      <c r="E5532" t="inlineStr">
        <is>
          <t>ENKÖPING</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25595-2024</t>
        </is>
      </c>
      <c r="B5533" s="1" t="n">
        <v>45463</v>
      </c>
      <c r="C5533" s="1" t="n">
        <v>45706</v>
      </c>
      <c r="D5533" t="inlineStr">
        <is>
          <t>UPPSALA LÄN</t>
        </is>
      </c>
      <c r="E5533" t="inlineStr">
        <is>
          <t>ENKÖPING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25539-2024</t>
        </is>
      </c>
      <c r="B5534" s="1" t="n">
        <v>45463</v>
      </c>
      <c r="C5534" s="1" t="n">
        <v>45706</v>
      </c>
      <c r="D5534" t="inlineStr">
        <is>
          <t>UPPSALA LÄN</t>
        </is>
      </c>
      <c r="E5534" t="inlineStr">
        <is>
          <t>UPPSALA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25601-2024</t>
        </is>
      </c>
      <c r="B5535" s="1" t="n">
        <v>45463</v>
      </c>
      <c r="C5535" s="1" t="n">
        <v>45706</v>
      </c>
      <c r="D5535" t="inlineStr">
        <is>
          <t>UPPSALA LÄN</t>
        </is>
      </c>
      <c r="E5535" t="inlineStr">
        <is>
          <t>ENKÖPING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25537-2024</t>
        </is>
      </c>
      <c r="B5536" s="1" t="n">
        <v>45463</v>
      </c>
      <c r="C5536" s="1" t="n">
        <v>45706</v>
      </c>
      <c r="D5536" t="inlineStr">
        <is>
          <t>UPPSALA LÄN</t>
        </is>
      </c>
      <c r="E5536" t="inlineStr">
        <is>
          <t>UPPSALA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25536-2024</t>
        </is>
      </c>
      <c r="B5537" s="1" t="n">
        <v>45463</v>
      </c>
      <c r="C5537" s="1" t="n">
        <v>45706</v>
      </c>
      <c r="D5537" t="inlineStr">
        <is>
          <t>UPPSALA LÄN</t>
        </is>
      </c>
      <c r="E5537" t="inlineStr">
        <is>
          <t>UPPSALA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25487-2024</t>
        </is>
      </c>
      <c r="B5538" s="1" t="n">
        <v>45463</v>
      </c>
      <c r="C5538" s="1" t="n">
        <v>45706</v>
      </c>
      <c r="D5538" t="inlineStr">
        <is>
          <t>UPPSALA LÄN</t>
        </is>
      </c>
      <c r="E5538" t="inlineStr">
        <is>
          <t>UPPSALA</t>
        </is>
      </c>
      <c r="F5538" t="inlineStr">
        <is>
          <t>Övriga Aktiebolag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25403-2024</t>
        </is>
      </c>
      <c r="B5539" s="1" t="n">
        <v>45463</v>
      </c>
      <c r="C5539" s="1" t="n">
        <v>45706</v>
      </c>
      <c r="D5539" t="inlineStr">
        <is>
          <t>UPPSALA LÄN</t>
        </is>
      </c>
      <c r="E5539" t="inlineStr">
        <is>
          <t>UPPSALA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25490-2024</t>
        </is>
      </c>
      <c r="B5540" s="1" t="n">
        <v>45463</v>
      </c>
      <c r="C5540" s="1" t="n">
        <v>45706</v>
      </c>
      <c r="D5540" t="inlineStr">
        <is>
          <t>UPPSALA LÄN</t>
        </is>
      </c>
      <c r="E5540" t="inlineStr">
        <is>
          <t>UPPSALA</t>
        </is>
      </c>
      <c r="F5540" t="inlineStr">
        <is>
          <t>Övriga Aktiebolag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25772-2024</t>
        </is>
      </c>
      <c r="B5541" s="1" t="n">
        <v>45466</v>
      </c>
      <c r="C5541" s="1" t="n">
        <v>45706</v>
      </c>
      <c r="D5541" t="inlineStr">
        <is>
          <t>UPPSALA LÄN</t>
        </is>
      </c>
      <c r="E5541" t="inlineStr">
        <is>
          <t>ÖSTHAMMAR</t>
        </is>
      </c>
      <c r="F5541" t="inlineStr">
        <is>
          <t>Bergvik skog öst AB</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25770-2024</t>
        </is>
      </c>
      <c r="B5542" s="1" t="n">
        <v>45466</v>
      </c>
      <c r="C5542" s="1" t="n">
        <v>45706</v>
      </c>
      <c r="D5542" t="inlineStr">
        <is>
          <t>UPPSALA LÄN</t>
        </is>
      </c>
      <c r="E5542" t="inlineStr">
        <is>
          <t>ÖSTHAMMAR</t>
        </is>
      </c>
      <c r="F5542" t="inlineStr">
        <is>
          <t>Bergvik skog öst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25771-2024</t>
        </is>
      </c>
      <c r="B5543" s="1" t="n">
        <v>45466</v>
      </c>
      <c r="C5543" s="1" t="n">
        <v>45706</v>
      </c>
      <c r="D5543" t="inlineStr">
        <is>
          <t>UPPSALA LÄN</t>
        </is>
      </c>
      <c r="E5543" t="inlineStr">
        <is>
          <t>ÖSTHAMMAR</t>
        </is>
      </c>
      <c r="F5543" t="inlineStr">
        <is>
          <t>Bergvik skog öst AB</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25930-2024</t>
        </is>
      </c>
      <c r="B5544" s="1" t="n">
        <v>45467</v>
      </c>
      <c r="C5544" s="1" t="n">
        <v>45706</v>
      </c>
      <c r="D5544" t="inlineStr">
        <is>
          <t>UPPSALA LÄN</t>
        </is>
      </c>
      <c r="E5544" t="inlineStr">
        <is>
          <t>ENKÖPING</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25938-2024</t>
        </is>
      </c>
      <c r="B5545" s="1" t="n">
        <v>45467</v>
      </c>
      <c r="C5545" s="1" t="n">
        <v>45706</v>
      </c>
      <c r="D5545" t="inlineStr">
        <is>
          <t>UPPSALA LÄN</t>
        </is>
      </c>
      <c r="E5545" t="inlineStr">
        <is>
          <t>ÖSTHAMMAR</t>
        </is>
      </c>
      <c r="F5545" t="inlineStr">
        <is>
          <t>Bergvik skog öst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25859-2024</t>
        </is>
      </c>
      <c r="B5546" s="1" t="n">
        <v>45467</v>
      </c>
      <c r="C5546" s="1" t="n">
        <v>45706</v>
      </c>
      <c r="D5546" t="inlineStr">
        <is>
          <t>UPPSALA LÄN</t>
        </is>
      </c>
      <c r="E5546" t="inlineStr">
        <is>
          <t>ÖSTHAMMAR</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25953-2024</t>
        </is>
      </c>
      <c r="B5547" s="1" t="n">
        <v>45467</v>
      </c>
      <c r="C5547" s="1" t="n">
        <v>45706</v>
      </c>
      <c r="D5547" t="inlineStr">
        <is>
          <t>UPPSALA LÄN</t>
        </is>
      </c>
      <c r="E5547" t="inlineStr">
        <is>
          <t>ÖSTHAMMAR</t>
        </is>
      </c>
      <c r="F5547" t="inlineStr">
        <is>
          <t>Bergvik skog öst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26303-2024</t>
        </is>
      </c>
      <c r="B5548" s="1" t="n">
        <v>45468</v>
      </c>
      <c r="C5548" s="1" t="n">
        <v>45706</v>
      </c>
      <c r="D5548" t="inlineStr">
        <is>
          <t>UPPSALA LÄN</t>
        </is>
      </c>
      <c r="E5548" t="inlineStr">
        <is>
          <t>ÖSTHAMMAR</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26242-2024</t>
        </is>
      </c>
      <c r="B5549" s="1" t="n">
        <v>45468</v>
      </c>
      <c r="C5549" s="1" t="n">
        <v>45706</v>
      </c>
      <c r="D5549" t="inlineStr">
        <is>
          <t>UPPSALA LÄN</t>
        </is>
      </c>
      <c r="E5549" t="inlineStr">
        <is>
          <t>TIERP</t>
        </is>
      </c>
      <c r="F5549" t="inlineStr">
        <is>
          <t>Bergvik skog öst AB</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26305-2024</t>
        </is>
      </c>
      <c r="B5550" s="1" t="n">
        <v>45468</v>
      </c>
      <c r="C5550" s="1" t="n">
        <v>45706</v>
      </c>
      <c r="D5550" t="inlineStr">
        <is>
          <t>UPPSALA LÄN</t>
        </is>
      </c>
      <c r="E5550" t="inlineStr">
        <is>
          <t>ÖSTHAMMAR</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26072-2024</t>
        </is>
      </c>
      <c r="B5551" s="1" t="n">
        <v>45468</v>
      </c>
      <c r="C5551" s="1" t="n">
        <v>45706</v>
      </c>
      <c r="D5551" t="inlineStr">
        <is>
          <t>UPPSALA LÄN</t>
        </is>
      </c>
      <c r="E5551" t="inlineStr">
        <is>
          <t>HEBY</t>
        </is>
      </c>
      <c r="F5551" t="inlineStr">
        <is>
          <t>Kyrkan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26272-2024</t>
        </is>
      </c>
      <c r="B5552" s="1" t="n">
        <v>45468</v>
      </c>
      <c r="C5552" s="1" t="n">
        <v>45706</v>
      </c>
      <c r="D5552" t="inlineStr">
        <is>
          <t>UPPSALA LÄN</t>
        </is>
      </c>
      <c r="E5552" t="inlineStr">
        <is>
          <t>ÖSTHAMMAR</t>
        </is>
      </c>
      <c r="G5552" t="n">
        <v>11.7</v>
      </c>
      <c r="H5552" t="n">
        <v>0</v>
      </c>
      <c r="I5552" t="n">
        <v>0</v>
      </c>
      <c r="J5552" t="n">
        <v>0</v>
      </c>
      <c r="K5552" t="n">
        <v>0</v>
      </c>
      <c r="L5552" t="n">
        <v>0</v>
      </c>
      <c r="M5552" t="n">
        <v>0</v>
      </c>
      <c r="N5552" t="n">
        <v>0</v>
      </c>
      <c r="O5552" t="n">
        <v>0</v>
      </c>
      <c r="P5552" t="n">
        <v>0</v>
      </c>
      <c r="Q5552" t="n">
        <v>0</v>
      </c>
      <c r="R5552" s="2" t="inlineStr"/>
    </row>
    <row r="5553" ht="15" customHeight="1">
      <c r="A5553" t="inlineStr">
        <is>
          <t>A 26192-2024</t>
        </is>
      </c>
      <c r="B5553" s="1" t="n">
        <v>45468</v>
      </c>
      <c r="C5553" s="1" t="n">
        <v>45706</v>
      </c>
      <c r="D5553" t="inlineStr">
        <is>
          <t>UPPSALA LÄN</t>
        </is>
      </c>
      <c r="E5553" t="inlineStr">
        <is>
          <t>TIERP</t>
        </is>
      </c>
      <c r="F5553" t="inlineStr">
        <is>
          <t>Bergvik skog öst AB</t>
        </is>
      </c>
      <c r="G5553" t="n">
        <v>19.3</v>
      </c>
      <c r="H5553" t="n">
        <v>0</v>
      </c>
      <c r="I5553" t="n">
        <v>0</v>
      </c>
      <c r="J5553" t="n">
        <v>0</v>
      </c>
      <c r="K5553" t="n">
        <v>0</v>
      </c>
      <c r="L5553" t="n">
        <v>0</v>
      </c>
      <c r="M5553" t="n">
        <v>0</v>
      </c>
      <c r="N5553" t="n">
        <v>0</v>
      </c>
      <c r="O5553" t="n">
        <v>0</v>
      </c>
      <c r="P5553" t="n">
        <v>0</v>
      </c>
      <c r="Q5553" t="n">
        <v>0</v>
      </c>
      <c r="R5553" s="2" t="inlineStr"/>
    </row>
    <row r="5554" ht="15" customHeight="1">
      <c r="A5554" t="inlineStr">
        <is>
          <t>A 26099-2024</t>
        </is>
      </c>
      <c r="B5554" s="1" t="n">
        <v>45468</v>
      </c>
      <c r="C5554" s="1" t="n">
        <v>45706</v>
      </c>
      <c r="D5554" t="inlineStr">
        <is>
          <t>UPPSALA LÄN</t>
        </is>
      </c>
      <c r="E5554" t="inlineStr">
        <is>
          <t>UPPSALA</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26045-2024</t>
        </is>
      </c>
      <c r="B5555" s="1" t="n">
        <v>45468</v>
      </c>
      <c r="C5555" s="1" t="n">
        <v>45706</v>
      </c>
      <c r="D5555" t="inlineStr">
        <is>
          <t>UPPSALA LÄN</t>
        </is>
      </c>
      <c r="E5555" t="inlineStr">
        <is>
          <t>HEBY</t>
        </is>
      </c>
      <c r="F5555" t="inlineStr">
        <is>
          <t>Kyrkan</t>
        </is>
      </c>
      <c r="G5555" t="n">
        <v>13.2</v>
      </c>
      <c r="H5555" t="n">
        <v>0</v>
      </c>
      <c r="I5555" t="n">
        <v>0</v>
      </c>
      <c r="J5555" t="n">
        <v>0</v>
      </c>
      <c r="K5555" t="n">
        <v>0</v>
      </c>
      <c r="L5555" t="n">
        <v>0</v>
      </c>
      <c r="M5555" t="n">
        <v>0</v>
      </c>
      <c r="N5555" t="n">
        <v>0</v>
      </c>
      <c r="O5555" t="n">
        <v>0</v>
      </c>
      <c r="P5555" t="n">
        <v>0</v>
      </c>
      <c r="Q5555" t="n">
        <v>0</v>
      </c>
      <c r="R5555" s="2" t="inlineStr"/>
    </row>
    <row r="5556" ht="15" customHeight="1">
      <c r="A5556" t="inlineStr">
        <is>
          <t>A 26404-2024</t>
        </is>
      </c>
      <c r="B5556" s="1" t="n">
        <v>45469</v>
      </c>
      <c r="C5556" s="1" t="n">
        <v>45706</v>
      </c>
      <c r="D5556" t="inlineStr">
        <is>
          <t>UPPSALA LÄN</t>
        </is>
      </c>
      <c r="E5556" t="inlineStr">
        <is>
          <t>TIERP</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26458-2024</t>
        </is>
      </c>
      <c r="B5557" s="1" t="n">
        <v>45469</v>
      </c>
      <c r="C5557" s="1" t="n">
        <v>45706</v>
      </c>
      <c r="D5557" t="inlineStr">
        <is>
          <t>UPPSALA LÄN</t>
        </is>
      </c>
      <c r="E5557" t="inlineStr">
        <is>
          <t>TIERP</t>
        </is>
      </c>
      <c r="F5557" t="inlineStr">
        <is>
          <t>Bergvik skog väst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26462-2024</t>
        </is>
      </c>
      <c r="B5558" s="1" t="n">
        <v>45469</v>
      </c>
      <c r="C5558" s="1" t="n">
        <v>45706</v>
      </c>
      <c r="D5558" t="inlineStr">
        <is>
          <t>UPPSALA LÄN</t>
        </is>
      </c>
      <c r="E5558" t="inlineStr">
        <is>
          <t>TIERP</t>
        </is>
      </c>
      <c r="F5558" t="inlineStr">
        <is>
          <t>Bergvik skog väst AB</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26426-2024</t>
        </is>
      </c>
      <c r="B5559" s="1" t="n">
        <v>45469</v>
      </c>
      <c r="C5559" s="1" t="n">
        <v>45706</v>
      </c>
      <c r="D5559" t="inlineStr">
        <is>
          <t>UPPSALA LÄN</t>
        </is>
      </c>
      <c r="E5559" t="inlineStr">
        <is>
          <t>ÖSTHAMMAR</t>
        </is>
      </c>
      <c r="F5559" t="inlineStr">
        <is>
          <t>Bergvik skog öst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26455-2024</t>
        </is>
      </c>
      <c r="B5560" s="1" t="n">
        <v>45469</v>
      </c>
      <c r="C5560" s="1" t="n">
        <v>45706</v>
      </c>
      <c r="D5560" t="inlineStr">
        <is>
          <t>UPPSALA LÄN</t>
        </is>
      </c>
      <c r="E5560" t="inlineStr">
        <is>
          <t>TIERP</t>
        </is>
      </c>
      <c r="F5560" t="inlineStr">
        <is>
          <t>Bergvik skog väst AB</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26436-2024</t>
        </is>
      </c>
      <c r="B5561" s="1" t="n">
        <v>45469</v>
      </c>
      <c r="C5561" s="1" t="n">
        <v>45706</v>
      </c>
      <c r="D5561" t="inlineStr">
        <is>
          <t>UPPSALA LÄN</t>
        </is>
      </c>
      <c r="E5561" t="inlineStr">
        <is>
          <t>ÖSTHAMMAR</t>
        </is>
      </c>
      <c r="F5561" t="inlineStr">
        <is>
          <t>Kyrkan</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26427-2024</t>
        </is>
      </c>
      <c r="B5562" s="1" t="n">
        <v>45469</v>
      </c>
      <c r="C5562" s="1" t="n">
        <v>45706</v>
      </c>
      <c r="D5562" t="inlineStr">
        <is>
          <t>UPPSALA LÄN</t>
        </is>
      </c>
      <c r="E5562" t="inlineStr">
        <is>
          <t>TIERP</t>
        </is>
      </c>
      <c r="F5562" t="inlineStr">
        <is>
          <t>Bergvik skog väst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26419-2024</t>
        </is>
      </c>
      <c r="B5563" s="1" t="n">
        <v>45469</v>
      </c>
      <c r="C5563" s="1" t="n">
        <v>45706</v>
      </c>
      <c r="D5563" t="inlineStr">
        <is>
          <t>UPPSALA LÄN</t>
        </is>
      </c>
      <c r="E5563" t="inlineStr">
        <is>
          <t>HEBY</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26398-2024</t>
        </is>
      </c>
      <c r="B5564" s="1" t="n">
        <v>45469</v>
      </c>
      <c r="C5564" s="1" t="n">
        <v>45706</v>
      </c>
      <c r="D5564" t="inlineStr">
        <is>
          <t>UPPSALA LÄN</t>
        </is>
      </c>
      <c r="E5564" t="inlineStr">
        <is>
          <t>TIERP</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26528-2024</t>
        </is>
      </c>
      <c r="B5565" s="1" t="n">
        <v>45469</v>
      </c>
      <c r="C5565" s="1" t="n">
        <v>45706</v>
      </c>
      <c r="D5565" t="inlineStr">
        <is>
          <t>UPPSALA LÄN</t>
        </is>
      </c>
      <c r="E5565" t="inlineStr">
        <is>
          <t>TIERP</t>
        </is>
      </c>
      <c r="F5565" t="inlineStr">
        <is>
          <t>Bergvik skog väst AB</t>
        </is>
      </c>
      <c r="G5565" t="n">
        <v>10.3</v>
      </c>
      <c r="H5565" t="n">
        <v>0</v>
      </c>
      <c r="I5565" t="n">
        <v>0</v>
      </c>
      <c r="J5565" t="n">
        <v>0</v>
      </c>
      <c r="K5565" t="n">
        <v>0</v>
      </c>
      <c r="L5565" t="n">
        <v>0</v>
      </c>
      <c r="M5565" t="n">
        <v>0</v>
      </c>
      <c r="N5565" t="n">
        <v>0</v>
      </c>
      <c r="O5565" t="n">
        <v>0</v>
      </c>
      <c r="P5565" t="n">
        <v>0</v>
      </c>
      <c r="Q5565" t="n">
        <v>0</v>
      </c>
      <c r="R5565" s="2" t="inlineStr"/>
    </row>
    <row r="5566" ht="15" customHeight="1">
      <c r="A5566" t="inlineStr">
        <is>
          <t>A 26596-2024</t>
        </is>
      </c>
      <c r="B5566" s="1" t="n">
        <v>45469</v>
      </c>
      <c r="C5566" s="1" t="n">
        <v>45706</v>
      </c>
      <c r="D5566" t="inlineStr">
        <is>
          <t>UPPSALA LÄN</t>
        </is>
      </c>
      <c r="E5566" t="inlineStr">
        <is>
          <t>HEBY</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26771-2024</t>
        </is>
      </c>
      <c r="B5567" s="1" t="n">
        <v>45470</v>
      </c>
      <c r="C5567" s="1" t="n">
        <v>45706</v>
      </c>
      <c r="D5567" t="inlineStr">
        <is>
          <t>UPPSALA LÄN</t>
        </is>
      </c>
      <c r="E5567" t="inlineStr">
        <is>
          <t>TIERP</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26884-2024</t>
        </is>
      </c>
      <c r="B5568" s="1" t="n">
        <v>45470</v>
      </c>
      <c r="C5568" s="1" t="n">
        <v>45706</v>
      </c>
      <c r="D5568" t="inlineStr">
        <is>
          <t>UPPSALA LÄN</t>
        </is>
      </c>
      <c r="E5568" t="inlineStr">
        <is>
          <t>TIERP</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26683-2024</t>
        </is>
      </c>
      <c r="B5569" s="1" t="n">
        <v>45470</v>
      </c>
      <c r="C5569" s="1" t="n">
        <v>45706</v>
      </c>
      <c r="D5569" t="inlineStr">
        <is>
          <t>UPPSALA LÄN</t>
        </is>
      </c>
      <c r="E5569" t="inlineStr">
        <is>
          <t>HEBY</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26983-2024</t>
        </is>
      </c>
      <c r="B5570" s="1" t="n">
        <v>45471</v>
      </c>
      <c r="C5570" s="1" t="n">
        <v>45706</v>
      </c>
      <c r="D5570" t="inlineStr">
        <is>
          <t>UPPSALA LÄN</t>
        </is>
      </c>
      <c r="E5570" t="inlineStr">
        <is>
          <t>ÖSTHAMMAR</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27172-2024</t>
        </is>
      </c>
      <c r="B5571" s="1" t="n">
        <v>45471</v>
      </c>
      <c r="C5571" s="1" t="n">
        <v>45706</v>
      </c>
      <c r="D5571" t="inlineStr">
        <is>
          <t>UPPSALA LÄN</t>
        </is>
      </c>
      <c r="E5571" t="inlineStr">
        <is>
          <t>ENKÖPING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27476-2024</t>
        </is>
      </c>
      <c r="B5572" s="1" t="n">
        <v>45474</v>
      </c>
      <c r="C5572" s="1" t="n">
        <v>45706</v>
      </c>
      <c r="D5572" t="inlineStr">
        <is>
          <t>UPPSALA LÄN</t>
        </is>
      </c>
      <c r="E5572" t="inlineStr">
        <is>
          <t>UPPSALA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27473-2024</t>
        </is>
      </c>
      <c r="B5573" s="1" t="n">
        <v>45474</v>
      </c>
      <c r="C5573" s="1" t="n">
        <v>45706</v>
      </c>
      <c r="D5573" t="inlineStr">
        <is>
          <t>UPPSALA LÄN</t>
        </is>
      </c>
      <c r="E5573" t="inlineStr">
        <is>
          <t>UPPSALA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27442-2024</t>
        </is>
      </c>
      <c r="B5574" s="1" t="n">
        <v>45474</v>
      </c>
      <c r="C5574" s="1" t="n">
        <v>45706</v>
      </c>
      <c r="D5574" t="inlineStr">
        <is>
          <t>UPPSALA LÄN</t>
        </is>
      </c>
      <c r="E5574" t="inlineStr">
        <is>
          <t>UPPSALA</t>
        </is>
      </c>
      <c r="F5574" t="inlineStr">
        <is>
          <t>Holmen skog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27603-2024</t>
        </is>
      </c>
      <c r="B5575" s="1" t="n">
        <v>45474</v>
      </c>
      <c r="C5575" s="1" t="n">
        <v>45706</v>
      </c>
      <c r="D5575" t="inlineStr">
        <is>
          <t>UPPSALA LÄN</t>
        </is>
      </c>
      <c r="E5575" t="inlineStr">
        <is>
          <t>HÅBO</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27474-2024</t>
        </is>
      </c>
      <c r="B5576" s="1" t="n">
        <v>45474</v>
      </c>
      <c r="C5576" s="1" t="n">
        <v>45706</v>
      </c>
      <c r="D5576" t="inlineStr">
        <is>
          <t>UPPSALA LÄN</t>
        </is>
      </c>
      <c r="E5576" t="inlineStr">
        <is>
          <t>UPPSALA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27498-2024</t>
        </is>
      </c>
      <c r="B5577" s="1" t="n">
        <v>45474</v>
      </c>
      <c r="C5577" s="1" t="n">
        <v>45706</v>
      </c>
      <c r="D5577" t="inlineStr">
        <is>
          <t>UPPSALA LÄN</t>
        </is>
      </c>
      <c r="E5577" t="inlineStr">
        <is>
          <t>UPPSALA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27534-2024</t>
        </is>
      </c>
      <c r="B5578" s="1" t="n">
        <v>45474</v>
      </c>
      <c r="C5578" s="1" t="n">
        <v>45706</v>
      </c>
      <c r="D5578" t="inlineStr">
        <is>
          <t>UPPSALA LÄN</t>
        </is>
      </c>
      <c r="E5578" t="inlineStr">
        <is>
          <t>ÖSTHAMMAR</t>
        </is>
      </c>
      <c r="F5578" t="inlineStr">
        <is>
          <t>Bergvik skog öst AB</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27604-2024</t>
        </is>
      </c>
      <c r="B5579" s="1" t="n">
        <v>45474</v>
      </c>
      <c r="C5579" s="1" t="n">
        <v>45706</v>
      </c>
      <c r="D5579" t="inlineStr">
        <is>
          <t>UPPSALA LÄN</t>
        </is>
      </c>
      <c r="E5579" t="inlineStr">
        <is>
          <t>HÅBO</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27748-2024</t>
        </is>
      </c>
      <c r="B5580" s="1" t="n">
        <v>45475</v>
      </c>
      <c r="C5580" s="1" t="n">
        <v>45706</v>
      </c>
      <c r="D5580" t="inlineStr">
        <is>
          <t>UPPSALA LÄN</t>
        </is>
      </c>
      <c r="E5580" t="inlineStr">
        <is>
          <t>ÖSTHAMMAR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27857-2024</t>
        </is>
      </c>
      <c r="B5581" s="1" t="n">
        <v>45475</v>
      </c>
      <c r="C5581" s="1" t="n">
        <v>45706</v>
      </c>
      <c r="D5581" t="inlineStr">
        <is>
          <t>UPPSALA LÄN</t>
        </is>
      </c>
      <c r="E5581" t="inlineStr">
        <is>
          <t>UPPSALA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27833-2024</t>
        </is>
      </c>
      <c r="B5582" s="1" t="n">
        <v>45475</v>
      </c>
      <c r="C5582" s="1" t="n">
        <v>45706</v>
      </c>
      <c r="D5582" t="inlineStr">
        <is>
          <t>UPPSALA LÄN</t>
        </is>
      </c>
      <c r="E5582" t="inlineStr">
        <is>
          <t>HEBY</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27773-2024</t>
        </is>
      </c>
      <c r="B5583" s="1" t="n">
        <v>45475</v>
      </c>
      <c r="C5583" s="1" t="n">
        <v>45706</v>
      </c>
      <c r="D5583" t="inlineStr">
        <is>
          <t>UPPSALA LÄN</t>
        </is>
      </c>
      <c r="E5583" t="inlineStr">
        <is>
          <t>TIERP</t>
        </is>
      </c>
      <c r="F5583" t="inlineStr">
        <is>
          <t>Bergvik skog öst AB</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27839-2024</t>
        </is>
      </c>
      <c r="B5584" s="1" t="n">
        <v>45475</v>
      </c>
      <c r="C5584" s="1" t="n">
        <v>45706</v>
      </c>
      <c r="D5584" t="inlineStr">
        <is>
          <t>UPPSALA LÄN</t>
        </is>
      </c>
      <c r="E5584" t="inlineStr">
        <is>
          <t>HEBY</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28151-2024</t>
        </is>
      </c>
      <c r="B5585" s="1" t="n">
        <v>45476</v>
      </c>
      <c r="C5585" s="1" t="n">
        <v>45706</v>
      </c>
      <c r="D5585" t="inlineStr">
        <is>
          <t>UPPSALA LÄN</t>
        </is>
      </c>
      <c r="E5585" t="inlineStr">
        <is>
          <t>ÖSTHAMMAR</t>
        </is>
      </c>
      <c r="F5585" t="inlineStr">
        <is>
          <t>Bergvik skog öst AB</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28152-2024</t>
        </is>
      </c>
      <c r="B5586" s="1" t="n">
        <v>45476</v>
      </c>
      <c r="C5586" s="1" t="n">
        <v>45706</v>
      </c>
      <c r="D5586" t="inlineStr">
        <is>
          <t>UPPSALA LÄN</t>
        </is>
      </c>
      <c r="E5586" t="inlineStr">
        <is>
          <t>ÖSTHAMMAR</t>
        </is>
      </c>
      <c r="F5586" t="inlineStr">
        <is>
          <t>Bergvik skog öst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28154-2024</t>
        </is>
      </c>
      <c r="B5587" s="1" t="n">
        <v>45476</v>
      </c>
      <c r="C5587" s="1" t="n">
        <v>45706</v>
      </c>
      <c r="D5587" t="inlineStr">
        <is>
          <t>UPPSALA LÄN</t>
        </is>
      </c>
      <c r="E5587" t="inlineStr">
        <is>
          <t>ÖSTHAMMAR</t>
        </is>
      </c>
      <c r="F5587" t="inlineStr">
        <is>
          <t>Bergvik skog öst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27998-2024</t>
        </is>
      </c>
      <c r="B5588" s="1" t="n">
        <v>45476</v>
      </c>
      <c r="C5588" s="1" t="n">
        <v>45706</v>
      </c>
      <c r="D5588" t="inlineStr">
        <is>
          <t>UPPSALA LÄN</t>
        </is>
      </c>
      <c r="E5588" t="inlineStr">
        <is>
          <t>ENKÖPING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27994-2024</t>
        </is>
      </c>
      <c r="B5589" s="1" t="n">
        <v>45476</v>
      </c>
      <c r="C5589" s="1" t="n">
        <v>45706</v>
      </c>
      <c r="D5589" t="inlineStr">
        <is>
          <t>UPPSALA LÄN</t>
        </is>
      </c>
      <c r="E5589" t="inlineStr">
        <is>
          <t>UPPSALA</t>
        </is>
      </c>
      <c r="F5589" t="inlineStr">
        <is>
          <t>Holmen skog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28153-2024</t>
        </is>
      </c>
      <c r="B5590" s="1" t="n">
        <v>45476</v>
      </c>
      <c r="C5590" s="1" t="n">
        <v>45706</v>
      </c>
      <c r="D5590" t="inlineStr">
        <is>
          <t>UPPSALA LÄN</t>
        </is>
      </c>
      <c r="E5590" t="inlineStr">
        <is>
          <t>ÖSTHAMMAR</t>
        </is>
      </c>
      <c r="F5590" t="inlineStr">
        <is>
          <t>Bergvik skog öst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27983-2024</t>
        </is>
      </c>
      <c r="B5591" s="1" t="n">
        <v>45476</v>
      </c>
      <c r="C5591" s="1" t="n">
        <v>45706</v>
      </c>
      <c r="D5591" t="inlineStr">
        <is>
          <t>UPPSALA LÄN</t>
        </is>
      </c>
      <c r="E5591" t="inlineStr">
        <is>
          <t>ENKÖPING</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27993-2024</t>
        </is>
      </c>
      <c r="B5592" s="1" t="n">
        <v>45476</v>
      </c>
      <c r="C5592" s="1" t="n">
        <v>45706</v>
      </c>
      <c r="D5592" t="inlineStr">
        <is>
          <t>UPPSALA LÄN</t>
        </is>
      </c>
      <c r="E5592" t="inlineStr">
        <is>
          <t>ENKÖPING</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27981-2024</t>
        </is>
      </c>
      <c r="B5593" s="1" t="n">
        <v>45476</v>
      </c>
      <c r="C5593" s="1" t="n">
        <v>45706</v>
      </c>
      <c r="D5593" t="inlineStr">
        <is>
          <t>UPPSALA LÄN</t>
        </is>
      </c>
      <c r="E5593" t="inlineStr">
        <is>
          <t>UPPSALA</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27973-2024</t>
        </is>
      </c>
      <c r="B5594" s="1" t="n">
        <v>45476</v>
      </c>
      <c r="C5594" s="1" t="n">
        <v>45706</v>
      </c>
      <c r="D5594" t="inlineStr">
        <is>
          <t>UPPSALA LÄN</t>
        </is>
      </c>
      <c r="E5594" t="inlineStr">
        <is>
          <t>UPPSALA</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28453-2024</t>
        </is>
      </c>
      <c r="B5595" s="1" t="n">
        <v>45477</v>
      </c>
      <c r="C5595" s="1" t="n">
        <v>45706</v>
      </c>
      <c r="D5595" t="inlineStr">
        <is>
          <t>UPPSALA LÄN</t>
        </is>
      </c>
      <c r="E5595" t="inlineStr">
        <is>
          <t>UPPSALA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28325-2024</t>
        </is>
      </c>
      <c r="B5596" s="1" t="n">
        <v>45477</v>
      </c>
      <c r="C5596" s="1" t="n">
        <v>45706</v>
      </c>
      <c r="D5596" t="inlineStr">
        <is>
          <t>UPPSALA LÄN</t>
        </is>
      </c>
      <c r="E5596" t="inlineStr">
        <is>
          <t>ENKÖPING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28518-2024</t>
        </is>
      </c>
      <c r="B5597" s="1" t="n">
        <v>45477</v>
      </c>
      <c r="C5597" s="1" t="n">
        <v>45706</v>
      </c>
      <c r="D5597" t="inlineStr">
        <is>
          <t>UPPSALA LÄN</t>
        </is>
      </c>
      <c r="E5597" t="inlineStr">
        <is>
          <t>ENKÖPING</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28318-2024</t>
        </is>
      </c>
      <c r="B5598" s="1" t="n">
        <v>45477</v>
      </c>
      <c r="C5598" s="1" t="n">
        <v>45706</v>
      </c>
      <c r="D5598" t="inlineStr">
        <is>
          <t>UPPSALA LÄN</t>
        </is>
      </c>
      <c r="E5598" t="inlineStr">
        <is>
          <t>ENKÖPING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28515-2024</t>
        </is>
      </c>
      <c r="B5599" s="1" t="n">
        <v>45477</v>
      </c>
      <c r="C5599" s="1" t="n">
        <v>45706</v>
      </c>
      <c r="D5599" t="inlineStr">
        <is>
          <t>UPPSALA LÄN</t>
        </is>
      </c>
      <c r="E5599" t="inlineStr">
        <is>
          <t>ENKÖPING</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28538-2024</t>
        </is>
      </c>
      <c r="B5600" s="1" t="n">
        <v>45478</v>
      </c>
      <c r="C5600" s="1" t="n">
        <v>45706</v>
      </c>
      <c r="D5600" t="inlineStr">
        <is>
          <t>UPPSALA LÄN</t>
        </is>
      </c>
      <c r="E5600" t="inlineStr">
        <is>
          <t>TIERP</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28825-2024</t>
        </is>
      </c>
      <c r="B5601" s="1" t="n">
        <v>45478</v>
      </c>
      <c r="C5601" s="1" t="n">
        <v>45706</v>
      </c>
      <c r="D5601" t="inlineStr">
        <is>
          <t>UPPSALA LÄN</t>
        </is>
      </c>
      <c r="E5601" t="inlineStr">
        <is>
          <t>UPPSALA</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28608-2024</t>
        </is>
      </c>
      <c r="B5602" s="1" t="n">
        <v>45478</v>
      </c>
      <c r="C5602" s="1" t="n">
        <v>45706</v>
      </c>
      <c r="D5602" t="inlineStr">
        <is>
          <t>UPPSALA LÄN</t>
        </is>
      </c>
      <c r="E5602" t="inlineStr">
        <is>
          <t>HÅBO</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28782-2024</t>
        </is>
      </c>
      <c r="B5603" s="1" t="n">
        <v>45478</v>
      </c>
      <c r="C5603" s="1" t="n">
        <v>45706</v>
      </c>
      <c r="D5603" t="inlineStr">
        <is>
          <t>UPPSALA LÄN</t>
        </is>
      </c>
      <c r="E5603" t="inlineStr">
        <is>
          <t>UPPSALA</t>
        </is>
      </c>
      <c r="F5603" t="inlineStr">
        <is>
          <t>Holmen skog AB</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28666-2024</t>
        </is>
      </c>
      <c r="B5604" s="1" t="n">
        <v>45478</v>
      </c>
      <c r="C5604" s="1" t="n">
        <v>45706</v>
      </c>
      <c r="D5604" t="inlineStr">
        <is>
          <t>UPPSALA LÄN</t>
        </is>
      </c>
      <c r="E5604" t="inlineStr">
        <is>
          <t>TIERP</t>
        </is>
      </c>
      <c r="F5604" t="inlineStr">
        <is>
          <t>Bergvik skog öst AB</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28848-2024</t>
        </is>
      </c>
      <c r="B5605" s="1" t="n">
        <v>45478</v>
      </c>
      <c r="C5605" s="1" t="n">
        <v>45706</v>
      </c>
      <c r="D5605" t="inlineStr">
        <is>
          <t>UPPSALA LÄN</t>
        </is>
      </c>
      <c r="E5605" t="inlineStr">
        <is>
          <t>ENKÖPING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28914-2024</t>
        </is>
      </c>
      <c r="B5606" s="1" t="n">
        <v>45480</v>
      </c>
      <c r="C5606" s="1" t="n">
        <v>45706</v>
      </c>
      <c r="D5606" t="inlineStr">
        <is>
          <t>UPPSALA LÄN</t>
        </is>
      </c>
      <c r="E5606" t="inlineStr">
        <is>
          <t>ÖSTHAMMAR</t>
        </is>
      </c>
      <c r="F5606" t="inlineStr">
        <is>
          <t>Bergvik skog öst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28915-2024</t>
        </is>
      </c>
      <c r="B5607" s="1" t="n">
        <v>45480</v>
      </c>
      <c r="C5607" s="1" t="n">
        <v>45706</v>
      </c>
      <c r="D5607" t="inlineStr">
        <is>
          <t>UPPSALA LÄN</t>
        </is>
      </c>
      <c r="E5607" t="inlineStr">
        <is>
          <t>ÖSTHAMMAR</t>
        </is>
      </c>
      <c r="F5607" t="inlineStr">
        <is>
          <t>Bergvik skog öst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29081-2024</t>
        </is>
      </c>
      <c r="B5608" s="1" t="n">
        <v>45481</v>
      </c>
      <c r="C5608" s="1" t="n">
        <v>45706</v>
      </c>
      <c r="D5608" t="inlineStr">
        <is>
          <t>UPPSALA LÄN</t>
        </is>
      </c>
      <c r="E5608" t="inlineStr">
        <is>
          <t>UPPSALA</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29082-2024</t>
        </is>
      </c>
      <c r="B5609" s="1" t="n">
        <v>45481</v>
      </c>
      <c r="C5609" s="1" t="n">
        <v>45706</v>
      </c>
      <c r="D5609" t="inlineStr">
        <is>
          <t>UPPSALA LÄN</t>
        </is>
      </c>
      <c r="E5609" t="inlineStr">
        <is>
          <t>UPPSALA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28944-2024</t>
        </is>
      </c>
      <c r="B5610" s="1" t="n">
        <v>45481</v>
      </c>
      <c r="C5610" s="1" t="n">
        <v>45706</v>
      </c>
      <c r="D5610" t="inlineStr">
        <is>
          <t>UPPSALA LÄN</t>
        </is>
      </c>
      <c r="E5610" t="inlineStr">
        <is>
          <t>TIERP</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29164-2024</t>
        </is>
      </c>
      <c r="B5611" s="1" t="n">
        <v>45482</v>
      </c>
      <c r="C5611" s="1" t="n">
        <v>45706</v>
      </c>
      <c r="D5611" t="inlineStr">
        <is>
          <t>UPPSALA LÄN</t>
        </is>
      </c>
      <c r="E5611" t="inlineStr">
        <is>
          <t>UPPSALA</t>
        </is>
      </c>
      <c r="F5611" t="inlineStr">
        <is>
          <t>Allmännings- och besparingsskogar</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29230-2024</t>
        </is>
      </c>
      <c r="B5612" s="1" t="n">
        <v>45482</v>
      </c>
      <c r="C5612" s="1" t="n">
        <v>45706</v>
      </c>
      <c r="D5612" t="inlineStr">
        <is>
          <t>UPPSALA LÄN</t>
        </is>
      </c>
      <c r="E5612" t="inlineStr">
        <is>
          <t>ÖSTHAMMAR</t>
        </is>
      </c>
      <c r="F5612" t="inlineStr">
        <is>
          <t>Bergvik skog öst AB</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29174-2024</t>
        </is>
      </c>
      <c r="B5613" s="1" t="n">
        <v>45482</v>
      </c>
      <c r="C5613" s="1" t="n">
        <v>45706</v>
      </c>
      <c r="D5613" t="inlineStr">
        <is>
          <t>UPPSALA LÄN</t>
        </is>
      </c>
      <c r="E5613" t="inlineStr">
        <is>
          <t>TIERP</t>
        </is>
      </c>
      <c r="F5613" t="inlineStr">
        <is>
          <t>Bergvik skog öst AB</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29145-2024</t>
        </is>
      </c>
      <c r="B5614" s="1" t="n">
        <v>45482</v>
      </c>
      <c r="C5614" s="1" t="n">
        <v>45706</v>
      </c>
      <c r="D5614" t="inlineStr">
        <is>
          <t>UPPSALA LÄN</t>
        </is>
      </c>
      <c r="E5614" t="inlineStr">
        <is>
          <t>TIERP</t>
        </is>
      </c>
      <c r="F5614" t="inlineStr">
        <is>
          <t>Bergvik skog öst AB</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29231-2024</t>
        </is>
      </c>
      <c r="B5615" s="1" t="n">
        <v>45482</v>
      </c>
      <c r="C5615" s="1" t="n">
        <v>45706</v>
      </c>
      <c r="D5615" t="inlineStr">
        <is>
          <t>UPPSALA LÄN</t>
        </is>
      </c>
      <c r="E5615" t="inlineStr">
        <is>
          <t>ÖSTHAMMAR</t>
        </is>
      </c>
      <c r="F5615" t="inlineStr">
        <is>
          <t>Bergvik skog öst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29438-2024</t>
        </is>
      </c>
      <c r="B5616" s="1" t="n">
        <v>45483</v>
      </c>
      <c r="C5616" s="1" t="n">
        <v>45706</v>
      </c>
      <c r="D5616" t="inlineStr">
        <is>
          <t>UPPSALA LÄN</t>
        </is>
      </c>
      <c r="E5616" t="inlineStr">
        <is>
          <t>ÖSTHAMMAR</t>
        </is>
      </c>
      <c r="F5616" t="inlineStr">
        <is>
          <t>Bergvik skog öst AB</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29823-2024</t>
        </is>
      </c>
      <c r="B5617" s="1" t="n">
        <v>45485</v>
      </c>
      <c r="C5617" s="1" t="n">
        <v>45706</v>
      </c>
      <c r="D5617" t="inlineStr">
        <is>
          <t>UPPSALA LÄN</t>
        </is>
      </c>
      <c r="E5617" t="inlineStr">
        <is>
          <t>ÖSTHAMMAR</t>
        </is>
      </c>
      <c r="F5617" t="inlineStr">
        <is>
          <t>Bergvik skog öst AB</t>
        </is>
      </c>
      <c r="G5617" t="n">
        <v>9</v>
      </c>
      <c r="H5617" t="n">
        <v>0</v>
      </c>
      <c r="I5617" t="n">
        <v>0</v>
      </c>
      <c r="J5617" t="n">
        <v>0</v>
      </c>
      <c r="K5617" t="n">
        <v>0</v>
      </c>
      <c r="L5617" t="n">
        <v>0</v>
      </c>
      <c r="M5617" t="n">
        <v>0</v>
      </c>
      <c r="N5617" t="n">
        <v>0</v>
      </c>
      <c r="O5617" t="n">
        <v>0</v>
      </c>
      <c r="P5617" t="n">
        <v>0</v>
      </c>
      <c r="Q5617" t="n">
        <v>0</v>
      </c>
      <c r="R5617" s="2" t="inlineStr"/>
    </row>
    <row r="5618" ht="15" customHeight="1">
      <c r="A5618" t="inlineStr">
        <is>
          <t>A 30086-2024</t>
        </is>
      </c>
      <c r="B5618" s="1" t="n">
        <v>45485</v>
      </c>
      <c r="C5618" s="1" t="n">
        <v>45706</v>
      </c>
      <c r="D5618" t="inlineStr">
        <is>
          <t>UPPSALA LÄN</t>
        </is>
      </c>
      <c r="E5618" t="inlineStr">
        <is>
          <t>HEBY</t>
        </is>
      </c>
      <c r="F5618" t="inlineStr">
        <is>
          <t>Bergvik skog väst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29899-2024</t>
        </is>
      </c>
      <c r="B5619" s="1" t="n">
        <v>45487</v>
      </c>
      <c r="C5619" s="1" t="n">
        <v>45706</v>
      </c>
      <c r="D5619" t="inlineStr">
        <is>
          <t>UPPSALA LÄN</t>
        </is>
      </c>
      <c r="E5619" t="inlineStr">
        <is>
          <t>ÄLVKARLEBY</t>
        </is>
      </c>
      <c r="F5619" t="inlineStr">
        <is>
          <t>Bergvik skog väst AB</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30165-2024</t>
        </is>
      </c>
      <c r="B5620" s="1" t="n">
        <v>45488</v>
      </c>
      <c r="C5620" s="1" t="n">
        <v>45706</v>
      </c>
      <c r="D5620" t="inlineStr">
        <is>
          <t>UPPSALA LÄN</t>
        </is>
      </c>
      <c r="E5620" t="inlineStr">
        <is>
          <t>HÅBO</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30110-2024</t>
        </is>
      </c>
      <c r="B5621" s="1" t="n">
        <v>45489</v>
      </c>
      <c r="C5621" s="1" t="n">
        <v>45706</v>
      </c>
      <c r="D5621" t="inlineStr">
        <is>
          <t>UPPSALA LÄN</t>
        </is>
      </c>
      <c r="E5621" t="inlineStr">
        <is>
          <t>TIERP</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30092-2024</t>
        </is>
      </c>
      <c r="B5622" s="1" t="n">
        <v>45489</v>
      </c>
      <c r="C5622" s="1" t="n">
        <v>45706</v>
      </c>
      <c r="D5622" t="inlineStr">
        <is>
          <t>UPPSALA LÄN</t>
        </is>
      </c>
      <c r="E5622" t="inlineStr">
        <is>
          <t>ENKÖPING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30079-2024</t>
        </is>
      </c>
      <c r="B5623" s="1" t="n">
        <v>45489</v>
      </c>
      <c r="C5623" s="1" t="n">
        <v>45706</v>
      </c>
      <c r="D5623" t="inlineStr">
        <is>
          <t>UPPSALA LÄN</t>
        </is>
      </c>
      <c r="E5623" t="inlineStr">
        <is>
          <t>UPPSALA</t>
        </is>
      </c>
      <c r="F5623" t="inlineStr">
        <is>
          <t>Holmen skog AB</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30113-2024</t>
        </is>
      </c>
      <c r="B5624" s="1" t="n">
        <v>45489</v>
      </c>
      <c r="C5624" s="1" t="n">
        <v>45706</v>
      </c>
      <c r="D5624" t="inlineStr">
        <is>
          <t>UPPSALA LÄN</t>
        </is>
      </c>
      <c r="E5624" t="inlineStr">
        <is>
          <t>TIERP</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30109-2024</t>
        </is>
      </c>
      <c r="B5625" s="1" t="n">
        <v>45489</v>
      </c>
      <c r="C5625" s="1" t="n">
        <v>45706</v>
      </c>
      <c r="D5625" t="inlineStr">
        <is>
          <t>UPPSALA LÄN</t>
        </is>
      </c>
      <c r="E5625" t="inlineStr">
        <is>
          <t>ENKÖPING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30098-2024</t>
        </is>
      </c>
      <c r="B5626" s="1" t="n">
        <v>45489</v>
      </c>
      <c r="C5626" s="1" t="n">
        <v>45706</v>
      </c>
      <c r="D5626" t="inlineStr">
        <is>
          <t>UPPSALA LÄN</t>
        </is>
      </c>
      <c r="E5626" t="inlineStr">
        <is>
          <t>ENKÖPING</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30087-2024</t>
        </is>
      </c>
      <c r="B5627" s="1" t="n">
        <v>45489</v>
      </c>
      <c r="C5627" s="1" t="n">
        <v>45706</v>
      </c>
      <c r="D5627" t="inlineStr">
        <is>
          <t>UPPSALA LÄN</t>
        </is>
      </c>
      <c r="E5627" t="inlineStr">
        <is>
          <t>ENKÖPING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30125-2024</t>
        </is>
      </c>
      <c r="B5628" s="1" t="n">
        <v>45489</v>
      </c>
      <c r="C5628" s="1" t="n">
        <v>45706</v>
      </c>
      <c r="D5628" t="inlineStr">
        <is>
          <t>UPPSALA LÄN</t>
        </is>
      </c>
      <c r="E5628" t="inlineStr">
        <is>
          <t>TIERP</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30097-2024</t>
        </is>
      </c>
      <c r="B5629" s="1" t="n">
        <v>45489</v>
      </c>
      <c r="C5629" s="1" t="n">
        <v>45706</v>
      </c>
      <c r="D5629" t="inlineStr">
        <is>
          <t>UPPSALA LÄN</t>
        </is>
      </c>
      <c r="E5629" t="inlineStr">
        <is>
          <t>TIERP</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30319-2024</t>
        </is>
      </c>
      <c r="B5630" s="1" t="n">
        <v>45490</v>
      </c>
      <c r="C5630" s="1" t="n">
        <v>45706</v>
      </c>
      <c r="D5630" t="inlineStr">
        <is>
          <t>UPPSALA LÄN</t>
        </is>
      </c>
      <c r="E5630" t="inlineStr">
        <is>
          <t>UPPSALA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30381-2024</t>
        </is>
      </c>
      <c r="B5631" s="1" t="n">
        <v>45491</v>
      </c>
      <c r="C5631" s="1" t="n">
        <v>45706</v>
      </c>
      <c r="D5631" t="inlineStr">
        <is>
          <t>UPPSALA LÄN</t>
        </is>
      </c>
      <c r="E5631" t="inlineStr">
        <is>
          <t>TIERP</t>
        </is>
      </c>
      <c r="F5631" t="inlineStr">
        <is>
          <t>Bergvik skog öst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30394-2024</t>
        </is>
      </c>
      <c r="B5632" s="1" t="n">
        <v>45491</v>
      </c>
      <c r="C5632" s="1" t="n">
        <v>45706</v>
      </c>
      <c r="D5632" t="inlineStr">
        <is>
          <t>UPPSALA LÄN</t>
        </is>
      </c>
      <c r="E5632" t="inlineStr">
        <is>
          <t>ENKÖPING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30509-2024</t>
        </is>
      </c>
      <c r="B5633" s="1" t="n">
        <v>45492</v>
      </c>
      <c r="C5633" s="1" t="n">
        <v>45706</v>
      </c>
      <c r="D5633" t="inlineStr">
        <is>
          <t>UPPSALA LÄN</t>
        </is>
      </c>
      <c r="E5633" t="inlineStr">
        <is>
          <t>TIERP</t>
        </is>
      </c>
      <c r="F5633" t="inlineStr">
        <is>
          <t>Bergvik skog öst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30605-2024</t>
        </is>
      </c>
      <c r="B5634" s="1" t="n">
        <v>45494</v>
      </c>
      <c r="C5634" s="1" t="n">
        <v>45706</v>
      </c>
      <c r="D5634" t="inlineStr">
        <is>
          <t>UPPSALA LÄN</t>
        </is>
      </c>
      <c r="E5634" t="inlineStr">
        <is>
          <t>ÖSTHAMMAR</t>
        </is>
      </c>
      <c r="F5634" t="inlineStr">
        <is>
          <t>Bergvik skog öst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30604-2024</t>
        </is>
      </c>
      <c r="B5635" s="1" t="n">
        <v>45494</v>
      </c>
      <c r="C5635" s="1" t="n">
        <v>45706</v>
      </c>
      <c r="D5635" t="inlineStr">
        <is>
          <t>UPPSALA LÄN</t>
        </is>
      </c>
      <c r="E5635" t="inlineStr">
        <is>
          <t>ÖSTHAMMAR</t>
        </is>
      </c>
      <c r="F5635" t="inlineStr">
        <is>
          <t>Bergvik skog öst AB</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30756-2024</t>
        </is>
      </c>
      <c r="B5636" s="1" t="n">
        <v>45496</v>
      </c>
      <c r="C5636" s="1" t="n">
        <v>45706</v>
      </c>
      <c r="D5636" t="inlineStr">
        <is>
          <t>UPPSALA LÄN</t>
        </is>
      </c>
      <c r="E5636" t="inlineStr">
        <is>
          <t>ÖSTHAMMAR</t>
        </is>
      </c>
      <c r="F5636" t="inlineStr">
        <is>
          <t>Bergvik skog öst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30755-2024</t>
        </is>
      </c>
      <c r="B5637" s="1" t="n">
        <v>45496</v>
      </c>
      <c r="C5637" s="1" t="n">
        <v>45706</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30972-2024</t>
        </is>
      </c>
      <c r="B5638" s="1" t="n">
        <v>45499</v>
      </c>
      <c r="C5638" s="1" t="n">
        <v>45706</v>
      </c>
      <c r="D5638" t="inlineStr">
        <is>
          <t>UPPSALA LÄN</t>
        </is>
      </c>
      <c r="E5638" t="inlineStr">
        <is>
          <t>ÖSTHAMMAR</t>
        </is>
      </c>
      <c r="F5638" t="inlineStr">
        <is>
          <t>Bergvik skog öst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30973-2024</t>
        </is>
      </c>
      <c r="B5639" s="1" t="n">
        <v>45499</v>
      </c>
      <c r="C5639" s="1" t="n">
        <v>45706</v>
      </c>
      <c r="D5639" t="inlineStr">
        <is>
          <t>UPPSALA LÄN</t>
        </is>
      </c>
      <c r="E5639" t="inlineStr">
        <is>
          <t>ÖSTHAMMAR</t>
        </is>
      </c>
      <c r="F5639" t="inlineStr">
        <is>
          <t>Bergvik skog öst AB</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31070-2024</t>
        </is>
      </c>
      <c r="B5640" s="1" t="n">
        <v>45502</v>
      </c>
      <c r="C5640" s="1" t="n">
        <v>45706</v>
      </c>
      <c r="D5640" t="inlineStr">
        <is>
          <t>UPPSALA LÄN</t>
        </is>
      </c>
      <c r="E5640" t="inlineStr">
        <is>
          <t>KNIVSTA</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31101-2024</t>
        </is>
      </c>
      <c r="B5641" s="1" t="n">
        <v>45502</v>
      </c>
      <c r="C5641" s="1" t="n">
        <v>45706</v>
      </c>
      <c r="D5641" t="inlineStr">
        <is>
          <t>UPPSALA LÄN</t>
        </is>
      </c>
      <c r="E5641" t="inlineStr">
        <is>
          <t>HEBY</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31178-2024</t>
        </is>
      </c>
      <c r="B5642" s="1" t="n">
        <v>45503</v>
      </c>
      <c r="C5642" s="1" t="n">
        <v>45706</v>
      </c>
      <c r="D5642" t="inlineStr">
        <is>
          <t>UPPSALA LÄN</t>
        </is>
      </c>
      <c r="E5642" t="inlineStr">
        <is>
          <t>HEBY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31241-2024</t>
        </is>
      </c>
      <c r="B5643" s="1" t="n">
        <v>45503</v>
      </c>
      <c r="C5643" s="1" t="n">
        <v>45706</v>
      </c>
      <c r="D5643" t="inlineStr">
        <is>
          <t>UPPSALA LÄN</t>
        </is>
      </c>
      <c r="E5643" t="inlineStr">
        <is>
          <t>ENKÖPING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31252-2024</t>
        </is>
      </c>
      <c r="B5644" s="1" t="n">
        <v>45503</v>
      </c>
      <c r="C5644" s="1" t="n">
        <v>45706</v>
      </c>
      <c r="D5644" t="inlineStr">
        <is>
          <t>UPPSALA LÄN</t>
        </is>
      </c>
      <c r="E5644" t="inlineStr">
        <is>
          <t>ENKÖPING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31240-2024</t>
        </is>
      </c>
      <c r="B5645" s="1" t="n">
        <v>45503</v>
      </c>
      <c r="C5645" s="1" t="n">
        <v>45706</v>
      </c>
      <c r="D5645" t="inlineStr">
        <is>
          <t>UPPSALA LÄN</t>
        </is>
      </c>
      <c r="E5645" t="inlineStr">
        <is>
          <t>ENKÖPING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31253-2024</t>
        </is>
      </c>
      <c r="B5646" s="1" t="n">
        <v>45503</v>
      </c>
      <c r="C5646" s="1" t="n">
        <v>45706</v>
      </c>
      <c r="D5646" t="inlineStr">
        <is>
          <t>UPPSALA LÄN</t>
        </is>
      </c>
      <c r="E5646" t="inlineStr">
        <is>
          <t>ENKÖPING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31266-2024</t>
        </is>
      </c>
      <c r="B5647" s="1" t="n">
        <v>45504</v>
      </c>
      <c r="C5647" s="1" t="n">
        <v>45706</v>
      </c>
      <c r="D5647" t="inlineStr">
        <is>
          <t>UPPSALA LÄN</t>
        </is>
      </c>
      <c r="E5647" t="inlineStr">
        <is>
          <t>HEBY</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31593-2024</t>
        </is>
      </c>
      <c r="B5648" s="1" t="n">
        <v>45506</v>
      </c>
      <c r="C5648" s="1" t="n">
        <v>45706</v>
      </c>
      <c r="D5648" t="inlineStr">
        <is>
          <t>UPPSALA LÄN</t>
        </is>
      </c>
      <c r="E5648" t="inlineStr">
        <is>
          <t>TIERP</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31592-2024</t>
        </is>
      </c>
      <c r="B5649" s="1" t="n">
        <v>45506</v>
      </c>
      <c r="C5649" s="1" t="n">
        <v>45706</v>
      </c>
      <c r="D5649" t="inlineStr">
        <is>
          <t>UPPSALA LÄN</t>
        </is>
      </c>
      <c r="E5649" t="inlineStr">
        <is>
          <t>TIERP</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31590-2024</t>
        </is>
      </c>
      <c r="B5650" s="1" t="n">
        <v>45506</v>
      </c>
      <c r="C5650" s="1" t="n">
        <v>45706</v>
      </c>
      <c r="D5650" t="inlineStr">
        <is>
          <t>UPPSALA LÄN</t>
        </is>
      </c>
      <c r="E5650" t="inlineStr">
        <is>
          <t>TIERP</t>
        </is>
      </c>
      <c r="G5650" t="n">
        <v>9.800000000000001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31595-2024</t>
        </is>
      </c>
      <c r="B5651" s="1" t="n">
        <v>45506</v>
      </c>
      <c r="C5651" s="1" t="n">
        <v>45706</v>
      </c>
      <c r="D5651" t="inlineStr">
        <is>
          <t>UPPSALA LÄN</t>
        </is>
      </c>
      <c r="E5651" t="inlineStr">
        <is>
          <t>TIERP</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31838-2024</t>
        </is>
      </c>
      <c r="B5652" s="1" t="n">
        <v>45509</v>
      </c>
      <c r="C5652" s="1" t="n">
        <v>45706</v>
      </c>
      <c r="D5652" t="inlineStr">
        <is>
          <t>UPPSALA LÄN</t>
        </is>
      </c>
      <c r="E5652" t="inlineStr">
        <is>
          <t>HEBY</t>
        </is>
      </c>
      <c r="F5652" t="inlineStr">
        <is>
          <t>Allmännings- och besparingsskogar</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31717-2024</t>
        </is>
      </c>
      <c r="B5653" s="1" t="n">
        <v>45509</v>
      </c>
      <c r="C5653" s="1" t="n">
        <v>45706</v>
      </c>
      <c r="D5653" t="inlineStr">
        <is>
          <t>UPPSALA LÄN</t>
        </is>
      </c>
      <c r="E5653" t="inlineStr">
        <is>
          <t>UPPSALA</t>
        </is>
      </c>
      <c r="F5653" t="inlineStr">
        <is>
          <t>Bergvik skog öst AB</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32028-2024</t>
        </is>
      </c>
      <c r="B5654" s="1" t="n">
        <v>45510</v>
      </c>
      <c r="C5654" s="1" t="n">
        <v>45706</v>
      </c>
      <c r="D5654" t="inlineStr">
        <is>
          <t>UPPSALA LÄN</t>
        </is>
      </c>
      <c r="E5654" t="inlineStr">
        <is>
          <t>ENKÖPING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32083-2024</t>
        </is>
      </c>
      <c r="B5655" s="1" t="n">
        <v>45511</v>
      </c>
      <c r="C5655" s="1" t="n">
        <v>45706</v>
      </c>
      <c r="D5655" t="inlineStr">
        <is>
          <t>UPPSALA LÄN</t>
        </is>
      </c>
      <c r="E5655" t="inlineStr">
        <is>
          <t>ENKÖPING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32119-2024</t>
        </is>
      </c>
      <c r="B5656" s="1" t="n">
        <v>45511</v>
      </c>
      <c r="C5656" s="1" t="n">
        <v>45706</v>
      </c>
      <c r="D5656" t="inlineStr">
        <is>
          <t>UPPSALA LÄN</t>
        </is>
      </c>
      <c r="E5656" t="inlineStr">
        <is>
          <t>UPPSALA</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32127-2024</t>
        </is>
      </c>
      <c r="B5657" s="1" t="n">
        <v>45511</v>
      </c>
      <c r="C5657" s="1" t="n">
        <v>45706</v>
      </c>
      <c r="D5657" t="inlineStr">
        <is>
          <t>UPPSALA LÄN</t>
        </is>
      </c>
      <c r="E5657" t="inlineStr">
        <is>
          <t>UPPSALA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32086-2024</t>
        </is>
      </c>
      <c r="B5658" s="1" t="n">
        <v>45511</v>
      </c>
      <c r="C5658" s="1" t="n">
        <v>45706</v>
      </c>
      <c r="D5658" t="inlineStr">
        <is>
          <t>UPPSALA LÄN</t>
        </is>
      </c>
      <c r="E5658" t="inlineStr">
        <is>
          <t>ENKÖPING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32212-2024</t>
        </is>
      </c>
      <c r="B5659" s="1" t="n">
        <v>45511</v>
      </c>
      <c r="C5659" s="1" t="n">
        <v>45706</v>
      </c>
      <c r="D5659" t="inlineStr">
        <is>
          <t>UPPSALA LÄN</t>
        </is>
      </c>
      <c r="E5659" t="inlineStr">
        <is>
          <t>TIERP</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32098-2024</t>
        </is>
      </c>
      <c r="B5660" s="1" t="n">
        <v>45511</v>
      </c>
      <c r="C5660" s="1" t="n">
        <v>45706</v>
      </c>
      <c r="D5660" t="inlineStr">
        <is>
          <t>UPPSALA LÄN</t>
        </is>
      </c>
      <c r="E5660" t="inlineStr">
        <is>
          <t>TIERP</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32106-2024</t>
        </is>
      </c>
      <c r="B5661" s="1" t="n">
        <v>45511</v>
      </c>
      <c r="C5661" s="1" t="n">
        <v>45706</v>
      </c>
      <c r="D5661" t="inlineStr">
        <is>
          <t>UPPSALA LÄN</t>
        </is>
      </c>
      <c r="E5661" t="inlineStr">
        <is>
          <t>UPPSALA</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32150-2024</t>
        </is>
      </c>
      <c r="B5662" s="1" t="n">
        <v>45511</v>
      </c>
      <c r="C5662" s="1" t="n">
        <v>45706</v>
      </c>
      <c r="D5662" t="inlineStr">
        <is>
          <t>UPPSALA LÄN</t>
        </is>
      </c>
      <c r="E5662" t="inlineStr">
        <is>
          <t>HEBY</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32080-2024</t>
        </is>
      </c>
      <c r="B5663" s="1" t="n">
        <v>45511</v>
      </c>
      <c r="C5663" s="1" t="n">
        <v>45706</v>
      </c>
      <c r="D5663" t="inlineStr">
        <is>
          <t>UPPSALA LÄN</t>
        </is>
      </c>
      <c r="E5663" t="inlineStr">
        <is>
          <t>ENKÖPING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32190-2024</t>
        </is>
      </c>
      <c r="B5664" s="1" t="n">
        <v>45511</v>
      </c>
      <c r="C5664" s="1" t="n">
        <v>45706</v>
      </c>
      <c r="D5664" t="inlineStr">
        <is>
          <t>UPPSALA LÄN</t>
        </is>
      </c>
      <c r="E5664" t="inlineStr">
        <is>
          <t>ÖSTHAMMAR</t>
        </is>
      </c>
      <c r="F5664" t="inlineStr">
        <is>
          <t>Bergvik skog öst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32192-2024</t>
        </is>
      </c>
      <c r="B5665" s="1" t="n">
        <v>45511</v>
      </c>
      <c r="C5665" s="1" t="n">
        <v>45706</v>
      </c>
      <c r="D5665" t="inlineStr">
        <is>
          <t>UPPSALA LÄN</t>
        </is>
      </c>
      <c r="E5665" t="inlineStr">
        <is>
          <t>ÖSTHAMMAR</t>
        </is>
      </c>
      <c r="F5665" t="inlineStr">
        <is>
          <t>Bergvik skog öst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32193-2024</t>
        </is>
      </c>
      <c r="B5666" s="1" t="n">
        <v>45511</v>
      </c>
      <c r="C5666" s="1" t="n">
        <v>45706</v>
      </c>
      <c r="D5666" t="inlineStr">
        <is>
          <t>UPPSALA LÄN</t>
        </is>
      </c>
      <c r="E5666" t="inlineStr">
        <is>
          <t>ÖSTHAMMAR</t>
        </is>
      </c>
      <c r="F5666" t="inlineStr">
        <is>
          <t>Bergvik skog öst AB</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32181-2024</t>
        </is>
      </c>
      <c r="B5667" s="1" t="n">
        <v>45511</v>
      </c>
      <c r="C5667" s="1" t="n">
        <v>45706</v>
      </c>
      <c r="D5667" t="inlineStr">
        <is>
          <t>UPPSALA LÄN</t>
        </is>
      </c>
      <c r="E5667" t="inlineStr">
        <is>
          <t>HEBY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32117-2024</t>
        </is>
      </c>
      <c r="B5668" s="1" t="n">
        <v>45511</v>
      </c>
      <c r="C5668" s="1" t="n">
        <v>45706</v>
      </c>
      <c r="D5668" t="inlineStr">
        <is>
          <t>UPPSALA LÄN</t>
        </is>
      </c>
      <c r="E5668" t="inlineStr">
        <is>
          <t>UPPSALA</t>
        </is>
      </c>
      <c r="F5668" t="inlineStr">
        <is>
          <t>Allmännings- och besparingsskogar</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32085-2024</t>
        </is>
      </c>
      <c r="B5669" s="1" t="n">
        <v>45511</v>
      </c>
      <c r="C5669" s="1" t="n">
        <v>45706</v>
      </c>
      <c r="D5669" t="inlineStr">
        <is>
          <t>UPPSALA LÄN</t>
        </is>
      </c>
      <c r="E5669" t="inlineStr">
        <is>
          <t>ENKÖPING</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32081-2024</t>
        </is>
      </c>
      <c r="B5670" s="1" t="n">
        <v>45511</v>
      </c>
      <c r="C5670" s="1" t="n">
        <v>45706</v>
      </c>
      <c r="D5670" t="inlineStr">
        <is>
          <t>UPPSALA LÄN</t>
        </is>
      </c>
      <c r="E5670" t="inlineStr">
        <is>
          <t>ENKÖPING</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32292-2024</t>
        </is>
      </c>
      <c r="B5671" s="1" t="n">
        <v>45512</v>
      </c>
      <c r="C5671" s="1" t="n">
        <v>45706</v>
      </c>
      <c r="D5671" t="inlineStr">
        <is>
          <t>UPPSALA LÄN</t>
        </is>
      </c>
      <c r="E5671" t="inlineStr">
        <is>
          <t>HEBY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32373-2024</t>
        </is>
      </c>
      <c r="B5672" s="1" t="n">
        <v>45512</v>
      </c>
      <c r="C5672" s="1" t="n">
        <v>45706</v>
      </c>
      <c r="D5672" t="inlineStr">
        <is>
          <t>UPPSALA LÄN</t>
        </is>
      </c>
      <c r="E5672" t="inlineStr">
        <is>
          <t>HEBY</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32476-2024</t>
        </is>
      </c>
      <c r="B5673" s="1" t="n">
        <v>45513</v>
      </c>
      <c r="C5673" s="1" t="n">
        <v>45706</v>
      </c>
      <c r="D5673" t="inlineStr">
        <is>
          <t>UPPSALA LÄN</t>
        </is>
      </c>
      <c r="E5673" t="inlineStr">
        <is>
          <t>ÖSTHAMMAR</t>
        </is>
      </c>
      <c r="F5673" t="inlineStr">
        <is>
          <t>Bergvik skog öst AB</t>
        </is>
      </c>
      <c r="G5673" t="n">
        <v>13.2</v>
      </c>
      <c r="H5673" t="n">
        <v>0</v>
      </c>
      <c r="I5673" t="n">
        <v>0</v>
      </c>
      <c r="J5673" t="n">
        <v>0</v>
      </c>
      <c r="K5673" t="n">
        <v>0</v>
      </c>
      <c r="L5673" t="n">
        <v>0</v>
      </c>
      <c r="M5673" t="n">
        <v>0</v>
      </c>
      <c r="N5673" t="n">
        <v>0</v>
      </c>
      <c r="O5673" t="n">
        <v>0</v>
      </c>
      <c r="P5673" t="n">
        <v>0</v>
      </c>
      <c r="Q5673" t="n">
        <v>0</v>
      </c>
      <c r="R5673" s="2" t="inlineStr"/>
    </row>
    <row r="5674" ht="15" customHeight="1">
      <c r="A5674" t="inlineStr">
        <is>
          <t>A 32483-2024</t>
        </is>
      </c>
      <c r="B5674" s="1" t="n">
        <v>45513</v>
      </c>
      <c r="C5674" s="1" t="n">
        <v>45706</v>
      </c>
      <c r="D5674" t="inlineStr">
        <is>
          <t>UPPSALA LÄN</t>
        </is>
      </c>
      <c r="E5674" t="inlineStr">
        <is>
          <t>ÖSTHAMMAR</t>
        </is>
      </c>
      <c r="F5674" t="inlineStr">
        <is>
          <t>Kyrkan</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32554-2024</t>
        </is>
      </c>
      <c r="B5675" s="1" t="n">
        <v>45513</v>
      </c>
      <c r="C5675" s="1" t="n">
        <v>45706</v>
      </c>
      <c r="D5675" t="inlineStr">
        <is>
          <t>UPPSALA LÄN</t>
        </is>
      </c>
      <c r="E5675" t="inlineStr">
        <is>
          <t>UPPSALA</t>
        </is>
      </c>
      <c r="F5675" t="inlineStr">
        <is>
          <t>Bergvik skog öst AB</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32553-2024</t>
        </is>
      </c>
      <c r="B5676" s="1" t="n">
        <v>45513</v>
      </c>
      <c r="C5676" s="1" t="n">
        <v>45706</v>
      </c>
      <c r="D5676" t="inlineStr">
        <is>
          <t>UPPSALA LÄN</t>
        </is>
      </c>
      <c r="E5676" t="inlineStr">
        <is>
          <t>UPPSALA</t>
        </is>
      </c>
      <c r="F5676" t="inlineStr">
        <is>
          <t>Bergvik skog öst AB</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32878-2024</t>
        </is>
      </c>
      <c r="B5677" s="1" t="n">
        <v>45516</v>
      </c>
      <c r="C5677" s="1" t="n">
        <v>45706</v>
      </c>
      <c r="D5677" t="inlineStr">
        <is>
          <t>UPPSALA LÄN</t>
        </is>
      </c>
      <c r="E5677" t="inlineStr">
        <is>
          <t>ÖSTHAMMAR</t>
        </is>
      </c>
      <c r="F5677" t="inlineStr">
        <is>
          <t>Bergvik skog öst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32873-2024</t>
        </is>
      </c>
      <c r="B5678" s="1" t="n">
        <v>45516</v>
      </c>
      <c r="C5678" s="1" t="n">
        <v>45706</v>
      </c>
      <c r="D5678" t="inlineStr">
        <is>
          <t>UPPSALA LÄN</t>
        </is>
      </c>
      <c r="E5678" t="inlineStr">
        <is>
          <t>TIERP</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32815-2024</t>
        </is>
      </c>
      <c r="B5679" s="1" t="n">
        <v>45516</v>
      </c>
      <c r="C5679" s="1" t="n">
        <v>45706</v>
      </c>
      <c r="D5679" t="inlineStr">
        <is>
          <t>UPPSALA LÄN</t>
        </is>
      </c>
      <c r="E5679" t="inlineStr">
        <is>
          <t>ÖSTHAMMAR</t>
        </is>
      </c>
      <c r="F5679" t="inlineStr">
        <is>
          <t>Bergvik skog öst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32884-2024</t>
        </is>
      </c>
      <c r="B5680" s="1" t="n">
        <v>45516</v>
      </c>
      <c r="C5680" s="1" t="n">
        <v>45706</v>
      </c>
      <c r="D5680" t="inlineStr">
        <is>
          <t>UPPSALA LÄN</t>
        </is>
      </c>
      <c r="E5680" t="inlineStr">
        <is>
          <t>ÖSTHAMMAR</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32802-2024</t>
        </is>
      </c>
      <c r="B5681" s="1" t="n">
        <v>45516</v>
      </c>
      <c r="C5681" s="1" t="n">
        <v>45706</v>
      </c>
      <c r="D5681" t="inlineStr">
        <is>
          <t>UPPSALA LÄN</t>
        </is>
      </c>
      <c r="E5681" t="inlineStr">
        <is>
          <t>TIERP</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32871-2024</t>
        </is>
      </c>
      <c r="B5682" s="1" t="n">
        <v>45516</v>
      </c>
      <c r="C5682" s="1" t="n">
        <v>45706</v>
      </c>
      <c r="D5682" t="inlineStr">
        <is>
          <t>UPPSALA LÄN</t>
        </is>
      </c>
      <c r="E5682" t="inlineStr">
        <is>
          <t>TIERP</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32787-2024</t>
        </is>
      </c>
      <c r="B5683" s="1" t="n">
        <v>45516</v>
      </c>
      <c r="C5683" s="1" t="n">
        <v>45706</v>
      </c>
      <c r="D5683" t="inlineStr">
        <is>
          <t>UPPSALA LÄN</t>
        </is>
      </c>
      <c r="E5683" t="inlineStr">
        <is>
          <t>HEBY</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32946-2024</t>
        </is>
      </c>
      <c r="B5684" s="1" t="n">
        <v>45517</v>
      </c>
      <c r="C5684" s="1" t="n">
        <v>45706</v>
      </c>
      <c r="D5684" t="inlineStr">
        <is>
          <t>UPPSALA LÄN</t>
        </is>
      </c>
      <c r="E5684" t="inlineStr">
        <is>
          <t>HEBY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32928-2024</t>
        </is>
      </c>
      <c r="B5685" s="1" t="n">
        <v>45517</v>
      </c>
      <c r="C5685" s="1" t="n">
        <v>45706</v>
      </c>
      <c r="D5685" t="inlineStr">
        <is>
          <t>UPPSALA LÄN</t>
        </is>
      </c>
      <c r="E5685" t="inlineStr">
        <is>
          <t>ÖSTHAMMAR</t>
        </is>
      </c>
      <c r="F5685" t="inlineStr">
        <is>
          <t>Bergvik skog öst AB</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32949-2024</t>
        </is>
      </c>
      <c r="B5686" s="1" t="n">
        <v>45517</v>
      </c>
      <c r="C5686" s="1" t="n">
        <v>45706</v>
      </c>
      <c r="D5686" t="inlineStr">
        <is>
          <t>UPPSALA LÄN</t>
        </is>
      </c>
      <c r="E5686" t="inlineStr">
        <is>
          <t>HEBY</t>
        </is>
      </c>
      <c r="G5686" t="n">
        <v>17.6</v>
      </c>
      <c r="H5686" t="n">
        <v>0</v>
      </c>
      <c r="I5686" t="n">
        <v>0</v>
      </c>
      <c r="J5686" t="n">
        <v>0</v>
      </c>
      <c r="K5686" t="n">
        <v>0</v>
      </c>
      <c r="L5686" t="n">
        <v>0</v>
      </c>
      <c r="M5686" t="n">
        <v>0</v>
      </c>
      <c r="N5686" t="n">
        <v>0</v>
      </c>
      <c r="O5686" t="n">
        <v>0</v>
      </c>
      <c r="P5686" t="n">
        <v>0</v>
      </c>
      <c r="Q5686" t="n">
        <v>0</v>
      </c>
      <c r="R5686" s="2" t="inlineStr"/>
    </row>
    <row r="5687" ht="15" customHeight="1">
      <c r="A5687" t="inlineStr">
        <is>
          <t>A 32967-2024</t>
        </is>
      </c>
      <c r="B5687" s="1" t="n">
        <v>45517</v>
      </c>
      <c r="C5687" s="1" t="n">
        <v>45706</v>
      </c>
      <c r="D5687" t="inlineStr">
        <is>
          <t>UPPSALA LÄN</t>
        </is>
      </c>
      <c r="E5687" t="inlineStr">
        <is>
          <t>ÖSTHAMMAR</t>
        </is>
      </c>
      <c r="F5687" t="inlineStr">
        <is>
          <t>Kyrkan</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33145-2024</t>
        </is>
      </c>
      <c r="B5688" s="1" t="n">
        <v>45518</v>
      </c>
      <c r="C5688" s="1" t="n">
        <v>45706</v>
      </c>
      <c r="D5688" t="inlineStr">
        <is>
          <t>UPPSALA LÄN</t>
        </is>
      </c>
      <c r="E5688" t="inlineStr">
        <is>
          <t>KNIVSTA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33130-2024</t>
        </is>
      </c>
      <c r="B5689" s="1" t="n">
        <v>45518</v>
      </c>
      <c r="C5689" s="1" t="n">
        <v>45706</v>
      </c>
      <c r="D5689" t="inlineStr">
        <is>
          <t>UPPSALA LÄN</t>
        </is>
      </c>
      <c r="E5689" t="inlineStr">
        <is>
          <t>KNIVSTA</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33376-2024</t>
        </is>
      </c>
      <c r="B5690" s="1" t="n">
        <v>45519</v>
      </c>
      <c r="C5690" s="1" t="n">
        <v>45706</v>
      </c>
      <c r="D5690" t="inlineStr">
        <is>
          <t>UPPSALA LÄN</t>
        </is>
      </c>
      <c r="E5690" t="inlineStr">
        <is>
          <t>HEBY</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33350-2024</t>
        </is>
      </c>
      <c r="B5691" s="1" t="n">
        <v>45519</v>
      </c>
      <c r="C5691" s="1" t="n">
        <v>45706</v>
      </c>
      <c r="D5691" t="inlineStr">
        <is>
          <t>UPPSALA LÄN</t>
        </is>
      </c>
      <c r="E5691" t="inlineStr">
        <is>
          <t>HEBY</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33366-2024</t>
        </is>
      </c>
      <c r="B5692" s="1" t="n">
        <v>45519</v>
      </c>
      <c r="C5692" s="1" t="n">
        <v>45706</v>
      </c>
      <c r="D5692" t="inlineStr">
        <is>
          <t>UPPSALA LÄN</t>
        </is>
      </c>
      <c r="E5692" t="inlineStr">
        <is>
          <t>HEBY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33349-2024</t>
        </is>
      </c>
      <c r="B5693" s="1" t="n">
        <v>45519</v>
      </c>
      <c r="C5693" s="1" t="n">
        <v>45706</v>
      </c>
      <c r="D5693" t="inlineStr">
        <is>
          <t>UPPSALA LÄN</t>
        </is>
      </c>
      <c r="E5693" t="inlineStr">
        <is>
          <t>ENKÖPING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33381-2024</t>
        </is>
      </c>
      <c r="B5694" s="1" t="n">
        <v>45519</v>
      </c>
      <c r="C5694" s="1" t="n">
        <v>45706</v>
      </c>
      <c r="D5694" t="inlineStr">
        <is>
          <t>UPPSALA LÄN</t>
        </is>
      </c>
      <c r="E5694" t="inlineStr">
        <is>
          <t>HEBY</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33409-2024</t>
        </is>
      </c>
      <c r="B5695" s="1" t="n">
        <v>45519</v>
      </c>
      <c r="C5695" s="1" t="n">
        <v>45706</v>
      </c>
      <c r="D5695" t="inlineStr">
        <is>
          <t>UPPSALA LÄN</t>
        </is>
      </c>
      <c r="E5695" t="inlineStr">
        <is>
          <t>HEBY</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33445-2024</t>
        </is>
      </c>
      <c r="B5696" s="1" t="n">
        <v>45519</v>
      </c>
      <c r="C5696" s="1" t="n">
        <v>45706</v>
      </c>
      <c r="D5696" t="inlineStr">
        <is>
          <t>UPPSALA LÄN</t>
        </is>
      </c>
      <c r="E5696" t="inlineStr">
        <is>
          <t>ÖSTHAMMAR</t>
        </is>
      </c>
      <c r="F5696" t="inlineStr">
        <is>
          <t>Bergvik skog öst AB</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33550-2024</t>
        </is>
      </c>
      <c r="B5697" s="1" t="n">
        <v>45519</v>
      </c>
      <c r="C5697" s="1" t="n">
        <v>45706</v>
      </c>
      <c r="D5697" t="inlineStr">
        <is>
          <t>UPPSALA LÄN</t>
        </is>
      </c>
      <c r="E5697" t="inlineStr">
        <is>
          <t>ÖSTHAMMAR</t>
        </is>
      </c>
      <c r="F5697" t="inlineStr">
        <is>
          <t>Bergvik skog öst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33394-2024</t>
        </is>
      </c>
      <c r="B5698" s="1" t="n">
        <v>45519</v>
      </c>
      <c r="C5698" s="1" t="n">
        <v>45706</v>
      </c>
      <c r="D5698" t="inlineStr">
        <is>
          <t>UPPSALA LÄN</t>
        </is>
      </c>
      <c r="E5698" t="inlineStr">
        <is>
          <t>HEBY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33540-2024</t>
        </is>
      </c>
      <c r="B5699" s="1" t="n">
        <v>45519</v>
      </c>
      <c r="C5699" s="1" t="n">
        <v>45706</v>
      </c>
      <c r="D5699" t="inlineStr">
        <is>
          <t>UPPSALA LÄN</t>
        </is>
      </c>
      <c r="E5699" t="inlineStr">
        <is>
          <t>KNIVSTA</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33552-2024</t>
        </is>
      </c>
      <c r="B5700" s="1" t="n">
        <v>45519</v>
      </c>
      <c r="C5700" s="1" t="n">
        <v>45706</v>
      </c>
      <c r="D5700" t="inlineStr">
        <is>
          <t>UPPSALA LÄN</t>
        </is>
      </c>
      <c r="E5700" t="inlineStr">
        <is>
          <t>ÖSTHAMMAR</t>
        </is>
      </c>
      <c r="F5700" t="inlineStr">
        <is>
          <t>Bergvik skog öst AB</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33343-2024</t>
        </is>
      </c>
      <c r="B5701" s="1" t="n">
        <v>45519</v>
      </c>
      <c r="C5701" s="1" t="n">
        <v>45706</v>
      </c>
      <c r="D5701" t="inlineStr">
        <is>
          <t>UPPSALA LÄN</t>
        </is>
      </c>
      <c r="E5701" t="inlineStr">
        <is>
          <t>ENKÖPING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33444-2024</t>
        </is>
      </c>
      <c r="B5702" s="1" t="n">
        <v>45519</v>
      </c>
      <c r="C5702" s="1" t="n">
        <v>45706</v>
      </c>
      <c r="D5702" t="inlineStr">
        <is>
          <t>UPPSALA LÄN</t>
        </is>
      </c>
      <c r="E5702" t="inlineStr">
        <is>
          <t>TIERP</t>
        </is>
      </c>
      <c r="F5702" t="inlineStr">
        <is>
          <t>Bergvik skog väst AB</t>
        </is>
      </c>
      <c r="G5702" t="n">
        <v>57.7</v>
      </c>
      <c r="H5702" t="n">
        <v>0</v>
      </c>
      <c r="I5702" t="n">
        <v>0</v>
      </c>
      <c r="J5702" t="n">
        <v>0</v>
      </c>
      <c r="K5702" t="n">
        <v>0</v>
      </c>
      <c r="L5702" t="n">
        <v>0</v>
      </c>
      <c r="M5702" t="n">
        <v>0</v>
      </c>
      <c r="N5702" t="n">
        <v>0</v>
      </c>
      <c r="O5702" t="n">
        <v>0</v>
      </c>
      <c r="P5702" t="n">
        <v>0</v>
      </c>
      <c r="Q5702" t="n">
        <v>0</v>
      </c>
      <c r="R5702" s="2" t="inlineStr"/>
    </row>
    <row r="5703" ht="15" customHeight="1">
      <c r="A5703" t="inlineStr">
        <is>
          <t>A 33448-2024</t>
        </is>
      </c>
      <c r="B5703" s="1" t="n">
        <v>45519</v>
      </c>
      <c r="C5703" s="1" t="n">
        <v>45706</v>
      </c>
      <c r="D5703" t="inlineStr">
        <is>
          <t>UPPSALA LÄN</t>
        </is>
      </c>
      <c r="E5703" t="inlineStr">
        <is>
          <t>ENKÖPING</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33492-2024</t>
        </is>
      </c>
      <c r="B5704" s="1" t="n">
        <v>45519</v>
      </c>
      <c r="C5704" s="1" t="n">
        <v>45706</v>
      </c>
      <c r="D5704" t="inlineStr">
        <is>
          <t>UPPSALA LÄN</t>
        </is>
      </c>
      <c r="E5704" t="inlineStr">
        <is>
          <t>TIERP</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33496-2024</t>
        </is>
      </c>
      <c r="B5705" s="1" t="n">
        <v>45519</v>
      </c>
      <c r="C5705" s="1" t="n">
        <v>45706</v>
      </c>
      <c r="D5705" t="inlineStr">
        <is>
          <t>UPPSALA LÄN</t>
        </is>
      </c>
      <c r="E5705" t="inlineStr">
        <is>
          <t>HEBY</t>
        </is>
      </c>
      <c r="F5705" t="inlineStr">
        <is>
          <t>Övriga Aktiebolag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33553-2024</t>
        </is>
      </c>
      <c r="B5706" s="1" t="n">
        <v>45519</v>
      </c>
      <c r="C5706" s="1" t="n">
        <v>45706</v>
      </c>
      <c r="D5706" t="inlineStr">
        <is>
          <t>UPPSALA LÄN</t>
        </is>
      </c>
      <c r="E5706" t="inlineStr">
        <is>
          <t>ÖSTHAMMAR</t>
        </is>
      </c>
      <c r="F5706" t="inlineStr">
        <is>
          <t>Bergvik skog öst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33599-2024</t>
        </is>
      </c>
      <c r="B5707" s="1" t="n">
        <v>45520</v>
      </c>
      <c r="C5707" s="1" t="n">
        <v>45706</v>
      </c>
      <c r="D5707" t="inlineStr">
        <is>
          <t>UPPSALA LÄN</t>
        </is>
      </c>
      <c r="E5707" t="inlineStr">
        <is>
          <t>ÖSTHAMMAR</t>
        </is>
      </c>
      <c r="F5707" t="inlineStr">
        <is>
          <t>Övriga Aktiebolag</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33603-2024</t>
        </is>
      </c>
      <c r="B5708" s="1" t="n">
        <v>45520</v>
      </c>
      <c r="C5708" s="1" t="n">
        <v>45706</v>
      </c>
      <c r="D5708" t="inlineStr">
        <is>
          <t>UPPSALA LÄN</t>
        </is>
      </c>
      <c r="E5708" t="inlineStr">
        <is>
          <t>ÖSTHAMMAR</t>
        </is>
      </c>
      <c r="F5708" t="inlineStr">
        <is>
          <t>Övriga Aktiebolag</t>
        </is>
      </c>
      <c r="G5708" t="n">
        <v>9.199999999999999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33601-2024</t>
        </is>
      </c>
      <c r="B5709" s="1" t="n">
        <v>45520</v>
      </c>
      <c r="C5709" s="1" t="n">
        <v>45706</v>
      </c>
      <c r="D5709" t="inlineStr">
        <is>
          <t>UPPSALA LÄN</t>
        </is>
      </c>
      <c r="E5709" t="inlineStr">
        <is>
          <t>ÖSTHAMMAR</t>
        </is>
      </c>
      <c r="F5709" t="inlineStr">
        <is>
          <t>Övriga Aktiebolag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33622-2024</t>
        </is>
      </c>
      <c r="B5710" s="1" t="n">
        <v>45520</v>
      </c>
      <c r="C5710" s="1" t="n">
        <v>45706</v>
      </c>
      <c r="D5710" t="inlineStr">
        <is>
          <t>UPPSALA LÄN</t>
        </is>
      </c>
      <c r="E5710" t="inlineStr">
        <is>
          <t>UPPSALA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33665-2024</t>
        </is>
      </c>
      <c r="B5711" s="1" t="n">
        <v>45520</v>
      </c>
      <c r="C5711" s="1" t="n">
        <v>45706</v>
      </c>
      <c r="D5711" t="inlineStr">
        <is>
          <t>UPPSALA LÄN</t>
        </is>
      </c>
      <c r="E5711" t="inlineStr">
        <is>
          <t>ENKÖPING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33669-2024</t>
        </is>
      </c>
      <c r="B5712" s="1" t="n">
        <v>45520</v>
      </c>
      <c r="C5712" s="1" t="n">
        <v>45706</v>
      </c>
      <c r="D5712" t="inlineStr">
        <is>
          <t>UPPSALA LÄN</t>
        </is>
      </c>
      <c r="E5712" t="inlineStr">
        <is>
          <t>ENKÖPING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33663-2024</t>
        </is>
      </c>
      <c r="B5713" s="1" t="n">
        <v>45520</v>
      </c>
      <c r="C5713" s="1" t="n">
        <v>45706</v>
      </c>
      <c r="D5713" t="inlineStr">
        <is>
          <t>UPPSALA LÄN</t>
        </is>
      </c>
      <c r="E5713" t="inlineStr">
        <is>
          <t>ENKÖPING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33667-2024</t>
        </is>
      </c>
      <c r="B5714" s="1" t="n">
        <v>45520</v>
      </c>
      <c r="C5714" s="1" t="n">
        <v>45706</v>
      </c>
      <c r="D5714" t="inlineStr">
        <is>
          <t>UPPSALA LÄN</t>
        </is>
      </c>
      <c r="E5714" t="inlineStr">
        <is>
          <t>UPPSALA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33680-2024</t>
        </is>
      </c>
      <c r="B5715" s="1" t="n">
        <v>45520</v>
      </c>
      <c r="C5715" s="1" t="n">
        <v>45706</v>
      </c>
      <c r="D5715" t="inlineStr">
        <is>
          <t>UPPSALA LÄN</t>
        </is>
      </c>
      <c r="E5715" t="inlineStr">
        <is>
          <t>ÖSTHAMMAR</t>
        </is>
      </c>
      <c r="F5715" t="inlineStr">
        <is>
          <t>Bergvik skog öst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33781-2024</t>
        </is>
      </c>
      <c r="B5716" s="1" t="n">
        <v>45520</v>
      </c>
      <c r="C5716" s="1" t="n">
        <v>45706</v>
      </c>
      <c r="D5716" t="inlineStr">
        <is>
          <t>UPPSALA LÄN</t>
        </is>
      </c>
      <c r="E5716" t="inlineStr">
        <is>
          <t>ÄLVKARLEBY</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33767-2024</t>
        </is>
      </c>
      <c r="B5717" s="1" t="n">
        <v>45520</v>
      </c>
      <c r="C5717" s="1" t="n">
        <v>45706</v>
      </c>
      <c r="D5717" t="inlineStr">
        <is>
          <t>UPPSALA LÄN</t>
        </is>
      </c>
      <c r="E5717" t="inlineStr">
        <is>
          <t>ÖSTHAMMAR</t>
        </is>
      </c>
      <c r="F5717" t="inlineStr">
        <is>
          <t>Övriga Aktiebolag</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33800-2024</t>
        </is>
      </c>
      <c r="B5718" s="1" t="n">
        <v>45520</v>
      </c>
      <c r="C5718" s="1" t="n">
        <v>45706</v>
      </c>
      <c r="D5718" t="inlineStr">
        <is>
          <t>UPPSALA LÄN</t>
        </is>
      </c>
      <c r="E5718" t="inlineStr">
        <is>
          <t>ÖSTHAMMAR</t>
        </is>
      </c>
      <c r="F5718" t="inlineStr">
        <is>
          <t>Naturvårdsverket</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33670-2024</t>
        </is>
      </c>
      <c r="B5719" s="1" t="n">
        <v>45520</v>
      </c>
      <c r="C5719" s="1" t="n">
        <v>45706</v>
      </c>
      <c r="D5719" t="inlineStr">
        <is>
          <t>UPPSALA LÄN</t>
        </is>
      </c>
      <c r="E5719" t="inlineStr">
        <is>
          <t>ENKÖPING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33816-2024</t>
        </is>
      </c>
      <c r="B5720" s="1" t="n">
        <v>45520</v>
      </c>
      <c r="C5720" s="1" t="n">
        <v>45706</v>
      </c>
      <c r="D5720" t="inlineStr">
        <is>
          <t>UPPSALA LÄN</t>
        </is>
      </c>
      <c r="E5720" t="inlineStr">
        <is>
          <t>UPPSALA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33683-2024</t>
        </is>
      </c>
      <c r="B5721" s="1" t="n">
        <v>45520</v>
      </c>
      <c r="C5721" s="1" t="n">
        <v>45706</v>
      </c>
      <c r="D5721" t="inlineStr">
        <is>
          <t>UPPSALA LÄN</t>
        </is>
      </c>
      <c r="E5721" t="inlineStr">
        <is>
          <t>HEBY</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33688-2024</t>
        </is>
      </c>
      <c r="B5722" s="1" t="n">
        <v>45520</v>
      </c>
      <c r="C5722" s="1" t="n">
        <v>45706</v>
      </c>
      <c r="D5722" t="inlineStr">
        <is>
          <t>UPPSALA LÄN</t>
        </is>
      </c>
      <c r="E5722" t="inlineStr">
        <is>
          <t>ÖSTHAMMAR</t>
        </is>
      </c>
      <c r="F5722" t="inlineStr">
        <is>
          <t>Bergvik skog öst AB</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33681-2024</t>
        </is>
      </c>
      <c r="B5723" s="1" t="n">
        <v>45520</v>
      </c>
      <c r="C5723" s="1" t="n">
        <v>45706</v>
      </c>
      <c r="D5723" t="inlineStr">
        <is>
          <t>UPPSALA LÄN</t>
        </is>
      </c>
      <c r="E5723" t="inlineStr">
        <is>
          <t>ÖSTHAMMAR</t>
        </is>
      </c>
      <c r="F5723" t="inlineStr">
        <is>
          <t>Bergvik skog öst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33685-2024</t>
        </is>
      </c>
      <c r="B5724" s="1" t="n">
        <v>45520</v>
      </c>
      <c r="C5724" s="1" t="n">
        <v>45706</v>
      </c>
      <c r="D5724" t="inlineStr">
        <is>
          <t>UPPSALA LÄN</t>
        </is>
      </c>
      <c r="E5724" t="inlineStr">
        <is>
          <t>ÖSTHAMMAR</t>
        </is>
      </c>
      <c r="F5724" t="inlineStr">
        <is>
          <t>Bergvik skog öst AB</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33760-2024</t>
        </is>
      </c>
      <c r="B5725" s="1" t="n">
        <v>45520</v>
      </c>
      <c r="C5725" s="1" t="n">
        <v>45706</v>
      </c>
      <c r="D5725" t="inlineStr">
        <is>
          <t>UPPSALA LÄN</t>
        </is>
      </c>
      <c r="E5725" t="inlineStr">
        <is>
          <t>ÖSTHAMMAR</t>
        </is>
      </c>
      <c r="F5725" t="inlineStr">
        <is>
          <t>Övriga Aktiebolag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33784-2024</t>
        </is>
      </c>
      <c r="B5726" s="1" t="n">
        <v>45520</v>
      </c>
      <c r="C5726" s="1" t="n">
        <v>45706</v>
      </c>
      <c r="D5726" t="inlineStr">
        <is>
          <t>UPPSALA LÄN</t>
        </is>
      </c>
      <c r="E5726" t="inlineStr">
        <is>
          <t>ÖSTHAMMAR</t>
        </is>
      </c>
      <c r="F5726" t="inlineStr">
        <is>
          <t>Naturvårdsverket</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33754-2024</t>
        </is>
      </c>
      <c r="B5727" s="1" t="n">
        <v>45520</v>
      </c>
      <c r="C5727" s="1" t="n">
        <v>45706</v>
      </c>
      <c r="D5727" t="inlineStr">
        <is>
          <t>UPPSALA LÄN</t>
        </is>
      </c>
      <c r="E5727" t="inlineStr">
        <is>
          <t>ÖSTHAMMAR</t>
        </is>
      </c>
      <c r="F5727" t="inlineStr">
        <is>
          <t>Övriga Aktiebolag</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33758-2024</t>
        </is>
      </c>
      <c r="B5728" s="1" t="n">
        <v>45520</v>
      </c>
      <c r="C5728" s="1" t="n">
        <v>45706</v>
      </c>
      <c r="D5728" t="inlineStr">
        <is>
          <t>UPPSALA LÄN</t>
        </is>
      </c>
      <c r="E5728" t="inlineStr">
        <is>
          <t>ÖSTHAMMAR</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33956-2024</t>
        </is>
      </c>
      <c r="B5729" s="1" t="n">
        <v>45523</v>
      </c>
      <c r="C5729" s="1" t="n">
        <v>45706</v>
      </c>
      <c r="D5729" t="inlineStr">
        <is>
          <t>UPPSALA LÄN</t>
        </is>
      </c>
      <c r="E5729" t="inlineStr">
        <is>
          <t>ENKÖPING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33996-2024</t>
        </is>
      </c>
      <c r="B5730" s="1" t="n">
        <v>45523</v>
      </c>
      <c r="C5730" s="1" t="n">
        <v>45706</v>
      </c>
      <c r="D5730" t="inlineStr">
        <is>
          <t>UPPSALA LÄN</t>
        </is>
      </c>
      <c r="E5730" t="inlineStr">
        <is>
          <t>HEBY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33939-2024</t>
        </is>
      </c>
      <c r="B5731" s="1" t="n">
        <v>45523</v>
      </c>
      <c r="C5731" s="1" t="n">
        <v>45706</v>
      </c>
      <c r="D5731" t="inlineStr">
        <is>
          <t>UPPSALA LÄN</t>
        </is>
      </c>
      <c r="E5731" t="inlineStr">
        <is>
          <t>UPPSALA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33951-2024</t>
        </is>
      </c>
      <c r="B5732" s="1" t="n">
        <v>45523</v>
      </c>
      <c r="C5732" s="1" t="n">
        <v>45706</v>
      </c>
      <c r="D5732" t="inlineStr">
        <is>
          <t>UPPSALA LÄN</t>
        </is>
      </c>
      <c r="E5732" t="inlineStr">
        <is>
          <t>ENKÖPING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33955-2024</t>
        </is>
      </c>
      <c r="B5733" s="1" t="n">
        <v>45523</v>
      </c>
      <c r="C5733" s="1" t="n">
        <v>45706</v>
      </c>
      <c r="D5733" t="inlineStr">
        <is>
          <t>UPPSALA LÄN</t>
        </is>
      </c>
      <c r="E5733" t="inlineStr">
        <is>
          <t>ENKÖPING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34005-2024</t>
        </is>
      </c>
      <c r="B5734" s="1" t="n">
        <v>45523</v>
      </c>
      <c r="C5734" s="1" t="n">
        <v>45706</v>
      </c>
      <c r="D5734" t="inlineStr">
        <is>
          <t>UPPSALA LÄN</t>
        </is>
      </c>
      <c r="E5734" t="inlineStr">
        <is>
          <t>HEBY</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34095-2024</t>
        </is>
      </c>
      <c r="B5735" s="1" t="n">
        <v>45523</v>
      </c>
      <c r="C5735" s="1" t="n">
        <v>45706</v>
      </c>
      <c r="D5735" t="inlineStr">
        <is>
          <t>UPPSALA LÄN</t>
        </is>
      </c>
      <c r="E5735" t="inlineStr">
        <is>
          <t>TIERP</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34060-2024</t>
        </is>
      </c>
      <c r="B5736" s="1" t="n">
        <v>45523</v>
      </c>
      <c r="C5736" s="1" t="n">
        <v>45706</v>
      </c>
      <c r="D5736" t="inlineStr">
        <is>
          <t>UPPSALA LÄN</t>
        </is>
      </c>
      <c r="E5736" t="inlineStr">
        <is>
          <t>ENKÖPING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34147-2024</t>
        </is>
      </c>
      <c r="B5737" s="1" t="n">
        <v>45524</v>
      </c>
      <c r="C5737" s="1" t="n">
        <v>45706</v>
      </c>
      <c r="D5737" t="inlineStr">
        <is>
          <t>UPPSALA LÄN</t>
        </is>
      </c>
      <c r="E5737" t="inlineStr">
        <is>
          <t>UPPSALA</t>
        </is>
      </c>
      <c r="F5737" t="inlineStr">
        <is>
          <t>Allmännings- och besparingsskogar</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34185-2024</t>
        </is>
      </c>
      <c r="B5738" s="1" t="n">
        <v>45524</v>
      </c>
      <c r="C5738" s="1" t="n">
        <v>45706</v>
      </c>
      <c r="D5738" t="inlineStr">
        <is>
          <t>UPPSALA LÄN</t>
        </is>
      </c>
      <c r="E5738" t="inlineStr">
        <is>
          <t>ÖSTHAMMAR</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34189-2024</t>
        </is>
      </c>
      <c r="B5739" s="1" t="n">
        <v>45524</v>
      </c>
      <c r="C5739" s="1" t="n">
        <v>45706</v>
      </c>
      <c r="D5739" t="inlineStr">
        <is>
          <t>UPPSALA LÄN</t>
        </is>
      </c>
      <c r="E5739" t="inlineStr">
        <is>
          <t>ÖSTHAMMAR</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34114-2024</t>
        </is>
      </c>
      <c r="B5740" s="1" t="n">
        <v>45524</v>
      </c>
      <c r="C5740" s="1" t="n">
        <v>45706</v>
      </c>
      <c r="D5740" t="inlineStr">
        <is>
          <t>UPPSALA LÄN</t>
        </is>
      </c>
      <c r="E5740" t="inlineStr">
        <is>
          <t>UPPSALA</t>
        </is>
      </c>
      <c r="F5740" t="inlineStr">
        <is>
          <t>Allmännings- och besparingsskogar</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34178-2024</t>
        </is>
      </c>
      <c r="B5741" s="1" t="n">
        <v>45524</v>
      </c>
      <c r="C5741" s="1" t="n">
        <v>45706</v>
      </c>
      <c r="D5741" t="inlineStr">
        <is>
          <t>UPPSALA LÄN</t>
        </is>
      </c>
      <c r="E5741" t="inlineStr">
        <is>
          <t>ÖSTHAMMAR</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34182-2024</t>
        </is>
      </c>
      <c r="B5742" s="1" t="n">
        <v>45524</v>
      </c>
      <c r="C5742" s="1" t="n">
        <v>45706</v>
      </c>
      <c r="D5742" t="inlineStr">
        <is>
          <t>UPPSALA LÄN</t>
        </is>
      </c>
      <c r="E5742" t="inlineStr">
        <is>
          <t>ÖSTHAMMAR</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34494-2024</t>
        </is>
      </c>
      <c r="B5743" s="1" t="n">
        <v>45525</v>
      </c>
      <c r="C5743" s="1" t="n">
        <v>45706</v>
      </c>
      <c r="D5743" t="inlineStr">
        <is>
          <t>UPPSALA LÄN</t>
        </is>
      </c>
      <c r="E5743" t="inlineStr">
        <is>
          <t>TIERP</t>
        </is>
      </c>
      <c r="F5743" t="inlineStr">
        <is>
          <t>Bergvik skog öst AB</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34520-2024</t>
        </is>
      </c>
      <c r="B5744" s="1" t="n">
        <v>45525</v>
      </c>
      <c r="C5744" s="1" t="n">
        <v>45706</v>
      </c>
      <c r="D5744" t="inlineStr">
        <is>
          <t>UPPSALA LÄN</t>
        </is>
      </c>
      <c r="E5744" t="inlineStr">
        <is>
          <t>UPPSALA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34656-2024</t>
        </is>
      </c>
      <c r="B5745" s="1" t="n">
        <v>45526</v>
      </c>
      <c r="C5745" s="1" t="n">
        <v>45706</v>
      </c>
      <c r="D5745" t="inlineStr">
        <is>
          <t>UPPSALA LÄN</t>
        </is>
      </c>
      <c r="E5745" t="inlineStr">
        <is>
          <t>UPPSALA</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34805-2024</t>
        </is>
      </c>
      <c r="B5746" s="1" t="n">
        <v>45526</v>
      </c>
      <c r="C5746" s="1" t="n">
        <v>45706</v>
      </c>
      <c r="D5746" t="inlineStr">
        <is>
          <t>UPPSALA LÄN</t>
        </is>
      </c>
      <c r="E5746" t="inlineStr">
        <is>
          <t>ENKÖPING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34623-2024</t>
        </is>
      </c>
      <c r="B5747" s="1" t="n">
        <v>45526</v>
      </c>
      <c r="C5747" s="1" t="n">
        <v>45706</v>
      </c>
      <c r="D5747" t="inlineStr">
        <is>
          <t>UPPSALA LÄN</t>
        </is>
      </c>
      <c r="E5747" t="inlineStr">
        <is>
          <t>UPPSALA</t>
        </is>
      </c>
      <c r="G5747" t="n">
        <v>21.5</v>
      </c>
      <c r="H5747" t="n">
        <v>0</v>
      </c>
      <c r="I5747" t="n">
        <v>0</v>
      </c>
      <c r="J5747" t="n">
        <v>0</v>
      </c>
      <c r="K5747" t="n">
        <v>0</v>
      </c>
      <c r="L5747" t="n">
        <v>0</v>
      </c>
      <c r="M5747" t="n">
        <v>0</v>
      </c>
      <c r="N5747" t="n">
        <v>0</v>
      </c>
      <c r="O5747" t="n">
        <v>0</v>
      </c>
      <c r="P5747" t="n">
        <v>0</v>
      </c>
      <c r="Q5747" t="n">
        <v>0</v>
      </c>
      <c r="R5747" s="2" t="inlineStr"/>
    </row>
    <row r="5748" ht="15" customHeight="1">
      <c r="A5748" t="inlineStr">
        <is>
          <t>A 34627-2024</t>
        </is>
      </c>
      <c r="B5748" s="1" t="n">
        <v>45526</v>
      </c>
      <c r="C5748" s="1" t="n">
        <v>45706</v>
      </c>
      <c r="D5748" t="inlineStr">
        <is>
          <t>UPPSALA LÄN</t>
        </is>
      </c>
      <c r="E5748" t="inlineStr">
        <is>
          <t>HEBY</t>
        </is>
      </c>
      <c r="G5748" t="n">
        <v>16.1</v>
      </c>
      <c r="H5748" t="n">
        <v>0</v>
      </c>
      <c r="I5748" t="n">
        <v>0</v>
      </c>
      <c r="J5748" t="n">
        <v>0</v>
      </c>
      <c r="K5748" t="n">
        <v>0</v>
      </c>
      <c r="L5748" t="n">
        <v>0</v>
      </c>
      <c r="M5748" t="n">
        <v>0</v>
      </c>
      <c r="N5748" t="n">
        <v>0</v>
      </c>
      <c r="O5748" t="n">
        <v>0</v>
      </c>
      <c r="P5748" t="n">
        <v>0</v>
      </c>
      <c r="Q5748" t="n">
        <v>0</v>
      </c>
      <c r="R5748" s="2" t="inlineStr"/>
    </row>
    <row r="5749" ht="15" customHeight="1">
      <c r="A5749" t="inlineStr">
        <is>
          <t>A 34835-2024</t>
        </is>
      </c>
      <c r="B5749" s="1" t="n">
        <v>45526</v>
      </c>
      <c r="C5749" s="1" t="n">
        <v>45706</v>
      </c>
      <c r="D5749" t="inlineStr">
        <is>
          <t>UPPSALA LÄN</t>
        </is>
      </c>
      <c r="E5749" t="inlineStr">
        <is>
          <t>TIERP</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34838-2024</t>
        </is>
      </c>
      <c r="B5750" s="1" t="n">
        <v>45526</v>
      </c>
      <c r="C5750" s="1" t="n">
        <v>45706</v>
      </c>
      <c r="D5750" t="inlineStr">
        <is>
          <t>UPPSALA LÄN</t>
        </is>
      </c>
      <c r="E5750" t="inlineStr">
        <is>
          <t>TIERP</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34837-2024</t>
        </is>
      </c>
      <c r="B5751" s="1" t="n">
        <v>45526</v>
      </c>
      <c r="C5751" s="1" t="n">
        <v>45706</v>
      </c>
      <c r="D5751" t="inlineStr">
        <is>
          <t>UPPSALA LÄN</t>
        </is>
      </c>
      <c r="E5751" t="inlineStr">
        <is>
          <t>TIERP</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35004-2024</t>
        </is>
      </c>
      <c r="B5752" s="1" t="n">
        <v>45527</v>
      </c>
      <c r="C5752" s="1" t="n">
        <v>45706</v>
      </c>
      <c r="D5752" t="inlineStr">
        <is>
          <t>UPPSALA LÄN</t>
        </is>
      </c>
      <c r="E5752" t="inlineStr">
        <is>
          <t>TIERP</t>
        </is>
      </c>
      <c r="F5752" t="inlineStr">
        <is>
          <t>Bergvik skog väst AB</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35020-2024</t>
        </is>
      </c>
      <c r="B5753" s="1" t="n">
        <v>45527</v>
      </c>
      <c r="C5753" s="1" t="n">
        <v>45706</v>
      </c>
      <c r="D5753" t="inlineStr">
        <is>
          <t>UPPSALA LÄN</t>
        </is>
      </c>
      <c r="E5753" t="inlineStr">
        <is>
          <t>TIERP</t>
        </is>
      </c>
      <c r="F5753" t="inlineStr">
        <is>
          <t>Bergvik skog väst AB</t>
        </is>
      </c>
      <c r="G5753" t="n">
        <v>19.8</v>
      </c>
      <c r="H5753" t="n">
        <v>0</v>
      </c>
      <c r="I5753" t="n">
        <v>0</v>
      </c>
      <c r="J5753" t="n">
        <v>0</v>
      </c>
      <c r="K5753" t="n">
        <v>0</v>
      </c>
      <c r="L5753" t="n">
        <v>0</v>
      </c>
      <c r="M5753" t="n">
        <v>0</v>
      </c>
      <c r="N5753" t="n">
        <v>0</v>
      </c>
      <c r="O5753" t="n">
        <v>0</v>
      </c>
      <c r="P5753" t="n">
        <v>0</v>
      </c>
      <c r="Q5753" t="n">
        <v>0</v>
      </c>
      <c r="R5753" s="2" t="inlineStr"/>
    </row>
    <row r="5754" ht="15" customHeight="1">
      <c r="A5754" t="inlineStr">
        <is>
          <t>A 35052-2024</t>
        </is>
      </c>
      <c r="B5754" s="1" t="n">
        <v>45527</v>
      </c>
      <c r="C5754" s="1" t="n">
        <v>45706</v>
      </c>
      <c r="D5754" t="inlineStr">
        <is>
          <t>UPPSALA LÄN</t>
        </is>
      </c>
      <c r="E5754" t="inlineStr">
        <is>
          <t>ENKÖPING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35056-2024</t>
        </is>
      </c>
      <c r="B5755" s="1" t="n">
        <v>45527</v>
      </c>
      <c r="C5755" s="1" t="n">
        <v>45706</v>
      </c>
      <c r="D5755" t="inlineStr">
        <is>
          <t>UPPSALA LÄN</t>
        </is>
      </c>
      <c r="E5755" t="inlineStr">
        <is>
          <t>ENKÖPING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35064-2024</t>
        </is>
      </c>
      <c r="B5756" s="1" t="n">
        <v>45527</v>
      </c>
      <c r="C5756" s="1" t="n">
        <v>45706</v>
      </c>
      <c r="D5756" t="inlineStr">
        <is>
          <t>UPPSALA LÄN</t>
        </is>
      </c>
      <c r="E5756" t="inlineStr">
        <is>
          <t>ENKÖPING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35072-2024</t>
        </is>
      </c>
      <c r="B5757" s="1" t="n">
        <v>45527</v>
      </c>
      <c r="C5757" s="1" t="n">
        <v>45706</v>
      </c>
      <c r="D5757" t="inlineStr">
        <is>
          <t>UPPSALA LÄN</t>
        </is>
      </c>
      <c r="E5757" t="inlineStr">
        <is>
          <t>ENKÖPING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35067-2024</t>
        </is>
      </c>
      <c r="B5758" s="1" t="n">
        <v>45527</v>
      </c>
      <c r="C5758" s="1" t="n">
        <v>45706</v>
      </c>
      <c r="D5758" t="inlineStr">
        <is>
          <t>UPPSALA LÄN</t>
        </is>
      </c>
      <c r="E5758" t="inlineStr">
        <is>
          <t>ENKÖPING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35079-2024</t>
        </is>
      </c>
      <c r="B5759" s="1" t="n">
        <v>45527</v>
      </c>
      <c r="C5759" s="1" t="n">
        <v>45706</v>
      </c>
      <c r="D5759" t="inlineStr">
        <is>
          <t>UPPSALA LÄN</t>
        </is>
      </c>
      <c r="E5759" t="inlineStr">
        <is>
          <t>ENKÖPING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34980-2024</t>
        </is>
      </c>
      <c r="B5760" s="1" t="n">
        <v>45527</v>
      </c>
      <c r="C5760" s="1" t="n">
        <v>45706</v>
      </c>
      <c r="D5760" t="inlineStr">
        <is>
          <t>UPPSALA LÄN</t>
        </is>
      </c>
      <c r="E5760" t="inlineStr">
        <is>
          <t>TIERP</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35001-2024</t>
        </is>
      </c>
      <c r="B5761" s="1" t="n">
        <v>45527</v>
      </c>
      <c r="C5761" s="1" t="n">
        <v>45706</v>
      </c>
      <c r="D5761" t="inlineStr">
        <is>
          <t>UPPSALA LÄN</t>
        </is>
      </c>
      <c r="E5761" t="inlineStr">
        <is>
          <t>TIERP</t>
        </is>
      </c>
      <c r="F5761" t="inlineStr">
        <is>
          <t>Bergvik skog väst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34963-2024</t>
        </is>
      </c>
      <c r="B5762" s="1" t="n">
        <v>45527</v>
      </c>
      <c r="C5762" s="1" t="n">
        <v>45706</v>
      </c>
      <c r="D5762" t="inlineStr">
        <is>
          <t>UPPSALA LÄN</t>
        </is>
      </c>
      <c r="E5762" t="inlineStr">
        <is>
          <t>ÄLVKARLEBY</t>
        </is>
      </c>
      <c r="F5762" t="inlineStr">
        <is>
          <t>Bergvik skog väst AB</t>
        </is>
      </c>
      <c r="G5762" t="n">
        <v>8.1</v>
      </c>
      <c r="H5762" t="n">
        <v>0</v>
      </c>
      <c r="I5762" t="n">
        <v>0</v>
      </c>
      <c r="J5762" t="n">
        <v>0</v>
      </c>
      <c r="K5762" t="n">
        <v>0</v>
      </c>
      <c r="L5762" t="n">
        <v>0</v>
      </c>
      <c r="M5762" t="n">
        <v>0</v>
      </c>
      <c r="N5762" t="n">
        <v>0</v>
      </c>
      <c r="O5762" t="n">
        <v>0</v>
      </c>
      <c r="P5762" t="n">
        <v>0</v>
      </c>
      <c r="Q5762" t="n">
        <v>0</v>
      </c>
      <c r="R5762" s="2" t="inlineStr"/>
    </row>
    <row r="5763" ht="15" customHeight="1">
      <c r="A5763" t="inlineStr">
        <is>
          <t>A 34855-2024</t>
        </is>
      </c>
      <c r="B5763" s="1" t="n">
        <v>45527</v>
      </c>
      <c r="C5763" s="1" t="n">
        <v>45706</v>
      </c>
      <c r="D5763" t="inlineStr">
        <is>
          <t>UPPSALA LÄN</t>
        </is>
      </c>
      <c r="E5763" t="inlineStr">
        <is>
          <t>TIERP</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35183-2024</t>
        </is>
      </c>
      <c r="B5764" s="1" t="n">
        <v>45530</v>
      </c>
      <c r="C5764" s="1" t="n">
        <v>45706</v>
      </c>
      <c r="D5764" t="inlineStr">
        <is>
          <t>UPPSALA LÄN</t>
        </is>
      </c>
      <c r="E5764" t="inlineStr">
        <is>
          <t>TIERP</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35269-2024</t>
        </is>
      </c>
      <c r="B5765" s="1" t="n">
        <v>45530</v>
      </c>
      <c r="C5765" s="1" t="n">
        <v>45706</v>
      </c>
      <c r="D5765" t="inlineStr">
        <is>
          <t>UPPSALA LÄN</t>
        </is>
      </c>
      <c r="E5765" t="inlineStr">
        <is>
          <t>HEBY</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35291-2024</t>
        </is>
      </c>
      <c r="B5766" s="1" t="n">
        <v>45530</v>
      </c>
      <c r="C5766" s="1" t="n">
        <v>45706</v>
      </c>
      <c r="D5766" t="inlineStr">
        <is>
          <t>UPPSALA LÄN</t>
        </is>
      </c>
      <c r="E5766" t="inlineStr">
        <is>
          <t>KNIVSTA</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35293-2024</t>
        </is>
      </c>
      <c r="B5767" s="1" t="n">
        <v>45530</v>
      </c>
      <c r="C5767" s="1" t="n">
        <v>45706</v>
      </c>
      <c r="D5767" t="inlineStr">
        <is>
          <t>UPPSALA LÄN</t>
        </is>
      </c>
      <c r="E5767" t="inlineStr">
        <is>
          <t>TIERP</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35321-2024</t>
        </is>
      </c>
      <c r="B5768" s="1" t="n">
        <v>45530</v>
      </c>
      <c r="C5768" s="1" t="n">
        <v>45706</v>
      </c>
      <c r="D5768" t="inlineStr">
        <is>
          <t>UPPSALA LÄN</t>
        </is>
      </c>
      <c r="E5768" t="inlineStr">
        <is>
          <t>ÖSTHAMMAR</t>
        </is>
      </c>
      <c r="F5768" t="inlineStr">
        <is>
          <t>Bergvik skog öst AB</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35319-2024</t>
        </is>
      </c>
      <c r="B5769" s="1" t="n">
        <v>45530</v>
      </c>
      <c r="C5769" s="1" t="n">
        <v>45706</v>
      </c>
      <c r="D5769" t="inlineStr">
        <is>
          <t>UPPSALA LÄN</t>
        </is>
      </c>
      <c r="E5769" t="inlineStr">
        <is>
          <t>ÖSTHAMMAR</t>
        </is>
      </c>
      <c r="F5769" t="inlineStr">
        <is>
          <t>Bergvik skog öst AB</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35296-2024</t>
        </is>
      </c>
      <c r="B5770" s="1" t="n">
        <v>45530</v>
      </c>
      <c r="C5770" s="1" t="n">
        <v>45706</v>
      </c>
      <c r="D5770" t="inlineStr">
        <is>
          <t>UPPSALA LÄN</t>
        </is>
      </c>
      <c r="E5770" t="inlineStr">
        <is>
          <t>KNIVSTA</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35300-2024</t>
        </is>
      </c>
      <c r="B5771" s="1" t="n">
        <v>45530</v>
      </c>
      <c r="C5771" s="1" t="n">
        <v>45706</v>
      </c>
      <c r="D5771" t="inlineStr">
        <is>
          <t>UPPSALA LÄN</t>
        </is>
      </c>
      <c r="E5771" t="inlineStr">
        <is>
          <t>ÖSTHAMMAR</t>
        </is>
      </c>
      <c r="F5771" t="inlineStr">
        <is>
          <t>Bergvik skog öst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35312-2024</t>
        </is>
      </c>
      <c r="B5772" s="1" t="n">
        <v>45530</v>
      </c>
      <c r="C5772" s="1" t="n">
        <v>45706</v>
      </c>
      <c r="D5772" t="inlineStr">
        <is>
          <t>UPPSALA LÄN</t>
        </is>
      </c>
      <c r="E5772" t="inlineStr">
        <is>
          <t>ÖSTHAMMAR</t>
        </is>
      </c>
      <c r="F5772" t="inlineStr">
        <is>
          <t>Bergvik skog öst AB</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35316-2024</t>
        </is>
      </c>
      <c r="B5773" s="1" t="n">
        <v>45530</v>
      </c>
      <c r="C5773" s="1" t="n">
        <v>45706</v>
      </c>
      <c r="D5773" t="inlineStr">
        <is>
          <t>UPPSALA LÄN</t>
        </is>
      </c>
      <c r="E5773" t="inlineStr">
        <is>
          <t>ÖSTHAMMAR</t>
        </is>
      </c>
      <c r="F5773" t="inlineStr">
        <is>
          <t>Bergvik skog öst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35268-2024</t>
        </is>
      </c>
      <c r="B5774" s="1" t="n">
        <v>45530</v>
      </c>
      <c r="C5774" s="1" t="n">
        <v>45706</v>
      </c>
      <c r="D5774" t="inlineStr">
        <is>
          <t>UPPSALA LÄN</t>
        </is>
      </c>
      <c r="E5774" t="inlineStr">
        <is>
          <t>HEBY</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35264-2024</t>
        </is>
      </c>
      <c r="B5775" s="1" t="n">
        <v>45530</v>
      </c>
      <c r="C5775" s="1" t="n">
        <v>45706</v>
      </c>
      <c r="D5775" t="inlineStr">
        <is>
          <t>UPPSALA LÄN</t>
        </is>
      </c>
      <c r="E5775" t="inlineStr">
        <is>
          <t>HEBY</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35177-2024</t>
        </is>
      </c>
      <c r="B5776" s="1" t="n">
        <v>45530</v>
      </c>
      <c r="C5776" s="1" t="n">
        <v>45706</v>
      </c>
      <c r="D5776" t="inlineStr">
        <is>
          <t>UPPSALA LÄN</t>
        </is>
      </c>
      <c r="E5776" t="inlineStr">
        <is>
          <t>ÖSTHAMMAR</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35306-2024</t>
        </is>
      </c>
      <c r="B5777" s="1" t="n">
        <v>45530</v>
      </c>
      <c r="C5777" s="1" t="n">
        <v>45706</v>
      </c>
      <c r="D5777" t="inlineStr">
        <is>
          <t>UPPSALA LÄN</t>
        </is>
      </c>
      <c r="E5777" t="inlineStr">
        <is>
          <t>ÖSTHAMMAR</t>
        </is>
      </c>
      <c r="F5777" t="inlineStr">
        <is>
          <t>Bergvik skog öst AB</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35432-2024</t>
        </is>
      </c>
      <c r="B5778" s="1" t="n">
        <v>45531</v>
      </c>
      <c r="C5778" s="1" t="n">
        <v>45706</v>
      </c>
      <c r="D5778" t="inlineStr">
        <is>
          <t>UPPSALA LÄN</t>
        </is>
      </c>
      <c r="E5778" t="inlineStr">
        <is>
          <t>HEBY</t>
        </is>
      </c>
      <c r="G5778" t="n">
        <v>8.9</v>
      </c>
      <c r="H5778" t="n">
        <v>0</v>
      </c>
      <c r="I5778" t="n">
        <v>0</v>
      </c>
      <c r="J5778" t="n">
        <v>0</v>
      </c>
      <c r="K5778" t="n">
        <v>0</v>
      </c>
      <c r="L5778" t="n">
        <v>0</v>
      </c>
      <c r="M5778" t="n">
        <v>0</v>
      </c>
      <c r="N5778" t="n">
        <v>0</v>
      </c>
      <c r="O5778" t="n">
        <v>0</v>
      </c>
      <c r="P5778" t="n">
        <v>0</v>
      </c>
      <c r="Q5778" t="n">
        <v>0</v>
      </c>
      <c r="R5778" s="2" t="inlineStr"/>
    </row>
    <row r="5779" ht="15" customHeight="1">
      <c r="A5779" t="inlineStr">
        <is>
          <t>A 35607-2024</t>
        </is>
      </c>
      <c r="B5779" s="1" t="n">
        <v>45531</v>
      </c>
      <c r="C5779" s="1" t="n">
        <v>45706</v>
      </c>
      <c r="D5779" t="inlineStr">
        <is>
          <t>UPPSALA LÄN</t>
        </is>
      </c>
      <c r="E5779" t="inlineStr">
        <is>
          <t>TIERP</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35644-2024</t>
        </is>
      </c>
      <c r="B5780" s="1" t="n">
        <v>45532</v>
      </c>
      <c r="C5780" s="1" t="n">
        <v>45706</v>
      </c>
      <c r="D5780" t="inlineStr">
        <is>
          <t>UPPSALA LÄN</t>
        </is>
      </c>
      <c r="E5780" t="inlineStr">
        <is>
          <t>HEBY</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35832-2024</t>
        </is>
      </c>
      <c r="B5781" s="1" t="n">
        <v>45532</v>
      </c>
      <c r="C5781" s="1" t="n">
        <v>45706</v>
      </c>
      <c r="D5781" t="inlineStr">
        <is>
          <t>UPPSALA LÄN</t>
        </is>
      </c>
      <c r="E5781" t="inlineStr">
        <is>
          <t>ÄLVKARLEBY</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35810-2024</t>
        </is>
      </c>
      <c r="B5782" s="1" t="n">
        <v>45532</v>
      </c>
      <c r="C5782" s="1" t="n">
        <v>45706</v>
      </c>
      <c r="D5782" t="inlineStr">
        <is>
          <t>UPPSALA LÄN</t>
        </is>
      </c>
      <c r="E5782" t="inlineStr">
        <is>
          <t>ÖSTHAMMAR</t>
        </is>
      </c>
      <c r="F5782" t="inlineStr">
        <is>
          <t>Övriga Aktiebolag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35830-2024</t>
        </is>
      </c>
      <c r="B5783" s="1" t="n">
        <v>45532</v>
      </c>
      <c r="C5783" s="1" t="n">
        <v>45706</v>
      </c>
      <c r="D5783" t="inlineStr">
        <is>
          <t>UPPSALA LÄN</t>
        </is>
      </c>
      <c r="E5783" t="inlineStr">
        <is>
          <t>UPPSALA</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35680-2024</t>
        </is>
      </c>
      <c r="B5784" s="1" t="n">
        <v>45532</v>
      </c>
      <c r="C5784" s="1" t="n">
        <v>45706</v>
      </c>
      <c r="D5784" t="inlineStr">
        <is>
          <t>UPPSALA LÄN</t>
        </is>
      </c>
      <c r="E5784" t="inlineStr">
        <is>
          <t>ENKÖPING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35909-2024</t>
        </is>
      </c>
      <c r="B5785" s="1" t="n">
        <v>45533</v>
      </c>
      <c r="C5785" s="1" t="n">
        <v>45706</v>
      </c>
      <c r="D5785" t="inlineStr">
        <is>
          <t>UPPSALA LÄN</t>
        </is>
      </c>
      <c r="E5785" t="inlineStr">
        <is>
          <t>HEBY</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35929-2024</t>
        </is>
      </c>
      <c r="B5786" s="1" t="n">
        <v>45533</v>
      </c>
      <c r="C5786" s="1" t="n">
        <v>45706</v>
      </c>
      <c r="D5786" t="inlineStr">
        <is>
          <t>UPPSALA LÄN</t>
        </is>
      </c>
      <c r="E5786" t="inlineStr">
        <is>
          <t>ÖSTHAMMAR</t>
        </is>
      </c>
      <c r="F5786" t="inlineStr">
        <is>
          <t>Övriga Aktiebolag</t>
        </is>
      </c>
      <c r="G5786" t="n">
        <v>15.5</v>
      </c>
      <c r="H5786" t="n">
        <v>0</v>
      </c>
      <c r="I5786" t="n">
        <v>0</v>
      </c>
      <c r="J5786" t="n">
        <v>0</v>
      </c>
      <c r="K5786" t="n">
        <v>0</v>
      </c>
      <c r="L5786" t="n">
        <v>0</v>
      </c>
      <c r="M5786" t="n">
        <v>0</v>
      </c>
      <c r="N5786" t="n">
        <v>0</v>
      </c>
      <c r="O5786" t="n">
        <v>0</v>
      </c>
      <c r="P5786" t="n">
        <v>0</v>
      </c>
      <c r="Q5786" t="n">
        <v>0</v>
      </c>
      <c r="R5786" s="2" t="inlineStr"/>
    </row>
    <row r="5787" ht="15" customHeight="1">
      <c r="A5787" t="inlineStr">
        <is>
          <t>A 35914-2024</t>
        </is>
      </c>
      <c r="B5787" s="1" t="n">
        <v>45533</v>
      </c>
      <c r="C5787" s="1" t="n">
        <v>45706</v>
      </c>
      <c r="D5787" t="inlineStr">
        <is>
          <t>UPPSALA LÄN</t>
        </is>
      </c>
      <c r="E5787" t="inlineStr">
        <is>
          <t>TIERP</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36007-2024</t>
        </is>
      </c>
      <c r="B5788" s="1" t="n">
        <v>45533</v>
      </c>
      <c r="C5788" s="1" t="n">
        <v>45706</v>
      </c>
      <c r="D5788" t="inlineStr">
        <is>
          <t>UPPSALA LÄN</t>
        </is>
      </c>
      <c r="E5788" t="inlineStr">
        <is>
          <t>ENKÖPING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36015-2024</t>
        </is>
      </c>
      <c r="B5789" s="1" t="n">
        <v>45533</v>
      </c>
      <c r="C5789" s="1" t="n">
        <v>45706</v>
      </c>
      <c r="D5789" t="inlineStr">
        <is>
          <t>UPPSALA LÄN</t>
        </is>
      </c>
      <c r="E5789" t="inlineStr">
        <is>
          <t>UPPSALA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35936-2024</t>
        </is>
      </c>
      <c r="B5790" s="1" t="n">
        <v>45533</v>
      </c>
      <c r="C5790" s="1" t="n">
        <v>45706</v>
      </c>
      <c r="D5790" t="inlineStr">
        <is>
          <t>UPPSALA LÄN</t>
        </is>
      </c>
      <c r="E5790" t="inlineStr">
        <is>
          <t>ÖSTHAMMAR</t>
        </is>
      </c>
      <c r="F5790" t="inlineStr">
        <is>
          <t>Övriga Aktiebolag</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35933-2024</t>
        </is>
      </c>
      <c r="B5791" s="1" t="n">
        <v>45533</v>
      </c>
      <c r="C5791" s="1" t="n">
        <v>45706</v>
      </c>
      <c r="D5791" t="inlineStr">
        <is>
          <t>UPPSALA LÄN</t>
        </is>
      </c>
      <c r="E5791" t="inlineStr">
        <is>
          <t>ÖSTHAMMAR</t>
        </is>
      </c>
      <c r="F5791" t="inlineStr">
        <is>
          <t>Övriga Aktiebolag</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36029-2024</t>
        </is>
      </c>
      <c r="B5792" s="1" t="n">
        <v>45533</v>
      </c>
      <c r="C5792" s="1" t="n">
        <v>45706</v>
      </c>
      <c r="D5792" t="inlineStr">
        <is>
          <t>UPPSALA LÄN</t>
        </is>
      </c>
      <c r="E5792" t="inlineStr">
        <is>
          <t>UPPSALA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36041-2024</t>
        </is>
      </c>
      <c r="B5793" s="1" t="n">
        <v>45533</v>
      </c>
      <c r="C5793" s="1" t="n">
        <v>45706</v>
      </c>
      <c r="D5793" t="inlineStr">
        <is>
          <t>UPPSALA LÄN</t>
        </is>
      </c>
      <c r="E5793" t="inlineStr">
        <is>
          <t>UPPSALA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36092-2024</t>
        </is>
      </c>
      <c r="B5794" s="1" t="n">
        <v>45533</v>
      </c>
      <c r="C5794" s="1" t="n">
        <v>45706</v>
      </c>
      <c r="D5794" t="inlineStr">
        <is>
          <t>UPPSALA LÄN</t>
        </is>
      </c>
      <c r="E5794" t="inlineStr">
        <is>
          <t>TIERP</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36189-2024</t>
        </is>
      </c>
      <c r="B5795" s="1" t="n">
        <v>45534</v>
      </c>
      <c r="C5795" s="1" t="n">
        <v>45706</v>
      </c>
      <c r="D5795" t="inlineStr">
        <is>
          <t>UPPSALA LÄN</t>
        </is>
      </c>
      <c r="E5795" t="inlineStr">
        <is>
          <t>TIERP</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36171-2024</t>
        </is>
      </c>
      <c r="B5796" s="1" t="n">
        <v>45534</v>
      </c>
      <c r="C5796" s="1" t="n">
        <v>45706</v>
      </c>
      <c r="D5796" t="inlineStr">
        <is>
          <t>UPPSALA LÄN</t>
        </is>
      </c>
      <c r="E5796" t="inlineStr">
        <is>
          <t>ÖSTHAMMAR</t>
        </is>
      </c>
      <c r="F5796" t="inlineStr">
        <is>
          <t>Kyrkan</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36516-2024</t>
        </is>
      </c>
      <c r="B5797" s="1" t="n">
        <v>45537</v>
      </c>
      <c r="C5797" s="1" t="n">
        <v>45706</v>
      </c>
      <c r="D5797" t="inlineStr">
        <is>
          <t>UPPSALA LÄN</t>
        </is>
      </c>
      <c r="E5797" t="inlineStr">
        <is>
          <t>TIERP</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36521-2024</t>
        </is>
      </c>
      <c r="B5798" s="1" t="n">
        <v>45537</v>
      </c>
      <c r="C5798" s="1" t="n">
        <v>45706</v>
      </c>
      <c r="D5798" t="inlineStr">
        <is>
          <t>UPPSALA LÄN</t>
        </is>
      </c>
      <c r="E5798" t="inlineStr">
        <is>
          <t>TIERP</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36483-2024</t>
        </is>
      </c>
      <c r="B5799" s="1" t="n">
        <v>45537</v>
      </c>
      <c r="C5799" s="1" t="n">
        <v>45706</v>
      </c>
      <c r="D5799" t="inlineStr">
        <is>
          <t>UPPSALA LÄN</t>
        </is>
      </c>
      <c r="E5799" t="inlineStr">
        <is>
          <t>HEBY</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36523-2024</t>
        </is>
      </c>
      <c r="B5800" s="1" t="n">
        <v>45537</v>
      </c>
      <c r="C5800" s="1" t="n">
        <v>45706</v>
      </c>
      <c r="D5800" t="inlineStr">
        <is>
          <t>UPPSALA LÄN</t>
        </is>
      </c>
      <c r="E5800" t="inlineStr">
        <is>
          <t>TIERP</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36830-2024</t>
        </is>
      </c>
      <c r="B5801" s="1" t="n">
        <v>45538</v>
      </c>
      <c r="C5801" s="1" t="n">
        <v>45706</v>
      </c>
      <c r="D5801" t="inlineStr">
        <is>
          <t>UPPSALA LÄN</t>
        </is>
      </c>
      <c r="E5801" t="inlineStr">
        <is>
          <t>TIERP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36866-2024</t>
        </is>
      </c>
      <c r="B5802" s="1" t="n">
        <v>45538</v>
      </c>
      <c r="C5802" s="1" t="n">
        <v>45706</v>
      </c>
      <c r="D5802" t="inlineStr">
        <is>
          <t>UPPSALA LÄN</t>
        </is>
      </c>
      <c r="E5802" t="inlineStr">
        <is>
          <t>ÖSTHAMMAR</t>
        </is>
      </c>
      <c r="F5802" t="inlineStr">
        <is>
          <t>Bergvik skog öst AB</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36847-2024</t>
        </is>
      </c>
      <c r="B5803" s="1" t="n">
        <v>45538</v>
      </c>
      <c r="C5803" s="1" t="n">
        <v>45706</v>
      </c>
      <c r="D5803" t="inlineStr">
        <is>
          <t>UPPSALA LÄN</t>
        </is>
      </c>
      <c r="E5803" t="inlineStr">
        <is>
          <t>ÖSTHAMMAR</t>
        </is>
      </c>
      <c r="F5803" t="inlineStr">
        <is>
          <t>Bergvik skog öst AB</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36869-2024</t>
        </is>
      </c>
      <c r="B5804" s="1" t="n">
        <v>45538</v>
      </c>
      <c r="C5804" s="1" t="n">
        <v>45706</v>
      </c>
      <c r="D5804" t="inlineStr">
        <is>
          <t>UPPSALA LÄN</t>
        </is>
      </c>
      <c r="E5804" t="inlineStr">
        <is>
          <t>ÖSTHAMMAR</t>
        </is>
      </c>
      <c r="F5804" t="inlineStr">
        <is>
          <t>Bergvik skog öst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36863-2024</t>
        </is>
      </c>
      <c r="B5805" s="1" t="n">
        <v>45538</v>
      </c>
      <c r="C5805" s="1" t="n">
        <v>45706</v>
      </c>
      <c r="D5805" t="inlineStr">
        <is>
          <t>UPPSALA LÄN</t>
        </is>
      </c>
      <c r="E5805" t="inlineStr">
        <is>
          <t>ÖSTHAMMAR</t>
        </is>
      </c>
      <c r="F5805" t="inlineStr">
        <is>
          <t>Bergvik skog öst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36897-2024</t>
        </is>
      </c>
      <c r="B5806" s="1" t="n">
        <v>45538</v>
      </c>
      <c r="C5806" s="1" t="n">
        <v>45706</v>
      </c>
      <c r="D5806" t="inlineStr">
        <is>
          <t>UPPSALA LÄN</t>
        </is>
      </c>
      <c r="E5806" t="inlineStr">
        <is>
          <t>ÖSTHAMMAR</t>
        </is>
      </c>
      <c r="F5806" t="inlineStr">
        <is>
          <t>Bergvik skog öst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36846-2024</t>
        </is>
      </c>
      <c r="B5807" s="1" t="n">
        <v>45538</v>
      </c>
      <c r="C5807" s="1" t="n">
        <v>45706</v>
      </c>
      <c r="D5807" t="inlineStr">
        <is>
          <t>UPPSALA LÄN</t>
        </is>
      </c>
      <c r="E5807" t="inlineStr">
        <is>
          <t>ÖSTHAMMAR</t>
        </is>
      </c>
      <c r="F5807" t="inlineStr">
        <is>
          <t>Bergvik skog öst AB</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36868-2024</t>
        </is>
      </c>
      <c r="B5808" s="1" t="n">
        <v>45538</v>
      </c>
      <c r="C5808" s="1" t="n">
        <v>45706</v>
      </c>
      <c r="D5808" t="inlineStr">
        <is>
          <t>UPPSALA LÄN</t>
        </is>
      </c>
      <c r="E5808" t="inlineStr">
        <is>
          <t>ÖSTHAMMAR</t>
        </is>
      </c>
      <c r="F5808" t="inlineStr">
        <is>
          <t>Bergvik skog öst AB</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36898-2024</t>
        </is>
      </c>
      <c r="B5809" s="1" t="n">
        <v>45538</v>
      </c>
      <c r="C5809" s="1" t="n">
        <v>45706</v>
      </c>
      <c r="D5809" t="inlineStr">
        <is>
          <t>UPPSALA LÄN</t>
        </is>
      </c>
      <c r="E5809" t="inlineStr">
        <is>
          <t>ÖSTHAMMAR</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36902-2024</t>
        </is>
      </c>
      <c r="B5810" s="1" t="n">
        <v>45538</v>
      </c>
      <c r="C5810" s="1" t="n">
        <v>45706</v>
      </c>
      <c r="D5810" t="inlineStr">
        <is>
          <t>UPPSALA LÄN</t>
        </is>
      </c>
      <c r="E5810" t="inlineStr">
        <is>
          <t>TIERP</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36951-2024</t>
        </is>
      </c>
      <c r="B5811" s="1" t="n">
        <v>45538</v>
      </c>
      <c r="C5811" s="1" t="n">
        <v>45706</v>
      </c>
      <c r="D5811" t="inlineStr">
        <is>
          <t>UPPSALA LÄN</t>
        </is>
      </c>
      <c r="E5811" t="inlineStr">
        <is>
          <t>ÖSTHAMMAR</t>
        </is>
      </c>
      <c r="F5811" t="inlineStr">
        <is>
          <t>Bergvik skog öst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36950-2024</t>
        </is>
      </c>
      <c r="B5812" s="1" t="n">
        <v>45538</v>
      </c>
      <c r="C5812" s="1" t="n">
        <v>45706</v>
      </c>
      <c r="D5812" t="inlineStr">
        <is>
          <t>UPPSALA LÄN</t>
        </is>
      </c>
      <c r="E5812" t="inlineStr">
        <is>
          <t>ÖSTHAMMAR</t>
        </is>
      </c>
      <c r="F5812" t="inlineStr">
        <is>
          <t>Bergvik skog öst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36954-2024</t>
        </is>
      </c>
      <c r="B5813" s="1" t="n">
        <v>45538</v>
      </c>
      <c r="C5813" s="1" t="n">
        <v>45706</v>
      </c>
      <c r="D5813" t="inlineStr">
        <is>
          <t>UPPSALA LÄN</t>
        </is>
      </c>
      <c r="E5813" t="inlineStr">
        <is>
          <t>ÖSTHAMMAR</t>
        </is>
      </c>
      <c r="F5813" t="inlineStr">
        <is>
          <t>Bergvik skog öst AB</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36936-2024</t>
        </is>
      </c>
      <c r="B5814" s="1" t="n">
        <v>45538</v>
      </c>
      <c r="C5814" s="1" t="n">
        <v>45706</v>
      </c>
      <c r="D5814" t="inlineStr">
        <is>
          <t>UPPSALA LÄN</t>
        </is>
      </c>
      <c r="E5814" t="inlineStr">
        <is>
          <t>TIERP</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36940-2024</t>
        </is>
      </c>
      <c r="B5815" s="1" t="n">
        <v>45538</v>
      </c>
      <c r="C5815" s="1" t="n">
        <v>45706</v>
      </c>
      <c r="D5815" t="inlineStr">
        <is>
          <t>UPPSALA LÄN</t>
        </is>
      </c>
      <c r="E5815" t="inlineStr">
        <is>
          <t>ÖSTHAMMAR</t>
        </is>
      </c>
      <c r="F5815" t="inlineStr">
        <is>
          <t>Bergvik skog öst AB</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36948-2024</t>
        </is>
      </c>
      <c r="B5816" s="1" t="n">
        <v>45538</v>
      </c>
      <c r="C5816" s="1" t="n">
        <v>45706</v>
      </c>
      <c r="D5816" t="inlineStr">
        <is>
          <t>UPPSALA LÄN</t>
        </is>
      </c>
      <c r="E5816" t="inlineStr">
        <is>
          <t>ÖSTHAMMAR</t>
        </is>
      </c>
      <c r="F5816" t="inlineStr">
        <is>
          <t>Bergvik skog öst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36952-2024</t>
        </is>
      </c>
      <c r="B5817" s="1" t="n">
        <v>45538</v>
      </c>
      <c r="C5817" s="1" t="n">
        <v>45706</v>
      </c>
      <c r="D5817" t="inlineStr">
        <is>
          <t>UPPSALA LÄN</t>
        </is>
      </c>
      <c r="E5817" t="inlineStr">
        <is>
          <t>ÖSTHAMMAR</t>
        </is>
      </c>
      <c r="F5817" t="inlineStr">
        <is>
          <t>Bergvik skog öst AB</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36956-2024</t>
        </is>
      </c>
      <c r="B5818" s="1" t="n">
        <v>45538</v>
      </c>
      <c r="C5818" s="1" t="n">
        <v>45706</v>
      </c>
      <c r="D5818" t="inlineStr">
        <is>
          <t>UPPSALA LÄN</t>
        </is>
      </c>
      <c r="E5818" t="inlineStr">
        <is>
          <t>ÖSTHAMMAR</t>
        </is>
      </c>
      <c r="F5818" t="inlineStr">
        <is>
          <t>Bergvik skog öst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36937-2024</t>
        </is>
      </c>
      <c r="B5819" s="1" t="n">
        <v>45538</v>
      </c>
      <c r="C5819" s="1" t="n">
        <v>45706</v>
      </c>
      <c r="D5819" t="inlineStr">
        <is>
          <t>UPPSALA LÄN</t>
        </is>
      </c>
      <c r="E5819" t="inlineStr">
        <is>
          <t>ÖSTHAMMAR</t>
        </is>
      </c>
      <c r="F5819" t="inlineStr">
        <is>
          <t>Bergvik skog öst AB</t>
        </is>
      </c>
      <c r="G5819" t="n">
        <v>8.4</v>
      </c>
      <c r="H5819" t="n">
        <v>0</v>
      </c>
      <c r="I5819" t="n">
        <v>0</v>
      </c>
      <c r="J5819" t="n">
        <v>0</v>
      </c>
      <c r="K5819" t="n">
        <v>0</v>
      </c>
      <c r="L5819" t="n">
        <v>0</v>
      </c>
      <c r="M5819" t="n">
        <v>0</v>
      </c>
      <c r="N5819" t="n">
        <v>0</v>
      </c>
      <c r="O5819" t="n">
        <v>0</v>
      </c>
      <c r="P5819" t="n">
        <v>0</v>
      </c>
      <c r="Q5819" t="n">
        <v>0</v>
      </c>
      <c r="R5819" s="2" t="inlineStr"/>
    </row>
    <row r="5820" ht="15" customHeight="1">
      <c r="A5820" t="inlineStr">
        <is>
          <t>A 36953-2024</t>
        </is>
      </c>
      <c r="B5820" s="1" t="n">
        <v>45538</v>
      </c>
      <c r="C5820" s="1" t="n">
        <v>45706</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36958-2024</t>
        </is>
      </c>
      <c r="B5821" s="1" t="n">
        <v>45538</v>
      </c>
      <c r="C5821" s="1" t="n">
        <v>45706</v>
      </c>
      <c r="D5821" t="inlineStr">
        <is>
          <t>UPPSALA LÄN</t>
        </is>
      </c>
      <c r="E5821" t="inlineStr">
        <is>
          <t>ÖSTHAMMAR</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37111-2024</t>
        </is>
      </c>
      <c r="B5822" s="1" t="n">
        <v>45539</v>
      </c>
      <c r="C5822" s="1" t="n">
        <v>45706</v>
      </c>
      <c r="D5822" t="inlineStr">
        <is>
          <t>UPPSALA LÄN</t>
        </is>
      </c>
      <c r="E5822" t="inlineStr">
        <is>
          <t>HEBY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37115-2024</t>
        </is>
      </c>
      <c r="B5823" s="1" t="n">
        <v>45539</v>
      </c>
      <c r="C5823" s="1" t="n">
        <v>45706</v>
      </c>
      <c r="D5823" t="inlineStr">
        <is>
          <t>UPPSALA LÄN</t>
        </is>
      </c>
      <c r="E5823" t="inlineStr">
        <is>
          <t>ENKÖPING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37032-2024</t>
        </is>
      </c>
      <c r="B5824" s="1" t="n">
        <v>45539</v>
      </c>
      <c r="C5824" s="1" t="n">
        <v>45706</v>
      </c>
      <c r="D5824" t="inlineStr">
        <is>
          <t>UPPSALA LÄN</t>
        </is>
      </c>
      <c r="E5824" t="inlineStr">
        <is>
          <t>UPPSALA</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37053-2024</t>
        </is>
      </c>
      <c r="B5825" s="1" t="n">
        <v>45539</v>
      </c>
      <c r="C5825" s="1" t="n">
        <v>45706</v>
      </c>
      <c r="D5825" t="inlineStr">
        <is>
          <t>UPPSALA LÄN</t>
        </is>
      </c>
      <c r="E5825" t="inlineStr">
        <is>
          <t>TIERP</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37073-2024</t>
        </is>
      </c>
      <c r="B5826" s="1" t="n">
        <v>45539</v>
      </c>
      <c r="C5826" s="1" t="n">
        <v>45706</v>
      </c>
      <c r="D5826" t="inlineStr">
        <is>
          <t>UPPSALA LÄN</t>
        </is>
      </c>
      <c r="E5826" t="inlineStr">
        <is>
          <t>HEBY</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37033-2024</t>
        </is>
      </c>
      <c r="B5827" s="1" t="n">
        <v>45539</v>
      </c>
      <c r="C5827" s="1" t="n">
        <v>45706</v>
      </c>
      <c r="D5827" t="inlineStr">
        <is>
          <t>UPPSALA LÄN</t>
        </is>
      </c>
      <c r="E5827" t="inlineStr">
        <is>
          <t>UPPSALA</t>
        </is>
      </c>
      <c r="G5827" t="n">
        <v>10.2</v>
      </c>
      <c r="H5827" t="n">
        <v>0</v>
      </c>
      <c r="I5827" t="n">
        <v>0</v>
      </c>
      <c r="J5827" t="n">
        <v>0</v>
      </c>
      <c r="K5827" t="n">
        <v>0</v>
      </c>
      <c r="L5827" t="n">
        <v>0</v>
      </c>
      <c r="M5827" t="n">
        <v>0</v>
      </c>
      <c r="N5827" t="n">
        <v>0</v>
      </c>
      <c r="O5827" t="n">
        <v>0</v>
      </c>
      <c r="P5827" t="n">
        <v>0</v>
      </c>
      <c r="Q5827" t="n">
        <v>0</v>
      </c>
      <c r="R5827" s="2" t="inlineStr"/>
    </row>
    <row r="5828" ht="15" customHeight="1">
      <c r="A5828" t="inlineStr">
        <is>
          <t>A 37103-2024</t>
        </is>
      </c>
      <c r="B5828" s="1" t="n">
        <v>45539</v>
      </c>
      <c r="C5828" s="1" t="n">
        <v>45706</v>
      </c>
      <c r="D5828" t="inlineStr">
        <is>
          <t>UPPSALA LÄN</t>
        </is>
      </c>
      <c r="E5828" t="inlineStr">
        <is>
          <t>HEBY</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37295-2024</t>
        </is>
      </c>
      <c r="B5829" s="1" t="n">
        <v>45540</v>
      </c>
      <c r="C5829" s="1" t="n">
        <v>45706</v>
      </c>
      <c r="D5829" t="inlineStr">
        <is>
          <t>UPPSALA LÄN</t>
        </is>
      </c>
      <c r="E5829" t="inlineStr">
        <is>
          <t>TIERP</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37307-2024</t>
        </is>
      </c>
      <c r="B5830" s="1" t="n">
        <v>45540</v>
      </c>
      <c r="C5830" s="1" t="n">
        <v>45706</v>
      </c>
      <c r="D5830" t="inlineStr">
        <is>
          <t>UPPSALA LÄN</t>
        </is>
      </c>
      <c r="E5830" t="inlineStr">
        <is>
          <t>UPPSALA</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37457-2024</t>
        </is>
      </c>
      <c r="B5831" s="1" t="n">
        <v>45540</v>
      </c>
      <c r="C5831" s="1" t="n">
        <v>45706</v>
      </c>
      <c r="D5831" t="inlineStr">
        <is>
          <t>UPPSALA LÄN</t>
        </is>
      </c>
      <c r="E5831" t="inlineStr">
        <is>
          <t>TIERP</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37465-2024</t>
        </is>
      </c>
      <c r="B5832" s="1" t="n">
        <v>45540</v>
      </c>
      <c r="C5832" s="1" t="n">
        <v>45706</v>
      </c>
      <c r="D5832" t="inlineStr">
        <is>
          <t>UPPSALA LÄN</t>
        </is>
      </c>
      <c r="E5832" t="inlineStr">
        <is>
          <t>ENKÖPING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37466-2024</t>
        </is>
      </c>
      <c r="B5833" s="1" t="n">
        <v>45540</v>
      </c>
      <c r="C5833" s="1" t="n">
        <v>45706</v>
      </c>
      <c r="D5833" t="inlineStr">
        <is>
          <t>UPPSALA LÄN</t>
        </is>
      </c>
      <c r="E5833" t="inlineStr">
        <is>
          <t>ENKÖPING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37475-2024</t>
        </is>
      </c>
      <c r="B5834" s="1" t="n">
        <v>45541</v>
      </c>
      <c r="C5834" s="1" t="n">
        <v>45706</v>
      </c>
      <c r="D5834" t="inlineStr">
        <is>
          <t>UPPSALA LÄN</t>
        </is>
      </c>
      <c r="E5834" t="inlineStr">
        <is>
          <t>TIERP</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37476-2024</t>
        </is>
      </c>
      <c r="B5835" s="1" t="n">
        <v>45541</v>
      </c>
      <c r="C5835" s="1" t="n">
        <v>45706</v>
      </c>
      <c r="D5835" t="inlineStr">
        <is>
          <t>UPPSALA LÄN</t>
        </is>
      </c>
      <c r="E5835" t="inlineStr">
        <is>
          <t>TIERP</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37568-2024</t>
        </is>
      </c>
      <c r="B5836" s="1" t="n">
        <v>45541</v>
      </c>
      <c r="C5836" s="1" t="n">
        <v>45706</v>
      </c>
      <c r="D5836" t="inlineStr">
        <is>
          <t>UPPSALA LÄN</t>
        </is>
      </c>
      <c r="E5836" t="inlineStr">
        <is>
          <t>UPPSALA</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37666-2024</t>
        </is>
      </c>
      <c r="B5837" s="1" t="n">
        <v>45541</v>
      </c>
      <c r="C5837" s="1" t="n">
        <v>45706</v>
      </c>
      <c r="D5837" t="inlineStr">
        <is>
          <t>UPPSALA LÄN</t>
        </is>
      </c>
      <c r="E5837" t="inlineStr">
        <is>
          <t>UPPSALA</t>
        </is>
      </c>
      <c r="F5837" t="inlineStr">
        <is>
          <t>Övriga Aktiebolag</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37704-2024</t>
        </is>
      </c>
      <c r="B5838" s="1" t="n">
        <v>45541</v>
      </c>
      <c r="C5838" s="1" t="n">
        <v>45706</v>
      </c>
      <c r="D5838" t="inlineStr">
        <is>
          <t>UPPSALA LÄN</t>
        </is>
      </c>
      <c r="E5838" t="inlineStr">
        <is>
          <t>ENKÖPING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37579-2024</t>
        </is>
      </c>
      <c r="B5839" s="1" t="n">
        <v>45541</v>
      </c>
      <c r="C5839" s="1" t="n">
        <v>45706</v>
      </c>
      <c r="D5839" t="inlineStr">
        <is>
          <t>UPPSALA LÄN</t>
        </is>
      </c>
      <c r="E5839" t="inlineStr">
        <is>
          <t>UPPSALA</t>
        </is>
      </c>
      <c r="G5839" t="n">
        <v>22.8</v>
      </c>
      <c r="H5839" t="n">
        <v>0</v>
      </c>
      <c r="I5839" t="n">
        <v>0</v>
      </c>
      <c r="J5839" t="n">
        <v>0</v>
      </c>
      <c r="K5839" t="n">
        <v>0</v>
      </c>
      <c r="L5839" t="n">
        <v>0</v>
      </c>
      <c r="M5839" t="n">
        <v>0</v>
      </c>
      <c r="N5839" t="n">
        <v>0</v>
      </c>
      <c r="O5839" t="n">
        <v>0</v>
      </c>
      <c r="P5839" t="n">
        <v>0</v>
      </c>
      <c r="Q5839" t="n">
        <v>0</v>
      </c>
      <c r="R5839" s="2" t="inlineStr"/>
    </row>
    <row r="5840" ht="15" customHeight="1">
      <c r="A5840" t="inlineStr">
        <is>
          <t>A 37596-2024</t>
        </is>
      </c>
      <c r="B5840" s="1" t="n">
        <v>45541</v>
      </c>
      <c r="C5840" s="1" t="n">
        <v>45706</v>
      </c>
      <c r="D5840" t="inlineStr">
        <is>
          <t>UPPSALA LÄN</t>
        </is>
      </c>
      <c r="E5840" t="inlineStr">
        <is>
          <t>HEBY</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37671-2024</t>
        </is>
      </c>
      <c r="B5841" s="1" t="n">
        <v>45541</v>
      </c>
      <c r="C5841" s="1" t="n">
        <v>45706</v>
      </c>
      <c r="D5841" t="inlineStr">
        <is>
          <t>UPPSALA LÄN</t>
        </is>
      </c>
      <c r="E5841" t="inlineStr">
        <is>
          <t>UPPSALA</t>
        </is>
      </c>
      <c r="F5841" t="inlineStr">
        <is>
          <t>Övriga Aktiebolag</t>
        </is>
      </c>
      <c r="G5841" t="n">
        <v>10.7</v>
      </c>
      <c r="H5841" t="n">
        <v>0</v>
      </c>
      <c r="I5841" t="n">
        <v>0</v>
      </c>
      <c r="J5841" t="n">
        <v>0</v>
      </c>
      <c r="K5841" t="n">
        <v>0</v>
      </c>
      <c r="L5841" t="n">
        <v>0</v>
      </c>
      <c r="M5841" t="n">
        <v>0</v>
      </c>
      <c r="N5841" t="n">
        <v>0</v>
      </c>
      <c r="O5841" t="n">
        <v>0</v>
      </c>
      <c r="P5841" t="n">
        <v>0</v>
      </c>
      <c r="Q5841" t="n">
        <v>0</v>
      </c>
      <c r="R5841" s="2" t="inlineStr"/>
    </row>
    <row r="5842" ht="15" customHeight="1">
      <c r="A5842" t="inlineStr">
        <is>
          <t>A 37833-2024</t>
        </is>
      </c>
      <c r="B5842" s="1" t="n">
        <v>45544</v>
      </c>
      <c r="C5842" s="1" t="n">
        <v>45706</v>
      </c>
      <c r="D5842" t="inlineStr">
        <is>
          <t>UPPSALA LÄN</t>
        </is>
      </c>
      <c r="E5842" t="inlineStr">
        <is>
          <t>HEBY</t>
        </is>
      </c>
      <c r="F5842" t="inlineStr">
        <is>
          <t>Bergvik skog öst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37834-2024</t>
        </is>
      </c>
      <c r="B5843" s="1" t="n">
        <v>45544</v>
      </c>
      <c r="C5843" s="1" t="n">
        <v>45706</v>
      </c>
      <c r="D5843" t="inlineStr">
        <is>
          <t>UPPSALA LÄN</t>
        </is>
      </c>
      <c r="E5843" t="inlineStr">
        <is>
          <t>HEBY</t>
        </is>
      </c>
      <c r="F5843" t="inlineStr">
        <is>
          <t>Bergvik skog öst AB</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37995-2024</t>
        </is>
      </c>
      <c r="B5844" s="1" t="n">
        <v>45544</v>
      </c>
      <c r="C5844" s="1" t="n">
        <v>45706</v>
      </c>
      <c r="D5844" t="inlineStr">
        <is>
          <t>UPPSALA LÄN</t>
        </is>
      </c>
      <c r="E5844" t="inlineStr">
        <is>
          <t>ÖSTHAMMAR</t>
        </is>
      </c>
      <c r="F5844" t="inlineStr">
        <is>
          <t>Naturvårdsverket</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38003-2024</t>
        </is>
      </c>
      <c r="B5845" s="1" t="n">
        <v>45544</v>
      </c>
      <c r="C5845" s="1" t="n">
        <v>45706</v>
      </c>
      <c r="D5845" t="inlineStr">
        <is>
          <t>UPPSALA LÄN</t>
        </is>
      </c>
      <c r="E5845" t="inlineStr">
        <is>
          <t>ÖSTHAMMAR</t>
        </is>
      </c>
      <c r="F5845" t="inlineStr">
        <is>
          <t>Naturvårdsverket</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38195-2024</t>
        </is>
      </c>
      <c r="B5846" s="1" t="n">
        <v>45545</v>
      </c>
      <c r="C5846" s="1" t="n">
        <v>45706</v>
      </c>
      <c r="D5846" t="inlineStr">
        <is>
          <t>UPPSALA LÄN</t>
        </is>
      </c>
      <c r="E5846" t="inlineStr">
        <is>
          <t>ÄLVKARLEBY</t>
        </is>
      </c>
      <c r="F5846" t="inlineStr">
        <is>
          <t>Bergvik skog väst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38199-2024</t>
        </is>
      </c>
      <c r="B5847" s="1" t="n">
        <v>45545</v>
      </c>
      <c r="C5847" s="1" t="n">
        <v>45706</v>
      </c>
      <c r="D5847" t="inlineStr">
        <is>
          <t>UPPSALA LÄN</t>
        </is>
      </c>
      <c r="E5847" t="inlineStr">
        <is>
          <t>ÄLVKARLEBY</t>
        </is>
      </c>
      <c r="F5847" t="inlineStr">
        <is>
          <t>Bergvik skog väst AB</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38119-2024</t>
        </is>
      </c>
      <c r="B5848" s="1" t="n">
        <v>45545</v>
      </c>
      <c r="C5848" s="1" t="n">
        <v>45706</v>
      </c>
      <c r="D5848" t="inlineStr">
        <is>
          <t>UPPSALA LÄN</t>
        </is>
      </c>
      <c r="E5848" t="inlineStr">
        <is>
          <t>UPPSALA</t>
        </is>
      </c>
      <c r="F5848" t="inlineStr">
        <is>
          <t>Övriga Aktiebolag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38217-2024</t>
        </is>
      </c>
      <c r="B5849" s="1" t="n">
        <v>45545</v>
      </c>
      <c r="C5849" s="1" t="n">
        <v>45706</v>
      </c>
      <c r="D5849" t="inlineStr">
        <is>
          <t>UPPSALA LÄN</t>
        </is>
      </c>
      <c r="E5849" t="inlineStr">
        <is>
          <t>ÄLVKARLEBY</t>
        </is>
      </c>
      <c r="F5849" t="inlineStr">
        <is>
          <t>Bergvik skog väst AB</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38233-2024</t>
        </is>
      </c>
      <c r="B5850" s="1" t="n">
        <v>45545</v>
      </c>
      <c r="C5850" s="1" t="n">
        <v>45706</v>
      </c>
      <c r="D5850" t="inlineStr">
        <is>
          <t>UPPSALA LÄN</t>
        </is>
      </c>
      <c r="E5850" t="inlineStr">
        <is>
          <t>ÖSTHAMMAR</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38325-2024</t>
        </is>
      </c>
      <c r="B5851" s="1" t="n">
        <v>45545</v>
      </c>
      <c r="C5851" s="1" t="n">
        <v>45706</v>
      </c>
      <c r="D5851" t="inlineStr">
        <is>
          <t>UPPSALA LÄN</t>
        </is>
      </c>
      <c r="E5851" t="inlineStr">
        <is>
          <t>TIERP</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38572-2024</t>
        </is>
      </c>
      <c r="B5852" s="1" t="n">
        <v>45546</v>
      </c>
      <c r="C5852" s="1" t="n">
        <v>45706</v>
      </c>
      <c r="D5852" t="inlineStr">
        <is>
          <t>UPPSALA LÄN</t>
        </is>
      </c>
      <c r="E5852" t="inlineStr">
        <is>
          <t>ÖSTHAMMAR</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38575-2024</t>
        </is>
      </c>
      <c r="B5853" s="1" t="n">
        <v>45546</v>
      </c>
      <c r="C5853" s="1" t="n">
        <v>45706</v>
      </c>
      <c r="D5853" t="inlineStr">
        <is>
          <t>UPPSALA LÄN</t>
        </is>
      </c>
      <c r="E5853" t="inlineStr">
        <is>
          <t>ÖSTHAMMAR</t>
        </is>
      </c>
      <c r="F5853" t="inlineStr">
        <is>
          <t>Bergvik skog öst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38670-2024</t>
        </is>
      </c>
      <c r="B5854" s="1" t="n">
        <v>45547</v>
      </c>
      <c r="C5854" s="1" t="n">
        <v>45706</v>
      </c>
      <c r="D5854" t="inlineStr">
        <is>
          <t>UPPSALA LÄN</t>
        </is>
      </c>
      <c r="E5854" t="inlineStr">
        <is>
          <t>HEBY</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38740-2024</t>
        </is>
      </c>
      <c r="B5855" s="1" t="n">
        <v>45547</v>
      </c>
      <c r="C5855" s="1" t="n">
        <v>45706</v>
      </c>
      <c r="D5855" t="inlineStr">
        <is>
          <t>UPPSALA LÄN</t>
        </is>
      </c>
      <c r="E5855" t="inlineStr">
        <is>
          <t>HEBY</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38831-2024</t>
        </is>
      </c>
      <c r="B5856" s="1" t="n">
        <v>45547</v>
      </c>
      <c r="C5856" s="1" t="n">
        <v>45706</v>
      </c>
      <c r="D5856" t="inlineStr">
        <is>
          <t>UPPSALA LÄN</t>
        </is>
      </c>
      <c r="E5856" t="inlineStr">
        <is>
          <t>HEBY</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38897-2024</t>
        </is>
      </c>
      <c r="B5857" s="1" t="n">
        <v>45547</v>
      </c>
      <c r="C5857" s="1" t="n">
        <v>45706</v>
      </c>
      <c r="D5857" t="inlineStr">
        <is>
          <t>UPPSALA LÄN</t>
        </is>
      </c>
      <c r="E5857" t="inlineStr">
        <is>
          <t>TIERP</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38958-2024</t>
        </is>
      </c>
      <c r="B5858" s="1" t="n">
        <v>45548</v>
      </c>
      <c r="C5858" s="1" t="n">
        <v>45706</v>
      </c>
      <c r="D5858" t="inlineStr">
        <is>
          <t>UPPSALA LÄN</t>
        </is>
      </c>
      <c r="E5858" t="inlineStr">
        <is>
          <t>UPPSALA</t>
        </is>
      </c>
      <c r="G5858" t="n">
        <v>9.300000000000001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39007-2024</t>
        </is>
      </c>
      <c r="B5859" s="1" t="n">
        <v>45548</v>
      </c>
      <c r="C5859" s="1" t="n">
        <v>45706</v>
      </c>
      <c r="D5859" t="inlineStr">
        <is>
          <t>UPPSALA LÄN</t>
        </is>
      </c>
      <c r="E5859" t="inlineStr">
        <is>
          <t>UPPSALA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39117-2024</t>
        </is>
      </c>
      <c r="B5860" s="1" t="n">
        <v>45548</v>
      </c>
      <c r="C5860" s="1" t="n">
        <v>45706</v>
      </c>
      <c r="D5860" t="inlineStr">
        <is>
          <t>UPPSALA LÄN</t>
        </is>
      </c>
      <c r="E5860" t="inlineStr">
        <is>
          <t>TIERP</t>
        </is>
      </c>
      <c r="F5860" t="inlineStr">
        <is>
          <t>Bergvik skog öst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39009-2024</t>
        </is>
      </c>
      <c r="B5861" s="1" t="n">
        <v>45548</v>
      </c>
      <c r="C5861" s="1" t="n">
        <v>45706</v>
      </c>
      <c r="D5861" t="inlineStr">
        <is>
          <t>UPPSALA LÄN</t>
        </is>
      </c>
      <c r="E5861" t="inlineStr">
        <is>
          <t>ENKÖPING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39115-2024</t>
        </is>
      </c>
      <c r="B5862" s="1" t="n">
        <v>45548</v>
      </c>
      <c r="C5862" s="1" t="n">
        <v>45706</v>
      </c>
      <c r="D5862" t="inlineStr">
        <is>
          <t>UPPSALA LÄN</t>
        </is>
      </c>
      <c r="E5862" t="inlineStr">
        <is>
          <t>ENKÖPING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39359-2024</t>
        </is>
      </c>
      <c r="B5863" s="1" t="n">
        <v>45551</v>
      </c>
      <c r="C5863" s="1" t="n">
        <v>45706</v>
      </c>
      <c r="D5863" t="inlineStr">
        <is>
          <t>UPPSALA LÄN</t>
        </is>
      </c>
      <c r="E5863" t="inlineStr">
        <is>
          <t>UPPSALA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39333-2024</t>
        </is>
      </c>
      <c r="B5864" s="1" t="n">
        <v>45551</v>
      </c>
      <c r="C5864" s="1" t="n">
        <v>45706</v>
      </c>
      <c r="D5864" t="inlineStr">
        <is>
          <t>UPPSALA LÄN</t>
        </is>
      </c>
      <c r="E5864" t="inlineStr">
        <is>
          <t>TIERP</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39341-2024</t>
        </is>
      </c>
      <c r="B5865" s="1" t="n">
        <v>45551</v>
      </c>
      <c r="C5865" s="1" t="n">
        <v>45706</v>
      </c>
      <c r="D5865" t="inlineStr">
        <is>
          <t>UPPSALA LÄN</t>
        </is>
      </c>
      <c r="E5865" t="inlineStr">
        <is>
          <t>ÖSTHAMMAR</t>
        </is>
      </c>
      <c r="F5865" t="inlineStr">
        <is>
          <t>Bergvik skog öst AB</t>
        </is>
      </c>
      <c r="G5865" t="n">
        <v>23.2</v>
      </c>
      <c r="H5865" t="n">
        <v>0</v>
      </c>
      <c r="I5865" t="n">
        <v>0</v>
      </c>
      <c r="J5865" t="n">
        <v>0</v>
      </c>
      <c r="K5865" t="n">
        <v>0</v>
      </c>
      <c r="L5865" t="n">
        <v>0</v>
      </c>
      <c r="M5865" t="n">
        <v>0</v>
      </c>
      <c r="N5865" t="n">
        <v>0</v>
      </c>
      <c r="O5865" t="n">
        <v>0</v>
      </c>
      <c r="P5865" t="n">
        <v>0</v>
      </c>
      <c r="Q5865" t="n">
        <v>0</v>
      </c>
      <c r="R5865" s="2" t="inlineStr"/>
    </row>
    <row r="5866" ht="15" customHeight="1">
      <c r="A5866" t="inlineStr">
        <is>
          <t>A 39357-2024</t>
        </is>
      </c>
      <c r="B5866" s="1" t="n">
        <v>45551</v>
      </c>
      <c r="C5866" s="1" t="n">
        <v>45706</v>
      </c>
      <c r="D5866" t="inlineStr">
        <is>
          <t>UPPSALA LÄN</t>
        </is>
      </c>
      <c r="E5866" t="inlineStr">
        <is>
          <t>ÖSTHAMMAR</t>
        </is>
      </c>
      <c r="F5866" t="inlineStr">
        <is>
          <t>Bergvik skog öst AB</t>
        </is>
      </c>
      <c r="G5866" t="n">
        <v>23.2</v>
      </c>
      <c r="H5866" t="n">
        <v>0</v>
      </c>
      <c r="I5866" t="n">
        <v>0</v>
      </c>
      <c r="J5866" t="n">
        <v>0</v>
      </c>
      <c r="K5866" t="n">
        <v>0</v>
      </c>
      <c r="L5866" t="n">
        <v>0</v>
      </c>
      <c r="M5866" t="n">
        <v>0</v>
      </c>
      <c r="N5866" t="n">
        <v>0</v>
      </c>
      <c r="O5866" t="n">
        <v>0</v>
      </c>
      <c r="P5866" t="n">
        <v>0</v>
      </c>
      <c r="Q5866" t="n">
        <v>0</v>
      </c>
      <c r="R5866" s="2" t="inlineStr"/>
    </row>
    <row r="5867" ht="15" customHeight="1">
      <c r="A5867" t="inlineStr">
        <is>
          <t>A 39477-2024</t>
        </is>
      </c>
      <c r="B5867" s="1" t="n">
        <v>45551</v>
      </c>
      <c r="C5867" s="1" t="n">
        <v>45706</v>
      </c>
      <c r="D5867" t="inlineStr">
        <is>
          <t>UPPSALA LÄN</t>
        </is>
      </c>
      <c r="E5867" t="inlineStr">
        <is>
          <t>TIERP</t>
        </is>
      </c>
      <c r="F5867" t="inlineStr">
        <is>
          <t>Bergvik skog öst AB</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39426-2024</t>
        </is>
      </c>
      <c r="B5868" s="1" t="n">
        <v>45551</v>
      </c>
      <c r="C5868" s="1" t="n">
        <v>45706</v>
      </c>
      <c r="D5868" t="inlineStr">
        <is>
          <t>UPPSALA LÄN</t>
        </is>
      </c>
      <c r="E5868" t="inlineStr">
        <is>
          <t>HEBY</t>
        </is>
      </c>
      <c r="G5868" t="n">
        <v>13.5</v>
      </c>
      <c r="H5868" t="n">
        <v>0</v>
      </c>
      <c r="I5868" t="n">
        <v>0</v>
      </c>
      <c r="J5868" t="n">
        <v>0</v>
      </c>
      <c r="K5868" t="n">
        <v>0</v>
      </c>
      <c r="L5868" t="n">
        <v>0</v>
      </c>
      <c r="M5868" t="n">
        <v>0</v>
      </c>
      <c r="N5868" t="n">
        <v>0</v>
      </c>
      <c r="O5868" t="n">
        <v>0</v>
      </c>
      <c r="P5868" t="n">
        <v>0</v>
      </c>
      <c r="Q5868" t="n">
        <v>0</v>
      </c>
      <c r="R5868" s="2" t="inlineStr"/>
    </row>
    <row r="5869" ht="15" customHeight="1">
      <c r="A5869" t="inlineStr">
        <is>
          <t>A 39481-2024</t>
        </is>
      </c>
      <c r="B5869" s="1" t="n">
        <v>45551</v>
      </c>
      <c r="C5869" s="1" t="n">
        <v>45706</v>
      </c>
      <c r="D5869" t="inlineStr">
        <is>
          <t>UPPSALA LÄN</t>
        </is>
      </c>
      <c r="E5869" t="inlineStr">
        <is>
          <t>TIERP</t>
        </is>
      </c>
      <c r="F5869" t="inlineStr">
        <is>
          <t>Bergvik skog öst AB</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39491-2024</t>
        </is>
      </c>
      <c r="B5870" s="1" t="n">
        <v>45551</v>
      </c>
      <c r="C5870" s="1" t="n">
        <v>45706</v>
      </c>
      <c r="D5870" t="inlineStr">
        <is>
          <t>UPPSALA LÄN</t>
        </is>
      </c>
      <c r="E5870" t="inlineStr">
        <is>
          <t>ÖSTHAMMAR</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39490-2024</t>
        </is>
      </c>
      <c r="B5871" s="1" t="n">
        <v>45551</v>
      </c>
      <c r="C5871" s="1" t="n">
        <v>45706</v>
      </c>
      <c r="D5871" t="inlineStr">
        <is>
          <t>UPPSALA LÄN</t>
        </is>
      </c>
      <c r="E5871" t="inlineStr">
        <is>
          <t>ÖSTHAMMAR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39536-2024</t>
        </is>
      </c>
      <c r="B5872" s="1" t="n">
        <v>45551</v>
      </c>
      <c r="C5872" s="1" t="n">
        <v>45706</v>
      </c>
      <c r="D5872" t="inlineStr">
        <is>
          <t>UPPSALA LÄN</t>
        </is>
      </c>
      <c r="E5872" t="inlineStr">
        <is>
          <t>HEBY</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39484-2024</t>
        </is>
      </c>
      <c r="B5873" s="1" t="n">
        <v>45551</v>
      </c>
      <c r="C5873" s="1" t="n">
        <v>45706</v>
      </c>
      <c r="D5873" t="inlineStr">
        <is>
          <t>UPPSALA LÄN</t>
        </is>
      </c>
      <c r="E5873" t="inlineStr">
        <is>
          <t>TIERP</t>
        </is>
      </c>
      <c r="F5873" t="inlineStr">
        <is>
          <t>Bergvik skog öst AB</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39633-2024</t>
        </is>
      </c>
      <c r="B5874" s="1" t="n">
        <v>45552</v>
      </c>
      <c r="C5874" s="1" t="n">
        <v>45706</v>
      </c>
      <c r="D5874" t="inlineStr">
        <is>
          <t>UPPSALA LÄN</t>
        </is>
      </c>
      <c r="E5874" t="inlineStr">
        <is>
          <t>ÖSTHAMMAR</t>
        </is>
      </c>
      <c r="F5874" t="inlineStr">
        <is>
          <t>Bergvik skog öst AB</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39759-2024</t>
        </is>
      </c>
      <c r="B5875" s="1" t="n">
        <v>45552</v>
      </c>
      <c r="C5875" s="1" t="n">
        <v>45706</v>
      </c>
      <c r="D5875" t="inlineStr">
        <is>
          <t>UPPSALA LÄN</t>
        </is>
      </c>
      <c r="E5875" t="inlineStr">
        <is>
          <t>ÖSTHAMMAR</t>
        </is>
      </c>
      <c r="F5875" t="inlineStr">
        <is>
          <t>Bergvik skog öst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39632-2024</t>
        </is>
      </c>
      <c r="B5876" s="1" t="n">
        <v>45552</v>
      </c>
      <c r="C5876" s="1" t="n">
        <v>45706</v>
      </c>
      <c r="D5876" t="inlineStr">
        <is>
          <t>UPPSALA LÄN</t>
        </is>
      </c>
      <c r="E5876" t="inlineStr">
        <is>
          <t>ÖSTHAMMAR</t>
        </is>
      </c>
      <c r="F5876" t="inlineStr">
        <is>
          <t>Bergvik skog öst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39758-2024</t>
        </is>
      </c>
      <c r="B5877" s="1" t="n">
        <v>45552</v>
      </c>
      <c r="C5877" s="1" t="n">
        <v>45706</v>
      </c>
      <c r="D5877" t="inlineStr">
        <is>
          <t>UPPSALA LÄN</t>
        </is>
      </c>
      <c r="E5877" t="inlineStr">
        <is>
          <t>ÖSTHAMMAR</t>
        </is>
      </c>
      <c r="F5877" t="inlineStr">
        <is>
          <t>Bergvik skog öst AB</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39818-2024</t>
        </is>
      </c>
      <c r="B5878" s="1" t="n">
        <v>45552</v>
      </c>
      <c r="C5878" s="1" t="n">
        <v>45706</v>
      </c>
      <c r="D5878" t="inlineStr">
        <is>
          <t>UPPSALA LÄN</t>
        </is>
      </c>
      <c r="E5878" t="inlineStr">
        <is>
          <t>UPPSALA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39812-2024</t>
        </is>
      </c>
      <c r="B5879" s="1" t="n">
        <v>45552</v>
      </c>
      <c r="C5879" s="1" t="n">
        <v>45706</v>
      </c>
      <c r="D5879" t="inlineStr">
        <is>
          <t>UPPSALA LÄN</t>
        </is>
      </c>
      <c r="E5879" t="inlineStr">
        <is>
          <t>UPPSALA</t>
        </is>
      </c>
      <c r="G5879" t="n">
        <v>7.9</v>
      </c>
      <c r="H5879" t="n">
        <v>0</v>
      </c>
      <c r="I5879" t="n">
        <v>0</v>
      </c>
      <c r="J5879" t="n">
        <v>0</v>
      </c>
      <c r="K5879" t="n">
        <v>0</v>
      </c>
      <c r="L5879" t="n">
        <v>0</v>
      </c>
      <c r="M5879" t="n">
        <v>0</v>
      </c>
      <c r="N5879" t="n">
        <v>0</v>
      </c>
      <c r="O5879" t="n">
        <v>0</v>
      </c>
      <c r="P5879" t="n">
        <v>0</v>
      </c>
      <c r="Q5879" t="n">
        <v>0</v>
      </c>
      <c r="R5879" s="2" t="inlineStr"/>
    </row>
    <row r="5880" ht="15" customHeight="1">
      <c r="A5880" t="inlineStr">
        <is>
          <t>A 39858-2024</t>
        </is>
      </c>
      <c r="B5880" s="1" t="n">
        <v>45553</v>
      </c>
      <c r="C5880" s="1" t="n">
        <v>45706</v>
      </c>
      <c r="D5880" t="inlineStr">
        <is>
          <t>UPPSALA LÄN</t>
        </is>
      </c>
      <c r="E5880" t="inlineStr">
        <is>
          <t>ENKÖPING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39926-2024</t>
        </is>
      </c>
      <c r="B5881" s="1" t="n">
        <v>45553</v>
      </c>
      <c r="C5881" s="1" t="n">
        <v>45706</v>
      </c>
      <c r="D5881" t="inlineStr">
        <is>
          <t>UPPSALA LÄN</t>
        </is>
      </c>
      <c r="E5881" t="inlineStr">
        <is>
          <t>UPPSALA</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40217-2024</t>
        </is>
      </c>
      <c r="B5882" s="1" t="n">
        <v>45554</v>
      </c>
      <c r="C5882" s="1" t="n">
        <v>45706</v>
      </c>
      <c r="D5882" t="inlineStr">
        <is>
          <t>UPPSALA LÄN</t>
        </is>
      </c>
      <c r="E5882" t="inlineStr">
        <is>
          <t>ENKÖPING</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40223-2024</t>
        </is>
      </c>
      <c r="B5883" s="1" t="n">
        <v>45554</v>
      </c>
      <c r="C5883" s="1" t="n">
        <v>45706</v>
      </c>
      <c r="D5883" t="inlineStr">
        <is>
          <t>UPPSALA LÄN</t>
        </is>
      </c>
      <c r="E5883" t="inlineStr">
        <is>
          <t>ENKÖPING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40202-2024</t>
        </is>
      </c>
      <c r="B5884" s="1" t="n">
        <v>45554</v>
      </c>
      <c r="C5884" s="1" t="n">
        <v>45706</v>
      </c>
      <c r="D5884" t="inlineStr">
        <is>
          <t>UPPSALA LÄN</t>
        </is>
      </c>
      <c r="E5884" t="inlineStr">
        <is>
          <t>ENKÖPING</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40111-2024</t>
        </is>
      </c>
      <c r="B5885" s="1" t="n">
        <v>45554</v>
      </c>
      <c r="C5885" s="1" t="n">
        <v>45706</v>
      </c>
      <c r="D5885" t="inlineStr">
        <is>
          <t>UPPSALA LÄN</t>
        </is>
      </c>
      <c r="E5885" t="inlineStr">
        <is>
          <t>UPPSALA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40326-2024</t>
        </is>
      </c>
      <c r="B5886" s="1" t="n">
        <v>45554</v>
      </c>
      <c r="C5886" s="1" t="n">
        <v>45706</v>
      </c>
      <c r="D5886" t="inlineStr">
        <is>
          <t>UPPSALA LÄN</t>
        </is>
      </c>
      <c r="E5886" t="inlineStr">
        <is>
          <t>UPPSALA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40377-2024</t>
        </is>
      </c>
      <c r="B5887" s="1" t="n">
        <v>45555</v>
      </c>
      <c r="C5887" s="1" t="n">
        <v>45706</v>
      </c>
      <c r="D5887" t="inlineStr">
        <is>
          <t>UPPSALA LÄN</t>
        </is>
      </c>
      <c r="E5887" t="inlineStr">
        <is>
          <t>HÅBO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40370-2024</t>
        </is>
      </c>
      <c r="B5888" s="1" t="n">
        <v>45555</v>
      </c>
      <c r="C5888" s="1" t="n">
        <v>45706</v>
      </c>
      <c r="D5888" t="inlineStr">
        <is>
          <t>UPPSALA LÄN</t>
        </is>
      </c>
      <c r="E5888" t="inlineStr">
        <is>
          <t>HÅBO</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40568-2024</t>
        </is>
      </c>
      <c r="B5889" s="1" t="n">
        <v>45555</v>
      </c>
      <c r="C5889" s="1" t="n">
        <v>45706</v>
      </c>
      <c r="D5889" t="inlineStr">
        <is>
          <t>UPPSALA LÄN</t>
        </is>
      </c>
      <c r="E5889" t="inlineStr">
        <is>
          <t>TIERP</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40434-2024</t>
        </is>
      </c>
      <c r="B5890" s="1" t="n">
        <v>45555</v>
      </c>
      <c r="C5890" s="1" t="n">
        <v>45706</v>
      </c>
      <c r="D5890" t="inlineStr">
        <is>
          <t>UPPSALA LÄN</t>
        </is>
      </c>
      <c r="E5890" t="inlineStr">
        <is>
          <t>ÖSTHAMMAR</t>
        </is>
      </c>
      <c r="F5890" t="inlineStr">
        <is>
          <t>Bergvik skog öst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40454-2024</t>
        </is>
      </c>
      <c r="B5891" s="1" t="n">
        <v>45555</v>
      </c>
      <c r="C5891" s="1" t="n">
        <v>45706</v>
      </c>
      <c r="D5891" t="inlineStr">
        <is>
          <t>UPPSALA LÄN</t>
        </is>
      </c>
      <c r="E5891" t="inlineStr">
        <is>
          <t>ÖSTHAMMAR</t>
        </is>
      </c>
      <c r="F5891" t="inlineStr">
        <is>
          <t>Bergvik skog öst AB</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40491-2024</t>
        </is>
      </c>
      <c r="B5892" s="1" t="n">
        <v>45555</v>
      </c>
      <c r="C5892" s="1" t="n">
        <v>45706</v>
      </c>
      <c r="D5892" t="inlineStr">
        <is>
          <t>UPPSALA LÄN</t>
        </is>
      </c>
      <c r="E5892" t="inlineStr">
        <is>
          <t>UPPSALA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40503-2024</t>
        </is>
      </c>
      <c r="B5893" s="1" t="n">
        <v>45555</v>
      </c>
      <c r="C5893" s="1" t="n">
        <v>45706</v>
      </c>
      <c r="D5893" t="inlineStr">
        <is>
          <t>UPPSALA LÄN</t>
        </is>
      </c>
      <c r="E5893" t="inlineStr">
        <is>
          <t>UPPSALA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40701-2024</t>
        </is>
      </c>
      <c r="B5894" s="1" t="n">
        <v>45558</v>
      </c>
      <c r="C5894" s="1" t="n">
        <v>45706</v>
      </c>
      <c r="D5894" t="inlineStr">
        <is>
          <t>UPPSALA LÄN</t>
        </is>
      </c>
      <c r="E5894" t="inlineStr">
        <is>
          <t>UPPSALA</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40753-2024</t>
        </is>
      </c>
      <c r="B5895" s="1" t="n">
        <v>45558</v>
      </c>
      <c r="C5895" s="1" t="n">
        <v>45706</v>
      </c>
      <c r="D5895" t="inlineStr">
        <is>
          <t>UPPSALA LÄN</t>
        </is>
      </c>
      <c r="E5895" t="inlineStr">
        <is>
          <t>UPPSALA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40748-2024</t>
        </is>
      </c>
      <c r="B5896" s="1" t="n">
        <v>45558</v>
      </c>
      <c r="C5896" s="1" t="n">
        <v>45706</v>
      </c>
      <c r="D5896" t="inlineStr">
        <is>
          <t>UPPSALA LÄN</t>
        </is>
      </c>
      <c r="E5896" t="inlineStr">
        <is>
          <t>TIERP</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41121-2024</t>
        </is>
      </c>
      <c r="B5897" s="1" t="n">
        <v>45559</v>
      </c>
      <c r="C5897" s="1" t="n">
        <v>45706</v>
      </c>
      <c r="D5897" t="inlineStr">
        <is>
          <t>UPPSALA LÄN</t>
        </is>
      </c>
      <c r="E5897" t="inlineStr">
        <is>
          <t>ÄLVKARLEBY</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41192-2024</t>
        </is>
      </c>
      <c r="B5898" s="1" t="n">
        <v>45559</v>
      </c>
      <c r="C5898" s="1" t="n">
        <v>45706</v>
      </c>
      <c r="D5898" t="inlineStr">
        <is>
          <t>UPPSALA LÄN</t>
        </is>
      </c>
      <c r="E5898" t="inlineStr">
        <is>
          <t>HEBY</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41308-2024</t>
        </is>
      </c>
      <c r="B5899" s="1" t="n">
        <v>45559</v>
      </c>
      <c r="C5899" s="1" t="n">
        <v>45706</v>
      </c>
      <c r="D5899" t="inlineStr">
        <is>
          <t>UPPSALA LÄN</t>
        </is>
      </c>
      <c r="E5899" t="inlineStr">
        <is>
          <t>TIERP</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41341-2024</t>
        </is>
      </c>
      <c r="B5900" s="1" t="n">
        <v>45559</v>
      </c>
      <c r="C5900" s="1" t="n">
        <v>45706</v>
      </c>
      <c r="D5900" t="inlineStr">
        <is>
          <t>UPPSALA LÄN</t>
        </is>
      </c>
      <c r="E5900" t="inlineStr">
        <is>
          <t>ÖSTHAMMAR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41303-2024</t>
        </is>
      </c>
      <c r="B5901" s="1" t="n">
        <v>45559</v>
      </c>
      <c r="C5901" s="1" t="n">
        <v>45706</v>
      </c>
      <c r="D5901" t="inlineStr">
        <is>
          <t>UPPSALA LÄN</t>
        </is>
      </c>
      <c r="E5901" t="inlineStr">
        <is>
          <t>HEBY</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41189-2024</t>
        </is>
      </c>
      <c r="B5902" s="1" t="n">
        <v>45559</v>
      </c>
      <c r="C5902" s="1" t="n">
        <v>45706</v>
      </c>
      <c r="D5902" t="inlineStr">
        <is>
          <t>UPPSALA LÄN</t>
        </is>
      </c>
      <c r="E5902" t="inlineStr">
        <is>
          <t>HEBY</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41395-2024</t>
        </is>
      </c>
      <c r="B5903" s="1" t="n">
        <v>45560</v>
      </c>
      <c r="C5903" s="1" t="n">
        <v>45706</v>
      </c>
      <c r="D5903" t="inlineStr">
        <is>
          <t>UPPSALA LÄN</t>
        </is>
      </c>
      <c r="E5903" t="inlineStr">
        <is>
          <t>TIERP</t>
        </is>
      </c>
      <c r="F5903" t="inlineStr">
        <is>
          <t>Bergvik skog öst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41399-2024</t>
        </is>
      </c>
      <c r="B5904" s="1" t="n">
        <v>45560</v>
      </c>
      <c r="C5904" s="1" t="n">
        <v>45706</v>
      </c>
      <c r="D5904" t="inlineStr">
        <is>
          <t>UPPSALA LÄN</t>
        </is>
      </c>
      <c r="E5904" t="inlineStr">
        <is>
          <t>TIERP</t>
        </is>
      </c>
      <c r="F5904" t="inlineStr">
        <is>
          <t>Bergvik skog öst AB</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41470-2024</t>
        </is>
      </c>
      <c r="B5905" s="1" t="n">
        <v>45560</v>
      </c>
      <c r="C5905" s="1" t="n">
        <v>45706</v>
      </c>
      <c r="D5905" t="inlineStr">
        <is>
          <t>UPPSALA LÄN</t>
        </is>
      </c>
      <c r="E5905" t="inlineStr">
        <is>
          <t>HEBY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41478-2024</t>
        </is>
      </c>
      <c r="B5906" s="1" t="n">
        <v>45560</v>
      </c>
      <c r="C5906" s="1" t="n">
        <v>45706</v>
      </c>
      <c r="D5906" t="inlineStr">
        <is>
          <t>UPPSALA LÄN</t>
        </is>
      </c>
      <c r="E5906" t="inlineStr">
        <is>
          <t>ÖSTHAMMAR</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41393-2024</t>
        </is>
      </c>
      <c r="B5907" s="1" t="n">
        <v>45560</v>
      </c>
      <c r="C5907" s="1" t="n">
        <v>45706</v>
      </c>
      <c r="D5907" t="inlineStr">
        <is>
          <t>UPPSALA LÄN</t>
        </is>
      </c>
      <c r="E5907" t="inlineStr">
        <is>
          <t>TIERP</t>
        </is>
      </c>
      <c r="F5907" t="inlineStr">
        <is>
          <t>Bergvik skog öst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41389-2024</t>
        </is>
      </c>
      <c r="B5908" s="1" t="n">
        <v>45560</v>
      </c>
      <c r="C5908" s="1" t="n">
        <v>45706</v>
      </c>
      <c r="D5908" t="inlineStr">
        <is>
          <t>UPPSALA LÄN</t>
        </is>
      </c>
      <c r="E5908" t="inlineStr">
        <is>
          <t>TIERP</t>
        </is>
      </c>
      <c r="F5908" t="inlineStr">
        <is>
          <t>Bergvik skog öst AB</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41465-2024</t>
        </is>
      </c>
      <c r="B5909" s="1" t="n">
        <v>45560</v>
      </c>
      <c r="C5909" s="1" t="n">
        <v>45706</v>
      </c>
      <c r="D5909" t="inlineStr">
        <is>
          <t>UPPSALA LÄN</t>
        </is>
      </c>
      <c r="E5909" t="inlineStr">
        <is>
          <t>HEBY</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41392-2024</t>
        </is>
      </c>
      <c r="B5910" s="1" t="n">
        <v>45560</v>
      </c>
      <c r="C5910" s="1" t="n">
        <v>45706</v>
      </c>
      <c r="D5910" t="inlineStr">
        <is>
          <t>UPPSALA LÄN</t>
        </is>
      </c>
      <c r="E5910" t="inlineStr">
        <is>
          <t>TIERP</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41394-2024</t>
        </is>
      </c>
      <c r="B5911" s="1" t="n">
        <v>45560</v>
      </c>
      <c r="C5911" s="1" t="n">
        <v>45706</v>
      </c>
      <c r="D5911" t="inlineStr">
        <is>
          <t>UPPSALA LÄN</t>
        </is>
      </c>
      <c r="E5911" t="inlineStr">
        <is>
          <t>TIERP</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41828-2024</t>
        </is>
      </c>
      <c r="B5912" s="1" t="n">
        <v>45561</v>
      </c>
      <c r="C5912" s="1" t="n">
        <v>45706</v>
      </c>
      <c r="D5912" t="inlineStr">
        <is>
          <t>UPPSALA LÄN</t>
        </is>
      </c>
      <c r="E5912" t="inlineStr">
        <is>
          <t>ENKÖPING</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41856-2024</t>
        </is>
      </c>
      <c r="B5913" s="1" t="n">
        <v>45561</v>
      </c>
      <c r="C5913" s="1" t="n">
        <v>45706</v>
      </c>
      <c r="D5913" t="inlineStr">
        <is>
          <t>UPPSALA LÄN</t>
        </is>
      </c>
      <c r="E5913" t="inlineStr">
        <is>
          <t>ENKÖPING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41929-2024</t>
        </is>
      </c>
      <c r="B5914" s="1" t="n">
        <v>45561</v>
      </c>
      <c r="C5914" s="1" t="n">
        <v>45706</v>
      </c>
      <c r="D5914" t="inlineStr">
        <is>
          <t>UPPSALA LÄN</t>
        </is>
      </c>
      <c r="E5914" t="inlineStr">
        <is>
          <t>ÄLVKARLEBY</t>
        </is>
      </c>
      <c r="F5914" t="inlineStr">
        <is>
          <t>Bergvik skog väst AB</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41998-2024</t>
        </is>
      </c>
      <c r="B5915" s="1" t="n">
        <v>45561</v>
      </c>
      <c r="C5915" s="1" t="n">
        <v>45706</v>
      </c>
      <c r="D5915" t="inlineStr">
        <is>
          <t>UPPSALA LÄN</t>
        </is>
      </c>
      <c r="E5915" t="inlineStr">
        <is>
          <t>ÖSTHAMMAR</t>
        </is>
      </c>
      <c r="F5915" t="inlineStr">
        <is>
          <t>Bergvik skog öst AB</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41979-2024</t>
        </is>
      </c>
      <c r="B5916" s="1" t="n">
        <v>45561</v>
      </c>
      <c r="C5916" s="1" t="n">
        <v>45706</v>
      </c>
      <c r="D5916" t="inlineStr">
        <is>
          <t>UPPSALA LÄN</t>
        </is>
      </c>
      <c r="E5916" t="inlineStr">
        <is>
          <t>ÄLVKARLEBY</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41826-2024</t>
        </is>
      </c>
      <c r="B5917" s="1" t="n">
        <v>45561</v>
      </c>
      <c r="C5917" s="1" t="n">
        <v>45706</v>
      </c>
      <c r="D5917" t="inlineStr">
        <is>
          <t>UPPSALA LÄN</t>
        </is>
      </c>
      <c r="E5917" t="inlineStr">
        <is>
          <t>ENKÖPING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41850-2024</t>
        </is>
      </c>
      <c r="B5918" s="1" t="n">
        <v>45561</v>
      </c>
      <c r="C5918" s="1" t="n">
        <v>45706</v>
      </c>
      <c r="D5918" t="inlineStr">
        <is>
          <t>UPPSALA LÄN</t>
        </is>
      </c>
      <c r="E5918" t="inlineStr">
        <is>
          <t>ENKÖPING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41894-2024</t>
        </is>
      </c>
      <c r="B5919" s="1" t="n">
        <v>45561</v>
      </c>
      <c r="C5919" s="1" t="n">
        <v>45706</v>
      </c>
      <c r="D5919" t="inlineStr">
        <is>
          <t>UPPSALA LÄN</t>
        </is>
      </c>
      <c r="E5919" t="inlineStr">
        <is>
          <t>ÄLVKARLEBY</t>
        </is>
      </c>
      <c r="F5919" t="inlineStr">
        <is>
          <t>Bergvik skog väst AB</t>
        </is>
      </c>
      <c r="G5919" t="n">
        <v>5.6</v>
      </c>
      <c r="H5919" t="n">
        <v>0</v>
      </c>
      <c r="I5919" t="n">
        <v>0</v>
      </c>
      <c r="J5919" t="n">
        <v>0</v>
      </c>
      <c r="K5919" t="n">
        <v>0</v>
      </c>
      <c r="L5919" t="n">
        <v>0</v>
      </c>
      <c r="M5919" t="n">
        <v>0</v>
      </c>
      <c r="N5919" t="n">
        <v>0</v>
      </c>
      <c r="O5919" t="n">
        <v>0</v>
      </c>
      <c r="P5919" t="n">
        <v>0</v>
      </c>
      <c r="Q5919" t="n">
        <v>0</v>
      </c>
      <c r="R5919" s="2" t="inlineStr"/>
    </row>
    <row r="5920" ht="15" customHeight="1">
      <c r="A5920" t="inlineStr">
        <is>
          <t>A 41898-2024</t>
        </is>
      </c>
      <c r="B5920" s="1" t="n">
        <v>45561</v>
      </c>
      <c r="C5920" s="1" t="n">
        <v>45706</v>
      </c>
      <c r="D5920" t="inlineStr">
        <is>
          <t>UPPSALA LÄN</t>
        </is>
      </c>
      <c r="E5920" t="inlineStr">
        <is>
          <t>ÄLVKARLEBY</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41996-2024</t>
        </is>
      </c>
      <c r="B5921" s="1" t="n">
        <v>45561</v>
      </c>
      <c r="C5921" s="1" t="n">
        <v>45706</v>
      </c>
      <c r="D5921" t="inlineStr">
        <is>
          <t>UPPSALA LÄN</t>
        </is>
      </c>
      <c r="E5921" t="inlineStr">
        <is>
          <t>ÖSTHAMMAR</t>
        </is>
      </c>
      <c r="F5921" t="inlineStr">
        <is>
          <t>Bergvik skog öst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42225-2024</t>
        </is>
      </c>
      <c r="B5922" s="1" t="n">
        <v>45562</v>
      </c>
      <c r="C5922" s="1" t="n">
        <v>45706</v>
      </c>
      <c r="D5922" t="inlineStr">
        <is>
          <t>UPPSALA LÄN</t>
        </is>
      </c>
      <c r="E5922" t="inlineStr">
        <is>
          <t>ÖSTHAMMAR</t>
        </is>
      </c>
      <c r="F5922" t="inlineStr">
        <is>
          <t>Bergvik skog öst AB</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42162-2024</t>
        </is>
      </c>
      <c r="B5923" s="1" t="n">
        <v>45562</v>
      </c>
      <c r="C5923" s="1" t="n">
        <v>45706</v>
      </c>
      <c r="D5923" t="inlineStr">
        <is>
          <t>UPPSALA LÄN</t>
        </is>
      </c>
      <c r="E5923" t="inlineStr">
        <is>
          <t>HEBY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42296-2024</t>
        </is>
      </c>
      <c r="B5924" s="1" t="n">
        <v>45562</v>
      </c>
      <c r="C5924" s="1" t="n">
        <v>45706</v>
      </c>
      <c r="D5924" t="inlineStr">
        <is>
          <t>UPPSALA LÄN</t>
        </is>
      </c>
      <c r="E5924" t="inlineStr">
        <is>
          <t>ÖSTHAMMAR</t>
        </is>
      </c>
      <c r="F5924" t="inlineStr">
        <is>
          <t>Bergvik skog öst AB</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42262-2024</t>
        </is>
      </c>
      <c r="B5925" s="1" t="n">
        <v>45562</v>
      </c>
      <c r="C5925" s="1" t="n">
        <v>45706</v>
      </c>
      <c r="D5925" t="inlineStr">
        <is>
          <t>UPPSALA LÄN</t>
        </is>
      </c>
      <c r="E5925" t="inlineStr">
        <is>
          <t>ÖSTHAMMAR</t>
        </is>
      </c>
      <c r="F5925" t="inlineStr">
        <is>
          <t>Bergvik skog öst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42276-2024</t>
        </is>
      </c>
      <c r="B5926" s="1" t="n">
        <v>45562</v>
      </c>
      <c r="C5926" s="1" t="n">
        <v>45706</v>
      </c>
      <c r="D5926" t="inlineStr">
        <is>
          <t>UPPSALA LÄN</t>
        </is>
      </c>
      <c r="E5926" t="inlineStr">
        <is>
          <t>UPPSALA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42142-2024</t>
        </is>
      </c>
      <c r="B5927" s="1" t="n">
        <v>45562</v>
      </c>
      <c r="C5927" s="1" t="n">
        <v>45706</v>
      </c>
      <c r="D5927" t="inlineStr">
        <is>
          <t>UPPSALA LÄN</t>
        </is>
      </c>
      <c r="E5927" t="inlineStr">
        <is>
          <t>ÖSTHAMMAR</t>
        </is>
      </c>
      <c r="F5927" t="inlineStr">
        <is>
          <t>Bergvik skog öst AB</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42146-2024</t>
        </is>
      </c>
      <c r="B5928" s="1" t="n">
        <v>45562</v>
      </c>
      <c r="C5928" s="1" t="n">
        <v>45706</v>
      </c>
      <c r="D5928" t="inlineStr">
        <is>
          <t>UPPSALA LÄN</t>
        </is>
      </c>
      <c r="E5928" t="inlineStr">
        <is>
          <t>UPPSALA</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42259-2024</t>
        </is>
      </c>
      <c r="B5929" s="1" t="n">
        <v>45562</v>
      </c>
      <c r="C5929" s="1" t="n">
        <v>45706</v>
      </c>
      <c r="D5929" t="inlineStr">
        <is>
          <t>UPPSALA LÄN</t>
        </is>
      </c>
      <c r="E5929" t="inlineStr">
        <is>
          <t>UPPSALA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42267-2024</t>
        </is>
      </c>
      <c r="B5930" s="1" t="n">
        <v>45562</v>
      </c>
      <c r="C5930" s="1" t="n">
        <v>45706</v>
      </c>
      <c r="D5930" t="inlineStr">
        <is>
          <t>UPPSALA LÄN</t>
        </is>
      </c>
      <c r="E5930" t="inlineStr">
        <is>
          <t>HEBY</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42277-2024</t>
        </is>
      </c>
      <c r="B5931" s="1" t="n">
        <v>45562</v>
      </c>
      <c r="C5931" s="1" t="n">
        <v>45706</v>
      </c>
      <c r="D5931" t="inlineStr">
        <is>
          <t>UPPSALA LÄN</t>
        </is>
      </c>
      <c r="E5931" t="inlineStr">
        <is>
          <t>HEBY</t>
        </is>
      </c>
      <c r="F5931" t="inlineStr">
        <is>
          <t>Bergvik skog väst AB</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42307-2024</t>
        </is>
      </c>
      <c r="B5932" s="1" t="n">
        <v>45562</v>
      </c>
      <c r="C5932" s="1" t="n">
        <v>45706</v>
      </c>
      <c r="D5932" t="inlineStr">
        <is>
          <t>UPPSALA LÄN</t>
        </is>
      </c>
      <c r="E5932" t="inlineStr">
        <is>
          <t>HEBY</t>
        </is>
      </c>
      <c r="F5932" t="inlineStr">
        <is>
          <t>Bergvik skog väst AB</t>
        </is>
      </c>
      <c r="G5932" t="n">
        <v>15.1</v>
      </c>
      <c r="H5932" t="n">
        <v>0</v>
      </c>
      <c r="I5932" t="n">
        <v>0</v>
      </c>
      <c r="J5932" t="n">
        <v>0</v>
      </c>
      <c r="K5932" t="n">
        <v>0</v>
      </c>
      <c r="L5932" t="n">
        <v>0</v>
      </c>
      <c r="M5932" t="n">
        <v>0</v>
      </c>
      <c r="N5932" t="n">
        <v>0</v>
      </c>
      <c r="O5932" t="n">
        <v>0</v>
      </c>
      <c r="P5932" t="n">
        <v>0</v>
      </c>
      <c r="Q5932" t="n">
        <v>0</v>
      </c>
      <c r="R5932" s="2" t="inlineStr"/>
    </row>
    <row r="5933" ht="15" customHeight="1">
      <c r="A5933" t="inlineStr">
        <is>
          <t>A 42143-2024</t>
        </is>
      </c>
      <c r="B5933" s="1" t="n">
        <v>45562</v>
      </c>
      <c r="C5933" s="1" t="n">
        <v>45706</v>
      </c>
      <c r="D5933" t="inlineStr">
        <is>
          <t>UPPSALA LÄN</t>
        </is>
      </c>
      <c r="E5933" t="inlineStr">
        <is>
          <t>UPPSALA</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42159-2024</t>
        </is>
      </c>
      <c r="B5934" s="1" t="n">
        <v>45562</v>
      </c>
      <c r="C5934" s="1" t="n">
        <v>45706</v>
      </c>
      <c r="D5934" t="inlineStr">
        <is>
          <t>UPPSALA LÄN</t>
        </is>
      </c>
      <c r="E5934" t="inlineStr">
        <is>
          <t>ÖSTHAMMAR</t>
        </is>
      </c>
      <c r="F5934" t="inlineStr">
        <is>
          <t>Bergvik skog öst AB</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42453-2024</t>
        </is>
      </c>
      <c r="B5935" s="1" t="n">
        <v>45565</v>
      </c>
      <c r="C5935" s="1" t="n">
        <v>45706</v>
      </c>
      <c r="D5935" t="inlineStr">
        <is>
          <t>UPPSALA LÄN</t>
        </is>
      </c>
      <c r="E5935" t="inlineStr">
        <is>
          <t>TIERP</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42564-2024</t>
        </is>
      </c>
      <c r="B5936" s="1" t="n">
        <v>45565</v>
      </c>
      <c r="C5936" s="1" t="n">
        <v>45706</v>
      </c>
      <c r="D5936" t="inlineStr">
        <is>
          <t>UPPSALA LÄN</t>
        </is>
      </c>
      <c r="E5936" t="inlineStr">
        <is>
          <t>ENKÖPING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42459-2024</t>
        </is>
      </c>
      <c r="B5937" s="1" t="n">
        <v>45565</v>
      </c>
      <c r="C5937" s="1" t="n">
        <v>45706</v>
      </c>
      <c r="D5937" t="inlineStr">
        <is>
          <t>UPPSALA LÄN</t>
        </is>
      </c>
      <c r="E5937" t="inlineStr">
        <is>
          <t>ENKÖPING</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42859-2024</t>
        </is>
      </c>
      <c r="B5938" s="1" t="n">
        <v>45566</v>
      </c>
      <c r="C5938" s="1" t="n">
        <v>45706</v>
      </c>
      <c r="D5938" t="inlineStr">
        <is>
          <t>UPPSALA LÄN</t>
        </is>
      </c>
      <c r="E5938" t="inlineStr">
        <is>
          <t>HEBY</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42874-2024</t>
        </is>
      </c>
      <c r="B5939" s="1" t="n">
        <v>45566</v>
      </c>
      <c r="C5939" s="1" t="n">
        <v>45706</v>
      </c>
      <c r="D5939" t="inlineStr">
        <is>
          <t>UPPSALA LÄN</t>
        </is>
      </c>
      <c r="E5939" t="inlineStr">
        <is>
          <t>TIERP</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42872-2024</t>
        </is>
      </c>
      <c r="B5940" s="1" t="n">
        <v>45566</v>
      </c>
      <c r="C5940" s="1" t="n">
        <v>45706</v>
      </c>
      <c r="D5940" t="inlineStr">
        <is>
          <t>UPPSALA LÄN</t>
        </is>
      </c>
      <c r="E5940" t="inlineStr">
        <is>
          <t>TIERP</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43205-2024</t>
        </is>
      </c>
      <c r="B5941" s="1" t="n">
        <v>45567</v>
      </c>
      <c r="C5941" s="1" t="n">
        <v>45706</v>
      </c>
      <c r="D5941" t="inlineStr">
        <is>
          <t>UPPSALA LÄN</t>
        </is>
      </c>
      <c r="E5941" t="inlineStr">
        <is>
          <t>ENKÖPING</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43197-2024</t>
        </is>
      </c>
      <c r="B5942" s="1" t="n">
        <v>45567</v>
      </c>
      <c r="C5942" s="1" t="n">
        <v>45706</v>
      </c>
      <c r="D5942" t="inlineStr">
        <is>
          <t>UPPSALA LÄN</t>
        </is>
      </c>
      <c r="E5942" t="inlineStr">
        <is>
          <t>ÖSTHAMMAR</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43089-2024</t>
        </is>
      </c>
      <c r="B5943" s="1" t="n">
        <v>45567</v>
      </c>
      <c r="C5943" s="1" t="n">
        <v>45706</v>
      </c>
      <c r="D5943" t="inlineStr">
        <is>
          <t>UPPSALA LÄN</t>
        </is>
      </c>
      <c r="E5943" t="inlineStr">
        <is>
          <t>HEBY</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43439-2024</t>
        </is>
      </c>
      <c r="B5944" s="1" t="n">
        <v>45568</v>
      </c>
      <c r="C5944" s="1" t="n">
        <v>45706</v>
      </c>
      <c r="D5944" t="inlineStr">
        <is>
          <t>UPPSALA LÄN</t>
        </is>
      </c>
      <c r="E5944" t="inlineStr">
        <is>
          <t>ÖSTHAMMAR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43361-2024</t>
        </is>
      </c>
      <c r="B5945" s="1" t="n">
        <v>45568</v>
      </c>
      <c r="C5945" s="1" t="n">
        <v>45706</v>
      </c>
      <c r="D5945" t="inlineStr">
        <is>
          <t>UPPSALA LÄN</t>
        </is>
      </c>
      <c r="E5945" t="inlineStr">
        <is>
          <t>UPPSALA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43341-2024</t>
        </is>
      </c>
      <c r="B5946" s="1" t="n">
        <v>45568</v>
      </c>
      <c r="C5946" s="1" t="n">
        <v>45706</v>
      </c>
      <c r="D5946" t="inlineStr">
        <is>
          <t>UPPSALA LÄN</t>
        </is>
      </c>
      <c r="E5946" t="inlineStr">
        <is>
          <t>TIERP</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43639-2024</t>
        </is>
      </c>
      <c r="B5947" s="1" t="n">
        <v>45569</v>
      </c>
      <c r="C5947" s="1" t="n">
        <v>45706</v>
      </c>
      <c r="D5947" t="inlineStr">
        <is>
          <t>UPPSALA LÄN</t>
        </is>
      </c>
      <c r="E5947" t="inlineStr">
        <is>
          <t>TIERP</t>
        </is>
      </c>
      <c r="F5947" t="inlineStr">
        <is>
          <t>Bergvik skog öst AB</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43655-2024</t>
        </is>
      </c>
      <c r="B5948" s="1" t="n">
        <v>45569</v>
      </c>
      <c r="C5948" s="1" t="n">
        <v>45706</v>
      </c>
      <c r="D5948" t="inlineStr">
        <is>
          <t>UPPSALA LÄN</t>
        </is>
      </c>
      <c r="E5948" t="inlineStr">
        <is>
          <t>ÖSTHAMMAR</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43676-2024</t>
        </is>
      </c>
      <c r="B5949" s="1" t="n">
        <v>45569</v>
      </c>
      <c r="C5949" s="1" t="n">
        <v>45706</v>
      </c>
      <c r="D5949" t="inlineStr">
        <is>
          <t>UPPSALA LÄN</t>
        </is>
      </c>
      <c r="E5949" t="inlineStr">
        <is>
          <t>ÖSTHAMMAR</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43685-2024</t>
        </is>
      </c>
      <c r="B5950" s="1" t="n">
        <v>45569</v>
      </c>
      <c r="C5950" s="1" t="n">
        <v>45706</v>
      </c>
      <c r="D5950" t="inlineStr">
        <is>
          <t>UPPSALA LÄN</t>
        </is>
      </c>
      <c r="E5950" t="inlineStr">
        <is>
          <t>ÖSTHAMMAR</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43697-2024</t>
        </is>
      </c>
      <c r="B5951" s="1" t="n">
        <v>45569</v>
      </c>
      <c r="C5951" s="1" t="n">
        <v>45706</v>
      </c>
      <c r="D5951" t="inlineStr">
        <is>
          <t>UPPSALA LÄN</t>
        </is>
      </c>
      <c r="E5951" t="inlineStr">
        <is>
          <t>ENKÖPING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43641-2024</t>
        </is>
      </c>
      <c r="B5952" s="1" t="n">
        <v>45569</v>
      </c>
      <c r="C5952" s="1" t="n">
        <v>45706</v>
      </c>
      <c r="D5952" t="inlineStr">
        <is>
          <t>UPPSALA LÄN</t>
        </is>
      </c>
      <c r="E5952" t="inlineStr">
        <is>
          <t>TIERP</t>
        </is>
      </c>
      <c r="F5952" t="inlineStr">
        <is>
          <t>Bergvik skog öst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43679-2024</t>
        </is>
      </c>
      <c r="B5953" s="1" t="n">
        <v>45569</v>
      </c>
      <c r="C5953" s="1" t="n">
        <v>45706</v>
      </c>
      <c r="D5953" t="inlineStr">
        <is>
          <t>UPPSALA LÄN</t>
        </is>
      </c>
      <c r="E5953" t="inlineStr">
        <is>
          <t>ÖSTHAMMAR</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43666-2024</t>
        </is>
      </c>
      <c r="B5954" s="1" t="n">
        <v>45569</v>
      </c>
      <c r="C5954" s="1" t="n">
        <v>45706</v>
      </c>
      <c r="D5954" t="inlineStr">
        <is>
          <t>UPPSALA LÄN</t>
        </is>
      </c>
      <c r="E5954" t="inlineStr">
        <is>
          <t>ÖSTHAMMAR</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43710-2024</t>
        </is>
      </c>
      <c r="B5955" s="1" t="n">
        <v>45569</v>
      </c>
      <c r="C5955" s="1" t="n">
        <v>45706</v>
      </c>
      <c r="D5955" t="inlineStr">
        <is>
          <t>UPPSALA LÄN</t>
        </is>
      </c>
      <c r="E5955" t="inlineStr">
        <is>
          <t>HEBY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43892-2024</t>
        </is>
      </c>
      <c r="B5956" s="1" t="n">
        <v>45569</v>
      </c>
      <c r="C5956" s="1" t="n">
        <v>45706</v>
      </c>
      <c r="D5956" t="inlineStr">
        <is>
          <t>UPPSALA LÄN</t>
        </is>
      </c>
      <c r="E5956" t="inlineStr">
        <is>
          <t>TIERP</t>
        </is>
      </c>
      <c r="G5956" t="n">
        <v>20.7</v>
      </c>
      <c r="H5956" t="n">
        <v>0</v>
      </c>
      <c r="I5956" t="n">
        <v>0</v>
      </c>
      <c r="J5956" t="n">
        <v>0</v>
      </c>
      <c r="K5956" t="n">
        <v>0</v>
      </c>
      <c r="L5956" t="n">
        <v>0</v>
      </c>
      <c r="M5956" t="n">
        <v>0</v>
      </c>
      <c r="N5956" t="n">
        <v>0</v>
      </c>
      <c r="O5956" t="n">
        <v>0</v>
      </c>
      <c r="P5956" t="n">
        <v>0</v>
      </c>
      <c r="Q5956" t="n">
        <v>0</v>
      </c>
      <c r="R5956" s="2" t="inlineStr"/>
    </row>
    <row r="5957" ht="15" customHeight="1">
      <c r="A5957" t="inlineStr">
        <is>
          <t>A 43640-2024</t>
        </is>
      </c>
      <c r="B5957" s="1" t="n">
        <v>45569</v>
      </c>
      <c r="C5957" s="1" t="n">
        <v>45706</v>
      </c>
      <c r="D5957" t="inlineStr">
        <is>
          <t>UPPSALA LÄN</t>
        </is>
      </c>
      <c r="E5957" t="inlineStr">
        <is>
          <t>TIERP</t>
        </is>
      </c>
      <c r="F5957" t="inlineStr">
        <is>
          <t>Bergvik skog öst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43683-2024</t>
        </is>
      </c>
      <c r="B5958" s="1" t="n">
        <v>45569</v>
      </c>
      <c r="C5958" s="1" t="n">
        <v>45706</v>
      </c>
      <c r="D5958" t="inlineStr">
        <is>
          <t>UPPSALA LÄN</t>
        </is>
      </c>
      <c r="E5958" t="inlineStr">
        <is>
          <t>ÖSTHAMMAR</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43691-2024</t>
        </is>
      </c>
      <c r="B5959" s="1" t="n">
        <v>45569</v>
      </c>
      <c r="C5959" s="1" t="n">
        <v>45706</v>
      </c>
      <c r="D5959" t="inlineStr">
        <is>
          <t>UPPSALA LÄN</t>
        </is>
      </c>
      <c r="E5959" t="inlineStr">
        <is>
          <t>ENKÖPING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44027-2024</t>
        </is>
      </c>
      <c r="B5960" s="1" t="n">
        <v>45572</v>
      </c>
      <c r="C5960" s="1" t="n">
        <v>45706</v>
      </c>
      <c r="D5960" t="inlineStr">
        <is>
          <t>UPPSALA LÄN</t>
        </is>
      </c>
      <c r="E5960" t="inlineStr">
        <is>
          <t>ÖSTHAMMAR</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44031-2024</t>
        </is>
      </c>
      <c r="B5961" s="1" t="n">
        <v>45572</v>
      </c>
      <c r="C5961" s="1" t="n">
        <v>45706</v>
      </c>
      <c r="D5961" t="inlineStr">
        <is>
          <t>UPPSALA LÄN</t>
        </is>
      </c>
      <c r="E5961" t="inlineStr">
        <is>
          <t>ÖSTHAMMAR</t>
        </is>
      </c>
      <c r="G5961" t="n">
        <v>9.1</v>
      </c>
      <c r="H5961" t="n">
        <v>0</v>
      </c>
      <c r="I5961" t="n">
        <v>0</v>
      </c>
      <c r="J5961" t="n">
        <v>0</v>
      </c>
      <c r="K5961" t="n">
        <v>0</v>
      </c>
      <c r="L5961" t="n">
        <v>0</v>
      </c>
      <c r="M5961" t="n">
        <v>0</v>
      </c>
      <c r="N5961" t="n">
        <v>0</v>
      </c>
      <c r="O5961" t="n">
        <v>0</v>
      </c>
      <c r="P5961" t="n">
        <v>0</v>
      </c>
      <c r="Q5961" t="n">
        <v>0</v>
      </c>
      <c r="R5961" s="2" t="inlineStr"/>
    </row>
    <row r="5962" ht="15" customHeight="1">
      <c r="A5962" t="inlineStr">
        <is>
          <t>A 44093-2024</t>
        </is>
      </c>
      <c r="B5962" s="1" t="n">
        <v>45572</v>
      </c>
      <c r="C5962" s="1" t="n">
        <v>45706</v>
      </c>
      <c r="D5962" t="inlineStr">
        <is>
          <t>UPPSALA LÄN</t>
        </is>
      </c>
      <c r="E5962" t="inlineStr">
        <is>
          <t>HEBY</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44117-2024</t>
        </is>
      </c>
      <c r="B5963" s="1" t="n">
        <v>45572</v>
      </c>
      <c r="C5963" s="1" t="n">
        <v>45706</v>
      </c>
      <c r="D5963" t="inlineStr">
        <is>
          <t>UPPSALA LÄN</t>
        </is>
      </c>
      <c r="E5963" t="inlineStr">
        <is>
          <t>HEBY</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43959-2024</t>
        </is>
      </c>
      <c r="B5964" s="1" t="n">
        <v>45572</v>
      </c>
      <c r="C5964" s="1" t="n">
        <v>45706</v>
      </c>
      <c r="D5964" t="inlineStr">
        <is>
          <t>UPPSALA LÄN</t>
        </is>
      </c>
      <c r="E5964" t="inlineStr">
        <is>
          <t>UPPSALA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44020-2024</t>
        </is>
      </c>
      <c r="B5965" s="1" t="n">
        <v>45572</v>
      </c>
      <c r="C5965" s="1" t="n">
        <v>45706</v>
      </c>
      <c r="D5965" t="inlineStr">
        <is>
          <t>UPPSALA LÄN</t>
        </is>
      </c>
      <c r="E5965" t="inlineStr">
        <is>
          <t>ÖSTHAMMAR</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44024-2024</t>
        </is>
      </c>
      <c r="B5966" s="1" t="n">
        <v>45572</v>
      </c>
      <c r="C5966" s="1" t="n">
        <v>45706</v>
      </c>
      <c r="D5966" t="inlineStr">
        <is>
          <t>UPPSALA LÄN</t>
        </is>
      </c>
      <c r="E5966" t="inlineStr">
        <is>
          <t>ENKÖPING</t>
        </is>
      </c>
      <c r="G5966" t="n">
        <v>9.800000000000001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44074-2024</t>
        </is>
      </c>
      <c r="B5967" s="1" t="n">
        <v>45572</v>
      </c>
      <c r="C5967" s="1" t="n">
        <v>45706</v>
      </c>
      <c r="D5967" t="inlineStr">
        <is>
          <t>UPPSALA LÄN</t>
        </is>
      </c>
      <c r="E5967" t="inlineStr">
        <is>
          <t>ENKÖPING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43993-2024</t>
        </is>
      </c>
      <c r="B5968" s="1" t="n">
        <v>45572</v>
      </c>
      <c r="C5968" s="1" t="n">
        <v>45706</v>
      </c>
      <c r="D5968" t="inlineStr">
        <is>
          <t>UPPSALA LÄN</t>
        </is>
      </c>
      <c r="E5968" t="inlineStr">
        <is>
          <t>ÖSTHAMMAR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44115-2024</t>
        </is>
      </c>
      <c r="B5969" s="1" t="n">
        <v>45572</v>
      </c>
      <c r="C5969" s="1" t="n">
        <v>45706</v>
      </c>
      <c r="D5969" t="inlineStr">
        <is>
          <t>UPPSALA LÄN</t>
        </is>
      </c>
      <c r="E5969" t="inlineStr">
        <is>
          <t>ENKÖPING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43960-2024</t>
        </is>
      </c>
      <c r="B5970" s="1" t="n">
        <v>45572</v>
      </c>
      <c r="C5970" s="1" t="n">
        <v>45706</v>
      </c>
      <c r="D5970" t="inlineStr">
        <is>
          <t>UPPSALA LÄN</t>
        </is>
      </c>
      <c r="E5970" t="inlineStr">
        <is>
          <t>UPPSALA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44090-2024</t>
        </is>
      </c>
      <c r="B5971" s="1" t="n">
        <v>45572</v>
      </c>
      <c r="C5971" s="1" t="n">
        <v>45706</v>
      </c>
      <c r="D5971" t="inlineStr">
        <is>
          <t>UPPSALA LÄN</t>
        </is>
      </c>
      <c r="E5971" t="inlineStr">
        <is>
          <t>TIERP</t>
        </is>
      </c>
      <c r="F5971" t="inlineStr">
        <is>
          <t>Bergvik skog öst AB</t>
        </is>
      </c>
      <c r="G5971" t="n">
        <v>10</v>
      </c>
      <c r="H5971" t="n">
        <v>0</v>
      </c>
      <c r="I5971" t="n">
        <v>0</v>
      </c>
      <c r="J5971" t="n">
        <v>0</v>
      </c>
      <c r="K5971" t="n">
        <v>0</v>
      </c>
      <c r="L5971" t="n">
        <v>0</v>
      </c>
      <c r="M5971" t="n">
        <v>0</v>
      </c>
      <c r="N5971" t="n">
        <v>0</v>
      </c>
      <c r="O5971" t="n">
        <v>0</v>
      </c>
      <c r="P5971" t="n">
        <v>0</v>
      </c>
      <c r="Q5971" t="n">
        <v>0</v>
      </c>
      <c r="R5971" s="2" t="inlineStr"/>
    </row>
    <row r="5972" ht="15" customHeight="1">
      <c r="A5972" t="inlineStr">
        <is>
          <t>A 44184-2024</t>
        </is>
      </c>
      <c r="B5972" s="1" t="n">
        <v>45572</v>
      </c>
      <c r="C5972" s="1" t="n">
        <v>45706</v>
      </c>
      <c r="D5972" t="inlineStr">
        <is>
          <t>UPPSALA LÄN</t>
        </is>
      </c>
      <c r="E5972" t="inlineStr">
        <is>
          <t>ÖSTHAMMAR</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43951-2024</t>
        </is>
      </c>
      <c r="B5973" s="1" t="n">
        <v>45572</v>
      </c>
      <c r="C5973" s="1" t="n">
        <v>45706</v>
      </c>
      <c r="D5973" t="inlineStr">
        <is>
          <t>UPPSALA LÄN</t>
        </is>
      </c>
      <c r="E5973" t="inlineStr">
        <is>
          <t>UPPSALA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44026-2024</t>
        </is>
      </c>
      <c r="B5974" s="1" t="n">
        <v>45572</v>
      </c>
      <c r="C5974" s="1" t="n">
        <v>45706</v>
      </c>
      <c r="D5974" t="inlineStr">
        <is>
          <t>UPPSALA LÄN</t>
        </is>
      </c>
      <c r="E5974" t="inlineStr">
        <is>
          <t>TIERP</t>
        </is>
      </c>
      <c r="F5974" t="inlineStr">
        <is>
          <t>Bergvik skog öst AB</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44055-2024</t>
        </is>
      </c>
      <c r="B5975" s="1" t="n">
        <v>45572</v>
      </c>
      <c r="C5975" s="1" t="n">
        <v>45706</v>
      </c>
      <c r="D5975" t="inlineStr">
        <is>
          <t>UPPSALA LÄN</t>
        </is>
      </c>
      <c r="E5975" t="inlineStr">
        <is>
          <t>ENKÖPING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44067-2024</t>
        </is>
      </c>
      <c r="B5976" s="1" t="n">
        <v>45572</v>
      </c>
      <c r="C5976" s="1" t="n">
        <v>45706</v>
      </c>
      <c r="D5976" t="inlineStr">
        <is>
          <t>UPPSALA LÄN</t>
        </is>
      </c>
      <c r="E5976" t="inlineStr">
        <is>
          <t>ENKÖPING</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44084-2024</t>
        </is>
      </c>
      <c r="B5977" s="1" t="n">
        <v>45572</v>
      </c>
      <c r="C5977" s="1" t="n">
        <v>45706</v>
      </c>
      <c r="D5977" t="inlineStr">
        <is>
          <t>UPPSALA LÄN</t>
        </is>
      </c>
      <c r="E5977" t="inlineStr">
        <is>
          <t>ENKÖPING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44124-2024</t>
        </is>
      </c>
      <c r="B5978" s="1" t="n">
        <v>45572</v>
      </c>
      <c r="C5978" s="1" t="n">
        <v>45706</v>
      </c>
      <c r="D5978" t="inlineStr">
        <is>
          <t>UPPSALA LÄN</t>
        </is>
      </c>
      <c r="E5978" t="inlineStr">
        <is>
          <t>ÖSTHAMMAR</t>
        </is>
      </c>
      <c r="F5978" t="inlineStr">
        <is>
          <t>Bergvik skog öst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44152-2024</t>
        </is>
      </c>
      <c r="B5979" s="1" t="n">
        <v>45572</v>
      </c>
      <c r="C5979" s="1" t="n">
        <v>45706</v>
      </c>
      <c r="D5979" t="inlineStr">
        <is>
          <t>UPPSALA LÄN</t>
        </is>
      </c>
      <c r="E5979" t="inlineStr">
        <is>
          <t>ÖSTHAMMAR</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44271-2024</t>
        </is>
      </c>
      <c r="B5980" s="1" t="n">
        <v>45573</v>
      </c>
      <c r="C5980" s="1" t="n">
        <v>45706</v>
      </c>
      <c r="D5980" t="inlineStr">
        <is>
          <t>UPPSALA LÄN</t>
        </is>
      </c>
      <c r="E5980" t="inlineStr">
        <is>
          <t>HEBY</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44382-2024</t>
        </is>
      </c>
      <c r="B5981" s="1" t="n">
        <v>45573</v>
      </c>
      <c r="C5981" s="1" t="n">
        <v>45706</v>
      </c>
      <c r="D5981" t="inlineStr">
        <is>
          <t>UPPSALA LÄN</t>
        </is>
      </c>
      <c r="E5981" t="inlineStr">
        <is>
          <t>TIERP</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44281-2024</t>
        </is>
      </c>
      <c r="B5982" s="1" t="n">
        <v>45573</v>
      </c>
      <c r="C5982" s="1" t="n">
        <v>45706</v>
      </c>
      <c r="D5982" t="inlineStr">
        <is>
          <t>UPPSALA LÄN</t>
        </is>
      </c>
      <c r="E5982" t="inlineStr">
        <is>
          <t>HEBY</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44562-2024</t>
        </is>
      </c>
      <c r="B5983" s="1" t="n">
        <v>45574</v>
      </c>
      <c r="C5983" s="1" t="n">
        <v>45706</v>
      </c>
      <c r="D5983" t="inlineStr">
        <is>
          <t>UPPSALA LÄN</t>
        </is>
      </c>
      <c r="E5983" t="inlineStr">
        <is>
          <t>UPPSALA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44550-2024</t>
        </is>
      </c>
      <c r="B5984" s="1" t="n">
        <v>45574</v>
      </c>
      <c r="C5984" s="1" t="n">
        <v>45706</v>
      </c>
      <c r="D5984" t="inlineStr">
        <is>
          <t>UPPSALA LÄN</t>
        </is>
      </c>
      <c r="E5984" t="inlineStr">
        <is>
          <t>UPPSALA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44563-2024</t>
        </is>
      </c>
      <c r="B5985" s="1" t="n">
        <v>45574</v>
      </c>
      <c r="C5985" s="1" t="n">
        <v>45706</v>
      </c>
      <c r="D5985" t="inlineStr">
        <is>
          <t>UPPSALA LÄN</t>
        </is>
      </c>
      <c r="E5985" t="inlineStr">
        <is>
          <t>UPPSALA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44775-2024</t>
        </is>
      </c>
      <c r="B5986" s="1" t="n">
        <v>45574</v>
      </c>
      <c r="C5986" s="1" t="n">
        <v>45706</v>
      </c>
      <c r="D5986" t="inlineStr">
        <is>
          <t>UPPSALA LÄN</t>
        </is>
      </c>
      <c r="E5986" t="inlineStr">
        <is>
          <t>TIERP</t>
        </is>
      </c>
      <c r="F5986" t="inlineStr">
        <is>
          <t>Bergvik skog öst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44807-2024</t>
        </is>
      </c>
      <c r="B5987" s="1" t="n">
        <v>45574</v>
      </c>
      <c r="C5987" s="1" t="n">
        <v>45706</v>
      </c>
      <c r="D5987" t="inlineStr">
        <is>
          <t>UPPSALA LÄN</t>
        </is>
      </c>
      <c r="E5987" t="inlineStr">
        <is>
          <t>ÖSTHAMMAR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44762-2024</t>
        </is>
      </c>
      <c r="B5988" s="1" t="n">
        <v>45574</v>
      </c>
      <c r="C5988" s="1" t="n">
        <v>45706</v>
      </c>
      <c r="D5988" t="inlineStr">
        <is>
          <t>UPPSALA LÄN</t>
        </is>
      </c>
      <c r="E5988" t="inlineStr">
        <is>
          <t>TIERP</t>
        </is>
      </c>
      <c r="F5988" t="inlineStr">
        <is>
          <t>Bergvik skog öst AB</t>
        </is>
      </c>
      <c r="G5988" t="n">
        <v>9.800000000000001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44774-2024</t>
        </is>
      </c>
      <c r="B5989" s="1" t="n">
        <v>45574</v>
      </c>
      <c r="C5989" s="1" t="n">
        <v>45706</v>
      </c>
      <c r="D5989" t="inlineStr">
        <is>
          <t>UPPSALA LÄN</t>
        </is>
      </c>
      <c r="E5989" t="inlineStr">
        <is>
          <t>TIERP</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44823-2024</t>
        </is>
      </c>
      <c r="B5990" s="1" t="n">
        <v>45574</v>
      </c>
      <c r="C5990" s="1" t="n">
        <v>45706</v>
      </c>
      <c r="D5990" t="inlineStr">
        <is>
          <t>UPPSALA LÄN</t>
        </is>
      </c>
      <c r="E5990" t="inlineStr">
        <is>
          <t>ÖSTHAMMAR</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44832-2024</t>
        </is>
      </c>
      <c r="B5991" s="1" t="n">
        <v>45574</v>
      </c>
      <c r="C5991" s="1" t="n">
        <v>45706</v>
      </c>
      <c r="D5991" t="inlineStr">
        <is>
          <t>UPPSALA LÄN</t>
        </is>
      </c>
      <c r="E5991" t="inlineStr">
        <is>
          <t>ÖSTHAMMAR</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44847-2024</t>
        </is>
      </c>
      <c r="B5992" s="1" t="n">
        <v>45574</v>
      </c>
      <c r="C5992" s="1" t="n">
        <v>45706</v>
      </c>
      <c r="D5992" t="inlineStr">
        <is>
          <t>UPPSALA LÄN</t>
        </is>
      </c>
      <c r="E5992" t="inlineStr">
        <is>
          <t>UPPSALA</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44560-2024</t>
        </is>
      </c>
      <c r="B5993" s="1" t="n">
        <v>45574</v>
      </c>
      <c r="C5993" s="1" t="n">
        <v>45706</v>
      </c>
      <c r="D5993" t="inlineStr">
        <is>
          <t>UPPSALA LÄN</t>
        </is>
      </c>
      <c r="E5993" t="inlineStr">
        <is>
          <t>UPPSALA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44768-2024</t>
        </is>
      </c>
      <c r="B5994" s="1" t="n">
        <v>45574</v>
      </c>
      <c r="C5994" s="1" t="n">
        <v>45706</v>
      </c>
      <c r="D5994" t="inlineStr">
        <is>
          <t>UPPSALA LÄN</t>
        </is>
      </c>
      <c r="E5994" t="inlineStr">
        <is>
          <t>TIERP</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44784-2024</t>
        </is>
      </c>
      <c r="B5995" s="1" t="n">
        <v>45574</v>
      </c>
      <c r="C5995" s="1" t="n">
        <v>45706</v>
      </c>
      <c r="D5995" t="inlineStr">
        <is>
          <t>UPPSALA LÄN</t>
        </is>
      </c>
      <c r="E5995" t="inlineStr">
        <is>
          <t>TIERP</t>
        </is>
      </c>
      <c r="F5995" t="inlineStr">
        <is>
          <t>Bergvik skog öst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44796-2024</t>
        </is>
      </c>
      <c r="B5996" s="1" t="n">
        <v>45574</v>
      </c>
      <c r="C5996" s="1" t="n">
        <v>45706</v>
      </c>
      <c r="D5996" t="inlineStr">
        <is>
          <t>UPPSALA LÄN</t>
        </is>
      </c>
      <c r="E5996" t="inlineStr">
        <is>
          <t>ÖSTHAMMAR</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44959-2024</t>
        </is>
      </c>
      <c r="B5997" s="1" t="n">
        <v>45575</v>
      </c>
      <c r="C5997" s="1" t="n">
        <v>45706</v>
      </c>
      <c r="D5997" t="inlineStr">
        <is>
          <t>UPPSALA LÄN</t>
        </is>
      </c>
      <c r="E5997" t="inlineStr">
        <is>
          <t>HEBY</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44935-2024</t>
        </is>
      </c>
      <c r="B5998" s="1" t="n">
        <v>45575</v>
      </c>
      <c r="C5998" s="1" t="n">
        <v>45706</v>
      </c>
      <c r="D5998" t="inlineStr">
        <is>
          <t>UPPSALA LÄN</t>
        </is>
      </c>
      <c r="E5998" t="inlineStr">
        <is>
          <t>TIERP</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45102-2024</t>
        </is>
      </c>
      <c r="B5999" s="1" t="n">
        <v>45575</v>
      </c>
      <c r="C5999" s="1" t="n">
        <v>45706</v>
      </c>
      <c r="D5999" t="inlineStr">
        <is>
          <t>UPPSALA LÄN</t>
        </is>
      </c>
      <c r="E5999" t="inlineStr">
        <is>
          <t>ÖSTHAMMAR</t>
        </is>
      </c>
      <c r="G5999" t="n">
        <v>8.6</v>
      </c>
      <c r="H5999" t="n">
        <v>0</v>
      </c>
      <c r="I5999" t="n">
        <v>0</v>
      </c>
      <c r="J5999" t="n">
        <v>0</v>
      </c>
      <c r="K5999" t="n">
        <v>0</v>
      </c>
      <c r="L5999" t="n">
        <v>0</v>
      </c>
      <c r="M5999" t="n">
        <v>0</v>
      </c>
      <c r="N5999" t="n">
        <v>0</v>
      </c>
      <c r="O5999" t="n">
        <v>0</v>
      </c>
      <c r="P5999" t="n">
        <v>0</v>
      </c>
      <c r="Q5999" t="n">
        <v>0</v>
      </c>
      <c r="R5999" s="2" t="inlineStr"/>
    </row>
    <row r="6000" ht="15" customHeight="1">
      <c r="A6000" t="inlineStr">
        <is>
          <t>A 45155-2024</t>
        </is>
      </c>
      <c r="B6000" s="1" t="n">
        <v>45575</v>
      </c>
      <c r="C6000" s="1" t="n">
        <v>45706</v>
      </c>
      <c r="D6000" t="inlineStr">
        <is>
          <t>UPPSALA LÄN</t>
        </is>
      </c>
      <c r="E6000" t="inlineStr">
        <is>
          <t>ENKÖPING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45193-2024</t>
        </is>
      </c>
      <c r="B6001" s="1" t="n">
        <v>45575</v>
      </c>
      <c r="C6001" s="1" t="n">
        <v>45706</v>
      </c>
      <c r="D6001" t="inlineStr">
        <is>
          <t>UPPSALA LÄN</t>
        </is>
      </c>
      <c r="E6001" t="inlineStr">
        <is>
          <t>HEBY</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45064-2024</t>
        </is>
      </c>
      <c r="B6002" s="1" t="n">
        <v>45575</v>
      </c>
      <c r="C6002" s="1" t="n">
        <v>45706</v>
      </c>
      <c r="D6002" t="inlineStr">
        <is>
          <t>UPPSALA LÄN</t>
        </is>
      </c>
      <c r="E6002" t="inlineStr">
        <is>
          <t>ENKÖPING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45039-2024</t>
        </is>
      </c>
      <c r="B6003" s="1" t="n">
        <v>45575</v>
      </c>
      <c r="C6003" s="1" t="n">
        <v>45706</v>
      </c>
      <c r="D6003" t="inlineStr">
        <is>
          <t>UPPSALA LÄN</t>
        </is>
      </c>
      <c r="E6003" t="inlineStr">
        <is>
          <t>ÄLVKARLEBY</t>
        </is>
      </c>
      <c r="F6003" t="inlineStr">
        <is>
          <t>Bergvik skog väst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45091-2024</t>
        </is>
      </c>
      <c r="B6004" s="1" t="n">
        <v>45575</v>
      </c>
      <c r="C6004" s="1" t="n">
        <v>45706</v>
      </c>
      <c r="D6004" t="inlineStr">
        <is>
          <t>UPPSALA LÄN</t>
        </is>
      </c>
      <c r="E6004" t="inlineStr">
        <is>
          <t>TIERP</t>
        </is>
      </c>
      <c r="G6004" t="n">
        <v>11.7</v>
      </c>
      <c r="H6004" t="n">
        <v>0</v>
      </c>
      <c r="I6004" t="n">
        <v>0</v>
      </c>
      <c r="J6004" t="n">
        <v>0</v>
      </c>
      <c r="K6004" t="n">
        <v>0</v>
      </c>
      <c r="L6004" t="n">
        <v>0</v>
      </c>
      <c r="M6004" t="n">
        <v>0</v>
      </c>
      <c r="N6004" t="n">
        <v>0</v>
      </c>
      <c r="O6004" t="n">
        <v>0</v>
      </c>
      <c r="P6004" t="n">
        <v>0</v>
      </c>
      <c r="Q6004" t="n">
        <v>0</v>
      </c>
      <c r="R6004" s="2" t="inlineStr"/>
    </row>
    <row r="6005" ht="15" customHeight="1">
      <c r="A6005" t="inlineStr">
        <is>
          <t>A 44977-2024</t>
        </is>
      </c>
      <c r="B6005" s="1" t="n">
        <v>45575</v>
      </c>
      <c r="C6005" s="1" t="n">
        <v>45706</v>
      </c>
      <c r="D6005" t="inlineStr">
        <is>
          <t>UPPSALA LÄN</t>
        </is>
      </c>
      <c r="E6005" t="inlineStr">
        <is>
          <t>TIERP</t>
        </is>
      </c>
      <c r="F6005" t="inlineStr">
        <is>
          <t>Bergvik skog väst AB</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44889-2024</t>
        </is>
      </c>
      <c r="B6006" s="1" t="n">
        <v>45575</v>
      </c>
      <c r="C6006" s="1" t="n">
        <v>45706</v>
      </c>
      <c r="D6006" t="inlineStr">
        <is>
          <t>UPPSALA LÄN</t>
        </is>
      </c>
      <c r="E6006" t="inlineStr">
        <is>
          <t>TIERP</t>
        </is>
      </c>
      <c r="F6006" t="inlineStr">
        <is>
          <t>Bergvik skog väst AB</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44958-2024</t>
        </is>
      </c>
      <c r="B6007" s="1" t="n">
        <v>45575</v>
      </c>
      <c r="C6007" s="1" t="n">
        <v>45706</v>
      </c>
      <c r="D6007" t="inlineStr">
        <is>
          <t>UPPSALA LÄN</t>
        </is>
      </c>
      <c r="E6007" t="inlineStr">
        <is>
          <t>HEBY</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44946-2024</t>
        </is>
      </c>
      <c r="B6008" s="1" t="n">
        <v>45575</v>
      </c>
      <c r="C6008" s="1" t="n">
        <v>45706</v>
      </c>
      <c r="D6008" t="inlineStr">
        <is>
          <t>UPPSALA LÄN</t>
        </is>
      </c>
      <c r="E6008" t="inlineStr">
        <is>
          <t>UPPSALA</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45090-2024</t>
        </is>
      </c>
      <c r="B6009" s="1" t="n">
        <v>45575</v>
      </c>
      <c r="C6009" s="1" t="n">
        <v>45706</v>
      </c>
      <c r="D6009" t="inlineStr">
        <is>
          <t>UPPSALA LÄN</t>
        </is>
      </c>
      <c r="E6009" t="inlineStr">
        <is>
          <t>TIERP</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45228-2024</t>
        </is>
      </c>
      <c r="B6010" s="1" t="n">
        <v>45575</v>
      </c>
      <c r="C6010" s="1" t="n">
        <v>45706</v>
      </c>
      <c r="D6010" t="inlineStr">
        <is>
          <t>UPPSALA LÄN</t>
        </is>
      </c>
      <c r="E6010" t="inlineStr">
        <is>
          <t>ÖSTHAMMAR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44929-2024</t>
        </is>
      </c>
      <c r="B6011" s="1" t="n">
        <v>45575</v>
      </c>
      <c r="C6011" s="1" t="n">
        <v>45706</v>
      </c>
      <c r="D6011" t="inlineStr">
        <is>
          <t>UPPSALA LÄN</t>
        </is>
      </c>
      <c r="E6011" t="inlineStr">
        <is>
          <t>TIERP</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45040-2024</t>
        </is>
      </c>
      <c r="B6012" s="1" t="n">
        <v>45575</v>
      </c>
      <c r="C6012" s="1" t="n">
        <v>45706</v>
      </c>
      <c r="D6012" t="inlineStr">
        <is>
          <t>UPPSALA LÄN</t>
        </is>
      </c>
      <c r="E6012" t="inlineStr">
        <is>
          <t>ÄLVKARLEBY</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45371-2024</t>
        </is>
      </c>
      <c r="B6013" s="1" t="n">
        <v>45576</v>
      </c>
      <c r="C6013" s="1" t="n">
        <v>45706</v>
      </c>
      <c r="D6013" t="inlineStr">
        <is>
          <t>UPPSALA LÄN</t>
        </is>
      </c>
      <c r="E6013" t="inlineStr">
        <is>
          <t>ÄLVKARLEBY</t>
        </is>
      </c>
      <c r="F6013" t="inlineStr">
        <is>
          <t>Bergvik skog väst AB</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45372-2024</t>
        </is>
      </c>
      <c r="B6014" s="1" t="n">
        <v>45576</v>
      </c>
      <c r="C6014" s="1" t="n">
        <v>45706</v>
      </c>
      <c r="D6014" t="inlineStr">
        <is>
          <t>UPPSALA LÄN</t>
        </is>
      </c>
      <c r="E6014" t="inlineStr">
        <is>
          <t>ÄLVKARLEBY</t>
        </is>
      </c>
      <c r="F6014" t="inlineStr">
        <is>
          <t>Bergvik skog väst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45615-2024</t>
        </is>
      </c>
      <c r="B6015" s="1" t="n">
        <v>45579</v>
      </c>
      <c r="C6015" s="1" t="n">
        <v>45706</v>
      </c>
      <c r="D6015" t="inlineStr">
        <is>
          <t>UPPSALA LÄN</t>
        </is>
      </c>
      <c r="E6015" t="inlineStr">
        <is>
          <t>ENKÖPING</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45878-2024</t>
        </is>
      </c>
      <c r="B6016" s="1" t="n">
        <v>45580</v>
      </c>
      <c r="C6016" s="1" t="n">
        <v>45706</v>
      </c>
      <c r="D6016" t="inlineStr">
        <is>
          <t>UPPSALA LÄN</t>
        </is>
      </c>
      <c r="E6016" t="inlineStr">
        <is>
          <t>UPPSALA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45915-2024</t>
        </is>
      </c>
      <c r="B6017" s="1" t="n">
        <v>45580</v>
      </c>
      <c r="C6017" s="1" t="n">
        <v>45706</v>
      </c>
      <c r="D6017" t="inlineStr">
        <is>
          <t>UPPSALA LÄN</t>
        </is>
      </c>
      <c r="E6017" t="inlineStr">
        <is>
          <t>TIERP</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45848-2024</t>
        </is>
      </c>
      <c r="B6018" s="1" t="n">
        <v>45580</v>
      </c>
      <c r="C6018" s="1" t="n">
        <v>45706</v>
      </c>
      <c r="D6018" t="inlineStr">
        <is>
          <t>UPPSALA LÄN</t>
        </is>
      </c>
      <c r="E6018" t="inlineStr">
        <is>
          <t>TIERP</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45996-2024</t>
        </is>
      </c>
      <c r="B6019" s="1" t="n">
        <v>45580</v>
      </c>
      <c r="C6019" s="1" t="n">
        <v>45706</v>
      </c>
      <c r="D6019" t="inlineStr">
        <is>
          <t>UPPSALA LÄN</t>
        </is>
      </c>
      <c r="E6019" t="inlineStr">
        <is>
          <t>ENKÖPING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45961-2024</t>
        </is>
      </c>
      <c r="B6020" s="1" t="n">
        <v>45580</v>
      </c>
      <c r="C6020" s="1" t="n">
        <v>45706</v>
      </c>
      <c r="D6020" t="inlineStr">
        <is>
          <t>UPPSALA LÄN</t>
        </is>
      </c>
      <c r="E6020" t="inlineStr">
        <is>
          <t>TIERP</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46046-2024</t>
        </is>
      </c>
      <c r="B6021" s="1" t="n">
        <v>45580</v>
      </c>
      <c r="C6021" s="1" t="n">
        <v>45706</v>
      </c>
      <c r="D6021" t="inlineStr">
        <is>
          <t>UPPSALA LÄN</t>
        </is>
      </c>
      <c r="E6021" t="inlineStr">
        <is>
          <t>TIERP</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45956-2024</t>
        </is>
      </c>
      <c r="B6022" s="1" t="n">
        <v>45580</v>
      </c>
      <c r="C6022" s="1" t="n">
        <v>45706</v>
      </c>
      <c r="D6022" t="inlineStr">
        <is>
          <t>UPPSALA LÄN</t>
        </is>
      </c>
      <c r="E6022" t="inlineStr">
        <is>
          <t>ENKÖPING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46252-2024</t>
        </is>
      </c>
      <c r="B6023" s="1" t="n">
        <v>45581</v>
      </c>
      <c r="C6023" s="1" t="n">
        <v>45706</v>
      </c>
      <c r="D6023" t="inlineStr">
        <is>
          <t>UPPSALA LÄN</t>
        </is>
      </c>
      <c r="E6023" t="inlineStr">
        <is>
          <t>TIERP</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46303-2024</t>
        </is>
      </c>
      <c r="B6024" s="1" t="n">
        <v>45581</v>
      </c>
      <c r="C6024" s="1" t="n">
        <v>45706</v>
      </c>
      <c r="D6024" t="inlineStr">
        <is>
          <t>UPPSALA LÄN</t>
        </is>
      </c>
      <c r="E6024" t="inlineStr">
        <is>
          <t>HEBY</t>
        </is>
      </c>
      <c r="F6024" t="inlineStr">
        <is>
          <t>Bergvik skog väst AB</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46488-2024</t>
        </is>
      </c>
      <c r="B6025" s="1" t="n">
        <v>45582</v>
      </c>
      <c r="C6025" s="1" t="n">
        <v>45706</v>
      </c>
      <c r="D6025" t="inlineStr">
        <is>
          <t>UPPSALA LÄN</t>
        </is>
      </c>
      <c r="E6025" t="inlineStr">
        <is>
          <t>ÖSTHAMMAR</t>
        </is>
      </c>
      <c r="F6025" t="inlineStr">
        <is>
          <t>Bergvik skog väst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46496-2024</t>
        </is>
      </c>
      <c r="B6026" s="1" t="n">
        <v>45582</v>
      </c>
      <c r="C6026" s="1" t="n">
        <v>45706</v>
      </c>
      <c r="D6026" t="inlineStr">
        <is>
          <t>UPPSALA LÄN</t>
        </is>
      </c>
      <c r="E6026" t="inlineStr">
        <is>
          <t>ÖSTHAMMAR</t>
        </is>
      </c>
      <c r="F6026" t="inlineStr">
        <is>
          <t>Bergvik skog väst AB</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46500-2024</t>
        </is>
      </c>
      <c r="B6027" s="1" t="n">
        <v>45582</v>
      </c>
      <c r="C6027" s="1" t="n">
        <v>45706</v>
      </c>
      <c r="D6027" t="inlineStr">
        <is>
          <t>UPPSALA LÄN</t>
        </is>
      </c>
      <c r="E6027" t="inlineStr">
        <is>
          <t>ÖSTHAMMAR</t>
        </is>
      </c>
      <c r="F6027" t="inlineStr">
        <is>
          <t>Bergvik skog väst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46504-2024</t>
        </is>
      </c>
      <c r="B6028" s="1" t="n">
        <v>45582</v>
      </c>
      <c r="C6028" s="1" t="n">
        <v>45706</v>
      </c>
      <c r="D6028" t="inlineStr">
        <is>
          <t>UPPSALA LÄN</t>
        </is>
      </c>
      <c r="E6028" t="inlineStr">
        <is>
          <t>ÖSTHAMMAR</t>
        </is>
      </c>
      <c r="F6028" t="inlineStr">
        <is>
          <t>Bergvik skog väst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46512-2024</t>
        </is>
      </c>
      <c r="B6029" s="1" t="n">
        <v>45582</v>
      </c>
      <c r="C6029" s="1" t="n">
        <v>45706</v>
      </c>
      <c r="D6029" t="inlineStr">
        <is>
          <t>UPPSALA LÄN</t>
        </is>
      </c>
      <c r="E6029" t="inlineStr">
        <is>
          <t>TIERP</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46552-2024</t>
        </is>
      </c>
      <c r="B6030" s="1" t="n">
        <v>45582</v>
      </c>
      <c r="C6030" s="1" t="n">
        <v>45706</v>
      </c>
      <c r="D6030" t="inlineStr">
        <is>
          <t>UPPSALA LÄN</t>
        </is>
      </c>
      <c r="E6030" t="inlineStr">
        <is>
          <t>TIERP</t>
        </is>
      </c>
      <c r="F6030" t="inlineStr">
        <is>
          <t>Bergvik skog öst AB</t>
        </is>
      </c>
      <c r="G6030" t="n">
        <v>21.4</v>
      </c>
      <c r="H6030" t="n">
        <v>0</v>
      </c>
      <c r="I6030" t="n">
        <v>0</v>
      </c>
      <c r="J6030" t="n">
        <v>0</v>
      </c>
      <c r="K6030" t="n">
        <v>0</v>
      </c>
      <c r="L6030" t="n">
        <v>0</v>
      </c>
      <c r="M6030" t="n">
        <v>0</v>
      </c>
      <c r="N6030" t="n">
        <v>0</v>
      </c>
      <c r="O6030" t="n">
        <v>0</v>
      </c>
      <c r="P6030" t="n">
        <v>0</v>
      </c>
      <c r="Q6030" t="n">
        <v>0</v>
      </c>
      <c r="R6030" s="2" t="inlineStr"/>
    </row>
    <row r="6031" ht="15" customHeight="1">
      <c r="A6031" t="inlineStr">
        <is>
          <t>A 46462-2024</t>
        </is>
      </c>
      <c r="B6031" s="1" t="n">
        <v>45582</v>
      </c>
      <c r="C6031" s="1" t="n">
        <v>45706</v>
      </c>
      <c r="D6031" t="inlineStr">
        <is>
          <t>UPPSALA LÄN</t>
        </is>
      </c>
      <c r="E6031" t="inlineStr">
        <is>
          <t>HEBY</t>
        </is>
      </c>
      <c r="F6031" t="inlineStr">
        <is>
          <t>Bergvik skog väst AB</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46470-2024</t>
        </is>
      </c>
      <c r="B6032" s="1" t="n">
        <v>45582</v>
      </c>
      <c r="C6032" s="1" t="n">
        <v>45706</v>
      </c>
      <c r="D6032" t="inlineStr">
        <is>
          <t>UPPSALA LÄN</t>
        </is>
      </c>
      <c r="E6032" t="inlineStr">
        <is>
          <t>HEBY</t>
        </is>
      </c>
      <c r="F6032" t="inlineStr">
        <is>
          <t>Bergvik skog väst AB</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46494-2024</t>
        </is>
      </c>
      <c r="B6033" s="1" t="n">
        <v>45582</v>
      </c>
      <c r="C6033" s="1" t="n">
        <v>45706</v>
      </c>
      <c r="D6033" t="inlineStr">
        <is>
          <t>UPPSALA LÄN</t>
        </is>
      </c>
      <c r="E6033" t="inlineStr">
        <is>
          <t>ÖSTHAMMAR</t>
        </is>
      </c>
      <c r="F6033" t="inlineStr">
        <is>
          <t>Bergvik skog väst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46530-2024</t>
        </is>
      </c>
      <c r="B6034" s="1" t="n">
        <v>45582</v>
      </c>
      <c r="C6034" s="1" t="n">
        <v>45706</v>
      </c>
      <c r="D6034" t="inlineStr">
        <is>
          <t>UPPSALA LÄN</t>
        </is>
      </c>
      <c r="E6034" t="inlineStr">
        <is>
          <t>TIERP</t>
        </is>
      </c>
      <c r="F6034" t="inlineStr">
        <is>
          <t>Bergvik skog öst AB</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46538-2024</t>
        </is>
      </c>
      <c r="B6035" s="1" t="n">
        <v>45582</v>
      </c>
      <c r="C6035" s="1" t="n">
        <v>45706</v>
      </c>
      <c r="D6035" t="inlineStr">
        <is>
          <t>UPPSALA LÄN</t>
        </is>
      </c>
      <c r="E6035" t="inlineStr">
        <is>
          <t>HEBY</t>
        </is>
      </c>
      <c r="F6035" t="inlineStr">
        <is>
          <t>Bergvik skog väst AB</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46550-2024</t>
        </is>
      </c>
      <c r="B6036" s="1" t="n">
        <v>45582</v>
      </c>
      <c r="C6036" s="1" t="n">
        <v>45706</v>
      </c>
      <c r="D6036" t="inlineStr">
        <is>
          <t>UPPSALA LÄN</t>
        </is>
      </c>
      <c r="E6036" t="inlineStr">
        <is>
          <t>TIERP</t>
        </is>
      </c>
      <c r="F6036" t="inlineStr">
        <is>
          <t>Bergvik skog öst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46467-2024</t>
        </is>
      </c>
      <c r="B6037" s="1" t="n">
        <v>45582</v>
      </c>
      <c r="C6037" s="1" t="n">
        <v>45706</v>
      </c>
      <c r="D6037" t="inlineStr">
        <is>
          <t>UPPSALA LÄN</t>
        </is>
      </c>
      <c r="E6037" t="inlineStr">
        <is>
          <t>HEBY</t>
        </is>
      </c>
      <c r="F6037" t="inlineStr">
        <is>
          <t>Bergvik skog väst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46475-2024</t>
        </is>
      </c>
      <c r="B6038" s="1" t="n">
        <v>45582</v>
      </c>
      <c r="C6038" s="1" t="n">
        <v>45706</v>
      </c>
      <c r="D6038" t="inlineStr">
        <is>
          <t>UPPSALA LÄN</t>
        </is>
      </c>
      <c r="E6038" t="inlineStr">
        <is>
          <t>ÖSTHAMMAR</t>
        </is>
      </c>
      <c r="F6038" t="inlineStr">
        <is>
          <t>Bergvik skog väst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46491-2024</t>
        </is>
      </c>
      <c r="B6039" s="1" t="n">
        <v>45582</v>
      </c>
      <c r="C6039" s="1" t="n">
        <v>45706</v>
      </c>
      <c r="D6039" t="inlineStr">
        <is>
          <t>UPPSALA LÄN</t>
        </is>
      </c>
      <c r="E6039" t="inlineStr">
        <is>
          <t>ÖSTHAMMAR</t>
        </is>
      </c>
      <c r="F6039" t="inlineStr">
        <is>
          <t>Bergvik skog väst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46551-2024</t>
        </is>
      </c>
      <c r="B6040" s="1" t="n">
        <v>45582</v>
      </c>
      <c r="C6040" s="1" t="n">
        <v>45706</v>
      </c>
      <c r="D6040" t="inlineStr">
        <is>
          <t>UPPSALA LÄN</t>
        </is>
      </c>
      <c r="E6040" t="inlineStr">
        <is>
          <t>TIERP</t>
        </is>
      </c>
      <c r="F6040" t="inlineStr">
        <is>
          <t>Bergvik skog öst AB</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46432-2024</t>
        </is>
      </c>
      <c r="B6041" s="1" t="n">
        <v>45582</v>
      </c>
      <c r="C6041" s="1" t="n">
        <v>45706</v>
      </c>
      <c r="D6041" t="inlineStr">
        <is>
          <t>UPPSALA LÄN</t>
        </is>
      </c>
      <c r="E6041" t="inlineStr">
        <is>
          <t>TIERP</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46411-2024</t>
        </is>
      </c>
      <c r="B6042" s="1" t="n">
        <v>45582</v>
      </c>
      <c r="C6042" s="1" t="n">
        <v>45706</v>
      </c>
      <c r="D6042" t="inlineStr">
        <is>
          <t>UPPSALA LÄN</t>
        </is>
      </c>
      <c r="E6042" t="inlineStr">
        <is>
          <t>TIERP</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46465-2024</t>
        </is>
      </c>
      <c r="B6043" s="1" t="n">
        <v>45582</v>
      </c>
      <c r="C6043" s="1" t="n">
        <v>45706</v>
      </c>
      <c r="D6043" t="inlineStr">
        <is>
          <t>UPPSALA LÄN</t>
        </is>
      </c>
      <c r="E6043" t="inlineStr">
        <is>
          <t>TIERP</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46477-2024</t>
        </is>
      </c>
      <c r="B6044" s="1" t="n">
        <v>45582</v>
      </c>
      <c r="C6044" s="1" t="n">
        <v>45706</v>
      </c>
      <c r="D6044" t="inlineStr">
        <is>
          <t>UPPSALA LÄN</t>
        </is>
      </c>
      <c r="E6044" t="inlineStr">
        <is>
          <t>HEBY</t>
        </is>
      </c>
      <c r="F6044" t="inlineStr">
        <is>
          <t>Bergvik skog väst AB</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46513-2024</t>
        </is>
      </c>
      <c r="B6045" s="1" t="n">
        <v>45582</v>
      </c>
      <c r="C6045" s="1" t="n">
        <v>45706</v>
      </c>
      <c r="D6045" t="inlineStr">
        <is>
          <t>UPPSALA LÄN</t>
        </is>
      </c>
      <c r="E6045" t="inlineStr">
        <is>
          <t>HEBY</t>
        </is>
      </c>
      <c r="F6045" t="inlineStr">
        <is>
          <t>Bergvik skog väst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46408-2024</t>
        </is>
      </c>
      <c r="B6046" s="1" t="n">
        <v>45582</v>
      </c>
      <c r="C6046" s="1" t="n">
        <v>45706</v>
      </c>
      <c r="D6046" t="inlineStr">
        <is>
          <t>UPPSALA LÄN</t>
        </is>
      </c>
      <c r="E6046" t="inlineStr">
        <is>
          <t>HEBY</t>
        </is>
      </c>
      <c r="F6046" t="inlineStr">
        <is>
          <t>Bergvik skog väst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46549-2024</t>
        </is>
      </c>
      <c r="B6047" s="1" t="n">
        <v>45582</v>
      </c>
      <c r="C6047" s="1" t="n">
        <v>45706</v>
      </c>
      <c r="D6047" t="inlineStr">
        <is>
          <t>UPPSALA LÄN</t>
        </is>
      </c>
      <c r="E6047" t="inlineStr">
        <is>
          <t>TIERP</t>
        </is>
      </c>
      <c r="F6047" t="inlineStr">
        <is>
          <t>Bergvik skog öst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46728-2024</t>
        </is>
      </c>
      <c r="B6048" s="1" t="n">
        <v>45583</v>
      </c>
      <c r="C6048" s="1" t="n">
        <v>45706</v>
      </c>
      <c r="D6048" t="inlineStr">
        <is>
          <t>UPPSALA LÄN</t>
        </is>
      </c>
      <c r="E6048" t="inlineStr">
        <is>
          <t>UPPSALA</t>
        </is>
      </c>
      <c r="F6048" t="inlineStr">
        <is>
          <t>Sveaskog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46796-2024</t>
        </is>
      </c>
      <c r="B6049" s="1" t="n">
        <v>45583</v>
      </c>
      <c r="C6049" s="1" t="n">
        <v>45706</v>
      </c>
      <c r="D6049" t="inlineStr">
        <is>
          <t>UPPSALA LÄN</t>
        </is>
      </c>
      <c r="E6049" t="inlineStr">
        <is>
          <t>UPPSALA</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46624-2024</t>
        </is>
      </c>
      <c r="B6050" s="1" t="n">
        <v>45583</v>
      </c>
      <c r="C6050" s="1" t="n">
        <v>45706</v>
      </c>
      <c r="D6050" t="inlineStr">
        <is>
          <t>UPPSALA LÄN</t>
        </is>
      </c>
      <c r="E6050" t="inlineStr">
        <is>
          <t>ÖSTHAMMAR</t>
        </is>
      </c>
      <c r="F6050" t="inlineStr">
        <is>
          <t>Bergvik skog öst AB</t>
        </is>
      </c>
      <c r="G6050" t="n">
        <v>0.1</v>
      </c>
      <c r="H6050" t="n">
        <v>0</v>
      </c>
      <c r="I6050" t="n">
        <v>0</v>
      </c>
      <c r="J6050" t="n">
        <v>0</v>
      </c>
      <c r="K6050" t="n">
        <v>0</v>
      </c>
      <c r="L6050" t="n">
        <v>0</v>
      </c>
      <c r="M6050" t="n">
        <v>0</v>
      </c>
      <c r="N6050" t="n">
        <v>0</v>
      </c>
      <c r="O6050" t="n">
        <v>0</v>
      </c>
      <c r="P6050" t="n">
        <v>0</v>
      </c>
      <c r="Q6050" t="n">
        <v>0</v>
      </c>
      <c r="R6050" s="2" t="inlineStr"/>
    </row>
    <row r="6051" ht="15" customHeight="1">
      <c r="A6051" t="inlineStr">
        <is>
          <t>A 46818-2024</t>
        </is>
      </c>
      <c r="B6051" s="1" t="n">
        <v>45583</v>
      </c>
      <c r="C6051" s="1" t="n">
        <v>45706</v>
      </c>
      <c r="D6051" t="inlineStr">
        <is>
          <t>UPPSALA LÄN</t>
        </is>
      </c>
      <c r="E6051" t="inlineStr">
        <is>
          <t>ÖSTHAMMAR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46810-2024</t>
        </is>
      </c>
      <c r="B6052" s="1" t="n">
        <v>45583</v>
      </c>
      <c r="C6052" s="1" t="n">
        <v>45706</v>
      </c>
      <c r="D6052" t="inlineStr">
        <is>
          <t>UPPSALA LÄN</t>
        </is>
      </c>
      <c r="E6052" t="inlineStr">
        <is>
          <t>ÖSTHAMMAR</t>
        </is>
      </c>
      <c r="F6052" t="inlineStr">
        <is>
          <t>Bergvik skog öst AB</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46745-2024</t>
        </is>
      </c>
      <c r="B6053" s="1" t="n">
        <v>45583</v>
      </c>
      <c r="C6053" s="1" t="n">
        <v>45706</v>
      </c>
      <c r="D6053" t="inlineStr">
        <is>
          <t>UPPSALA LÄN</t>
        </is>
      </c>
      <c r="E6053" t="inlineStr">
        <is>
          <t>UPPSALA</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46743-2024</t>
        </is>
      </c>
      <c r="B6054" s="1" t="n">
        <v>45583</v>
      </c>
      <c r="C6054" s="1" t="n">
        <v>45706</v>
      </c>
      <c r="D6054" t="inlineStr">
        <is>
          <t>UPPSALA LÄN</t>
        </is>
      </c>
      <c r="E6054" t="inlineStr">
        <is>
          <t>UPPSALA</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46751-2024</t>
        </is>
      </c>
      <c r="B6055" s="1" t="n">
        <v>45583</v>
      </c>
      <c r="C6055" s="1" t="n">
        <v>45706</v>
      </c>
      <c r="D6055" t="inlineStr">
        <is>
          <t>UPPSALA LÄN</t>
        </is>
      </c>
      <c r="E6055" t="inlineStr">
        <is>
          <t>UPPSALA</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46794-2024</t>
        </is>
      </c>
      <c r="B6056" s="1" t="n">
        <v>45583</v>
      </c>
      <c r="C6056" s="1" t="n">
        <v>45706</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46791-2024</t>
        </is>
      </c>
      <c r="B6057" s="1" t="n">
        <v>45583</v>
      </c>
      <c r="C6057" s="1" t="n">
        <v>45706</v>
      </c>
      <c r="D6057" t="inlineStr">
        <is>
          <t>UPPSALA LÄN</t>
        </is>
      </c>
      <c r="E6057" t="inlineStr">
        <is>
          <t>UPPSALA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46631-2024</t>
        </is>
      </c>
      <c r="B6058" s="1" t="n">
        <v>45583</v>
      </c>
      <c r="C6058" s="1" t="n">
        <v>45706</v>
      </c>
      <c r="D6058" t="inlineStr">
        <is>
          <t>UPPSALA LÄN</t>
        </is>
      </c>
      <c r="E6058" t="inlineStr">
        <is>
          <t>ÖSTHAMMAR</t>
        </is>
      </c>
      <c r="F6058" t="inlineStr">
        <is>
          <t>Bergvik skog öst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46811-2024</t>
        </is>
      </c>
      <c r="B6059" s="1" t="n">
        <v>45583</v>
      </c>
      <c r="C6059" s="1" t="n">
        <v>45706</v>
      </c>
      <c r="D6059" t="inlineStr">
        <is>
          <t>UPPSALA LÄN</t>
        </is>
      </c>
      <c r="E6059" t="inlineStr">
        <is>
          <t>ÖSTHAMMAR</t>
        </is>
      </c>
      <c r="F6059" t="inlineStr">
        <is>
          <t>Bergvik skog öst AB</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46645-2024</t>
        </is>
      </c>
      <c r="B6060" s="1" t="n">
        <v>45583</v>
      </c>
      <c r="C6060" s="1" t="n">
        <v>45706</v>
      </c>
      <c r="D6060" t="inlineStr">
        <is>
          <t>UPPSALA LÄN</t>
        </is>
      </c>
      <c r="E6060" t="inlineStr">
        <is>
          <t>ÖSTHAMMAR</t>
        </is>
      </c>
      <c r="F6060" t="inlineStr">
        <is>
          <t>Bergvik skog öst AB</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46730-2024</t>
        </is>
      </c>
      <c r="B6061" s="1" t="n">
        <v>45583</v>
      </c>
      <c r="C6061" s="1" t="n">
        <v>45706</v>
      </c>
      <c r="D6061" t="inlineStr">
        <is>
          <t>UPPSALA LÄN</t>
        </is>
      </c>
      <c r="E6061" t="inlineStr">
        <is>
          <t>UPPSALA</t>
        </is>
      </c>
      <c r="F6061" t="inlineStr">
        <is>
          <t>Sveaskog</t>
        </is>
      </c>
      <c r="G6061" t="n">
        <v>6.5</v>
      </c>
      <c r="H6061" t="n">
        <v>0</v>
      </c>
      <c r="I6061" t="n">
        <v>0</v>
      </c>
      <c r="J6061" t="n">
        <v>0</v>
      </c>
      <c r="K6061" t="n">
        <v>0</v>
      </c>
      <c r="L6061" t="n">
        <v>0</v>
      </c>
      <c r="M6061" t="n">
        <v>0</v>
      </c>
      <c r="N6061" t="n">
        <v>0</v>
      </c>
      <c r="O6061" t="n">
        <v>0</v>
      </c>
      <c r="P6061" t="n">
        <v>0</v>
      </c>
      <c r="Q6061" t="n">
        <v>0</v>
      </c>
      <c r="R6061" s="2" t="inlineStr"/>
      <c r="U6061">
        <f>HYPERLINK("https://klasma.github.io/Logging_0380/knärot/A 46730-2024 karta knärot.png", "A 46730-2024")</f>
        <v/>
      </c>
      <c r="V6061">
        <f>HYPERLINK("https://klasma.github.io/Logging_0380/klagomål/A 46730-2024 FSC-klagomål.docx", "A 46730-2024")</f>
        <v/>
      </c>
      <c r="W6061">
        <f>HYPERLINK("https://klasma.github.io/Logging_0380/klagomålsmail/A 46730-2024 FSC-klagomål mail.docx", "A 46730-2024")</f>
        <v/>
      </c>
      <c r="X6061">
        <f>HYPERLINK("https://klasma.github.io/Logging_0380/tillsyn/A 46730-2024 tillsynsbegäran.docx", "A 46730-2024")</f>
        <v/>
      </c>
      <c r="Y6061">
        <f>HYPERLINK("https://klasma.github.io/Logging_0380/tillsynsmail/A 46730-2024 tillsynsbegäran mail.docx", "A 46730-2024")</f>
        <v/>
      </c>
    </row>
    <row r="6062" ht="15" customHeight="1">
      <c r="A6062" t="inlineStr">
        <is>
          <t>A 46821-2024</t>
        </is>
      </c>
      <c r="B6062" s="1" t="n">
        <v>45583</v>
      </c>
      <c r="C6062" s="1" t="n">
        <v>45706</v>
      </c>
      <c r="D6062" t="inlineStr">
        <is>
          <t>UPPSALA LÄN</t>
        </is>
      </c>
      <c r="E6062" t="inlineStr">
        <is>
          <t>UPPSALA</t>
        </is>
      </c>
      <c r="F6062" t="inlineStr">
        <is>
          <t>Holmen skog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46748-2024</t>
        </is>
      </c>
      <c r="B6063" s="1" t="n">
        <v>45583</v>
      </c>
      <c r="C6063" s="1" t="n">
        <v>45706</v>
      </c>
      <c r="D6063" t="inlineStr">
        <is>
          <t>UPPSALA LÄN</t>
        </is>
      </c>
      <c r="E6063" t="inlineStr">
        <is>
          <t>UPPSALA</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46700-2024</t>
        </is>
      </c>
      <c r="B6064" s="1" t="n">
        <v>45583</v>
      </c>
      <c r="C6064" s="1" t="n">
        <v>45706</v>
      </c>
      <c r="D6064" t="inlineStr">
        <is>
          <t>UPPSALA LÄN</t>
        </is>
      </c>
      <c r="E6064" t="inlineStr">
        <is>
          <t>UPPSALA</t>
        </is>
      </c>
      <c r="F6064" t="inlineStr">
        <is>
          <t>Sveaskog</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46925-2024</t>
        </is>
      </c>
      <c r="B6065" s="1" t="n">
        <v>45584</v>
      </c>
      <c r="C6065" s="1" t="n">
        <v>45706</v>
      </c>
      <c r="D6065" t="inlineStr">
        <is>
          <t>UPPSALA LÄN</t>
        </is>
      </c>
      <c r="E6065" t="inlineStr">
        <is>
          <t>UPPSALA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46982-2024</t>
        </is>
      </c>
      <c r="B6066" s="1" t="n">
        <v>45586</v>
      </c>
      <c r="C6066" s="1" t="n">
        <v>45706</v>
      </c>
      <c r="D6066" t="inlineStr">
        <is>
          <t>UPPSALA LÄN</t>
        </is>
      </c>
      <c r="E6066" t="inlineStr">
        <is>
          <t>HEBY</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47169-2024</t>
        </is>
      </c>
      <c r="B6067" s="1" t="n">
        <v>45586</v>
      </c>
      <c r="C6067" s="1" t="n">
        <v>45706</v>
      </c>
      <c r="D6067" t="inlineStr">
        <is>
          <t>UPPSALA LÄN</t>
        </is>
      </c>
      <c r="E6067" t="inlineStr">
        <is>
          <t>UPPSALA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47072-2024</t>
        </is>
      </c>
      <c r="B6068" s="1" t="n">
        <v>45586</v>
      </c>
      <c r="C6068" s="1" t="n">
        <v>45706</v>
      </c>
      <c r="D6068" t="inlineStr">
        <is>
          <t>UPPSALA LÄN</t>
        </is>
      </c>
      <c r="E6068" t="inlineStr">
        <is>
          <t>HEBY</t>
        </is>
      </c>
      <c r="F6068" t="inlineStr">
        <is>
          <t>Kyrkan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47058-2024</t>
        </is>
      </c>
      <c r="B6069" s="1" t="n">
        <v>45586</v>
      </c>
      <c r="C6069" s="1" t="n">
        <v>45706</v>
      </c>
      <c r="D6069" t="inlineStr">
        <is>
          <t>UPPSALA LÄN</t>
        </is>
      </c>
      <c r="E6069" t="inlineStr">
        <is>
          <t>TIERP</t>
        </is>
      </c>
      <c r="F6069" t="inlineStr">
        <is>
          <t>Bergvik skog öst AB</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47027-2024</t>
        </is>
      </c>
      <c r="B6070" s="1" t="n">
        <v>45586</v>
      </c>
      <c r="C6070" s="1" t="n">
        <v>45706</v>
      </c>
      <c r="D6070" t="inlineStr">
        <is>
          <t>UPPSALA LÄN</t>
        </is>
      </c>
      <c r="E6070" t="inlineStr">
        <is>
          <t>TIERP</t>
        </is>
      </c>
      <c r="F6070" t="inlineStr">
        <is>
          <t>Bergvik skog öst AB</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47052-2024</t>
        </is>
      </c>
      <c r="B6071" s="1" t="n">
        <v>45586</v>
      </c>
      <c r="C6071" s="1" t="n">
        <v>45706</v>
      </c>
      <c r="D6071" t="inlineStr">
        <is>
          <t>UPPSALA LÄN</t>
        </is>
      </c>
      <c r="E6071" t="inlineStr">
        <is>
          <t>UPPSALA</t>
        </is>
      </c>
      <c r="F6071" t="inlineStr">
        <is>
          <t>Holmen skog AB</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47101-2024</t>
        </is>
      </c>
      <c r="B6072" s="1" t="n">
        <v>45586</v>
      </c>
      <c r="C6072" s="1" t="n">
        <v>45706</v>
      </c>
      <c r="D6072" t="inlineStr">
        <is>
          <t>UPPSALA LÄN</t>
        </is>
      </c>
      <c r="E6072" t="inlineStr">
        <is>
          <t>ENKÖPING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47288-2024</t>
        </is>
      </c>
      <c r="B6073" s="1" t="n">
        <v>45587</v>
      </c>
      <c r="C6073" s="1" t="n">
        <v>45706</v>
      </c>
      <c r="D6073" t="inlineStr">
        <is>
          <t>UPPSALA LÄN</t>
        </is>
      </c>
      <c r="E6073" t="inlineStr">
        <is>
          <t>UPPSALA</t>
        </is>
      </c>
      <c r="F6073" t="inlineStr">
        <is>
          <t>Övriga Aktiebolag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47382-2024</t>
        </is>
      </c>
      <c r="B6074" s="1" t="n">
        <v>45587</v>
      </c>
      <c r="C6074" s="1" t="n">
        <v>45706</v>
      </c>
      <c r="D6074" t="inlineStr">
        <is>
          <t>UPPSALA LÄN</t>
        </is>
      </c>
      <c r="E6074" t="inlineStr">
        <is>
          <t>ÖSTHAMMAR</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47505-2024</t>
        </is>
      </c>
      <c r="B6075" s="1" t="n">
        <v>45587</v>
      </c>
      <c r="C6075" s="1" t="n">
        <v>45706</v>
      </c>
      <c r="D6075" t="inlineStr">
        <is>
          <t>UPPSALA LÄN</t>
        </is>
      </c>
      <c r="E6075" t="inlineStr">
        <is>
          <t>TIERP</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47754-2024</t>
        </is>
      </c>
      <c r="B6076" s="1" t="n">
        <v>45588</v>
      </c>
      <c r="C6076" s="1" t="n">
        <v>45706</v>
      </c>
      <c r="D6076" t="inlineStr">
        <is>
          <t>UPPSALA LÄN</t>
        </is>
      </c>
      <c r="E6076" t="inlineStr">
        <is>
          <t>ÄLVKARLEBY</t>
        </is>
      </c>
      <c r="F6076" t="inlineStr">
        <is>
          <t>Bergvik skog väst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47798-2024</t>
        </is>
      </c>
      <c r="B6077" s="1" t="n">
        <v>45588</v>
      </c>
      <c r="C6077" s="1" t="n">
        <v>45706</v>
      </c>
      <c r="D6077" t="inlineStr">
        <is>
          <t>UPPSALA LÄN</t>
        </is>
      </c>
      <c r="E6077" t="inlineStr">
        <is>
          <t>ÄLVKARLEBY</t>
        </is>
      </c>
      <c r="F6077" t="inlineStr">
        <is>
          <t>Bergvik skog väst AB</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47681-2024</t>
        </is>
      </c>
      <c r="B6078" s="1" t="n">
        <v>45588</v>
      </c>
      <c r="C6078" s="1" t="n">
        <v>45706</v>
      </c>
      <c r="D6078" t="inlineStr">
        <is>
          <t>UPPSALA LÄN</t>
        </is>
      </c>
      <c r="E6078" t="inlineStr">
        <is>
          <t>ENKÖPING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47799-2024</t>
        </is>
      </c>
      <c r="B6079" s="1" t="n">
        <v>45588</v>
      </c>
      <c r="C6079" s="1" t="n">
        <v>45706</v>
      </c>
      <c r="D6079" t="inlineStr">
        <is>
          <t>UPPSALA LÄN</t>
        </is>
      </c>
      <c r="E6079" t="inlineStr">
        <is>
          <t>ÄLVKARLEBY</t>
        </is>
      </c>
      <c r="F6079" t="inlineStr">
        <is>
          <t>Bergvik skog väst AB</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47796-2024</t>
        </is>
      </c>
      <c r="B6080" s="1" t="n">
        <v>45588</v>
      </c>
      <c r="C6080" s="1" t="n">
        <v>45706</v>
      </c>
      <c r="D6080" t="inlineStr">
        <is>
          <t>UPPSALA LÄN</t>
        </is>
      </c>
      <c r="E6080" t="inlineStr">
        <is>
          <t>ÄLVKARLEBY</t>
        </is>
      </c>
      <c r="F6080" t="inlineStr">
        <is>
          <t>Bergvik skog väst AB</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48066-2024</t>
        </is>
      </c>
      <c r="B6081" s="1" t="n">
        <v>45589</v>
      </c>
      <c r="C6081" s="1" t="n">
        <v>45706</v>
      </c>
      <c r="D6081" t="inlineStr">
        <is>
          <t>UPPSALA LÄN</t>
        </is>
      </c>
      <c r="E6081" t="inlineStr">
        <is>
          <t>HEBY</t>
        </is>
      </c>
      <c r="F6081" t="inlineStr">
        <is>
          <t>Allmännings- och besparingsskogar</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48070-2024</t>
        </is>
      </c>
      <c r="B6082" s="1" t="n">
        <v>45589</v>
      </c>
      <c r="C6082" s="1" t="n">
        <v>45706</v>
      </c>
      <c r="D6082" t="inlineStr">
        <is>
          <t>UPPSALA LÄN</t>
        </is>
      </c>
      <c r="E6082" t="inlineStr">
        <is>
          <t>KNIVSTA</t>
        </is>
      </c>
      <c r="G6082" t="n">
        <v>8.699999999999999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48090-2024</t>
        </is>
      </c>
      <c r="B6083" s="1" t="n">
        <v>45589</v>
      </c>
      <c r="C6083" s="1" t="n">
        <v>45706</v>
      </c>
      <c r="D6083" t="inlineStr">
        <is>
          <t>UPPSALA LÄN</t>
        </is>
      </c>
      <c r="E6083" t="inlineStr">
        <is>
          <t>TIERP</t>
        </is>
      </c>
      <c r="F6083" t="inlineStr">
        <is>
          <t>Bergvik skog väst AB</t>
        </is>
      </c>
      <c r="G6083" t="n">
        <v>25.5</v>
      </c>
      <c r="H6083" t="n">
        <v>0</v>
      </c>
      <c r="I6083" t="n">
        <v>0</v>
      </c>
      <c r="J6083" t="n">
        <v>0</v>
      </c>
      <c r="K6083" t="n">
        <v>0</v>
      </c>
      <c r="L6083" t="n">
        <v>0</v>
      </c>
      <c r="M6083" t="n">
        <v>0</v>
      </c>
      <c r="N6083" t="n">
        <v>0</v>
      </c>
      <c r="O6083" t="n">
        <v>0</v>
      </c>
      <c r="P6083" t="n">
        <v>0</v>
      </c>
      <c r="Q6083" t="n">
        <v>0</v>
      </c>
      <c r="R6083" s="2" t="inlineStr"/>
    </row>
    <row r="6084" ht="15" customHeight="1">
      <c r="A6084" t="inlineStr">
        <is>
          <t>A 48154-2024</t>
        </is>
      </c>
      <c r="B6084" s="1" t="n">
        <v>45589</v>
      </c>
      <c r="C6084" s="1" t="n">
        <v>45706</v>
      </c>
      <c r="D6084" t="inlineStr">
        <is>
          <t>UPPSALA LÄN</t>
        </is>
      </c>
      <c r="E6084" t="inlineStr">
        <is>
          <t>UPPSALA</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48153-2024</t>
        </is>
      </c>
      <c r="B6085" s="1" t="n">
        <v>45589</v>
      </c>
      <c r="C6085" s="1" t="n">
        <v>45706</v>
      </c>
      <c r="D6085" t="inlineStr">
        <is>
          <t>UPPSALA LÄN</t>
        </is>
      </c>
      <c r="E6085" t="inlineStr">
        <is>
          <t>UPPSALA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48139-2024</t>
        </is>
      </c>
      <c r="B6086" s="1" t="n">
        <v>45589</v>
      </c>
      <c r="C6086" s="1" t="n">
        <v>45706</v>
      </c>
      <c r="D6086" t="inlineStr">
        <is>
          <t>UPPSALA LÄN</t>
        </is>
      </c>
      <c r="E6086" t="inlineStr">
        <is>
          <t>TIERP</t>
        </is>
      </c>
      <c r="F6086" t="inlineStr">
        <is>
          <t>Bergvik skog öst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48039-2024</t>
        </is>
      </c>
      <c r="B6087" s="1" t="n">
        <v>45589</v>
      </c>
      <c r="C6087" s="1" t="n">
        <v>45706</v>
      </c>
      <c r="D6087" t="inlineStr">
        <is>
          <t>UPPSALA LÄN</t>
        </is>
      </c>
      <c r="E6087" t="inlineStr">
        <is>
          <t>HEBY</t>
        </is>
      </c>
      <c r="G6087" t="n">
        <v>10.1</v>
      </c>
      <c r="H6087" t="n">
        <v>0</v>
      </c>
      <c r="I6087" t="n">
        <v>0</v>
      </c>
      <c r="J6087" t="n">
        <v>0</v>
      </c>
      <c r="K6087" t="n">
        <v>0</v>
      </c>
      <c r="L6087" t="n">
        <v>0</v>
      </c>
      <c r="M6087" t="n">
        <v>0</v>
      </c>
      <c r="N6087" t="n">
        <v>0</v>
      </c>
      <c r="O6087" t="n">
        <v>0</v>
      </c>
      <c r="P6087" t="n">
        <v>0</v>
      </c>
      <c r="Q6087" t="n">
        <v>0</v>
      </c>
      <c r="R6087" s="2" t="inlineStr"/>
    </row>
    <row r="6088" ht="15" customHeight="1">
      <c r="A6088" t="inlineStr">
        <is>
          <t>A 48083-2024</t>
        </is>
      </c>
      <c r="B6088" s="1" t="n">
        <v>45589</v>
      </c>
      <c r="C6088" s="1" t="n">
        <v>45706</v>
      </c>
      <c r="D6088" t="inlineStr">
        <is>
          <t>UPPSALA LÄN</t>
        </is>
      </c>
      <c r="E6088" t="inlineStr">
        <is>
          <t>ÖSTHAMMAR</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48060-2024</t>
        </is>
      </c>
      <c r="B6089" s="1" t="n">
        <v>45589</v>
      </c>
      <c r="C6089" s="1" t="n">
        <v>45706</v>
      </c>
      <c r="D6089" t="inlineStr">
        <is>
          <t>UPPSALA LÄN</t>
        </is>
      </c>
      <c r="E6089" t="inlineStr">
        <is>
          <t>ENKÖPING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48073-2024</t>
        </is>
      </c>
      <c r="B6090" s="1" t="n">
        <v>45589</v>
      </c>
      <c r="C6090" s="1" t="n">
        <v>45706</v>
      </c>
      <c r="D6090" t="inlineStr">
        <is>
          <t>UPPSALA LÄN</t>
        </is>
      </c>
      <c r="E6090" t="inlineStr">
        <is>
          <t>UPPSALA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47909-2024</t>
        </is>
      </c>
      <c r="B6091" s="1" t="n">
        <v>45589</v>
      </c>
      <c r="C6091" s="1" t="n">
        <v>45706</v>
      </c>
      <c r="D6091" t="inlineStr">
        <is>
          <t>UPPSALA LÄN</t>
        </is>
      </c>
      <c r="E6091" t="inlineStr">
        <is>
          <t>ENKÖPING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48029-2024</t>
        </is>
      </c>
      <c r="B6092" s="1" t="n">
        <v>45589</v>
      </c>
      <c r="C6092" s="1" t="n">
        <v>45706</v>
      </c>
      <c r="D6092" t="inlineStr">
        <is>
          <t>UPPSALA LÄN</t>
        </is>
      </c>
      <c r="E6092" t="inlineStr">
        <is>
          <t>HEBY</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48152-2024</t>
        </is>
      </c>
      <c r="B6093" s="1" t="n">
        <v>45589</v>
      </c>
      <c r="C6093" s="1" t="n">
        <v>45706</v>
      </c>
      <c r="D6093" t="inlineStr">
        <is>
          <t>UPPSALA LÄN</t>
        </is>
      </c>
      <c r="E6093" t="inlineStr">
        <is>
          <t>TIERP</t>
        </is>
      </c>
      <c r="F6093" t="inlineStr">
        <is>
          <t>Bergvik skog öst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48430-2024</t>
        </is>
      </c>
      <c r="B6094" s="1" t="n">
        <v>45590</v>
      </c>
      <c r="C6094" s="1" t="n">
        <v>45706</v>
      </c>
      <c r="D6094" t="inlineStr">
        <is>
          <t>UPPSALA LÄN</t>
        </is>
      </c>
      <c r="E6094" t="inlineStr">
        <is>
          <t>HEBY</t>
        </is>
      </c>
      <c r="F6094" t="inlineStr">
        <is>
          <t>Bergvik skog väst AB</t>
        </is>
      </c>
      <c r="G6094" t="n">
        <v>12.1</v>
      </c>
      <c r="H6094" t="n">
        <v>0</v>
      </c>
      <c r="I6094" t="n">
        <v>0</v>
      </c>
      <c r="J6094" t="n">
        <v>0</v>
      </c>
      <c r="K6094" t="n">
        <v>0</v>
      </c>
      <c r="L6094" t="n">
        <v>0</v>
      </c>
      <c r="M6094" t="n">
        <v>0</v>
      </c>
      <c r="N6094" t="n">
        <v>0</v>
      </c>
      <c r="O6094" t="n">
        <v>0</v>
      </c>
      <c r="P6094" t="n">
        <v>0</v>
      </c>
      <c r="Q6094" t="n">
        <v>0</v>
      </c>
      <c r="R6094" s="2" t="inlineStr"/>
    </row>
    <row r="6095" ht="15" customHeight="1">
      <c r="A6095" t="inlineStr">
        <is>
          <t>A 48450-2024</t>
        </is>
      </c>
      <c r="B6095" s="1" t="n">
        <v>45590</v>
      </c>
      <c r="C6095" s="1" t="n">
        <v>45706</v>
      </c>
      <c r="D6095" t="inlineStr">
        <is>
          <t>UPPSALA LÄN</t>
        </is>
      </c>
      <c r="E6095" t="inlineStr">
        <is>
          <t>ENKÖPING</t>
        </is>
      </c>
      <c r="F6095" t="inlineStr">
        <is>
          <t>Allmännings- och besparingsskogar</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48447-2024</t>
        </is>
      </c>
      <c r="B6096" s="1" t="n">
        <v>45590</v>
      </c>
      <c r="C6096" s="1" t="n">
        <v>45706</v>
      </c>
      <c r="D6096" t="inlineStr">
        <is>
          <t>UPPSALA LÄN</t>
        </is>
      </c>
      <c r="E6096" t="inlineStr">
        <is>
          <t>ENKÖPING</t>
        </is>
      </c>
      <c r="F6096" t="inlineStr">
        <is>
          <t>Allmännings- och besparingsskogar</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48566-2024</t>
        </is>
      </c>
      <c r="B6097" s="1" t="n">
        <v>45593</v>
      </c>
      <c r="C6097" s="1" t="n">
        <v>45706</v>
      </c>
      <c r="D6097" t="inlineStr">
        <is>
          <t>UPPSALA LÄN</t>
        </is>
      </c>
      <c r="E6097" t="inlineStr">
        <is>
          <t>TIERP</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48576-2024</t>
        </is>
      </c>
      <c r="B6098" s="1" t="n">
        <v>45593</v>
      </c>
      <c r="C6098" s="1" t="n">
        <v>45706</v>
      </c>
      <c r="D6098" t="inlineStr">
        <is>
          <t>UPPSALA LÄN</t>
        </is>
      </c>
      <c r="E6098" t="inlineStr">
        <is>
          <t>TIERP</t>
        </is>
      </c>
      <c r="F6098" t="inlineStr">
        <is>
          <t>Övriga Aktiebolag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48759-2024</t>
        </is>
      </c>
      <c r="B6099" s="1" t="n">
        <v>45593</v>
      </c>
      <c r="C6099" s="1" t="n">
        <v>45706</v>
      </c>
      <c r="D6099" t="inlineStr">
        <is>
          <t>UPPSALA LÄN</t>
        </is>
      </c>
      <c r="E6099" t="inlineStr">
        <is>
          <t>ÖSTHAMMAR</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48856-2024</t>
        </is>
      </c>
      <c r="B6100" s="1" t="n">
        <v>45593</v>
      </c>
      <c r="C6100" s="1" t="n">
        <v>45706</v>
      </c>
      <c r="D6100" t="inlineStr">
        <is>
          <t>UPPSALA LÄN</t>
        </is>
      </c>
      <c r="E6100" t="inlineStr">
        <is>
          <t>ÖSTHAMMAR</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48862-2024</t>
        </is>
      </c>
      <c r="B6101" s="1" t="n">
        <v>45593</v>
      </c>
      <c r="C6101" s="1" t="n">
        <v>45706</v>
      </c>
      <c r="D6101" t="inlineStr">
        <is>
          <t>UPPSALA LÄN</t>
        </is>
      </c>
      <c r="E6101" t="inlineStr">
        <is>
          <t>TIERP</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49158-2024</t>
        </is>
      </c>
      <c r="B6102" s="1" t="n">
        <v>45594</v>
      </c>
      <c r="C6102" s="1" t="n">
        <v>45706</v>
      </c>
      <c r="D6102" t="inlineStr">
        <is>
          <t>UPPSALA LÄN</t>
        </is>
      </c>
      <c r="E6102" t="inlineStr">
        <is>
          <t>UPPSALA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49166-2024</t>
        </is>
      </c>
      <c r="B6103" s="1" t="n">
        <v>45594</v>
      </c>
      <c r="C6103" s="1" t="n">
        <v>45706</v>
      </c>
      <c r="D6103" t="inlineStr">
        <is>
          <t>UPPSALA LÄN</t>
        </is>
      </c>
      <c r="E6103" t="inlineStr">
        <is>
          <t>HEBY</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49012-2024</t>
        </is>
      </c>
      <c r="B6104" s="1" t="n">
        <v>45594</v>
      </c>
      <c r="C6104" s="1" t="n">
        <v>45706</v>
      </c>
      <c r="D6104" t="inlineStr">
        <is>
          <t>UPPSALA LÄN</t>
        </is>
      </c>
      <c r="E6104" t="inlineStr">
        <is>
          <t>UPPSALA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49050-2024</t>
        </is>
      </c>
      <c r="B6105" s="1" t="n">
        <v>45594</v>
      </c>
      <c r="C6105" s="1" t="n">
        <v>45706</v>
      </c>
      <c r="D6105" t="inlineStr">
        <is>
          <t>UPPSALA LÄN</t>
        </is>
      </c>
      <c r="E6105" t="inlineStr">
        <is>
          <t>UPPSALA</t>
        </is>
      </c>
      <c r="F6105" t="inlineStr">
        <is>
          <t>Övriga statliga verk och myndigheter</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49063-2024</t>
        </is>
      </c>
      <c r="B6106" s="1" t="n">
        <v>45594</v>
      </c>
      <c r="C6106" s="1" t="n">
        <v>45706</v>
      </c>
      <c r="D6106" t="inlineStr">
        <is>
          <t>UPPSALA LÄN</t>
        </is>
      </c>
      <c r="E6106" t="inlineStr">
        <is>
          <t>ENKÖPING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49111-2024</t>
        </is>
      </c>
      <c r="B6107" s="1" t="n">
        <v>45594</v>
      </c>
      <c r="C6107" s="1" t="n">
        <v>45706</v>
      </c>
      <c r="D6107" t="inlineStr">
        <is>
          <t>UPPSALA LÄN</t>
        </is>
      </c>
      <c r="E6107" t="inlineStr">
        <is>
          <t>TIERP</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49231-2024</t>
        </is>
      </c>
      <c r="B6108" s="1" t="n">
        <v>45595</v>
      </c>
      <c r="C6108" s="1" t="n">
        <v>45706</v>
      </c>
      <c r="D6108" t="inlineStr">
        <is>
          <t>UPPSALA LÄN</t>
        </is>
      </c>
      <c r="E6108" t="inlineStr">
        <is>
          <t>TIERP</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49355-2024</t>
        </is>
      </c>
      <c r="B6109" s="1" t="n">
        <v>45595</v>
      </c>
      <c r="C6109" s="1" t="n">
        <v>45706</v>
      </c>
      <c r="D6109" t="inlineStr">
        <is>
          <t>UPPSALA LÄN</t>
        </is>
      </c>
      <c r="E6109" t="inlineStr">
        <is>
          <t>TIERP</t>
        </is>
      </c>
      <c r="F6109" t="inlineStr">
        <is>
          <t>Bergvik skog öst AB</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49340-2024</t>
        </is>
      </c>
      <c r="B6110" s="1" t="n">
        <v>45595</v>
      </c>
      <c r="C6110" s="1" t="n">
        <v>45706</v>
      </c>
      <c r="D6110" t="inlineStr">
        <is>
          <t>UPPSALA LÄN</t>
        </is>
      </c>
      <c r="E6110" t="inlineStr">
        <is>
          <t>ENKÖPING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49445-2024</t>
        </is>
      </c>
      <c r="B6111" s="1" t="n">
        <v>45595</v>
      </c>
      <c r="C6111" s="1" t="n">
        <v>45706</v>
      </c>
      <c r="D6111" t="inlineStr">
        <is>
          <t>UPPSALA LÄN</t>
        </is>
      </c>
      <c r="E6111" t="inlineStr">
        <is>
          <t>HEBY</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49180-2024</t>
        </is>
      </c>
      <c r="B6112" s="1" t="n">
        <v>45595</v>
      </c>
      <c r="C6112" s="1" t="n">
        <v>45706</v>
      </c>
      <c r="D6112" t="inlineStr">
        <is>
          <t>UPPSALA LÄN</t>
        </is>
      </c>
      <c r="E6112" t="inlineStr">
        <is>
          <t>UPPSALA</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49662-2024</t>
        </is>
      </c>
      <c r="B6113" s="1" t="n">
        <v>45596</v>
      </c>
      <c r="C6113" s="1" t="n">
        <v>45706</v>
      </c>
      <c r="D6113" t="inlineStr">
        <is>
          <t>UPPSALA LÄN</t>
        </is>
      </c>
      <c r="E6113" t="inlineStr">
        <is>
          <t>KNIVSTA</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49586-2024</t>
        </is>
      </c>
      <c r="B6114" s="1" t="n">
        <v>45596</v>
      </c>
      <c r="C6114" s="1" t="n">
        <v>45706</v>
      </c>
      <c r="D6114" t="inlineStr">
        <is>
          <t>UPPSALA LÄN</t>
        </is>
      </c>
      <c r="E6114" t="inlineStr">
        <is>
          <t>TIERP</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49601-2024</t>
        </is>
      </c>
      <c r="B6115" s="1" t="n">
        <v>45596</v>
      </c>
      <c r="C6115" s="1" t="n">
        <v>45706</v>
      </c>
      <c r="D6115" t="inlineStr">
        <is>
          <t>UPPSALA LÄN</t>
        </is>
      </c>
      <c r="E6115" t="inlineStr">
        <is>
          <t>ENKÖPING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49614-2024</t>
        </is>
      </c>
      <c r="B6116" s="1" t="n">
        <v>45596</v>
      </c>
      <c r="C6116" s="1" t="n">
        <v>45706</v>
      </c>
      <c r="D6116" t="inlineStr">
        <is>
          <t>UPPSALA LÄN</t>
        </is>
      </c>
      <c r="E6116" t="inlineStr">
        <is>
          <t>ENKÖPING</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49623-2024</t>
        </is>
      </c>
      <c r="B6117" s="1" t="n">
        <v>45596</v>
      </c>
      <c r="C6117" s="1" t="n">
        <v>45706</v>
      </c>
      <c r="D6117" t="inlineStr">
        <is>
          <t>UPPSALA LÄN</t>
        </is>
      </c>
      <c r="E6117" t="inlineStr">
        <is>
          <t>ENKÖPING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49627-2024</t>
        </is>
      </c>
      <c r="B6118" s="1" t="n">
        <v>45596</v>
      </c>
      <c r="C6118" s="1" t="n">
        <v>45706</v>
      </c>
      <c r="D6118" t="inlineStr">
        <is>
          <t>UPPSALA LÄN</t>
        </is>
      </c>
      <c r="E6118" t="inlineStr">
        <is>
          <t>ENKÖPING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49628-2024</t>
        </is>
      </c>
      <c r="B6119" s="1" t="n">
        <v>45596</v>
      </c>
      <c r="C6119" s="1" t="n">
        <v>45706</v>
      </c>
      <c r="D6119" t="inlineStr">
        <is>
          <t>UPPSALA LÄN</t>
        </is>
      </c>
      <c r="E6119" t="inlineStr">
        <is>
          <t>ÄLVKARLEBY</t>
        </is>
      </c>
      <c r="F6119" t="inlineStr">
        <is>
          <t>Bergvik skog väst AB</t>
        </is>
      </c>
      <c r="G6119" t="n">
        <v>18.2</v>
      </c>
      <c r="H6119" t="n">
        <v>0</v>
      </c>
      <c r="I6119" t="n">
        <v>0</v>
      </c>
      <c r="J6119" t="n">
        <v>0</v>
      </c>
      <c r="K6119" t="n">
        <v>0</v>
      </c>
      <c r="L6119" t="n">
        <v>0</v>
      </c>
      <c r="M6119" t="n">
        <v>0</v>
      </c>
      <c r="N6119" t="n">
        <v>0</v>
      </c>
      <c r="O6119" t="n">
        <v>0</v>
      </c>
      <c r="P6119" t="n">
        <v>0</v>
      </c>
      <c r="Q6119" t="n">
        <v>0</v>
      </c>
      <c r="R6119" s="2" t="inlineStr"/>
    </row>
    <row r="6120" ht="15" customHeight="1">
      <c r="A6120" t="inlineStr">
        <is>
          <t>A 49632-2024</t>
        </is>
      </c>
      <c r="B6120" s="1" t="n">
        <v>45596</v>
      </c>
      <c r="C6120" s="1" t="n">
        <v>45706</v>
      </c>
      <c r="D6120" t="inlineStr">
        <is>
          <t>UPPSALA LÄN</t>
        </is>
      </c>
      <c r="E6120" t="inlineStr">
        <is>
          <t>ENKÖPING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49536-2024</t>
        </is>
      </c>
      <c r="B6121" s="1" t="n">
        <v>45596</v>
      </c>
      <c r="C6121" s="1" t="n">
        <v>45706</v>
      </c>
      <c r="D6121" t="inlineStr">
        <is>
          <t>UPPSALA LÄN</t>
        </is>
      </c>
      <c r="E6121" t="inlineStr">
        <is>
          <t>HEBY</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49597-2024</t>
        </is>
      </c>
      <c r="B6122" s="1" t="n">
        <v>45596</v>
      </c>
      <c r="C6122" s="1" t="n">
        <v>45706</v>
      </c>
      <c r="D6122" t="inlineStr">
        <is>
          <t>UPPSALA LÄN</t>
        </is>
      </c>
      <c r="E6122" t="inlineStr">
        <is>
          <t>ENKÖPING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49613-2024</t>
        </is>
      </c>
      <c r="B6123" s="1" t="n">
        <v>45596</v>
      </c>
      <c r="C6123" s="1" t="n">
        <v>45706</v>
      </c>
      <c r="D6123" t="inlineStr">
        <is>
          <t>UPPSALA LÄN</t>
        </is>
      </c>
      <c r="E6123" t="inlineStr">
        <is>
          <t>ENKÖPING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49622-2024</t>
        </is>
      </c>
      <c r="B6124" s="1" t="n">
        <v>45596</v>
      </c>
      <c r="C6124" s="1" t="n">
        <v>45706</v>
      </c>
      <c r="D6124" t="inlineStr">
        <is>
          <t>UPPSALA LÄN</t>
        </is>
      </c>
      <c r="E6124" t="inlineStr">
        <is>
          <t>ENKÖPING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49580-2024</t>
        </is>
      </c>
      <c r="B6125" s="1" t="n">
        <v>45596</v>
      </c>
      <c r="C6125" s="1" t="n">
        <v>45706</v>
      </c>
      <c r="D6125" t="inlineStr">
        <is>
          <t>UPPSALA LÄN</t>
        </is>
      </c>
      <c r="E6125" t="inlineStr">
        <is>
          <t>TIERP</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49617-2024</t>
        </is>
      </c>
      <c r="B6126" s="1" t="n">
        <v>45596</v>
      </c>
      <c r="C6126" s="1" t="n">
        <v>45706</v>
      </c>
      <c r="D6126" t="inlineStr">
        <is>
          <t>UPPSALA LÄN</t>
        </is>
      </c>
      <c r="E6126" t="inlineStr">
        <is>
          <t>ENKÖPING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49621-2024</t>
        </is>
      </c>
      <c r="B6127" s="1" t="n">
        <v>45596</v>
      </c>
      <c r="C6127" s="1" t="n">
        <v>45706</v>
      </c>
      <c r="D6127" t="inlineStr">
        <is>
          <t>UPPSALA LÄN</t>
        </is>
      </c>
      <c r="E6127" t="inlineStr">
        <is>
          <t>HEBY</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49625-2024</t>
        </is>
      </c>
      <c r="B6128" s="1" t="n">
        <v>45596</v>
      </c>
      <c r="C6128" s="1" t="n">
        <v>45706</v>
      </c>
      <c r="D6128" t="inlineStr">
        <is>
          <t>UPPSALA LÄN</t>
        </is>
      </c>
      <c r="E6128" t="inlineStr">
        <is>
          <t>ENKÖPING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49637-2024</t>
        </is>
      </c>
      <c r="B6129" s="1" t="n">
        <v>45596</v>
      </c>
      <c r="C6129" s="1" t="n">
        <v>45706</v>
      </c>
      <c r="D6129" t="inlineStr">
        <is>
          <t>UPPSALA LÄN</t>
        </is>
      </c>
      <c r="E6129" t="inlineStr">
        <is>
          <t>ENKÖPING</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49792-2024</t>
        </is>
      </c>
      <c r="B6130" s="1" t="n">
        <v>45597</v>
      </c>
      <c r="C6130" s="1" t="n">
        <v>45706</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49796-2024</t>
        </is>
      </c>
      <c r="B6131" s="1" t="n">
        <v>45597</v>
      </c>
      <c r="C6131" s="1" t="n">
        <v>45706</v>
      </c>
      <c r="D6131" t="inlineStr">
        <is>
          <t>UPPSALA LÄN</t>
        </is>
      </c>
      <c r="E6131" t="inlineStr">
        <is>
          <t>ÖSTHAMMAR</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50163-2024</t>
        </is>
      </c>
      <c r="B6132" s="1" t="n">
        <v>45599</v>
      </c>
      <c r="C6132" s="1" t="n">
        <v>45706</v>
      </c>
      <c r="D6132" t="inlineStr">
        <is>
          <t>UPPSALA LÄN</t>
        </is>
      </c>
      <c r="E6132" t="inlineStr">
        <is>
          <t>HEBY</t>
        </is>
      </c>
      <c r="F6132" t="inlineStr">
        <is>
          <t>Bergvik skog väst AB</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50037-2024</t>
        </is>
      </c>
      <c r="B6133" s="1" t="n">
        <v>45599</v>
      </c>
      <c r="C6133" s="1" t="n">
        <v>45706</v>
      </c>
      <c r="D6133" t="inlineStr">
        <is>
          <t>UPPSALA LÄN</t>
        </is>
      </c>
      <c r="E6133" t="inlineStr">
        <is>
          <t>UPPSALA</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50172-2024</t>
        </is>
      </c>
      <c r="B6134" s="1" t="n">
        <v>45599</v>
      </c>
      <c r="C6134" s="1" t="n">
        <v>45706</v>
      </c>
      <c r="D6134" t="inlineStr">
        <is>
          <t>UPPSALA LÄN</t>
        </is>
      </c>
      <c r="E6134" t="inlineStr">
        <is>
          <t>HEBY</t>
        </is>
      </c>
      <c r="F6134" t="inlineStr">
        <is>
          <t>Bergvik skog väst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50394-2024</t>
        </is>
      </c>
      <c r="B6135" s="1" t="n">
        <v>45600</v>
      </c>
      <c r="C6135" s="1" t="n">
        <v>45706</v>
      </c>
      <c r="D6135" t="inlineStr">
        <is>
          <t>UPPSALA LÄN</t>
        </is>
      </c>
      <c r="E6135" t="inlineStr">
        <is>
          <t>ENKÖPING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50248-2024</t>
        </is>
      </c>
      <c r="B6136" s="1" t="n">
        <v>45600</v>
      </c>
      <c r="C6136" s="1" t="n">
        <v>45706</v>
      </c>
      <c r="D6136" t="inlineStr">
        <is>
          <t>UPPSALA LÄN</t>
        </is>
      </c>
      <c r="E6136" t="inlineStr">
        <is>
          <t>ENKÖPING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50227-2024</t>
        </is>
      </c>
      <c r="B6137" s="1" t="n">
        <v>45600</v>
      </c>
      <c r="C6137" s="1" t="n">
        <v>45706</v>
      </c>
      <c r="D6137" t="inlineStr">
        <is>
          <t>UPPSALA LÄN</t>
        </is>
      </c>
      <c r="E6137" t="inlineStr">
        <is>
          <t>TIERP</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50247-2024</t>
        </is>
      </c>
      <c r="B6138" s="1" t="n">
        <v>45600</v>
      </c>
      <c r="C6138" s="1" t="n">
        <v>45706</v>
      </c>
      <c r="D6138" t="inlineStr">
        <is>
          <t>UPPSALA LÄN</t>
        </is>
      </c>
      <c r="E6138" t="inlineStr">
        <is>
          <t>ENKÖPING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50535-2024</t>
        </is>
      </c>
      <c r="B6139" s="1" t="n">
        <v>45600</v>
      </c>
      <c r="C6139" s="1" t="n">
        <v>45706</v>
      </c>
      <c r="D6139" t="inlineStr">
        <is>
          <t>UPPSALA LÄN</t>
        </is>
      </c>
      <c r="E6139" t="inlineStr">
        <is>
          <t>UPPSALA</t>
        </is>
      </c>
      <c r="F6139" t="inlineStr">
        <is>
          <t>Övriga statliga verk och myndigheter</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50196-2024</t>
        </is>
      </c>
      <c r="B6140" s="1" t="n">
        <v>45600</v>
      </c>
      <c r="C6140" s="1" t="n">
        <v>45706</v>
      </c>
      <c r="D6140" t="inlineStr">
        <is>
          <t>UPPSALA LÄN</t>
        </is>
      </c>
      <c r="E6140" t="inlineStr">
        <is>
          <t>UPPSALA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50463-2024</t>
        </is>
      </c>
      <c r="B6141" s="1" t="n">
        <v>45601</v>
      </c>
      <c r="C6141" s="1" t="n">
        <v>45706</v>
      </c>
      <c r="D6141" t="inlineStr">
        <is>
          <t>UPPSALA LÄN</t>
        </is>
      </c>
      <c r="E6141" t="inlineStr">
        <is>
          <t>UPPSALA</t>
        </is>
      </c>
      <c r="F6141" t="inlineStr">
        <is>
          <t>Allmännings- och besparingsskogar</t>
        </is>
      </c>
      <c r="G6141" t="n">
        <v>12.6</v>
      </c>
      <c r="H6141" t="n">
        <v>0</v>
      </c>
      <c r="I6141" t="n">
        <v>0</v>
      </c>
      <c r="J6141" t="n">
        <v>0</v>
      </c>
      <c r="K6141" t="n">
        <v>0</v>
      </c>
      <c r="L6141" t="n">
        <v>0</v>
      </c>
      <c r="M6141" t="n">
        <v>0</v>
      </c>
      <c r="N6141" t="n">
        <v>0</v>
      </c>
      <c r="O6141" t="n">
        <v>0</v>
      </c>
      <c r="P6141" t="n">
        <v>0</v>
      </c>
      <c r="Q6141" t="n">
        <v>0</v>
      </c>
      <c r="R6141" s="2" t="inlineStr"/>
    </row>
    <row r="6142" ht="15" customHeight="1">
      <c r="A6142" t="inlineStr">
        <is>
          <t>A 50669-2024</t>
        </is>
      </c>
      <c r="B6142" s="1" t="n">
        <v>45601</v>
      </c>
      <c r="C6142" s="1" t="n">
        <v>45706</v>
      </c>
      <c r="D6142" t="inlineStr">
        <is>
          <t>UPPSALA LÄN</t>
        </is>
      </c>
      <c r="E6142" t="inlineStr">
        <is>
          <t>UPPSALA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50459-2024</t>
        </is>
      </c>
      <c r="B6143" s="1" t="n">
        <v>45601</v>
      </c>
      <c r="C6143" s="1" t="n">
        <v>45706</v>
      </c>
      <c r="D6143" t="inlineStr">
        <is>
          <t>UPPSALA LÄN</t>
        </is>
      </c>
      <c r="E6143" t="inlineStr">
        <is>
          <t>ÖSTHAMMAR</t>
        </is>
      </c>
      <c r="F6143" t="inlineStr">
        <is>
          <t>Övriga Aktiebolag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50506-2024</t>
        </is>
      </c>
      <c r="B6144" s="1" t="n">
        <v>45601</v>
      </c>
      <c r="C6144" s="1" t="n">
        <v>45706</v>
      </c>
      <c r="D6144" t="inlineStr">
        <is>
          <t>UPPSALA LÄN</t>
        </is>
      </c>
      <c r="E6144" t="inlineStr">
        <is>
          <t>TIERP</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50686-2024</t>
        </is>
      </c>
      <c r="B6145" s="1" t="n">
        <v>45602</v>
      </c>
      <c r="C6145" s="1" t="n">
        <v>45706</v>
      </c>
      <c r="D6145" t="inlineStr">
        <is>
          <t>UPPSALA LÄN</t>
        </is>
      </c>
      <c r="E6145" t="inlineStr">
        <is>
          <t>TIERP</t>
        </is>
      </c>
      <c r="F6145" t="inlineStr">
        <is>
          <t>Övriga Aktiebolag</t>
        </is>
      </c>
      <c r="G6145" t="n">
        <v>9.6</v>
      </c>
      <c r="H6145" t="n">
        <v>0</v>
      </c>
      <c r="I6145" t="n">
        <v>0</v>
      </c>
      <c r="J6145" t="n">
        <v>0</v>
      </c>
      <c r="K6145" t="n">
        <v>0</v>
      </c>
      <c r="L6145" t="n">
        <v>0</v>
      </c>
      <c r="M6145" t="n">
        <v>0</v>
      </c>
      <c r="N6145" t="n">
        <v>0</v>
      </c>
      <c r="O6145" t="n">
        <v>0</v>
      </c>
      <c r="P6145" t="n">
        <v>0</v>
      </c>
      <c r="Q6145" t="n">
        <v>0</v>
      </c>
      <c r="R6145" s="2" t="inlineStr"/>
    </row>
    <row r="6146" ht="15" customHeight="1">
      <c r="A6146" t="inlineStr">
        <is>
          <t>A 50792-2024</t>
        </is>
      </c>
      <c r="B6146" s="1" t="n">
        <v>45602</v>
      </c>
      <c r="C6146" s="1" t="n">
        <v>45706</v>
      </c>
      <c r="D6146" t="inlineStr">
        <is>
          <t>UPPSALA LÄN</t>
        </is>
      </c>
      <c r="E6146" t="inlineStr">
        <is>
          <t>TIERP</t>
        </is>
      </c>
      <c r="F6146" t="inlineStr">
        <is>
          <t>Bergvik skog öst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50849-2024</t>
        </is>
      </c>
      <c r="B6147" s="1" t="n">
        <v>45602</v>
      </c>
      <c r="C6147" s="1" t="n">
        <v>45706</v>
      </c>
      <c r="D6147" t="inlineStr">
        <is>
          <t>UPPSALA LÄN</t>
        </is>
      </c>
      <c r="E6147" t="inlineStr">
        <is>
          <t>ÖSTHAMMAR</t>
        </is>
      </c>
      <c r="F6147" t="inlineStr">
        <is>
          <t>Övriga Aktiebolag</t>
        </is>
      </c>
      <c r="G6147" t="n">
        <v>9.5</v>
      </c>
      <c r="H6147" t="n">
        <v>0</v>
      </c>
      <c r="I6147" t="n">
        <v>0</v>
      </c>
      <c r="J6147" t="n">
        <v>0</v>
      </c>
      <c r="K6147" t="n">
        <v>0</v>
      </c>
      <c r="L6147" t="n">
        <v>0</v>
      </c>
      <c r="M6147" t="n">
        <v>0</v>
      </c>
      <c r="N6147" t="n">
        <v>0</v>
      </c>
      <c r="O6147" t="n">
        <v>0</v>
      </c>
      <c r="P6147" t="n">
        <v>0</v>
      </c>
      <c r="Q6147" t="n">
        <v>0</v>
      </c>
      <c r="R6147" s="2" t="inlineStr"/>
    </row>
    <row r="6148" ht="15" customHeight="1">
      <c r="A6148" t="inlineStr">
        <is>
          <t>A 50875-2024</t>
        </is>
      </c>
      <c r="B6148" s="1" t="n">
        <v>45602</v>
      </c>
      <c r="C6148" s="1" t="n">
        <v>45706</v>
      </c>
      <c r="D6148" t="inlineStr">
        <is>
          <t>UPPSALA LÄN</t>
        </is>
      </c>
      <c r="E6148" t="inlineStr">
        <is>
          <t>ÖSTHAMMAR</t>
        </is>
      </c>
      <c r="F6148" t="inlineStr">
        <is>
          <t>Övriga Aktiebolag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50927-2024</t>
        </is>
      </c>
      <c r="B6149" s="1" t="n">
        <v>45602</v>
      </c>
      <c r="C6149" s="1" t="n">
        <v>45706</v>
      </c>
      <c r="D6149" t="inlineStr">
        <is>
          <t>UPPSALA LÄN</t>
        </is>
      </c>
      <c r="E6149" t="inlineStr">
        <is>
          <t>ÖSTHAMMAR</t>
        </is>
      </c>
      <c r="F6149" t="inlineStr">
        <is>
          <t>Bergvik skog öst AB</t>
        </is>
      </c>
      <c r="G6149" t="n">
        <v>45.4</v>
      </c>
      <c r="H6149" t="n">
        <v>0</v>
      </c>
      <c r="I6149" t="n">
        <v>0</v>
      </c>
      <c r="J6149" t="n">
        <v>0</v>
      </c>
      <c r="K6149" t="n">
        <v>0</v>
      </c>
      <c r="L6149" t="n">
        <v>0</v>
      </c>
      <c r="M6149" t="n">
        <v>0</v>
      </c>
      <c r="N6149" t="n">
        <v>0</v>
      </c>
      <c r="O6149" t="n">
        <v>0</v>
      </c>
      <c r="P6149" t="n">
        <v>0</v>
      </c>
      <c r="Q6149" t="n">
        <v>0</v>
      </c>
      <c r="R6149" s="2" t="inlineStr"/>
    </row>
    <row r="6150" ht="15" customHeight="1">
      <c r="A6150" t="inlineStr">
        <is>
          <t>A 50924-2024</t>
        </is>
      </c>
      <c r="B6150" s="1" t="n">
        <v>45602</v>
      </c>
      <c r="C6150" s="1" t="n">
        <v>45706</v>
      </c>
      <c r="D6150" t="inlineStr">
        <is>
          <t>UPPSALA LÄN</t>
        </is>
      </c>
      <c r="E6150" t="inlineStr">
        <is>
          <t>ÖSTHAMMAR</t>
        </is>
      </c>
      <c r="F6150" t="inlineStr">
        <is>
          <t>Bergvik skog öst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50844-2024</t>
        </is>
      </c>
      <c r="B6151" s="1" t="n">
        <v>45602</v>
      </c>
      <c r="C6151" s="1" t="n">
        <v>45706</v>
      </c>
      <c r="D6151" t="inlineStr">
        <is>
          <t>UPPSALA LÄN</t>
        </is>
      </c>
      <c r="E6151" t="inlineStr">
        <is>
          <t>ÖSTHAMMAR</t>
        </is>
      </c>
      <c r="F6151" t="inlineStr">
        <is>
          <t>Övriga Aktiebolag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50853-2024</t>
        </is>
      </c>
      <c r="B6152" s="1" t="n">
        <v>45602</v>
      </c>
      <c r="C6152" s="1" t="n">
        <v>45706</v>
      </c>
      <c r="D6152" t="inlineStr">
        <is>
          <t>UPPSALA LÄN</t>
        </is>
      </c>
      <c r="E6152" t="inlineStr">
        <is>
          <t>ÖSTHAMMAR</t>
        </is>
      </c>
      <c r="F6152" t="inlineStr">
        <is>
          <t>Övriga Aktiebolag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50834-2024</t>
        </is>
      </c>
      <c r="B6153" s="1" t="n">
        <v>45602</v>
      </c>
      <c r="C6153" s="1" t="n">
        <v>45706</v>
      </c>
      <c r="D6153" t="inlineStr">
        <is>
          <t>UPPSALA LÄN</t>
        </is>
      </c>
      <c r="E6153" t="inlineStr">
        <is>
          <t>UPPSALA</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51010-2024</t>
        </is>
      </c>
      <c r="B6154" s="1" t="n">
        <v>45603</v>
      </c>
      <c r="C6154" s="1" t="n">
        <v>45706</v>
      </c>
      <c r="D6154" t="inlineStr">
        <is>
          <t>UPPSALA LÄN</t>
        </is>
      </c>
      <c r="E6154" t="inlineStr">
        <is>
          <t>ENKÖPING</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51030-2024</t>
        </is>
      </c>
      <c r="B6155" s="1" t="n">
        <v>45603</v>
      </c>
      <c r="C6155" s="1" t="n">
        <v>45706</v>
      </c>
      <c r="D6155" t="inlineStr">
        <is>
          <t>UPPSALA LÄN</t>
        </is>
      </c>
      <c r="E6155" t="inlineStr">
        <is>
          <t>ENKÖPING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51034-2024</t>
        </is>
      </c>
      <c r="B6156" s="1" t="n">
        <v>45603</v>
      </c>
      <c r="C6156" s="1" t="n">
        <v>45706</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51042-2024</t>
        </is>
      </c>
      <c r="B6157" s="1" t="n">
        <v>45603</v>
      </c>
      <c r="C6157" s="1" t="n">
        <v>45706</v>
      </c>
      <c r="D6157" t="inlineStr">
        <is>
          <t>UPPSALA LÄN</t>
        </is>
      </c>
      <c r="E6157" t="inlineStr">
        <is>
          <t>ENKÖPING</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51011-2024</t>
        </is>
      </c>
      <c r="B6158" s="1" t="n">
        <v>45603</v>
      </c>
      <c r="C6158" s="1" t="n">
        <v>45706</v>
      </c>
      <c r="D6158" t="inlineStr">
        <is>
          <t>UPPSALA LÄN</t>
        </is>
      </c>
      <c r="E6158" t="inlineStr">
        <is>
          <t>ENKÖPING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51027-2024</t>
        </is>
      </c>
      <c r="B6159" s="1" t="n">
        <v>45603</v>
      </c>
      <c r="C6159" s="1" t="n">
        <v>45706</v>
      </c>
      <c r="D6159" t="inlineStr">
        <is>
          <t>UPPSALA LÄN</t>
        </is>
      </c>
      <c r="E6159" t="inlineStr">
        <is>
          <t>ENKÖPING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51088-2024</t>
        </is>
      </c>
      <c r="B6160" s="1" t="n">
        <v>45603</v>
      </c>
      <c r="C6160" s="1" t="n">
        <v>45706</v>
      </c>
      <c r="D6160" t="inlineStr">
        <is>
          <t>UPPSALA LÄN</t>
        </is>
      </c>
      <c r="E6160" t="inlineStr">
        <is>
          <t>HEBY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51008-2024</t>
        </is>
      </c>
      <c r="B6161" s="1" t="n">
        <v>45603</v>
      </c>
      <c r="C6161" s="1" t="n">
        <v>45706</v>
      </c>
      <c r="D6161" t="inlineStr">
        <is>
          <t>UPPSALA LÄN</t>
        </is>
      </c>
      <c r="E6161" t="inlineStr">
        <is>
          <t>ENKÖPING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51012-2024</t>
        </is>
      </c>
      <c r="B6162" s="1" t="n">
        <v>45603</v>
      </c>
      <c r="C6162" s="1" t="n">
        <v>45706</v>
      </c>
      <c r="D6162" t="inlineStr">
        <is>
          <t>UPPSALA LÄN</t>
        </is>
      </c>
      <c r="E6162" t="inlineStr">
        <is>
          <t>ENKÖPING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51036-2024</t>
        </is>
      </c>
      <c r="B6163" s="1" t="n">
        <v>45603</v>
      </c>
      <c r="C6163" s="1" t="n">
        <v>45706</v>
      </c>
      <c r="D6163" t="inlineStr">
        <is>
          <t>UPPSALA LÄN</t>
        </is>
      </c>
      <c r="E6163" t="inlineStr">
        <is>
          <t>ENKÖPING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51037-2024</t>
        </is>
      </c>
      <c r="B6164" s="1" t="n">
        <v>45603</v>
      </c>
      <c r="C6164" s="1" t="n">
        <v>45706</v>
      </c>
      <c r="D6164" t="inlineStr">
        <is>
          <t>UPPSALA LÄN</t>
        </is>
      </c>
      <c r="E6164" t="inlineStr">
        <is>
          <t>ENKÖPING</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51344-2024</t>
        </is>
      </c>
      <c r="B6165" s="1" t="n">
        <v>45604</v>
      </c>
      <c r="C6165" s="1" t="n">
        <v>45706</v>
      </c>
      <c r="D6165" t="inlineStr">
        <is>
          <t>UPPSALA LÄN</t>
        </is>
      </c>
      <c r="E6165" t="inlineStr">
        <is>
          <t>TIERP</t>
        </is>
      </c>
      <c r="F6165" t="inlineStr">
        <is>
          <t>Bergvik skog öst AB</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51482-2024</t>
        </is>
      </c>
      <c r="B6166" s="1" t="n">
        <v>45604</v>
      </c>
      <c r="C6166" s="1" t="n">
        <v>45706</v>
      </c>
      <c r="D6166" t="inlineStr">
        <is>
          <t>UPPSALA LÄN</t>
        </is>
      </c>
      <c r="E6166" t="inlineStr">
        <is>
          <t>UPPSALA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51453-2024</t>
        </is>
      </c>
      <c r="B6167" s="1" t="n">
        <v>45604</v>
      </c>
      <c r="C6167" s="1" t="n">
        <v>45706</v>
      </c>
      <c r="D6167" t="inlineStr">
        <is>
          <t>UPPSALA LÄN</t>
        </is>
      </c>
      <c r="E6167" t="inlineStr">
        <is>
          <t>TIERP</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51483-2024</t>
        </is>
      </c>
      <c r="B6168" s="1" t="n">
        <v>45604</v>
      </c>
      <c r="C6168" s="1" t="n">
        <v>45706</v>
      </c>
      <c r="D6168" t="inlineStr">
        <is>
          <t>UPPSALA LÄN</t>
        </is>
      </c>
      <c r="E6168" t="inlineStr">
        <is>
          <t>UPPSALA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51507-2024</t>
        </is>
      </c>
      <c r="B6169" s="1" t="n">
        <v>45604</v>
      </c>
      <c r="C6169" s="1" t="n">
        <v>45706</v>
      </c>
      <c r="D6169" t="inlineStr">
        <is>
          <t>UPPSALA LÄN</t>
        </is>
      </c>
      <c r="E6169" t="inlineStr">
        <is>
          <t>ÄLVKARLEBY</t>
        </is>
      </c>
      <c r="F6169" t="inlineStr">
        <is>
          <t>Bergvik skog väst AB</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51485-2024</t>
        </is>
      </c>
      <c r="B6170" s="1" t="n">
        <v>45604</v>
      </c>
      <c r="C6170" s="1" t="n">
        <v>45706</v>
      </c>
      <c r="D6170" t="inlineStr">
        <is>
          <t>UPPSALA LÄN</t>
        </is>
      </c>
      <c r="E6170" t="inlineStr">
        <is>
          <t>UPPSALA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51509-2024</t>
        </is>
      </c>
      <c r="B6171" s="1" t="n">
        <v>45604</v>
      </c>
      <c r="C6171" s="1" t="n">
        <v>45706</v>
      </c>
      <c r="D6171" t="inlineStr">
        <is>
          <t>UPPSALA LÄN</t>
        </is>
      </c>
      <c r="E6171" t="inlineStr">
        <is>
          <t>ÄLVKARLEBY</t>
        </is>
      </c>
      <c r="F6171" t="inlineStr">
        <is>
          <t>Bergvik skog väst AB</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51568-2024</t>
        </is>
      </c>
      <c r="B6172" s="1" t="n">
        <v>45604</v>
      </c>
      <c r="C6172" s="1" t="n">
        <v>45706</v>
      </c>
      <c r="D6172" t="inlineStr">
        <is>
          <t>UPPSALA LÄN</t>
        </is>
      </c>
      <c r="E6172" t="inlineStr">
        <is>
          <t>TIERP</t>
        </is>
      </c>
      <c r="F6172" t="inlineStr">
        <is>
          <t>Bergvik skog väst AB</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51628-2024</t>
        </is>
      </c>
      <c r="B6173" s="1" t="n">
        <v>45605</v>
      </c>
      <c r="C6173" s="1" t="n">
        <v>45706</v>
      </c>
      <c r="D6173" t="inlineStr">
        <is>
          <t>UPPSALA LÄN</t>
        </is>
      </c>
      <c r="E6173" t="inlineStr">
        <is>
          <t>KNIVSTA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52005-2024</t>
        </is>
      </c>
      <c r="B6174" s="1" t="n">
        <v>45607</v>
      </c>
      <c r="C6174" s="1" t="n">
        <v>45706</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52252-2024</t>
        </is>
      </c>
      <c r="B6175" s="1" t="n">
        <v>45607</v>
      </c>
      <c r="C6175" s="1" t="n">
        <v>45706</v>
      </c>
      <c r="D6175" t="inlineStr">
        <is>
          <t>UPPSALA LÄN</t>
        </is>
      </c>
      <c r="E6175" t="inlineStr">
        <is>
          <t>HEBY</t>
        </is>
      </c>
      <c r="F6175" t="inlineStr">
        <is>
          <t>Bergvik skog väst AB</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51758-2024</t>
        </is>
      </c>
      <c r="B6176" s="1" t="n">
        <v>45607</v>
      </c>
      <c r="C6176" s="1" t="n">
        <v>45706</v>
      </c>
      <c r="D6176" t="inlineStr">
        <is>
          <t>UPPSALA LÄN</t>
        </is>
      </c>
      <c r="E6176" t="inlineStr">
        <is>
          <t>TIERP</t>
        </is>
      </c>
      <c r="F6176" t="inlineStr">
        <is>
          <t>Bergvik skog väst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51753-2024</t>
        </is>
      </c>
      <c r="B6177" s="1" t="n">
        <v>45607</v>
      </c>
      <c r="C6177" s="1" t="n">
        <v>45706</v>
      </c>
      <c r="D6177" t="inlineStr">
        <is>
          <t>UPPSALA LÄN</t>
        </is>
      </c>
      <c r="E6177" t="inlineStr">
        <is>
          <t>HEBY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52197-2024</t>
        </is>
      </c>
      <c r="B6178" s="1" t="n">
        <v>45608</v>
      </c>
      <c r="C6178" s="1" t="n">
        <v>45706</v>
      </c>
      <c r="D6178" t="inlineStr">
        <is>
          <t>UPPSALA LÄN</t>
        </is>
      </c>
      <c r="E6178" t="inlineStr">
        <is>
          <t>UPPSALA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52219-2024</t>
        </is>
      </c>
      <c r="B6179" s="1" t="n">
        <v>45608</v>
      </c>
      <c r="C6179" s="1" t="n">
        <v>45706</v>
      </c>
      <c r="D6179" t="inlineStr">
        <is>
          <t>UPPSALA LÄN</t>
        </is>
      </c>
      <c r="E6179" t="inlineStr">
        <is>
          <t>ENKÖPING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52306-2024</t>
        </is>
      </c>
      <c r="B6180" s="1" t="n">
        <v>45608</v>
      </c>
      <c r="C6180" s="1" t="n">
        <v>45706</v>
      </c>
      <c r="D6180" t="inlineStr">
        <is>
          <t>UPPSALA LÄN</t>
        </is>
      </c>
      <c r="E6180" t="inlineStr">
        <is>
          <t>ÖSTHAMMAR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52094-2024</t>
        </is>
      </c>
      <c r="B6181" s="1" t="n">
        <v>45608</v>
      </c>
      <c r="C6181" s="1" t="n">
        <v>45706</v>
      </c>
      <c r="D6181" t="inlineStr">
        <is>
          <t>UPPSALA LÄN</t>
        </is>
      </c>
      <c r="E6181" t="inlineStr">
        <is>
          <t>UPPSALA</t>
        </is>
      </c>
      <c r="F6181" t="inlineStr">
        <is>
          <t>Bergvik skog öst AB</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52254-2024</t>
        </is>
      </c>
      <c r="B6182" s="1" t="n">
        <v>45608</v>
      </c>
      <c r="C6182" s="1" t="n">
        <v>45706</v>
      </c>
      <c r="D6182" t="inlineStr">
        <is>
          <t>UPPSALA LÄN</t>
        </is>
      </c>
      <c r="E6182" t="inlineStr">
        <is>
          <t>HEBY</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52093-2024</t>
        </is>
      </c>
      <c r="B6183" s="1" t="n">
        <v>45608</v>
      </c>
      <c r="C6183" s="1" t="n">
        <v>45706</v>
      </c>
      <c r="D6183" t="inlineStr">
        <is>
          <t>UPPSALA LÄN</t>
        </is>
      </c>
      <c r="E6183" t="inlineStr">
        <is>
          <t>UPPSALA</t>
        </is>
      </c>
      <c r="F6183" t="inlineStr">
        <is>
          <t>Bergvik skog öst AB</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52388-2024</t>
        </is>
      </c>
      <c r="B6184" s="1" t="n">
        <v>45609</v>
      </c>
      <c r="C6184" s="1" t="n">
        <v>45706</v>
      </c>
      <c r="D6184" t="inlineStr">
        <is>
          <t>UPPSALA LÄN</t>
        </is>
      </c>
      <c r="E6184" t="inlineStr">
        <is>
          <t>ENKÖPING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52440-2024</t>
        </is>
      </c>
      <c r="B6185" s="1" t="n">
        <v>45609</v>
      </c>
      <c r="C6185" s="1" t="n">
        <v>45706</v>
      </c>
      <c r="D6185" t="inlineStr">
        <is>
          <t>UPPSALA LÄN</t>
        </is>
      </c>
      <c r="E6185" t="inlineStr">
        <is>
          <t>ÖSTHAMMAR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52456-2024</t>
        </is>
      </c>
      <c r="B6186" s="1" t="n">
        <v>45609</v>
      </c>
      <c r="C6186" s="1" t="n">
        <v>45706</v>
      </c>
      <c r="D6186" t="inlineStr">
        <is>
          <t>UPPSALA LÄN</t>
        </is>
      </c>
      <c r="E6186" t="inlineStr">
        <is>
          <t>UPPSALA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52468-2024</t>
        </is>
      </c>
      <c r="B6187" s="1" t="n">
        <v>45609</v>
      </c>
      <c r="C6187" s="1" t="n">
        <v>45706</v>
      </c>
      <c r="D6187" t="inlineStr">
        <is>
          <t>UPPSALA LÄN</t>
        </is>
      </c>
      <c r="E6187" t="inlineStr">
        <is>
          <t>ÖSTHAMMAR</t>
        </is>
      </c>
      <c r="F6187" t="inlineStr">
        <is>
          <t>Bergvik skog väst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52469-2024</t>
        </is>
      </c>
      <c r="B6188" s="1" t="n">
        <v>45609</v>
      </c>
      <c r="C6188" s="1" t="n">
        <v>45706</v>
      </c>
      <c r="D6188" t="inlineStr">
        <is>
          <t>UPPSALA LÄN</t>
        </is>
      </c>
      <c r="E6188" t="inlineStr">
        <is>
          <t>ÖSTHAMMAR</t>
        </is>
      </c>
      <c r="F6188" t="inlineStr">
        <is>
          <t>Bergvik skog väst AB</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52485-2024</t>
        </is>
      </c>
      <c r="B6189" s="1" t="n">
        <v>45609</v>
      </c>
      <c r="C6189" s="1" t="n">
        <v>45706</v>
      </c>
      <c r="D6189" t="inlineStr">
        <is>
          <t>UPPSALA LÄN</t>
        </is>
      </c>
      <c r="E6189" t="inlineStr">
        <is>
          <t>ÖSTHAMMAR</t>
        </is>
      </c>
      <c r="F6189" t="inlineStr">
        <is>
          <t>Bergvik skog väst AB</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52380-2024</t>
        </is>
      </c>
      <c r="B6190" s="1" t="n">
        <v>45609</v>
      </c>
      <c r="C6190" s="1" t="n">
        <v>45706</v>
      </c>
      <c r="D6190" t="inlineStr">
        <is>
          <t>UPPSALA LÄN</t>
        </is>
      </c>
      <c r="E6190" t="inlineStr">
        <is>
          <t>ENKÖPING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52466-2024</t>
        </is>
      </c>
      <c r="B6191" s="1" t="n">
        <v>45609</v>
      </c>
      <c r="C6191" s="1" t="n">
        <v>45706</v>
      </c>
      <c r="D6191" t="inlineStr">
        <is>
          <t>UPPSALA LÄN</t>
        </is>
      </c>
      <c r="E6191" t="inlineStr">
        <is>
          <t>UPPSALA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52470-2024</t>
        </is>
      </c>
      <c r="B6192" s="1" t="n">
        <v>45609</v>
      </c>
      <c r="C6192" s="1" t="n">
        <v>45706</v>
      </c>
      <c r="D6192" t="inlineStr">
        <is>
          <t>UPPSALA LÄN</t>
        </is>
      </c>
      <c r="E6192" t="inlineStr">
        <is>
          <t>ÖSTHAMMAR</t>
        </is>
      </c>
      <c r="F6192" t="inlineStr">
        <is>
          <t>Bergvik skog väst AB</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52478-2024</t>
        </is>
      </c>
      <c r="B6193" s="1" t="n">
        <v>45609</v>
      </c>
      <c r="C6193" s="1" t="n">
        <v>45706</v>
      </c>
      <c r="D6193" t="inlineStr">
        <is>
          <t>UPPSALA LÄN</t>
        </is>
      </c>
      <c r="E6193" t="inlineStr">
        <is>
          <t>ÖSTHAMMAR</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52534-2024</t>
        </is>
      </c>
      <c r="B6194" s="1" t="n">
        <v>45609</v>
      </c>
      <c r="C6194" s="1" t="n">
        <v>45706</v>
      </c>
      <c r="D6194" t="inlineStr">
        <is>
          <t>UPPSALA LÄN</t>
        </is>
      </c>
      <c r="E6194" t="inlineStr">
        <is>
          <t>ÖSTHAMMAR</t>
        </is>
      </c>
      <c r="F6194" t="inlineStr">
        <is>
          <t>Bergvik skog väst AB</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52793-2024</t>
        </is>
      </c>
      <c r="B6195" s="1" t="n">
        <v>45610</v>
      </c>
      <c r="C6195" s="1" t="n">
        <v>45706</v>
      </c>
      <c r="D6195" t="inlineStr">
        <is>
          <t>UPPSALA LÄN</t>
        </is>
      </c>
      <c r="E6195" t="inlineStr">
        <is>
          <t>HEBY</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52796-2024</t>
        </is>
      </c>
      <c r="B6196" s="1" t="n">
        <v>45610</v>
      </c>
      <c r="C6196" s="1" t="n">
        <v>45706</v>
      </c>
      <c r="D6196" t="inlineStr">
        <is>
          <t>UPPSALA LÄN</t>
        </is>
      </c>
      <c r="E6196" t="inlineStr">
        <is>
          <t>HEBY</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52872-2024</t>
        </is>
      </c>
      <c r="B6197" s="1" t="n">
        <v>45610</v>
      </c>
      <c r="C6197" s="1" t="n">
        <v>45706</v>
      </c>
      <c r="D6197" t="inlineStr">
        <is>
          <t>UPPSALA LÄN</t>
        </is>
      </c>
      <c r="E6197" t="inlineStr">
        <is>
          <t>TIERP</t>
        </is>
      </c>
      <c r="F6197" t="inlineStr">
        <is>
          <t>Bergvik skog öst AB</t>
        </is>
      </c>
      <c r="G6197" t="n">
        <v>13.2</v>
      </c>
      <c r="H6197" t="n">
        <v>0</v>
      </c>
      <c r="I6197" t="n">
        <v>0</v>
      </c>
      <c r="J6197" t="n">
        <v>0</v>
      </c>
      <c r="K6197" t="n">
        <v>0</v>
      </c>
      <c r="L6197" t="n">
        <v>0</v>
      </c>
      <c r="M6197" t="n">
        <v>0</v>
      </c>
      <c r="N6197" t="n">
        <v>0</v>
      </c>
      <c r="O6197" t="n">
        <v>0</v>
      </c>
      <c r="P6197" t="n">
        <v>0</v>
      </c>
      <c r="Q6197" t="n">
        <v>0</v>
      </c>
      <c r="R6197" s="2" t="inlineStr"/>
    </row>
    <row r="6198" ht="15" customHeight="1">
      <c r="A6198" t="inlineStr">
        <is>
          <t>A 52890-2024</t>
        </is>
      </c>
      <c r="B6198" s="1" t="n">
        <v>45610</v>
      </c>
      <c r="C6198" s="1" t="n">
        <v>45706</v>
      </c>
      <c r="D6198" t="inlineStr">
        <is>
          <t>UPPSALA LÄN</t>
        </is>
      </c>
      <c r="E6198" t="inlineStr">
        <is>
          <t>ÖSTHAMMAR</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53158-2024</t>
        </is>
      </c>
      <c r="B6199" s="1" t="n">
        <v>45611</v>
      </c>
      <c r="C6199" s="1" t="n">
        <v>45706</v>
      </c>
      <c r="D6199" t="inlineStr">
        <is>
          <t>UPPSALA LÄN</t>
        </is>
      </c>
      <c r="E6199" t="inlineStr">
        <is>
          <t>TIERP</t>
        </is>
      </c>
      <c r="F6199" t="inlineStr">
        <is>
          <t>Bergvik skog öst AB</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53614-2024</t>
        </is>
      </c>
      <c r="B6200" s="1" t="n">
        <v>45611</v>
      </c>
      <c r="C6200" s="1" t="n">
        <v>45706</v>
      </c>
      <c r="D6200" t="inlineStr">
        <is>
          <t>UPPSALA LÄN</t>
        </is>
      </c>
      <c r="E6200" t="inlineStr">
        <is>
          <t>UPPSALA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53161-2024</t>
        </is>
      </c>
      <c r="B6201" s="1" t="n">
        <v>45611</v>
      </c>
      <c r="C6201" s="1" t="n">
        <v>45706</v>
      </c>
      <c r="D6201" t="inlineStr">
        <is>
          <t>UPPSALA LÄN</t>
        </is>
      </c>
      <c r="E6201" t="inlineStr">
        <is>
          <t>TIERP</t>
        </is>
      </c>
      <c r="F6201" t="inlineStr">
        <is>
          <t>Bergvik skog väst AB</t>
        </is>
      </c>
      <c r="G6201" t="n">
        <v>14.9</v>
      </c>
      <c r="H6201" t="n">
        <v>0</v>
      </c>
      <c r="I6201" t="n">
        <v>0</v>
      </c>
      <c r="J6201" t="n">
        <v>0</v>
      </c>
      <c r="K6201" t="n">
        <v>0</v>
      </c>
      <c r="L6201" t="n">
        <v>0</v>
      </c>
      <c r="M6201" t="n">
        <v>0</v>
      </c>
      <c r="N6201" t="n">
        <v>0</v>
      </c>
      <c r="O6201" t="n">
        <v>0</v>
      </c>
      <c r="P6201" t="n">
        <v>0</v>
      </c>
      <c r="Q6201" t="n">
        <v>0</v>
      </c>
      <c r="R6201" s="2" t="inlineStr"/>
    </row>
    <row r="6202" ht="15" customHeight="1">
      <c r="A6202" t="inlineStr">
        <is>
          <t>A 53095-2024</t>
        </is>
      </c>
      <c r="B6202" s="1" t="n">
        <v>45611</v>
      </c>
      <c r="C6202" s="1" t="n">
        <v>45706</v>
      </c>
      <c r="D6202" t="inlineStr">
        <is>
          <t>UPPSALA LÄN</t>
        </is>
      </c>
      <c r="E6202" t="inlineStr">
        <is>
          <t>ÖSTHAMMAR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53058-2024</t>
        </is>
      </c>
      <c r="B6203" s="1" t="n">
        <v>45611</v>
      </c>
      <c r="C6203" s="1" t="n">
        <v>45706</v>
      </c>
      <c r="D6203" t="inlineStr">
        <is>
          <t>UPPSALA LÄN</t>
        </is>
      </c>
      <c r="E6203" t="inlineStr">
        <is>
          <t>UPPSALA</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53615-2024</t>
        </is>
      </c>
      <c r="B6204" s="1" t="n">
        <v>45611</v>
      </c>
      <c r="C6204" s="1" t="n">
        <v>45706</v>
      </c>
      <c r="D6204" t="inlineStr">
        <is>
          <t>UPPSALA LÄN</t>
        </is>
      </c>
      <c r="E6204" t="inlineStr">
        <is>
          <t>UPPSALA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53365-2024</t>
        </is>
      </c>
      <c r="B6205" s="1" t="n">
        <v>45614</v>
      </c>
      <c r="C6205" s="1" t="n">
        <v>45706</v>
      </c>
      <c r="D6205" t="inlineStr">
        <is>
          <t>UPPSALA LÄN</t>
        </is>
      </c>
      <c r="E6205" t="inlineStr">
        <is>
          <t>UPPSALA</t>
        </is>
      </c>
      <c r="F6205" t="inlineStr">
        <is>
          <t>Allmännings- och besparingsskogar</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53587-2024</t>
        </is>
      </c>
      <c r="B6206" s="1" t="n">
        <v>45614</v>
      </c>
      <c r="C6206" s="1" t="n">
        <v>45706</v>
      </c>
      <c r="D6206" t="inlineStr">
        <is>
          <t>UPPSALA LÄN</t>
        </is>
      </c>
      <c r="E6206" t="inlineStr">
        <is>
          <t>ENKÖPING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53588-2024</t>
        </is>
      </c>
      <c r="B6207" s="1" t="n">
        <v>45614</v>
      </c>
      <c r="C6207" s="1" t="n">
        <v>45706</v>
      </c>
      <c r="D6207" t="inlineStr">
        <is>
          <t>UPPSALA LÄN</t>
        </is>
      </c>
      <c r="E6207" t="inlineStr">
        <is>
          <t>UPPSALA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53589-2024</t>
        </is>
      </c>
      <c r="B6208" s="1" t="n">
        <v>45614</v>
      </c>
      <c r="C6208" s="1" t="n">
        <v>45706</v>
      </c>
      <c r="D6208" t="inlineStr">
        <is>
          <t>UPPSALA LÄN</t>
        </is>
      </c>
      <c r="E6208" t="inlineStr">
        <is>
          <t>UPPSALA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53569-2024</t>
        </is>
      </c>
      <c r="B6209" s="1" t="n">
        <v>45614</v>
      </c>
      <c r="C6209" s="1" t="n">
        <v>45706</v>
      </c>
      <c r="D6209" t="inlineStr">
        <is>
          <t>UPPSALA LÄN</t>
        </is>
      </c>
      <c r="E6209" t="inlineStr">
        <is>
          <t>UPPSALA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53586-2024</t>
        </is>
      </c>
      <c r="B6210" s="1" t="n">
        <v>45614</v>
      </c>
      <c r="C6210" s="1" t="n">
        <v>45706</v>
      </c>
      <c r="D6210" t="inlineStr">
        <is>
          <t>UPPSALA LÄN</t>
        </is>
      </c>
      <c r="E6210" t="inlineStr">
        <is>
          <t>ENKÖPING</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53590-2024</t>
        </is>
      </c>
      <c r="B6211" s="1" t="n">
        <v>45614</v>
      </c>
      <c r="C6211" s="1" t="n">
        <v>45706</v>
      </c>
      <c r="D6211" t="inlineStr">
        <is>
          <t>UPPSALA LÄN</t>
        </is>
      </c>
      <c r="E6211" t="inlineStr">
        <is>
          <t>ENKÖPING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53557-2024</t>
        </is>
      </c>
      <c r="B6212" s="1" t="n">
        <v>45614</v>
      </c>
      <c r="C6212" s="1" t="n">
        <v>45706</v>
      </c>
      <c r="D6212" t="inlineStr">
        <is>
          <t>UPPSALA LÄN</t>
        </is>
      </c>
      <c r="E6212" t="inlineStr">
        <is>
          <t>ENKÖPING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53384-2024</t>
        </is>
      </c>
      <c r="B6213" s="1" t="n">
        <v>45614</v>
      </c>
      <c r="C6213" s="1" t="n">
        <v>45706</v>
      </c>
      <c r="D6213" t="inlineStr">
        <is>
          <t>UPPSALA LÄN</t>
        </is>
      </c>
      <c r="E6213" t="inlineStr">
        <is>
          <t>UPPSALA</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53348-2024</t>
        </is>
      </c>
      <c r="B6214" s="1" t="n">
        <v>45614</v>
      </c>
      <c r="C6214" s="1" t="n">
        <v>45706</v>
      </c>
      <c r="D6214" t="inlineStr">
        <is>
          <t>UPPSALA LÄN</t>
        </is>
      </c>
      <c r="E6214" t="inlineStr">
        <is>
          <t>ENKÖPING</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53266-2024</t>
        </is>
      </c>
      <c r="B6215" s="1" t="n">
        <v>45614</v>
      </c>
      <c r="C6215" s="1" t="n">
        <v>45706</v>
      </c>
      <c r="D6215" t="inlineStr">
        <is>
          <t>UPPSALA LÄN</t>
        </is>
      </c>
      <c r="E6215" t="inlineStr">
        <is>
          <t>UPPSALA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53859-2024</t>
        </is>
      </c>
      <c r="B6216" s="1" t="n">
        <v>45614</v>
      </c>
      <c r="C6216" s="1" t="n">
        <v>45706</v>
      </c>
      <c r="D6216" t="inlineStr">
        <is>
          <t>UPPSALA LÄN</t>
        </is>
      </c>
      <c r="E6216" t="inlineStr">
        <is>
          <t>HÅBO</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53913-2024</t>
        </is>
      </c>
      <c r="B6217" s="1" t="n">
        <v>45615</v>
      </c>
      <c r="C6217" s="1" t="n">
        <v>45706</v>
      </c>
      <c r="D6217" t="inlineStr">
        <is>
          <t>UPPSALA LÄN</t>
        </is>
      </c>
      <c r="E6217" t="inlineStr">
        <is>
          <t>ÖSTHAMMAR</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53921-2024</t>
        </is>
      </c>
      <c r="B6218" s="1" t="n">
        <v>45615</v>
      </c>
      <c r="C6218" s="1" t="n">
        <v>45706</v>
      </c>
      <c r="D6218" t="inlineStr">
        <is>
          <t>UPPSALA LÄN</t>
        </is>
      </c>
      <c r="E6218" t="inlineStr">
        <is>
          <t>UPPSALA</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54040-2024</t>
        </is>
      </c>
      <c r="B6219" s="1" t="n">
        <v>45616</v>
      </c>
      <c r="C6219" s="1" t="n">
        <v>45706</v>
      </c>
      <c r="D6219" t="inlineStr">
        <is>
          <t>UPPSALA LÄN</t>
        </is>
      </c>
      <c r="E6219" t="inlineStr">
        <is>
          <t>HEBY</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54204-2024</t>
        </is>
      </c>
      <c r="B6220" s="1" t="n">
        <v>45616</v>
      </c>
      <c r="C6220" s="1" t="n">
        <v>45706</v>
      </c>
      <c r="D6220" t="inlineStr">
        <is>
          <t>UPPSALA LÄN</t>
        </is>
      </c>
      <c r="E6220" t="inlineStr">
        <is>
          <t>ÄLVKARLEBY</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54010-2024</t>
        </is>
      </c>
      <c r="B6221" s="1" t="n">
        <v>45616</v>
      </c>
      <c r="C6221" s="1" t="n">
        <v>45706</v>
      </c>
      <c r="D6221" t="inlineStr">
        <is>
          <t>UPPSALA LÄN</t>
        </is>
      </c>
      <c r="E6221" t="inlineStr">
        <is>
          <t>ENKÖPING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54299-2024</t>
        </is>
      </c>
      <c r="B6222" s="1" t="n">
        <v>45617</v>
      </c>
      <c r="C6222" s="1" t="n">
        <v>45706</v>
      </c>
      <c r="D6222" t="inlineStr">
        <is>
          <t>UPPSALA LÄN</t>
        </is>
      </c>
      <c r="E6222" t="inlineStr">
        <is>
          <t>TIERP</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54311-2024</t>
        </is>
      </c>
      <c r="B6223" s="1" t="n">
        <v>45617</v>
      </c>
      <c r="C6223" s="1" t="n">
        <v>45706</v>
      </c>
      <c r="D6223" t="inlineStr">
        <is>
          <t>UPPSALA LÄN</t>
        </is>
      </c>
      <c r="E6223" t="inlineStr">
        <is>
          <t>KNIVSTA</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54310-2024</t>
        </is>
      </c>
      <c r="B6224" s="1" t="n">
        <v>45617</v>
      </c>
      <c r="C6224" s="1" t="n">
        <v>45706</v>
      </c>
      <c r="D6224" t="inlineStr">
        <is>
          <t>UPPSALA LÄN</t>
        </is>
      </c>
      <c r="E6224" t="inlineStr">
        <is>
          <t>KNIVSTA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54308-2024</t>
        </is>
      </c>
      <c r="B6225" s="1" t="n">
        <v>45617</v>
      </c>
      <c r="C6225" s="1" t="n">
        <v>45706</v>
      </c>
      <c r="D6225" t="inlineStr">
        <is>
          <t>UPPSALA LÄN</t>
        </is>
      </c>
      <c r="E6225" t="inlineStr">
        <is>
          <t>KNIVSTA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54397-2024</t>
        </is>
      </c>
      <c r="B6226" s="1" t="n">
        <v>45617</v>
      </c>
      <c r="C6226" s="1" t="n">
        <v>45706</v>
      </c>
      <c r="D6226" t="inlineStr">
        <is>
          <t>UPPSALA LÄN</t>
        </is>
      </c>
      <c r="E6226" t="inlineStr">
        <is>
          <t>ÖSTHAMMAR</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54402-2024</t>
        </is>
      </c>
      <c r="B6227" s="1" t="n">
        <v>45617</v>
      </c>
      <c r="C6227" s="1" t="n">
        <v>45706</v>
      </c>
      <c r="D6227" t="inlineStr">
        <is>
          <t>UPPSALA LÄN</t>
        </is>
      </c>
      <c r="E6227" t="inlineStr">
        <is>
          <t>ÖSTHAMMAR</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54594-2024</t>
        </is>
      </c>
      <c r="B6228" s="1" t="n">
        <v>45617</v>
      </c>
      <c r="C6228" s="1" t="n">
        <v>45706</v>
      </c>
      <c r="D6228" t="inlineStr">
        <is>
          <t>UPPSALA LÄN</t>
        </is>
      </c>
      <c r="E6228" t="inlineStr">
        <is>
          <t>HEBY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54368-2024</t>
        </is>
      </c>
      <c r="B6229" s="1" t="n">
        <v>45617</v>
      </c>
      <c r="C6229" s="1" t="n">
        <v>45706</v>
      </c>
      <c r="D6229" t="inlineStr">
        <is>
          <t>UPPSALA LÄN</t>
        </is>
      </c>
      <c r="E6229" t="inlineStr">
        <is>
          <t>HEBY</t>
        </is>
      </c>
      <c r="F6229" t="inlineStr">
        <is>
          <t>Allmännings- och besparingsskogar</t>
        </is>
      </c>
      <c r="G6229" t="n">
        <v>13.9</v>
      </c>
      <c r="H6229" t="n">
        <v>0</v>
      </c>
      <c r="I6229" t="n">
        <v>0</v>
      </c>
      <c r="J6229" t="n">
        <v>0</v>
      </c>
      <c r="K6229" t="n">
        <v>0</v>
      </c>
      <c r="L6229" t="n">
        <v>0</v>
      </c>
      <c r="M6229" t="n">
        <v>0</v>
      </c>
      <c r="N6229" t="n">
        <v>0</v>
      </c>
      <c r="O6229" t="n">
        <v>0</v>
      </c>
      <c r="P6229" t="n">
        <v>0</v>
      </c>
      <c r="Q6229" t="n">
        <v>0</v>
      </c>
      <c r="R6229" s="2" t="inlineStr"/>
    </row>
    <row r="6230" ht="15" customHeight="1">
      <c r="A6230" t="inlineStr">
        <is>
          <t>A 54512-2024</t>
        </is>
      </c>
      <c r="B6230" s="1" t="n">
        <v>45617</v>
      </c>
      <c r="C6230" s="1" t="n">
        <v>45706</v>
      </c>
      <c r="D6230" t="inlineStr">
        <is>
          <t>UPPSALA LÄN</t>
        </is>
      </c>
      <c r="E6230" t="inlineStr">
        <is>
          <t>UPPSALA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54588-2024</t>
        </is>
      </c>
      <c r="B6231" s="1" t="n">
        <v>45617</v>
      </c>
      <c r="C6231" s="1" t="n">
        <v>45706</v>
      </c>
      <c r="D6231" t="inlineStr">
        <is>
          <t>UPPSALA LÄN</t>
        </is>
      </c>
      <c r="E6231" t="inlineStr">
        <is>
          <t>ENKÖPING</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54437-2024</t>
        </is>
      </c>
      <c r="B6232" s="1" t="n">
        <v>45617</v>
      </c>
      <c r="C6232" s="1" t="n">
        <v>45706</v>
      </c>
      <c r="D6232" t="inlineStr">
        <is>
          <t>UPPSALA LÄN</t>
        </is>
      </c>
      <c r="E6232" t="inlineStr">
        <is>
          <t>ÖSTHAMMAR</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54449-2024</t>
        </is>
      </c>
      <c r="B6233" s="1" t="n">
        <v>45617</v>
      </c>
      <c r="C6233" s="1" t="n">
        <v>45706</v>
      </c>
      <c r="D6233" t="inlineStr">
        <is>
          <t>UPPSALA LÄN</t>
        </is>
      </c>
      <c r="E6233" t="inlineStr">
        <is>
          <t>TIERP</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54469-2024</t>
        </is>
      </c>
      <c r="B6234" s="1" t="n">
        <v>45617</v>
      </c>
      <c r="C6234" s="1" t="n">
        <v>45706</v>
      </c>
      <c r="D6234" t="inlineStr">
        <is>
          <t>UPPSALA LÄN</t>
        </is>
      </c>
      <c r="E6234" t="inlineStr">
        <is>
          <t>TIERP</t>
        </is>
      </c>
      <c r="F6234" t="inlineStr">
        <is>
          <t>Bergvik skog öst AB</t>
        </is>
      </c>
      <c r="G6234" t="n">
        <v>12.4</v>
      </c>
      <c r="H6234" t="n">
        <v>0</v>
      </c>
      <c r="I6234" t="n">
        <v>0</v>
      </c>
      <c r="J6234" t="n">
        <v>0</v>
      </c>
      <c r="K6234" t="n">
        <v>0</v>
      </c>
      <c r="L6234" t="n">
        <v>0</v>
      </c>
      <c r="M6234" t="n">
        <v>0</v>
      </c>
      <c r="N6234" t="n">
        <v>0</v>
      </c>
      <c r="O6234" t="n">
        <v>0</v>
      </c>
      <c r="P6234" t="n">
        <v>0</v>
      </c>
      <c r="Q6234" t="n">
        <v>0</v>
      </c>
      <c r="R6234" s="2" t="inlineStr"/>
    </row>
    <row r="6235" ht="15" customHeight="1">
      <c r="A6235" t="inlineStr">
        <is>
          <t>A 54924-2024</t>
        </is>
      </c>
      <c r="B6235" s="1" t="n">
        <v>45618</v>
      </c>
      <c r="C6235" s="1" t="n">
        <v>45706</v>
      </c>
      <c r="D6235" t="inlineStr">
        <is>
          <t>UPPSALA LÄN</t>
        </is>
      </c>
      <c r="E6235" t="inlineStr">
        <is>
          <t>UPPSALA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54753-2024</t>
        </is>
      </c>
      <c r="B6236" s="1" t="n">
        <v>45618</v>
      </c>
      <c r="C6236" s="1" t="n">
        <v>45706</v>
      </c>
      <c r="D6236" t="inlineStr">
        <is>
          <t>UPPSALA LÄN</t>
        </is>
      </c>
      <c r="E6236" t="inlineStr">
        <is>
          <t>TIERP</t>
        </is>
      </c>
      <c r="F6236" t="inlineStr">
        <is>
          <t>Bergvik skog öst AB</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54770-2024</t>
        </is>
      </c>
      <c r="B6237" s="1" t="n">
        <v>45618</v>
      </c>
      <c r="C6237" s="1" t="n">
        <v>45706</v>
      </c>
      <c r="D6237" t="inlineStr">
        <is>
          <t>UPPSALA LÄN</t>
        </is>
      </c>
      <c r="E6237" t="inlineStr">
        <is>
          <t>TIERP</t>
        </is>
      </c>
      <c r="F6237" t="inlineStr">
        <is>
          <t>Bergvik skog öst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54759-2024</t>
        </is>
      </c>
      <c r="B6238" s="1" t="n">
        <v>45618</v>
      </c>
      <c r="C6238" s="1" t="n">
        <v>45706</v>
      </c>
      <c r="D6238" t="inlineStr">
        <is>
          <t>UPPSALA LÄN</t>
        </is>
      </c>
      <c r="E6238" t="inlineStr">
        <is>
          <t>ÖSTHAMMAR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54934-2024</t>
        </is>
      </c>
      <c r="B6239" s="1" t="n">
        <v>45618</v>
      </c>
      <c r="C6239" s="1" t="n">
        <v>45706</v>
      </c>
      <c r="D6239" t="inlineStr">
        <is>
          <t>UPPSALA LÄN</t>
        </is>
      </c>
      <c r="E6239" t="inlineStr">
        <is>
          <t>ÖSTHAMMAR</t>
        </is>
      </c>
      <c r="F6239" t="inlineStr">
        <is>
          <t>Bergvik skog öst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54776-2024</t>
        </is>
      </c>
      <c r="B6240" s="1" t="n">
        <v>45618</v>
      </c>
      <c r="C6240" s="1" t="n">
        <v>45706</v>
      </c>
      <c r="D6240" t="inlineStr">
        <is>
          <t>UPPSALA LÄN</t>
        </is>
      </c>
      <c r="E6240" t="inlineStr">
        <is>
          <t>ENKÖPING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54935-2024</t>
        </is>
      </c>
      <c r="B6241" s="1" t="n">
        <v>45618</v>
      </c>
      <c r="C6241" s="1" t="n">
        <v>45706</v>
      </c>
      <c r="D6241" t="inlineStr">
        <is>
          <t>UPPSALA LÄN</t>
        </is>
      </c>
      <c r="E6241" t="inlineStr">
        <is>
          <t>ÖSTHAMMAR</t>
        </is>
      </c>
      <c r="F6241" t="inlineStr">
        <is>
          <t>Bergvik skog öst AB</t>
        </is>
      </c>
      <c r="G6241" t="n">
        <v>13.4</v>
      </c>
      <c r="H6241" t="n">
        <v>0</v>
      </c>
      <c r="I6241" t="n">
        <v>0</v>
      </c>
      <c r="J6241" t="n">
        <v>0</v>
      </c>
      <c r="K6241" t="n">
        <v>0</v>
      </c>
      <c r="L6241" t="n">
        <v>0</v>
      </c>
      <c r="M6241" t="n">
        <v>0</v>
      </c>
      <c r="N6241" t="n">
        <v>0</v>
      </c>
      <c r="O6241" t="n">
        <v>0</v>
      </c>
      <c r="P6241" t="n">
        <v>0</v>
      </c>
      <c r="Q6241" t="n">
        <v>0</v>
      </c>
      <c r="R6241" s="2" t="inlineStr"/>
    </row>
    <row r="6242" ht="15" customHeight="1">
      <c r="A6242" t="inlineStr">
        <is>
          <t>A 55277-2024</t>
        </is>
      </c>
      <c r="B6242" s="1" t="n">
        <v>45621</v>
      </c>
      <c r="C6242" s="1" t="n">
        <v>45706</v>
      </c>
      <c r="D6242" t="inlineStr">
        <is>
          <t>UPPSALA LÄN</t>
        </is>
      </c>
      <c r="E6242" t="inlineStr">
        <is>
          <t>TIERP</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55139-2024</t>
        </is>
      </c>
      <c r="B6243" s="1" t="n">
        <v>45621</v>
      </c>
      <c r="C6243" s="1" t="n">
        <v>45706</v>
      </c>
      <c r="D6243" t="inlineStr">
        <is>
          <t>UPPSALA LÄN</t>
        </is>
      </c>
      <c r="E6243" t="inlineStr">
        <is>
          <t>ÄLVKARLEBY</t>
        </is>
      </c>
      <c r="F6243" t="inlineStr">
        <is>
          <t>Bergvik skog väst AB</t>
        </is>
      </c>
      <c r="G6243" t="n">
        <v>10.4</v>
      </c>
      <c r="H6243" t="n">
        <v>0</v>
      </c>
      <c r="I6243" t="n">
        <v>0</v>
      </c>
      <c r="J6243" t="n">
        <v>0</v>
      </c>
      <c r="K6243" t="n">
        <v>0</v>
      </c>
      <c r="L6243" t="n">
        <v>0</v>
      </c>
      <c r="M6243" t="n">
        <v>0</v>
      </c>
      <c r="N6243" t="n">
        <v>0</v>
      </c>
      <c r="O6243" t="n">
        <v>0</v>
      </c>
      <c r="P6243" t="n">
        <v>0</v>
      </c>
      <c r="Q6243" t="n">
        <v>0</v>
      </c>
      <c r="R6243" s="2" t="inlineStr"/>
    </row>
    <row r="6244" ht="15" customHeight="1">
      <c r="A6244" t="inlineStr">
        <is>
          <t>A 55261-2024</t>
        </is>
      </c>
      <c r="B6244" s="1" t="n">
        <v>45621</v>
      </c>
      <c r="C6244" s="1" t="n">
        <v>45706</v>
      </c>
      <c r="D6244" t="inlineStr">
        <is>
          <t>UPPSALA LÄN</t>
        </is>
      </c>
      <c r="E6244" t="inlineStr">
        <is>
          <t>HEBY</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55093-2024</t>
        </is>
      </c>
      <c r="B6245" s="1" t="n">
        <v>45621</v>
      </c>
      <c r="C6245" s="1" t="n">
        <v>45706</v>
      </c>
      <c r="D6245" t="inlineStr">
        <is>
          <t>UPPSALA LÄN</t>
        </is>
      </c>
      <c r="E6245" t="inlineStr">
        <is>
          <t>ÖSTHAMMAR</t>
        </is>
      </c>
      <c r="F6245" t="inlineStr">
        <is>
          <t>Sveaskog</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55097-2024</t>
        </is>
      </c>
      <c r="B6246" s="1" t="n">
        <v>45621</v>
      </c>
      <c r="C6246" s="1" t="n">
        <v>45706</v>
      </c>
      <c r="D6246" t="inlineStr">
        <is>
          <t>UPPSALA LÄN</t>
        </is>
      </c>
      <c r="E6246" t="inlineStr">
        <is>
          <t>ÖSTHAMMAR</t>
        </is>
      </c>
      <c r="F6246" t="inlineStr">
        <is>
          <t>Sveaskog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55100-2024</t>
        </is>
      </c>
      <c r="B6247" s="1" t="n">
        <v>45621</v>
      </c>
      <c r="C6247" s="1" t="n">
        <v>45706</v>
      </c>
      <c r="D6247" t="inlineStr">
        <is>
          <t>UPPSALA LÄN</t>
        </is>
      </c>
      <c r="E6247" t="inlineStr">
        <is>
          <t>ÖSTHAMMAR</t>
        </is>
      </c>
      <c r="F6247" t="inlineStr">
        <is>
          <t>Sveaskog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55055-2024</t>
        </is>
      </c>
      <c r="B6248" s="1" t="n">
        <v>45621</v>
      </c>
      <c r="C6248" s="1" t="n">
        <v>45706</v>
      </c>
      <c r="D6248" t="inlineStr">
        <is>
          <t>UPPSALA LÄN</t>
        </is>
      </c>
      <c r="E6248" t="inlineStr">
        <is>
          <t>HEBY</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55234-2024</t>
        </is>
      </c>
      <c r="B6249" s="1" t="n">
        <v>45621</v>
      </c>
      <c r="C6249" s="1" t="n">
        <v>45706</v>
      </c>
      <c r="D6249" t="inlineStr">
        <is>
          <t>UPPSALA LÄN</t>
        </is>
      </c>
      <c r="E6249" t="inlineStr">
        <is>
          <t>TIERP</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55086-2024</t>
        </is>
      </c>
      <c r="B6250" s="1" t="n">
        <v>45621</v>
      </c>
      <c r="C6250" s="1" t="n">
        <v>45706</v>
      </c>
      <c r="D6250" t="inlineStr">
        <is>
          <t>UPPSALA LÄN</t>
        </is>
      </c>
      <c r="E6250" t="inlineStr">
        <is>
          <t>ÖSTHAMMAR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55090-2024</t>
        </is>
      </c>
      <c r="B6251" s="1" t="n">
        <v>45621</v>
      </c>
      <c r="C6251" s="1" t="n">
        <v>45706</v>
      </c>
      <c r="D6251" t="inlineStr">
        <is>
          <t>UPPSALA LÄN</t>
        </is>
      </c>
      <c r="E6251" t="inlineStr">
        <is>
          <t>ÖSTHAMMAR</t>
        </is>
      </c>
      <c r="F6251" t="inlineStr">
        <is>
          <t>Sveaskog</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55079-2024</t>
        </is>
      </c>
      <c r="B6252" s="1" t="n">
        <v>45621</v>
      </c>
      <c r="C6252" s="1" t="n">
        <v>45706</v>
      </c>
      <c r="D6252" t="inlineStr">
        <is>
          <t>UPPSALA LÄN</t>
        </is>
      </c>
      <c r="E6252" t="inlineStr">
        <is>
          <t>ÖSTHAMMAR</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55471-2024</t>
        </is>
      </c>
      <c r="B6253" s="1" t="n">
        <v>45622</v>
      </c>
      <c r="C6253" s="1" t="n">
        <v>45706</v>
      </c>
      <c r="D6253" t="inlineStr">
        <is>
          <t>UPPSALA LÄN</t>
        </is>
      </c>
      <c r="E6253" t="inlineStr">
        <is>
          <t>HEBY</t>
        </is>
      </c>
      <c r="G6253" t="n">
        <v>7.8</v>
      </c>
      <c r="H6253" t="n">
        <v>0</v>
      </c>
      <c r="I6253" t="n">
        <v>0</v>
      </c>
      <c r="J6253" t="n">
        <v>0</v>
      </c>
      <c r="K6253" t="n">
        <v>0</v>
      </c>
      <c r="L6253" t="n">
        <v>0</v>
      </c>
      <c r="M6253" t="n">
        <v>0</v>
      </c>
      <c r="N6253" t="n">
        <v>0</v>
      </c>
      <c r="O6253" t="n">
        <v>0</v>
      </c>
      <c r="P6253" t="n">
        <v>0</v>
      </c>
      <c r="Q6253" t="n">
        <v>0</v>
      </c>
      <c r="R6253" s="2" t="inlineStr"/>
    </row>
    <row r="6254" ht="15" customHeight="1">
      <c r="A6254" t="inlineStr">
        <is>
          <t>A 55473-2024</t>
        </is>
      </c>
      <c r="B6254" s="1" t="n">
        <v>45622</v>
      </c>
      <c r="C6254" s="1" t="n">
        <v>45706</v>
      </c>
      <c r="D6254" t="inlineStr">
        <is>
          <t>UPPSALA LÄN</t>
        </is>
      </c>
      <c r="E6254" t="inlineStr">
        <is>
          <t>HEBY</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55547-2024</t>
        </is>
      </c>
      <c r="B6255" s="1" t="n">
        <v>45622</v>
      </c>
      <c r="C6255" s="1" t="n">
        <v>45706</v>
      </c>
      <c r="D6255" t="inlineStr">
        <is>
          <t>UPPSALA LÄN</t>
        </is>
      </c>
      <c r="E6255" t="inlineStr">
        <is>
          <t>ÄLVKARLEBY</t>
        </is>
      </c>
      <c r="F6255" t="inlineStr">
        <is>
          <t>Bergvik skog väst AB</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55555-2024</t>
        </is>
      </c>
      <c r="B6256" s="1" t="n">
        <v>45622</v>
      </c>
      <c r="C6256" s="1" t="n">
        <v>45706</v>
      </c>
      <c r="D6256" t="inlineStr">
        <is>
          <t>UPPSALA LÄN</t>
        </is>
      </c>
      <c r="E6256" t="inlineStr">
        <is>
          <t>ÄLVKARLEBY</t>
        </is>
      </c>
      <c r="F6256" t="inlineStr">
        <is>
          <t>Bergvik skog väst AB</t>
        </is>
      </c>
      <c r="G6256" t="n">
        <v>0.7</v>
      </c>
      <c r="H6256" t="n">
        <v>0</v>
      </c>
      <c r="I6256" t="n">
        <v>0</v>
      </c>
      <c r="J6256" t="n">
        <v>0</v>
      </c>
      <c r="K6256" t="n">
        <v>0</v>
      </c>
      <c r="L6256" t="n">
        <v>0</v>
      </c>
      <c r="M6256" t="n">
        <v>0</v>
      </c>
      <c r="N6256" t="n">
        <v>0</v>
      </c>
      <c r="O6256" t="n">
        <v>0</v>
      </c>
      <c r="P6256" t="n">
        <v>0</v>
      </c>
      <c r="Q6256" t="n">
        <v>0</v>
      </c>
      <c r="R6256" s="2" t="inlineStr"/>
      <c r="U6256">
        <f>HYPERLINK("https://klasma.github.io/Logging_0319/knärot/A 55555-2024 karta knärot.png", "A 55555-2024")</f>
        <v/>
      </c>
      <c r="V6256">
        <f>HYPERLINK("https://klasma.github.io/Logging_0319/klagomål/A 55555-2024 FSC-klagomål.docx", "A 55555-2024")</f>
        <v/>
      </c>
      <c r="W6256">
        <f>HYPERLINK("https://klasma.github.io/Logging_0319/klagomålsmail/A 55555-2024 FSC-klagomål mail.docx", "A 55555-2024")</f>
        <v/>
      </c>
      <c r="X6256">
        <f>HYPERLINK("https://klasma.github.io/Logging_0319/tillsyn/A 55555-2024 tillsynsbegäran.docx", "A 55555-2024")</f>
        <v/>
      </c>
      <c r="Y6256">
        <f>HYPERLINK("https://klasma.github.io/Logging_0319/tillsynsmail/A 55555-2024 tillsynsbegäran mail.docx", "A 55555-2024")</f>
        <v/>
      </c>
    </row>
    <row r="6257" ht="15" customHeight="1">
      <c r="A6257" t="inlineStr">
        <is>
          <t>A 55678-2024</t>
        </is>
      </c>
      <c r="B6257" s="1" t="n">
        <v>45622</v>
      </c>
      <c r="C6257" s="1" t="n">
        <v>45706</v>
      </c>
      <c r="D6257" t="inlineStr">
        <is>
          <t>UPPSALA LÄN</t>
        </is>
      </c>
      <c r="E6257" t="inlineStr">
        <is>
          <t>TIERP</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55560-2024</t>
        </is>
      </c>
      <c r="B6258" s="1" t="n">
        <v>45622</v>
      </c>
      <c r="C6258" s="1" t="n">
        <v>45706</v>
      </c>
      <c r="D6258" t="inlineStr">
        <is>
          <t>UPPSALA LÄN</t>
        </is>
      </c>
      <c r="E6258" t="inlineStr">
        <is>
          <t>ÄLVKARLEBY</t>
        </is>
      </c>
      <c r="F6258" t="inlineStr">
        <is>
          <t>Bergvik skog väst AB</t>
        </is>
      </c>
      <c r="G6258" t="n">
        <v>1</v>
      </c>
      <c r="H6258" t="n">
        <v>0</v>
      </c>
      <c r="I6258" t="n">
        <v>0</v>
      </c>
      <c r="J6258" t="n">
        <v>0</v>
      </c>
      <c r="K6258" t="n">
        <v>0</v>
      </c>
      <c r="L6258" t="n">
        <v>0</v>
      </c>
      <c r="M6258" t="n">
        <v>0</v>
      </c>
      <c r="N6258" t="n">
        <v>0</v>
      </c>
      <c r="O6258" t="n">
        <v>0</v>
      </c>
      <c r="P6258" t="n">
        <v>0</v>
      </c>
      <c r="Q6258" t="n">
        <v>0</v>
      </c>
      <c r="R6258" s="2" t="inlineStr"/>
      <c r="U6258">
        <f>HYPERLINK("https://klasma.github.io/Logging_0319/knärot/A 55560-2024 karta knärot.png", "A 55560-2024")</f>
        <v/>
      </c>
      <c r="V6258">
        <f>HYPERLINK("https://klasma.github.io/Logging_0319/klagomål/A 55560-2024 FSC-klagomål.docx", "A 55560-2024")</f>
        <v/>
      </c>
      <c r="W6258">
        <f>HYPERLINK("https://klasma.github.io/Logging_0319/klagomålsmail/A 55560-2024 FSC-klagomål mail.docx", "A 55560-2024")</f>
        <v/>
      </c>
      <c r="X6258">
        <f>HYPERLINK("https://klasma.github.io/Logging_0319/tillsyn/A 55560-2024 tillsynsbegäran.docx", "A 55560-2024")</f>
        <v/>
      </c>
      <c r="Y6258">
        <f>HYPERLINK("https://klasma.github.io/Logging_0319/tillsynsmail/A 55560-2024 tillsynsbegäran mail.docx", "A 55560-2024")</f>
        <v/>
      </c>
    </row>
    <row r="6259" ht="15" customHeight="1">
      <c r="A6259" t="inlineStr">
        <is>
          <t>A 55578-2024</t>
        </is>
      </c>
      <c r="B6259" s="1" t="n">
        <v>45622</v>
      </c>
      <c r="C6259" s="1" t="n">
        <v>45706</v>
      </c>
      <c r="D6259" t="inlineStr">
        <is>
          <t>UPPSALA LÄN</t>
        </is>
      </c>
      <c r="E6259" t="inlineStr">
        <is>
          <t>ÄLVKARLEBY</t>
        </is>
      </c>
      <c r="F6259" t="inlineStr">
        <is>
          <t>Bergvik skog väst AB</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55632-2024</t>
        </is>
      </c>
      <c r="B6260" s="1" t="n">
        <v>45622</v>
      </c>
      <c r="C6260" s="1" t="n">
        <v>45706</v>
      </c>
      <c r="D6260" t="inlineStr">
        <is>
          <t>UPPSALA LÄN</t>
        </is>
      </c>
      <c r="E6260" t="inlineStr">
        <is>
          <t>TIERP</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55644-2024</t>
        </is>
      </c>
      <c r="B6261" s="1" t="n">
        <v>45622</v>
      </c>
      <c r="C6261" s="1" t="n">
        <v>45706</v>
      </c>
      <c r="D6261" t="inlineStr">
        <is>
          <t>UPPSALA LÄN</t>
        </is>
      </c>
      <c r="E6261" t="inlineStr">
        <is>
          <t>HEBY</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55688-2024</t>
        </is>
      </c>
      <c r="B6262" s="1" t="n">
        <v>45622</v>
      </c>
      <c r="C6262" s="1" t="n">
        <v>45706</v>
      </c>
      <c r="D6262" t="inlineStr">
        <is>
          <t>UPPSALA LÄN</t>
        </is>
      </c>
      <c r="E6262" t="inlineStr">
        <is>
          <t>TIERP</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55627-2024</t>
        </is>
      </c>
      <c r="B6263" s="1" t="n">
        <v>45622</v>
      </c>
      <c r="C6263" s="1" t="n">
        <v>45706</v>
      </c>
      <c r="D6263" t="inlineStr">
        <is>
          <t>UPPSALA LÄN</t>
        </is>
      </c>
      <c r="E6263" t="inlineStr">
        <is>
          <t>TIERP</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55780-2024</t>
        </is>
      </c>
      <c r="B6264" s="1" t="n">
        <v>45623</v>
      </c>
      <c r="C6264" s="1" t="n">
        <v>45706</v>
      </c>
      <c r="D6264" t="inlineStr">
        <is>
          <t>UPPSALA LÄN</t>
        </is>
      </c>
      <c r="E6264" t="inlineStr">
        <is>
          <t>TIERP</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55863-2024</t>
        </is>
      </c>
      <c r="B6265" s="1" t="n">
        <v>45623</v>
      </c>
      <c r="C6265" s="1" t="n">
        <v>45706</v>
      </c>
      <c r="D6265" t="inlineStr">
        <is>
          <t>UPPSALA LÄN</t>
        </is>
      </c>
      <c r="E6265" t="inlineStr">
        <is>
          <t>ENKÖPING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55816-2024</t>
        </is>
      </c>
      <c r="B6266" s="1" t="n">
        <v>45623</v>
      </c>
      <c r="C6266" s="1" t="n">
        <v>45706</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55876-2024</t>
        </is>
      </c>
      <c r="B6267" s="1" t="n">
        <v>45623</v>
      </c>
      <c r="C6267" s="1" t="n">
        <v>45706</v>
      </c>
      <c r="D6267" t="inlineStr">
        <is>
          <t>UPPSALA LÄN</t>
        </is>
      </c>
      <c r="E6267" t="inlineStr">
        <is>
          <t>ENKÖPING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55862-2024</t>
        </is>
      </c>
      <c r="B6268" s="1" t="n">
        <v>45623</v>
      </c>
      <c r="C6268" s="1" t="n">
        <v>45706</v>
      </c>
      <c r="D6268" t="inlineStr">
        <is>
          <t>UPPSALA LÄN</t>
        </is>
      </c>
      <c r="E6268" t="inlineStr">
        <is>
          <t>ENKÖPING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55963-2024</t>
        </is>
      </c>
      <c r="B6269" s="1" t="n">
        <v>45623</v>
      </c>
      <c r="C6269" s="1" t="n">
        <v>45706</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55957-2024</t>
        </is>
      </c>
      <c r="B6270" s="1" t="n">
        <v>45623</v>
      </c>
      <c r="C6270" s="1" t="n">
        <v>45706</v>
      </c>
      <c r="D6270" t="inlineStr">
        <is>
          <t>UPPSALA LÄN</t>
        </is>
      </c>
      <c r="E6270" t="inlineStr">
        <is>
          <t>TIERP</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55954-2024</t>
        </is>
      </c>
      <c r="B6271" s="1" t="n">
        <v>45623</v>
      </c>
      <c r="C6271" s="1" t="n">
        <v>45706</v>
      </c>
      <c r="D6271" t="inlineStr">
        <is>
          <t>UPPSALA LÄN</t>
        </is>
      </c>
      <c r="E6271" t="inlineStr">
        <is>
          <t>TIERP</t>
        </is>
      </c>
      <c r="F6271" t="inlineStr">
        <is>
          <t>Bergvik skog väst AB</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55962-2024</t>
        </is>
      </c>
      <c r="B6272" s="1" t="n">
        <v>45623</v>
      </c>
      <c r="C6272" s="1" t="n">
        <v>45706</v>
      </c>
      <c r="D6272" t="inlineStr">
        <is>
          <t>UPPSALA LÄN</t>
        </is>
      </c>
      <c r="E6272" t="inlineStr">
        <is>
          <t>TIERP</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55966-2024</t>
        </is>
      </c>
      <c r="B6273" s="1" t="n">
        <v>45623</v>
      </c>
      <c r="C6273" s="1" t="n">
        <v>45706</v>
      </c>
      <c r="D6273" t="inlineStr">
        <is>
          <t>UPPSALA LÄN</t>
        </is>
      </c>
      <c r="E6273" t="inlineStr">
        <is>
          <t>TIERP</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56050-2024</t>
        </is>
      </c>
      <c r="B6274" s="1" t="n">
        <v>45624</v>
      </c>
      <c r="C6274" s="1" t="n">
        <v>45706</v>
      </c>
      <c r="D6274" t="inlineStr">
        <is>
          <t>UPPSALA LÄN</t>
        </is>
      </c>
      <c r="E6274" t="inlineStr">
        <is>
          <t>UPPSALA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56063-2024</t>
        </is>
      </c>
      <c r="B6275" s="1" t="n">
        <v>45624</v>
      </c>
      <c r="C6275" s="1" t="n">
        <v>45706</v>
      </c>
      <c r="D6275" t="inlineStr">
        <is>
          <t>UPPSALA LÄN</t>
        </is>
      </c>
      <c r="E6275" t="inlineStr">
        <is>
          <t>TIERP</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56067-2024</t>
        </is>
      </c>
      <c r="B6276" s="1" t="n">
        <v>45624</v>
      </c>
      <c r="C6276" s="1" t="n">
        <v>45706</v>
      </c>
      <c r="D6276" t="inlineStr">
        <is>
          <t>UPPSALA LÄN</t>
        </is>
      </c>
      <c r="E6276" t="inlineStr">
        <is>
          <t>UPPSALA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56084-2024</t>
        </is>
      </c>
      <c r="B6277" s="1" t="n">
        <v>45624</v>
      </c>
      <c r="C6277" s="1" t="n">
        <v>45706</v>
      </c>
      <c r="D6277" t="inlineStr">
        <is>
          <t>UPPSALA LÄN</t>
        </is>
      </c>
      <c r="E6277" t="inlineStr">
        <is>
          <t>UPPSALA</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56172-2024</t>
        </is>
      </c>
      <c r="B6278" s="1" t="n">
        <v>45624</v>
      </c>
      <c r="C6278" s="1" t="n">
        <v>45706</v>
      </c>
      <c r="D6278" t="inlineStr">
        <is>
          <t>UPPSALA LÄN</t>
        </is>
      </c>
      <c r="E6278" t="inlineStr">
        <is>
          <t>HEBY</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56173-2024</t>
        </is>
      </c>
      <c r="B6279" s="1" t="n">
        <v>45624</v>
      </c>
      <c r="C6279" s="1" t="n">
        <v>45706</v>
      </c>
      <c r="D6279" t="inlineStr">
        <is>
          <t>UPPSALA LÄN</t>
        </is>
      </c>
      <c r="E6279" t="inlineStr">
        <is>
          <t>TIERP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56073-2024</t>
        </is>
      </c>
      <c r="B6280" s="1" t="n">
        <v>45624</v>
      </c>
      <c r="C6280" s="1" t="n">
        <v>45706</v>
      </c>
      <c r="D6280" t="inlineStr">
        <is>
          <t>UPPSALA LÄN</t>
        </is>
      </c>
      <c r="E6280" t="inlineStr">
        <is>
          <t>HEBY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56081-2024</t>
        </is>
      </c>
      <c r="B6281" s="1" t="n">
        <v>45624</v>
      </c>
      <c r="C6281" s="1" t="n">
        <v>45706</v>
      </c>
      <c r="D6281" t="inlineStr">
        <is>
          <t>UPPSALA LÄN</t>
        </is>
      </c>
      <c r="E6281" t="inlineStr">
        <is>
          <t>HEBY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56225-2024</t>
        </is>
      </c>
      <c r="B6282" s="1" t="n">
        <v>45624</v>
      </c>
      <c r="C6282" s="1" t="n">
        <v>45706</v>
      </c>
      <c r="D6282" t="inlineStr">
        <is>
          <t>UPPSALA LÄN</t>
        </is>
      </c>
      <c r="E6282" t="inlineStr">
        <is>
          <t>ENKÖPING</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56577-2024</t>
        </is>
      </c>
      <c r="B6283" s="1" t="n">
        <v>45625</v>
      </c>
      <c r="C6283" s="1" t="n">
        <v>45706</v>
      </c>
      <c r="D6283" t="inlineStr">
        <is>
          <t>UPPSALA LÄN</t>
        </is>
      </c>
      <c r="E6283" t="inlineStr">
        <is>
          <t>TIERP</t>
        </is>
      </c>
      <c r="F6283" t="inlineStr">
        <is>
          <t>Bergvik skog väst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56564-2024</t>
        </is>
      </c>
      <c r="B6284" s="1" t="n">
        <v>45625</v>
      </c>
      <c r="C6284" s="1" t="n">
        <v>45706</v>
      </c>
      <c r="D6284" t="inlineStr">
        <is>
          <t>UPPSALA LÄN</t>
        </is>
      </c>
      <c r="E6284" t="inlineStr">
        <is>
          <t>UPPSALA</t>
        </is>
      </c>
      <c r="F6284" t="inlineStr">
        <is>
          <t>Övriga Aktiebolag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56759-2024</t>
        </is>
      </c>
      <c r="B6285" s="1" t="n">
        <v>45628</v>
      </c>
      <c r="C6285" s="1" t="n">
        <v>45706</v>
      </c>
      <c r="D6285" t="inlineStr">
        <is>
          <t>UPPSALA LÄN</t>
        </is>
      </c>
      <c r="E6285" t="inlineStr">
        <is>
          <t>ÖSTHAMMAR</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56795-2024</t>
        </is>
      </c>
      <c r="B6286" s="1" t="n">
        <v>45628</v>
      </c>
      <c r="C6286" s="1" t="n">
        <v>45706</v>
      </c>
      <c r="D6286" t="inlineStr">
        <is>
          <t>UPPSALA LÄN</t>
        </is>
      </c>
      <c r="E6286" t="inlineStr">
        <is>
          <t>HEBY</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56837-2024</t>
        </is>
      </c>
      <c r="B6287" s="1" t="n">
        <v>45628</v>
      </c>
      <c r="C6287" s="1" t="n">
        <v>45706</v>
      </c>
      <c r="D6287" t="inlineStr">
        <is>
          <t>UPPSALA LÄN</t>
        </is>
      </c>
      <c r="E6287" t="inlineStr">
        <is>
          <t>ENKÖPING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56713-2024</t>
        </is>
      </c>
      <c r="B6288" s="1" t="n">
        <v>45628</v>
      </c>
      <c r="C6288" s="1" t="n">
        <v>45706</v>
      </c>
      <c r="D6288" t="inlineStr">
        <is>
          <t>UPPSALA LÄN</t>
        </is>
      </c>
      <c r="E6288" t="inlineStr">
        <is>
          <t>ENKÖPING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56864-2024</t>
        </is>
      </c>
      <c r="B6289" s="1" t="n">
        <v>45628</v>
      </c>
      <c r="C6289" s="1" t="n">
        <v>45706</v>
      </c>
      <c r="D6289" t="inlineStr">
        <is>
          <t>UPPSALA LÄN</t>
        </is>
      </c>
      <c r="E6289" t="inlineStr">
        <is>
          <t>ÄLVKARLEBY</t>
        </is>
      </c>
      <c r="F6289" t="inlineStr">
        <is>
          <t>Bergvik skog väst AB</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57187-2024</t>
        </is>
      </c>
      <c r="B6290" s="1" t="n">
        <v>45629</v>
      </c>
      <c r="C6290" s="1" t="n">
        <v>45706</v>
      </c>
      <c r="D6290" t="inlineStr">
        <is>
          <t>UPPSALA LÄN</t>
        </is>
      </c>
      <c r="E6290" t="inlineStr">
        <is>
          <t>ÖSTHAMMAR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57209-2024</t>
        </is>
      </c>
      <c r="B6291" s="1" t="n">
        <v>45629</v>
      </c>
      <c r="C6291" s="1" t="n">
        <v>45706</v>
      </c>
      <c r="D6291" t="inlineStr">
        <is>
          <t>UPPSALA LÄN</t>
        </is>
      </c>
      <c r="E6291" t="inlineStr">
        <is>
          <t>ENKÖPING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57369-2024</t>
        </is>
      </c>
      <c r="B6292" s="1" t="n">
        <v>45629</v>
      </c>
      <c r="C6292" s="1" t="n">
        <v>45706</v>
      </c>
      <c r="D6292" t="inlineStr">
        <is>
          <t>UPPSALA LÄN</t>
        </is>
      </c>
      <c r="E6292" t="inlineStr">
        <is>
          <t>TIERP</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57373-2024</t>
        </is>
      </c>
      <c r="B6293" s="1" t="n">
        <v>45629</v>
      </c>
      <c r="C6293" s="1" t="n">
        <v>45706</v>
      </c>
      <c r="D6293" t="inlineStr">
        <is>
          <t>UPPSALA LÄN</t>
        </is>
      </c>
      <c r="E6293" t="inlineStr">
        <is>
          <t>ÖSTHAMMAR</t>
        </is>
      </c>
      <c r="F6293" t="inlineStr">
        <is>
          <t>Bergvik skog öst AB</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57215-2024</t>
        </is>
      </c>
      <c r="B6294" s="1" t="n">
        <v>45629</v>
      </c>
      <c r="C6294" s="1" t="n">
        <v>45706</v>
      </c>
      <c r="D6294" t="inlineStr">
        <is>
          <t>UPPSALA LÄN</t>
        </is>
      </c>
      <c r="E6294" t="inlineStr">
        <is>
          <t>ENKÖPING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57335-2024</t>
        </is>
      </c>
      <c r="B6295" s="1" t="n">
        <v>45629</v>
      </c>
      <c r="C6295" s="1" t="n">
        <v>45706</v>
      </c>
      <c r="D6295" t="inlineStr">
        <is>
          <t>UPPSALA LÄN</t>
        </is>
      </c>
      <c r="E6295" t="inlineStr">
        <is>
          <t>ENKÖPING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57214-2024</t>
        </is>
      </c>
      <c r="B6296" s="1" t="n">
        <v>45629</v>
      </c>
      <c r="C6296" s="1" t="n">
        <v>45706</v>
      </c>
      <c r="D6296" t="inlineStr">
        <is>
          <t>UPPSALA LÄN</t>
        </is>
      </c>
      <c r="E6296" t="inlineStr">
        <is>
          <t>ENKÖPING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57218-2024</t>
        </is>
      </c>
      <c r="B6297" s="1" t="n">
        <v>45629</v>
      </c>
      <c r="C6297" s="1" t="n">
        <v>45706</v>
      </c>
      <c r="D6297" t="inlineStr">
        <is>
          <t>UPPSALA LÄN</t>
        </is>
      </c>
      <c r="E6297" t="inlineStr">
        <is>
          <t>ENKÖPING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57402-2024</t>
        </is>
      </c>
      <c r="B6298" s="1" t="n">
        <v>45629</v>
      </c>
      <c r="C6298" s="1" t="n">
        <v>45706</v>
      </c>
      <c r="D6298" t="inlineStr">
        <is>
          <t>UPPSALA LÄN</t>
        </is>
      </c>
      <c r="E6298" t="inlineStr">
        <is>
          <t>TIERP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57415-2024</t>
        </is>
      </c>
      <c r="B6299" s="1" t="n">
        <v>45629</v>
      </c>
      <c r="C6299" s="1" t="n">
        <v>45706</v>
      </c>
      <c r="D6299" t="inlineStr">
        <is>
          <t>UPPSALA LÄN</t>
        </is>
      </c>
      <c r="E6299" t="inlineStr">
        <is>
          <t>ENKÖPING</t>
        </is>
      </c>
      <c r="F6299" t="inlineStr">
        <is>
          <t>Allmännings- och besparingsskogar</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57328-2024</t>
        </is>
      </c>
      <c r="B6300" s="1" t="n">
        <v>45629</v>
      </c>
      <c r="C6300" s="1" t="n">
        <v>45706</v>
      </c>
      <c r="D6300" t="inlineStr">
        <is>
          <t>UPPSALA LÄN</t>
        </is>
      </c>
      <c r="E6300" t="inlineStr">
        <is>
          <t>ENKÖPING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57674-2024</t>
        </is>
      </c>
      <c r="B6301" s="1" t="n">
        <v>45630</v>
      </c>
      <c r="C6301" s="1" t="n">
        <v>45706</v>
      </c>
      <c r="D6301" t="inlineStr">
        <is>
          <t>UPPSALA LÄN</t>
        </is>
      </c>
      <c r="E6301" t="inlineStr">
        <is>
          <t>HEBY</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57614-2024</t>
        </is>
      </c>
      <c r="B6302" s="1" t="n">
        <v>45630</v>
      </c>
      <c r="C6302" s="1" t="n">
        <v>45706</v>
      </c>
      <c r="D6302" t="inlineStr">
        <is>
          <t>UPPSALA LÄN</t>
        </is>
      </c>
      <c r="E6302" t="inlineStr">
        <is>
          <t>UPPSALA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57618-2024</t>
        </is>
      </c>
      <c r="B6303" s="1" t="n">
        <v>45630</v>
      </c>
      <c r="C6303" s="1" t="n">
        <v>45706</v>
      </c>
      <c r="D6303" t="inlineStr">
        <is>
          <t>UPPSALA LÄN</t>
        </is>
      </c>
      <c r="E6303" t="inlineStr">
        <is>
          <t>UPPSALA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57643-2024</t>
        </is>
      </c>
      <c r="B6304" s="1" t="n">
        <v>45630</v>
      </c>
      <c r="C6304" s="1" t="n">
        <v>45706</v>
      </c>
      <c r="D6304" t="inlineStr">
        <is>
          <t>UPPSALA LÄN</t>
        </is>
      </c>
      <c r="E6304" t="inlineStr">
        <is>
          <t>UPPSALA</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57704-2024</t>
        </is>
      </c>
      <c r="B6305" s="1" t="n">
        <v>45630</v>
      </c>
      <c r="C6305" s="1" t="n">
        <v>45706</v>
      </c>
      <c r="D6305" t="inlineStr">
        <is>
          <t>UPPSALA LÄN</t>
        </is>
      </c>
      <c r="E6305" t="inlineStr">
        <is>
          <t>HEBY</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57818-2024</t>
        </is>
      </c>
      <c r="B6306" s="1" t="n">
        <v>45631</v>
      </c>
      <c r="C6306" s="1" t="n">
        <v>45706</v>
      </c>
      <c r="D6306" t="inlineStr">
        <is>
          <t>UPPSALA LÄN</t>
        </is>
      </c>
      <c r="E6306" t="inlineStr">
        <is>
          <t>TIERP</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57822-2024</t>
        </is>
      </c>
      <c r="B6307" s="1" t="n">
        <v>45631</v>
      </c>
      <c r="C6307" s="1" t="n">
        <v>45706</v>
      </c>
      <c r="D6307" t="inlineStr">
        <is>
          <t>UPPSALA LÄN</t>
        </is>
      </c>
      <c r="E6307" t="inlineStr">
        <is>
          <t>TIERP</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57829-2024</t>
        </is>
      </c>
      <c r="B6308" s="1" t="n">
        <v>45631</v>
      </c>
      <c r="C6308" s="1" t="n">
        <v>45706</v>
      </c>
      <c r="D6308" t="inlineStr">
        <is>
          <t>UPPSALA LÄN</t>
        </is>
      </c>
      <c r="E6308" t="inlineStr">
        <is>
          <t>TIERP</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57833-2024</t>
        </is>
      </c>
      <c r="B6309" s="1" t="n">
        <v>45631</v>
      </c>
      <c r="C6309" s="1" t="n">
        <v>45706</v>
      </c>
      <c r="D6309" t="inlineStr">
        <is>
          <t>UPPSALA LÄN</t>
        </is>
      </c>
      <c r="E6309" t="inlineStr">
        <is>
          <t>ENKÖPING</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57831-2024</t>
        </is>
      </c>
      <c r="B6310" s="1" t="n">
        <v>45631</v>
      </c>
      <c r="C6310" s="1" t="n">
        <v>45706</v>
      </c>
      <c r="D6310" t="inlineStr">
        <is>
          <t>UPPSALA LÄN</t>
        </is>
      </c>
      <c r="E6310" t="inlineStr">
        <is>
          <t>ENKÖPING</t>
        </is>
      </c>
      <c r="G6310" t="n">
        <v>7.2</v>
      </c>
      <c r="H6310" t="n">
        <v>0</v>
      </c>
      <c r="I6310" t="n">
        <v>0</v>
      </c>
      <c r="J6310" t="n">
        <v>0</v>
      </c>
      <c r="K6310" t="n">
        <v>0</v>
      </c>
      <c r="L6310" t="n">
        <v>0</v>
      </c>
      <c r="M6310" t="n">
        <v>0</v>
      </c>
      <c r="N6310" t="n">
        <v>0</v>
      </c>
      <c r="O6310" t="n">
        <v>0</v>
      </c>
      <c r="P6310" t="n">
        <v>0</v>
      </c>
      <c r="Q6310" t="n">
        <v>0</v>
      </c>
      <c r="R6310" s="2" t="inlineStr"/>
    </row>
    <row r="6311" ht="15" customHeight="1">
      <c r="A6311" t="inlineStr">
        <is>
          <t>A 57835-2024</t>
        </is>
      </c>
      <c r="B6311" s="1" t="n">
        <v>45631</v>
      </c>
      <c r="C6311" s="1" t="n">
        <v>45706</v>
      </c>
      <c r="D6311" t="inlineStr">
        <is>
          <t>UPPSALA LÄN</t>
        </is>
      </c>
      <c r="E6311" t="inlineStr">
        <is>
          <t>ENKÖPING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57848-2024</t>
        </is>
      </c>
      <c r="B6312" s="1" t="n">
        <v>45631</v>
      </c>
      <c r="C6312" s="1" t="n">
        <v>45706</v>
      </c>
      <c r="D6312" t="inlineStr">
        <is>
          <t>UPPSALA LÄN</t>
        </is>
      </c>
      <c r="E6312" t="inlineStr">
        <is>
          <t>ENKÖPING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57937-2024</t>
        </is>
      </c>
      <c r="B6313" s="1" t="n">
        <v>45631</v>
      </c>
      <c r="C6313" s="1" t="n">
        <v>45706</v>
      </c>
      <c r="D6313" t="inlineStr">
        <is>
          <t>UPPSALA LÄN</t>
        </is>
      </c>
      <c r="E6313" t="inlineStr">
        <is>
          <t>ENKÖPING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57961-2024</t>
        </is>
      </c>
      <c r="B6314" s="1" t="n">
        <v>45631</v>
      </c>
      <c r="C6314" s="1" t="n">
        <v>45706</v>
      </c>
      <c r="D6314" t="inlineStr">
        <is>
          <t>UPPSALA LÄN</t>
        </is>
      </c>
      <c r="E6314" t="inlineStr">
        <is>
          <t>TIERP</t>
        </is>
      </c>
      <c r="F6314" t="inlineStr">
        <is>
          <t>Bergvik skog väst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57931-2024</t>
        </is>
      </c>
      <c r="B6315" s="1" t="n">
        <v>45631</v>
      </c>
      <c r="C6315" s="1" t="n">
        <v>45706</v>
      </c>
      <c r="D6315" t="inlineStr">
        <is>
          <t>UPPSALA LÄN</t>
        </is>
      </c>
      <c r="E6315" t="inlineStr">
        <is>
          <t>TIERP</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57841-2024</t>
        </is>
      </c>
      <c r="B6316" s="1" t="n">
        <v>45631</v>
      </c>
      <c r="C6316" s="1" t="n">
        <v>45706</v>
      </c>
      <c r="D6316" t="inlineStr">
        <is>
          <t>UPPSALA LÄN</t>
        </is>
      </c>
      <c r="E6316" t="inlineStr">
        <is>
          <t>ENKÖPING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57871-2024</t>
        </is>
      </c>
      <c r="B6317" s="1" t="n">
        <v>45631</v>
      </c>
      <c r="C6317" s="1" t="n">
        <v>45706</v>
      </c>
      <c r="D6317" t="inlineStr">
        <is>
          <t>UPPSALA LÄN</t>
        </is>
      </c>
      <c r="E6317" t="inlineStr">
        <is>
          <t>UPPSALA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57880-2024</t>
        </is>
      </c>
      <c r="B6318" s="1" t="n">
        <v>45631</v>
      </c>
      <c r="C6318" s="1" t="n">
        <v>45706</v>
      </c>
      <c r="D6318" t="inlineStr">
        <is>
          <t>UPPSALA LÄN</t>
        </is>
      </c>
      <c r="E6318" t="inlineStr">
        <is>
          <t>HEBY</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57897-2024</t>
        </is>
      </c>
      <c r="B6319" s="1" t="n">
        <v>45631</v>
      </c>
      <c r="C6319" s="1" t="n">
        <v>45706</v>
      </c>
      <c r="D6319" t="inlineStr">
        <is>
          <t>UPPSALA LÄN</t>
        </is>
      </c>
      <c r="E6319" t="inlineStr">
        <is>
          <t>HEBY</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57934-2024</t>
        </is>
      </c>
      <c r="B6320" s="1" t="n">
        <v>45631</v>
      </c>
      <c r="C6320" s="1" t="n">
        <v>45706</v>
      </c>
      <c r="D6320" t="inlineStr">
        <is>
          <t>UPPSALA LÄN</t>
        </is>
      </c>
      <c r="E6320" t="inlineStr">
        <is>
          <t>TIERP</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57938-2024</t>
        </is>
      </c>
      <c r="B6321" s="1" t="n">
        <v>45631</v>
      </c>
      <c r="C6321" s="1" t="n">
        <v>45706</v>
      </c>
      <c r="D6321" t="inlineStr">
        <is>
          <t>UPPSALA LÄN</t>
        </is>
      </c>
      <c r="E6321" t="inlineStr">
        <is>
          <t>TIERP</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57998-2024</t>
        </is>
      </c>
      <c r="B6322" s="1" t="n">
        <v>45631</v>
      </c>
      <c r="C6322" s="1" t="n">
        <v>45706</v>
      </c>
      <c r="D6322" t="inlineStr">
        <is>
          <t>UPPSALA LÄN</t>
        </is>
      </c>
      <c r="E6322" t="inlineStr">
        <is>
          <t>ENKÖPING</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58092-2024</t>
        </is>
      </c>
      <c r="B6323" s="1" t="n">
        <v>45632</v>
      </c>
      <c r="C6323" s="1" t="n">
        <v>45706</v>
      </c>
      <c r="D6323" t="inlineStr">
        <is>
          <t>UPPSALA LÄN</t>
        </is>
      </c>
      <c r="E6323" t="inlineStr">
        <is>
          <t>ENKÖPING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58242-2024</t>
        </is>
      </c>
      <c r="B6324" s="1" t="n">
        <v>45632</v>
      </c>
      <c r="C6324" s="1" t="n">
        <v>45706</v>
      </c>
      <c r="D6324" t="inlineStr">
        <is>
          <t>UPPSALA LÄN</t>
        </is>
      </c>
      <c r="E6324" t="inlineStr">
        <is>
          <t>ÖSTHAMMAR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58252-2024</t>
        </is>
      </c>
      <c r="B6325" s="1" t="n">
        <v>45632</v>
      </c>
      <c r="C6325" s="1" t="n">
        <v>45706</v>
      </c>
      <c r="D6325" t="inlineStr">
        <is>
          <t>UPPSALA LÄN</t>
        </is>
      </c>
      <c r="E6325" t="inlineStr">
        <is>
          <t>TIERP</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58264-2024</t>
        </is>
      </c>
      <c r="B6326" s="1" t="n">
        <v>45632</v>
      </c>
      <c r="C6326" s="1" t="n">
        <v>45706</v>
      </c>
      <c r="D6326" t="inlineStr">
        <is>
          <t>UPPSALA LÄN</t>
        </is>
      </c>
      <c r="E6326" t="inlineStr">
        <is>
          <t>TIERP</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58147-2024</t>
        </is>
      </c>
      <c r="B6327" s="1" t="n">
        <v>45632</v>
      </c>
      <c r="C6327" s="1" t="n">
        <v>45706</v>
      </c>
      <c r="D6327" t="inlineStr">
        <is>
          <t>UPPSALA LÄN</t>
        </is>
      </c>
      <c r="E6327" t="inlineStr">
        <is>
          <t>ENKÖPING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58187-2024</t>
        </is>
      </c>
      <c r="B6328" s="1" t="n">
        <v>45632</v>
      </c>
      <c r="C6328" s="1" t="n">
        <v>45706</v>
      </c>
      <c r="D6328" t="inlineStr">
        <is>
          <t>UPPSALA LÄN</t>
        </is>
      </c>
      <c r="E6328" t="inlineStr">
        <is>
          <t>UPPSALA</t>
        </is>
      </c>
      <c r="F6328" t="inlineStr">
        <is>
          <t>Bergvik skog väst AB</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58265-2024</t>
        </is>
      </c>
      <c r="B6329" s="1" t="n">
        <v>45632</v>
      </c>
      <c r="C6329" s="1" t="n">
        <v>45706</v>
      </c>
      <c r="D6329" t="inlineStr">
        <is>
          <t>UPPSALA LÄN</t>
        </is>
      </c>
      <c r="E6329" t="inlineStr">
        <is>
          <t>ÖSTHAMMAR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58297-2024</t>
        </is>
      </c>
      <c r="B6330" s="1" t="n">
        <v>45632</v>
      </c>
      <c r="C6330" s="1" t="n">
        <v>45706</v>
      </c>
      <c r="D6330" t="inlineStr">
        <is>
          <t>UPPSALA LÄN</t>
        </is>
      </c>
      <c r="E6330" t="inlineStr">
        <is>
          <t>ÖSTHAMMAR</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58366-2024</t>
        </is>
      </c>
      <c r="B6331" s="1" t="n">
        <v>45632</v>
      </c>
      <c r="C6331" s="1" t="n">
        <v>45706</v>
      </c>
      <c r="D6331" t="inlineStr">
        <is>
          <t>UPPSALA LÄN</t>
        </is>
      </c>
      <c r="E6331" t="inlineStr">
        <is>
          <t>ÖSTHAMMAR</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58188-2024</t>
        </is>
      </c>
      <c r="B6332" s="1" t="n">
        <v>45632</v>
      </c>
      <c r="C6332" s="1" t="n">
        <v>45706</v>
      </c>
      <c r="D6332" t="inlineStr">
        <is>
          <t>UPPSALA LÄN</t>
        </is>
      </c>
      <c r="E6332" t="inlineStr">
        <is>
          <t>UPPSALA</t>
        </is>
      </c>
      <c r="F6332" t="inlineStr">
        <is>
          <t>Bergvik skog väst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58232-2024</t>
        </is>
      </c>
      <c r="B6333" s="1" t="n">
        <v>45632</v>
      </c>
      <c r="C6333" s="1" t="n">
        <v>45706</v>
      </c>
      <c r="D6333" t="inlineStr">
        <is>
          <t>UPPSALA LÄN</t>
        </is>
      </c>
      <c r="E6333" t="inlineStr">
        <is>
          <t>TIERP</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58601-2024</t>
        </is>
      </c>
      <c r="B6334" s="1" t="n">
        <v>45635</v>
      </c>
      <c r="C6334" s="1" t="n">
        <v>45706</v>
      </c>
      <c r="D6334" t="inlineStr">
        <is>
          <t>UPPSALA LÄN</t>
        </is>
      </c>
      <c r="E6334" t="inlineStr">
        <is>
          <t>TIERP</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58772-2024</t>
        </is>
      </c>
      <c r="B6335" s="1" t="n">
        <v>45635</v>
      </c>
      <c r="C6335" s="1" t="n">
        <v>45706</v>
      </c>
      <c r="D6335" t="inlineStr">
        <is>
          <t>UPPSALA LÄN</t>
        </is>
      </c>
      <c r="E6335" t="inlineStr">
        <is>
          <t>TIERP</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58961-2024</t>
        </is>
      </c>
      <c r="B6336" s="1" t="n">
        <v>45636</v>
      </c>
      <c r="C6336" s="1" t="n">
        <v>45706</v>
      </c>
      <c r="D6336" t="inlineStr">
        <is>
          <t>UPPSALA LÄN</t>
        </is>
      </c>
      <c r="E6336" t="inlineStr">
        <is>
          <t>ENKÖPING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59205-2024</t>
        </is>
      </c>
      <c r="B6337" s="1" t="n">
        <v>45636</v>
      </c>
      <c r="C6337" s="1" t="n">
        <v>45706</v>
      </c>
      <c r="D6337" t="inlineStr">
        <is>
          <t>UPPSALA LÄN</t>
        </is>
      </c>
      <c r="E6337" t="inlineStr">
        <is>
          <t>TIERP</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59027-2024</t>
        </is>
      </c>
      <c r="B6338" s="1" t="n">
        <v>45636</v>
      </c>
      <c r="C6338" s="1" t="n">
        <v>45706</v>
      </c>
      <c r="D6338" t="inlineStr">
        <is>
          <t>UPPSALA LÄN</t>
        </is>
      </c>
      <c r="E6338" t="inlineStr">
        <is>
          <t>ENKÖPING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59098-2024</t>
        </is>
      </c>
      <c r="B6339" s="1" t="n">
        <v>45636</v>
      </c>
      <c r="C6339" s="1" t="n">
        <v>45706</v>
      </c>
      <c r="D6339" t="inlineStr">
        <is>
          <t>UPPSALA LÄN</t>
        </is>
      </c>
      <c r="E6339" t="inlineStr">
        <is>
          <t>UPPSALA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59114-2024</t>
        </is>
      </c>
      <c r="B6340" s="1" t="n">
        <v>45637</v>
      </c>
      <c r="C6340" s="1" t="n">
        <v>45706</v>
      </c>
      <c r="D6340" t="inlineStr">
        <is>
          <t>UPPSALA LÄN</t>
        </is>
      </c>
      <c r="E6340" t="inlineStr">
        <is>
          <t>UPPSALA</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59116-2024</t>
        </is>
      </c>
      <c r="B6341" s="1" t="n">
        <v>45637</v>
      </c>
      <c r="C6341" s="1" t="n">
        <v>45706</v>
      </c>
      <c r="D6341" t="inlineStr">
        <is>
          <t>UPPSALA LÄN</t>
        </is>
      </c>
      <c r="E6341" t="inlineStr">
        <is>
          <t>UPPSALA</t>
        </is>
      </c>
      <c r="F6341" t="inlineStr">
        <is>
          <t>Sveaskog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59158-2024</t>
        </is>
      </c>
      <c r="B6342" s="1" t="n">
        <v>45637</v>
      </c>
      <c r="C6342" s="1" t="n">
        <v>45706</v>
      </c>
      <c r="D6342" t="inlineStr">
        <is>
          <t>UPPSALA LÄN</t>
        </is>
      </c>
      <c r="E6342" t="inlineStr">
        <is>
          <t>UPPSALA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59211-2024</t>
        </is>
      </c>
      <c r="B6343" s="1" t="n">
        <v>45637</v>
      </c>
      <c r="C6343" s="1" t="n">
        <v>45706</v>
      </c>
      <c r="D6343" t="inlineStr">
        <is>
          <t>UPPSALA LÄN</t>
        </is>
      </c>
      <c r="E6343" t="inlineStr">
        <is>
          <t>TIERP</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59244-2024</t>
        </is>
      </c>
      <c r="B6344" s="1" t="n">
        <v>45637</v>
      </c>
      <c r="C6344" s="1" t="n">
        <v>45706</v>
      </c>
      <c r="D6344" t="inlineStr">
        <is>
          <t>UPPSALA LÄN</t>
        </is>
      </c>
      <c r="E6344" t="inlineStr">
        <is>
          <t>TIERP</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59267-2024</t>
        </is>
      </c>
      <c r="B6345" s="1" t="n">
        <v>45637</v>
      </c>
      <c r="C6345" s="1" t="n">
        <v>45706</v>
      </c>
      <c r="D6345" t="inlineStr">
        <is>
          <t>UPPSALA LÄN</t>
        </is>
      </c>
      <c r="E6345" t="inlineStr">
        <is>
          <t>TIERP</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59358-2024</t>
        </is>
      </c>
      <c r="B6346" s="1" t="n">
        <v>45638</v>
      </c>
      <c r="C6346" s="1" t="n">
        <v>45706</v>
      </c>
      <c r="D6346" t="inlineStr">
        <is>
          <t>UPPSALA LÄN</t>
        </is>
      </c>
      <c r="E6346" t="inlineStr">
        <is>
          <t>UPPSALA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59549-2024</t>
        </is>
      </c>
      <c r="B6347" s="1" t="n">
        <v>45638</v>
      </c>
      <c r="C6347" s="1" t="n">
        <v>45706</v>
      </c>
      <c r="D6347" t="inlineStr">
        <is>
          <t>UPPSALA LÄN</t>
        </is>
      </c>
      <c r="E6347" t="inlineStr">
        <is>
          <t>UPPSALA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59562-2024</t>
        </is>
      </c>
      <c r="B6348" s="1" t="n">
        <v>45638</v>
      </c>
      <c r="C6348" s="1" t="n">
        <v>45706</v>
      </c>
      <c r="D6348" t="inlineStr">
        <is>
          <t>UPPSALA LÄN</t>
        </is>
      </c>
      <c r="E6348" t="inlineStr">
        <is>
          <t>UPPSALA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59570-2024</t>
        </is>
      </c>
      <c r="B6349" s="1" t="n">
        <v>45638</v>
      </c>
      <c r="C6349" s="1" t="n">
        <v>45706</v>
      </c>
      <c r="D6349" t="inlineStr">
        <is>
          <t>UPPSALA LÄN</t>
        </is>
      </c>
      <c r="E6349" t="inlineStr">
        <is>
          <t>ENKÖPING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59597-2024</t>
        </is>
      </c>
      <c r="B6350" s="1" t="n">
        <v>45638</v>
      </c>
      <c r="C6350" s="1" t="n">
        <v>45706</v>
      </c>
      <c r="D6350" t="inlineStr">
        <is>
          <t>UPPSALA LÄN</t>
        </is>
      </c>
      <c r="E6350" t="inlineStr">
        <is>
          <t>TIERP</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59547-2024</t>
        </is>
      </c>
      <c r="B6351" s="1" t="n">
        <v>45638</v>
      </c>
      <c r="C6351" s="1" t="n">
        <v>45706</v>
      </c>
      <c r="D6351" t="inlineStr">
        <is>
          <t>UPPSALA LÄN</t>
        </is>
      </c>
      <c r="E6351" t="inlineStr">
        <is>
          <t>UPPSALA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59602-2024</t>
        </is>
      </c>
      <c r="B6352" s="1" t="n">
        <v>45638</v>
      </c>
      <c r="C6352" s="1" t="n">
        <v>45706</v>
      </c>
      <c r="D6352" t="inlineStr">
        <is>
          <t>UPPSALA LÄN</t>
        </is>
      </c>
      <c r="E6352" t="inlineStr">
        <is>
          <t>ENKÖPING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59587-2024</t>
        </is>
      </c>
      <c r="B6353" s="1" t="n">
        <v>45638</v>
      </c>
      <c r="C6353" s="1" t="n">
        <v>45706</v>
      </c>
      <c r="D6353" t="inlineStr">
        <is>
          <t>UPPSALA LÄN</t>
        </is>
      </c>
      <c r="E6353" t="inlineStr">
        <is>
          <t>UPPSALA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59382-2024</t>
        </is>
      </c>
      <c r="B6354" s="1" t="n">
        <v>45638</v>
      </c>
      <c r="C6354" s="1" t="n">
        <v>45706</v>
      </c>
      <c r="D6354" t="inlineStr">
        <is>
          <t>UPPSALA LÄN</t>
        </is>
      </c>
      <c r="E6354" t="inlineStr">
        <is>
          <t>HEBY</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59391-2024</t>
        </is>
      </c>
      <c r="B6355" s="1" t="n">
        <v>45638</v>
      </c>
      <c r="C6355" s="1" t="n">
        <v>45706</v>
      </c>
      <c r="D6355" t="inlineStr">
        <is>
          <t>UPPSALA LÄN</t>
        </is>
      </c>
      <c r="E6355" t="inlineStr">
        <is>
          <t>HEBY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59387-2024</t>
        </is>
      </c>
      <c r="B6356" s="1" t="n">
        <v>45638</v>
      </c>
      <c r="C6356" s="1" t="n">
        <v>45706</v>
      </c>
      <c r="D6356" t="inlineStr">
        <is>
          <t>UPPSALA LÄN</t>
        </is>
      </c>
      <c r="E6356" t="inlineStr">
        <is>
          <t>HEBY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59824-2024</t>
        </is>
      </c>
      <c r="B6357" s="1" t="n">
        <v>45639</v>
      </c>
      <c r="C6357" s="1" t="n">
        <v>45706</v>
      </c>
      <c r="D6357" t="inlineStr">
        <is>
          <t>UPPSALA LÄN</t>
        </is>
      </c>
      <c r="E6357" t="inlineStr">
        <is>
          <t>HEBY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59815-2024</t>
        </is>
      </c>
      <c r="B6358" s="1" t="n">
        <v>45639</v>
      </c>
      <c r="C6358" s="1" t="n">
        <v>45706</v>
      </c>
      <c r="D6358" t="inlineStr">
        <is>
          <t>UPPSALA LÄN</t>
        </is>
      </c>
      <c r="E6358" t="inlineStr">
        <is>
          <t>HEBY</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59858-2024</t>
        </is>
      </c>
      <c r="B6359" s="1" t="n">
        <v>45639</v>
      </c>
      <c r="C6359" s="1" t="n">
        <v>45706</v>
      </c>
      <c r="D6359" t="inlineStr">
        <is>
          <t>UPPSALA LÄN</t>
        </is>
      </c>
      <c r="E6359" t="inlineStr">
        <is>
          <t>HEBY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59658-2024</t>
        </is>
      </c>
      <c r="B6360" s="1" t="n">
        <v>45639</v>
      </c>
      <c r="C6360" s="1" t="n">
        <v>45706</v>
      </c>
      <c r="D6360" t="inlineStr">
        <is>
          <t>UPPSALA LÄN</t>
        </is>
      </c>
      <c r="E6360" t="inlineStr">
        <is>
          <t>TIERP</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60167-2024</t>
        </is>
      </c>
      <c r="B6361" s="1" t="n">
        <v>45642</v>
      </c>
      <c r="C6361" s="1" t="n">
        <v>45706</v>
      </c>
      <c r="D6361" t="inlineStr">
        <is>
          <t>UPPSALA LÄN</t>
        </is>
      </c>
      <c r="E6361" t="inlineStr">
        <is>
          <t>UPPSALA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60123-2024</t>
        </is>
      </c>
      <c r="B6362" s="1" t="n">
        <v>45642</v>
      </c>
      <c r="C6362" s="1" t="n">
        <v>45706</v>
      </c>
      <c r="D6362" t="inlineStr">
        <is>
          <t>UPPSALA LÄN</t>
        </is>
      </c>
      <c r="E6362" t="inlineStr">
        <is>
          <t>TIERP</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60129-2024</t>
        </is>
      </c>
      <c r="B6363" s="1" t="n">
        <v>45642</v>
      </c>
      <c r="C6363" s="1" t="n">
        <v>45706</v>
      </c>
      <c r="D6363" t="inlineStr">
        <is>
          <t>UPPSALA LÄN</t>
        </is>
      </c>
      <c r="E6363" t="inlineStr">
        <is>
          <t>TIERP</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60136-2024</t>
        </is>
      </c>
      <c r="B6364" s="1" t="n">
        <v>45642</v>
      </c>
      <c r="C6364" s="1" t="n">
        <v>45706</v>
      </c>
      <c r="D6364" t="inlineStr">
        <is>
          <t>UPPSALA LÄN</t>
        </is>
      </c>
      <c r="E6364" t="inlineStr">
        <is>
          <t>TIERP</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60011-2024</t>
        </is>
      </c>
      <c r="B6365" s="1" t="n">
        <v>45642</v>
      </c>
      <c r="C6365" s="1" t="n">
        <v>45706</v>
      </c>
      <c r="D6365" t="inlineStr">
        <is>
          <t>UPPSALA LÄN</t>
        </is>
      </c>
      <c r="E6365" t="inlineStr">
        <is>
          <t>TIERP</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60125-2024</t>
        </is>
      </c>
      <c r="B6366" s="1" t="n">
        <v>45642</v>
      </c>
      <c r="C6366" s="1" t="n">
        <v>45706</v>
      </c>
      <c r="D6366" t="inlineStr">
        <is>
          <t>UPPSALA LÄN</t>
        </is>
      </c>
      <c r="E6366" t="inlineStr">
        <is>
          <t>ENKÖPING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60018-2024</t>
        </is>
      </c>
      <c r="B6367" s="1" t="n">
        <v>45642</v>
      </c>
      <c r="C6367" s="1" t="n">
        <v>45706</v>
      </c>
      <c r="D6367" t="inlineStr">
        <is>
          <t>UPPSALA LÄN</t>
        </is>
      </c>
      <c r="E6367" t="inlineStr">
        <is>
          <t>KNIVSTA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60014-2024</t>
        </is>
      </c>
      <c r="B6368" s="1" t="n">
        <v>45642</v>
      </c>
      <c r="C6368" s="1" t="n">
        <v>45706</v>
      </c>
      <c r="D6368" t="inlineStr">
        <is>
          <t>UPPSALA LÄN</t>
        </is>
      </c>
      <c r="E6368" t="inlineStr">
        <is>
          <t>TIERP</t>
        </is>
      </c>
      <c r="F6368" t="inlineStr">
        <is>
          <t>Bergvik skog väst AB</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60003-2024</t>
        </is>
      </c>
      <c r="B6369" s="1" t="n">
        <v>45642</v>
      </c>
      <c r="C6369" s="1" t="n">
        <v>45706</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59996-2024</t>
        </is>
      </c>
      <c r="B6370" s="1" t="n">
        <v>45642</v>
      </c>
      <c r="C6370" s="1" t="n">
        <v>45706</v>
      </c>
      <c r="D6370" t="inlineStr">
        <is>
          <t>UPPSALA LÄN</t>
        </is>
      </c>
      <c r="E6370" t="inlineStr">
        <is>
          <t>UPPSALA</t>
        </is>
      </c>
      <c r="F6370" t="inlineStr">
        <is>
          <t>Bergvik skog väst AB</t>
        </is>
      </c>
      <c r="G6370" t="n">
        <v>14.5</v>
      </c>
      <c r="H6370" t="n">
        <v>0</v>
      </c>
      <c r="I6370" t="n">
        <v>0</v>
      </c>
      <c r="J6370" t="n">
        <v>0</v>
      </c>
      <c r="K6370" t="n">
        <v>0</v>
      </c>
      <c r="L6370" t="n">
        <v>0</v>
      </c>
      <c r="M6370" t="n">
        <v>0</v>
      </c>
      <c r="N6370" t="n">
        <v>0</v>
      </c>
      <c r="O6370" t="n">
        <v>0</v>
      </c>
      <c r="P6370" t="n">
        <v>0</v>
      </c>
      <c r="Q6370" t="n">
        <v>0</v>
      </c>
      <c r="R6370" s="2" t="inlineStr"/>
    </row>
    <row r="6371" ht="15" customHeight="1">
      <c r="A6371" t="inlineStr">
        <is>
          <t>A 60357-2024</t>
        </is>
      </c>
      <c r="B6371" s="1" t="n">
        <v>45643</v>
      </c>
      <c r="C6371" s="1" t="n">
        <v>45706</v>
      </c>
      <c r="D6371" t="inlineStr">
        <is>
          <t>UPPSALA LÄN</t>
        </is>
      </c>
      <c r="E6371" t="inlineStr">
        <is>
          <t>TIERP</t>
        </is>
      </c>
      <c r="F6371" t="inlineStr">
        <is>
          <t>Bergvik skog öst AB</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60445-2024</t>
        </is>
      </c>
      <c r="B6372" s="1" t="n">
        <v>45643</v>
      </c>
      <c r="C6372" s="1" t="n">
        <v>45706</v>
      </c>
      <c r="D6372" t="inlineStr">
        <is>
          <t>UPPSALA LÄN</t>
        </is>
      </c>
      <c r="E6372" t="inlineStr">
        <is>
          <t>UPPSALA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60314-2024</t>
        </is>
      </c>
      <c r="B6373" s="1" t="n">
        <v>45643</v>
      </c>
      <c r="C6373" s="1" t="n">
        <v>45706</v>
      </c>
      <c r="D6373" t="inlineStr">
        <is>
          <t>UPPSALA LÄN</t>
        </is>
      </c>
      <c r="E6373" t="inlineStr">
        <is>
          <t>TIERP</t>
        </is>
      </c>
      <c r="F6373" t="inlineStr">
        <is>
          <t>Bergvik skog öst AB</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60538-2024</t>
        </is>
      </c>
      <c r="B6374" s="1" t="n">
        <v>45643</v>
      </c>
      <c r="C6374" s="1" t="n">
        <v>45706</v>
      </c>
      <c r="D6374" t="inlineStr">
        <is>
          <t>UPPSALA LÄN</t>
        </is>
      </c>
      <c r="E6374" t="inlineStr">
        <is>
          <t>ENKÖPING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60304-2024</t>
        </is>
      </c>
      <c r="B6375" s="1" t="n">
        <v>45643</v>
      </c>
      <c r="C6375" s="1" t="n">
        <v>45706</v>
      </c>
      <c r="D6375" t="inlineStr">
        <is>
          <t>UPPSALA LÄN</t>
        </is>
      </c>
      <c r="E6375" t="inlineStr">
        <is>
          <t>TIERP</t>
        </is>
      </c>
      <c r="F6375" t="inlineStr">
        <is>
          <t>Bergvik skog öst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60519-2024</t>
        </is>
      </c>
      <c r="B6376" s="1" t="n">
        <v>45643</v>
      </c>
      <c r="C6376" s="1" t="n">
        <v>45706</v>
      </c>
      <c r="D6376" t="inlineStr">
        <is>
          <t>UPPSALA LÄN</t>
        </is>
      </c>
      <c r="E6376" t="inlineStr">
        <is>
          <t>ENKÖPING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60539-2024</t>
        </is>
      </c>
      <c r="B6377" s="1" t="n">
        <v>45643</v>
      </c>
      <c r="C6377" s="1" t="n">
        <v>45706</v>
      </c>
      <c r="D6377" t="inlineStr">
        <is>
          <t>UPPSALA LÄN</t>
        </is>
      </c>
      <c r="E6377" t="inlineStr">
        <is>
          <t>ENKÖPING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60329-2024</t>
        </is>
      </c>
      <c r="B6378" s="1" t="n">
        <v>45643</v>
      </c>
      <c r="C6378" s="1" t="n">
        <v>45706</v>
      </c>
      <c r="D6378" t="inlineStr">
        <is>
          <t>UPPSALA LÄN</t>
        </is>
      </c>
      <c r="E6378" t="inlineStr">
        <is>
          <t>HEBY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60698-2024</t>
        </is>
      </c>
      <c r="B6379" s="1" t="n">
        <v>45644</v>
      </c>
      <c r="C6379" s="1" t="n">
        <v>45706</v>
      </c>
      <c r="D6379" t="inlineStr">
        <is>
          <t>UPPSALA LÄN</t>
        </is>
      </c>
      <c r="E6379" t="inlineStr">
        <is>
          <t>UPPSALA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60735-2024</t>
        </is>
      </c>
      <c r="B6380" s="1" t="n">
        <v>45644</v>
      </c>
      <c r="C6380" s="1" t="n">
        <v>45706</v>
      </c>
      <c r="D6380" t="inlineStr">
        <is>
          <t>UPPSALA LÄN</t>
        </is>
      </c>
      <c r="E6380" t="inlineStr">
        <is>
          <t>UPPSALA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60648-2024</t>
        </is>
      </c>
      <c r="B6381" s="1" t="n">
        <v>45644</v>
      </c>
      <c r="C6381" s="1" t="n">
        <v>45706</v>
      </c>
      <c r="D6381" t="inlineStr">
        <is>
          <t>UPPSALA LÄN</t>
        </is>
      </c>
      <c r="E6381" t="inlineStr">
        <is>
          <t>TIERP</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60807-2024</t>
        </is>
      </c>
      <c r="B6382" s="1" t="n">
        <v>45644</v>
      </c>
      <c r="C6382" s="1" t="n">
        <v>45706</v>
      </c>
      <c r="D6382" t="inlineStr">
        <is>
          <t>UPPSALA LÄN</t>
        </is>
      </c>
      <c r="E6382" t="inlineStr">
        <is>
          <t>UPPSALA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60820-2024</t>
        </is>
      </c>
      <c r="B6383" s="1" t="n">
        <v>45644</v>
      </c>
      <c r="C6383" s="1" t="n">
        <v>45706</v>
      </c>
      <c r="D6383" t="inlineStr">
        <is>
          <t>UPPSALA LÄN</t>
        </is>
      </c>
      <c r="E6383" t="inlineStr">
        <is>
          <t>UPPSALA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60729-2024</t>
        </is>
      </c>
      <c r="B6384" s="1" t="n">
        <v>45644</v>
      </c>
      <c r="C6384" s="1" t="n">
        <v>45706</v>
      </c>
      <c r="D6384" t="inlineStr">
        <is>
          <t>UPPSALA LÄN</t>
        </is>
      </c>
      <c r="E6384" t="inlineStr">
        <is>
          <t>UPPSALA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60691-2024</t>
        </is>
      </c>
      <c r="B6385" s="1" t="n">
        <v>45644</v>
      </c>
      <c r="C6385" s="1" t="n">
        <v>45706</v>
      </c>
      <c r="D6385" t="inlineStr">
        <is>
          <t>UPPSALA LÄN</t>
        </is>
      </c>
      <c r="E6385" t="inlineStr">
        <is>
          <t>UPPSALA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60811-2024</t>
        </is>
      </c>
      <c r="B6386" s="1" t="n">
        <v>45644</v>
      </c>
      <c r="C6386" s="1" t="n">
        <v>45706</v>
      </c>
      <c r="D6386" t="inlineStr">
        <is>
          <t>UPPSALA LÄN</t>
        </is>
      </c>
      <c r="E6386" t="inlineStr">
        <is>
          <t>UPPSALA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60949-2024</t>
        </is>
      </c>
      <c r="B6387" s="1" t="n">
        <v>45645</v>
      </c>
      <c r="C6387" s="1" t="n">
        <v>45706</v>
      </c>
      <c r="D6387" t="inlineStr">
        <is>
          <t>UPPSALA LÄN</t>
        </is>
      </c>
      <c r="E6387" t="inlineStr">
        <is>
          <t>UPPSALA</t>
        </is>
      </c>
      <c r="F6387" t="inlineStr">
        <is>
          <t>Kommuner</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60954-2024</t>
        </is>
      </c>
      <c r="B6388" s="1" t="n">
        <v>45645</v>
      </c>
      <c r="C6388" s="1" t="n">
        <v>45706</v>
      </c>
      <c r="D6388" t="inlineStr">
        <is>
          <t>UPPSALA LÄN</t>
        </is>
      </c>
      <c r="E6388" t="inlineStr">
        <is>
          <t>UPPSALA</t>
        </is>
      </c>
      <c r="F6388" t="inlineStr">
        <is>
          <t>Kommuner</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60985-2024</t>
        </is>
      </c>
      <c r="B6389" s="1" t="n">
        <v>45645</v>
      </c>
      <c r="C6389" s="1" t="n">
        <v>45706</v>
      </c>
      <c r="D6389" t="inlineStr">
        <is>
          <t>UPPSALA LÄN</t>
        </is>
      </c>
      <c r="E6389" t="inlineStr">
        <is>
          <t>TIERP</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61038-2024</t>
        </is>
      </c>
      <c r="B6390" s="1" t="n">
        <v>45645</v>
      </c>
      <c r="C6390" s="1" t="n">
        <v>45706</v>
      </c>
      <c r="D6390" t="inlineStr">
        <is>
          <t>UPPSALA LÄN</t>
        </is>
      </c>
      <c r="E6390" t="inlineStr">
        <is>
          <t>HEBY</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61248-2024</t>
        </is>
      </c>
      <c r="B6391" s="1" t="n">
        <v>45645</v>
      </c>
      <c r="C6391" s="1" t="n">
        <v>45706</v>
      </c>
      <c r="D6391" t="inlineStr">
        <is>
          <t>UPPSALA LÄN</t>
        </is>
      </c>
      <c r="E6391" t="inlineStr">
        <is>
          <t>TIERP</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61071-2024</t>
        </is>
      </c>
      <c r="B6392" s="1" t="n">
        <v>45645</v>
      </c>
      <c r="C6392" s="1" t="n">
        <v>45706</v>
      </c>
      <c r="D6392" t="inlineStr">
        <is>
          <t>UPPSALA LÄN</t>
        </is>
      </c>
      <c r="E6392" t="inlineStr">
        <is>
          <t>UPPSALA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61149-2024</t>
        </is>
      </c>
      <c r="B6393" s="1" t="n">
        <v>45645</v>
      </c>
      <c r="C6393" s="1" t="n">
        <v>45706</v>
      </c>
      <c r="D6393" t="inlineStr">
        <is>
          <t>UPPSALA LÄN</t>
        </is>
      </c>
      <c r="E6393" t="inlineStr">
        <is>
          <t>TIERP</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61156-2024</t>
        </is>
      </c>
      <c r="B6394" s="1" t="n">
        <v>45645</v>
      </c>
      <c r="C6394" s="1" t="n">
        <v>45706</v>
      </c>
      <c r="D6394" t="inlineStr">
        <is>
          <t>UPPSALA LÄN</t>
        </is>
      </c>
      <c r="E6394" t="inlineStr">
        <is>
          <t>TIERP</t>
        </is>
      </c>
      <c r="F6394" t="inlineStr">
        <is>
          <t>Bergvik skog väst AB</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61230-2024</t>
        </is>
      </c>
      <c r="B6395" s="1" t="n">
        <v>45645</v>
      </c>
      <c r="C6395" s="1" t="n">
        <v>45706</v>
      </c>
      <c r="D6395" t="inlineStr">
        <is>
          <t>UPPSALA LÄN</t>
        </is>
      </c>
      <c r="E6395" t="inlineStr">
        <is>
          <t>TIERP</t>
        </is>
      </c>
      <c r="G6395" t="n">
        <v>1.8</v>
      </c>
      <c r="H6395" t="n">
        <v>0</v>
      </c>
      <c r="I6395" t="n">
        <v>0</v>
      </c>
      <c r="J6395" t="n">
        <v>0</v>
      </c>
      <c r="K6395" t="n">
        <v>0</v>
      </c>
      <c r="L6395" t="n">
        <v>0</v>
      </c>
      <c r="M6395" t="n">
        <v>0</v>
      </c>
      <c r="N6395" t="n">
        <v>0</v>
      </c>
      <c r="O6395" t="n">
        <v>0</v>
      </c>
      <c r="P6395" t="n">
        <v>0</v>
      </c>
      <c r="Q6395" t="n">
        <v>0</v>
      </c>
      <c r="R6395" s="2" t="inlineStr"/>
      <c r="U6395">
        <f>HYPERLINK("https://klasma.github.io/Logging_0360/knärot/A 61230-2024 karta knärot.png", "A 61230-2024")</f>
        <v/>
      </c>
      <c r="V6395">
        <f>HYPERLINK("https://klasma.github.io/Logging_0360/klagomål/A 61230-2024 FSC-klagomål.docx", "A 61230-2024")</f>
        <v/>
      </c>
      <c r="W6395">
        <f>HYPERLINK("https://klasma.github.io/Logging_0360/klagomålsmail/A 61230-2024 FSC-klagomål mail.docx", "A 61230-2024")</f>
        <v/>
      </c>
      <c r="X6395">
        <f>HYPERLINK("https://klasma.github.io/Logging_0360/tillsyn/A 61230-2024 tillsynsbegäran.docx", "A 61230-2024")</f>
        <v/>
      </c>
      <c r="Y6395">
        <f>HYPERLINK("https://klasma.github.io/Logging_0360/tillsynsmail/A 61230-2024 tillsynsbegäran mail.docx", "A 61230-2024")</f>
        <v/>
      </c>
    </row>
    <row r="6396" ht="15" customHeight="1">
      <c r="A6396" t="inlineStr">
        <is>
          <t>A 61235-2024</t>
        </is>
      </c>
      <c r="B6396" s="1" t="n">
        <v>45645</v>
      </c>
      <c r="C6396" s="1" t="n">
        <v>45706</v>
      </c>
      <c r="D6396" t="inlineStr">
        <is>
          <t>UPPSALA LÄN</t>
        </is>
      </c>
      <c r="E6396" t="inlineStr">
        <is>
          <t>ÖSTHAMMAR</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61280-2024</t>
        </is>
      </c>
      <c r="B6397" s="1" t="n">
        <v>45645</v>
      </c>
      <c r="C6397" s="1" t="n">
        <v>45706</v>
      </c>
      <c r="D6397" t="inlineStr">
        <is>
          <t>UPPSALA LÄN</t>
        </is>
      </c>
      <c r="E6397" t="inlineStr">
        <is>
          <t>TIERP</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61152-2024</t>
        </is>
      </c>
      <c r="B6398" s="1" t="n">
        <v>45645</v>
      </c>
      <c r="C6398" s="1" t="n">
        <v>45706</v>
      </c>
      <c r="D6398" t="inlineStr">
        <is>
          <t>UPPSALA LÄN</t>
        </is>
      </c>
      <c r="E6398" t="inlineStr">
        <is>
          <t>TIERP</t>
        </is>
      </c>
      <c r="F6398" t="inlineStr">
        <is>
          <t>Bergvik skog väst AB</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61033-2024</t>
        </is>
      </c>
      <c r="B6399" s="1" t="n">
        <v>45645</v>
      </c>
      <c r="C6399" s="1" t="n">
        <v>45706</v>
      </c>
      <c r="D6399" t="inlineStr">
        <is>
          <t>UPPSALA LÄN</t>
        </is>
      </c>
      <c r="E6399" t="inlineStr">
        <is>
          <t>HEBY</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61154-2024</t>
        </is>
      </c>
      <c r="B6400" s="1" t="n">
        <v>45645</v>
      </c>
      <c r="C6400" s="1" t="n">
        <v>45706</v>
      </c>
      <c r="D6400" t="inlineStr">
        <is>
          <t>UPPSALA LÄN</t>
        </is>
      </c>
      <c r="E6400" t="inlineStr">
        <is>
          <t>TIERP</t>
        </is>
      </c>
      <c r="F6400" t="inlineStr">
        <is>
          <t>Bergvik skog väst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61246-2024</t>
        </is>
      </c>
      <c r="B6401" s="1" t="n">
        <v>45645</v>
      </c>
      <c r="C6401" s="1" t="n">
        <v>45706</v>
      </c>
      <c r="D6401" t="inlineStr">
        <is>
          <t>UPPSALA LÄN</t>
        </is>
      </c>
      <c r="E6401" t="inlineStr">
        <is>
          <t>TIERP</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61412-2024</t>
        </is>
      </c>
      <c r="B6402" s="1" t="n">
        <v>45646</v>
      </c>
      <c r="C6402" s="1" t="n">
        <v>45706</v>
      </c>
      <c r="D6402" t="inlineStr">
        <is>
          <t>UPPSALA LÄN</t>
        </is>
      </c>
      <c r="E6402" t="inlineStr">
        <is>
          <t>TIERP</t>
        </is>
      </c>
      <c r="F6402" t="inlineStr">
        <is>
          <t>Bergvik skog väst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61443-2024</t>
        </is>
      </c>
      <c r="B6403" s="1" t="n">
        <v>45646</v>
      </c>
      <c r="C6403" s="1" t="n">
        <v>45706</v>
      </c>
      <c r="D6403" t="inlineStr">
        <is>
          <t>UPPSALA LÄN</t>
        </is>
      </c>
      <c r="E6403" t="inlineStr">
        <is>
          <t>ÖSTHAMMAR</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61455-2024</t>
        </is>
      </c>
      <c r="B6404" s="1" t="n">
        <v>45646</v>
      </c>
      <c r="C6404" s="1" t="n">
        <v>45706</v>
      </c>
      <c r="D6404" t="inlineStr">
        <is>
          <t>UPPSALA LÄN</t>
        </is>
      </c>
      <c r="E6404" t="inlineStr">
        <is>
          <t>ÖSTHAMMAR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61463-2024</t>
        </is>
      </c>
      <c r="B6405" s="1" t="n">
        <v>45646</v>
      </c>
      <c r="C6405" s="1" t="n">
        <v>45706</v>
      </c>
      <c r="D6405" t="inlineStr">
        <is>
          <t>UPPSALA LÄN</t>
        </is>
      </c>
      <c r="E6405" t="inlineStr">
        <is>
          <t>UPPSALA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61461-2024</t>
        </is>
      </c>
      <c r="B6406" s="1" t="n">
        <v>45646</v>
      </c>
      <c r="C6406" s="1" t="n">
        <v>45706</v>
      </c>
      <c r="D6406" t="inlineStr">
        <is>
          <t>UPPSALA LÄN</t>
        </is>
      </c>
      <c r="E6406" t="inlineStr">
        <is>
          <t>ÖSTHAMMAR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61518-2024</t>
        </is>
      </c>
      <c r="B6407" s="1" t="n">
        <v>45646</v>
      </c>
      <c r="C6407" s="1" t="n">
        <v>45706</v>
      </c>
      <c r="D6407" t="inlineStr">
        <is>
          <t>UPPSALA LÄN</t>
        </is>
      </c>
      <c r="E6407" t="inlineStr">
        <is>
          <t>TIERP</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61526-2024</t>
        </is>
      </c>
      <c r="B6408" s="1" t="n">
        <v>45646</v>
      </c>
      <c r="C6408" s="1" t="n">
        <v>45706</v>
      </c>
      <c r="D6408" t="inlineStr">
        <is>
          <t>UPPSALA LÄN</t>
        </is>
      </c>
      <c r="E6408" t="inlineStr">
        <is>
          <t>TIERP</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61574-2024</t>
        </is>
      </c>
      <c r="B6409" s="1" t="n">
        <v>45646</v>
      </c>
      <c r="C6409" s="1" t="n">
        <v>45706</v>
      </c>
      <c r="D6409" t="inlineStr">
        <is>
          <t>UPPSALA LÄN</t>
        </is>
      </c>
      <c r="E6409" t="inlineStr">
        <is>
          <t>UPPSALA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61395-2024</t>
        </is>
      </c>
      <c r="B6410" s="1" t="n">
        <v>45646</v>
      </c>
      <c r="C6410" s="1" t="n">
        <v>45706</v>
      </c>
      <c r="D6410" t="inlineStr">
        <is>
          <t>UPPSALA LÄN</t>
        </is>
      </c>
      <c r="E6410" t="inlineStr">
        <is>
          <t>TIERP</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61464-2024</t>
        </is>
      </c>
      <c r="B6411" s="1" t="n">
        <v>45646</v>
      </c>
      <c r="C6411" s="1" t="n">
        <v>45706</v>
      </c>
      <c r="D6411" t="inlineStr">
        <is>
          <t>UPPSALA LÄN</t>
        </is>
      </c>
      <c r="E6411" t="inlineStr">
        <is>
          <t>ÖSTHAMMAR</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61458-2024</t>
        </is>
      </c>
      <c r="B6412" s="1" t="n">
        <v>45646</v>
      </c>
      <c r="C6412" s="1" t="n">
        <v>45706</v>
      </c>
      <c r="D6412" t="inlineStr">
        <is>
          <t>UPPSALA LÄN</t>
        </is>
      </c>
      <c r="E6412" t="inlineStr">
        <is>
          <t>ÖSTHAMMAR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61739-2024</t>
        </is>
      </c>
      <c r="B6413" s="1" t="n">
        <v>45649</v>
      </c>
      <c r="C6413" s="1" t="n">
        <v>45706</v>
      </c>
      <c r="D6413" t="inlineStr">
        <is>
          <t>UPPSALA LÄN</t>
        </is>
      </c>
      <c r="E6413" t="inlineStr">
        <is>
          <t>TIERP</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61827-2024</t>
        </is>
      </c>
      <c r="B6414" s="1" t="n">
        <v>45649</v>
      </c>
      <c r="C6414" s="1" t="n">
        <v>45706</v>
      </c>
      <c r="D6414" t="inlineStr">
        <is>
          <t>UPPSALA LÄN</t>
        </is>
      </c>
      <c r="E6414" t="inlineStr">
        <is>
          <t>TIERP</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192-2025</t>
        </is>
      </c>
      <c r="B6415" s="1" t="n">
        <v>45649</v>
      </c>
      <c r="C6415" s="1" t="n">
        <v>45706</v>
      </c>
      <c r="D6415" t="inlineStr">
        <is>
          <t>UPPSALA LÄN</t>
        </is>
      </c>
      <c r="E6415" t="inlineStr">
        <is>
          <t>ENKÖPING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61836-2024</t>
        </is>
      </c>
      <c r="B6416" s="1" t="n">
        <v>45649</v>
      </c>
      <c r="C6416" s="1" t="n">
        <v>45706</v>
      </c>
      <c r="D6416" t="inlineStr">
        <is>
          <t>UPPSALA LÄN</t>
        </is>
      </c>
      <c r="E6416" t="inlineStr">
        <is>
          <t>TIERP</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61832-2024</t>
        </is>
      </c>
      <c r="B6417" s="1" t="n">
        <v>45649</v>
      </c>
      <c r="C6417" s="1" t="n">
        <v>45706</v>
      </c>
      <c r="D6417" t="inlineStr">
        <is>
          <t>UPPSALA LÄN</t>
        </is>
      </c>
      <c r="E6417" t="inlineStr">
        <is>
          <t>TIERP</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61842-2024</t>
        </is>
      </c>
      <c r="B6418" s="1" t="n">
        <v>45649</v>
      </c>
      <c r="C6418" s="1" t="n">
        <v>45706</v>
      </c>
      <c r="D6418" t="inlineStr">
        <is>
          <t>UPPSALA LÄN</t>
        </is>
      </c>
      <c r="E6418" t="inlineStr">
        <is>
          <t>TIERP</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61956-2024</t>
        </is>
      </c>
      <c r="B6419" s="1" t="n">
        <v>45653</v>
      </c>
      <c r="C6419" s="1" t="n">
        <v>45706</v>
      </c>
      <c r="D6419" t="inlineStr">
        <is>
          <t>UPPSALA LÄN</t>
        </is>
      </c>
      <c r="E6419" t="inlineStr">
        <is>
          <t>TIERP</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62006-2024</t>
        </is>
      </c>
      <c r="B6420" s="1" t="n">
        <v>45655</v>
      </c>
      <c r="C6420" s="1" t="n">
        <v>45706</v>
      </c>
      <c r="D6420" t="inlineStr">
        <is>
          <t>UPPSALA LÄN</t>
        </is>
      </c>
      <c r="E6420" t="inlineStr">
        <is>
          <t>TIERP</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62044-2024</t>
        </is>
      </c>
      <c r="B6421" s="1" t="n">
        <v>45656</v>
      </c>
      <c r="C6421" s="1" t="n">
        <v>45706</v>
      </c>
      <c r="D6421" t="inlineStr">
        <is>
          <t>UPPSALA LÄN</t>
        </is>
      </c>
      <c r="E6421" t="inlineStr">
        <is>
          <t>UPPSALA</t>
        </is>
      </c>
      <c r="F6421" t="inlineStr">
        <is>
          <t>Övriga statliga verk och myndigheter</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62054-2024</t>
        </is>
      </c>
      <c r="B6422" s="1" t="n">
        <v>45656</v>
      </c>
      <c r="C6422" s="1" t="n">
        <v>45706</v>
      </c>
      <c r="D6422" t="inlineStr">
        <is>
          <t>UPPSALA LÄN</t>
        </is>
      </c>
      <c r="E6422" t="inlineStr">
        <is>
          <t>UPPSALA</t>
        </is>
      </c>
      <c r="F6422" t="inlineStr">
        <is>
          <t>Övriga statliga verk och myndigheter</t>
        </is>
      </c>
      <c r="G6422" t="n">
        <v>29.3</v>
      </c>
      <c r="H6422" t="n">
        <v>0</v>
      </c>
      <c r="I6422" t="n">
        <v>0</v>
      </c>
      <c r="J6422" t="n">
        <v>0</v>
      </c>
      <c r="K6422" t="n">
        <v>0</v>
      </c>
      <c r="L6422" t="n">
        <v>0</v>
      </c>
      <c r="M6422" t="n">
        <v>0</v>
      </c>
      <c r="N6422" t="n">
        <v>0</v>
      </c>
      <c r="O6422" t="n">
        <v>0</v>
      </c>
      <c r="P6422" t="n">
        <v>0</v>
      </c>
      <c r="Q6422" t="n">
        <v>0</v>
      </c>
      <c r="R6422" s="2" t="inlineStr"/>
    </row>
    <row r="6423" ht="15" customHeight="1">
      <c r="A6423" t="inlineStr">
        <is>
          <t>A 62155-2024</t>
        </is>
      </c>
      <c r="B6423" s="1" t="n">
        <v>45656</v>
      </c>
      <c r="C6423" s="1" t="n">
        <v>45706</v>
      </c>
      <c r="D6423" t="inlineStr">
        <is>
          <t>UPPSALA LÄN</t>
        </is>
      </c>
      <c r="E6423" t="inlineStr">
        <is>
          <t>HEBY</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314-2025</t>
        </is>
      </c>
      <c r="B6424" s="1" t="n">
        <v>45656</v>
      </c>
      <c r="C6424" s="1" t="n">
        <v>45706</v>
      </c>
      <c r="D6424" t="inlineStr">
        <is>
          <t>UPPSALA LÄN</t>
        </is>
      </c>
      <c r="E6424" t="inlineStr">
        <is>
          <t>ENKÖPING</t>
        </is>
      </c>
      <c r="G6424" t="n">
        <v>9</v>
      </c>
      <c r="H6424" t="n">
        <v>0</v>
      </c>
      <c r="I6424" t="n">
        <v>0</v>
      </c>
      <c r="J6424" t="n">
        <v>0</v>
      </c>
      <c r="K6424" t="n">
        <v>0</v>
      </c>
      <c r="L6424" t="n">
        <v>0</v>
      </c>
      <c r="M6424" t="n">
        <v>0</v>
      </c>
      <c r="N6424" t="n">
        <v>0</v>
      </c>
      <c r="O6424" t="n">
        <v>0</v>
      </c>
      <c r="P6424" t="n">
        <v>0</v>
      </c>
      <c r="Q6424" t="n">
        <v>0</v>
      </c>
      <c r="R6424" s="2" t="inlineStr"/>
    </row>
    <row r="6425" ht="15" customHeight="1">
      <c r="A6425" t="inlineStr">
        <is>
          <t>A 62078-2024</t>
        </is>
      </c>
      <c r="B6425" s="1" t="n">
        <v>45656</v>
      </c>
      <c r="C6425" s="1" t="n">
        <v>45706</v>
      </c>
      <c r="D6425" t="inlineStr">
        <is>
          <t>UPPSALA LÄN</t>
        </is>
      </c>
      <c r="E6425" t="inlineStr">
        <is>
          <t>TIERP</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66-2025</t>
        </is>
      </c>
      <c r="B6426" s="1" t="n">
        <v>45659</v>
      </c>
      <c r="C6426" s="1" t="n">
        <v>45706</v>
      </c>
      <c r="D6426" t="inlineStr">
        <is>
          <t>UPPSALA LÄN</t>
        </is>
      </c>
      <c r="E6426" t="inlineStr">
        <is>
          <t>TIERP</t>
        </is>
      </c>
      <c r="F6426" t="inlineStr">
        <is>
          <t>Bergvik skog öst AB</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89-2025</t>
        </is>
      </c>
      <c r="B6427" s="1" t="n">
        <v>45659</v>
      </c>
      <c r="C6427" s="1" t="n">
        <v>45706</v>
      </c>
      <c r="D6427" t="inlineStr">
        <is>
          <t>UPPSALA LÄN</t>
        </is>
      </c>
      <c r="E6427" t="inlineStr">
        <is>
          <t>HEBY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128-2025</t>
        </is>
      </c>
      <c r="B6428" s="1" t="n">
        <v>45659</v>
      </c>
      <c r="C6428" s="1" t="n">
        <v>45706</v>
      </c>
      <c r="D6428" t="inlineStr">
        <is>
          <t>UPPSALA LÄN</t>
        </is>
      </c>
      <c r="E6428" t="inlineStr">
        <is>
          <t>TIERP</t>
        </is>
      </c>
      <c r="F6428" t="inlineStr">
        <is>
          <t>Bergvik skog öst AB</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129-2025</t>
        </is>
      </c>
      <c r="B6429" s="1" t="n">
        <v>45659</v>
      </c>
      <c r="C6429" s="1" t="n">
        <v>45706</v>
      </c>
      <c r="D6429" t="inlineStr">
        <is>
          <t>UPPSALA LÄN</t>
        </is>
      </c>
      <c r="E6429" t="inlineStr">
        <is>
          <t>TIERP</t>
        </is>
      </c>
      <c r="F6429" t="inlineStr">
        <is>
          <t>Bergvik skog öst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130-2025</t>
        </is>
      </c>
      <c r="B6430" s="1" t="n">
        <v>45659</v>
      </c>
      <c r="C6430" s="1" t="n">
        <v>45706</v>
      </c>
      <c r="D6430" t="inlineStr">
        <is>
          <t>UPPSALA LÄN</t>
        </is>
      </c>
      <c r="E6430" t="inlineStr">
        <is>
          <t>TIERP</t>
        </is>
      </c>
      <c r="F6430" t="inlineStr">
        <is>
          <t>Bergvik skog öst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357-2025</t>
        </is>
      </c>
      <c r="B6431" s="1" t="n">
        <v>45659</v>
      </c>
      <c r="C6431" s="1" t="n">
        <v>45706</v>
      </c>
      <c r="D6431" t="inlineStr">
        <is>
          <t>UPPSALA LÄN</t>
        </is>
      </c>
      <c r="E6431" t="inlineStr">
        <is>
          <t>ÖSTHAMMAR</t>
        </is>
      </c>
      <c r="G6431" t="n">
        <v>15.8</v>
      </c>
      <c r="H6431" t="n">
        <v>0</v>
      </c>
      <c r="I6431" t="n">
        <v>0</v>
      </c>
      <c r="J6431" t="n">
        <v>0</v>
      </c>
      <c r="K6431" t="n">
        <v>0</v>
      </c>
      <c r="L6431" t="n">
        <v>0</v>
      </c>
      <c r="M6431" t="n">
        <v>0</v>
      </c>
      <c r="N6431" t="n">
        <v>0</v>
      </c>
      <c r="O6431" t="n">
        <v>0</v>
      </c>
      <c r="P6431" t="n">
        <v>0</v>
      </c>
      <c r="Q6431" t="n">
        <v>0</v>
      </c>
      <c r="R6431" s="2" t="inlineStr"/>
    </row>
    <row r="6432" ht="15" customHeight="1">
      <c r="A6432" t="inlineStr">
        <is>
          <t>A 358-2025</t>
        </is>
      </c>
      <c r="B6432" s="1" t="n">
        <v>45659</v>
      </c>
      <c r="C6432" s="1" t="n">
        <v>45706</v>
      </c>
      <c r="D6432" t="inlineStr">
        <is>
          <t>UPPSALA LÄN</t>
        </is>
      </c>
      <c r="E6432" t="inlineStr">
        <is>
          <t>ÖSTHAMMAR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387-2025</t>
        </is>
      </c>
      <c r="B6433" s="1" t="n">
        <v>45662</v>
      </c>
      <c r="C6433" s="1" t="n">
        <v>45706</v>
      </c>
      <c r="D6433" t="inlineStr">
        <is>
          <t>UPPSALA LÄN</t>
        </is>
      </c>
      <c r="E6433" t="inlineStr">
        <is>
          <t>HEBY</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385-2025</t>
        </is>
      </c>
      <c r="B6434" s="1" t="n">
        <v>45662</v>
      </c>
      <c r="C6434" s="1" t="n">
        <v>45706</v>
      </c>
      <c r="D6434" t="inlineStr">
        <is>
          <t>UPPSALA LÄN</t>
        </is>
      </c>
      <c r="E6434" t="inlineStr">
        <is>
          <t>HEBY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478-2025</t>
        </is>
      </c>
      <c r="B6435" s="1" t="n">
        <v>45664</v>
      </c>
      <c r="C6435" s="1" t="n">
        <v>45706</v>
      </c>
      <c r="D6435" t="inlineStr">
        <is>
          <t>UPPSALA LÄN</t>
        </is>
      </c>
      <c r="E6435" t="inlineStr">
        <is>
          <t>HEBY</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668-2025</t>
        </is>
      </c>
      <c r="B6436" s="1" t="n">
        <v>45664</v>
      </c>
      <c r="C6436" s="1" t="n">
        <v>45706</v>
      </c>
      <c r="D6436" t="inlineStr">
        <is>
          <t>UPPSALA LÄN</t>
        </is>
      </c>
      <c r="E6436" t="inlineStr">
        <is>
          <t>UPPSALA</t>
        </is>
      </c>
      <c r="F6436" t="inlineStr">
        <is>
          <t>Bergvik skog öst AB</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486-2025</t>
        </is>
      </c>
      <c r="B6437" s="1" t="n">
        <v>45664</v>
      </c>
      <c r="C6437" s="1" t="n">
        <v>45706</v>
      </c>
      <c r="D6437" t="inlineStr">
        <is>
          <t>UPPSALA LÄN</t>
        </is>
      </c>
      <c r="E6437" t="inlineStr">
        <is>
          <t>HEBY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819-2025</t>
        </is>
      </c>
      <c r="B6438" s="1" t="n">
        <v>45665</v>
      </c>
      <c r="C6438" s="1" t="n">
        <v>45706</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845-2025</t>
        </is>
      </c>
      <c r="B6439" s="1" t="n">
        <v>45665</v>
      </c>
      <c r="C6439" s="1" t="n">
        <v>45706</v>
      </c>
      <c r="D6439" t="inlineStr">
        <is>
          <t>UPPSALA LÄN</t>
        </is>
      </c>
      <c r="E6439" t="inlineStr">
        <is>
          <t>ENKÖPING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849-2025</t>
        </is>
      </c>
      <c r="B6440" s="1" t="n">
        <v>45665</v>
      </c>
      <c r="C6440" s="1" t="n">
        <v>45706</v>
      </c>
      <c r="D6440" t="inlineStr">
        <is>
          <t>UPPSALA LÄN</t>
        </is>
      </c>
      <c r="E6440" t="inlineStr">
        <is>
          <t>ENKÖPING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719-2025</t>
        </is>
      </c>
      <c r="B6441" s="1" t="n">
        <v>45665</v>
      </c>
      <c r="C6441" s="1" t="n">
        <v>45706</v>
      </c>
      <c r="D6441" t="inlineStr">
        <is>
          <t>UPPSALA LÄN</t>
        </is>
      </c>
      <c r="E6441" t="inlineStr">
        <is>
          <t>HEBY</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842-2025</t>
        </is>
      </c>
      <c r="B6442" s="1" t="n">
        <v>45665</v>
      </c>
      <c r="C6442" s="1" t="n">
        <v>45706</v>
      </c>
      <c r="D6442" t="inlineStr">
        <is>
          <t>UPPSALA LÄN</t>
        </is>
      </c>
      <c r="E6442" t="inlineStr">
        <is>
          <t>UPPSALA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834-2025</t>
        </is>
      </c>
      <c r="B6443" s="1" t="n">
        <v>45665</v>
      </c>
      <c r="C6443" s="1" t="n">
        <v>45706</v>
      </c>
      <c r="D6443" t="inlineStr">
        <is>
          <t>UPPSALA LÄN</t>
        </is>
      </c>
      <c r="E6443" t="inlineStr">
        <is>
          <t>HEBY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835-2025</t>
        </is>
      </c>
      <c r="B6444" s="1" t="n">
        <v>45665</v>
      </c>
      <c r="C6444" s="1" t="n">
        <v>45706</v>
      </c>
      <c r="D6444" t="inlineStr">
        <is>
          <t>UPPSALA LÄN</t>
        </is>
      </c>
      <c r="E6444" t="inlineStr">
        <is>
          <t>ÖSTHAMMAR</t>
        </is>
      </c>
      <c r="F6444" t="inlineStr">
        <is>
          <t>Övriga Aktiebolag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724-2025</t>
        </is>
      </c>
      <c r="B6445" s="1" t="n">
        <v>45665</v>
      </c>
      <c r="C6445" s="1" t="n">
        <v>45706</v>
      </c>
      <c r="D6445" t="inlineStr">
        <is>
          <t>UPPSALA LÄN</t>
        </is>
      </c>
      <c r="E6445" t="inlineStr">
        <is>
          <t>HEBY</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697-2025</t>
        </is>
      </c>
      <c r="B6446" s="1" t="n">
        <v>45665</v>
      </c>
      <c r="C6446" s="1" t="n">
        <v>45706</v>
      </c>
      <c r="D6446" t="inlineStr">
        <is>
          <t>UPPSALA LÄN</t>
        </is>
      </c>
      <c r="E6446" t="inlineStr">
        <is>
          <t>TIERP</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840-2025</t>
        </is>
      </c>
      <c r="B6447" s="1" t="n">
        <v>45665</v>
      </c>
      <c r="C6447" s="1" t="n">
        <v>45706</v>
      </c>
      <c r="D6447" t="inlineStr">
        <is>
          <t>UPPSALA LÄN</t>
        </is>
      </c>
      <c r="E6447" t="inlineStr">
        <is>
          <t>ENKÖPING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844-2025</t>
        </is>
      </c>
      <c r="B6448" s="1" t="n">
        <v>45665</v>
      </c>
      <c r="C6448" s="1" t="n">
        <v>45706</v>
      </c>
      <c r="D6448" t="inlineStr">
        <is>
          <t>UPPSALA LÄN</t>
        </is>
      </c>
      <c r="E6448" t="inlineStr">
        <is>
          <t>UPPSALA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1063-2025</t>
        </is>
      </c>
      <c r="B6449" s="1" t="n">
        <v>45666</v>
      </c>
      <c r="C6449" s="1" t="n">
        <v>45706</v>
      </c>
      <c r="D6449" t="inlineStr">
        <is>
          <t>UPPSALA LÄN</t>
        </is>
      </c>
      <c r="E6449" t="inlineStr">
        <is>
          <t>ÖSTHAMMAR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1086-2025</t>
        </is>
      </c>
      <c r="B6450" s="1" t="n">
        <v>45666</v>
      </c>
      <c r="C6450" s="1" t="n">
        <v>45706</v>
      </c>
      <c r="D6450" t="inlineStr">
        <is>
          <t>UPPSALA LÄN</t>
        </is>
      </c>
      <c r="E6450" t="inlineStr">
        <is>
          <t>HEBY</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1056-2025</t>
        </is>
      </c>
      <c r="B6451" s="1" t="n">
        <v>45666</v>
      </c>
      <c r="C6451" s="1" t="n">
        <v>45706</v>
      </c>
      <c r="D6451" t="inlineStr">
        <is>
          <t>UPPSALA LÄN</t>
        </is>
      </c>
      <c r="E6451" t="inlineStr">
        <is>
          <t>TIERP</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1229-2025</t>
        </is>
      </c>
      <c r="B6452" s="1" t="n">
        <v>45667</v>
      </c>
      <c r="C6452" s="1" t="n">
        <v>45706</v>
      </c>
      <c r="D6452" t="inlineStr">
        <is>
          <t>UPPSALA LÄN</t>
        </is>
      </c>
      <c r="E6452" t="inlineStr">
        <is>
          <t>TIERP</t>
        </is>
      </c>
      <c r="F6452" t="inlineStr">
        <is>
          <t>Bergvik skog öst AB</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1245-2025</t>
        </is>
      </c>
      <c r="B6453" s="1" t="n">
        <v>45667</v>
      </c>
      <c r="C6453" s="1" t="n">
        <v>45706</v>
      </c>
      <c r="D6453" t="inlineStr">
        <is>
          <t>UPPSALA LÄN</t>
        </is>
      </c>
      <c r="E6453" t="inlineStr">
        <is>
          <t>TIERP</t>
        </is>
      </c>
      <c r="F6453" t="inlineStr">
        <is>
          <t>Bergvik skog öst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1202-2025</t>
        </is>
      </c>
      <c r="B6454" s="1" t="n">
        <v>45667</v>
      </c>
      <c r="C6454" s="1" t="n">
        <v>45706</v>
      </c>
      <c r="D6454" t="inlineStr">
        <is>
          <t>UPPSALA LÄN</t>
        </is>
      </c>
      <c r="E6454" t="inlineStr">
        <is>
          <t>TIERP</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1436-2025</t>
        </is>
      </c>
      <c r="B6455" s="1" t="n">
        <v>45669</v>
      </c>
      <c r="C6455" s="1" t="n">
        <v>45706</v>
      </c>
      <c r="D6455" t="inlineStr">
        <is>
          <t>UPPSALA LÄN</t>
        </is>
      </c>
      <c r="E6455" t="inlineStr">
        <is>
          <t>ÖSTHAMMAR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1439-2025</t>
        </is>
      </c>
      <c r="B6456" s="1" t="n">
        <v>45669</v>
      </c>
      <c r="C6456" s="1" t="n">
        <v>45706</v>
      </c>
      <c r="D6456" t="inlineStr">
        <is>
          <t>UPPSALA LÄN</t>
        </is>
      </c>
      <c r="E6456" t="inlineStr">
        <is>
          <t>ÖSTHAMMAR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1695-2025</t>
        </is>
      </c>
      <c r="B6457" s="1" t="n">
        <v>45670</v>
      </c>
      <c r="C6457" s="1" t="n">
        <v>45706</v>
      </c>
      <c r="D6457" t="inlineStr">
        <is>
          <t>UPPSALA LÄN</t>
        </is>
      </c>
      <c r="E6457" t="inlineStr">
        <is>
          <t>ENKÖPING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1586-2025</t>
        </is>
      </c>
      <c r="B6458" s="1" t="n">
        <v>45670</v>
      </c>
      <c r="C6458" s="1" t="n">
        <v>45706</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1561-2025</t>
        </is>
      </c>
      <c r="B6459" s="1" t="n">
        <v>45670</v>
      </c>
      <c r="C6459" s="1" t="n">
        <v>45706</v>
      </c>
      <c r="D6459" t="inlineStr">
        <is>
          <t>UPPSALA LÄN</t>
        </is>
      </c>
      <c r="E6459" t="inlineStr">
        <is>
          <t>HEBY</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1525-2025</t>
        </is>
      </c>
      <c r="B6460" s="1" t="n">
        <v>45670</v>
      </c>
      <c r="C6460" s="1" t="n">
        <v>45706</v>
      </c>
      <c r="D6460" t="inlineStr">
        <is>
          <t>UPPSALA LÄN</t>
        </is>
      </c>
      <c r="E6460" t="inlineStr">
        <is>
          <t>ÖSTHAMMAR</t>
        </is>
      </c>
      <c r="F6460" t="inlineStr">
        <is>
          <t>Bergvik skog öst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1584-2025</t>
        </is>
      </c>
      <c r="B6461" s="1" t="n">
        <v>45670</v>
      </c>
      <c r="C6461" s="1" t="n">
        <v>45706</v>
      </c>
      <c r="D6461" t="inlineStr">
        <is>
          <t>UPPSALA LÄN</t>
        </is>
      </c>
      <c r="E6461" t="inlineStr">
        <is>
          <t>ÖSTHAMMAR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1588-2025</t>
        </is>
      </c>
      <c r="B6462" s="1" t="n">
        <v>45670</v>
      </c>
      <c r="C6462" s="1" t="n">
        <v>45706</v>
      </c>
      <c r="D6462" t="inlineStr">
        <is>
          <t>UPPSALA LÄN</t>
        </is>
      </c>
      <c r="E6462" t="inlineStr">
        <is>
          <t>UPPSALA</t>
        </is>
      </c>
      <c r="F6462" t="inlineStr">
        <is>
          <t>Bergvik skog väst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1656-2025</t>
        </is>
      </c>
      <c r="B6463" s="1" t="n">
        <v>45670</v>
      </c>
      <c r="C6463" s="1" t="n">
        <v>45706</v>
      </c>
      <c r="D6463" t="inlineStr">
        <is>
          <t>UPPSALA LÄN</t>
        </is>
      </c>
      <c r="E6463" t="inlineStr">
        <is>
          <t>ENKÖPING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1592-2025</t>
        </is>
      </c>
      <c r="B6464" s="1" t="n">
        <v>45670</v>
      </c>
      <c r="C6464" s="1" t="n">
        <v>45706</v>
      </c>
      <c r="D6464" t="inlineStr">
        <is>
          <t>UPPSALA LÄN</t>
        </is>
      </c>
      <c r="E6464" t="inlineStr">
        <is>
          <t>UPPSALA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1575-2025</t>
        </is>
      </c>
      <c r="B6465" s="1" t="n">
        <v>45670</v>
      </c>
      <c r="C6465" s="1" t="n">
        <v>45706</v>
      </c>
      <c r="D6465" t="inlineStr">
        <is>
          <t>UPPSALA LÄN</t>
        </is>
      </c>
      <c r="E6465" t="inlineStr">
        <is>
          <t>ÖSTHAMMAR</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1567-2025</t>
        </is>
      </c>
      <c r="B6466" s="1" t="n">
        <v>45670</v>
      </c>
      <c r="C6466" s="1" t="n">
        <v>45706</v>
      </c>
      <c r="D6466" t="inlineStr">
        <is>
          <t>UPPSALA LÄN</t>
        </is>
      </c>
      <c r="E6466" t="inlineStr">
        <is>
          <t>ÖSTHAMMAR</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1471-2025</t>
        </is>
      </c>
      <c r="B6467" s="1" t="n">
        <v>45670</v>
      </c>
      <c r="C6467" s="1" t="n">
        <v>45706</v>
      </c>
      <c r="D6467" t="inlineStr">
        <is>
          <t>UPPSALA LÄN</t>
        </is>
      </c>
      <c r="E6467" t="inlineStr">
        <is>
          <t>HEBY</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1568-2025</t>
        </is>
      </c>
      <c r="B6468" s="1" t="n">
        <v>45670</v>
      </c>
      <c r="C6468" s="1" t="n">
        <v>45706</v>
      </c>
      <c r="D6468" t="inlineStr">
        <is>
          <t>UPPSALA LÄN</t>
        </is>
      </c>
      <c r="E6468" t="inlineStr">
        <is>
          <t>HEBY</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1527-2025</t>
        </is>
      </c>
      <c r="B6469" s="1" t="n">
        <v>45670</v>
      </c>
      <c r="C6469" s="1" t="n">
        <v>45706</v>
      </c>
      <c r="D6469" t="inlineStr">
        <is>
          <t>UPPSALA LÄN</t>
        </is>
      </c>
      <c r="E6469" t="inlineStr">
        <is>
          <t>ÖSTHAMMAR</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1810-2025</t>
        </is>
      </c>
      <c r="B6470" s="1" t="n">
        <v>45671</v>
      </c>
      <c r="C6470" s="1" t="n">
        <v>45706</v>
      </c>
      <c r="D6470" t="inlineStr">
        <is>
          <t>UPPSALA LÄN</t>
        </is>
      </c>
      <c r="E6470" t="inlineStr">
        <is>
          <t>HEBY</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2068-2025</t>
        </is>
      </c>
      <c r="B6471" s="1" t="n">
        <v>45672</v>
      </c>
      <c r="C6471" s="1" t="n">
        <v>45706</v>
      </c>
      <c r="D6471" t="inlineStr">
        <is>
          <t>UPPSALA LÄN</t>
        </is>
      </c>
      <c r="E6471" t="inlineStr">
        <is>
          <t>KNIVSTA</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2099-2025</t>
        </is>
      </c>
      <c r="B6472" s="1" t="n">
        <v>45672</v>
      </c>
      <c r="C6472" s="1" t="n">
        <v>45706</v>
      </c>
      <c r="D6472" t="inlineStr">
        <is>
          <t>UPPSALA LÄN</t>
        </is>
      </c>
      <c r="E6472" t="inlineStr">
        <is>
          <t>KNIVSTA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2309-2025</t>
        </is>
      </c>
      <c r="B6473" s="1" t="n">
        <v>45673</v>
      </c>
      <c r="C6473" s="1" t="n">
        <v>45706</v>
      </c>
      <c r="D6473" t="inlineStr">
        <is>
          <t>UPPSALA LÄN</t>
        </is>
      </c>
      <c r="E6473" t="inlineStr">
        <is>
          <t>HEBY</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2313-2025</t>
        </is>
      </c>
      <c r="B6474" s="1" t="n">
        <v>45673</v>
      </c>
      <c r="C6474" s="1" t="n">
        <v>45706</v>
      </c>
      <c r="D6474" t="inlineStr">
        <is>
          <t>UPPSALA LÄN</t>
        </is>
      </c>
      <c r="E6474" t="inlineStr">
        <is>
          <t>TIERP</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2303-2025</t>
        </is>
      </c>
      <c r="B6475" s="1" t="n">
        <v>45673</v>
      </c>
      <c r="C6475" s="1" t="n">
        <v>45706</v>
      </c>
      <c r="D6475" t="inlineStr">
        <is>
          <t>UPPSALA LÄN</t>
        </is>
      </c>
      <c r="E6475" t="inlineStr">
        <is>
          <t>HEBY</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2396-2025</t>
        </is>
      </c>
      <c r="B6476" s="1" t="n">
        <v>45674</v>
      </c>
      <c r="C6476" s="1" t="n">
        <v>45706</v>
      </c>
      <c r="D6476" t="inlineStr">
        <is>
          <t>UPPSALA LÄN</t>
        </is>
      </c>
      <c r="E6476" t="inlineStr">
        <is>
          <t>TIERP</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2411-2025</t>
        </is>
      </c>
      <c r="B6477" s="1" t="n">
        <v>45674</v>
      </c>
      <c r="C6477" s="1" t="n">
        <v>45706</v>
      </c>
      <c r="D6477" t="inlineStr">
        <is>
          <t>UPPSALA LÄN</t>
        </is>
      </c>
      <c r="E6477" t="inlineStr">
        <is>
          <t>TIERP</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2491-2025</t>
        </is>
      </c>
      <c r="B6478" s="1" t="n">
        <v>45674</v>
      </c>
      <c r="C6478" s="1" t="n">
        <v>45706</v>
      </c>
      <c r="D6478" t="inlineStr">
        <is>
          <t>UPPSALA LÄN</t>
        </is>
      </c>
      <c r="E6478" t="inlineStr">
        <is>
          <t>HEBY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2487-2025</t>
        </is>
      </c>
      <c r="B6479" s="1" t="n">
        <v>45674</v>
      </c>
      <c r="C6479" s="1" t="n">
        <v>45706</v>
      </c>
      <c r="D6479" t="inlineStr">
        <is>
          <t>UPPSALA LÄN</t>
        </is>
      </c>
      <c r="E6479" t="inlineStr">
        <is>
          <t>HEBY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2549-2025</t>
        </is>
      </c>
      <c r="B6480" s="1" t="n">
        <v>45674</v>
      </c>
      <c r="C6480" s="1" t="n">
        <v>45706</v>
      </c>
      <c r="D6480" t="inlineStr">
        <is>
          <t>UPPSALA LÄN</t>
        </is>
      </c>
      <c r="E6480" t="inlineStr">
        <is>
          <t>TIERP</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2407-2025</t>
        </is>
      </c>
      <c r="B6481" s="1" t="n">
        <v>45674</v>
      </c>
      <c r="C6481" s="1" t="n">
        <v>45706</v>
      </c>
      <c r="D6481" t="inlineStr">
        <is>
          <t>UPPSALA LÄN</t>
        </is>
      </c>
      <c r="E6481" t="inlineStr">
        <is>
          <t>TIERP</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2628-2025</t>
        </is>
      </c>
      <c r="B6482" s="1" t="n">
        <v>45675</v>
      </c>
      <c r="C6482" s="1" t="n">
        <v>45706</v>
      </c>
      <c r="D6482" t="inlineStr">
        <is>
          <t>UPPSALA LÄN</t>
        </is>
      </c>
      <c r="E6482" t="inlineStr">
        <is>
          <t>KNIVSTA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2629-2025</t>
        </is>
      </c>
      <c r="B6483" s="1" t="n">
        <v>45675</v>
      </c>
      <c r="C6483" s="1" t="n">
        <v>45706</v>
      </c>
      <c r="D6483" t="inlineStr">
        <is>
          <t>UPPSALA LÄN</t>
        </is>
      </c>
      <c r="E6483" t="inlineStr">
        <is>
          <t>KNIVSTA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2833-2025</t>
        </is>
      </c>
      <c r="B6484" s="1" t="n">
        <v>45677</v>
      </c>
      <c r="C6484" s="1" t="n">
        <v>45706</v>
      </c>
      <c r="D6484" t="inlineStr">
        <is>
          <t>UPPSALA LÄN</t>
        </is>
      </c>
      <c r="E6484" t="inlineStr">
        <is>
          <t>ENKÖPING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2850-2025</t>
        </is>
      </c>
      <c r="B6485" s="1" t="n">
        <v>45677</v>
      </c>
      <c r="C6485" s="1" t="n">
        <v>45706</v>
      </c>
      <c r="D6485" t="inlineStr">
        <is>
          <t>UPPSALA LÄN</t>
        </is>
      </c>
      <c r="E6485" t="inlineStr">
        <is>
          <t>ENKÖPING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2790-2025</t>
        </is>
      </c>
      <c r="B6486" s="1" t="n">
        <v>45677</v>
      </c>
      <c r="C6486" s="1" t="n">
        <v>45706</v>
      </c>
      <c r="D6486" t="inlineStr">
        <is>
          <t>UPPSALA LÄN</t>
        </is>
      </c>
      <c r="E6486" t="inlineStr">
        <is>
          <t>UPPSALA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2838-2025</t>
        </is>
      </c>
      <c r="B6487" s="1" t="n">
        <v>45677</v>
      </c>
      <c r="C6487" s="1" t="n">
        <v>45706</v>
      </c>
      <c r="D6487" t="inlineStr">
        <is>
          <t>UPPSALA LÄN</t>
        </is>
      </c>
      <c r="E6487" t="inlineStr">
        <is>
          <t>TIERP</t>
        </is>
      </c>
      <c r="F6487" t="inlineStr">
        <is>
          <t>Bergvik skog väst AB</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2847-2025</t>
        </is>
      </c>
      <c r="B6488" s="1" t="n">
        <v>45677</v>
      </c>
      <c r="C6488" s="1" t="n">
        <v>45706</v>
      </c>
      <c r="D6488" t="inlineStr">
        <is>
          <t>UPPSALA LÄN</t>
        </is>
      </c>
      <c r="E6488" t="inlineStr">
        <is>
          <t>ÖSTHAMMAR</t>
        </is>
      </c>
      <c r="F6488" t="inlineStr">
        <is>
          <t>Övriga Aktiebolag</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2695-2025</t>
        </is>
      </c>
      <c r="B6489" s="1" t="n">
        <v>45677</v>
      </c>
      <c r="C6489" s="1" t="n">
        <v>45706</v>
      </c>
      <c r="D6489" t="inlineStr">
        <is>
          <t>UPPSALA LÄN</t>
        </is>
      </c>
      <c r="E6489" t="inlineStr">
        <is>
          <t>UPPSALA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2839-2025</t>
        </is>
      </c>
      <c r="B6490" s="1" t="n">
        <v>45677</v>
      </c>
      <c r="C6490" s="1" t="n">
        <v>45706</v>
      </c>
      <c r="D6490" t="inlineStr">
        <is>
          <t>UPPSALA LÄN</t>
        </is>
      </c>
      <c r="E6490" t="inlineStr">
        <is>
          <t>ÖSTHAMMAR</t>
        </is>
      </c>
      <c r="F6490" t="inlineStr">
        <is>
          <t>Övriga Aktiebolag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2916-2025</t>
        </is>
      </c>
      <c r="B6491" s="1" t="n">
        <v>45677</v>
      </c>
      <c r="C6491" s="1" t="n">
        <v>45706</v>
      </c>
      <c r="D6491" t="inlineStr">
        <is>
          <t>UPPSALA LÄN</t>
        </is>
      </c>
      <c r="E6491" t="inlineStr">
        <is>
          <t>ÖSTHAMMAR</t>
        </is>
      </c>
      <c r="F6491" t="inlineStr">
        <is>
          <t>Allmännings- och besparingsskogar</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2897-2025</t>
        </is>
      </c>
      <c r="B6492" s="1" t="n">
        <v>45677</v>
      </c>
      <c r="C6492" s="1" t="n">
        <v>45706</v>
      </c>
      <c r="D6492" t="inlineStr">
        <is>
          <t>UPPSALA LÄN</t>
        </is>
      </c>
      <c r="E6492" t="inlineStr">
        <is>
          <t>UPPSALA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2968-2025</t>
        </is>
      </c>
      <c r="B6493" s="1" t="n">
        <v>45678</v>
      </c>
      <c r="C6493" s="1" t="n">
        <v>45706</v>
      </c>
      <c r="D6493" t="inlineStr">
        <is>
          <t>UPPSALA LÄN</t>
        </is>
      </c>
      <c r="E6493" t="inlineStr">
        <is>
          <t>ENKÖPING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2974-2025</t>
        </is>
      </c>
      <c r="B6494" s="1" t="n">
        <v>45678</v>
      </c>
      <c r="C6494" s="1" t="n">
        <v>45706</v>
      </c>
      <c r="D6494" t="inlineStr">
        <is>
          <t>UPPSALA LÄN</t>
        </is>
      </c>
      <c r="E6494" t="inlineStr">
        <is>
          <t>ENKÖPING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3119-2025</t>
        </is>
      </c>
      <c r="B6495" s="1" t="n">
        <v>45678</v>
      </c>
      <c r="C6495" s="1" t="n">
        <v>45706</v>
      </c>
      <c r="D6495" t="inlineStr">
        <is>
          <t>UPPSALA LÄN</t>
        </is>
      </c>
      <c r="E6495" t="inlineStr">
        <is>
          <t>ÖSTHAMMAR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2947-2025</t>
        </is>
      </c>
      <c r="B6496" s="1" t="n">
        <v>45678</v>
      </c>
      <c r="C6496" s="1" t="n">
        <v>45706</v>
      </c>
      <c r="D6496" t="inlineStr">
        <is>
          <t>UPPSALA LÄN</t>
        </is>
      </c>
      <c r="E6496" t="inlineStr">
        <is>
          <t>ÖSTHAMMAR</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3197-2025</t>
        </is>
      </c>
      <c r="B6497" s="1" t="n">
        <v>45679</v>
      </c>
      <c r="C6497" s="1" t="n">
        <v>45706</v>
      </c>
      <c r="D6497" t="inlineStr">
        <is>
          <t>UPPSALA LÄN</t>
        </is>
      </c>
      <c r="E6497" t="inlineStr">
        <is>
          <t>ENKÖPING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3235-2025</t>
        </is>
      </c>
      <c r="B6498" s="1" t="n">
        <v>45679</v>
      </c>
      <c r="C6498" s="1" t="n">
        <v>45706</v>
      </c>
      <c r="D6498" t="inlineStr">
        <is>
          <t>UPPSALA LÄN</t>
        </is>
      </c>
      <c r="E6498" t="inlineStr">
        <is>
          <t>ENKÖPING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3259-2025</t>
        </is>
      </c>
      <c r="B6499" s="1" t="n">
        <v>45679</v>
      </c>
      <c r="C6499" s="1" t="n">
        <v>45706</v>
      </c>
      <c r="D6499" t="inlineStr">
        <is>
          <t>UPPSALA LÄN</t>
        </is>
      </c>
      <c r="E6499" t="inlineStr">
        <is>
          <t>ÖSTHAMMAR</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3287-2025</t>
        </is>
      </c>
      <c r="B6500" s="1" t="n">
        <v>45679</v>
      </c>
      <c r="C6500" s="1" t="n">
        <v>45706</v>
      </c>
      <c r="D6500" t="inlineStr">
        <is>
          <t>UPPSALA LÄN</t>
        </is>
      </c>
      <c r="E6500" t="inlineStr">
        <is>
          <t>UPPSALA</t>
        </is>
      </c>
      <c r="F6500" t="inlineStr">
        <is>
          <t>Kyrkan</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3314-2025</t>
        </is>
      </c>
      <c r="B6501" s="1" t="n">
        <v>45679</v>
      </c>
      <c r="C6501" s="1" t="n">
        <v>45706</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3315-2025</t>
        </is>
      </c>
      <c r="B6502" s="1" t="n">
        <v>45679</v>
      </c>
      <c r="C6502" s="1" t="n">
        <v>45706</v>
      </c>
      <c r="D6502" t="inlineStr">
        <is>
          <t>UPPSALA LÄN</t>
        </is>
      </c>
      <c r="E6502" t="inlineStr">
        <is>
          <t>UPPSALA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3300-2025</t>
        </is>
      </c>
      <c r="B6503" s="1" t="n">
        <v>45679</v>
      </c>
      <c r="C6503" s="1" t="n">
        <v>45706</v>
      </c>
      <c r="D6503" t="inlineStr">
        <is>
          <t>UPPSALA LÄN</t>
        </is>
      </c>
      <c r="E6503" t="inlineStr">
        <is>
          <t>ENKÖPING</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3301-2025</t>
        </is>
      </c>
      <c r="B6504" s="1" t="n">
        <v>45679</v>
      </c>
      <c r="C6504" s="1" t="n">
        <v>45706</v>
      </c>
      <c r="D6504" t="inlineStr">
        <is>
          <t>UPPSALA LÄN</t>
        </is>
      </c>
      <c r="E6504" t="inlineStr">
        <is>
          <t>ENKÖPING</t>
        </is>
      </c>
      <c r="G6504" t="n">
        <v>20.9</v>
      </c>
      <c r="H6504" t="n">
        <v>0</v>
      </c>
      <c r="I6504" t="n">
        <v>0</v>
      </c>
      <c r="J6504" t="n">
        <v>0</v>
      </c>
      <c r="K6504" t="n">
        <v>0</v>
      </c>
      <c r="L6504" t="n">
        <v>0</v>
      </c>
      <c r="M6504" t="n">
        <v>0</v>
      </c>
      <c r="N6504" t="n">
        <v>0</v>
      </c>
      <c r="O6504" t="n">
        <v>0</v>
      </c>
      <c r="P6504" t="n">
        <v>0</v>
      </c>
      <c r="Q6504" t="n">
        <v>0</v>
      </c>
      <c r="R6504" s="2" t="inlineStr"/>
    </row>
    <row r="6505" ht="15" customHeight="1">
      <c r="A6505" t="inlineStr">
        <is>
          <t>A 3420-2025</t>
        </is>
      </c>
      <c r="B6505" s="1" t="n">
        <v>45680</v>
      </c>
      <c r="C6505" s="1" t="n">
        <v>45706</v>
      </c>
      <c r="D6505" t="inlineStr">
        <is>
          <t>UPPSALA LÄN</t>
        </is>
      </c>
      <c r="E6505" t="inlineStr">
        <is>
          <t>ÖSTHAMMAR</t>
        </is>
      </c>
      <c r="F6505" t="inlineStr">
        <is>
          <t>Bergvik skog väst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3418-2025</t>
        </is>
      </c>
      <c r="B6506" s="1" t="n">
        <v>45680</v>
      </c>
      <c r="C6506" s="1" t="n">
        <v>45706</v>
      </c>
      <c r="D6506" t="inlineStr">
        <is>
          <t>UPPSALA LÄN</t>
        </is>
      </c>
      <c r="E6506" t="inlineStr">
        <is>
          <t>ÖSTHAMMAR</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3466-2025</t>
        </is>
      </c>
      <c r="B6507" s="1" t="n">
        <v>45680</v>
      </c>
      <c r="C6507" s="1" t="n">
        <v>45706</v>
      </c>
      <c r="D6507" t="inlineStr">
        <is>
          <t>UPPSALA LÄN</t>
        </is>
      </c>
      <c r="E6507" t="inlineStr">
        <is>
          <t>HEBY</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45706</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45706</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3400-2025</t>
        </is>
      </c>
      <c r="B6510" s="1" t="n">
        <v>45680</v>
      </c>
      <c r="C6510" s="1" t="n">
        <v>45706</v>
      </c>
      <c r="D6510" t="inlineStr">
        <is>
          <t>UPPSALA LÄN</t>
        </is>
      </c>
      <c r="E6510" t="inlineStr">
        <is>
          <t>ENKÖPING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3973-2025</t>
        </is>
      </c>
      <c r="B6511" s="1" t="n">
        <v>45684</v>
      </c>
      <c r="C6511" s="1" t="n">
        <v>45706</v>
      </c>
      <c r="D6511" t="inlineStr">
        <is>
          <t>UPPSALA LÄN</t>
        </is>
      </c>
      <c r="E6511" t="inlineStr">
        <is>
          <t>UPPSALA</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4014-2025</t>
        </is>
      </c>
      <c r="B6512" s="1" t="n">
        <v>45684</v>
      </c>
      <c r="C6512" s="1" t="n">
        <v>45706</v>
      </c>
      <c r="D6512" t="inlineStr">
        <is>
          <t>UPPSALA LÄN</t>
        </is>
      </c>
      <c r="E6512" t="inlineStr">
        <is>
          <t>UPPSALA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3950-2025</t>
        </is>
      </c>
      <c r="B6513" s="1" t="n">
        <v>45684</v>
      </c>
      <c r="C6513" s="1" t="n">
        <v>45706</v>
      </c>
      <c r="D6513" t="inlineStr">
        <is>
          <t>UPPSALA LÄN</t>
        </is>
      </c>
      <c r="E6513" t="inlineStr">
        <is>
          <t>ÄLVKARLEBY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4096-2025</t>
        </is>
      </c>
      <c r="B6514" s="1" t="n">
        <v>45684</v>
      </c>
      <c r="C6514" s="1" t="n">
        <v>45706</v>
      </c>
      <c r="D6514" t="inlineStr">
        <is>
          <t>UPPSALA LÄN</t>
        </is>
      </c>
      <c r="E6514" t="inlineStr">
        <is>
          <t>ÖSTHAMMAR</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4099-2025</t>
        </is>
      </c>
      <c r="B6515" s="1" t="n">
        <v>45684</v>
      </c>
      <c r="C6515" s="1" t="n">
        <v>45706</v>
      </c>
      <c r="D6515" t="inlineStr">
        <is>
          <t>UPPSALA LÄN</t>
        </is>
      </c>
      <c r="E6515" t="inlineStr">
        <is>
          <t>ÖSTHAMMAR</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4293-2025</t>
        </is>
      </c>
      <c r="B6516" s="1" t="n">
        <v>45685</v>
      </c>
      <c r="C6516" s="1" t="n">
        <v>45706</v>
      </c>
      <c r="D6516" t="inlineStr">
        <is>
          <t>UPPSALA LÄN</t>
        </is>
      </c>
      <c r="E6516" t="inlineStr">
        <is>
          <t>UPPSALA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4240-2025</t>
        </is>
      </c>
      <c r="B6517" s="1" t="n">
        <v>45685</v>
      </c>
      <c r="C6517" s="1" t="n">
        <v>45706</v>
      </c>
      <c r="D6517" t="inlineStr">
        <is>
          <t>UPPSALA LÄN</t>
        </is>
      </c>
      <c r="E6517" t="inlineStr">
        <is>
          <t>UPPSALA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4244-2025</t>
        </is>
      </c>
      <c r="B6518" s="1" t="n">
        <v>45685</v>
      </c>
      <c r="C6518" s="1" t="n">
        <v>45706</v>
      </c>
      <c r="D6518" t="inlineStr">
        <is>
          <t>UPPSALA LÄN</t>
        </is>
      </c>
      <c r="E6518" t="inlineStr">
        <is>
          <t>UPPSALA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4314-2025</t>
        </is>
      </c>
      <c r="B6519" s="1" t="n">
        <v>45685</v>
      </c>
      <c r="C6519" s="1" t="n">
        <v>45706</v>
      </c>
      <c r="D6519" t="inlineStr">
        <is>
          <t>UPPSALA LÄN</t>
        </is>
      </c>
      <c r="E6519" t="inlineStr">
        <is>
          <t>TIERP</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4343-2025</t>
        </is>
      </c>
      <c r="B6520" s="1" t="n">
        <v>45685</v>
      </c>
      <c r="C6520" s="1" t="n">
        <v>45706</v>
      </c>
      <c r="D6520" t="inlineStr">
        <is>
          <t>UPPSALA LÄN</t>
        </is>
      </c>
      <c r="E6520" t="inlineStr">
        <is>
          <t>TIERP</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4242-2025</t>
        </is>
      </c>
      <c r="B6521" s="1" t="n">
        <v>45685</v>
      </c>
      <c r="C6521" s="1" t="n">
        <v>45706</v>
      </c>
      <c r="D6521" t="inlineStr">
        <is>
          <t>UPPSALA LÄN</t>
        </is>
      </c>
      <c r="E6521" t="inlineStr">
        <is>
          <t>UPPSALA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4292-2025</t>
        </is>
      </c>
      <c r="B6522" s="1" t="n">
        <v>45685</v>
      </c>
      <c r="C6522" s="1" t="n">
        <v>45706</v>
      </c>
      <c r="D6522" t="inlineStr">
        <is>
          <t>UPPSALA LÄN</t>
        </is>
      </c>
      <c r="E6522" t="inlineStr">
        <is>
          <t>ÖSTHAMMAR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4304-2025</t>
        </is>
      </c>
      <c r="B6523" s="1" t="n">
        <v>45685</v>
      </c>
      <c r="C6523" s="1" t="n">
        <v>45706</v>
      </c>
      <c r="D6523" t="inlineStr">
        <is>
          <t>UPPSALA LÄN</t>
        </is>
      </c>
      <c r="E6523" t="inlineStr">
        <is>
          <t>ÖSTHAMMAR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4388-2025</t>
        </is>
      </c>
      <c r="B6524" s="1" t="n">
        <v>45686</v>
      </c>
      <c r="C6524" s="1" t="n">
        <v>45706</v>
      </c>
      <c r="D6524" t="inlineStr">
        <is>
          <t>UPPSALA LÄN</t>
        </is>
      </c>
      <c r="E6524" t="inlineStr">
        <is>
          <t>HEBY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4447-2025</t>
        </is>
      </c>
      <c r="B6525" s="1" t="n">
        <v>45686</v>
      </c>
      <c r="C6525" s="1" t="n">
        <v>45706</v>
      </c>
      <c r="D6525" t="inlineStr">
        <is>
          <t>UPPSALA LÄN</t>
        </is>
      </c>
      <c r="E6525" t="inlineStr">
        <is>
          <t>TIERP</t>
        </is>
      </c>
      <c r="F6525" t="inlineStr">
        <is>
          <t>Bergvik skog öst AB</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4356-2025</t>
        </is>
      </c>
      <c r="B6526" s="1" t="n">
        <v>45686</v>
      </c>
      <c r="C6526" s="1" t="n">
        <v>45706</v>
      </c>
      <c r="D6526" t="inlineStr">
        <is>
          <t>UPPSALA LÄN</t>
        </is>
      </c>
      <c r="E6526" t="inlineStr">
        <is>
          <t>ÖSTHAMMAR</t>
        </is>
      </c>
      <c r="F6526" t="inlineStr">
        <is>
          <t>Övriga Aktiebolag</t>
        </is>
      </c>
      <c r="G6526" t="n">
        <v>24.6</v>
      </c>
      <c r="H6526" t="n">
        <v>0</v>
      </c>
      <c r="I6526" t="n">
        <v>0</v>
      </c>
      <c r="J6526" t="n">
        <v>0</v>
      </c>
      <c r="K6526" t="n">
        <v>0</v>
      </c>
      <c r="L6526" t="n">
        <v>0</v>
      </c>
      <c r="M6526" t="n">
        <v>0</v>
      </c>
      <c r="N6526" t="n">
        <v>0</v>
      </c>
      <c r="O6526" t="n">
        <v>0</v>
      </c>
      <c r="P6526" t="n">
        <v>0</v>
      </c>
      <c r="Q6526" t="n">
        <v>0</v>
      </c>
      <c r="R6526" s="2" t="inlineStr"/>
    </row>
    <row r="6527" ht="15" customHeight="1">
      <c r="A6527" t="inlineStr">
        <is>
          <t>A 4473-2025</t>
        </is>
      </c>
      <c r="B6527" s="1" t="n">
        <v>45686</v>
      </c>
      <c r="C6527" s="1" t="n">
        <v>45706</v>
      </c>
      <c r="D6527" t="inlineStr">
        <is>
          <t>UPPSALA LÄN</t>
        </is>
      </c>
      <c r="E6527" t="inlineStr">
        <is>
          <t>TIERP</t>
        </is>
      </c>
      <c r="F6527" t="inlineStr">
        <is>
          <t>Bergvik skog öst AB</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4483-2025</t>
        </is>
      </c>
      <c r="B6528" s="1" t="n">
        <v>45686</v>
      </c>
      <c r="C6528" s="1" t="n">
        <v>45706</v>
      </c>
      <c r="D6528" t="inlineStr">
        <is>
          <t>UPPSALA LÄN</t>
        </is>
      </c>
      <c r="E6528" t="inlineStr">
        <is>
          <t>TIERP</t>
        </is>
      </c>
      <c r="F6528" t="inlineStr">
        <is>
          <t>Bergvik skog öst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4524-2025</t>
        </is>
      </c>
      <c r="B6529" s="1" t="n">
        <v>45686</v>
      </c>
      <c r="C6529" s="1" t="n">
        <v>45706</v>
      </c>
      <c r="D6529" t="inlineStr">
        <is>
          <t>UPPSALA LÄN</t>
        </is>
      </c>
      <c r="E6529" t="inlineStr">
        <is>
          <t>TIERP</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4562-2025</t>
        </is>
      </c>
      <c r="B6530" s="1" t="n">
        <v>45687</v>
      </c>
      <c r="C6530" s="1" t="n">
        <v>45706</v>
      </c>
      <c r="D6530" t="inlineStr">
        <is>
          <t>UPPSALA LÄN</t>
        </is>
      </c>
      <c r="E6530" t="inlineStr">
        <is>
          <t>ENKÖPING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4569-2025</t>
        </is>
      </c>
      <c r="B6531" s="1" t="n">
        <v>45687</v>
      </c>
      <c r="C6531" s="1" t="n">
        <v>45706</v>
      </c>
      <c r="D6531" t="inlineStr">
        <is>
          <t>UPPSALA LÄN</t>
        </is>
      </c>
      <c r="E6531" t="inlineStr">
        <is>
          <t>UPPSALA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4635-2025</t>
        </is>
      </c>
      <c r="B6532" s="1" t="n">
        <v>45687</v>
      </c>
      <c r="C6532" s="1" t="n">
        <v>45706</v>
      </c>
      <c r="D6532" t="inlineStr">
        <is>
          <t>UPPSALA LÄN</t>
        </is>
      </c>
      <c r="E6532" t="inlineStr">
        <is>
          <t>ÖSTHAMMAR</t>
        </is>
      </c>
      <c r="F6532" t="inlineStr">
        <is>
          <t>Övriga Aktiebolag</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4643-2025</t>
        </is>
      </c>
      <c r="B6533" s="1" t="n">
        <v>45687</v>
      </c>
      <c r="C6533" s="1" t="n">
        <v>45706</v>
      </c>
      <c r="D6533" t="inlineStr">
        <is>
          <t>UPPSALA LÄN</t>
        </is>
      </c>
      <c r="E6533" t="inlineStr">
        <is>
          <t>ÖSTHAMMAR</t>
        </is>
      </c>
      <c r="F6533" t="inlineStr">
        <is>
          <t>Övriga Aktiebolag</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4637-2025</t>
        </is>
      </c>
      <c r="B6534" s="1" t="n">
        <v>45687</v>
      </c>
      <c r="C6534" s="1" t="n">
        <v>45706</v>
      </c>
      <c r="D6534" t="inlineStr">
        <is>
          <t>UPPSALA LÄN</t>
        </is>
      </c>
      <c r="E6534" t="inlineStr">
        <is>
          <t>ÖSTHAMMAR</t>
        </is>
      </c>
      <c r="F6534" t="inlineStr">
        <is>
          <t>Övriga Aktiebolag</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4641-2025</t>
        </is>
      </c>
      <c r="B6535" s="1" t="n">
        <v>45687</v>
      </c>
      <c r="C6535" s="1" t="n">
        <v>45706</v>
      </c>
      <c r="D6535" t="inlineStr">
        <is>
          <t>UPPSALA LÄN</t>
        </is>
      </c>
      <c r="E6535" t="inlineStr">
        <is>
          <t>ÖSTHAMMAR</t>
        </is>
      </c>
      <c r="F6535" t="inlineStr">
        <is>
          <t>Övriga Aktiebolag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4676-2025</t>
        </is>
      </c>
      <c r="B6536" s="1" t="n">
        <v>45687</v>
      </c>
      <c r="C6536" s="1" t="n">
        <v>45706</v>
      </c>
      <c r="D6536" t="inlineStr">
        <is>
          <t>UPPSALA LÄN</t>
        </is>
      </c>
      <c r="E6536" t="inlineStr">
        <is>
          <t>ÖSTHAMMAR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4658-2025</t>
        </is>
      </c>
      <c r="B6537" s="1" t="n">
        <v>45687</v>
      </c>
      <c r="C6537" s="1" t="n">
        <v>45706</v>
      </c>
      <c r="D6537" t="inlineStr">
        <is>
          <t>UPPSALA LÄN</t>
        </is>
      </c>
      <c r="E6537" t="inlineStr">
        <is>
          <t>KNIVSTA</t>
        </is>
      </c>
      <c r="F6537" t="inlineStr">
        <is>
          <t>Övriga Aktiebolag</t>
        </is>
      </c>
      <c r="G6537" t="n">
        <v>12.3</v>
      </c>
      <c r="H6537" t="n">
        <v>0</v>
      </c>
      <c r="I6537" t="n">
        <v>0</v>
      </c>
      <c r="J6537" t="n">
        <v>0</v>
      </c>
      <c r="K6537" t="n">
        <v>0</v>
      </c>
      <c r="L6537" t="n">
        <v>0</v>
      </c>
      <c r="M6537" t="n">
        <v>0</v>
      </c>
      <c r="N6537" t="n">
        <v>0</v>
      </c>
      <c r="O6537" t="n">
        <v>0</v>
      </c>
      <c r="P6537" t="n">
        <v>0</v>
      </c>
      <c r="Q6537" t="n">
        <v>0</v>
      </c>
      <c r="R6537" s="2" t="inlineStr"/>
    </row>
    <row r="6538" ht="15" customHeight="1">
      <c r="A6538" t="inlineStr">
        <is>
          <t>A 4666-2025</t>
        </is>
      </c>
      <c r="B6538" s="1" t="n">
        <v>45687</v>
      </c>
      <c r="C6538" s="1" t="n">
        <v>45706</v>
      </c>
      <c r="D6538" t="inlineStr">
        <is>
          <t>UPPSALA LÄN</t>
        </is>
      </c>
      <c r="E6538" t="inlineStr">
        <is>
          <t>HEBY</t>
        </is>
      </c>
      <c r="F6538" t="inlineStr">
        <is>
          <t>Övriga Aktiebolag</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4690-2025</t>
        </is>
      </c>
      <c r="B6539" s="1" t="n">
        <v>45688</v>
      </c>
      <c r="C6539" s="1" t="n">
        <v>45706</v>
      </c>
      <c r="D6539" t="inlineStr">
        <is>
          <t>UPPSALA LÄN</t>
        </is>
      </c>
      <c r="E6539" t="inlineStr">
        <is>
          <t>TIERP</t>
        </is>
      </c>
      <c r="F6539" t="inlineStr">
        <is>
          <t>Bergvik skog öst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4701-2025</t>
        </is>
      </c>
      <c r="B6540" s="1" t="n">
        <v>45688</v>
      </c>
      <c r="C6540" s="1" t="n">
        <v>45706</v>
      </c>
      <c r="D6540" t="inlineStr">
        <is>
          <t>UPPSALA LÄN</t>
        </is>
      </c>
      <c r="E6540" t="inlineStr">
        <is>
          <t>ÖSTHAMMAR</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4735-2025</t>
        </is>
      </c>
      <c r="B6541" s="1" t="n">
        <v>45688</v>
      </c>
      <c r="C6541" s="1" t="n">
        <v>45706</v>
      </c>
      <c r="D6541" t="inlineStr">
        <is>
          <t>UPPSALA LÄN</t>
        </is>
      </c>
      <c r="E6541" t="inlineStr">
        <is>
          <t>HEBY</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4737-2025</t>
        </is>
      </c>
      <c r="B6542" s="1" t="n">
        <v>45688</v>
      </c>
      <c r="C6542" s="1" t="n">
        <v>45706</v>
      </c>
      <c r="D6542" t="inlineStr">
        <is>
          <t>UPPSALA LÄN</t>
        </is>
      </c>
      <c r="E6542" t="inlineStr">
        <is>
          <t>HEBY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4993-2025</t>
        </is>
      </c>
      <c r="B6543" s="1" t="n">
        <v>45691</v>
      </c>
      <c r="C6543" s="1" t="n">
        <v>45706</v>
      </c>
      <c r="D6543" t="inlineStr">
        <is>
          <t>UPPSALA LÄN</t>
        </is>
      </c>
      <c r="E6543" t="inlineStr">
        <is>
          <t>UPPSALA</t>
        </is>
      </c>
      <c r="F6543" t="inlineStr">
        <is>
          <t>Kyrkan</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5068-2025</t>
        </is>
      </c>
      <c r="B6544" s="1" t="n">
        <v>45691</v>
      </c>
      <c r="C6544" s="1" t="n">
        <v>45706</v>
      </c>
      <c r="D6544" t="inlineStr">
        <is>
          <t>UPPSALA LÄN</t>
        </is>
      </c>
      <c r="E6544" t="inlineStr">
        <is>
          <t>UPPSALA</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5076-2025</t>
        </is>
      </c>
      <c r="B6545" s="1" t="n">
        <v>45691</v>
      </c>
      <c r="C6545" s="1" t="n">
        <v>45706</v>
      </c>
      <c r="D6545" t="inlineStr">
        <is>
          <t>UPPSALA LÄN</t>
        </is>
      </c>
      <c r="E6545" t="inlineStr">
        <is>
          <t>ÖSTHAMMAR</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5188-2025</t>
        </is>
      </c>
      <c r="B6546" s="1" t="n">
        <v>45691</v>
      </c>
      <c r="C6546" s="1" t="n">
        <v>45706</v>
      </c>
      <c r="D6546" t="inlineStr">
        <is>
          <t>UPPSALA LÄN</t>
        </is>
      </c>
      <c r="E6546" t="inlineStr">
        <is>
          <t>ÖSTHAMMAR</t>
        </is>
      </c>
      <c r="F6546" t="inlineStr">
        <is>
          <t>Bergvik skog öst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5013-2025</t>
        </is>
      </c>
      <c r="B6547" s="1" t="n">
        <v>45691</v>
      </c>
      <c r="C6547" s="1" t="n">
        <v>45706</v>
      </c>
      <c r="D6547" t="inlineStr">
        <is>
          <t>UPPSALA LÄN</t>
        </is>
      </c>
      <c r="E6547" t="inlineStr">
        <is>
          <t>ENKÖPING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5189-2025</t>
        </is>
      </c>
      <c r="B6548" s="1" t="n">
        <v>45691</v>
      </c>
      <c r="C6548" s="1" t="n">
        <v>45706</v>
      </c>
      <c r="D6548" t="inlineStr">
        <is>
          <t>UPPSALA LÄN</t>
        </is>
      </c>
      <c r="E6548" t="inlineStr">
        <is>
          <t>ÖSTHAMMAR</t>
        </is>
      </c>
      <c r="F6548" t="inlineStr">
        <is>
          <t>Bergvik skog öst AB</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5204-2025</t>
        </is>
      </c>
      <c r="B6549" s="1" t="n">
        <v>45691</v>
      </c>
      <c r="C6549" s="1" t="n">
        <v>45706</v>
      </c>
      <c r="D6549" t="inlineStr">
        <is>
          <t>UPPSALA LÄN</t>
        </is>
      </c>
      <c r="E6549" t="inlineStr">
        <is>
          <t>UPPSALA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5215-2025</t>
        </is>
      </c>
      <c r="B6550" s="1" t="n">
        <v>45691</v>
      </c>
      <c r="C6550" s="1" t="n">
        <v>45706</v>
      </c>
      <c r="D6550" t="inlineStr">
        <is>
          <t>UPPSALA LÄN</t>
        </is>
      </c>
      <c r="E6550" t="inlineStr">
        <is>
          <t>ÖSTHAMMAR</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5373-2025</t>
        </is>
      </c>
      <c r="B6551" s="1" t="n">
        <v>45692</v>
      </c>
      <c r="C6551" s="1" t="n">
        <v>45706</v>
      </c>
      <c r="D6551" t="inlineStr">
        <is>
          <t>UPPSALA LÄN</t>
        </is>
      </c>
      <c r="E6551" t="inlineStr">
        <is>
          <t>UPPSALA</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5254-2025</t>
        </is>
      </c>
      <c r="B6552" s="1" t="n">
        <v>45692</v>
      </c>
      <c r="C6552" s="1" t="n">
        <v>45706</v>
      </c>
      <c r="D6552" t="inlineStr">
        <is>
          <t>UPPSALA LÄN</t>
        </is>
      </c>
      <c r="E6552" t="inlineStr">
        <is>
          <t>ÖSTHAMMAR</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5253-2025</t>
        </is>
      </c>
      <c r="B6553" s="1" t="n">
        <v>45692</v>
      </c>
      <c r="C6553" s="1" t="n">
        <v>45706</v>
      </c>
      <c r="D6553" t="inlineStr">
        <is>
          <t>UPPSALA LÄN</t>
        </is>
      </c>
      <c r="E6553" t="inlineStr">
        <is>
          <t>TIERP</t>
        </is>
      </c>
      <c r="F6553" t="inlineStr">
        <is>
          <t>Bergvik skog öst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5261-2025</t>
        </is>
      </c>
      <c r="B6554" s="1" t="n">
        <v>45692</v>
      </c>
      <c r="C6554" s="1" t="n">
        <v>45706</v>
      </c>
      <c r="D6554" t="inlineStr">
        <is>
          <t>UPPSALA LÄN</t>
        </is>
      </c>
      <c r="E6554" t="inlineStr">
        <is>
          <t>ÖSTHAMMAR</t>
        </is>
      </c>
      <c r="F6554" t="inlineStr">
        <is>
          <t>Övriga Aktiebolag</t>
        </is>
      </c>
      <c r="G6554" t="n">
        <v>12.4</v>
      </c>
      <c r="H6554" t="n">
        <v>0</v>
      </c>
      <c r="I6554" t="n">
        <v>0</v>
      </c>
      <c r="J6554" t="n">
        <v>0</v>
      </c>
      <c r="K6554" t="n">
        <v>0</v>
      </c>
      <c r="L6554" t="n">
        <v>0</v>
      </c>
      <c r="M6554" t="n">
        <v>0</v>
      </c>
      <c r="N6554" t="n">
        <v>0</v>
      </c>
      <c r="O6554" t="n">
        <v>0</v>
      </c>
      <c r="P6554" t="n">
        <v>0</v>
      </c>
      <c r="Q6554" t="n">
        <v>0</v>
      </c>
      <c r="R6554" s="2" t="inlineStr"/>
    </row>
    <row r="6555" ht="15" customHeight="1">
      <c r="A6555" t="inlineStr">
        <is>
          <t>A 5344-2025</t>
        </is>
      </c>
      <c r="B6555" s="1" t="n">
        <v>45692</v>
      </c>
      <c r="C6555" s="1" t="n">
        <v>45706</v>
      </c>
      <c r="D6555" t="inlineStr">
        <is>
          <t>UPPSALA LÄN</t>
        </is>
      </c>
      <c r="E6555" t="inlineStr">
        <is>
          <t>ÖSTHAMMAR</t>
        </is>
      </c>
      <c r="F6555" t="inlineStr">
        <is>
          <t>Bergvik skog öst AB</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5371-2025</t>
        </is>
      </c>
      <c r="B6556" s="1" t="n">
        <v>45692</v>
      </c>
      <c r="C6556" s="1" t="n">
        <v>45706</v>
      </c>
      <c r="D6556" t="inlineStr">
        <is>
          <t>UPPSALA LÄN</t>
        </is>
      </c>
      <c r="E6556" t="inlineStr">
        <is>
          <t>UPPSALA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5303-2025</t>
        </is>
      </c>
      <c r="B6557" s="1" t="n">
        <v>45692</v>
      </c>
      <c r="C6557" s="1" t="n">
        <v>45706</v>
      </c>
      <c r="D6557" t="inlineStr">
        <is>
          <t>UPPSALA LÄN</t>
        </is>
      </c>
      <c r="E6557" t="inlineStr">
        <is>
          <t>ÖSTHAMMAR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5624-2025</t>
        </is>
      </c>
      <c r="B6558" s="1" t="n">
        <v>45693</v>
      </c>
      <c r="C6558" s="1" t="n">
        <v>45706</v>
      </c>
      <c r="D6558" t="inlineStr">
        <is>
          <t>UPPSALA LÄN</t>
        </is>
      </c>
      <c r="E6558" t="inlineStr">
        <is>
          <t>UPPSALA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5628-2025</t>
        </is>
      </c>
      <c r="B6559" s="1" t="n">
        <v>45693</v>
      </c>
      <c r="C6559" s="1" t="n">
        <v>45706</v>
      </c>
      <c r="D6559" t="inlineStr">
        <is>
          <t>UPPSALA LÄN</t>
        </is>
      </c>
      <c r="E6559" t="inlineStr">
        <is>
          <t>UPPSALA</t>
        </is>
      </c>
      <c r="F6559" t="inlineStr">
        <is>
          <t>Bergvik skog öst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5455-2025</t>
        </is>
      </c>
      <c r="B6560" s="1" t="n">
        <v>45693</v>
      </c>
      <c r="C6560" s="1" t="n">
        <v>45706</v>
      </c>
      <c r="D6560" t="inlineStr">
        <is>
          <t>UPPSALA LÄN</t>
        </is>
      </c>
      <c r="E6560" t="inlineStr">
        <is>
          <t>KNIVSTA</t>
        </is>
      </c>
      <c r="G6560" t="n">
        <v>17.1</v>
      </c>
      <c r="H6560" t="n">
        <v>0</v>
      </c>
      <c r="I6560" t="n">
        <v>0</v>
      </c>
      <c r="J6560" t="n">
        <v>0</v>
      </c>
      <c r="K6560" t="n">
        <v>0</v>
      </c>
      <c r="L6560" t="n">
        <v>0</v>
      </c>
      <c r="M6560" t="n">
        <v>0</v>
      </c>
      <c r="N6560" t="n">
        <v>0</v>
      </c>
      <c r="O6560" t="n">
        <v>0</v>
      </c>
      <c r="P6560" t="n">
        <v>0</v>
      </c>
      <c r="Q6560" t="n">
        <v>0</v>
      </c>
      <c r="R6560" s="2" t="inlineStr"/>
    </row>
    <row r="6561" ht="15" customHeight="1">
      <c r="A6561" t="inlineStr">
        <is>
          <t>A 5605-2025</t>
        </is>
      </c>
      <c r="B6561" s="1" t="n">
        <v>45693</v>
      </c>
      <c r="C6561" s="1" t="n">
        <v>45706</v>
      </c>
      <c r="D6561" t="inlineStr">
        <is>
          <t>UPPSALA LÄN</t>
        </is>
      </c>
      <c r="E6561" t="inlineStr">
        <is>
          <t>UPPSALA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5625-2025</t>
        </is>
      </c>
      <c r="B6562" s="1" t="n">
        <v>45693</v>
      </c>
      <c r="C6562" s="1" t="n">
        <v>45706</v>
      </c>
      <c r="D6562" t="inlineStr">
        <is>
          <t>UPPSALA LÄN</t>
        </is>
      </c>
      <c r="E6562" t="inlineStr">
        <is>
          <t>HEBY</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5633-2025</t>
        </is>
      </c>
      <c r="B6563" s="1" t="n">
        <v>45693</v>
      </c>
      <c r="C6563" s="1" t="n">
        <v>45706</v>
      </c>
      <c r="D6563" t="inlineStr">
        <is>
          <t>UPPSALA LÄN</t>
        </is>
      </c>
      <c r="E6563" t="inlineStr">
        <is>
          <t>HEBY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5511-2025</t>
        </is>
      </c>
      <c r="B6564" s="1" t="n">
        <v>45693</v>
      </c>
      <c r="C6564" s="1" t="n">
        <v>45706</v>
      </c>
      <c r="D6564" t="inlineStr">
        <is>
          <t>UPPSALA LÄN</t>
        </is>
      </c>
      <c r="E6564" t="inlineStr">
        <is>
          <t>ÖSTHAMMAR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5577-2025</t>
        </is>
      </c>
      <c r="B6565" s="1" t="n">
        <v>45693</v>
      </c>
      <c r="C6565" s="1" t="n">
        <v>45706</v>
      </c>
      <c r="D6565" t="inlineStr">
        <is>
          <t>UPPSALA LÄN</t>
        </is>
      </c>
      <c r="E6565" t="inlineStr">
        <is>
          <t>TIERP</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6973-2025</t>
        </is>
      </c>
      <c r="B6566" s="1" t="n">
        <v>45693</v>
      </c>
      <c r="C6566" s="1" t="n">
        <v>45706</v>
      </c>
      <c r="D6566" t="inlineStr">
        <is>
          <t>UPPSALA LÄN</t>
        </is>
      </c>
      <c r="E6566" t="inlineStr">
        <is>
          <t>UPPSALA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6971-2025</t>
        </is>
      </c>
      <c r="B6567" s="1" t="n">
        <v>45693</v>
      </c>
      <c r="C6567" s="1" t="n">
        <v>45706</v>
      </c>
      <c r="D6567" t="inlineStr">
        <is>
          <t>UPPSALA LÄN</t>
        </is>
      </c>
      <c r="E6567" t="inlineStr">
        <is>
          <t>UPPSALA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6988-2025</t>
        </is>
      </c>
      <c r="B6568" s="1" t="n">
        <v>45693</v>
      </c>
      <c r="C6568" s="1" t="n">
        <v>45706</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6970-2025</t>
        </is>
      </c>
      <c r="B6569" s="1" t="n">
        <v>45693</v>
      </c>
      <c r="C6569" s="1" t="n">
        <v>45706</v>
      </c>
      <c r="D6569" t="inlineStr">
        <is>
          <t>UPPSALA LÄN</t>
        </is>
      </c>
      <c r="E6569" t="inlineStr">
        <is>
          <t>UPPSALA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5671-2025</t>
        </is>
      </c>
      <c r="B6570" s="1" t="n">
        <v>45694</v>
      </c>
      <c r="C6570" s="1" t="n">
        <v>45706</v>
      </c>
      <c r="D6570" t="inlineStr">
        <is>
          <t>UPPSALA LÄN</t>
        </is>
      </c>
      <c r="E6570" t="inlineStr">
        <is>
          <t>UPPSALA</t>
        </is>
      </c>
      <c r="F6570" t="inlineStr">
        <is>
          <t>Bergvik skog öst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5699-2025</t>
        </is>
      </c>
      <c r="B6571" s="1" t="n">
        <v>45694</v>
      </c>
      <c r="C6571" s="1" t="n">
        <v>45706</v>
      </c>
      <c r="D6571" t="inlineStr">
        <is>
          <t>UPPSALA LÄN</t>
        </is>
      </c>
      <c r="E6571" t="inlineStr">
        <is>
          <t>ENKÖPING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5712-2025</t>
        </is>
      </c>
      <c r="B6572" s="1" t="n">
        <v>45694</v>
      </c>
      <c r="C6572" s="1" t="n">
        <v>45706</v>
      </c>
      <c r="D6572" t="inlineStr">
        <is>
          <t>UPPSALA LÄN</t>
        </is>
      </c>
      <c r="E6572" t="inlineStr">
        <is>
          <t>ENKÖPING</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5749-2025</t>
        </is>
      </c>
      <c r="B6573" s="1" t="n">
        <v>45694</v>
      </c>
      <c r="C6573" s="1" t="n">
        <v>45706</v>
      </c>
      <c r="D6573" t="inlineStr">
        <is>
          <t>UPPSALA LÄN</t>
        </is>
      </c>
      <c r="E6573" t="inlineStr">
        <is>
          <t>ENKÖPING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5719-2025</t>
        </is>
      </c>
      <c r="B6574" s="1" t="n">
        <v>45694</v>
      </c>
      <c r="C6574" s="1" t="n">
        <v>45706</v>
      </c>
      <c r="D6574" t="inlineStr">
        <is>
          <t>UPPSALA LÄN</t>
        </is>
      </c>
      <c r="E6574" t="inlineStr">
        <is>
          <t>UPPSALA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5764-2025</t>
        </is>
      </c>
      <c r="B6575" s="1" t="n">
        <v>45694</v>
      </c>
      <c r="C6575" s="1" t="n">
        <v>45706</v>
      </c>
      <c r="D6575" t="inlineStr">
        <is>
          <t>UPPSALA LÄN</t>
        </is>
      </c>
      <c r="E6575" t="inlineStr">
        <is>
          <t>UPPSALA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5725-2025</t>
        </is>
      </c>
      <c r="B6576" s="1" t="n">
        <v>45694</v>
      </c>
      <c r="C6576" s="1" t="n">
        <v>45706</v>
      </c>
      <c r="D6576" t="inlineStr">
        <is>
          <t>UPPSALA LÄN</t>
        </is>
      </c>
      <c r="E6576" t="inlineStr">
        <is>
          <t>UPPSALA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5729-2025</t>
        </is>
      </c>
      <c r="B6577" s="1" t="n">
        <v>45694</v>
      </c>
      <c r="C6577" s="1" t="n">
        <v>45706</v>
      </c>
      <c r="D6577" t="inlineStr">
        <is>
          <t>UPPSALA LÄN</t>
        </is>
      </c>
      <c r="E6577" t="inlineStr">
        <is>
          <t>UPPSALA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5722-2025</t>
        </is>
      </c>
      <c r="B6578" s="1" t="n">
        <v>45694</v>
      </c>
      <c r="C6578" s="1" t="n">
        <v>45706</v>
      </c>
      <c r="D6578" t="inlineStr">
        <is>
          <t>UPPSALA LÄN</t>
        </is>
      </c>
      <c r="E6578" t="inlineStr">
        <is>
          <t>UPPSALA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5730-2025</t>
        </is>
      </c>
      <c r="B6579" s="1" t="n">
        <v>45694</v>
      </c>
      <c r="C6579" s="1" t="n">
        <v>45706</v>
      </c>
      <c r="D6579" t="inlineStr">
        <is>
          <t>UPPSALA LÄN</t>
        </is>
      </c>
      <c r="E6579" t="inlineStr">
        <is>
          <t>UPPSALA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5786-2025</t>
        </is>
      </c>
      <c r="B6580" s="1" t="n">
        <v>45694</v>
      </c>
      <c r="C6580" s="1" t="n">
        <v>45706</v>
      </c>
      <c r="D6580" t="inlineStr">
        <is>
          <t>UPPSALA LÄN</t>
        </is>
      </c>
      <c r="E6580" t="inlineStr">
        <is>
          <t>TIERP</t>
        </is>
      </c>
      <c r="F6580" t="inlineStr">
        <is>
          <t>Bergvik skog öst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5791-2025</t>
        </is>
      </c>
      <c r="B6581" s="1" t="n">
        <v>45694</v>
      </c>
      <c r="C6581" s="1" t="n">
        <v>45706</v>
      </c>
      <c r="D6581" t="inlineStr">
        <is>
          <t>UPPSALA LÄN</t>
        </is>
      </c>
      <c r="E6581" t="inlineStr">
        <is>
          <t>TIERP</t>
        </is>
      </c>
      <c r="F6581" t="inlineStr">
        <is>
          <t>Bergvik skog öst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5925-2025</t>
        </is>
      </c>
      <c r="B6582" s="1" t="n">
        <v>45695</v>
      </c>
      <c r="C6582" s="1" t="n">
        <v>45706</v>
      </c>
      <c r="D6582" t="inlineStr">
        <is>
          <t>UPPSALA LÄN</t>
        </is>
      </c>
      <c r="E6582" t="inlineStr">
        <is>
          <t>UPPSALA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5957-2025</t>
        </is>
      </c>
      <c r="B6583" s="1" t="n">
        <v>45695</v>
      </c>
      <c r="C6583" s="1" t="n">
        <v>45706</v>
      </c>
      <c r="D6583" t="inlineStr">
        <is>
          <t>UPPSALA LÄN</t>
        </is>
      </c>
      <c r="E6583" t="inlineStr">
        <is>
          <t>ÖSTHAMMAR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6012-2025</t>
        </is>
      </c>
      <c r="B6584" s="1" t="n">
        <v>45695</v>
      </c>
      <c r="C6584" s="1" t="n">
        <v>45706</v>
      </c>
      <c r="D6584" t="inlineStr">
        <is>
          <t>UPPSALA LÄN</t>
        </is>
      </c>
      <c r="E6584" t="inlineStr">
        <is>
          <t>UPPSALA</t>
        </is>
      </c>
      <c r="F6584" t="inlineStr">
        <is>
          <t>Övriga Aktiebolag</t>
        </is>
      </c>
      <c r="G6584" t="n">
        <v>14.3</v>
      </c>
      <c r="H6584" t="n">
        <v>0</v>
      </c>
      <c r="I6584" t="n">
        <v>0</v>
      </c>
      <c r="J6584" t="n">
        <v>0</v>
      </c>
      <c r="K6584" t="n">
        <v>0</v>
      </c>
      <c r="L6584" t="n">
        <v>0</v>
      </c>
      <c r="M6584" t="n">
        <v>0</v>
      </c>
      <c r="N6584" t="n">
        <v>0</v>
      </c>
      <c r="O6584" t="n">
        <v>0</v>
      </c>
      <c r="P6584" t="n">
        <v>0</v>
      </c>
      <c r="Q6584" t="n">
        <v>0</v>
      </c>
      <c r="R6584" s="2" t="inlineStr"/>
    </row>
    <row r="6585" ht="15" customHeight="1">
      <c r="A6585" t="inlineStr">
        <is>
          <t>A 6039-2025</t>
        </is>
      </c>
      <c r="B6585" s="1" t="n">
        <v>45695</v>
      </c>
      <c r="C6585" s="1" t="n">
        <v>45706</v>
      </c>
      <c r="D6585" t="inlineStr">
        <is>
          <t>UPPSALA LÄN</t>
        </is>
      </c>
      <c r="E6585" t="inlineStr">
        <is>
          <t>ÖSTHAMMAR</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6048-2025</t>
        </is>
      </c>
      <c r="B6586" s="1" t="n">
        <v>45695</v>
      </c>
      <c r="C6586" s="1" t="n">
        <v>45706</v>
      </c>
      <c r="D6586" t="inlineStr">
        <is>
          <t>UPPSALA LÄN</t>
        </is>
      </c>
      <c r="E6586" t="inlineStr">
        <is>
          <t>ÖSTHAMMAR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5962-2025</t>
        </is>
      </c>
      <c r="B6587" s="1" t="n">
        <v>45695</v>
      </c>
      <c r="C6587" s="1" t="n">
        <v>45706</v>
      </c>
      <c r="D6587" t="inlineStr">
        <is>
          <t>UPPSALA LÄN</t>
        </is>
      </c>
      <c r="E6587" t="inlineStr">
        <is>
          <t>ÖSTHAMMAR</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6058-2025</t>
        </is>
      </c>
      <c r="B6588" s="1" t="n">
        <v>45695</v>
      </c>
      <c r="C6588" s="1" t="n">
        <v>45706</v>
      </c>
      <c r="D6588" t="inlineStr">
        <is>
          <t>UPPSALA LÄN</t>
        </is>
      </c>
      <c r="E6588" t="inlineStr">
        <is>
          <t>UPPSALA</t>
        </is>
      </c>
      <c r="F6588" t="inlineStr">
        <is>
          <t>Bergvik skog öst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5854-2025</t>
        </is>
      </c>
      <c r="B6589" s="1" t="n">
        <v>45695</v>
      </c>
      <c r="C6589" s="1" t="n">
        <v>45706</v>
      </c>
      <c r="D6589" t="inlineStr">
        <is>
          <t>UPPSALA LÄN</t>
        </is>
      </c>
      <c r="E6589" t="inlineStr">
        <is>
          <t>TIERP</t>
        </is>
      </c>
      <c r="F6589" t="inlineStr">
        <is>
          <t>Bergvik skog öst AB</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6060-2025</t>
        </is>
      </c>
      <c r="B6590" s="1" t="n">
        <v>45695</v>
      </c>
      <c r="C6590" s="1" t="n">
        <v>45706</v>
      </c>
      <c r="D6590" t="inlineStr">
        <is>
          <t>UPPSALA LÄN</t>
        </is>
      </c>
      <c r="E6590" t="inlineStr">
        <is>
          <t>UPPSALA</t>
        </is>
      </c>
      <c r="F6590" t="inlineStr">
        <is>
          <t>Bergvik skog öst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6006-2025</t>
        </is>
      </c>
      <c r="B6591" s="1" t="n">
        <v>45695</v>
      </c>
      <c r="C6591" s="1" t="n">
        <v>45706</v>
      </c>
      <c r="D6591" t="inlineStr">
        <is>
          <t>UPPSALA LÄN</t>
        </is>
      </c>
      <c r="E6591" t="inlineStr">
        <is>
          <t>UPPSALA</t>
        </is>
      </c>
      <c r="F6591" t="inlineStr">
        <is>
          <t>Övriga Aktiebolag</t>
        </is>
      </c>
      <c r="G6591" t="n">
        <v>13.8</v>
      </c>
      <c r="H6591" t="n">
        <v>0</v>
      </c>
      <c r="I6591" t="n">
        <v>0</v>
      </c>
      <c r="J6591" t="n">
        <v>0</v>
      </c>
      <c r="K6591" t="n">
        <v>0</v>
      </c>
      <c r="L6591" t="n">
        <v>0</v>
      </c>
      <c r="M6591" t="n">
        <v>0</v>
      </c>
      <c r="N6591" t="n">
        <v>0</v>
      </c>
      <c r="O6591" t="n">
        <v>0</v>
      </c>
      <c r="P6591" t="n">
        <v>0</v>
      </c>
      <c r="Q6591" t="n">
        <v>0</v>
      </c>
      <c r="R6591" s="2" t="inlineStr"/>
    </row>
    <row r="6592" ht="15" customHeight="1">
      <c r="A6592" t="inlineStr">
        <is>
          <t>A 6046-2025</t>
        </is>
      </c>
      <c r="B6592" s="1" t="n">
        <v>45695</v>
      </c>
      <c r="C6592" s="1" t="n">
        <v>45706</v>
      </c>
      <c r="D6592" t="inlineStr">
        <is>
          <t>UPPSALA LÄN</t>
        </is>
      </c>
      <c r="E6592" t="inlineStr">
        <is>
          <t>ÖSTHAMMAR</t>
        </is>
      </c>
      <c r="G6592" t="n">
        <v>0.8</v>
      </c>
      <c r="H6592" t="n">
        <v>0</v>
      </c>
      <c r="I6592" t="n">
        <v>0</v>
      </c>
      <c r="J6592" t="n">
        <v>0</v>
      </c>
      <c r="K6592" t="n">
        <v>0</v>
      </c>
      <c r="L6592" t="n">
        <v>0</v>
      </c>
      <c r="M6592" t="n">
        <v>0</v>
      </c>
      <c r="N6592" t="n">
        <v>0</v>
      </c>
      <c r="O6592" t="n">
        <v>0</v>
      </c>
      <c r="P6592" t="n">
        <v>0</v>
      </c>
      <c r="Q6592" t="n">
        <v>0</v>
      </c>
      <c r="R6592" s="2" t="inlineStr"/>
      <c r="U6592">
        <f>HYPERLINK("https://klasma.github.io/Logging_0382/knärot/A 6046-2025 karta knärot.png", "A 6046-2025")</f>
        <v/>
      </c>
      <c r="V6592">
        <f>HYPERLINK("https://klasma.github.io/Logging_0382/klagomål/A 6046-2025 FSC-klagomål.docx", "A 6046-2025")</f>
        <v/>
      </c>
      <c r="W6592">
        <f>HYPERLINK("https://klasma.github.io/Logging_0382/klagomålsmail/A 6046-2025 FSC-klagomål mail.docx", "A 6046-2025")</f>
        <v/>
      </c>
      <c r="X6592">
        <f>HYPERLINK("https://klasma.github.io/Logging_0382/tillsyn/A 6046-2025 tillsynsbegäran.docx", "A 6046-2025")</f>
        <v/>
      </c>
      <c r="Y6592">
        <f>HYPERLINK("https://klasma.github.io/Logging_0382/tillsynsmail/A 6046-2025 tillsynsbegäran mail.docx", "A 6046-2025")</f>
        <v/>
      </c>
    </row>
    <row r="6593" ht="15" customHeight="1">
      <c r="A6593" t="inlineStr">
        <is>
          <t>A 6059-2025</t>
        </is>
      </c>
      <c r="B6593" s="1" t="n">
        <v>45695</v>
      </c>
      <c r="C6593" s="1" t="n">
        <v>45706</v>
      </c>
      <c r="D6593" t="inlineStr">
        <is>
          <t>UPPSALA LÄN</t>
        </is>
      </c>
      <c r="E6593" t="inlineStr">
        <is>
          <t>UPPSALA</t>
        </is>
      </c>
      <c r="F6593" t="inlineStr">
        <is>
          <t>Bergvik skog öst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6242-2025</t>
        </is>
      </c>
      <c r="B6594" s="1" t="n">
        <v>45697</v>
      </c>
      <c r="C6594" s="1" t="n">
        <v>45706</v>
      </c>
      <c r="D6594" t="inlineStr">
        <is>
          <t>UPPSALA LÄN</t>
        </is>
      </c>
      <c r="E6594" t="inlineStr">
        <is>
          <t>ENKÖPING</t>
        </is>
      </c>
      <c r="G6594" t="n">
        <v>17.9</v>
      </c>
      <c r="H6594" t="n">
        <v>0</v>
      </c>
      <c r="I6594" t="n">
        <v>0</v>
      </c>
      <c r="J6594" t="n">
        <v>0</v>
      </c>
      <c r="K6594" t="n">
        <v>0</v>
      </c>
      <c r="L6594" t="n">
        <v>0</v>
      </c>
      <c r="M6594" t="n">
        <v>0</v>
      </c>
      <c r="N6594" t="n">
        <v>0</v>
      </c>
      <c r="O6594" t="n">
        <v>0</v>
      </c>
      <c r="P6594" t="n">
        <v>0</v>
      </c>
      <c r="Q6594" t="n">
        <v>0</v>
      </c>
      <c r="R6594" s="2" t="inlineStr"/>
    </row>
    <row r="6595" ht="15" customHeight="1">
      <c r="A6595" t="inlineStr">
        <is>
          <t>A 6325-2025</t>
        </is>
      </c>
      <c r="B6595" s="1" t="n">
        <v>45698</v>
      </c>
      <c r="C6595" s="1" t="n">
        <v>45706</v>
      </c>
      <c r="D6595" t="inlineStr">
        <is>
          <t>UPPSALA LÄN</t>
        </is>
      </c>
      <c r="E6595" t="inlineStr">
        <is>
          <t>ÖSTHAMMAR</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6327-2025</t>
        </is>
      </c>
      <c r="B6596" s="1" t="n">
        <v>45698</v>
      </c>
      <c r="C6596" s="1" t="n">
        <v>45706</v>
      </c>
      <c r="D6596" t="inlineStr">
        <is>
          <t>UPPSALA LÄN</t>
        </is>
      </c>
      <c r="E6596" t="inlineStr">
        <is>
          <t>ÖSTHAMMAR</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6184-2025</t>
        </is>
      </c>
      <c r="B6597" s="1" t="n">
        <v>45698</v>
      </c>
      <c r="C6597" s="1" t="n">
        <v>45706</v>
      </c>
      <c r="D6597" t="inlineStr">
        <is>
          <t>UPPSALA LÄN</t>
        </is>
      </c>
      <c r="E6597" t="inlineStr">
        <is>
          <t>ÖSTHAMMAR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6290-2025</t>
        </is>
      </c>
      <c r="B6598" s="1" t="n">
        <v>45698</v>
      </c>
      <c r="C6598" s="1" t="n">
        <v>45706</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6343-2025</t>
        </is>
      </c>
      <c r="B6599" s="1" t="n">
        <v>45699</v>
      </c>
      <c r="C6599" s="1" t="n">
        <v>45706</v>
      </c>
      <c r="D6599" t="inlineStr">
        <is>
          <t>UPPSALA LÄN</t>
        </is>
      </c>
      <c r="E6599" t="inlineStr">
        <is>
          <t>ÖSTHAMMAR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6359-2025</t>
        </is>
      </c>
      <c r="B6600" s="1" t="n">
        <v>45699</v>
      </c>
      <c r="C6600" s="1" t="n">
        <v>45706</v>
      </c>
      <c r="D6600" t="inlineStr">
        <is>
          <t>UPPSALA LÄN</t>
        </is>
      </c>
      <c r="E6600" t="inlineStr">
        <is>
          <t>ÖSTHAMMAR</t>
        </is>
      </c>
      <c r="F6600" t="inlineStr">
        <is>
          <t>Bergvik skog öst AB</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6360-2025</t>
        </is>
      </c>
      <c r="B6601" s="1" t="n">
        <v>45699</v>
      </c>
      <c r="C6601" s="1" t="n">
        <v>45706</v>
      </c>
      <c r="D6601" t="inlineStr">
        <is>
          <t>UPPSALA LÄN</t>
        </is>
      </c>
      <c r="E6601" t="inlineStr">
        <is>
          <t>ÖSTHAMMAR</t>
        </is>
      </c>
      <c r="F6601" t="inlineStr">
        <is>
          <t>Bergvik skog öst AB</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6543-2025</t>
        </is>
      </c>
      <c r="B6602" s="1" t="n">
        <v>45699</v>
      </c>
      <c r="C6602" s="1" t="n">
        <v>45706</v>
      </c>
      <c r="D6602" t="inlineStr">
        <is>
          <t>UPPSALA LÄN</t>
        </is>
      </c>
      <c r="E6602" t="inlineStr">
        <is>
          <t>ÖSTHAMMAR</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6450-2025</t>
        </is>
      </c>
      <c r="B6603" s="1" t="n">
        <v>45699</v>
      </c>
      <c r="C6603" s="1" t="n">
        <v>45706</v>
      </c>
      <c r="D6603" t="inlineStr">
        <is>
          <t>UPPSALA LÄN</t>
        </is>
      </c>
      <c r="E6603" t="inlineStr">
        <is>
          <t>HEBY</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6550-2025</t>
        </is>
      </c>
      <c r="B6604" s="1" t="n">
        <v>45699</v>
      </c>
      <c r="C6604" s="1" t="n">
        <v>45706</v>
      </c>
      <c r="D6604" t="inlineStr">
        <is>
          <t>UPPSALA LÄN</t>
        </is>
      </c>
      <c r="E6604" t="inlineStr">
        <is>
          <t>UPPSALA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6548-2025</t>
        </is>
      </c>
      <c r="B6605" s="1" t="n">
        <v>45699</v>
      </c>
      <c r="C6605" s="1" t="n">
        <v>45706</v>
      </c>
      <c r="D6605" t="inlineStr">
        <is>
          <t>UPPSALA LÄN</t>
        </is>
      </c>
      <c r="E6605" t="inlineStr">
        <is>
          <t>ÖSTHAMMAR</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6552-2025</t>
        </is>
      </c>
      <c r="B6606" s="1" t="n">
        <v>45699</v>
      </c>
      <c r="C6606" s="1" t="n">
        <v>45706</v>
      </c>
      <c r="D6606" t="inlineStr">
        <is>
          <t>UPPSALA LÄN</t>
        </is>
      </c>
      <c r="E6606" t="inlineStr">
        <is>
          <t>ÖSTHAMMAR</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6537-2025</t>
        </is>
      </c>
      <c r="B6607" s="1" t="n">
        <v>45699</v>
      </c>
      <c r="C6607" s="1" t="n">
        <v>45706</v>
      </c>
      <c r="D6607" t="inlineStr">
        <is>
          <t>UPPSALA LÄN</t>
        </is>
      </c>
      <c r="E6607" t="inlineStr">
        <is>
          <t>ÖSTHAMMAR</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6541-2025</t>
        </is>
      </c>
      <c r="B6608" s="1" t="n">
        <v>45699</v>
      </c>
      <c r="C6608" s="1" t="n">
        <v>45706</v>
      </c>
      <c r="D6608" t="inlineStr">
        <is>
          <t>UPPSALA LÄN</t>
        </is>
      </c>
      <c r="E6608" t="inlineStr">
        <is>
          <t>UPPSALA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6549-2025</t>
        </is>
      </c>
      <c r="B6609" s="1" t="n">
        <v>45699</v>
      </c>
      <c r="C6609" s="1" t="n">
        <v>45706</v>
      </c>
      <c r="D6609" t="inlineStr">
        <is>
          <t>UPPSALA LÄN</t>
        </is>
      </c>
      <c r="E6609" t="inlineStr">
        <is>
          <t>UPPSALA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6764-2025</t>
        </is>
      </c>
      <c r="B6610" s="1" t="n">
        <v>45700</v>
      </c>
      <c r="C6610" s="1" t="n">
        <v>45706</v>
      </c>
      <c r="D6610" t="inlineStr">
        <is>
          <t>UPPSALA LÄN</t>
        </is>
      </c>
      <c r="E6610" t="inlineStr">
        <is>
          <t>ÖSTHAMMAR</t>
        </is>
      </c>
      <c r="F6610" t="inlineStr">
        <is>
          <t>Bergvik skog öst AB</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6888-2025</t>
        </is>
      </c>
      <c r="B6611" s="1" t="n">
        <v>45701</v>
      </c>
      <c r="C6611" s="1" t="n">
        <v>45706</v>
      </c>
      <c r="D6611" t="inlineStr">
        <is>
          <t>UPPSALA LÄN</t>
        </is>
      </c>
      <c r="E6611" t="inlineStr">
        <is>
          <t>TIERP</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6959-2025</t>
        </is>
      </c>
      <c r="B6612" s="1" t="n">
        <v>45701</v>
      </c>
      <c r="C6612" s="1" t="n">
        <v>45706</v>
      </c>
      <c r="D6612" t="inlineStr">
        <is>
          <t>UPPSALA LÄN</t>
        </is>
      </c>
      <c r="E6612" t="inlineStr">
        <is>
          <t>ENKÖPING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6889-2025</t>
        </is>
      </c>
      <c r="B6613" s="1" t="n">
        <v>45701</v>
      </c>
      <c r="C6613" s="1" t="n">
        <v>45706</v>
      </c>
      <c r="D6613" t="inlineStr">
        <is>
          <t>UPPSALA LÄN</t>
        </is>
      </c>
      <c r="E6613" t="inlineStr">
        <is>
          <t>TIERP</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7100-2025</t>
        </is>
      </c>
      <c r="B6614" s="1" t="n">
        <v>45701</v>
      </c>
      <c r="C6614" s="1" t="n">
        <v>45706</v>
      </c>
      <c r="D6614" t="inlineStr">
        <is>
          <t>UPPSALA LÄN</t>
        </is>
      </c>
      <c r="E6614" t="inlineStr">
        <is>
          <t>ÖSTHAMMAR</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6981-2025</t>
        </is>
      </c>
      <c r="B6615" s="1" t="n">
        <v>45701</v>
      </c>
      <c r="C6615" s="1" t="n">
        <v>45706</v>
      </c>
      <c r="D6615" t="inlineStr">
        <is>
          <t>UPPSALA LÄN</t>
        </is>
      </c>
      <c r="E6615" t="inlineStr">
        <is>
          <t>ENKÖPING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7216-2025</t>
        </is>
      </c>
      <c r="B6616" s="1" t="n">
        <v>45702</v>
      </c>
      <c r="C6616" s="1" t="n">
        <v>45706</v>
      </c>
      <c r="D6616" t="inlineStr">
        <is>
          <t>UPPSALA LÄN</t>
        </is>
      </c>
      <c r="E6616" t="inlineStr">
        <is>
          <t>ÖSTHAMMAR</t>
        </is>
      </c>
      <c r="F6616" t="inlineStr">
        <is>
          <t>Övriga Aktiebolag</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7346-2025</t>
        </is>
      </c>
      <c r="B6617" s="1" t="n">
        <v>45703</v>
      </c>
      <c r="C6617" s="1" t="n">
        <v>45706</v>
      </c>
      <c r="D6617" t="inlineStr">
        <is>
          <t>UPPSALA LÄN</t>
        </is>
      </c>
      <c r="E6617" t="inlineStr">
        <is>
          <t>UPPSALA</t>
        </is>
      </c>
      <c r="F6617" t="inlineStr">
        <is>
          <t>Bergvik skog öst AB</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7519-2025</t>
        </is>
      </c>
      <c r="B6618" s="1" t="n">
        <v>45703</v>
      </c>
      <c r="C6618" s="1" t="n">
        <v>45706</v>
      </c>
      <c r="D6618" t="inlineStr">
        <is>
          <t>UPPSALA LÄN</t>
        </is>
      </c>
      <c r="E6618" t="inlineStr">
        <is>
          <t>TIERP</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7376-2025</t>
        </is>
      </c>
      <c r="B6619" s="1" t="n">
        <v>45705</v>
      </c>
      <c r="C6619" s="1" t="n">
        <v>45706</v>
      </c>
      <c r="D6619" t="inlineStr">
        <is>
          <t>UPPSALA LÄN</t>
        </is>
      </c>
      <c r="E6619" t="inlineStr">
        <is>
          <t>UPPSALA</t>
        </is>
      </c>
      <c r="F6619" t="inlineStr">
        <is>
          <t>Bergvik skog väst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7374-2025</t>
        </is>
      </c>
      <c r="B6620" s="1" t="n">
        <v>45705</v>
      </c>
      <c r="C6620" s="1" t="n">
        <v>45706</v>
      </c>
      <c r="D6620" t="inlineStr">
        <is>
          <t>UPPSALA LÄN</t>
        </is>
      </c>
      <c r="E6620" t="inlineStr">
        <is>
          <t>TIERP</t>
        </is>
      </c>
      <c r="F6620" t="inlineStr">
        <is>
          <t>Bergvik skog väst AB</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7429-2025</t>
        </is>
      </c>
      <c r="B6621" s="1" t="n">
        <v>45705</v>
      </c>
      <c r="C6621" s="1" t="n">
        <v>45706</v>
      </c>
      <c r="D6621" t="inlineStr">
        <is>
          <t>UPPSALA LÄN</t>
        </is>
      </c>
      <c r="E6621" t="inlineStr">
        <is>
          <t>HEBY</t>
        </is>
      </c>
      <c r="F6621" t="inlineStr">
        <is>
          <t>Kyrkan</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7468-2025</t>
        </is>
      </c>
      <c r="B6622" s="1" t="n">
        <v>45705</v>
      </c>
      <c r="C6622" s="1" t="n">
        <v>45706</v>
      </c>
      <c r="D6622" t="inlineStr">
        <is>
          <t>UPPSALA LÄN</t>
        </is>
      </c>
      <c r="E6622" t="inlineStr">
        <is>
          <t>HEBY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7497-2025</t>
        </is>
      </c>
      <c r="B6623" s="1" t="n">
        <v>45705</v>
      </c>
      <c r="C6623" s="1" t="n">
        <v>45706</v>
      </c>
      <c r="D6623" t="inlineStr">
        <is>
          <t>UPPSALA LÄN</t>
        </is>
      </c>
      <c r="E6623" t="inlineStr">
        <is>
          <t>HEBY</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7501-2025</t>
        </is>
      </c>
      <c r="B6624" s="1" t="n">
        <v>45705</v>
      </c>
      <c r="C6624" s="1" t="n">
        <v>45706</v>
      </c>
      <c r="D6624" t="inlineStr">
        <is>
          <t>UPPSALA LÄN</t>
        </is>
      </c>
      <c r="E6624" t="inlineStr">
        <is>
          <t>UPPSALA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7500-2025</t>
        </is>
      </c>
      <c r="B6625" s="1" t="n">
        <v>45705</v>
      </c>
      <c r="C6625" s="1" t="n">
        <v>45706</v>
      </c>
      <c r="D6625" t="inlineStr">
        <is>
          <t>UPPSALA LÄN</t>
        </is>
      </c>
      <c r="E6625" t="inlineStr">
        <is>
          <t>HEBY</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7504-2025</t>
        </is>
      </c>
      <c r="B6626" s="1" t="n">
        <v>45705</v>
      </c>
      <c r="C6626" s="1" t="n">
        <v>45706</v>
      </c>
      <c r="D6626" t="inlineStr">
        <is>
          <t>UPPSALA LÄN</t>
        </is>
      </c>
      <c r="E6626" t="inlineStr">
        <is>
          <t>HEBY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7375-2025</t>
        </is>
      </c>
      <c r="B6627" s="1" t="n">
        <v>45705</v>
      </c>
      <c r="C6627" s="1" t="n">
        <v>45706</v>
      </c>
      <c r="D6627" t="inlineStr">
        <is>
          <t>UPPSALA LÄN</t>
        </is>
      </c>
      <c r="E6627" t="inlineStr">
        <is>
          <t>TIERP</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7503-2025</t>
        </is>
      </c>
      <c r="B6628" s="1" t="n">
        <v>45705</v>
      </c>
      <c r="C6628" s="1" t="n">
        <v>45706</v>
      </c>
      <c r="D6628" t="inlineStr">
        <is>
          <t>UPPSALA LÄN</t>
        </is>
      </c>
      <c r="E6628" t="inlineStr">
        <is>
          <t>HEBY</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7502-2025</t>
        </is>
      </c>
      <c r="B6629" s="1" t="n">
        <v>45705</v>
      </c>
      <c r="C6629" s="1" t="n">
        <v>45706</v>
      </c>
      <c r="D6629" t="inlineStr">
        <is>
          <t>UPPSALA LÄN</t>
        </is>
      </c>
      <c r="E6629" t="inlineStr">
        <is>
          <t>HEBY</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7633-2025</t>
        </is>
      </c>
      <c r="B6630" s="1" t="n">
        <v>45705</v>
      </c>
      <c r="C6630" s="1" t="n">
        <v>45706</v>
      </c>
      <c r="D6630" t="inlineStr">
        <is>
          <t>UPPSALA LÄN</t>
        </is>
      </c>
      <c r="E6630" t="inlineStr">
        <is>
          <t>UPPSALA</t>
        </is>
      </c>
      <c r="F6630" t="inlineStr">
        <is>
          <t>Bergvik skog öst AB</t>
        </is>
      </c>
      <c r="G6630" t="n">
        <v>1.2</v>
      </c>
      <c r="H6630" t="n">
        <v>0</v>
      </c>
      <c r="I6630" t="n">
        <v>0</v>
      </c>
      <c r="J6630" t="n">
        <v>0</v>
      </c>
      <c r="K6630" t="n">
        <v>0</v>
      </c>
      <c r="L6630" t="n">
        <v>0</v>
      </c>
      <c r="M6630" t="n">
        <v>0</v>
      </c>
      <c r="N6630" t="n">
        <v>0</v>
      </c>
      <c r="O6630" t="n">
        <v>0</v>
      </c>
      <c r="P6630" t="n">
        <v>0</v>
      </c>
      <c r="Q6630" t="n">
        <v>0</v>
      </c>
      <c r="R6630" s="2" t="inlineStr"/>
    </row>
    <row r="6631">
      <c r="A6631" t="inlineStr">
        <is>
          <t>A 7645-2025</t>
        </is>
      </c>
      <c r="B6631" s="1" t="n">
        <v>45705</v>
      </c>
      <c r="C6631" s="1" t="n">
        <v>45706</v>
      </c>
      <c r="D6631" t="inlineStr">
        <is>
          <t>UPPSALA LÄN</t>
        </is>
      </c>
      <c r="E6631" t="inlineStr">
        <is>
          <t>UPPSALA</t>
        </is>
      </c>
      <c r="F6631" t="inlineStr">
        <is>
          <t>Bergvik skog öst AB</t>
        </is>
      </c>
      <c r="G6631" t="n">
        <v>5.6</v>
      </c>
      <c r="H6631" t="n">
        <v>0</v>
      </c>
      <c r="I6631" t="n">
        <v>0</v>
      </c>
      <c r="J6631" t="n">
        <v>0</v>
      </c>
      <c r="K6631" t="n">
        <v>0</v>
      </c>
      <c r="L6631" t="n">
        <v>0</v>
      </c>
      <c r="M6631" t="n">
        <v>0</v>
      </c>
      <c r="N6631" t="n">
        <v>0</v>
      </c>
      <c r="O6631" t="n">
        <v>0</v>
      </c>
      <c r="P6631" t="n">
        <v>0</v>
      </c>
      <c r="Q6631" t="n">
        <v>0</v>
      </c>
      <c r="R6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2025-02-18T16:24:20Z</dcterms:created>
  <dcterms:modified xmlns:dcterms="http://purl.org/dc/terms/" xmlns:xsi="http://www.w3.org/2001/XMLSchema-instance" xsi:type="dcterms:W3CDTF">2025-02-18T16:24:26Z</dcterms:modified>
</cp:coreProperties>
</file>